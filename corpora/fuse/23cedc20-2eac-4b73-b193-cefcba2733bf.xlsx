
<file path=[Content_Types].xml><?xml version="1.0" encoding="utf-8"?>
<Types xmlns="http://schemas.openxmlformats.org/package/2006/content-types">
  <Override PartName="/docProps/app.xml" ContentType="application/vnd.openxmlformats-officedocument.extended-properties+xml"/>
  <Override PartName="/xl/sharedStrings.xml" ContentType="application/vnd.openxmlformats-officedocument.spreadsheetml.sharedStrings+xml"/>
  <Default Extension="xml" ContentType="application/xml"/>
  <Override PartName="/xl/workbook.xml" ContentType="application/vnd.openxmlformats-officedocument.spreadsheetml.sheet.main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worksheets/sheet2.xml" ContentType="application/vnd.openxmlformats-officedocument.spreadsheetml.worksheet+xml"/>
  <Override PartName="/xl/calcChain.xml" ContentType="application/vnd.openxmlformats-officedocument.spreadsheetml.calcChain+xml"/>
  <Default Extension="rels" ContentType="application/vnd.openxmlformats-package.relationships+xml"/>
  <Override PartName="/xl/drawings/drawing1.xml" ContentType="application/vnd.openxmlformats-officedocument.drawing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autoCompressPictures="0"/>
  <bookViews>
    <workbookView xWindow="360" yWindow="80" windowWidth="30040" windowHeight="16860"/>
  </bookViews>
  <sheets>
    <sheet name="wt_CBP_RawData_vs_TF_all" sheetId="1" r:id="rId1"/>
    <sheet name="gd7_CBP_RawData_vs_TF_all" sheetId="2" r:id="rId2"/>
    <sheet name="wt_CBP_RawData_vs_top300TF" sheetId="3" r:id="rId3"/>
    <sheet name="gd7_CBP_RawData_vs_top300TF" sheetId="4" r:id="rId4"/>
  </sheets>
  <calcPr calcId="130407"/>
  <extLst>
    <ext xmlns:mx="http://schemas.microsoft.com/office/mac/excel/2008/main" uri="http://schemas.microsoft.com/office/mac/excel/2008/main">
      <mx:ArchID Flags="2"/>
    </ext>
  </extLst>
</workbook>
</file>

<file path=xl/calcChain.xml><?xml version="1.0" encoding="utf-8"?>
<calcChain xmlns="http://schemas.openxmlformats.org/spreadsheetml/2006/main">
  <c r="AZ1" i="2"/>
  <c r="AY1"/>
  <c r="AX1"/>
  <c r="AW1"/>
  <c r="AV1"/>
  <c r="AU1"/>
  <c r="AT1"/>
  <c r="AS1"/>
  <c r="AR1"/>
  <c r="AQ1"/>
  <c r="AP1"/>
  <c r="AO1"/>
  <c r="AN1"/>
  <c r="AM1"/>
  <c r="AL1"/>
  <c r="AK1"/>
  <c r="AJ1"/>
  <c r="AI1"/>
  <c r="AH1"/>
  <c r="AG1"/>
  <c r="AF1"/>
  <c r="AE1"/>
  <c r="AD1"/>
  <c r="AC1"/>
  <c r="AB1"/>
  <c r="AA1"/>
  <c r="Z1"/>
  <c r="Y1"/>
  <c r="X1"/>
  <c r="W1"/>
  <c r="V1"/>
  <c r="U1"/>
  <c r="T1"/>
  <c r="S1"/>
  <c r="R1"/>
  <c r="Q1"/>
  <c r="P1"/>
  <c r="O1"/>
  <c r="N1"/>
  <c r="M1"/>
  <c r="L1"/>
  <c r="K1"/>
  <c r="J1"/>
  <c r="I1"/>
  <c r="H1"/>
  <c r="G1"/>
  <c r="F1"/>
  <c r="E1"/>
  <c r="D1"/>
  <c r="C1"/>
  <c r="AZ1" i="4"/>
  <c r="AY1"/>
  <c r="AX1"/>
  <c r="AW1"/>
  <c r="AV1"/>
  <c r="AU1"/>
  <c r="AT1"/>
  <c r="AS1"/>
  <c r="AR1"/>
  <c r="AQ1"/>
  <c r="AP1"/>
  <c r="AO1"/>
  <c r="AN1"/>
  <c r="AM1"/>
  <c r="AL1"/>
  <c r="AK1"/>
  <c r="AJ1"/>
  <c r="AI1"/>
  <c r="AH1"/>
  <c r="AG1"/>
  <c r="AF1"/>
  <c r="AE1"/>
  <c r="AD1"/>
  <c r="AC1"/>
  <c r="AB1"/>
  <c r="AA1"/>
  <c r="Z1"/>
  <c r="Y1"/>
  <c r="X1"/>
  <c r="W1"/>
  <c r="V1"/>
  <c r="U1"/>
  <c r="T1"/>
  <c r="S1"/>
  <c r="R1"/>
  <c r="Q1"/>
  <c r="P1"/>
  <c r="O1"/>
  <c r="N1"/>
  <c r="M1"/>
  <c r="L1"/>
  <c r="K1"/>
  <c r="J1"/>
  <c r="I1"/>
  <c r="H1"/>
  <c r="G1"/>
  <c r="F1"/>
  <c r="E1"/>
  <c r="D1"/>
  <c r="C1"/>
  <c r="C1" i="1"/>
  <c r="D1"/>
  <c r="E1"/>
  <c r="F1"/>
  <c r="G1"/>
  <c r="H1"/>
  <c r="I1"/>
  <c r="J1"/>
  <c r="K1"/>
  <c r="L1"/>
  <c r="M1"/>
  <c r="N1"/>
  <c r="O1"/>
  <c r="P1"/>
  <c r="Q1"/>
  <c r="R1"/>
  <c r="S1"/>
  <c r="T1"/>
  <c r="U1"/>
  <c r="V1"/>
  <c r="W1"/>
  <c r="X1"/>
  <c r="Y1"/>
  <c r="Z1"/>
  <c r="AA1"/>
  <c r="AB1"/>
  <c r="AC1"/>
  <c r="AD1"/>
  <c r="AE1"/>
  <c r="AF1"/>
  <c r="AG1"/>
  <c r="AH1"/>
  <c r="AI1"/>
  <c r="AJ1"/>
  <c r="AK1"/>
  <c r="AL1"/>
  <c r="AM1"/>
  <c r="AN1"/>
  <c r="AO1"/>
  <c r="AP1"/>
  <c r="AQ1"/>
  <c r="AR1"/>
  <c r="AS1"/>
  <c r="AT1"/>
  <c r="AU1"/>
  <c r="AV1"/>
  <c r="AW1"/>
  <c r="AX1"/>
  <c r="AY1"/>
  <c r="AZ1"/>
  <c r="AZ1" i="3"/>
  <c r="AY1"/>
  <c r="AX1"/>
  <c r="AW1"/>
  <c r="AV1"/>
  <c r="AU1"/>
  <c r="AT1"/>
  <c r="AS1"/>
  <c r="AR1"/>
  <c r="AQ1"/>
  <c r="AP1"/>
  <c r="AO1"/>
  <c r="AN1"/>
  <c r="AM1"/>
  <c r="AL1"/>
  <c r="AK1"/>
  <c r="AJ1"/>
  <c r="AI1"/>
  <c r="AH1"/>
  <c r="AG1"/>
  <c r="AF1"/>
  <c r="AE1"/>
  <c r="AD1"/>
  <c r="AC1"/>
  <c r="AB1"/>
  <c r="AA1"/>
  <c r="Z1"/>
  <c r="Y1"/>
  <c r="X1"/>
  <c r="W1"/>
  <c r="V1"/>
  <c r="U1"/>
  <c r="T1"/>
  <c r="S1"/>
  <c r="R1"/>
  <c r="Q1"/>
  <c r="P1"/>
  <c r="O1"/>
  <c r="N1"/>
  <c r="M1"/>
  <c r="L1"/>
  <c r="K1"/>
  <c r="J1"/>
  <c r="I1"/>
  <c r="H1"/>
  <c r="G1"/>
  <c r="F1"/>
  <c r="E1"/>
  <c r="D1"/>
  <c r="C1"/>
</calcChain>
</file>

<file path=xl/sharedStrings.xml><?xml version="1.0" encoding="utf-8"?>
<sst xmlns="http://schemas.openxmlformats.org/spreadsheetml/2006/main" count="768" uniqueCount="149">
  <si>
    <t>E0_12h_Stat92E.region_Top300regions.gff</t>
  </si>
  <si>
    <t>E0_12h_TTK.region_Top300regions.gff</t>
  </si>
  <si>
    <t>E0_12h_UBX7701.region_Top300regions.gff</t>
  </si>
  <si>
    <t>E0_12_dCTCF_C_term_ChIP_chip.CTCF_C_Top300regions.gff</t>
  </si>
  <si>
    <t>E0_12_dCTCF_N_term_ChIP_chip.CTCF_N_Top300regions.gff</t>
  </si>
  <si>
    <t>E0_4h_7T_ChIP_seq_Top300regions.gff</t>
  </si>
  <si>
    <t>E0_4h_cad.region_Top300regions.gff</t>
  </si>
  <si>
    <t>E0_4_GFP_7T_ChIP_chip.region_Top300regions.gff</t>
  </si>
  <si>
    <t>E0_8h_disco.region_Top300regions.gff</t>
  </si>
  <si>
    <t>tll_1_Rel5.gff</t>
  </si>
  <si>
    <t>twi_1_Rel5.gff</t>
  </si>
  <si>
    <t>twi_2_Rel5.gff</t>
  </si>
  <si>
    <t>z_2_Rel5.gff</t>
  </si>
  <si>
    <t>Factor</t>
    <phoneticPr fontId="19" type="noConversion"/>
  </si>
  <si>
    <t>Bicoid</t>
    <phoneticPr fontId="19" type="noConversion"/>
  </si>
  <si>
    <t>Caudal</t>
    <phoneticPr fontId="19" type="noConversion"/>
  </si>
  <si>
    <t>Dichaete</t>
    <phoneticPr fontId="19" type="noConversion"/>
  </si>
  <si>
    <t>Daughterless</t>
    <phoneticPr fontId="19" type="noConversion"/>
  </si>
  <si>
    <t>Dorsal</t>
    <phoneticPr fontId="19" type="noConversion"/>
  </si>
  <si>
    <t>E0_4h_7T_ChIP_seq.gff</t>
  </si>
  <si>
    <t>E0_4h_cad.region.gff</t>
  </si>
  <si>
    <t>E0_4_GFP_7T_ChIP_chip.region.gff</t>
  </si>
  <si>
    <t>E0_8h_disco.region.gff</t>
  </si>
  <si>
    <t>E0_8h_GATAe.region.gff</t>
  </si>
  <si>
    <t>E0_8h_h.region.gff</t>
  </si>
  <si>
    <t>E0_8h_hkb.region.gff</t>
  </si>
  <si>
    <t>E0_8h_jumu.region.gff</t>
  </si>
  <si>
    <t>E0_8_D.region.gff</t>
  </si>
  <si>
    <t>E0_8_Kr_D2_ChIP_chip.region.gff</t>
  </si>
  <si>
    <t>E4_8h_7T_ChIP_seq.gff</t>
  </si>
  <si>
    <t>E4_8h_sens.region.gff</t>
  </si>
  <si>
    <t>E4_8_GFP_sens.region.gff</t>
  </si>
  <si>
    <t>E4_8_sens.region.gff</t>
  </si>
  <si>
    <t>Embryo_0_12h_chinmo_ChIP_chip.region.gff</t>
  </si>
  <si>
    <t>Embryo_0_12h_GAF_ChIP_chip.GAF.gff</t>
  </si>
  <si>
    <t>Embryo_0_12h_INV_GFP_ChIP_chip.region.gff</t>
  </si>
  <si>
    <t>Embryo_0_12h_ZFH1_ChIP_chip.region.gff</t>
  </si>
  <si>
    <t>Embryo_3_8h_UBX1_ChIP_chip.region.gff</t>
  </si>
  <si>
    <t>E0_8h_GATAe.region_Top300regions.gff</t>
  </si>
  <si>
    <t>E0_8h_h.region_Top300regions.gff</t>
  </si>
  <si>
    <t>E0_8h_hkb.region_Top300regions.gff</t>
  </si>
  <si>
    <t>E0_8h_jumu.region_Top300regions.gff</t>
  </si>
  <si>
    <t>E0_8_D.region_Top300regions.gff</t>
  </si>
  <si>
    <t>E0_8_Kr_D2_ChIP_chip.region_Top300regions.gff</t>
  </si>
  <si>
    <t>E4_8h_7T_ChIP_seq_Top300regions.gff</t>
  </si>
  <si>
    <t>E4_8h_sens.region_Top300regions.gff</t>
  </si>
  <si>
    <t>E4_8_GFP_sens.region_Top300regions.gff</t>
  </si>
  <si>
    <t>E4_8_sens.region_Top300regions.gff</t>
  </si>
  <si>
    <t>Embryo_0_12h_chinmo_ChIP_chip.region_Top300regions.gff</t>
  </si>
  <si>
    <t>Embryo_0_12h_GAF_ChIP_chip.GAF_Top300regions.gff</t>
  </si>
  <si>
    <t>Embryo_0_12h_INV_GFP_ChIP_chip.region_Top300regions.gff</t>
  </si>
  <si>
    <t>Embryo_0_12h_ZFH1_ChIP_chip.region_Top300regions.gff</t>
  </si>
  <si>
    <t>Embryo_3_8h_UBX1_ChIP_chip.region_Top300regions.gff</t>
  </si>
  <si>
    <t>Embryo_3_8h_UBX2_ChIP_chip.region_Top300regions.gff</t>
  </si>
  <si>
    <t>Embryo_3_8h_UBX7701_ChIP_chip.region_Top300regions.gff</t>
  </si>
  <si>
    <t>E_0_12h_dll.region_Top300regions.gff</t>
  </si>
  <si>
    <t>E_0_12h_INV7657.region_Top300regions.gff</t>
  </si>
  <si>
    <t>overlap</t>
  </si>
  <si>
    <t>Twist</t>
    <phoneticPr fontId="19" type="noConversion"/>
  </si>
  <si>
    <t>Zeste</t>
    <phoneticPr fontId="19" type="noConversion"/>
  </si>
  <si>
    <t>cut-off (log2 fold enrichment over input)</t>
    <phoneticPr fontId="19" type="noConversion"/>
  </si>
  <si>
    <t>number of CBP peaks</t>
  </si>
  <si>
    <t>E0_12h_bab1.region_Top300regions.gff</t>
  </si>
  <si>
    <t>E0_12h_CNC.region_Top300regions.gff</t>
  </si>
  <si>
    <t>E0_12h_D.region_Top300regions.gff</t>
  </si>
  <si>
    <t>E0_12h_ENserum.region_Top300regions.gff</t>
  </si>
  <si>
    <t>E0_12h_FTZ_F1.region_Top300regions.gff</t>
  </si>
  <si>
    <t>E0_12h_KN.region_Top300regions.gff</t>
  </si>
  <si>
    <t>E0_12h_RUN7659.region_Top300regions.gff</t>
  </si>
  <si>
    <t>Embryo_3_8h_UBX2_ChIP_chip.region.gff</t>
  </si>
  <si>
    <t>Embryo_3_8h_UBX7701_ChIP_chip.region.gff</t>
  </si>
  <si>
    <t>E_0_12h_dll.region.gff</t>
  </si>
  <si>
    <t>E_0_12h_INV7657.region.gff</t>
  </si>
  <si>
    <t>ftz_3_Rel5.gff</t>
  </si>
  <si>
    <t>gt_2_Rel5.gff</t>
  </si>
  <si>
    <t>hb_1_Rel5.gff</t>
  </si>
  <si>
    <t>hb_2_Rel5.gff</t>
  </si>
  <si>
    <t>hkb_1_Rel5.gff</t>
  </si>
  <si>
    <t>hkb_2_Rel5.gff</t>
  </si>
  <si>
    <t>hkb_3_Rel5.gff</t>
  </si>
  <si>
    <t>h_1_Rel5.gff</t>
  </si>
  <si>
    <t>h_2_Rel5.gff</t>
  </si>
  <si>
    <t>kni_1_Rel5.gff</t>
  </si>
  <si>
    <t>kni_2_Rel5.gff</t>
  </si>
  <si>
    <t>kr_1_Rel5.gff</t>
  </si>
  <si>
    <t>kr_2_Rel5.gff</t>
  </si>
  <si>
    <t>mad_2_Rel5.gff</t>
  </si>
  <si>
    <t>med_2_Rel5.gff</t>
  </si>
  <si>
    <t>prd_BQ_Rel5.gff</t>
  </si>
  <si>
    <t>prd_FQ_Rel5.gff</t>
  </si>
  <si>
    <t>run_1_Rel5.gff</t>
  </si>
  <si>
    <t>run_2_Rel5.gff</t>
  </si>
  <si>
    <t>shn_2_Rel5.gff</t>
  </si>
  <si>
    <t>shn_3_Rel5.gff</t>
  </si>
  <si>
    <t>slp1_1_Rel5.gff</t>
  </si>
  <si>
    <t>sna_1_Rel5.gff</t>
  </si>
  <si>
    <t>sna_2_Rel5.gff</t>
  </si>
  <si>
    <t>Distalless</t>
    <phoneticPr fontId="19" type="noConversion"/>
  </si>
  <si>
    <t>Invected</t>
    <phoneticPr fontId="19" type="noConversion"/>
  </si>
  <si>
    <t>CTCF</t>
    <phoneticPr fontId="19" type="noConversion"/>
  </si>
  <si>
    <t>Bric a brac 1</t>
    <phoneticPr fontId="19" type="noConversion"/>
  </si>
  <si>
    <t>Cap-n-collar</t>
    <phoneticPr fontId="19" type="noConversion"/>
  </si>
  <si>
    <t>Engrailed</t>
    <phoneticPr fontId="19" type="noConversion"/>
  </si>
  <si>
    <t>Ftz-F1</t>
    <phoneticPr fontId="19" type="noConversion"/>
  </si>
  <si>
    <t>Knot</t>
    <phoneticPr fontId="19" type="noConversion"/>
  </si>
  <si>
    <t>Runt</t>
    <phoneticPr fontId="19" type="noConversion"/>
  </si>
  <si>
    <t>Stat92E</t>
    <phoneticPr fontId="19" type="noConversion"/>
  </si>
  <si>
    <t>Tramtrack</t>
    <phoneticPr fontId="19" type="noConversion"/>
  </si>
  <si>
    <t>Ultrabithorax</t>
    <phoneticPr fontId="19" type="noConversion"/>
  </si>
  <si>
    <t>Krüppel</t>
    <phoneticPr fontId="19" type="noConversion"/>
  </si>
  <si>
    <t>Disconnected</t>
    <phoneticPr fontId="19" type="noConversion"/>
  </si>
  <si>
    <t>GATAe</t>
    <phoneticPr fontId="19" type="noConversion"/>
  </si>
  <si>
    <t>Hairy</t>
    <phoneticPr fontId="19" type="noConversion"/>
  </si>
  <si>
    <t>Huckebein</t>
    <phoneticPr fontId="19" type="noConversion"/>
  </si>
  <si>
    <t>Jumeau</t>
    <phoneticPr fontId="19" type="noConversion"/>
  </si>
  <si>
    <t>Senseless</t>
    <phoneticPr fontId="19" type="noConversion"/>
  </si>
  <si>
    <t>Chinmo (Chronologically inappropriate morphogenesis)</t>
    <phoneticPr fontId="19" type="noConversion"/>
  </si>
  <si>
    <t>GAF (GAGA factor)</t>
    <phoneticPr fontId="19" type="noConversion"/>
  </si>
  <si>
    <t>Zfh1 (Zn finger homeodomain 1)</t>
    <phoneticPr fontId="19" type="noConversion"/>
  </si>
  <si>
    <t>Fushi-tarazu</t>
    <phoneticPr fontId="19" type="noConversion"/>
  </si>
  <si>
    <t>Giant</t>
    <phoneticPr fontId="19" type="noConversion"/>
  </si>
  <si>
    <t>Hunchback</t>
    <phoneticPr fontId="19" type="noConversion"/>
  </si>
  <si>
    <t>Knirps</t>
    <phoneticPr fontId="19" type="noConversion"/>
  </si>
  <si>
    <t>Mad (Mothers against dpp)</t>
    <phoneticPr fontId="19" type="noConversion"/>
  </si>
  <si>
    <t>Medea</t>
    <phoneticPr fontId="19" type="noConversion"/>
  </si>
  <si>
    <t>Paired</t>
    <phoneticPr fontId="19" type="noConversion"/>
  </si>
  <si>
    <t>Schnurri</t>
    <phoneticPr fontId="19" type="noConversion"/>
  </si>
  <si>
    <t>Sloppy-paired 1</t>
    <phoneticPr fontId="19" type="noConversion"/>
  </si>
  <si>
    <t>Snail</t>
    <phoneticPr fontId="19" type="noConversion"/>
  </si>
  <si>
    <t>Tailless</t>
    <phoneticPr fontId="19" type="noConversion"/>
  </si>
  <si>
    <t>TotalLength</t>
  </si>
  <si>
    <t>bcd_1_Rel5.gff</t>
  </si>
  <si>
    <t>bcd_2_Rel5.gff</t>
  </si>
  <si>
    <t>cad_1_Rel5.gff</t>
  </si>
  <si>
    <t>da_2_Rel5.gff</t>
  </si>
  <si>
    <t>dl_3_Rel5.gff</t>
  </si>
  <si>
    <t>D_1_Rel5.gff</t>
  </si>
  <si>
    <t>E0_12h_bab1.region.gff</t>
  </si>
  <si>
    <t>E0_12h_CNC.region.gff</t>
  </si>
  <si>
    <t>E0_12h_D.region.gff</t>
  </si>
  <si>
    <t>E0_12h_ENserum.region.gff</t>
  </si>
  <si>
    <t>E0_12h_FTZ_F1.region.gff</t>
  </si>
  <si>
    <t>E0_12h_KN.region.gff</t>
  </si>
  <si>
    <t>E0_12h_RUN7659.region.gff</t>
  </si>
  <si>
    <t>E0_12h_Stat92E.region.gff</t>
  </si>
  <si>
    <t>E0_12h_TTK.region.gff</t>
  </si>
  <si>
    <t>E0_12h_UBX7701.region.gff</t>
  </si>
  <si>
    <t>E0_12_dCTCF_C_term_ChIP_chip.CTCF_C.gff</t>
  </si>
  <si>
    <t>E0_12_dCTCF_N_term_ChIP_chip.CTCF_N.gff</t>
  </si>
</sst>
</file>

<file path=xl/styles.xml><?xml version="1.0" encoding="utf-8"?>
<styleSheet xmlns="http://schemas.openxmlformats.org/spreadsheetml/2006/main">
  <fonts count="2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indexed="8"/>
      <name val="Calibri"/>
      <family val="2"/>
    </font>
    <font>
      <sz val="8"/>
      <name val="Verdana"/>
    </font>
    <font>
      <b/>
      <sz val="11"/>
      <color indexed="8"/>
      <name val="Calibri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medium">
        <color indexed="64"/>
      </top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6">
    <xf numFmtId="0" fontId="0" fillId="0" borderId="0" xfId="0"/>
    <xf numFmtId="11" fontId="0" fillId="0" borderId="0" xfId="0" applyNumberFormat="1"/>
    <xf numFmtId="0" fontId="20" fillId="0" borderId="0" xfId="0" applyFont="1" applyAlignment="1">
      <alignment horizontal="center"/>
    </xf>
    <xf numFmtId="0" fontId="18" fillId="0" borderId="10" xfId="0" applyFont="1" applyBorder="1"/>
    <xf numFmtId="0" fontId="18" fillId="0" borderId="0" xfId="0" applyFont="1" applyBorder="1"/>
    <xf numFmtId="0" fontId="18" fillId="0" borderId="0" xfId="0" applyFont="1" applyAlignment="1">
      <alignment horizontal="center"/>
    </xf>
  </cellXfs>
  <cellStyles count="42">
    <cellStyle name="Accent1" xfId="18" builtinId="29" customBuiltin="1"/>
    <cellStyle name="Accent1 - 20%" xfId="19" builtinId="30" customBuiltin="1"/>
    <cellStyle name="Accent1 - 40%" xfId="20" builtinId="31" customBuiltin="1"/>
    <cellStyle name="Accent1 - 60%" xfId="21" builtinId="32" customBuiltin="1"/>
    <cellStyle name="Accent2" xfId="22" builtinId="33" customBuiltin="1"/>
    <cellStyle name="Accent2 - 20%" xfId="23" builtinId="34" customBuiltin="1"/>
    <cellStyle name="Accent2 - 40%" xfId="24" builtinId="35" customBuiltin="1"/>
    <cellStyle name="Accent2 - 60%" xfId="25" builtinId="36" customBuiltin="1"/>
    <cellStyle name="Accent3" xfId="26" builtinId="37" customBuiltin="1"/>
    <cellStyle name="Accent3 - 20%" xfId="27" builtinId="38" customBuiltin="1"/>
    <cellStyle name="Accent3 - 40%" xfId="28" builtinId="39" customBuiltin="1"/>
    <cellStyle name="Accent3 - 60%" xfId="29" builtinId="40" customBuiltin="1"/>
    <cellStyle name="Accent4" xfId="30" builtinId="41" customBuiltin="1"/>
    <cellStyle name="Accent4 - 20%" xfId="31" builtinId="42" customBuiltin="1"/>
    <cellStyle name="Accent4 - 40%" xfId="32" builtinId="43" customBuiltin="1"/>
    <cellStyle name="Accent4 - 60%" xfId="33" builtinId="44" customBuiltin="1"/>
    <cellStyle name="Accent5" xfId="34" builtinId="45" customBuiltin="1"/>
    <cellStyle name="Accent5 - 20%" xfId="35" builtinId="46" customBuiltin="1"/>
    <cellStyle name="Accent5 - 40%" xfId="36" builtinId="47" customBuiltin="1"/>
    <cellStyle name="Accent5 - 60%" xfId="37" builtinId="48" customBuiltin="1"/>
    <cellStyle name="Accent6" xfId="38" builtinId="49" customBuiltin="1"/>
    <cellStyle name="Accent6 - 20%" xfId="39" builtinId="50" customBuiltin="1"/>
    <cellStyle name="Accent6 - 40%" xfId="40" builtinId="51" customBuiltin="1"/>
    <cellStyle name="Accent6 - 60%" xfId="41" builtinId="52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Sheet 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Relationship Id="rId8" Type="http://schemas.openxmlformats.org/officeDocument/2006/relationships/calcChain" Target="calcChain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2"/>
  <c:chart>
    <c:plotArea>
      <c:layout/>
      <c:lineChart>
        <c:grouping val="standard"/>
        <c:ser>
          <c:idx val="0"/>
          <c:order val="0"/>
          <c:tx>
            <c:strRef>
              <c:f>wt_CBP_RawData_vs_top300TF!$A$5:$B$5</c:f>
              <c:strCache>
                <c:ptCount val="1"/>
                <c:pt idx="0">
                  <c:v>Bicoid bcd_1_Rel5.gff</c:v>
                </c:pt>
              </c:strCache>
            </c:strRef>
          </c:tx>
          <c:marker>
            <c:symbol val="none"/>
          </c:marker>
          <c:val>
            <c:numRef>
              <c:f>wt_CBP_RawData_vs_top300TF!$C$5:$AX$5</c:f>
              <c:numCache>
                <c:formatCode>General</c:formatCode>
                <c:ptCount val="48"/>
                <c:pt idx="0">
                  <c:v>0.00999422655448619</c:v>
                </c:pt>
                <c:pt idx="1">
                  <c:v>0.00999423455742221</c:v>
                </c:pt>
                <c:pt idx="2">
                  <c:v>0.00999428257530745</c:v>
                </c:pt>
                <c:pt idx="3">
                  <c:v>0.00999435460300047</c:v>
                </c:pt>
                <c:pt idx="4">
                  <c:v>0.00999494687006249</c:v>
                </c:pt>
                <c:pt idx="5">
                  <c:v>0.00999775709319278</c:v>
                </c:pt>
                <c:pt idx="6">
                  <c:v>0.0100057640768939</c:v>
                </c:pt>
                <c:pt idx="7">
                  <c:v>0.0100269774780637</c:v>
                </c:pt>
                <c:pt idx="8">
                  <c:v>0.0100791861051162</c:v>
                </c:pt>
                <c:pt idx="9">
                  <c:v>0.0101889171233906</c:v>
                </c:pt>
                <c:pt idx="10">
                  <c:v>0.0103926520474416</c:v>
                </c:pt>
                <c:pt idx="11">
                  <c:v>0.0107379412721127</c:v>
                </c:pt>
                <c:pt idx="12">
                  <c:v>0.0112915417129416</c:v>
                </c:pt>
                <c:pt idx="13">
                  <c:v>0.0121260702651939</c:v>
                </c:pt>
                <c:pt idx="14">
                  <c:v>0.0132961631414995</c:v>
                </c:pt>
                <c:pt idx="15">
                  <c:v>0.0152711818516613</c:v>
                </c:pt>
                <c:pt idx="16">
                  <c:v>0.0180037091337418</c:v>
                </c:pt>
                <c:pt idx="17">
                  <c:v>0.0214066495156073</c:v>
                </c:pt>
                <c:pt idx="18">
                  <c:v>0.0253607608228247</c:v>
                </c:pt>
                <c:pt idx="19">
                  <c:v>0.0294735637518397</c:v>
                </c:pt>
                <c:pt idx="20">
                  <c:v>0.0333724098472815</c:v>
                </c:pt>
                <c:pt idx="21">
                  <c:v>0.0369933588850522</c:v>
                </c:pt>
                <c:pt idx="22">
                  <c:v>0.040441586440174</c:v>
                </c:pt>
                <c:pt idx="23">
                  <c:v>0.0429645459856708</c:v>
                </c:pt>
                <c:pt idx="24">
                  <c:v>0.0457816699904622</c:v>
                </c:pt>
                <c:pt idx="25">
                  <c:v>0.0489659773182121</c:v>
                </c:pt>
                <c:pt idx="26">
                  <c:v>0.0504032258064516</c:v>
                </c:pt>
                <c:pt idx="27">
                  <c:v>0.0536676915704987</c:v>
                </c:pt>
                <c:pt idx="28">
                  <c:v>0.056720611958162</c:v>
                </c:pt>
                <c:pt idx="29">
                  <c:v>0.0591518616840242</c:v>
                </c:pt>
                <c:pt idx="30">
                  <c:v>0.060627834912651</c:v>
                </c:pt>
                <c:pt idx="31">
                  <c:v>0.0662101816016672</c:v>
                </c:pt>
                <c:pt idx="32">
                  <c:v>0.0645851493779222</c:v>
                </c:pt>
                <c:pt idx="33">
                  <c:v>0.0679156908665105</c:v>
                </c:pt>
                <c:pt idx="34">
                  <c:v>0.0667360285374554</c:v>
                </c:pt>
                <c:pt idx="35">
                  <c:v>0.0659090909090909</c:v>
                </c:pt>
                <c:pt idx="36">
                  <c:v>0.0679894951852933</c:v>
                </c:pt>
                <c:pt idx="37">
                  <c:v>0.0666937779585197</c:v>
                </c:pt>
                <c:pt idx="38">
                  <c:v>0.0623582766439909</c:v>
                </c:pt>
                <c:pt idx="39">
                  <c:v>0.0779220779220779</c:v>
                </c:pt>
                <c:pt idx="40">
                  <c:v>0.0702576112412178</c:v>
                </c:pt>
                <c:pt idx="41">
                  <c:v>0.0813559322033898</c:v>
                </c:pt>
                <c:pt idx="42">
                  <c:v>0.0843672456575682</c:v>
                </c:pt>
                <c:pt idx="43">
                  <c:v>0.0638297872340425</c:v>
                </c:pt>
                <c:pt idx="44">
                  <c:v>0.0567375886524823</c:v>
                </c:pt>
                <c:pt idx="45">
                  <c:v>0.0853658536585366</c:v>
                </c:pt>
                <c:pt idx="46">
                  <c:v>0.117647058823529</c:v>
                </c:pt>
                <c:pt idx="47">
                  <c:v>0.176470588235294</c:v>
                </c:pt>
              </c:numCache>
            </c:numRef>
          </c:val>
        </c:ser>
        <c:ser>
          <c:idx val="1"/>
          <c:order val="1"/>
          <c:tx>
            <c:strRef>
              <c:f>wt_CBP_RawData_vs_top300TF!$A$6:$B$6</c:f>
              <c:strCache>
                <c:ptCount val="1"/>
                <c:pt idx="0">
                  <c:v>Bicoid bcd_2_Rel5.gff</c:v>
                </c:pt>
              </c:strCache>
            </c:strRef>
          </c:tx>
          <c:marker>
            <c:symbol val="none"/>
          </c:marker>
          <c:val>
            <c:numRef>
              <c:f>wt_CBP_RawData_vs_top300TF!$C$6:$AX$6</c:f>
              <c:numCache>
                <c:formatCode>General</c:formatCode>
                <c:ptCount val="48"/>
                <c:pt idx="0">
                  <c:v>0.010266483347093</c:v>
                </c:pt>
                <c:pt idx="1">
                  <c:v>0.0102664915680402</c:v>
                </c:pt>
                <c:pt idx="2">
                  <c:v>0.0102665408940002</c:v>
                </c:pt>
                <c:pt idx="3">
                  <c:v>0.0102666148838289</c:v>
                </c:pt>
                <c:pt idx="4">
                  <c:v>0.010267223285079</c:v>
                </c:pt>
                <c:pt idx="5">
                  <c:v>0.0102701100626412</c:v>
                </c:pt>
                <c:pt idx="6">
                  <c:v>0.0102783351678437</c:v>
                </c:pt>
                <c:pt idx="7">
                  <c:v>0.0102993230725725</c:v>
                </c:pt>
                <c:pt idx="8">
                  <c:v>0.0103546090125483</c:v>
                </c:pt>
                <c:pt idx="9">
                  <c:v>0.010467360843464</c:v>
                </c:pt>
                <c:pt idx="10">
                  <c:v>0.0106785354103635</c:v>
                </c:pt>
                <c:pt idx="11">
                  <c:v>0.0110372476920197</c:v>
                </c:pt>
                <c:pt idx="12">
                  <c:v>0.0116044376650322</c:v>
                </c:pt>
                <c:pt idx="13">
                  <c:v>0.0124482795204583</c:v>
                </c:pt>
                <c:pt idx="14">
                  <c:v>0.0136474978314357</c:v>
                </c:pt>
                <c:pt idx="15">
                  <c:v>0.0156689691278578</c:v>
                </c:pt>
                <c:pt idx="16">
                  <c:v>0.0185519341378144</c:v>
                </c:pt>
                <c:pt idx="17">
                  <c:v>0.0220823172052966</c:v>
                </c:pt>
                <c:pt idx="18">
                  <c:v>0.0262407872236167</c:v>
                </c:pt>
                <c:pt idx="19">
                  <c:v>0.0303763346864301</c:v>
                </c:pt>
                <c:pt idx="20">
                  <c:v>0.0344326770346127</c:v>
                </c:pt>
                <c:pt idx="21">
                  <c:v>0.0381226982215404</c:v>
                </c:pt>
                <c:pt idx="22">
                  <c:v>0.0414080214102516</c:v>
                </c:pt>
                <c:pt idx="23">
                  <c:v>0.044471264721257</c:v>
                </c:pt>
                <c:pt idx="24">
                  <c:v>0.0479204601289055</c:v>
                </c:pt>
                <c:pt idx="25">
                  <c:v>0.0513797076839105</c:v>
                </c:pt>
                <c:pt idx="26">
                  <c:v>0.0532966018222113</c:v>
                </c:pt>
                <c:pt idx="27">
                  <c:v>0.0562831929081979</c:v>
                </c:pt>
                <c:pt idx="28">
                  <c:v>0.0585419160118645</c:v>
                </c:pt>
                <c:pt idx="29">
                  <c:v>0.0610918249268259</c:v>
                </c:pt>
                <c:pt idx="30">
                  <c:v>0.0625589437283873</c:v>
                </c:pt>
                <c:pt idx="31">
                  <c:v>0.0665078892527538</c:v>
                </c:pt>
                <c:pt idx="32">
                  <c:v>0.063475711229099</c:v>
                </c:pt>
                <c:pt idx="33">
                  <c:v>0.0675963380881414</c:v>
                </c:pt>
                <c:pt idx="34">
                  <c:v>0.066884661117717</c:v>
                </c:pt>
                <c:pt idx="35">
                  <c:v>0.0681818181818182</c:v>
                </c:pt>
                <c:pt idx="36">
                  <c:v>0.0694484972278961</c:v>
                </c:pt>
                <c:pt idx="37">
                  <c:v>0.0642537616917446</c:v>
                </c:pt>
                <c:pt idx="38">
                  <c:v>0.0555555555555556</c:v>
                </c:pt>
                <c:pt idx="39">
                  <c:v>0.0600649350649351</c:v>
                </c:pt>
                <c:pt idx="40">
                  <c:v>0.0550351288056206</c:v>
                </c:pt>
                <c:pt idx="41">
                  <c:v>0.0457627118644068</c:v>
                </c:pt>
                <c:pt idx="42">
                  <c:v>0.0471464019851117</c:v>
                </c:pt>
                <c:pt idx="43">
                  <c:v>0.025531914893617</c:v>
                </c:pt>
                <c:pt idx="44">
                  <c:v>0.0</c:v>
                </c:pt>
                <c:pt idx="45">
                  <c:v>0.0</c:v>
                </c:pt>
                <c:pt idx="46">
                  <c:v>0.0</c:v>
                </c:pt>
                <c:pt idx="47">
                  <c:v>0.0</c:v>
                </c:pt>
              </c:numCache>
            </c:numRef>
          </c:val>
        </c:ser>
        <c:ser>
          <c:idx val="2"/>
          <c:order val="2"/>
          <c:tx>
            <c:strRef>
              <c:f>wt_CBP_RawData_vs_top300TF!$A$7:$B$7</c:f>
              <c:strCache>
                <c:ptCount val="1"/>
                <c:pt idx="0">
                  <c:v>Bric a brac 1 E0_12h_bab1.region_Top300regions.gff</c:v>
                </c:pt>
              </c:strCache>
            </c:strRef>
          </c:tx>
          <c:marker>
            <c:symbol val="none"/>
          </c:marker>
          <c:val>
            <c:numRef>
              <c:f>wt_CBP_RawData_vs_top300TF!$C$7:$AX$7</c:f>
              <c:numCache>
                <c:formatCode>General</c:formatCode>
                <c:ptCount val="48"/>
                <c:pt idx="0">
                  <c:v>0.00785540922197817</c:v>
                </c:pt>
                <c:pt idx="1">
                  <c:v>0.00785541551224356</c:v>
                </c:pt>
                <c:pt idx="2">
                  <c:v>0.00785545325404744</c:v>
                </c:pt>
                <c:pt idx="3">
                  <c:v>0.00785550986743327</c:v>
                </c:pt>
                <c:pt idx="4">
                  <c:v>0.00785597538621208</c:v>
                </c:pt>
                <c:pt idx="5">
                  <c:v>0.00785818420673192</c:v>
                </c:pt>
                <c:pt idx="6">
                  <c:v>0.00786207261454199</c:v>
                </c:pt>
                <c:pt idx="7">
                  <c:v>0.00787713437804782</c:v>
                </c:pt>
                <c:pt idx="8">
                  <c:v>0.00790003359997932</c:v>
                </c:pt>
                <c:pt idx="9">
                  <c:v>0.00796626666579568</c:v>
                </c:pt>
                <c:pt idx="10">
                  <c:v>0.00805474291334317</c:v>
                </c:pt>
                <c:pt idx="11">
                  <c:v>0.00824774636066682</c:v>
                </c:pt>
                <c:pt idx="12">
                  <c:v>0.00854642548210081</c:v>
                </c:pt>
                <c:pt idx="13">
                  <c:v>0.00891380116545445</c:v>
                </c:pt>
                <c:pt idx="14">
                  <c:v>0.00947294341001959</c:v>
                </c:pt>
                <c:pt idx="15">
                  <c:v>0.0104053452344443</c:v>
                </c:pt>
                <c:pt idx="16">
                  <c:v>0.0117382805157701</c:v>
                </c:pt>
                <c:pt idx="17">
                  <c:v>0.0135586609566509</c:v>
                </c:pt>
                <c:pt idx="18">
                  <c:v>0.0154279628388852</c:v>
                </c:pt>
                <c:pt idx="19">
                  <c:v>0.0176898600387174</c:v>
                </c:pt>
                <c:pt idx="20">
                  <c:v>0.019997039253892</c:v>
                </c:pt>
                <c:pt idx="21">
                  <c:v>0.0221370498258519</c:v>
                </c:pt>
                <c:pt idx="22">
                  <c:v>0.0240059968528913</c:v>
                </c:pt>
                <c:pt idx="23">
                  <c:v>0.0259908981888626</c:v>
                </c:pt>
                <c:pt idx="24">
                  <c:v>0.0287676907810438</c:v>
                </c:pt>
                <c:pt idx="25">
                  <c:v>0.0312935896658378</c:v>
                </c:pt>
                <c:pt idx="26">
                  <c:v>0.0342895838463433</c:v>
                </c:pt>
                <c:pt idx="27">
                  <c:v>0.0369764005909835</c:v>
                </c:pt>
                <c:pt idx="28">
                  <c:v>0.0405630431388874</c:v>
                </c:pt>
                <c:pt idx="29">
                  <c:v>0.0422367435845075</c:v>
                </c:pt>
                <c:pt idx="30">
                  <c:v>0.0436969506444514</c:v>
                </c:pt>
                <c:pt idx="31">
                  <c:v>0.0457278952069068</c:v>
                </c:pt>
                <c:pt idx="32">
                  <c:v>0.0487360329661621</c:v>
                </c:pt>
                <c:pt idx="33">
                  <c:v>0.0496061315733447</c:v>
                </c:pt>
                <c:pt idx="34">
                  <c:v>0.0515755053507729</c:v>
                </c:pt>
                <c:pt idx="35">
                  <c:v>0.0522727272727273</c:v>
                </c:pt>
                <c:pt idx="36">
                  <c:v>0.0481470674058944</c:v>
                </c:pt>
                <c:pt idx="37">
                  <c:v>0.0504270028466856</c:v>
                </c:pt>
                <c:pt idx="38">
                  <c:v>0.0311791383219955</c:v>
                </c:pt>
                <c:pt idx="39">
                  <c:v>0.0243506493506494</c:v>
                </c:pt>
                <c:pt idx="40">
                  <c:v>0.0199063231850117</c:v>
                </c:pt>
                <c:pt idx="41">
                  <c:v>0.0203389830508475</c:v>
                </c:pt>
                <c:pt idx="42">
                  <c:v>0.0148883374689826</c:v>
                </c:pt>
                <c:pt idx="43">
                  <c:v>0.0</c:v>
                </c:pt>
                <c:pt idx="44">
                  <c:v>0.0</c:v>
                </c:pt>
                <c:pt idx="45">
                  <c:v>0.0</c:v>
                </c:pt>
                <c:pt idx="46">
                  <c:v>0.0</c:v>
                </c:pt>
                <c:pt idx="47">
                  <c:v>0.0</c:v>
                </c:pt>
              </c:numCache>
            </c:numRef>
          </c:val>
        </c:ser>
        <c:ser>
          <c:idx val="3"/>
          <c:order val="3"/>
          <c:tx>
            <c:strRef>
              <c:f>wt_CBP_RawData_vs_top300TF!$A$8:$B$8</c:f>
              <c:strCache>
                <c:ptCount val="1"/>
                <c:pt idx="0">
                  <c:v>Cap-n-collar E0_12h_CNC.region_Top300regions.gff</c:v>
                </c:pt>
              </c:strCache>
            </c:strRef>
          </c:tx>
          <c:marker>
            <c:symbol val="none"/>
          </c:marker>
          <c:val>
            <c:numRef>
              <c:f>wt_CBP_RawData_vs_top300TF!$C$8:$AX$8</c:f>
              <c:numCache>
                <c:formatCode>General</c:formatCode>
                <c:ptCount val="48"/>
                <c:pt idx="0">
                  <c:v>0.00636840668118169</c:v>
                </c:pt>
                <c:pt idx="1">
                  <c:v>0.006368411780721</c:v>
                </c:pt>
                <c:pt idx="2">
                  <c:v>0.00636844237812837</c:v>
                </c:pt>
                <c:pt idx="3">
                  <c:v>0.0063684882747907</c:v>
                </c:pt>
                <c:pt idx="4">
                  <c:v>0.00636886567243065</c:v>
                </c:pt>
                <c:pt idx="5">
                  <c:v>0.00637065637065637</c:v>
                </c:pt>
                <c:pt idx="6">
                  <c:v>0.00637575848918654</c:v>
                </c:pt>
                <c:pt idx="7">
                  <c:v>0.00638927584993517</c:v>
                </c:pt>
                <c:pt idx="8">
                  <c:v>0.00642357297010894</c:v>
                </c:pt>
                <c:pt idx="9">
                  <c:v>0.00648749371256116</c:v>
                </c:pt>
                <c:pt idx="10">
                  <c:v>0.00659948824377599</c:v>
                </c:pt>
                <c:pt idx="11">
                  <c:v>0.00678399133305214</c:v>
                </c:pt>
                <c:pt idx="12">
                  <c:v>0.00703379185324452</c:v>
                </c:pt>
                <c:pt idx="13">
                  <c:v>0.00742063632398534</c:v>
                </c:pt>
                <c:pt idx="14">
                  <c:v>0.00790612162508661</c:v>
                </c:pt>
                <c:pt idx="15">
                  <c:v>0.00872565638108534</c:v>
                </c:pt>
                <c:pt idx="16">
                  <c:v>0.00984298835883363</c:v>
                </c:pt>
                <c:pt idx="17">
                  <c:v>0.0112814835534999</c:v>
                </c:pt>
                <c:pt idx="18">
                  <c:v>0.0131228936868106</c:v>
                </c:pt>
                <c:pt idx="19">
                  <c:v>0.0150578377364608</c:v>
                </c:pt>
                <c:pt idx="20">
                  <c:v>0.0169602739890452</c:v>
                </c:pt>
                <c:pt idx="21">
                  <c:v>0.0185291604411419</c:v>
                </c:pt>
                <c:pt idx="22">
                  <c:v>0.0200039648614157</c:v>
                </c:pt>
                <c:pt idx="23">
                  <c:v>0.0211709357030842</c:v>
                </c:pt>
                <c:pt idx="24">
                  <c:v>0.0213589988149947</c:v>
                </c:pt>
                <c:pt idx="25">
                  <c:v>0.0223785554005701</c:v>
                </c:pt>
                <c:pt idx="26">
                  <c:v>0.0231623984240335</c:v>
                </c:pt>
                <c:pt idx="27">
                  <c:v>0.024797348560476</c:v>
                </c:pt>
                <c:pt idx="28">
                  <c:v>0.0268512254774418</c:v>
                </c:pt>
                <c:pt idx="29">
                  <c:v>0.0275338642706419</c:v>
                </c:pt>
                <c:pt idx="30">
                  <c:v>0.0287869942066736</c:v>
                </c:pt>
                <c:pt idx="31">
                  <c:v>0.0297707651086633</c:v>
                </c:pt>
                <c:pt idx="32">
                  <c:v>0.0286869007052857</c:v>
                </c:pt>
                <c:pt idx="33">
                  <c:v>0.0301256120928252</c:v>
                </c:pt>
                <c:pt idx="34">
                  <c:v>0.0291319857312723</c:v>
                </c:pt>
                <c:pt idx="35">
                  <c:v>0.0258264462809917</c:v>
                </c:pt>
                <c:pt idx="36">
                  <c:v>0.0189670265538372</c:v>
                </c:pt>
                <c:pt idx="37">
                  <c:v>0.013826758845059</c:v>
                </c:pt>
                <c:pt idx="38">
                  <c:v>0.014172335600907</c:v>
                </c:pt>
                <c:pt idx="39">
                  <c:v>0.0194805194805195</c:v>
                </c:pt>
                <c:pt idx="40">
                  <c:v>0.0175644028103044</c:v>
                </c:pt>
                <c:pt idx="41">
                  <c:v>0.023728813559322</c:v>
                </c:pt>
                <c:pt idx="42">
                  <c:v>0.0223325062034739</c:v>
                </c:pt>
                <c:pt idx="43">
                  <c:v>0.0</c:v>
                </c:pt>
                <c:pt idx="44">
                  <c:v>0.0</c:v>
                </c:pt>
                <c:pt idx="45">
                  <c:v>0.0</c:v>
                </c:pt>
                <c:pt idx="46">
                  <c:v>0.0</c:v>
                </c:pt>
                <c:pt idx="47">
                  <c:v>0.0</c:v>
                </c:pt>
              </c:numCache>
            </c:numRef>
          </c:val>
        </c:ser>
        <c:ser>
          <c:idx val="4"/>
          <c:order val="4"/>
          <c:tx>
            <c:strRef>
              <c:f>wt_CBP_RawData_vs_top300TF!$A$9:$B$9</c:f>
              <c:strCache>
                <c:ptCount val="1"/>
                <c:pt idx="0">
                  <c:v>Caudal cad_1_Rel5.gff</c:v>
                </c:pt>
              </c:strCache>
            </c:strRef>
          </c:tx>
          <c:marker>
            <c:symbol val="none"/>
          </c:marker>
          <c:val>
            <c:numRef>
              <c:f>wt_CBP_RawData_vs_top300TF!$C$9:$AX$9</c:f>
              <c:numCache>
                <c:formatCode>General</c:formatCode>
                <c:ptCount val="48"/>
                <c:pt idx="0">
                  <c:v>0.0155226409549487</c:v>
                </c:pt>
                <c:pt idx="1">
                  <c:v>0.0155226533847952</c:v>
                </c:pt>
                <c:pt idx="2">
                  <c:v>0.0155227279642925</c:v>
                </c:pt>
                <c:pt idx="3">
                  <c:v>0.0155228398348821</c:v>
                </c:pt>
                <c:pt idx="4">
                  <c:v>0.0155237597208686</c:v>
                </c:pt>
                <c:pt idx="5">
                  <c:v>0.0155281244492863</c:v>
                </c:pt>
                <c:pt idx="6">
                  <c:v>0.0155405605825325</c:v>
                </c:pt>
                <c:pt idx="7">
                  <c:v>0.015573508405758</c:v>
                </c:pt>
                <c:pt idx="8">
                  <c:v>0.0156546826740414</c:v>
                </c:pt>
                <c:pt idx="9">
                  <c:v>0.015826381766754</c:v>
                </c:pt>
                <c:pt idx="10">
                  <c:v>0.0161511597862959</c:v>
                </c:pt>
                <c:pt idx="11">
                  <c:v>0.0166904300438091</c:v>
                </c:pt>
                <c:pt idx="12">
                  <c:v>0.0175640140548496</c:v>
                </c:pt>
                <c:pt idx="13">
                  <c:v>0.0188914822804556</c:v>
                </c:pt>
                <c:pt idx="14">
                  <c:v>0.0207843928838359</c:v>
                </c:pt>
                <c:pt idx="15">
                  <c:v>0.023955776320365</c:v>
                </c:pt>
                <c:pt idx="16">
                  <c:v>0.0283635953535581</c:v>
                </c:pt>
                <c:pt idx="17">
                  <c:v>0.0341438719107409</c:v>
                </c:pt>
                <c:pt idx="18">
                  <c:v>0.0407812234367031</c:v>
                </c:pt>
                <c:pt idx="19">
                  <c:v>0.0478945410967395</c:v>
                </c:pt>
                <c:pt idx="20">
                  <c:v>0.0550258665183626</c:v>
                </c:pt>
                <c:pt idx="21">
                  <c:v>0.0617938505974005</c:v>
                </c:pt>
                <c:pt idx="22">
                  <c:v>0.0675823018498557</c:v>
                </c:pt>
                <c:pt idx="23">
                  <c:v>0.0726146182466714</c:v>
                </c:pt>
                <c:pt idx="24">
                  <c:v>0.0778153511180477</c:v>
                </c:pt>
                <c:pt idx="25">
                  <c:v>0.0827460731396689</c:v>
                </c:pt>
                <c:pt idx="26">
                  <c:v>0.0865550357054913</c:v>
                </c:pt>
                <c:pt idx="27">
                  <c:v>0.0902847102982869</c:v>
                </c:pt>
                <c:pt idx="28">
                  <c:v>0.0934589165842743</c:v>
                </c:pt>
                <c:pt idx="29">
                  <c:v>0.0955346810972704</c:v>
                </c:pt>
                <c:pt idx="30">
                  <c:v>0.0974536309336687</c:v>
                </c:pt>
                <c:pt idx="31">
                  <c:v>0.0994343554629354</c:v>
                </c:pt>
                <c:pt idx="32">
                  <c:v>0.0977098026785007</c:v>
                </c:pt>
                <c:pt idx="33">
                  <c:v>0.0997445177773047</c:v>
                </c:pt>
                <c:pt idx="34">
                  <c:v>0.0994351961950059</c:v>
                </c:pt>
                <c:pt idx="35">
                  <c:v>0.0995867768595041</c:v>
                </c:pt>
                <c:pt idx="36">
                  <c:v>0.0968777356288299</c:v>
                </c:pt>
                <c:pt idx="37">
                  <c:v>0.0984139894265962</c:v>
                </c:pt>
                <c:pt idx="38">
                  <c:v>0.0997732426303855</c:v>
                </c:pt>
                <c:pt idx="39">
                  <c:v>0.112824675324675</c:v>
                </c:pt>
                <c:pt idx="40">
                  <c:v>0.118266978922717</c:v>
                </c:pt>
                <c:pt idx="41">
                  <c:v>0.127118644067797</c:v>
                </c:pt>
                <c:pt idx="42">
                  <c:v>0.133995037220844</c:v>
                </c:pt>
                <c:pt idx="43">
                  <c:v>0.114893617021277</c:v>
                </c:pt>
                <c:pt idx="44">
                  <c:v>0.099290780141844</c:v>
                </c:pt>
                <c:pt idx="45">
                  <c:v>0.158536585365854</c:v>
                </c:pt>
                <c:pt idx="46">
                  <c:v>0.117647058823529</c:v>
                </c:pt>
                <c:pt idx="47">
                  <c:v>0.176470588235294</c:v>
                </c:pt>
              </c:numCache>
            </c:numRef>
          </c:val>
        </c:ser>
        <c:ser>
          <c:idx val="5"/>
          <c:order val="5"/>
          <c:tx>
            <c:strRef>
              <c:f>wt_CBP_RawData_vs_top300TF!$A$10:$B$10</c:f>
              <c:strCache>
                <c:ptCount val="1"/>
                <c:pt idx="0">
                  <c:v>Caudal E0_4_GFP_7T_ChIP_chip.region_Top300regions.gff</c:v>
                </c:pt>
              </c:strCache>
            </c:strRef>
          </c:tx>
          <c:marker>
            <c:symbol val="none"/>
          </c:marker>
          <c:val>
            <c:numRef>
              <c:f>wt_CBP_RawData_vs_top300TF!$C$10:$AX$10</c:f>
              <c:numCache>
                <c:formatCode>General</c:formatCode>
                <c:ptCount val="48"/>
                <c:pt idx="0">
                  <c:v>0.0123468455447178</c:v>
                </c:pt>
                <c:pt idx="1">
                  <c:v>0.0123468554315274</c:v>
                </c:pt>
                <c:pt idx="2">
                  <c:v>0.0123469147527174</c:v>
                </c:pt>
                <c:pt idx="3">
                  <c:v>0.0123470037355712</c:v>
                </c:pt>
                <c:pt idx="4">
                  <c:v>0.0123477354209994</c:v>
                </c:pt>
                <c:pt idx="5">
                  <c:v>0.0123512071644852</c:v>
                </c:pt>
                <c:pt idx="6">
                  <c:v>0.012359495615213</c:v>
                </c:pt>
                <c:pt idx="7">
                  <c:v>0.0123856992051365</c:v>
                </c:pt>
                <c:pt idx="8">
                  <c:v>0.0124513769529988</c:v>
                </c:pt>
                <c:pt idx="9">
                  <c:v>0.0125830431857228</c:v>
                </c:pt>
                <c:pt idx="10">
                  <c:v>0.0128347460805641</c:v>
                </c:pt>
                <c:pt idx="11">
                  <c:v>0.0132635009190518</c:v>
                </c:pt>
                <c:pt idx="12">
                  <c:v>0.0139602531182719</c:v>
                </c:pt>
                <c:pt idx="13">
                  <c:v>0.0150210418361212</c:v>
                </c:pt>
                <c:pt idx="14">
                  <c:v>0.0165400079650411</c:v>
                </c:pt>
                <c:pt idx="15">
                  <c:v>0.0190950724421957</c:v>
                </c:pt>
                <c:pt idx="16">
                  <c:v>0.0226667543826673</c:v>
                </c:pt>
                <c:pt idx="17">
                  <c:v>0.0271724784593989</c:v>
                </c:pt>
                <c:pt idx="18">
                  <c:v>0.0324159724791744</c:v>
                </c:pt>
                <c:pt idx="19">
                  <c:v>0.0381357144446528</c:v>
                </c:pt>
                <c:pt idx="20">
                  <c:v>0.043847049456463</c:v>
                </c:pt>
                <c:pt idx="21">
                  <c:v>0.0486665300799033</c:v>
                </c:pt>
                <c:pt idx="22">
                  <c:v>0.0533026056573616</c:v>
                </c:pt>
                <c:pt idx="23">
                  <c:v>0.0566864487561883</c:v>
                </c:pt>
                <c:pt idx="24">
                  <c:v>0.0597705135986589</c:v>
                </c:pt>
                <c:pt idx="25">
                  <c:v>0.0631451270543999</c:v>
                </c:pt>
                <c:pt idx="26">
                  <c:v>0.0665476483624723</c:v>
                </c:pt>
                <c:pt idx="27">
                  <c:v>0.0693606995966937</c:v>
                </c:pt>
                <c:pt idx="28">
                  <c:v>0.0708227090596867</c:v>
                </c:pt>
                <c:pt idx="29">
                  <c:v>0.072289156626506</c:v>
                </c:pt>
                <c:pt idx="30">
                  <c:v>0.074459963174204</c:v>
                </c:pt>
                <c:pt idx="31">
                  <c:v>0.076034534087526</c:v>
                </c:pt>
                <c:pt idx="32">
                  <c:v>0.0736983913146842</c:v>
                </c:pt>
                <c:pt idx="33">
                  <c:v>0.0764317649563551</c:v>
                </c:pt>
                <c:pt idx="34">
                  <c:v>0.074910820451843</c:v>
                </c:pt>
                <c:pt idx="35">
                  <c:v>0.0700413223140496</c:v>
                </c:pt>
                <c:pt idx="36">
                  <c:v>0.0580682812955938</c:v>
                </c:pt>
                <c:pt idx="37">
                  <c:v>0.0544936966246442</c:v>
                </c:pt>
                <c:pt idx="38">
                  <c:v>0.0561224489795918</c:v>
                </c:pt>
                <c:pt idx="39">
                  <c:v>0.0657467532467532</c:v>
                </c:pt>
                <c:pt idx="40">
                  <c:v>0.0807962529274005</c:v>
                </c:pt>
                <c:pt idx="41">
                  <c:v>0.101694915254237</c:v>
                </c:pt>
                <c:pt idx="42">
                  <c:v>0.109181141439206</c:v>
                </c:pt>
                <c:pt idx="43">
                  <c:v>0.157446808510638</c:v>
                </c:pt>
                <c:pt idx="44">
                  <c:v>0.141843971631206</c:v>
                </c:pt>
                <c:pt idx="45">
                  <c:v>0.146341463414634</c:v>
                </c:pt>
                <c:pt idx="46">
                  <c:v>0.117647058823529</c:v>
                </c:pt>
                <c:pt idx="47">
                  <c:v>0.176470588235294</c:v>
                </c:pt>
              </c:numCache>
            </c:numRef>
          </c:val>
        </c:ser>
        <c:ser>
          <c:idx val="6"/>
          <c:order val="6"/>
          <c:tx>
            <c:strRef>
              <c:f>wt_CBP_RawData_vs_top300TF!$A$11:$B$11</c:f>
              <c:strCache>
                <c:ptCount val="1"/>
                <c:pt idx="0">
                  <c:v>Caudal E0_4h_7T_ChIP_seq_Top300regions.gff</c:v>
                </c:pt>
              </c:strCache>
            </c:strRef>
          </c:tx>
          <c:marker>
            <c:symbol val="none"/>
          </c:marker>
          <c:val>
            <c:numRef>
              <c:f>wt_CBP_RawData_vs_top300TF!$C$11:$AX$11</c:f>
              <c:numCache>
                <c:formatCode>General</c:formatCode>
                <c:ptCount val="48"/>
                <c:pt idx="0">
                  <c:v>0.0126367189533168</c:v>
                </c:pt>
                <c:pt idx="1">
                  <c:v>0.0126367290722442</c:v>
                </c:pt>
                <c:pt idx="2">
                  <c:v>0.0126367897861491</c:v>
                </c:pt>
                <c:pt idx="3">
                  <c:v>0.0126368808581003</c:v>
                </c:pt>
                <c:pt idx="4">
                  <c:v>0.0126376297216935</c:v>
                </c:pt>
                <c:pt idx="5">
                  <c:v>0.0126411829731332</c:v>
                </c:pt>
                <c:pt idx="6">
                  <c:v>0.0126497036591066</c:v>
                </c:pt>
                <c:pt idx="7">
                  <c:v>0.0126725056276722</c:v>
                </c:pt>
                <c:pt idx="8">
                  <c:v>0.0127332613949161</c:v>
                </c:pt>
                <c:pt idx="9">
                  <c:v>0.0128598538047987</c:v>
                </c:pt>
                <c:pt idx="10">
                  <c:v>0.0130964585469124</c:v>
                </c:pt>
                <c:pt idx="11">
                  <c:v>0.0134748267774877</c:v>
                </c:pt>
                <c:pt idx="12">
                  <c:v>0.0140712220315134</c:v>
                </c:pt>
                <c:pt idx="13">
                  <c:v>0.0149100368183015</c:v>
                </c:pt>
                <c:pt idx="14">
                  <c:v>0.0161308448944632</c:v>
                </c:pt>
                <c:pt idx="15">
                  <c:v>0.0180839228497994</c:v>
                </c:pt>
                <c:pt idx="16">
                  <c:v>0.0206132601531271</c:v>
                </c:pt>
                <c:pt idx="17">
                  <c:v>0.0235380560469303</c:v>
                </c:pt>
                <c:pt idx="18">
                  <c:v>0.026973309199276</c:v>
                </c:pt>
                <c:pt idx="19">
                  <c:v>0.030182429661747</c:v>
                </c:pt>
                <c:pt idx="20">
                  <c:v>0.0332763856491836</c:v>
                </c:pt>
                <c:pt idx="21">
                  <c:v>0.0354742475651744</c:v>
                </c:pt>
                <c:pt idx="22">
                  <c:v>0.0369165768377752</c:v>
                </c:pt>
                <c:pt idx="23">
                  <c:v>0.0380984594569663</c:v>
                </c:pt>
                <c:pt idx="24">
                  <c:v>0.0388835900844918</c:v>
                </c:pt>
                <c:pt idx="25">
                  <c:v>0.040135848141185</c:v>
                </c:pt>
                <c:pt idx="26">
                  <c:v>0.0416153656734794</c:v>
                </c:pt>
                <c:pt idx="27">
                  <c:v>0.042806373038374</c:v>
                </c:pt>
                <c:pt idx="28">
                  <c:v>0.0442837071343082</c:v>
                </c:pt>
                <c:pt idx="29">
                  <c:v>0.046320876727248</c:v>
                </c:pt>
                <c:pt idx="30">
                  <c:v>0.0503435577311717</c:v>
                </c:pt>
                <c:pt idx="31">
                  <c:v>0.0504912176242929</c:v>
                </c:pt>
                <c:pt idx="32">
                  <c:v>0.0534115223076313</c:v>
                </c:pt>
                <c:pt idx="33">
                  <c:v>0.0554609325101128</c:v>
                </c:pt>
                <c:pt idx="34">
                  <c:v>0.062128418549346</c:v>
                </c:pt>
                <c:pt idx="35">
                  <c:v>0.0665289256198347</c:v>
                </c:pt>
                <c:pt idx="36">
                  <c:v>0.0644878902830464</c:v>
                </c:pt>
                <c:pt idx="37">
                  <c:v>0.0618137454249695</c:v>
                </c:pt>
                <c:pt idx="38">
                  <c:v>0.0600907029478458</c:v>
                </c:pt>
                <c:pt idx="39">
                  <c:v>0.0608766233766234</c:v>
                </c:pt>
                <c:pt idx="40">
                  <c:v>0.0608899297423888</c:v>
                </c:pt>
                <c:pt idx="41">
                  <c:v>0.0728813559322034</c:v>
                </c:pt>
                <c:pt idx="42">
                  <c:v>0.0669975186104218</c:v>
                </c:pt>
                <c:pt idx="43">
                  <c:v>0.051063829787234</c:v>
                </c:pt>
                <c:pt idx="44">
                  <c:v>0.0425531914893617</c:v>
                </c:pt>
                <c:pt idx="45">
                  <c:v>0.024390243902439</c:v>
                </c:pt>
                <c:pt idx="46">
                  <c:v>0.0</c:v>
                </c:pt>
                <c:pt idx="47">
                  <c:v>0.0</c:v>
                </c:pt>
              </c:numCache>
            </c:numRef>
          </c:val>
        </c:ser>
        <c:ser>
          <c:idx val="7"/>
          <c:order val="7"/>
          <c:tx>
            <c:strRef>
              <c:f>wt_CBP_RawData_vs_top300TF!$A$12:$B$12</c:f>
              <c:strCache>
                <c:ptCount val="1"/>
                <c:pt idx="0">
                  <c:v>Caudal E0_4h_cad.region_Top300regions.gff</c:v>
                </c:pt>
              </c:strCache>
            </c:strRef>
          </c:tx>
          <c:marker>
            <c:symbol val="none"/>
          </c:marker>
          <c:val>
            <c:numRef>
              <c:f>wt_CBP_RawData_vs_top300TF!$C$12:$AX$12</c:f>
              <c:numCache>
                <c:formatCode>General</c:formatCode>
                <c:ptCount val="48"/>
                <c:pt idx="0">
                  <c:v>0.00025383942134221</c:v>
                </c:pt>
                <c:pt idx="1">
                  <c:v>0.000253839624605628</c:v>
                </c:pt>
                <c:pt idx="2">
                  <c:v>0.00025384084419297</c:v>
                </c:pt>
                <c:pt idx="3">
                  <c:v>0.000253842673595958</c:v>
                </c:pt>
                <c:pt idx="4">
                  <c:v>0.000253857716353642</c:v>
                </c:pt>
                <c:pt idx="5">
                  <c:v>0.000253929092103366</c:v>
                </c:pt>
                <c:pt idx="6">
                  <c:v>0.000254132458326686</c:v>
                </c:pt>
                <c:pt idx="7">
                  <c:v>0.000254671249142393</c:v>
                </c:pt>
                <c:pt idx="8">
                  <c:v>0.000256038303976428</c:v>
                </c:pt>
                <c:pt idx="9">
                  <c:v>0.000258846508103447</c:v>
                </c:pt>
                <c:pt idx="10">
                  <c:v>0.000261712466348278</c:v>
                </c:pt>
                <c:pt idx="11">
                  <c:v>0.000270842120607549</c:v>
                </c:pt>
                <c:pt idx="12">
                  <c:v>0.000285608514408222</c:v>
                </c:pt>
                <c:pt idx="13">
                  <c:v>0.000304527040036465</c:v>
                </c:pt>
                <c:pt idx="14">
                  <c:v>0.000330603761026945</c:v>
                </c:pt>
                <c:pt idx="15">
                  <c:v>0.000361858102862657</c:v>
                </c:pt>
                <c:pt idx="16">
                  <c:v>0.000404120145859178</c:v>
                </c:pt>
                <c:pt idx="17">
                  <c:v>0.000474740271764182</c:v>
                </c:pt>
                <c:pt idx="18">
                  <c:v>0.000562516875506265</c:v>
                </c:pt>
                <c:pt idx="19">
                  <c:v>0.00061350278301392</c:v>
                </c:pt>
                <c:pt idx="20">
                  <c:v>0.000664167370177285</c:v>
                </c:pt>
                <c:pt idx="21">
                  <c:v>0.000699590739417441</c:v>
                </c:pt>
                <c:pt idx="22">
                  <c:v>0.000724826227558265</c:v>
                </c:pt>
                <c:pt idx="23">
                  <c:v>0.000768734048768488</c:v>
                </c:pt>
                <c:pt idx="24">
                  <c:v>0.000751466805399</c:v>
                </c:pt>
                <c:pt idx="25">
                  <c:v>0.0007762750924859</c:v>
                </c:pt>
                <c:pt idx="26">
                  <c:v>0.000846466387589264</c:v>
                </c:pt>
                <c:pt idx="27">
                  <c:v>0.000738729385457014</c:v>
                </c:pt>
                <c:pt idx="28">
                  <c:v>0.000858614768174013</c:v>
                </c:pt>
                <c:pt idx="29">
                  <c:v>0.000952964399972772</c:v>
                </c:pt>
                <c:pt idx="30">
                  <c:v>0.00107782817622491</c:v>
                </c:pt>
                <c:pt idx="31">
                  <c:v>0.00130991366478119</c:v>
                </c:pt>
                <c:pt idx="32">
                  <c:v>0.001584911641176</c:v>
                </c:pt>
                <c:pt idx="33">
                  <c:v>0.00159676389184586</c:v>
                </c:pt>
                <c:pt idx="34">
                  <c:v>0.0022294887039239</c:v>
                </c:pt>
                <c:pt idx="35">
                  <c:v>0.00309917355371901</c:v>
                </c:pt>
                <c:pt idx="36">
                  <c:v>0.00379340531076743</c:v>
                </c:pt>
                <c:pt idx="37">
                  <c:v>0.00406669377795852</c:v>
                </c:pt>
                <c:pt idx="38">
                  <c:v>0.00566893424036281</c:v>
                </c:pt>
                <c:pt idx="39">
                  <c:v>0.00730519480519481</c:v>
                </c:pt>
                <c:pt idx="40">
                  <c:v>0.0105386416861827</c:v>
                </c:pt>
                <c:pt idx="41">
                  <c:v>0.0135593220338983</c:v>
                </c:pt>
                <c:pt idx="42">
                  <c:v>0.00496277915632754</c:v>
                </c:pt>
                <c:pt idx="43">
                  <c:v>0.00425531914893617</c:v>
                </c:pt>
                <c:pt idx="44">
                  <c:v>0.00709219858156028</c:v>
                </c:pt>
                <c:pt idx="45">
                  <c:v>0.0</c:v>
                </c:pt>
                <c:pt idx="46">
                  <c:v>0.0</c:v>
                </c:pt>
                <c:pt idx="47">
                  <c:v>0.0</c:v>
                </c:pt>
              </c:numCache>
            </c:numRef>
          </c:val>
        </c:ser>
        <c:ser>
          <c:idx val="8"/>
          <c:order val="8"/>
          <c:tx>
            <c:strRef>
              <c:f>wt_CBP_RawData_vs_top300TF!$A$13:$B$13</c:f>
              <c:strCache>
                <c:ptCount val="1"/>
                <c:pt idx="0">
                  <c:v>Caudal E4_8h_7T_ChIP_seq_Top300regions.gff</c:v>
                </c:pt>
              </c:strCache>
            </c:strRef>
          </c:tx>
          <c:marker>
            <c:symbol val="none"/>
          </c:marker>
          <c:val>
            <c:numRef>
              <c:f>wt_CBP_RawData_vs_top300TF!$C$13:$AX$13</c:f>
              <c:numCache>
                <c:formatCode>General</c:formatCode>
                <c:ptCount val="48"/>
                <c:pt idx="0">
                  <c:v>0.00314776897569788</c:v>
                </c:pt>
                <c:pt idx="1">
                  <c:v>0.0031477714962925</c:v>
                </c:pt>
                <c:pt idx="2">
                  <c:v>0.003147786619945</c:v>
                </c:pt>
                <c:pt idx="3">
                  <c:v>0.00314780930569625</c:v>
                </c:pt>
                <c:pt idx="4">
                  <c:v>0.00314799584538223</c:v>
                </c:pt>
                <c:pt idx="5">
                  <c:v>0.00314888094971083</c:v>
                </c:pt>
                <c:pt idx="6">
                  <c:v>0.00314979945982823</c:v>
                </c:pt>
                <c:pt idx="7">
                  <c:v>0.0031548706478933</c:v>
                </c:pt>
                <c:pt idx="8">
                  <c:v>0.00316857497318463</c:v>
                </c:pt>
                <c:pt idx="9">
                  <c:v>0.00318291384412378</c:v>
                </c:pt>
                <c:pt idx="10">
                  <c:v>0.00319889313963277</c:v>
                </c:pt>
                <c:pt idx="11">
                  <c:v>0.00326476887420246</c:v>
                </c:pt>
                <c:pt idx="12">
                  <c:v>0.00330087037830394</c:v>
                </c:pt>
                <c:pt idx="13">
                  <c:v>0.00343133209950765</c:v>
                </c:pt>
                <c:pt idx="14">
                  <c:v>0.00359081510739167</c:v>
                </c:pt>
                <c:pt idx="15">
                  <c:v>0.00379694371053405</c:v>
                </c:pt>
                <c:pt idx="16">
                  <c:v>0.00396444995802163</c:v>
                </c:pt>
                <c:pt idx="17">
                  <c:v>0.00413280120398861</c:v>
                </c:pt>
                <c:pt idx="18">
                  <c:v>0.00425012750382511</c:v>
                </c:pt>
                <c:pt idx="19">
                  <c:v>0.00432312841916545</c:v>
                </c:pt>
                <c:pt idx="20">
                  <c:v>0.00446112420329923</c:v>
                </c:pt>
                <c:pt idx="21">
                  <c:v>0.00457232518976399</c:v>
                </c:pt>
                <c:pt idx="22">
                  <c:v>0.00462773668364123</c:v>
                </c:pt>
                <c:pt idx="23">
                  <c:v>0.0045278435472464</c:v>
                </c:pt>
                <c:pt idx="24">
                  <c:v>0.00419087256857135</c:v>
                </c:pt>
                <c:pt idx="25">
                  <c:v>0.00411183213051125</c:v>
                </c:pt>
                <c:pt idx="26">
                  <c:v>0.00407842895838463</c:v>
                </c:pt>
                <c:pt idx="27">
                  <c:v>0.00403306313141397</c:v>
                </c:pt>
                <c:pt idx="28">
                  <c:v>0.00390279440079097</c:v>
                </c:pt>
                <c:pt idx="29">
                  <c:v>0.0039139609284596</c:v>
                </c:pt>
                <c:pt idx="30">
                  <c:v>0.00336821305070283</c:v>
                </c:pt>
                <c:pt idx="31">
                  <c:v>0.00339386722238762</c:v>
                </c:pt>
                <c:pt idx="32">
                  <c:v>0.00356605119264601</c:v>
                </c:pt>
                <c:pt idx="33">
                  <c:v>0.00329997870981478</c:v>
                </c:pt>
                <c:pt idx="34">
                  <c:v>0.00386444708680143</c:v>
                </c:pt>
                <c:pt idx="35">
                  <c:v>0.00433884297520661</c:v>
                </c:pt>
                <c:pt idx="36">
                  <c:v>0.00379340531076743</c:v>
                </c:pt>
                <c:pt idx="37">
                  <c:v>0.00244001626677511</c:v>
                </c:pt>
                <c:pt idx="38">
                  <c:v>0.00340136054421769</c:v>
                </c:pt>
                <c:pt idx="39">
                  <c:v>0.00405844155844156</c:v>
                </c:pt>
                <c:pt idx="40">
                  <c:v>0.00585480093676815</c:v>
                </c:pt>
                <c:pt idx="41">
                  <c:v>0.0</c:v>
                </c:pt>
                <c:pt idx="42">
                  <c:v>0.0</c:v>
                </c:pt>
                <c:pt idx="43">
                  <c:v>0.0</c:v>
                </c:pt>
                <c:pt idx="44">
                  <c:v>0.0</c:v>
                </c:pt>
                <c:pt idx="45">
                  <c:v>0.0</c:v>
                </c:pt>
                <c:pt idx="46">
                  <c:v>0.0</c:v>
                </c:pt>
                <c:pt idx="47">
                  <c:v>0.0</c:v>
                </c:pt>
              </c:numCache>
            </c:numRef>
          </c:val>
        </c:ser>
        <c:ser>
          <c:idx val="9"/>
          <c:order val="9"/>
          <c:tx>
            <c:strRef>
              <c:f>wt_CBP_RawData_vs_top300TF!$A$14:$B$14</c:f>
              <c:strCache>
                <c:ptCount val="1"/>
                <c:pt idx="0">
                  <c:v>Chinmo (Chronologically inappropriate morphogenesis) Embryo_0_12h_chinmo_ChIP_chip.region_Top300regions.gff</c:v>
                </c:pt>
              </c:strCache>
            </c:strRef>
          </c:tx>
          <c:marker>
            <c:symbol val="none"/>
          </c:marker>
          <c:val>
            <c:numRef>
              <c:f>wt_CBP_RawData_vs_top300TF!$C$14:$AX$14</c:f>
              <c:numCache>
                <c:formatCode>General</c:formatCode>
                <c:ptCount val="48"/>
                <c:pt idx="0">
                  <c:v>0.00098492898501867</c:v>
                </c:pt>
                <c:pt idx="1">
                  <c:v>0.000984929773706379</c:v>
                </c:pt>
                <c:pt idx="2">
                  <c:v>0.000984934505859159</c:v>
                </c:pt>
                <c:pt idx="3">
                  <c:v>0.00098494160417359</c:v>
                </c:pt>
                <c:pt idx="4">
                  <c:v>0.000984999971971545</c:v>
                </c:pt>
                <c:pt idx="5">
                  <c:v>0.000985276918886877</c:v>
                </c:pt>
                <c:pt idx="6">
                  <c:v>0.000986066005494713</c:v>
                </c:pt>
                <c:pt idx="7">
                  <c:v>0.000988156581845876</c:v>
                </c:pt>
                <c:pt idx="8">
                  <c:v>0.000991845543479665</c:v>
                </c:pt>
                <c:pt idx="9">
                  <c:v>0.000992925406478838</c:v>
                </c:pt>
                <c:pt idx="10">
                  <c:v>0.00101101026012886</c:v>
                </c:pt>
                <c:pt idx="11">
                  <c:v>0.00103420287454921</c:v>
                </c:pt>
                <c:pt idx="12">
                  <c:v>0.00106330048835418</c:v>
                </c:pt>
                <c:pt idx="13">
                  <c:v>0.00109138561767907</c:v>
                </c:pt>
                <c:pt idx="14">
                  <c:v>0.00112492566870885</c:v>
                </c:pt>
                <c:pt idx="15">
                  <c:v>0.001118937112398</c:v>
                </c:pt>
                <c:pt idx="16">
                  <c:v>0.00107608736513665</c:v>
                </c:pt>
                <c:pt idx="17">
                  <c:v>0.00099675758304015</c:v>
                </c:pt>
                <c:pt idx="18">
                  <c:v>0.000885026550796524</c:v>
                </c:pt>
                <c:pt idx="19">
                  <c:v>0.000781977640525514</c:v>
                </c:pt>
                <c:pt idx="20">
                  <c:v>0.000780196609545606</c:v>
                </c:pt>
                <c:pt idx="21">
                  <c:v>0.000599649205214949</c:v>
                </c:pt>
                <c:pt idx="22">
                  <c:v>0.000545168444659208</c:v>
                </c:pt>
                <c:pt idx="23">
                  <c:v>0.000507364472187202</c:v>
                </c:pt>
                <c:pt idx="24">
                  <c:v>0.000472075300827577</c:v>
                </c:pt>
                <c:pt idx="25">
                  <c:v>0.000509430529443872</c:v>
                </c:pt>
                <c:pt idx="26">
                  <c:v>0.000307805959123369</c:v>
                </c:pt>
                <c:pt idx="27">
                  <c:v>0.00037934752226171</c:v>
                </c:pt>
                <c:pt idx="28">
                  <c:v>0.000416298069417703</c:v>
                </c:pt>
                <c:pt idx="29">
                  <c:v>0.000544551085698727</c:v>
                </c:pt>
                <c:pt idx="30">
                  <c:v>0.000673642610140567</c:v>
                </c:pt>
                <c:pt idx="31">
                  <c:v>0.000654956832390592</c:v>
                </c:pt>
                <c:pt idx="32">
                  <c:v>0.000237736746176401</c:v>
                </c:pt>
                <c:pt idx="33">
                  <c:v>0.000106450926123057</c:v>
                </c:pt>
                <c:pt idx="34">
                  <c:v>0.0</c:v>
                </c:pt>
                <c:pt idx="35">
                  <c:v>0.0</c:v>
                </c:pt>
                <c:pt idx="36">
                  <c:v>0.0</c:v>
                </c:pt>
                <c:pt idx="37">
                  <c:v>0.0</c:v>
                </c:pt>
                <c:pt idx="38">
                  <c:v>0.0</c:v>
                </c:pt>
                <c:pt idx="39">
                  <c:v>0.0</c:v>
                </c:pt>
                <c:pt idx="40">
                  <c:v>0.0</c:v>
                </c:pt>
                <c:pt idx="41">
                  <c:v>0.0</c:v>
                </c:pt>
                <c:pt idx="42">
                  <c:v>0.0</c:v>
                </c:pt>
                <c:pt idx="43">
                  <c:v>0.0</c:v>
                </c:pt>
                <c:pt idx="44">
                  <c:v>0.0</c:v>
                </c:pt>
                <c:pt idx="45">
                  <c:v>0.0</c:v>
                </c:pt>
                <c:pt idx="46">
                  <c:v>0.0</c:v>
                </c:pt>
                <c:pt idx="47">
                  <c:v>0.0</c:v>
                </c:pt>
              </c:numCache>
            </c:numRef>
          </c:val>
        </c:ser>
        <c:ser>
          <c:idx val="10"/>
          <c:order val="10"/>
          <c:tx>
            <c:strRef>
              <c:f>wt_CBP_RawData_vs_top300TF!$A$15:$B$15</c:f>
              <c:strCache>
                <c:ptCount val="1"/>
                <c:pt idx="0">
                  <c:v>CTCF E0_12_dCTCF_C_term_ChIP_chip.CTCF_C_Top300regions.gff</c:v>
                </c:pt>
              </c:strCache>
            </c:strRef>
          </c:tx>
          <c:marker>
            <c:symbol val="none"/>
          </c:marker>
          <c:val>
            <c:numRef>
              <c:f>wt_CBP_RawData_vs_top300TF!$C$15:$AX$15</c:f>
              <c:numCache>
                <c:formatCode>General</c:formatCode>
                <c:ptCount val="48"/>
                <c:pt idx="0">
                  <c:v>0.007109906063399</c:v>
                </c:pt>
                <c:pt idx="1">
                  <c:v>0.00710991175669832</c:v>
                </c:pt>
                <c:pt idx="2">
                  <c:v>0.00710994591668575</c:v>
                </c:pt>
                <c:pt idx="3">
                  <c:v>0.00710999715728236</c:v>
                </c:pt>
                <c:pt idx="4">
                  <c:v>0.00710961768387267</c:v>
                </c:pt>
                <c:pt idx="5">
                  <c:v>0.00711161665518512</c:v>
                </c:pt>
                <c:pt idx="6">
                  <c:v>0.00711651051282647</c:v>
                </c:pt>
                <c:pt idx="7">
                  <c:v>0.00713079497598699</c:v>
                </c:pt>
                <c:pt idx="8">
                  <c:v>0.00715291867512697</c:v>
                </c:pt>
                <c:pt idx="9">
                  <c:v>0.00720279194946532</c:v>
                </c:pt>
                <c:pt idx="10">
                  <c:v>0.00728794205652656</c:v>
                </c:pt>
                <c:pt idx="11">
                  <c:v>0.00746627196171638</c:v>
                </c:pt>
                <c:pt idx="12">
                  <c:v>0.00775690895182585</c:v>
                </c:pt>
                <c:pt idx="13">
                  <c:v>0.00813283665955449</c:v>
                </c:pt>
                <c:pt idx="14">
                  <c:v>0.00863715964451912</c:v>
                </c:pt>
                <c:pt idx="15">
                  <c:v>0.00941344341347678</c:v>
                </c:pt>
                <c:pt idx="16">
                  <c:v>0.0104945929351027</c:v>
                </c:pt>
                <c:pt idx="17">
                  <c:v>0.011846838150995</c:v>
                </c:pt>
                <c:pt idx="18">
                  <c:v>0.0135829074872246</c:v>
                </c:pt>
                <c:pt idx="19">
                  <c:v>0.0154297539313449</c:v>
                </c:pt>
                <c:pt idx="20">
                  <c:v>0.0173723778392155</c:v>
                </c:pt>
                <c:pt idx="21">
                  <c:v>0.0191487979531974</c:v>
                </c:pt>
                <c:pt idx="22">
                  <c:v>0.0210881066547721</c:v>
                </c:pt>
                <c:pt idx="23">
                  <c:v>0.0232926416776852</c:v>
                </c:pt>
                <c:pt idx="24">
                  <c:v>0.0256751158511325</c:v>
                </c:pt>
                <c:pt idx="25">
                  <c:v>0.0276062829765298</c:v>
                </c:pt>
                <c:pt idx="26">
                  <c:v>0.0296878847574489</c:v>
                </c:pt>
                <c:pt idx="27">
                  <c:v>0.0324441959829094</c:v>
                </c:pt>
                <c:pt idx="28">
                  <c:v>0.0360878388926471</c:v>
                </c:pt>
                <c:pt idx="29">
                  <c:v>0.0388332992988905</c:v>
                </c:pt>
                <c:pt idx="30">
                  <c:v>0.0416760228140297</c:v>
                </c:pt>
                <c:pt idx="31">
                  <c:v>0.0435844001190831</c:v>
                </c:pt>
                <c:pt idx="32">
                  <c:v>0.0442190347888105</c:v>
                </c:pt>
                <c:pt idx="33">
                  <c:v>0.0467319565680221</c:v>
                </c:pt>
                <c:pt idx="34">
                  <c:v>0.048602853745541</c:v>
                </c:pt>
                <c:pt idx="35">
                  <c:v>0.0491735537190083</c:v>
                </c:pt>
                <c:pt idx="36">
                  <c:v>0.0487306682229355</c:v>
                </c:pt>
                <c:pt idx="37">
                  <c:v>0.0524603497356649</c:v>
                </c:pt>
                <c:pt idx="38">
                  <c:v>0.040249433106576</c:v>
                </c:pt>
                <c:pt idx="39">
                  <c:v>0.0357142857142857</c:v>
                </c:pt>
                <c:pt idx="40">
                  <c:v>0.0386416861826698</c:v>
                </c:pt>
                <c:pt idx="41">
                  <c:v>0.0457627118644068</c:v>
                </c:pt>
                <c:pt idx="42">
                  <c:v>0.0645161290322581</c:v>
                </c:pt>
                <c:pt idx="43">
                  <c:v>0.051063829787234</c:v>
                </c:pt>
                <c:pt idx="44">
                  <c:v>0.049645390070922</c:v>
                </c:pt>
                <c:pt idx="45">
                  <c:v>0.0</c:v>
                </c:pt>
                <c:pt idx="46">
                  <c:v>0.0</c:v>
                </c:pt>
                <c:pt idx="47">
                  <c:v>0.0</c:v>
                </c:pt>
              </c:numCache>
            </c:numRef>
          </c:val>
        </c:ser>
        <c:ser>
          <c:idx val="11"/>
          <c:order val="11"/>
          <c:tx>
            <c:strRef>
              <c:f>wt_CBP_RawData_vs_top300TF!$A$16:$B$16</c:f>
              <c:strCache>
                <c:ptCount val="1"/>
                <c:pt idx="0">
                  <c:v>CTCF E0_12_dCTCF_N_term_ChIP_chip.CTCF_N_Top300regions.gff</c:v>
                </c:pt>
              </c:strCache>
            </c:strRef>
          </c:tx>
          <c:marker>
            <c:symbol val="none"/>
          </c:marker>
          <c:val>
            <c:numRef>
              <c:f>wt_CBP_RawData_vs_top300TF!$C$16:$AX$16</c:f>
              <c:numCache>
                <c:formatCode>General</c:formatCode>
                <c:ptCount val="48"/>
                <c:pt idx="0">
                  <c:v>0.00709148869213442</c:v>
                </c:pt>
                <c:pt idx="1">
                  <c:v>0.00709149437068593</c:v>
                </c:pt>
                <c:pt idx="2">
                  <c:v>0.00709152844218595</c:v>
                </c:pt>
                <c:pt idx="3">
                  <c:v>0.00709157955004985</c:v>
                </c:pt>
                <c:pt idx="4">
                  <c:v>0.00709119898520979</c:v>
                </c:pt>
                <c:pt idx="5">
                  <c:v>0.00709319277784008</c:v>
                </c:pt>
                <c:pt idx="6">
                  <c:v>0.00709887355988267</c:v>
                </c:pt>
                <c:pt idx="7">
                  <c:v>0.00711312063062064</c:v>
                </c:pt>
                <c:pt idx="8">
                  <c:v>0.00713272637986069</c:v>
                </c:pt>
                <c:pt idx="9">
                  <c:v>0.00717992853550035</c:v>
                </c:pt>
                <c:pt idx="10">
                  <c:v>0.00725626984722326</c:v>
                </c:pt>
                <c:pt idx="11">
                  <c:v>0.00743004467169881</c:v>
                </c:pt>
                <c:pt idx="12">
                  <c:v>0.00772143528283884</c:v>
                </c:pt>
                <c:pt idx="13">
                  <c:v>0.00809747222909864</c:v>
                </c:pt>
                <c:pt idx="14">
                  <c:v>0.00861315541104522</c:v>
                </c:pt>
                <c:pt idx="15">
                  <c:v>0.00941216022871485</c:v>
                </c:pt>
                <c:pt idx="16">
                  <c:v>0.0105321855068105</c:v>
                </c:pt>
                <c:pt idx="17">
                  <c:v>0.0119177537102627</c:v>
                </c:pt>
                <c:pt idx="18">
                  <c:v>0.0138429152874586</c:v>
                </c:pt>
                <c:pt idx="19">
                  <c:v>0.0157889550426432</c:v>
                </c:pt>
                <c:pt idx="20">
                  <c:v>0.0179325189947867</c:v>
                </c:pt>
                <c:pt idx="21">
                  <c:v>0.0198483886926148</c:v>
                </c:pt>
                <c:pt idx="22">
                  <c:v>0.022091712200622</c:v>
                </c:pt>
                <c:pt idx="23">
                  <c:v>0.0243611820054734</c:v>
                </c:pt>
                <c:pt idx="24">
                  <c:v>0.0268697553879207</c:v>
                </c:pt>
                <c:pt idx="25">
                  <c:v>0.0286615319303778</c:v>
                </c:pt>
                <c:pt idx="26">
                  <c:v>0.0309191085939424</c:v>
                </c:pt>
                <c:pt idx="27">
                  <c:v>0.0338617577766242</c:v>
                </c:pt>
                <c:pt idx="28">
                  <c:v>0.0377790497996566</c:v>
                </c:pt>
                <c:pt idx="29">
                  <c:v>0.0405009869988428</c:v>
                </c:pt>
                <c:pt idx="30">
                  <c:v>0.0431131270489963</c:v>
                </c:pt>
                <c:pt idx="31">
                  <c:v>0.0451324799047336</c:v>
                </c:pt>
                <c:pt idx="32">
                  <c:v>0.0452492273555749</c:v>
                </c:pt>
                <c:pt idx="33">
                  <c:v>0.0466255056418991</c:v>
                </c:pt>
                <c:pt idx="34">
                  <c:v>0.0466706302021403</c:v>
                </c:pt>
                <c:pt idx="35">
                  <c:v>0.0497933884297521</c:v>
                </c:pt>
                <c:pt idx="36">
                  <c:v>0.0490224686314561</c:v>
                </c:pt>
                <c:pt idx="37">
                  <c:v>0.0500203334688898</c:v>
                </c:pt>
                <c:pt idx="38">
                  <c:v>0.0396825396825397</c:v>
                </c:pt>
                <c:pt idx="39">
                  <c:v>0.0340909090909091</c:v>
                </c:pt>
                <c:pt idx="40">
                  <c:v>0.0351288056206089</c:v>
                </c:pt>
                <c:pt idx="41">
                  <c:v>0.0355932203389831</c:v>
                </c:pt>
                <c:pt idx="42">
                  <c:v>0.0471464019851117</c:v>
                </c:pt>
                <c:pt idx="43">
                  <c:v>0.051063829787234</c:v>
                </c:pt>
                <c:pt idx="44">
                  <c:v>0.049645390070922</c:v>
                </c:pt>
                <c:pt idx="45">
                  <c:v>0.0</c:v>
                </c:pt>
                <c:pt idx="46">
                  <c:v>0.0</c:v>
                </c:pt>
                <c:pt idx="47">
                  <c:v>0.0</c:v>
                </c:pt>
              </c:numCache>
            </c:numRef>
          </c:val>
        </c:ser>
        <c:ser>
          <c:idx val="12"/>
          <c:order val="12"/>
          <c:tx>
            <c:strRef>
              <c:f>wt_CBP_RawData_vs_top300TF!$A$17:$B$17</c:f>
              <c:strCache>
                <c:ptCount val="1"/>
                <c:pt idx="0">
                  <c:v>Daughterless da_2_Rel5.gff</c:v>
                </c:pt>
              </c:strCache>
            </c:strRef>
          </c:tx>
          <c:marker>
            <c:symbol val="none"/>
          </c:marker>
          <c:val>
            <c:numRef>
              <c:f>wt_CBP_RawData_vs_top300TF!$C$17:$AX$17</c:f>
              <c:numCache>
                <c:formatCode>General</c:formatCode>
                <c:ptCount val="48"/>
                <c:pt idx="0">
                  <c:v>0.0234004713245533</c:v>
                </c:pt>
                <c:pt idx="1">
                  <c:v>0.0234004900626191</c:v>
                </c:pt>
                <c:pt idx="2">
                  <c:v>0.0234006024916441</c:v>
                </c:pt>
                <c:pt idx="3">
                  <c:v>0.0234007711372072</c:v>
                </c:pt>
                <c:pt idx="4">
                  <c:v>0.0234021578706703</c:v>
                </c:pt>
                <c:pt idx="5">
                  <c:v>0.0234087377240904</c:v>
                </c:pt>
                <c:pt idx="6">
                  <c:v>0.0234274852671317</c:v>
                </c:pt>
                <c:pt idx="7">
                  <c:v>0.023473940784516</c:v>
                </c:pt>
                <c:pt idx="8">
                  <c:v>0.0235894470218788</c:v>
                </c:pt>
                <c:pt idx="9">
                  <c:v>0.0238400083614771</c:v>
                </c:pt>
                <c:pt idx="10">
                  <c:v>0.0243200893489694</c:v>
                </c:pt>
                <c:pt idx="11">
                  <c:v>0.0251210379636123</c:v>
                </c:pt>
                <c:pt idx="12">
                  <c:v>0.0263669414511641</c:v>
                </c:pt>
                <c:pt idx="13">
                  <c:v>0.0282610916606744</c:v>
                </c:pt>
                <c:pt idx="14">
                  <c:v>0.0309392747448186</c:v>
                </c:pt>
                <c:pt idx="15">
                  <c:v>0.0355737311548278</c:v>
                </c:pt>
                <c:pt idx="16">
                  <c:v>0.0419407791687029</c:v>
                </c:pt>
                <c:pt idx="17">
                  <c:v>0.0499147043412142</c:v>
                </c:pt>
                <c:pt idx="18">
                  <c:v>0.0591817754532636</c:v>
                </c:pt>
                <c:pt idx="19">
                  <c:v>0.0694911105671881</c:v>
                </c:pt>
                <c:pt idx="20">
                  <c:v>0.078991905960302</c:v>
                </c:pt>
                <c:pt idx="21">
                  <c:v>0.0885531963801176</c:v>
                </c:pt>
                <c:pt idx="22">
                  <c:v>0.0965877411441103</c:v>
                </c:pt>
                <c:pt idx="23">
                  <c:v>0.103579225731066</c:v>
                </c:pt>
                <c:pt idx="24">
                  <c:v>0.110908793125042</c:v>
                </c:pt>
                <c:pt idx="25">
                  <c:v>0.118200012129298</c:v>
                </c:pt>
                <c:pt idx="26">
                  <c:v>0.123922679143068</c:v>
                </c:pt>
                <c:pt idx="27">
                  <c:v>0.129716886954438</c:v>
                </c:pt>
                <c:pt idx="28">
                  <c:v>0.131290003642608</c:v>
                </c:pt>
                <c:pt idx="29">
                  <c:v>0.13491253148186</c:v>
                </c:pt>
                <c:pt idx="30">
                  <c:v>0.134773431535456</c:v>
                </c:pt>
                <c:pt idx="31">
                  <c:v>0.135754688895505</c:v>
                </c:pt>
                <c:pt idx="32">
                  <c:v>0.133687296933196</c:v>
                </c:pt>
                <c:pt idx="33">
                  <c:v>0.132850755801575</c:v>
                </c:pt>
                <c:pt idx="34">
                  <c:v>0.13436385255648</c:v>
                </c:pt>
                <c:pt idx="35">
                  <c:v>0.142561983471074</c:v>
                </c:pt>
                <c:pt idx="36">
                  <c:v>0.143274000583601</c:v>
                </c:pt>
                <c:pt idx="37">
                  <c:v>0.13623424156161</c:v>
                </c:pt>
                <c:pt idx="38">
                  <c:v>0.120748299319728</c:v>
                </c:pt>
                <c:pt idx="39">
                  <c:v>0.111201298701299</c:v>
                </c:pt>
                <c:pt idx="40">
                  <c:v>0.107728337236534</c:v>
                </c:pt>
                <c:pt idx="41">
                  <c:v>0.0932203389830508</c:v>
                </c:pt>
                <c:pt idx="42">
                  <c:v>0.0372208436724566</c:v>
                </c:pt>
                <c:pt idx="43">
                  <c:v>0.00851063829787234</c:v>
                </c:pt>
                <c:pt idx="44">
                  <c:v>0.0</c:v>
                </c:pt>
                <c:pt idx="45">
                  <c:v>0.0</c:v>
                </c:pt>
                <c:pt idx="46">
                  <c:v>0.0</c:v>
                </c:pt>
                <c:pt idx="47">
                  <c:v>0.0</c:v>
                </c:pt>
              </c:numCache>
            </c:numRef>
          </c:val>
        </c:ser>
        <c:ser>
          <c:idx val="13"/>
          <c:order val="13"/>
          <c:tx>
            <c:strRef>
              <c:f>wt_CBP_RawData_vs_top300TF!$A$18:$B$18</c:f>
              <c:strCache>
                <c:ptCount val="1"/>
                <c:pt idx="0">
                  <c:v>Dichaete D_1_Rel5.gff</c:v>
                </c:pt>
              </c:strCache>
            </c:strRef>
          </c:tx>
          <c:marker>
            <c:symbol val="none"/>
          </c:marker>
          <c:val>
            <c:numRef>
              <c:f>wt_CBP_RawData_vs_top300TF!$C$18:$AX$18</c:f>
              <c:numCache>
                <c:formatCode>General</c:formatCode>
                <c:ptCount val="48"/>
                <c:pt idx="0">
                  <c:v>0.0245063143557003</c:v>
                </c:pt>
                <c:pt idx="1">
                  <c:v>0.0245063339792764</c:v>
                </c:pt>
                <c:pt idx="2">
                  <c:v>0.0245064517213933</c:v>
                </c:pt>
                <c:pt idx="3">
                  <c:v>0.0245066283366899</c:v>
                </c:pt>
                <c:pt idx="4">
                  <c:v>0.0245080806034286</c:v>
                </c:pt>
                <c:pt idx="5">
                  <c:v>0.0245149714029382</c:v>
                </c:pt>
                <c:pt idx="6">
                  <c:v>0.0245346049041953</c:v>
                </c:pt>
                <c:pt idx="7">
                  <c:v>0.0245858177839263</c:v>
                </c:pt>
                <c:pt idx="8">
                  <c:v>0.0247177924813585</c:v>
                </c:pt>
                <c:pt idx="9">
                  <c:v>0.024982362509227</c:v>
                </c:pt>
                <c:pt idx="10">
                  <c:v>0.025477791946924</c:v>
                </c:pt>
                <c:pt idx="11">
                  <c:v>0.026319988752289</c:v>
                </c:pt>
                <c:pt idx="12">
                  <c:v>0.0276703713911227</c:v>
                </c:pt>
                <c:pt idx="13">
                  <c:v>0.0296707571524561</c:v>
                </c:pt>
                <c:pt idx="14">
                  <c:v>0.0326053867682118</c:v>
                </c:pt>
                <c:pt idx="15">
                  <c:v>0.0374792605262854</c:v>
                </c:pt>
                <c:pt idx="16">
                  <c:v>0.0443310401864592</c:v>
                </c:pt>
                <c:pt idx="17">
                  <c:v>0.052962103513078</c:v>
                </c:pt>
                <c:pt idx="18">
                  <c:v>0.0629543886316589</c:v>
                </c:pt>
                <c:pt idx="19">
                  <c:v>0.0737506635684246</c:v>
                </c:pt>
                <c:pt idx="20">
                  <c:v>0.08458931650776</c:v>
                </c:pt>
                <c:pt idx="21">
                  <c:v>0.094624644582919</c:v>
                </c:pt>
                <c:pt idx="22">
                  <c:v>0.103829808323731</c:v>
                </c:pt>
                <c:pt idx="23">
                  <c:v>0.111212754835337</c:v>
                </c:pt>
                <c:pt idx="24">
                  <c:v>0.119637369095446</c:v>
                </c:pt>
                <c:pt idx="25">
                  <c:v>0.127757899205531</c:v>
                </c:pt>
                <c:pt idx="26">
                  <c:v>0.133710908643191</c:v>
                </c:pt>
                <c:pt idx="27">
                  <c:v>0.140059098350837</c:v>
                </c:pt>
                <c:pt idx="28">
                  <c:v>0.144871728157361</c:v>
                </c:pt>
                <c:pt idx="29">
                  <c:v>0.14975154856715</c:v>
                </c:pt>
                <c:pt idx="30">
                  <c:v>0.152692324965195</c:v>
                </c:pt>
                <c:pt idx="31">
                  <c:v>0.161178922298303</c:v>
                </c:pt>
                <c:pt idx="32">
                  <c:v>0.16776289721848</c:v>
                </c:pt>
                <c:pt idx="33">
                  <c:v>0.172982754949968</c:v>
                </c:pt>
                <c:pt idx="34">
                  <c:v>0.178953626634958</c:v>
                </c:pt>
                <c:pt idx="35">
                  <c:v>0.187809917355372</c:v>
                </c:pt>
                <c:pt idx="36">
                  <c:v>0.186752261453166</c:v>
                </c:pt>
                <c:pt idx="37">
                  <c:v>0.189914599430663</c:v>
                </c:pt>
                <c:pt idx="38">
                  <c:v>0.189909297052154</c:v>
                </c:pt>
                <c:pt idx="39">
                  <c:v>0.191558441558442</c:v>
                </c:pt>
                <c:pt idx="40">
                  <c:v>0.200234192037471</c:v>
                </c:pt>
                <c:pt idx="41">
                  <c:v>0.223728813559322</c:v>
                </c:pt>
                <c:pt idx="42">
                  <c:v>0.220843672456576</c:v>
                </c:pt>
                <c:pt idx="43">
                  <c:v>0.191489361702128</c:v>
                </c:pt>
                <c:pt idx="44">
                  <c:v>0.170212765957447</c:v>
                </c:pt>
                <c:pt idx="45">
                  <c:v>0.158536585365854</c:v>
                </c:pt>
                <c:pt idx="46">
                  <c:v>0.117647058823529</c:v>
                </c:pt>
                <c:pt idx="47">
                  <c:v>0.176470588235294</c:v>
                </c:pt>
              </c:numCache>
            </c:numRef>
          </c:val>
        </c:ser>
        <c:ser>
          <c:idx val="14"/>
          <c:order val="14"/>
          <c:tx>
            <c:strRef>
              <c:f>wt_CBP_RawData_vs_top300TF!$A$19:$B$19</c:f>
              <c:strCache>
                <c:ptCount val="1"/>
                <c:pt idx="0">
                  <c:v>Dichaete E0_12h_D.region_Top300regions.gff</c:v>
                </c:pt>
              </c:strCache>
            </c:strRef>
          </c:tx>
          <c:marker>
            <c:symbol val="none"/>
          </c:marker>
          <c:val>
            <c:numRef>
              <c:f>wt_CBP_RawData_vs_top300TF!$C$19:$AX$19</c:f>
              <c:numCache>
                <c:formatCode>General</c:formatCode>
                <c:ptCount val="48"/>
                <c:pt idx="0">
                  <c:v>0.00777052916310664</c:v>
                </c:pt>
                <c:pt idx="1">
                  <c:v>0.00777053538540382</c:v>
                </c:pt>
                <c:pt idx="2">
                  <c:v>0.00777057271939616</c:v>
                </c:pt>
                <c:pt idx="3">
                  <c:v>0.00777062872105733</c:v>
                </c:pt>
                <c:pt idx="4">
                  <c:v>0.00777108920976575</c:v>
                </c:pt>
                <c:pt idx="5">
                  <c:v>0.00777327416331566</c:v>
                </c:pt>
                <c:pt idx="6">
                  <c:v>0.0077794996075778</c:v>
                </c:pt>
                <c:pt idx="7">
                  <c:v>0.00779599306522958</c:v>
                </c:pt>
                <c:pt idx="8">
                  <c:v>0.00783784133055918</c:v>
                </c:pt>
                <c:pt idx="9">
                  <c:v>0.00792380603986073</c:v>
                </c:pt>
                <c:pt idx="10">
                  <c:v>0.0080830812058777</c:v>
                </c:pt>
                <c:pt idx="11">
                  <c:v>0.00835987844881645</c:v>
                </c:pt>
                <c:pt idx="12">
                  <c:v>0.00880656572133887</c:v>
                </c:pt>
                <c:pt idx="13">
                  <c:v>0.00948749081507153</c:v>
                </c:pt>
                <c:pt idx="14">
                  <c:v>0.0105083987539621</c:v>
                </c:pt>
                <c:pt idx="15">
                  <c:v>0.0122839277259015</c:v>
                </c:pt>
                <c:pt idx="16">
                  <c:v>0.014861596681829</c:v>
                </c:pt>
                <c:pt idx="17">
                  <c:v>0.0184518345461207</c:v>
                </c:pt>
                <c:pt idx="18">
                  <c:v>0.0229406882206466</c:v>
                </c:pt>
                <c:pt idx="19">
                  <c:v>0.0285231112538026</c:v>
                </c:pt>
                <c:pt idx="20">
                  <c:v>0.0349127980251023</c:v>
                </c:pt>
                <c:pt idx="21">
                  <c:v>0.0421503420499008</c:v>
                </c:pt>
                <c:pt idx="22">
                  <c:v>0.0497775960549629</c:v>
                </c:pt>
                <c:pt idx="23">
                  <c:v>0.0589157774976169</c:v>
                </c:pt>
                <c:pt idx="24">
                  <c:v>0.0697515342447277</c:v>
                </c:pt>
                <c:pt idx="25">
                  <c:v>0.083025047001031</c:v>
                </c:pt>
                <c:pt idx="26">
                  <c:v>0.0982362718542231</c:v>
                </c:pt>
                <c:pt idx="27">
                  <c:v>0.117537834923931</c:v>
                </c:pt>
                <c:pt idx="28">
                  <c:v>0.136910027579747</c:v>
                </c:pt>
                <c:pt idx="29">
                  <c:v>0.157987883738343</c:v>
                </c:pt>
                <c:pt idx="30">
                  <c:v>0.180760767054385</c:v>
                </c:pt>
                <c:pt idx="31">
                  <c:v>0.202500744269128</c:v>
                </c:pt>
                <c:pt idx="32">
                  <c:v>0.225453680957287</c:v>
                </c:pt>
                <c:pt idx="33">
                  <c:v>0.249201618054077</c:v>
                </c:pt>
                <c:pt idx="34">
                  <c:v>0.278091557669441</c:v>
                </c:pt>
                <c:pt idx="35">
                  <c:v>0.291115702479339</c:v>
                </c:pt>
                <c:pt idx="36">
                  <c:v>0.317478844470382</c:v>
                </c:pt>
                <c:pt idx="37">
                  <c:v>0.322895485969906</c:v>
                </c:pt>
                <c:pt idx="38">
                  <c:v>0.325963718820862</c:v>
                </c:pt>
                <c:pt idx="39">
                  <c:v>0.334415584415584</c:v>
                </c:pt>
                <c:pt idx="40">
                  <c:v>0.324355971896956</c:v>
                </c:pt>
                <c:pt idx="41">
                  <c:v>0.361016949152542</c:v>
                </c:pt>
                <c:pt idx="42">
                  <c:v>0.349875930521092</c:v>
                </c:pt>
                <c:pt idx="43">
                  <c:v>0.421276595744681</c:v>
                </c:pt>
                <c:pt idx="44">
                  <c:v>0.361702127659574</c:v>
                </c:pt>
                <c:pt idx="45">
                  <c:v>0.25609756097561</c:v>
                </c:pt>
                <c:pt idx="46">
                  <c:v>0.294117647058824</c:v>
                </c:pt>
                <c:pt idx="47">
                  <c:v>0.176470588235294</c:v>
                </c:pt>
              </c:numCache>
            </c:numRef>
          </c:val>
        </c:ser>
        <c:ser>
          <c:idx val="15"/>
          <c:order val="15"/>
          <c:tx>
            <c:strRef>
              <c:f>wt_CBP_RawData_vs_top300TF!$A$20:$B$20</c:f>
              <c:strCache>
                <c:ptCount val="1"/>
                <c:pt idx="0">
                  <c:v>Dichaete E0_8_D.region_Top300regions.gff</c:v>
                </c:pt>
              </c:strCache>
            </c:strRef>
          </c:tx>
          <c:marker>
            <c:symbol val="none"/>
          </c:marker>
          <c:val>
            <c:numRef>
              <c:f>wt_CBP_RawData_vs_top300TF!$C$20:$AX$20</c:f>
              <c:numCache>
                <c:formatCode>General</c:formatCode>
                <c:ptCount val="48"/>
                <c:pt idx="0">
                  <c:v>0.00166316870071852</c:v>
                </c:pt>
                <c:pt idx="1">
                  <c:v>0.00166317003251069</c:v>
                </c:pt>
                <c:pt idx="2">
                  <c:v>0.00166317802330852</c:v>
                </c:pt>
                <c:pt idx="3">
                  <c:v>0.00166319000964922</c:v>
                </c:pt>
                <c:pt idx="4">
                  <c:v>0.00166328857055683</c:v>
                </c:pt>
                <c:pt idx="5">
                  <c:v>0.00166375622807158</c:v>
                </c:pt>
                <c:pt idx="6">
                  <c:v>0.00166508869383132</c:v>
                </c:pt>
                <c:pt idx="7">
                  <c:v>0.00166861887845031</c:v>
                </c:pt>
                <c:pt idx="8">
                  <c:v>0.00167757589072253</c:v>
                </c:pt>
                <c:pt idx="9">
                  <c:v>0.00169597538590177</c:v>
                </c:pt>
                <c:pt idx="10">
                  <c:v>0.00172696888622176</c:v>
                </c:pt>
                <c:pt idx="11">
                  <c:v>0.00177772487443363</c:v>
                </c:pt>
                <c:pt idx="12">
                  <c:v>0.00186737031872637</c:v>
                </c:pt>
                <c:pt idx="13">
                  <c:v>0.00198924921314142</c:v>
                </c:pt>
                <c:pt idx="14">
                  <c:v>0.00214946999743591</c:v>
                </c:pt>
                <c:pt idx="15">
                  <c:v>0.00241623690670349</c:v>
                </c:pt>
                <c:pt idx="16">
                  <c:v>0.00277871759207047</c:v>
                </c:pt>
                <c:pt idx="17">
                  <c:v>0.00323256757661835</c:v>
                </c:pt>
                <c:pt idx="18">
                  <c:v>0.0038751162534876</c:v>
                </c:pt>
                <c:pt idx="19">
                  <c:v>0.00442484908785169</c:v>
                </c:pt>
                <c:pt idx="20">
                  <c:v>0.00500126031760004</c:v>
                </c:pt>
                <c:pt idx="21">
                  <c:v>0.0056317054523104</c:v>
                </c:pt>
                <c:pt idx="22">
                  <c:v>0.00617031557818831</c:v>
                </c:pt>
                <c:pt idx="23">
                  <c:v>0.00638817994526614</c:v>
                </c:pt>
                <c:pt idx="24">
                  <c:v>0.00671503029952696</c:v>
                </c:pt>
                <c:pt idx="25">
                  <c:v>0.00704712232397356</c:v>
                </c:pt>
                <c:pt idx="26">
                  <c:v>0.00732578182713617</c:v>
                </c:pt>
                <c:pt idx="27">
                  <c:v>0.00774667571776544</c:v>
                </c:pt>
                <c:pt idx="28">
                  <c:v>0.00762345839621169</c:v>
                </c:pt>
                <c:pt idx="29">
                  <c:v>0.00816826628548091</c:v>
                </c:pt>
                <c:pt idx="30">
                  <c:v>0.00844298738042844</c:v>
                </c:pt>
                <c:pt idx="31">
                  <c:v>0.0085144388210777</c:v>
                </c:pt>
                <c:pt idx="32">
                  <c:v>0.00840003169823282</c:v>
                </c:pt>
                <c:pt idx="33">
                  <c:v>0.0094741324249521</c:v>
                </c:pt>
                <c:pt idx="34">
                  <c:v>0.00921521997621879</c:v>
                </c:pt>
                <c:pt idx="35">
                  <c:v>0.00950413223140496</c:v>
                </c:pt>
                <c:pt idx="36">
                  <c:v>0.0093376130726583</c:v>
                </c:pt>
                <c:pt idx="37">
                  <c:v>0.00894672631150874</c:v>
                </c:pt>
                <c:pt idx="38">
                  <c:v>0.0090702947845805</c:v>
                </c:pt>
                <c:pt idx="39">
                  <c:v>0.0121753246753247</c:v>
                </c:pt>
                <c:pt idx="40">
                  <c:v>0.0163934426229508</c:v>
                </c:pt>
                <c:pt idx="41">
                  <c:v>0.0220338983050847</c:v>
                </c:pt>
                <c:pt idx="42">
                  <c:v>0.0173697270471464</c:v>
                </c:pt>
                <c:pt idx="43">
                  <c:v>0.025531914893617</c:v>
                </c:pt>
                <c:pt idx="44">
                  <c:v>0.0425531914893617</c:v>
                </c:pt>
                <c:pt idx="45">
                  <c:v>0.024390243902439</c:v>
                </c:pt>
                <c:pt idx="46">
                  <c:v>0.0</c:v>
                </c:pt>
                <c:pt idx="47">
                  <c:v>0.0</c:v>
                </c:pt>
              </c:numCache>
            </c:numRef>
          </c:val>
        </c:ser>
        <c:ser>
          <c:idx val="16"/>
          <c:order val="16"/>
          <c:tx>
            <c:strRef>
              <c:f>wt_CBP_RawData_vs_top300TF!$A$21:$B$21</c:f>
              <c:strCache>
                <c:ptCount val="1"/>
                <c:pt idx="0">
                  <c:v>Disconnected E0_8h_disco.region_Top300regions.gff</c:v>
                </c:pt>
              </c:strCache>
            </c:strRef>
          </c:tx>
          <c:marker>
            <c:symbol val="none"/>
          </c:marker>
          <c:val>
            <c:numRef>
              <c:f>wt_CBP_RawData_vs_top300TF!$C$21:$AX$21</c:f>
              <c:numCache>
                <c:formatCode>General</c:formatCode>
                <c:ptCount val="48"/>
                <c:pt idx="0">
                  <c:v>0.00164875510581581</c:v>
                </c:pt>
                <c:pt idx="1">
                  <c:v>0.00164875642606621</c:v>
                </c:pt>
                <c:pt idx="2">
                  <c:v>0.00164876434761302</c:v>
                </c:pt>
                <c:pt idx="3">
                  <c:v>0.00164877623007595</c:v>
                </c:pt>
                <c:pt idx="4">
                  <c:v>0.00164887393682066</c:v>
                </c:pt>
                <c:pt idx="5">
                  <c:v>0.00164933754145372</c:v>
                </c:pt>
                <c:pt idx="6">
                  <c:v>0.00165065845960456</c:v>
                </c:pt>
                <c:pt idx="7">
                  <c:v>0.0016541580504233</c:v>
                </c:pt>
                <c:pt idx="8">
                  <c:v>0.00166303743813081</c:v>
                </c:pt>
                <c:pt idx="9">
                  <c:v>0.00168127747692428</c:v>
                </c:pt>
                <c:pt idx="10">
                  <c:v>0.00171530017753107</c:v>
                </c:pt>
                <c:pt idx="11">
                  <c:v>0.00177168699276403</c:v>
                </c:pt>
                <c:pt idx="12">
                  <c:v>0.00186009366867775</c:v>
                </c:pt>
                <c:pt idx="13">
                  <c:v>0.00198826686785098</c:v>
                </c:pt>
                <c:pt idx="14">
                  <c:v>0.00216910982482365</c:v>
                </c:pt>
                <c:pt idx="15">
                  <c:v>0.00248681206860932</c:v>
                </c:pt>
                <c:pt idx="16">
                  <c:v>0.00290872523589339</c:v>
                </c:pt>
                <c:pt idx="17">
                  <c:v>0.00351229006039642</c:v>
                </c:pt>
                <c:pt idx="18">
                  <c:v>0.00424012720381611</c:v>
                </c:pt>
                <c:pt idx="19">
                  <c:v>0.00515596639403408</c:v>
                </c:pt>
                <c:pt idx="20">
                  <c:v>0.00603752145540676</c:v>
                </c:pt>
                <c:pt idx="21">
                  <c:v>0.00699590739417441</c:v>
                </c:pt>
                <c:pt idx="22">
                  <c:v>0.00765713860907705</c:v>
                </c:pt>
                <c:pt idx="23">
                  <c:v>0.00844838719596568</c:v>
                </c:pt>
                <c:pt idx="24">
                  <c:v>0.00930662735917223</c:v>
                </c:pt>
                <c:pt idx="25">
                  <c:v>0.0103341621687185</c:v>
                </c:pt>
                <c:pt idx="26">
                  <c:v>0.0111425757202659</c:v>
                </c:pt>
                <c:pt idx="27">
                  <c:v>0.0115601165994489</c:v>
                </c:pt>
                <c:pt idx="28">
                  <c:v>0.0128011656345944</c:v>
                </c:pt>
                <c:pt idx="29">
                  <c:v>0.0140562248995984</c:v>
                </c:pt>
                <c:pt idx="30">
                  <c:v>0.0149997754524633</c:v>
                </c:pt>
                <c:pt idx="31">
                  <c:v>0.0154212563262876</c:v>
                </c:pt>
                <c:pt idx="32">
                  <c:v>0.017037800142642</c:v>
                </c:pt>
                <c:pt idx="33">
                  <c:v>0.018628912071535</c:v>
                </c:pt>
                <c:pt idx="34">
                  <c:v>0.0211058263971463</c:v>
                </c:pt>
                <c:pt idx="35">
                  <c:v>0.0254132231404959</c:v>
                </c:pt>
                <c:pt idx="36">
                  <c:v>0.0259702363583309</c:v>
                </c:pt>
                <c:pt idx="37">
                  <c:v>0.0235868239121594</c:v>
                </c:pt>
                <c:pt idx="38">
                  <c:v>0.0232426303854875</c:v>
                </c:pt>
                <c:pt idx="39">
                  <c:v>0.025974025974026</c:v>
                </c:pt>
                <c:pt idx="40">
                  <c:v>0.0234192037470726</c:v>
                </c:pt>
                <c:pt idx="41">
                  <c:v>0.0220338983050847</c:v>
                </c:pt>
                <c:pt idx="42">
                  <c:v>0.0173697270471464</c:v>
                </c:pt>
                <c:pt idx="43">
                  <c:v>0.025531914893617</c:v>
                </c:pt>
                <c:pt idx="44">
                  <c:v>0.0425531914893617</c:v>
                </c:pt>
                <c:pt idx="45">
                  <c:v>0.024390243902439</c:v>
                </c:pt>
                <c:pt idx="46">
                  <c:v>0.0</c:v>
                </c:pt>
                <c:pt idx="47">
                  <c:v>0.0</c:v>
                </c:pt>
              </c:numCache>
            </c:numRef>
          </c:val>
        </c:ser>
        <c:ser>
          <c:idx val="17"/>
          <c:order val="17"/>
          <c:tx>
            <c:strRef>
              <c:f>wt_CBP_RawData_vs_top300TF!$A$22:$B$22</c:f>
              <c:strCache>
                <c:ptCount val="1"/>
                <c:pt idx="0">
                  <c:v>Distalless E_0_12h_dll.region_Top300regions.gff</c:v>
                </c:pt>
              </c:strCache>
            </c:strRef>
          </c:tx>
          <c:marker>
            <c:symbol val="none"/>
          </c:marker>
          <c:val>
            <c:numRef>
              <c:f>wt_CBP_RawData_vs_top300TF!$C$22:$AX$22</c:f>
              <c:numCache>
                <c:formatCode>General</c:formatCode>
                <c:ptCount val="48"/>
                <c:pt idx="0">
                  <c:v>0.00113306871040766</c:v>
                </c:pt>
                <c:pt idx="1">
                  <c:v>0.00113306961771913</c:v>
                </c:pt>
                <c:pt idx="2">
                  <c:v>0.00113307506161846</c:v>
                </c:pt>
                <c:pt idx="3">
                  <c:v>0.00113308322756555</c:v>
                </c:pt>
                <c:pt idx="4">
                  <c:v>0.00113315037425995</c:v>
                </c:pt>
                <c:pt idx="5">
                  <c:v>0.00113346897579263</c:v>
                </c:pt>
                <c:pt idx="6">
                  <c:v>0.00113437674615855</c:v>
                </c:pt>
                <c:pt idx="7">
                  <c:v>0.00113678175879017</c:v>
                </c:pt>
                <c:pt idx="8">
                  <c:v>0.00114288391207144</c:v>
                </c:pt>
                <c:pt idx="9">
                  <c:v>0.0011554189557299</c:v>
                </c:pt>
                <c:pt idx="10">
                  <c:v>0.00117937305695163</c:v>
                </c:pt>
                <c:pt idx="11">
                  <c:v>0.00122051465178243</c:v>
                </c:pt>
                <c:pt idx="12">
                  <c:v>0.00128705747734915</c:v>
                </c:pt>
                <c:pt idx="13">
                  <c:v>0.0013900185859729</c:v>
                </c:pt>
                <c:pt idx="14">
                  <c:v>0.00153954424689445</c:v>
                </c:pt>
                <c:pt idx="15">
                  <c:v>0.00180287459050366</c:v>
                </c:pt>
                <c:pt idx="16">
                  <c:v>0.00219916544490809</c:v>
                </c:pt>
                <c:pt idx="17">
                  <c:v>0.00273221890845195</c:v>
                </c:pt>
                <c:pt idx="18">
                  <c:v>0.00342260267808034</c:v>
                </c:pt>
                <c:pt idx="19">
                  <c:v>0.00420869266689342</c:v>
                </c:pt>
                <c:pt idx="20">
                  <c:v>0.00514529661474692</c:v>
                </c:pt>
                <c:pt idx="21">
                  <c:v>0.00611142481648236</c:v>
                </c:pt>
                <c:pt idx="22">
                  <c:v>0.00726065246750672</c:v>
                </c:pt>
                <c:pt idx="23">
                  <c:v>0.00827157836474893</c:v>
                </c:pt>
                <c:pt idx="24">
                  <c:v>0.00982687360906385</c:v>
                </c:pt>
                <c:pt idx="25">
                  <c:v>0.0111225665595245</c:v>
                </c:pt>
                <c:pt idx="26">
                  <c:v>0.0125123122383649</c:v>
                </c:pt>
                <c:pt idx="27">
                  <c:v>0.0140558239827497</c:v>
                </c:pt>
                <c:pt idx="28">
                  <c:v>0.0154810844564708</c:v>
                </c:pt>
                <c:pt idx="29">
                  <c:v>0.017765979170921</c:v>
                </c:pt>
                <c:pt idx="30">
                  <c:v>0.019445816679391</c:v>
                </c:pt>
                <c:pt idx="31">
                  <c:v>0.0211372432271509</c:v>
                </c:pt>
                <c:pt idx="32">
                  <c:v>0.0234566922894049</c:v>
                </c:pt>
                <c:pt idx="33">
                  <c:v>0.0254417713434107</c:v>
                </c:pt>
                <c:pt idx="34">
                  <c:v>0.0257134363852557</c:v>
                </c:pt>
                <c:pt idx="35">
                  <c:v>0.0272727272727273</c:v>
                </c:pt>
                <c:pt idx="36">
                  <c:v>0.0280128392179749</c:v>
                </c:pt>
                <c:pt idx="37">
                  <c:v>0.0199267995119967</c:v>
                </c:pt>
                <c:pt idx="38">
                  <c:v>0.0204081632653061</c:v>
                </c:pt>
                <c:pt idx="39">
                  <c:v>0.0137987012987013</c:v>
                </c:pt>
                <c:pt idx="40">
                  <c:v>0.0117096018735363</c:v>
                </c:pt>
                <c:pt idx="41">
                  <c:v>0.0135593220338983</c:v>
                </c:pt>
                <c:pt idx="42">
                  <c:v>0.0198511166253102</c:v>
                </c:pt>
                <c:pt idx="43">
                  <c:v>0.0340425531914894</c:v>
                </c:pt>
                <c:pt idx="44">
                  <c:v>0.049645390070922</c:v>
                </c:pt>
                <c:pt idx="45">
                  <c:v>0.0</c:v>
                </c:pt>
                <c:pt idx="46">
                  <c:v>0.0</c:v>
                </c:pt>
                <c:pt idx="47">
                  <c:v>0.0</c:v>
                </c:pt>
              </c:numCache>
            </c:numRef>
          </c:val>
        </c:ser>
        <c:ser>
          <c:idx val="18"/>
          <c:order val="18"/>
          <c:tx>
            <c:strRef>
              <c:f>wt_CBP_RawData_vs_top300TF!$A$23:$B$23</c:f>
              <c:strCache>
                <c:ptCount val="1"/>
                <c:pt idx="0">
                  <c:v>Dorsal dl_3_Rel5.gff</c:v>
                </c:pt>
              </c:strCache>
            </c:strRef>
          </c:tx>
          <c:marker>
            <c:symbol val="none"/>
          </c:marker>
          <c:val>
            <c:numRef>
              <c:f>wt_CBP_RawData_vs_top300TF!$C$23:$AX$23</c:f>
              <c:numCache>
                <c:formatCode>General</c:formatCode>
                <c:ptCount val="48"/>
                <c:pt idx="0">
                  <c:v>0.0368827878454959</c:v>
                </c:pt>
                <c:pt idx="1">
                  <c:v>0.0368828173796064</c:v>
                </c:pt>
                <c:pt idx="2">
                  <c:v>0.0368829945852625</c:v>
                </c:pt>
                <c:pt idx="3">
                  <c:v>0.0368832603969395</c:v>
                </c:pt>
                <c:pt idx="4">
                  <c:v>0.0368854461048857</c:v>
                </c:pt>
                <c:pt idx="5">
                  <c:v>0.0368958169788045</c:v>
                </c:pt>
                <c:pt idx="6">
                  <c:v>0.036923762667541</c:v>
                </c:pt>
                <c:pt idx="7">
                  <c:v>0.0369988318864472</c:v>
                </c:pt>
                <c:pt idx="8">
                  <c:v>0.0371877463460022</c:v>
                </c:pt>
                <c:pt idx="9">
                  <c:v>0.0375752043009348</c:v>
                </c:pt>
                <c:pt idx="10">
                  <c:v>0.0383092041107194</c:v>
                </c:pt>
                <c:pt idx="11">
                  <c:v>0.0395351866179841</c:v>
                </c:pt>
                <c:pt idx="12">
                  <c:v>0.0415414855462991</c:v>
                </c:pt>
                <c:pt idx="13">
                  <c:v>0.0444756830246804</c:v>
                </c:pt>
                <c:pt idx="14">
                  <c:v>0.0486282126120425</c:v>
                </c:pt>
                <c:pt idx="15">
                  <c:v>0.055644024016086</c:v>
                </c:pt>
                <c:pt idx="16">
                  <c:v>0.0653264914852825</c:v>
                </c:pt>
                <c:pt idx="17">
                  <c:v>0.0775855615921331</c:v>
                </c:pt>
                <c:pt idx="18">
                  <c:v>0.0917352520575617</c:v>
                </c:pt>
                <c:pt idx="19">
                  <c:v>0.107038752395999</c:v>
                </c:pt>
                <c:pt idx="20">
                  <c:v>0.122806947350732</c:v>
                </c:pt>
                <c:pt idx="21">
                  <c:v>0.138893747157913</c:v>
                </c:pt>
                <c:pt idx="22">
                  <c:v>0.154790667707443</c:v>
                </c:pt>
                <c:pt idx="23">
                  <c:v>0.169582731158328</c:v>
                </c:pt>
                <c:pt idx="24">
                  <c:v>0.18646010963708</c:v>
                </c:pt>
                <c:pt idx="25">
                  <c:v>0.203553884407787</c:v>
                </c:pt>
                <c:pt idx="26">
                  <c:v>0.221512558483132</c:v>
                </c:pt>
                <c:pt idx="27">
                  <c:v>0.242203410134569</c:v>
                </c:pt>
                <c:pt idx="28">
                  <c:v>0.261929541551751</c:v>
                </c:pt>
                <c:pt idx="29">
                  <c:v>0.288271730991764</c:v>
                </c:pt>
                <c:pt idx="30">
                  <c:v>0.31036960524543</c:v>
                </c:pt>
                <c:pt idx="31">
                  <c:v>0.33116999106877</c:v>
                </c:pt>
                <c:pt idx="32">
                  <c:v>0.353910769474602</c:v>
                </c:pt>
                <c:pt idx="33">
                  <c:v>0.374281456248669</c:v>
                </c:pt>
                <c:pt idx="34">
                  <c:v>0.400267538644471</c:v>
                </c:pt>
                <c:pt idx="35">
                  <c:v>0.422727272727273</c:v>
                </c:pt>
                <c:pt idx="36">
                  <c:v>0.449956229938722</c:v>
                </c:pt>
                <c:pt idx="37">
                  <c:v>0.454656364375763</c:v>
                </c:pt>
                <c:pt idx="38">
                  <c:v>0.498866213151927</c:v>
                </c:pt>
                <c:pt idx="39">
                  <c:v>0.541396103896104</c:v>
                </c:pt>
                <c:pt idx="40">
                  <c:v>0.55152224824356</c:v>
                </c:pt>
                <c:pt idx="41">
                  <c:v>0.579661016949153</c:v>
                </c:pt>
                <c:pt idx="42">
                  <c:v>0.573200992555831</c:v>
                </c:pt>
                <c:pt idx="43">
                  <c:v>0.553191489361702</c:v>
                </c:pt>
                <c:pt idx="44">
                  <c:v>0.453900709219858</c:v>
                </c:pt>
                <c:pt idx="45">
                  <c:v>0.439024390243902</c:v>
                </c:pt>
                <c:pt idx="46">
                  <c:v>0.490196078431373</c:v>
                </c:pt>
                <c:pt idx="47">
                  <c:v>0.441176470588235</c:v>
                </c:pt>
              </c:numCache>
            </c:numRef>
          </c:val>
        </c:ser>
        <c:ser>
          <c:idx val="19"/>
          <c:order val="19"/>
          <c:tx>
            <c:strRef>
              <c:f>wt_CBP_RawData_vs_top300TF!$A$24:$B$24</c:f>
              <c:strCache>
                <c:ptCount val="1"/>
                <c:pt idx="0">
                  <c:v>Engrailed E0_12h_ENserum.region_Top300regions.gff</c:v>
                </c:pt>
              </c:strCache>
            </c:strRef>
          </c:tx>
          <c:marker>
            <c:symbol val="none"/>
          </c:marker>
          <c:val>
            <c:numRef>
              <c:f>wt_CBP_RawData_vs_top300TF!$C$24:$AX$24</c:f>
              <c:numCache>
                <c:formatCode>General</c:formatCode>
                <c:ptCount val="48"/>
                <c:pt idx="0">
                  <c:v>0.000419595762723401</c:v>
                </c:pt>
                <c:pt idx="1">
                  <c:v>0.000419596098717189</c:v>
                </c:pt>
                <c:pt idx="2">
                  <c:v>0.000419598114691219</c:v>
                </c:pt>
                <c:pt idx="3">
                  <c:v>0.000419601138688586</c:v>
                </c:pt>
                <c:pt idx="4">
                  <c:v>0.000419626004319585</c:v>
                </c:pt>
                <c:pt idx="5">
                  <c:v>0.000419743988208719</c:v>
                </c:pt>
                <c:pt idx="6">
                  <c:v>0.000420080151934333</c:v>
                </c:pt>
                <c:pt idx="7">
                  <c:v>0.00042097077145304</c:v>
                </c:pt>
                <c:pt idx="8">
                  <c:v>0.000423230508781225</c:v>
                </c:pt>
                <c:pt idx="9">
                  <c:v>0.000427872461344499</c:v>
                </c:pt>
                <c:pt idx="10">
                  <c:v>0.000436743096708591</c:v>
                </c:pt>
                <c:pt idx="11">
                  <c:v>0.0004519785706954</c:v>
                </c:pt>
                <c:pt idx="12">
                  <c:v>0.000476620578184421</c:v>
                </c:pt>
                <c:pt idx="13">
                  <c:v>0.000512784241609789</c:v>
                </c:pt>
                <c:pt idx="14">
                  <c:v>0.000567372791201357</c:v>
                </c:pt>
                <c:pt idx="15">
                  <c:v>0.000667256076200644</c:v>
                </c:pt>
                <c:pt idx="16">
                  <c:v>0.000809806648872849</c:v>
                </c:pt>
                <c:pt idx="17">
                  <c:v>0.00101054671956442</c:v>
                </c:pt>
                <c:pt idx="18">
                  <c:v>0.00127753832614978</c:v>
                </c:pt>
                <c:pt idx="19">
                  <c:v>0.00159256421911904</c:v>
                </c:pt>
                <c:pt idx="20">
                  <c:v>0.00186847085465537</c:v>
                </c:pt>
                <c:pt idx="21">
                  <c:v>0.00222869621271556</c:v>
                </c:pt>
                <c:pt idx="22">
                  <c:v>0.00267628145559975</c:v>
                </c:pt>
                <c:pt idx="23">
                  <c:v>0.00311337289751238</c:v>
                </c:pt>
                <c:pt idx="24">
                  <c:v>0.00358391861036446</c:v>
                </c:pt>
                <c:pt idx="25">
                  <c:v>0.00424525441203226</c:v>
                </c:pt>
                <c:pt idx="26">
                  <c:v>0.00483255355823689</c:v>
                </c:pt>
                <c:pt idx="27">
                  <c:v>0.00577007547019127</c:v>
                </c:pt>
                <c:pt idx="28">
                  <c:v>0.00673882499869907</c:v>
                </c:pt>
                <c:pt idx="29">
                  <c:v>0.00745354298550133</c:v>
                </c:pt>
                <c:pt idx="30">
                  <c:v>0.00830825885840032</c:v>
                </c:pt>
                <c:pt idx="31">
                  <c:v>0.00821673116999107</c:v>
                </c:pt>
                <c:pt idx="32">
                  <c:v>0.00903399635470323</c:v>
                </c:pt>
                <c:pt idx="33">
                  <c:v>0.00862252501596764</c:v>
                </c:pt>
                <c:pt idx="34">
                  <c:v>0.0104042806183115</c:v>
                </c:pt>
                <c:pt idx="35">
                  <c:v>0.012396694214876</c:v>
                </c:pt>
                <c:pt idx="36">
                  <c:v>0.0145900204260286</c:v>
                </c:pt>
                <c:pt idx="37">
                  <c:v>0.0150467669784465</c:v>
                </c:pt>
                <c:pt idx="38">
                  <c:v>0.0164399092970522</c:v>
                </c:pt>
                <c:pt idx="39">
                  <c:v>0.023538961038961</c:v>
                </c:pt>
                <c:pt idx="40">
                  <c:v>0.0339578454332553</c:v>
                </c:pt>
                <c:pt idx="41">
                  <c:v>0.0389830508474576</c:v>
                </c:pt>
                <c:pt idx="42">
                  <c:v>0.0446650124069479</c:v>
                </c:pt>
                <c:pt idx="43">
                  <c:v>0.0680851063829787</c:v>
                </c:pt>
                <c:pt idx="44">
                  <c:v>0.0921985815602837</c:v>
                </c:pt>
                <c:pt idx="45">
                  <c:v>0.158536585365854</c:v>
                </c:pt>
                <c:pt idx="46">
                  <c:v>0.137254901960784</c:v>
                </c:pt>
                <c:pt idx="47">
                  <c:v>0.176470588235294</c:v>
                </c:pt>
              </c:numCache>
            </c:numRef>
          </c:val>
        </c:ser>
        <c:ser>
          <c:idx val="20"/>
          <c:order val="20"/>
          <c:tx>
            <c:strRef>
              <c:f>wt_CBP_RawData_vs_top300TF!$A$25:$B$25</c:f>
              <c:strCache>
                <c:ptCount val="1"/>
                <c:pt idx="0">
                  <c:v>Ftz-F1 E0_12h_FTZ_F1.region_Top300regions.gff</c:v>
                </c:pt>
              </c:strCache>
            </c:strRef>
          </c:tx>
          <c:marker>
            <c:symbol val="none"/>
          </c:marker>
          <c:val>
            <c:numRef>
              <c:f>wt_CBP_RawData_vs_top300TF!$C$25:$AX$25</c:f>
              <c:numCache>
                <c:formatCode>General</c:formatCode>
                <c:ptCount val="48"/>
                <c:pt idx="0">
                  <c:v>0.000156147278112716</c:v>
                </c:pt>
                <c:pt idx="1">
                  <c:v>0.000156147403148572</c:v>
                </c:pt>
                <c:pt idx="2">
                  <c:v>0.000156148153367915</c:v>
                </c:pt>
                <c:pt idx="3">
                  <c:v>0.000156149278710447</c:v>
                </c:pt>
                <c:pt idx="4">
                  <c:v>0.00015615853214183</c:v>
                </c:pt>
                <c:pt idx="5">
                  <c:v>0.000156202438360115</c:v>
                </c:pt>
                <c:pt idx="6">
                  <c:v>0.000156327537456479</c:v>
                </c:pt>
                <c:pt idx="7">
                  <c:v>0.000156658970292639</c:v>
                </c:pt>
                <c:pt idx="8">
                  <c:v>0.000153461444023727</c:v>
                </c:pt>
                <c:pt idx="9">
                  <c:v>0.000154328044263569</c:v>
                </c:pt>
                <c:pt idx="10">
                  <c:v>0.00014835929621017</c:v>
                </c:pt>
                <c:pt idx="11">
                  <c:v>0.000148359378167192</c:v>
                </c:pt>
                <c:pt idx="12">
                  <c:v>0.000131889282131185</c:v>
                </c:pt>
                <c:pt idx="13">
                  <c:v>0.000117881434852825</c:v>
                </c:pt>
                <c:pt idx="14">
                  <c:v>0.00011238345671873</c:v>
                </c:pt>
                <c:pt idx="15" formatCode="0.00E+00">
                  <c:v>9.11061180966264E-5</c:v>
                </c:pt>
                <c:pt idx="16" formatCode="0.00E+00">
                  <c:v>7.20524291066752E-5</c:v>
                </c:pt>
                <c:pt idx="17" formatCode="0.00E+00">
                  <c:v>5.71264227434078E-5</c:v>
                </c:pt>
                <c:pt idx="18" formatCode="0.00E+00">
                  <c:v>4.75014250427513E-5</c:v>
                </c:pt>
                <c:pt idx="19" formatCode="0.00E+00">
                  <c:v>5.40391052395681E-5</c:v>
                </c:pt>
                <c:pt idx="20" formatCode="0.00E+00">
                  <c:v>4.00100825408003E-5</c:v>
                </c:pt>
                <c:pt idx="21" formatCode="0.00E+00">
                  <c:v>3.4979536970872E-5</c:v>
                </c:pt>
                <c:pt idx="22" formatCode="0.00E+00">
                  <c:v>3.09754798101823E-5</c:v>
                </c:pt>
                <c:pt idx="23" formatCode="0.00E+00">
                  <c:v>7.68734048768488E-6</c:v>
                </c:pt>
                <c:pt idx="24">
                  <c:v>0.0</c:v>
                </c:pt>
                <c:pt idx="25">
                  <c:v>0.0</c:v>
                </c:pt>
                <c:pt idx="26">
                  <c:v>0.0</c:v>
                </c:pt>
                <c:pt idx="27">
                  <c:v>0.0</c:v>
                </c:pt>
                <c:pt idx="28">
                  <c:v>0.0</c:v>
                </c:pt>
                <c:pt idx="29">
                  <c:v>0.0</c:v>
                </c:pt>
                <c:pt idx="30">
                  <c:v>0.0</c:v>
                </c:pt>
                <c:pt idx="31">
                  <c:v>0.0</c:v>
                </c:pt>
                <c:pt idx="32">
                  <c:v>0.0</c:v>
                </c:pt>
                <c:pt idx="33">
                  <c:v>0.0</c:v>
                </c:pt>
                <c:pt idx="34">
                  <c:v>0.0</c:v>
                </c:pt>
                <c:pt idx="35">
                  <c:v>0.0</c:v>
                </c:pt>
                <c:pt idx="36">
                  <c:v>0.0</c:v>
                </c:pt>
                <c:pt idx="37">
                  <c:v>0.0</c:v>
                </c:pt>
                <c:pt idx="38">
                  <c:v>0.0</c:v>
                </c:pt>
                <c:pt idx="39">
                  <c:v>0.0</c:v>
                </c:pt>
                <c:pt idx="40">
                  <c:v>0.0</c:v>
                </c:pt>
                <c:pt idx="41">
                  <c:v>0.0</c:v>
                </c:pt>
                <c:pt idx="42">
                  <c:v>0.0</c:v>
                </c:pt>
                <c:pt idx="43">
                  <c:v>0.0</c:v>
                </c:pt>
                <c:pt idx="44">
                  <c:v>0.0</c:v>
                </c:pt>
                <c:pt idx="45">
                  <c:v>0.0</c:v>
                </c:pt>
                <c:pt idx="46">
                  <c:v>0.0</c:v>
                </c:pt>
                <c:pt idx="47">
                  <c:v>0.0</c:v>
                </c:pt>
              </c:numCache>
            </c:numRef>
          </c:val>
        </c:ser>
        <c:ser>
          <c:idx val="21"/>
          <c:order val="21"/>
          <c:tx>
            <c:strRef>
              <c:f>wt_CBP_RawData_vs_top300TF!$A$26:$B$26</c:f>
              <c:strCache>
                <c:ptCount val="1"/>
                <c:pt idx="0">
                  <c:v>Fushi-tarazu ftz_3_Rel5.gff</c:v>
                </c:pt>
              </c:strCache>
            </c:strRef>
          </c:tx>
          <c:marker>
            <c:symbol val="none"/>
          </c:marker>
          <c:val>
            <c:numRef>
              <c:f>wt_CBP_RawData_vs_top300TF!$C$26:$AX$26</c:f>
              <c:numCache>
                <c:formatCode>General</c:formatCode>
                <c:ptCount val="48"/>
                <c:pt idx="0">
                  <c:v>0.00658220833890526</c:v>
                </c:pt>
                <c:pt idx="1">
                  <c:v>0.00658221360964751</c:v>
                </c:pt>
                <c:pt idx="2">
                  <c:v>0.00658224523427828</c:v>
                </c:pt>
                <c:pt idx="3">
                  <c:v>0.00658229267179424</c:v>
                </c:pt>
                <c:pt idx="4">
                  <c:v>0.00658268273951716</c:v>
                </c:pt>
                <c:pt idx="5">
                  <c:v>0.00658453355548791</c:v>
                </c:pt>
                <c:pt idx="6">
                  <c:v>0.0065882036041915</c:v>
                </c:pt>
                <c:pt idx="7">
                  <c:v>0.00660217137366619</c:v>
                </c:pt>
                <c:pt idx="8">
                  <c:v>0.00663357284087825</c:v>
                </c:pt>
                <c:pt idx="9">
                  <c:v>0.0067063292462259</c:v>
                </c:pt>
                <c:pt idx="10">
                  <c:v>0.00684036373031947</c:v>
                </c:pt>
                <c:pt idx="11">
                  <c:v>0.00706345899890197</c:v>
                </c:pt>
                <c:pt idx="12">
                  <c:v>0.00741854472456515</c:v>
                </c:pt>
                <c:pt idx="13">
                  <c:v>0.00796976734134141</c:v>
                </c:pt>
                <c:pt idx="14">
                  <c:v>0.00877354733471176</c:v>
                </c:pt>
                <c:pt idx="15">
                  <c:v>0.0101320268801544</c:v>
                </c:pt>
                <c:pt idx="16">
                  <c:v>0.0120108266606519</c:v>
                </c:pt>
                <c:pt idx="17">
                  <c:v>0.0145199607600572</c:v>
                </c:pt>
                <c:pt idx="18">
                  <c:v>0.0174205226156785</c:v>
                </c:pt>
                <c:pt idx="19">
                  <c:v>0.0206047929507577</c:v>
                </c:pt>
                <c:pt idx="20">
                  <c:v>0.0237659890292354</c:v>
                </c:pt>
                <c:pt idx="21">
                  <c:v>0.0268842727004702</c:v>
                </c:pt>
                <c:pt idx="22">
                  <c:v>0.0293895352439009</c:v>
                </c:pt>
                <c:pt idx="23">
                  <c:v>0.0316103440853602</c:v>
                </c:pt>
                <c:pt idx="24">
                  <c:v>0.0329489291598023</c:v>
                </c:pt>
                <c:pt idx="25">
                  <c:v>0.0352113530232276</c:v>
                </c:pt>
                <c:pt idx="26">
                  <c:v>0.0367982024131987</c:v>
                </c:pt>
                <c:pt idx="27">
                  <c:v>0.0385936189753624</c:v>
                </c:pt>
                <c:pt idx="28">
                  <c:v>0.0394962793360046</c:v>
                </c:pt>
                <c:pt idx="29">
                  <c:v>0.0384589204274726</c:v>
                </c:pt>
                <c:pt idx="30">
                  <c:v>0.0372748910944447</c:v>
                </c:pt>
                <c:pt idx="31">
                  <c:v>0.0375707055671331</c:v>
                </c:pt>
                <c:pt idx="32">
                  <c:v>0.0364529677470481</c:v>
                </c:pt>
                <c:pt idx="33">
                  <c:v>0.0386416861826698</c:v>
                </c:pt>
                <c:pt idx="34">
                  <c:v>0.0404280618311534</c:v>
                </c:pt>
                <c:pt idx="35">
                  <c:v>0.0380165289256198</c:v>
                </c:pt>
                <c:pt idx="36">
                  <c:v>0.0399766559673184</c:v>
                </c:pt>
                <c:pt idx="37">
                  <c:v>0.0394469296461976</c:v>
                </c:pt>
                <c:pt idx="38">
                  <c:v>0.0368480725623583</c:v>
                </c:pt>
                <c:pt idx="39">
                  <c:v>0.0284090909090909</c:v>
                </c:pt>
                <c:pt idx="40">
                  <c:v>0.0327868852459016</c:v>
                </c:pt>
                <c:pt idx="41">
                  <c:v>0.0355932203389831</c:v>
                </c:pt>
                <c:pt idx="42">
                  <c:v>0.0223325062034739</c:v>
                </c:pt>
                <c:pt idx="43">
                  <c:v>0.0382978723404255</c:v>
                </c:pt>
                <c:pt idx="44">
                  <c:v>0.0567375886524823</c:v>
                </c:pt>
                <c:pt idx="45">
                  <c:v>0.0853658536585366</c:v>
                </c:pt>
                <c:pt idx="46">
                  <c:v>0.117647058823529</c:v>
                </c:pt>
                <c:pt idx="47">
                  <c:v>0.176470588235294</c:v>
                </c:pt>
              </c:numCache>
            </c:numRef>
          </c:val>
        </c:ser>
        <c:ser>
          <c:idx val="22"/>
          <c:order val="22"/>
          <c:tx>
            <c:strRef>
              <c:f>wt_CBP_RawData_vs_top300TF!$A$27:$B$27</c:f>
              <c:strCache>
                <c:ptCount val="1"/>
                <c:pt idx="0">
                  <c:v>GAF (GAGA factor) Embryo_0_12h_GAF_ChIP_chip.GAF_Top300regions.gff</c:v>
                </c:pt>
              </c:strCache>
            </c:strRef>
          </c:tx>
          <c:marker>
            <c:symbol val="none"/>
          </c:marker>
          <c:val>
            <c:numRef>
              <c:f>wt_CBP_RawData_vs_top300TF!$C$27:$AX$27</c:f>
              <c:numCache>
                <c:formatCode>General</c:formatCode>
                <c:ptCount val="48"/>
                <c:pt idx="0">
                  <c:v>0.0103393520768789</c:v>
                </c:pt>
                <c:pt idx="1">
                  <c:v>0.0103393603561762</c:v>
                </c:pt>
                <c:pt idx="2">
                  <c:v>0.0103394100322386</c:v>
                </c:pt>
                <c:pt idx="3">
                  <c:v>0.0103394845472271</c:v>
                </c:pt>
                <c:pt idx="4">
                  <c:v>0.0103400972667452</c:v>
                </c:pt>
                <c:pt idx="5">
                  <c:v>0.0103430045338759</c:v>
                </c:pt>
                <c:pt idx="6">
                  <c:v>0.0103512880186567</c:v>
                </c:pt>
                <c:pt idx="7">
                  <c:v>0.0103732339713772</c:v>
                </c:pt>
                <c:pt idx="8">
                  <c:v>0.0104281089673176</c:v>
                </c:pt>
                <c:pt idx="9">
                  <c:v>0.0105400338378527</c:v>
                </c:pt>
                <c:pt idx="10">
                  <c:v>0.0107477141833154</c:v>
                </c:pt>
                <c:pt idx="11">
                  <c:v>0.0110959013996672</c:v>
                </c:pt>
                <c:pt idx="12">
                  <c:v>0.0116571933778846</c:v>
                </c:pt>
                <c:pt idx="13">
                  <c:v>0.0125199907266605</c:v>
                </c:pt>
                <c:pt idx="14">
                  <c:v>0.0137947965368438</c:v>
                </c:pt>
                <c:pt idx="15">
                  <c:v>0.0159602520688146</c:v>
                </c:pt>
                <c:pt idx="16">
                  <c:v>0.0191142563562773</c:v>
                </c:pt>
                <c:pt idx="17">
                  <c:v>0.0234454718445531</c:v>
                </c:pt>
                <c:pt idx="18">
                  <c:v>0.0288108643259298</c:v>
                </c:pt>
                <c:pt idx="19">
                  <c:v>0.0351158820930299</c:v>
                </c:pt>
                <c:pt idx="20">
                  <c:v>0.0419745775935536</c:v>
                </c:pt>
                <c:pt idx="21">
                  <c:v>0.049216208518017</c:v>
                </c:pt>
                <c:pt idx="22">
                  <c:v>0.0568957613153428</c:v>
                </c:pt>
                <c:pt idx="23">
                  <c:v>0.0656114510623905</c:v>
                </c:pt>
                <c:pt idx="24">
                  <c:v>0.0756380242203532</c:v>
                </c:pt>
                <c:pt idx="25">
                  <c:v>0.0866031900054582</c:v>
                </c:pt>
                <c:pt idx="26">
                  <c:v>0.100160059098744</c:v>
                </c:pt>
                <c:pt idx="27">
                  <c:v>0.116299964061814</c:v>
                </c:pt>
                <c:pt idx="28">
                  <c:v>0.132460841962845</c:v>
                </c:pt>
                <c:pt idx="29">
                  <c:v>0.151555374038527</c:v>
                </c:pt>
                <c:pt idx="30">
                  <c:v>0.171599227556474</c:v>
                </c:pt>
                <c:pt idx="31">
                  <c:v>0.187913069365883</c:v>
                </c:pt>
                <c:pt idx="32">
                  <c:v>0.203581900309058</c:v>
                </c:pt>
                <c:pt idx="33">
                  <c:v>0.220246966148606</c:v>
                </c:pt>
                <c:pt idx="34">
                  <c:v>0.236771700356718</c:v>
                </c:pt>
                <c:pt idx="35">
                  <c:v>0.236570247933884</c:v>
                </c:pt>
                <c:pt idx="36">
                  <c:v>0.248322147651007</c:v>
                </c:pt>
                <c:pt idx="37">
                  <c:v>0.24115494103294</c:v>
                </c:pt>
                <c:pt idx="38">
                  <c:v>0.22562358276644</c:v>
                </c:pt>
                <c:pt idx="39">
                  <c:v>0.219967532467532</c:v>
                </c:pt>
                <c:pt idx="40">
                  <c:v>0.213114754098361</c:v>
                </c:pt>
                <c:pt idx="41">
                  <c:v>0.228813559322034</c:v>
                </c:pt>
                <c:pt idx="42">
                  <c:v>0.253101736972705</c:v>
                </c:pt>
                <c:pt idx="43">
                  <c:v>0.365957446808511</c:v>
                </c:pt>
                <c:pt idx="44">
                  <c:v>0.361702127659574</c:v>
                </c:pt>
                <c:pt idx="45">
                  <c:v>0.268292682926829</c:v>
                </c:pt>
                <c:pt idx="46">
                  <c:v>0.313725490196078</c:v>
                </c:pt>
                <c:pt idx="47">
                  <c:v>0.352941176470588</c:v>
                </c:pt>
              </c:numCache>
            </c:numRef>
          </c:val>
        </c:ser>
        <c:ser>
          <c:idx val="23"/>
          <c:order val="23"/>
          <c:tx>
            <c:strRef>
              <c:f>wt_CBP_RawData_vs_top300TF!$A$28:$B$28</c:f>
              <c:strCache>
                <c:ptCount val="1"/>
                <c:pt idx="0">
                  <c:v>GATAe E0_8h_GATAe.region_Top300regions.gff</c:v>
                </c:pt>
              </c:strCache>
            </c:strRef>
          </c:tx>
          <c:marker>
            <c:symbol val="none"/>
          </c:marker>
          <c:val>
            <c:numRef>
              <c:f>wt_CBP_RawData_vs_top300TF!$C$28:$AX$28</c:f>
              <c:numCache>
                <c:formatCode>General</c:formatCode>
                <c:ptCount val="48"/>
                <c:pt idx="0">
                  <c:v>0.00123636614054376</c:v>
                </c:pt>
                <c:pt idx="1">
                  <c:v>0.00123636713057126</c:v>
                </c:pt>
                <c:pt idx="2">
                  <c:v>0.00123637307076955</c:v>
                </c:pt>
                <c:pt idx="3">
                  <c:v>0.001236381981174</c:v>
                </c:pt>
                <c:pt idx="4">
                  <c:v>0.00123645524936916</c:v>
                </c:pt>
                <c:pt idx="5">
                  <c:v>0.00123680289655393</c:v>
                </c:pt>
                <c:pt idx="6">
                  <c:v>0.00123779342478361</c:v>
                </c:pt>
                <c:pt idx="7">
                  <c:v>0.00124041769298377</c:v>
                </c:pt>
                <c:pt idx="8">
                  <c:v>0.00124707615564544</c:v>
                </c:pt>
                <c:pt idx="9">
                  <c:v>0.00126075397006852</c:v>
                </c:pt>
                <c:pt idx="10">
                  <c:v>0.00127939056001467</c:v>
                </c:pt>
                <c:pt idx="11">
                  <c:v>0.00129641944991448</c:v>
                </c:pt>
                <c:pt idx="12">
                  <c:v>0.0013288982151287</c:v>
                </c:pt>
                <c:pt idx="13">
                  <c:v>0.00138117747835893</c:v>
                </c:pt>
                <c:pt idx="14">
                  <c:v>0.00143479850082651</c:v>
                </c:pt>
                <c:pt idx="15">
                  <c:v>0.0015513703771665</c:v>
                </c:pt>
                <c:pt idx="16">
                  <c:v>0.00171516108416977</c:v>
                </c:pt>
                <c:pt idx="17">
                  <c:v>0.00195411763315381</c:v>
                </c:pt>
                <c:pt idx="18">
                  <c:v>0.00220256607698231</c:v>
                </c:pt>
                <c:pt idx="19">
                  <c:v>0.00248579884102013</c:v>
                </c:pt>
                <c:pt idx="20">
                  <c:v>0.00262066040642242</c:v>
                </c:pt>
                <c:pt idx="21">
                  <c:v>0.00281835126451026</c:v>
                </c:pt>
                <c:pt idx="22">
                  <c:v>0.00286213433446084</c:v>
                </c:pt>
                <c:pt idx="23">
                  <c:v>0.00295962608775868</c:v>
                </c:pt>
                <c:pt idx="24">
                  <c:v>0.00304440398084723</c:v>
                </c:pt>
                <c:pt idx="25">
                  <c:v>0.00349323791618655</c:v>
                </c:pt>
                <c:pt idx="26">
                  <c:v>0.00384757448904211</c:v>
                </c:pt>
                <c:pt idx="27">
                  <c:v>0.00405302879048037</c:v>
                </c:pt>
                <c:pt idx="28">
                  <c:v>0.00408492480616121</c:v>
                </c:pt>
                <c:pt idx="29">
                  <c:v>0.00387992648560343</c:v>
                </c:pt>
                <c:pt idx="30">
                  <c:v>0.00327839403601742</c:v>
                </c:pt>
                <c:pt idx="31">
                  <c:v>0.00351295028282227</c:v>
                </c:pt>
                <c:pt idx="32">
                  <c:v>0.00412077026705761</c:v>
                </c:pt>
                <c:pt idx="33">
                  <c:v>0.00425803704492229</c:v>
                </c:pt>
                <c:pt idx="34">
                  <c:v>0.0044589774078478</c:v>
                </c:pt>
                <c:pt idx="35">
                  <c:v>0.00392561983471074</c:v>
                </c:pt>
                <c:pt idx="36">
                  <c:v>0.00437700612780858</c:v>
                </c:pt>
                <c:pt idx="37">
                  <c:v>0.00569337128914193</c:v>
                </c:pt>
                <c:pt idx="38">
                  <c:v>0.00623582766439909</c:v>
                </c:pt>
                <c:pt idx="39">
                  <c:v>0.00892857142857143</c:v>
                </c:pt>
                <c:pt idx="40">
                  <c:v>0.0117096018735363</c:v>
                </c:pt>
                <c:pt idx="41">
                  <c:v>0.0169491525423729</c:v>
                </c:pt>
                <c:pt idx="42">
                  <c:v>0.0173697270471464</c:v>
                </c:pt>
                <c:pt idx="43">
                  <c:v>0.025531914893617</c:v>
                </c:pt>
                <c:pt idx="44">
                  <c:v>0.0425531914893617</c:v>
                </c:pt>
                <c:pt idx="45">
                  <c:v>0.024390243902439</c:v>
                </c:pt>
                <c:pt idx="46">
                  <c:v>0.0</c:v>
                </c:pt>
                <c:pt idx="47">
                  <c:v>0.0</c:v>
                </c:pt>
              </c:numCache>
            </c:numRef>
          </c:val>
        </c:ser>
        <c:ser>
          <c:idx val="24"/>
          <c:order val="24"/>
          <c:tx>
            <c:strRef>
              <c:f>wt_CBP_RawData_vs_top300TF!$A$29:$B$29</c:f>
              <c:strCache>
                <c:ptCount val="1"/>
                <c:pt idx="0">
                  <c:v>Giant gt_2_Rel5.gff</c:v>
                </c:pt>
              </c:strCache>
            </c:strRef>
          </c:tx>
          <c:marker>
            <c:symbol val="none"/>
          </c:marker>
          <c:val>
            <c:numRef>
              <c:f>wt_CBP_RawData_vs_top300TF!$C$29:$AX$29</c:f>
              <c:numCache>
                <c:formatCode>General</c:formatCode>
                <c:ptCount val="48"/>
                <c:pt idx="0">
                  <c:v>0.0127904639656124</c:v>
                </c:pt>
                <c:pt idx="1">
                  <c:v>0.012790474207652</c:v>
                </c:pt>
                <c:pt idx="2">
                  <c:v>0.0127905356602344</c:v>
                </c:pt>
                <c:pt idx="3">
                  <c:v>0.0127906278402152</c:v>
                </c:pt>
                <c:pt idx="4">
                  <c:v>0.0127913858148793</c:v>
                </c:pt>
                <c:pt idx="5">
                  <c:v>0.012794982297057</c:v>
                </c:pt>
                <c:pt idx="6">
                  <c:v>0.0128052295168838</c:v>
                </c:pt>
                <c:pt idx="7">
                  <c:v>0.0128323781153042</c:v>
                </c:pt>
                <c:pt idx="8">
                  <c:v>0.0129012612915315</c:v>
                </c:pt>
                <c:pt idx="9">
                  <c:v>0.0130427611165185</c:v>
                </c:pt>
                <c:pt idx="10">
                  <c:v>0.0133106626993057</c:v>
                </c:pt>
                <c:pt idx="11">
                  <c:v>0.0137534318888133</c:v>
                </c:pt>
                <c:pt idx="12">
                  <c:v>0.0144568844840901</c:v>
                </c:pt>
                <c:pt idx="13">
                  <c:v>0.0155269496606979</c:v>
                </c:pt>
                <c:pt idx="14">
                  <c:v>0.0170571900862516</c:v>
                </c:pt>
                <c:pt idx="15">
                  <c:v>0.0196802046936332</c:v>
                </c:pt>
                <c:pt idx="16">
                  <c:v>0.0233136598874729</c:v>
                </c:pt>
                <c:pt idx="17">
                  <c:v>0.0280943807298787</c:v>
                </c:pt>
                <c:pt idx="18">
                  <c:v>0.0334160024800744</c:v>
                </c:pt>
                <c:pt idx="19">
                  <c:v>0.039458083137574</c:v>
                </c:pt>
                <c:pt idx="20">
                  <c:v>0.0452754094031696</c:v>
                </c:pt>
                <c:pt idx="21">
                  <c:v>0.0503355537010849</c:v>
                </c:pt>
                <c:pt idx="22">
                  <c:v>0.054900940415567</c:v>
                </c:pt>
                <c:pt idx="23">
                  <c:v>0.0576781156790997</c:v>
                </c:pt>
                <c:pt idx="24">
                  <c:v>0.0604738094549939</c:v>
                </c:pt>
                <c:pt idx="25">
                  <c:v>0.0629146703863182</c:v>
                </c:pt>
                <c:pt idx="26">
                  <c:v>0.0646700320118197</c:v>
                </c:pt>
                <c:pt idx="27">
                  <c:v>0.0671445114403226</c:v>
                </c:pt>
                <c:pt idx="28">
                  <c:v>0.0675703803923609</c:v>
                </c:pt>
                <c:pt idx="29">
                  <c:v>0.0692600912123068</c:v>
                </c:pt>
                <c:pt idx="30">
                  <c:v>0.068981003278394</c:v>
                </c:pt>
                <c:pt idx="31">
                  <c:v>0.0696635903542721</c:v>
                </c:pt>
                <c:pt idx="32">
                  <c:v>0.067041762421745</c:v>
                </c:pt>
                <c:pt idx="33">
                  <c:v>0.0640834575260805</c:v>
                </c:pt>
                <c:pt idx="34">
                  <c:v>0.0619797859690844</c:v>
                </c:pt>
                <c:pt idx="35">
                  <c:v>0.0557851239669422</c:v>
                </c:pt>
                <c:pt idx="36">
                  <c:v>0.0490224686314561</c:v>
                </c:pt>
                <c:pt idx="37">
                  <c:v>0.0382269215128101</c:v>
                </c:pt>
                <c:pt idx="38">
                  <c:v>0.0260770975056689</c:v>
                </c:pt>
                <c:pt idx="39">
                  <c:v>0.0202922077922078</c:v>
                </c:pt>
                <c:pt idx="40">
                  <c:v>0.0187353629976581</c:v>
                </c:pt>
                <c:pt idx="41">
                  <c:v>0.0186440677966102</c:v>
                </c:pt>
                <c:pt idx="42">
                  <c:v>0.0148883374689826</c:v>
                </c:pt>
                <c:pt idx="43">
                  <c:v>0.025531914893617</c:v>
                </c:pt>
                <c:pt idx="44">
                  <c:v>0.0425531914893617</c:v>
                </c:pt>
                <c:pt idx="45">
                  <c:v>0.0731707317073171</c:v>
                </c:pt>
                <c:pt idx="46">
                  <c:v>0.0</c:v>
                </c:pt>
                <c:pt idx="47">
                  <c:v>0.0</c:v>
                </c:pt>
              </c:numCache>
            </c:numRef>
          </c:val>
        </c:ser>
        <c:ser>
          <c:idx val="25"/>
          <c:order val="25"/>
          <c:tx>
            <c:strRef>
              <c:f>wt_CBP_RawData_vs_top300TF!$A$30:$B$30</c:f>
              <c:strCache>
                <c:ptCount val="1"/>
                <c:pt idx="0">
                  <c:v>Hairy E0_8h_h.region_Top300regions.gff</c:v>
                </c:pt>
              </c:strCache>
            </c:strRef>
          </c:tx>
          <c:marker>
            <c:symbol val="none"/>
          </c:marker>
          <c:val>
            <c:numRef>
              <c:f>wt_CBP_RawData_vs_top300TF!$C$30:$AX$30</c:f>
              <c:numCache>
                <c:formatCode>General</c:formatCode>
                <c:ptCount val="48"/>
                <c:pt idx="0">
                  <c:v>0.00153745012295597</c:v>
                </c:pt>
                <c:pt idx="1">
                  <c:v>0.00153745135407825</c:v>
                </c:pt>
                <c:pt idx="2">
                  <c:v>0.00153745874085332</c:v>
                </c:pt>
                <c:pt idx="3">
                  <c:v>0.00153746982114902</c:v>
                </c:pt>
                <c:pt idx="4">
                  <c:v>0.00153756093185802</c:v>
                </c:pt>
                <c:pt idx="5">
                  <c:v>0.00153799323923805</c:v>
                </c:pt>
                <c:pt idx="6">
                  <c:v>0.00153922498418687</c:v>
                </c:pt>
                <c:pt idx="7">
                  <c:v>0.00154248832288137</c:v>
                </c:pt>
                <c:pt idx="8">
                  <c:v>0.00154753750920769</c:v>
                </c:pt>
                <c:pt idx="9">
                  <c:v>0.00156206110410692</c:v>
                </c:pt>
                <c:pt idx="10">
                  <c:v>0.00159194525708666</c:v>
                </c:pt>
                <c:pt idx="11">
                  <c:v>0.00164144125960562</c:v>
                </c:pt>
                <c:pt idx="12">
                  <c:v>0.00171365108644933</c:v>
                </c:pt>
                <c:pt idx="13">
                  <c:v>0.00181930347789527</c:v>
                </c:pt>
                <c:pt idx="14">
                  <c:v>0.00197052934790318</c:v>
                </c:pt>
                <c:pt idx="15">
                  <c:v>0.00222504237717676</c:v>
                </c:pt>
                <c:pt idx="16">
                  <c:v>0.0025735248048319</c:v>
                </c:pt>
                <c:pt idx="17">
                  <c:v>0.00300997151558369</c:v>
                </c:pt>
                <c:pt idx="18">
                  <c:v>0.00354760642819285</c:v>
                </c:pt>
                <c:pt idx="19">
                  <c:v>0.00407200551834628</c:v>
                </c:pt>
                <c:pt idx="20">
                  <c:v>0.00459315747568387</c:v>
                </c:pt>
                <c:pt idx="21">
                  <c:v>0.00494710594302333</c:v>
                </c:pt>
                <c:pt idx="22">
                  <c:v>0.00519768551214858</c:v>
                </c:pt>
                <c:pt idx="23">
                  <c:v>0.00509670674333508</c:v>
                </c:pt>
                <c:pt idx="24">
                  <c:v>0.00535660953592108</c:v>
                </c:pt>
                <c:pt idx="25">
                  <c:v>0.00540966705076111</c:v>
                </c:pt>
                <c:pt idx="26">
                  <c:v>0.00558667815808914</c:v>
                </c:pt>
                <c:pt idx="27">
                  <c:v>0.00547059058419518</c:v>
                </c:pt>
                <c:pt idx="28">
                  <c:v>0.00598428474787948</c:v>
                </c:pt>
                <c:pt idx="29">
                  <c:v>0.0063304063712477</c:v>
                </c:pt>
                <c:pt idx="30">
                  <c:v>0.00574841693986617</c:v>
                </c:pt>
                <c:pt idx="31">
                  <c:v>0.00577552843108068</c:v>
                </c:pt>
                <c:pt idx="32">
                  <c:v>0.00546794516205722</c:v>
                </c:pt>
                <c:pt idx="33">
                  <c:v>0.00489674260166063</c:v>
                </c:pt>
                <c:pt idx="34">
                  <c:v>0.00297265160523187</c:v>
                </c:pt>
                <c:pt idx="35">
                  <c:v>0.00289256198347107</c:v>
                </c:pt>
                <c:pt idx="36">
                  <c:v>0.002042602859644</c:v>
                </c:pt>
                <c:pt idx="37">
                  <c:v>0.00284668564457096</c:v>
                </c:pt>
                <c:pt idx="38">
                  <c:v>0.0</c:v>
                </c:pt>
                <c:pt idx="39">
                  <c:v>0.0</c:v>
                </c:pt>
                <c:pt idx="40">
                  <c:v>0.0</c:v>
                </c:pt>
                <c:pt idx="41">
                  <c:v>0.0</c:v>
                </c:pt>
                <c:pt idx="42">
                  <c:v>0.0</c:v>
                </c:pt>
                <c:pt idx="43">
                  <c:v>0.0</c:v>
                </c:pt>
                <c:pt idx="44">
                  <c:v>0.0</c:v>
                </c:pt>
                <c:pt idx="45">
                  <c:v>0.0</c:v>
                </c:pt>
                <c:pt idx="46">
                  <c:v>0.0</c:v>
                </c:pt>
                <c:pt idx="47">
                  <c:v>0.0</c:v>
                </c:pt>
              </c:numCache>
            </c:numRef>
          </c:val>
        </c:ser>
        <c:ser>
          <c:idx val="26"/>
          <c:order val="26"/>
          <c:tx>
            <c:strRef>
              <c:f>wt_CBP_RawData_vs_top300TF!$A$31:$B$31</c:f>
              <c:strCache>
                <c:ptCount val="1"/>
                <c:pt idx="0">
                  <c:v>Hairy h_1_Rel5.gff</c:v>
                </c:pt>
              </c:strCache>
            </c:strRef>
          </c:tx>
          <c:marker>
            <c:symbol val="none"/>
          </c:marker>
          <c:val>
            <c:numRef>
              <c:f>wt_CBP_RawData_vs_top300TF!$C$31:$AX$31</c:f>
              <c:numCache>
                <c:formatCode>General</c:formatCode>
                <c:ptCount val="48"/>
                <c:pt idx="0">
                  <c:v>0.0119032271238232</c:v>
                </c:pt>
                <c:pt idx="1">
                  <c:v>0.0119032366554027</c:v>
                </c:pt>
                <c:pt idx="2">
                  <c:v>0.0119032938452003</c:v>
                </c:pt>
                <c:pt idx="3">
                  <c:v>0.0119033796309272</c:v>
                </c:pt>
                <c:pt idx="4">
                  <c:v>0.0119040850271195</c:v>
                </c:pt>
                <c:pt idx="5">
                  <c:v>0.0119074320319134</c:v>
                </c:pt>
                <c:pt idx="6">
                  <c:v>0.0119169684322593</c:v>
                </c:pt>
                <c:pt idx="7">
                  <c:v>0.0119398236743036</c:v>
                </c:pt>
                <c:pt idx="8">
                  <c:v>0.0119990695390341</c:v>
                </c:pt>
                <c:pt idx="9">
                  <c:v>0.0121233252549271</c:v>
                </c:pt>
                <c:pt idx="10">
                  <c:v>0.0123579959826303</c:v>
                </c:pt>
                <c:pt idx="11">
                  <c:v>0.0127554563042816</c:v>
                </c:pt>
                <c:pt idx="12">
                  <c:v>0.0133726636268461</c:v>
                </c:pt>
                <c:pt idx="13">
                  <c:v>0.0143235766799087</c:v>
                </c:pt>
                <c:pt idx="14">
                  <c:v>0.0156769466615021</c:v>
                </c:pt>
                <c:pt idx="15">
                  <c:v>0.017987683992655</c:v>
                </c:pt>
                <c:pt idx="16">
                  <c:v>0.0211160607997193</c:v>
                </c:pt>
                <c:pt idx="17">
                  <c:v>0.0251829030466112</c:v>
                </c:pt>
                <c:pt idx="18">
                  <c:v>0.0298333950018501</c:v>
                </c:pt>
                <c:pt idx="19">
                  <c:v>0.0344769491428444</c:v>
                </c:pt>
                <c:pt idx="20">
                  <c:v>0.038745763932511</c:v>
                </c:pt>
                <c:pt idx="21">
                  <c:v>0.043079798317984</c:v>
                </c:pt>
                <c:pt idx="22">
                  <c:v>0.0470145832558946</c:v>
                </c:pt>
                <c:pt idx="23">
                  <c:v>0.0500676485962916</c:v>
                </c:pt>
                <c:pt idx="24">
                  <c:v>0.0532385329055753</c:v>
                </c:pt>
                <c:pt idx="25">
                  <c:v>0.0559524531505852</c:v>
                </c:pt>
                <c:pt idx="26">
                  <c:v>0.0584061807436592</c:v>
                </c:pt>
                <c:pt idx="27">
                  <c:v>0.0610749510841353</c:v>
                </c:pt>
                <c:pt idx="28">
                  <c:v>0.0622365613779466</c:v>
                </c:pt>
                <c:pt idx="29">
                  <c:v>0.0636784425838949</c:v>
                </c:pt>
                <c:pt idx="30">
                  <c:v>0.065343333183635</c:v>
                </c:pt>
                <c:pt idx="31">
                  <c:v>0.0659720154807979</c:v>
                </c:pt>
                <c:pt idx="32">
                  <c:v>0.0645059037958634</c:v>
                </c:pt>
                <c:pt idx="33">
                  <c:v>0.0645092612305727</c:v>
                </c:pt>
                <c:pt idx="34">
                  <c:v>0.0713436385255648</c:v>
                </c:pt>
                <c:pt idx="35">
                  <c:v>0.0716942148760331</c:v>
                </c:pt>
                <c:pt idx="36">
                  <c:v>0.0732419025386636</c:v>
                </c:pt>
                <c:pt idx="37">
                  <c:v>0.0638470923139488</c:v>
                </c:pt>
                <c:pt idx="38">
                  <c:v>0.0651927437641723</c:v>
                </c:pt>
                <c:pt idx="39">
                  <c:v>0.0706168831168831</c:v>
                </c:pt>
                <c:pt idx="40">
                  <c:v>0.0749414519906323</c:v>
                </c:pt>
                <c:pt idx="41">
                  <c:v>0.0898305084745763</c:v>
                </c:pt>
                <c:pt idx="42">
                  <c:v>0.086848635235732</c:v>
                </c:pt>
                <c:pt idx="43">
                  <c:v>0.102127659574468</c:v>
                </c:pt>
                <c:pt idx="44">
                  <c:v>0.0921985815602837</c:v>
                </c:pt>
                <c:pt idx="45">
                  <c:v>0.0</c:v>
                </c:pt>
                <c:pt idx="46">
                  <c:v>0.0</c:v>
                </c:pt>
                <c:pt idx="47">
                  <c:v>0.0</c:v>
                </c:pt>
              </c:numCache>
            </c:numRef>
          </c:val>
        </c:ser>
        <c:ser>
          <c:idx val="27"/>
          <c:order val="27"/>
          <c:tx>
            <c:strRef>
              <c:f>wt_CBP_RawData_vs_top300TF!$A$32:$B$32</c:f>
              <c:strCache>
                <c:ptCount val="1"/>
                <c:pt idx="0">
                  <c:v>Hairy h_2_Rel5.gff</c:v>
                </c:pt>
              </c:strCache>
            </c:strRef>
          </c:tx>
          <c:marker>
            <c:symbol val="none"/>
          </c:marker>
          <c:val>
            <c:numRef>
              <c:f>wt_CBP_RawData_vs_top300TF!$C$32:$AX$32</c:f>
              <c:numCache>
                <c:formatCode>General</c:formatCode>
                <c:ptCount val="48"/>
                <c:pt idx="0">
                  <c:v>0.0135904184827129</c:v>
                </c:pt>
                <c:pt idx="1">
                  <c:v>0.0135904293653209</c:v>
                </c:pt>
                <c:pt idx="2">
                  <c:v>0.0135904946613347</c:v>
                </c:pt>
                <c:pt idx="3">
                  <c:v>0.0135905926065318</c:v>
                </c:pt>
                <c:pt idx="4">
                  <c:v>0.0135913979872366</c:v>
                </c:pt>
                <c:pt idx="5">
                  <c:v>0.013595219404348</c:v>
                </c:pt>
                <c:pt idx="6">
                  <c:v>0.0136061075164685</c:v>
                </c:pt>
                <c:pt idx="7">
                  <c:v>0.0136325439327989</c:v>
                </c:pt>
                <c:pt idx="8">
                  <c:v>0.0137024915676975</c:v>
                </c:pt>
                <c:pt idx="9">
                  <c:v>0.0138454302567888</c:v>
                </c:pt>
                <c:pt idx="10">
                  <c:v>0.0141224714325007</c:v>
                </c:pt>
                <c:pt idx="11">
                  <c:v>0.0145883846682658</c:v>
                </c:pt>
                <c:pt idx="12">
                  <c:v>0.0153209866773633</c:v>
                </c:pt>
                <c:pt idx="13">
                  <c:v>0.016470983484811</c:v>
                </c:pt>
                <c:pt idx="14">
                  <c:v>0.018104647546931</c:v>
                </c:pt>
                <c:pt idx="15">
                  <c:v>0.0209082125107948</c:v>
                </c:pt>
                <c:pt idx="16">
                  <c:v>0.0247813365412328</c:v>
                </c:pt>
                <c:pt idx="17">
                  <c:v>0.0298613600816317</c:v>
                </c:pt>
                <c:pt idx="18">
                  <c:v>0.0358535756072682</c:v>
                </c:pt>
                <c:pt idx="19">
                  <c:v>0.0421346082323809</c:v>
                </c:pt>
                <c:pt idx="20">
                  <c:v>0.0487242785181866</c:v>
                </c:pt>
                <c:pt idx="21">
                  <c:v>0.0554275748687018</c:v>
                </c:pt>
                <c:pt idx="22">
                  <c:v>0.0619757400042127</c:v>
                </c:pt>
                <c:pt idx="23">
                  <c:v>0.067525598843824</c:v>
                </c:pt>
                <c:pt idx="24">
                  <c:v>0.0734510631328458</c:v>
                </c:pt>
                <c:pt idx="25">
                  <c:v>0.0797258778579659</c:v>
                </c:pt>
                <c:pt idx="26">
                  <c:v>0.0860009849790692</c:v>
                </c:pt>
                <c:pt idx="27">
                  <c:v>0.0927604520225213</c:v>
                </c:pt>
                <c:pt idx="28">
                  <c:v>0.0982723630119165</c:v>
                </c:pt>
                <c:pt idx="29">
                  <c:v>0.104553808454156</c:v>
                </c:pt>
                <c:pt idx="30">
                  <c:v>0.109085193335429</c:v>
                </c:pt>
                <c:pt idx="31">
                  <c:v>0.114081571896398</c:v>
                </c:pt>
                <c:pt idx="32">
                  <c:v>0.11688723353673</c:v>
                </c:pt>
                <c:pt idx="33">
                  <c:v>0.124441132637854</c:v>
                </c:pt>
                <c:pt idx="34">
                  <c:v>0.132282996432818</c:v>
                </c:pt>
                <c:pt idx="35">
                  <c:v>0.131404958677686</c:v>
                </c:pt>
                <c:pt idx="36">
                  <c:v>0.141231397723957</c:v>
                </c:pt>
                <c:pt idx="37">
                  <c:v>0.132167547783652</c:v>
                </c:pt>
                <c:pt idx="38">
                  <c:v>0.130952380952381</c:v>
                </c:pt>
                <c:pt idx="39">
                  <c:v>0.150162337662338</c:v>
                </c:pt>
                <c:pt idx="40">
                  <c:v>0.152224824355972</c:v>
                </c:pt>
                <c:pt idx="41">
                  <c:v>0.171186440677966</c:v>
                </c:pt>
                <c:pt idx="42">
                  <c:v>0.166253101736973</c:v>
                </c:pt>
                <c:pt idx="43">
                  <c:v>0.191489361702128</c:v>
                </c:pt>
                <c:pt idx="44">
                  <c:v>0.191489361702128</c:v>
                </c:pt>
                <c:pt idx="45">
                  <c:v>0.109756097560976</c:v>
                </c:pt>
                <c:pt idx="46">
                  <c:v>0.117647058823529</c:v>
                </c:pt>
                <c:pt idx="47">
                  <c:v>0.176470588235294</c:v>
                </c:pt>
              </c:numCache>
            </c:numRef>
          </c:val>
        </c:ser>
        <c:ser>
          <c:idx val="28"/>
          <c:order val="28"/>
          <c:tx>
            <c:strRef>
              <c:f>wt_CBP_RawData_vs_top300TF!$A$33:$B$33</c:f>
              <c:strCache>
                <c:ptCount val="1"/>
                <c:pt idx="0">
                  <c:v>Huckebein E0_8h_hkb.region_Top300regions.gff</c:v>
                </c:pt>
              </c:strCache>
            </c:strRef>
          </c:tx>
          <c:marker>
            <c:symbol val="none"/>
          </c:marker>
          <c:val>
            <c:numRef>
              <c:f>wt_CBP_RawData_vs_top300TF!$C$33:$AX$33</c:f>
              <c:numCache>
                <c:formatCode>General</c:formatCode>
                <c:ptCount val="48"/>
                <c:pt idx="0">
                  <c:v>0.00112906493404579</c:v>
                </c:pt>
                <c:pt idx="1">
                  <c:v>0.00112906583815121</c:v>
                </c:pt>
                <c:pt idx="2">
                  <c:v>0.00112907126281416</c:v>
                </c:pt>
                <c:pt idx="3">
                  <c:v>0.00112907939990631</c:v>
                </c:pt>
                <c:pt idx="4">
                  <c:v>0.00112914630933324</c:v>
                </c:pt>
                <c:pt idx="5">
                  <c:v>0.00112946378506544</c:v>
                </c:pt>
                <c:pt idx="6">
                  <c:v>0.00113036834776223</c:v>
                </c:pt>
                <c:pt idx="7">
                  <c:v>0.001132764862116</c:v>
                </c:pt>
                <c:pt idx="8">
                  <c:v>0.00113884545301818</c:v>
                </c:pt>
                <c:pt idx="9">
                  <c:v>0.0011505196527374</c:v>
                </c:pt>
                <c:pt idx="10">
                  <c:v>0.00116687086906875</c:v>
                </c:pt>
                <c:pt idx="11">
                  <c:v>0.00118169969819217</c:v>
                </c:pt>
                <c:pt idx="12">
                  <c:v>0.0012133813956069</c:v>
                </c:pt>
                <c:pt idx="13">
                  <c:v>0.00126231369821567</c:v>
                </c:pt>
                <c:pt idx="14">
                  <c:v>0.00134205487149552</c:v>
                </c:pt>
                <c:pt idx="15">
                  <c:v>0.00144743241145063</c:v>
                </c:pt>
                <c:pt idx="16">
                  <c:v>0.00159455158327381</c:v>
                </c:pt>
                <c:pt idx="17">
                  <c:v>0.00181425639126478</c:v>
                </c:pt>
                <c:pt idx="18">
                  <c:v>0.00206256187685631</c:v>
                </c:pt>
                <c:pt idx="19">
                  <c:v>0.002406329568609</c:v>
                </c:pt>
                <c:pt idx="20">
                  <c:v>0.00267267351372546</c:v>
                </c:pt>
                <c:pt idx="21">
                  <c:v>0.00283833957135076</c:v>
                </c:pt>
                <c:pt idx="22">
                  <c:v>0.00299223134966361</c:v>
                </c:pt>
                <c:pt idx="23">
                  <c:v>0.00318255896190154</c:v>
                </c:pt>
                <c:pt idx="24">
                  <c:v>0.00331416129560585</c:v>
                </c:pt>
                <c:pt idx="25">
                  <c:v>0.00359027230274729</c:v>
                </c:pt>
                <c:pt idx="26">
                  <c:v>0.00412459985225314</c:v>
                </c:pt>
                <c:pt idx="27">
                  <c:v>0.00429261669927724</c:v>
                </c:pt>
                <c:pt idx="28">
                  <c:v>0.00437112972888588</c:v>
                </c:pt>
                <c:pt idx="29">
                  <c:v>0.00442447757130216</c:v>
                </c:pt>
                <c:pt idx="30">
                  <c:v>0.00480531728566938</c:v>
                </c:pt>
                <c:pt idx="31">
                  <c:v>0.00583506996129801</c:v>
                </c:pt>
                <c:pt idx="32">
                  <c:v>0.00578492749029242</c:v>
                </c:pt>
                <c:pt idx="33">
                  <c:v>0.00542899723227592</c:v>
                </c:pt>
                <c:pt idx="34">
                  <c:v>0.00460760998810939</c:v>
                </c:pt>
                <c:pt idx="35">
                  <c:v>0.00475206611570248</c:v>
                </c:pt>
                <c:pt idx="36">
                  <c:v>0.00554420776189087</c:v>
                </c:pt>
                <c:pt idx="37">
                  <c:v>0.00447336315575437</c:v>
                </c:pt>
                <c:pt idx="38">
                  <c:v>0.00510204081632653</c:v>
                </c:pt>
                <c:pt idx="39">
                  <c:v>0.00730519480519481</c:v>
                </c:pt>
                <c:pt idx="40">
                  <c:v>0.00936768149882904</c:v>
                </c:pt>
                <c:pt idx="41">
                  <c:v>0.011864406779661</c:v>
                </c:pt>
                <c:pt idx="42">
                  <c:v>0.0173697270471464</c:v>
                </c:pt>
                <c:pt idx="43">
                  <c:v>0.025531914893617</c:v>
                </c:pt>
                <c:pt idx="44">
                  <c:v>0.0425531914893617</c:v>
                </c:pt>
                <c:pt idx="45">
                  <c:v>0.024390243902439</c:v>
                </c:pt>
                <c:pt idx="46">
                  <c:v>0.0</c:v>
                </c:pt>
                <c:pt idx="47">
                  <c:v>0.0</c:v>
                </c:pt>
              </c:numCache>
            </c:numRef>
          </c:val>
        </c:ser>
        <c:ser>
          <c:idx val="29"/>
          <c:order val="29"/>
          <c:tx>
            <c:strRef>
              <c:f>wt_CBP_RawData_vs_top300TF!$A$34:$B$34</c:f>
              <c:strCache>
                <c:ptCount val="1"/>
                <c:pt idx="0">
                  <c:v>Huckebein hkb_1_Rel5.gff</c:v>
                </c:pt>
              </c:strCache>
            </c:strRef>
          </c:tx>
          <c:marker>
            <c:symbol val="none"/>
          </c:marker>
          <c:val>
            <c:numRef>
              <c:f>wt_CBP_RawData_vs_top300TF!$C$34:$AX$34</c:f>
              <c:numCache>
                <c:formatCode>General</c:formatCode>
                <c:ptCount val="48"/>
                <c:pt idx="0">
                  <c:v>0.00977161658876653</c:v>
                </c:pt>
                <c:pt idx="1">
                  <c:v>0.00977162441344629</c:v>
                </c:pt>
                <c:pt idx="2">
                  <c:v>0.00977167136178806</c:v>
                </c:pt>
                <c:pt idx="3">
                  <c:v>0.0097717417851466</c:v>
                </c:pt>
                <c:pt idx="4">
                  <c:v>0.00977232086013721</c:v>
                </c:pt>
                <c:pt idx="5">
                  <c:v>0.00977506848876144</c:v>
                </c:pt>
                <c:pt idx="6">
                  <c:v>0.00978289712605852</c:v>
                </c:pt>
                <c:pt idx="7">
                  <c:v>0.00980283464364503</c:v>
                </c:pt>
                <c:pt idx="8">
                  <c:v>0.00985141701451261</c:v>
                </c:pt>
                <c:pt idx="9">
                  <c:v>0.00995048437775586</c:v>
                </c:pt>
                <c:pt idx="10">
                  <c:v>0.0101384408938231</c:v>
                </c:pt>
                <c:pt idx="11">
                  <c:v>0.0104731370331747</c:v>
                </c:pt>
                <c:pt idx="12">
                  <c:v>0.0110059331985334</c:v>
                </c:pt>
                <c:pt idx="13">
                  <c:v>0.0118244902610288</c:v>
                </c:pt>
                <c:pt idx="14">
                  <c:v>0.0129601038728649</c:v>
                </c:pt>
                <c:pt idx="15">
                  <c:v>0.0149208724116559</c:v>
                </c:pt>
                <c:pt idx="16">
                  <c:v>0.0176168189165821</c:v>
                </c:pt>
                <c:pt idx="17">
                  <c:v>0.0210382825827447</c:v>
                </c:pt>
                <c:pt idx="18">
                  <c:v>0.0249332479974399</c:v>
                </c:pt>
                <c:pt idx="19">
                  <c:v>0.0289808542628907</c:v>
                </c:pt>
                <c:pt idx="20">
                  <c:v>0.032896289865046</c:v>
                </c:pt>
                <c:pt idx="21">
                  <c:v>0.0364486775236487</c:v>
                </c:pt>
                <c:pt idx="22">
                  <c:v>0.039939783667249</c:v>
                </c:pt>
                <c:pt idx="23">
                  <c:v>0.0425263675778728</c:v>
                </c:pt>
                <c:pt idx="24">
                  <c:v>0.0453192288794474</c:v>
                </c:pt>
                <c:pt idx="25">
                  <c:v>0.0469889016920371</c:v>
                </c:pt>
                <c:pt idx="26">
                  <c:v>0.047602191578429</c:v>
                </c:pt>
                <c:pt idx="27">
                  <c:v>0.049055624326159</c:v>
                </c:pt>
                <c:pt idx="28">
                  <c:v>0.0522454077119217</c:v>
                </c:pt>
                <c:pt idx="29">
                  <c:v>0.0547273841127221</c:v>
                </c:pt>
                <c:pt idx="30">
                  <c:v>0.0564961602371222</c:v>
                </c:pt>
                <c:pt idx="31">
                  <c:v>0.0582911580827627</c:v>
                </c:pt>
                <c:pt idx="32">
                  <c:v>0.059513432126159</c:v>
                </c:pt>
                <c:pt idx="33">
                  <c:v>0.0580157547370662</c:v>
                </c:pt>
                <c:pt idx="34">
                  <c:v>0.0567776456599287</c:v>
                </c:pt>
                <c:pt idx="35">
                  <c:v>0.0539256198347107</c:v>
                </c:pt>
                <c:pt idx="36">
                  <c:v>0.0528158739422235</c:v>
                </c:pt>
                <c:pt idx="37">
                  <c:v>0.0512403416022773</c:v>
                </c:pt>
                <c:pt idx="38">
                  <c:v>0.0532879818594104</c:v>
                </c:pt>
                <c:pt idx="39">
                  <c:v>0.0511363636363636</c:v>
                </c:pt>
                <c:pt idx="40">
                  <c:v>0.0386416861826698</c:v>
                </c:pt>
                <c:pt idx="41">
                  <c:v>0.0305084745762712</c:v>
                </c:pt>
                <c:pt idx="42">
                  <c:v>0.0421836228287841</c:v>
                </c:pt>
                <c:pt idx="43">
                  <c:v>0.0468085106382979</c:v>
                </c:pt>
                <c:pt idx="44">
                  <c:v>0.0425531914893617</c:v>
                </c:pt>
                <c:pt idx="45">
                  <c:v>0.024390243902439</c:v>
                </c:pt>
                <c:pt idx="46">
                  <c:v>0.0</c:v>
                </c:pt>
                <c:pt idx="47">
                  <c:v>0.0</c:v>
                </c:pt>
              </c:numCache>
            </c:numRef>
          </c:val>
        </c:ser>
        <c:ser>
          <c:idx val="30"/>
          <c:order val="30"/>
          <c:tx>
            <c:strRef>
              <c:f>wt_CBP_RawData_vs_top300TF!$A$35:$B$35</c:f>
              <c:strCache>
                <c:ptCount val="1"/>
                <c:pt idx="0">
                  <c:v>Huckebein hkb_2_Rel5.gff</c:v>
                </c:pt>
              </c:strCache>
            </c:strRef>
          </c:tx>
          <c:marker>
            <c:symbol val="none"/>
          </c:marker>
          <c:val>
            <c:numRef>
              <c:f>wt_CBP_RawData_vs_top300TF!$C$35:$AX$35</c:f>
              <c:numCache>
                <c:formatCode>General</c:formatCode>
                <c:ptCount val="48"/>
                <c:pt idx="0">
                  <c:v>0.00839511827555751</c:v>
                </c:pt>
                <c:pt idx="1">
                  <c:v>0.00839512499799811</c:v>
                </c:pt>
                <c:pt idx="2">
                  <c:v>0.00839516533286782</c:v>
                </c:pt>
                <c:pt idx="3">
                  <c:v>0.00839522583589912</c:v>
                </c:pt>
                <c:pt idx="4">
                  <c:v>0.00839572333833308</c:v>
                </c:pt>
                <c:pt idx="5">
                  <c:v>0.00839808391675612</c:v>
                </c:pt>
                <c:pt idx="6">
                  <c:v>0.00840480975740371</c:v>
                </c:pt>
                <c:pt idx="7">
                  <c:v>0.00842262894640014</c:v>
                </c:pt>
                <c:pt idx="8">
                  <c:v>0.00846461017562451</c:v>
                </c:pt>
                <c:pt idx="9">
                  <c:v>0.00855336647439624</c:v>
                </c:pt>
                <c:pt idx="10">
                  <c:v>0.00871652539194359</c:v>
                </c:pt>
                <c:pt idx="11">
                  <c:v>0.00900506923293889</c:v>
                </c:pt>
                <c:pt idx="12">
                  <c:v>0.00945964506320225</c:v>
                </c:pt>
                <c:pt idx="13">
                  <c:v>0.0101662914107657</c:v>
                </c:pt>
                <c:pt idx="14">
                  <c:v>0.0111608774638436</c:v>
                </c:pt>
                <c:pt idx="15">
                  <c:v>0.0128703431621009</c:v>
                </c:pt>
                <c:pt idx="16">
                  <c:v>0.0152202924702079</c:v>
                </c:pt>
                <c:pt idx="17">
                  <c:v>0.018246967374903</c:v>
                </c:pt>
                <c:pt idx="18">
                  <c:v>0.0216806504195126</c:v>
                </c:pt>
                <c:pt idx="19">
                  <c:v>0.0253793068372183</c:v>
                </c:pt>
                <c:pt idx="20">
                  <c:v>0.0288112604376303</c:v>
                </c:pt>
                <c:pt idx="21">
                  <c:v>0.0320062763283479</c:v>
                </c:pt>
                <c:pt idx="22">
                  <c:v>0.0347359030591384</c:v>
                </c:pt>
                <c:pt idx="23">
                  <c:v>0.0370452938101534</c:v>
                </c:pt>
                <c:pt idx="24">
                  <c:v>0.0395001782325115</c:v>
                </c:pt>
                <c:pt idx="25">
                  <c:v>0.0411304506034326</c:v>
                </c:pt>
                <c:pt idx="26">
                  <c:v>0.0414306820980054</c:v>
                </c:pt>
                <c:pt idx="27">
                  <c:v>0.0432456175378349</c:v>
                </c:pt>
                <c:pt idx="28">
                  <c:v>0.0463131602227195</c:v>
                </c:pt>
                <c:pt idx="29">
                  <c:v>0.0488394254986046</c:v>
                </c:pt>
                <c:pt idx="30">
                  <c:v>0.0509273813266268</c:v>
                </c:pt>
                <c:pt idx="31">
                  <c:v>0.0545400416790712</c:v>
                </c:pt>
                <c:pt idx="32">
                  <c:v>0.0550756795308662</c:v>
                </c:pt>
                <c:pt idx="33">
                  <c:v>0.0521609538002981</c:v>
                </c:pt>
                <c:pt idx="34">
                  <c:v>0.0491973840665874</c:v>
                </c:pt>
                <c:pt idx="35">
                  <c:v>0.0431818181818182</c:v>
                </c:pt>
                <c:pt idx="36">
                  <c:v>0.0402684563758389</c:v>
                </c:pt>
                <c:pt idx="37">
                  <c:v>0.0390402602684018</c:v>
                </c:pt>
                <c:pt idx="38">
                  <c:v>0.0425170068027211</c:v>
                </c:pt>
                <c:pt idx="39">
                  <c:v>0.0357142857142857</c:v>
                </c:pt>
                <c:pt idx="40">
                  <c:v>0.0398126463700234</c:v>
                </c:pt>
                <c:pt idx="41">
                  <c:v>0.0406779661016949</c:v>
                </c:pt>
                <c:pt idx="42">
                  <c:v>0.0421836228287841</c:v>
                </c:pt>
                <c:pt idx="43">
                  <c:v>0.0468085106382979</c:v>
                </c:pt>
                <c:pt idx="44">
                  <c:v>0.0425531914893617</c:v>
                </c:pt>
                <c:pt idx="45">
                  <c:v>0.024390243902439</c:v>
                </c:pt>
                <c:pt idx="46">
                  <c:v>0.0</c:v>
                </c:pt>
                <c:pt idx="47">
                  <c:v>0.0</c:v>
                </c:pt>
              </c:numCache>
            </c:numRef>
          </c:val>
        </c:ser>
        <c:ser>
          <c:idx val="31"/>
          <c:order val="31"/>
          <c:tx>
            <c:strRef>
              <c:f>wt_CBP_RawData_vs_top300TF!$A$36:$B$36</c:f>
              <c:strCache>
                <c:ptCount val="1"/>
                <c:pt idx="0">
                  <c:v>Huckebein hkb_3_Rel5.gff</c:v>
                </c:pt>
              </c:strCache>
            </c:strRef>
          </c:tx>
          <c:marker>
            <c:symbol val="none"/>
          </c:marker>
          <c:val>
            <c:numRef>
              <c:f>wt_CBP_RawData_vs_top300TF!$C$36:$AX$36</c:f>
              <c:numCache>
                <c:formatCode>General</c:formatCode>
                <c:ptCount val="48"/>
                <c:pt idx="0">
                  <c:v>0.00871862340559616</c:v>
                </c:pt>
                <c:pt idx="1">
                  <c:v>0.00871863038708541</c:v>
                </c:pt>
                <c:pt idx="2">
                  <c:v>0.00871867227625571</c:v>
                </c:pt>
                <c:pt idx="3">
                  <c:v>0.00871873511076589</c:v>
                </c:pt>
                <c:pt idx="4">
                  <c:v>0.00871925178441153</c:v>
                </c:pt>
                <c:pt idx="5">
                  <c:v>0.00872170332751246</c:v>
                </c:pt>
                <c:pt idx="6">
                  <c:v>0.00872868834782637</c:v>
                </c:pt>
                <c:pt idx="7">
                  <c:v>0.00874719419767309</c:v>
                </c:pt>
                <c:pt idx="8">
                  <c:v>0.00879091766712759</c:v>
                </c:pt>
                <c:pt idx="9">
                  <c:v>0.00888325287589086</c:v>
                </c:pt>
                <c:pt idx="10">
                  <c:v>0.00905158402720476</c:v>
                </c:pt>
                <c:pt idx="11">
                  <c:v>0.00935440381525117</c:v>
                </c:pt>
                <c:pt idx="12">
                  <c:v>0.00983530212196211</c:v>
                </c:pt>
                <c:pt idx="13">
                  <c:v>0.0105661059439749</c:v>
                </c:pt>
                <c:pt idx="14">
                  <c:v>0.0115918625648523</c:v>
                </c:pt>
                <c:pt idx="15">
                  <c:v>0.0133810506973468</c:v>
                </c:pt>
                <c:pt idx="16">
                  <c:v>0.0158217736175332</c:v>
                </c:pt>
                <c:pt idx="17">
                  <c:v>0.0189994602537989</c:v>
                </c:pt>
                <c:pt idx="18">
                  <c:v>0.0226306789203676</c:v>
                </c:pt>
                <c:pt idx="19">
                  <c:v>0.0265427369853173</c:v>
                </c:pt>
                <c:pt idx="20">
                  <c:v>0.0303756546649756</c:v>
                </c:pt>
                <c:pt idx="21">
                  <c:v>0.0338352064042535</c:v>
                </c:pt>
                <c:pt idx="22">
                  <c:v>0.0371210150045224</c:v>
                </c:pt>
                <c:pt idx="23">
                  <c:v>0.0396051781925525</c:v>
                </c:pt>
                <c:pt idx="24">
                  <c:v>0.0423615326069154</c:v>
                </c:pt>
                <c:pt idx="25">
                  <c:v>0.0434592758808903</c:v>
                </c:pt>
                <c:pt idx="26">
                  <c:v>0.0440162521546417</c:v>
                </c:pt>
                <c:pt idx="27">
                  <c:v>0.044922732899413</c:v>
                </c:pt>
                <c:pt idx="28">
                  <c:v>0.046937607326846</c:v>
                </c:pt>
                <c:pt idx="29">
                  <c:v>0.0483969777414744</c:v>
                </c:pt>
                <c:pt idx="30">
                  <c:v>0.0499393721650873</c:v>
                </c:pt>
                <c:pt idx="31">
                  <c:v>0.0516225066984222</c:v>
                </c:pt>
                <c:pt idx="32">
                  <c:v>0.0526983120691021</c:v>
                </c:pt>
                <c:pt idx="33">
                  <c:v>0.0508835426868214</c:v>
                </c:pt>
                <c:pt idx="34">
                  <c:v>0.049346016646849</c:v>
                </c:pt>
                <c:pt idx="35">
                  <c:v>0.0497933884297521</c:v>
                </c:pt>
                <c:pt idx="36">
                  <c:v>0.0481470674058944</c:v>
                </c:pt>
                <c:pt idx="37">
                  <c:v>0.0492069947132981</c:v>
                </c:pt>
                <c:pt idx="38">
                  <c:v>0.0510204081632653</c:v>
                </c:pt>
                <c:pt idx="39">
                  <c:v>0.0470779220779221</c:v>
                </c:pt>
                <c:pt idx="40">
                  <c:v>0.0480093676814988</c:v>
                </c:pt>
                <c:pt idx="41">
                  <c:v>0.0440677966101695</c:v>
                </c:pt>
                <c:pt idx="42">
                  <c:v>0.0620347394540943</c:v>
                </c:pt>
                <c:pt idx="43">
                  <c:v>0.0851063829787234</c:v>
                </c:pt>
                <c:pt idx="44">
                  <c:v>0.0638297872340425</c:v>
                </c:pt>
                <c:pt idx="45">
                  <c:v>0.0731707317073171</c:v>
                </c:pt>
                <c:pt idx="46">
                  <c:v>0.0</c:v>
                </c:pt>
                <c:pt idx="47">
                  <c:v>0.0</c:v>
                </c:pt>
              </c:numCache>
            </c:numRef>
          </c:val>
        </c:ser>
        <c:ser>
          <c:idx val="32"/>
          <c:order val="32"/>
          <c:tx>
            <c:strRef>
              <c:f>wt_CBP_RawData_vs_top300TF!$A$37:$B$37</c:f>
              <c:strCache>
                <c:ptCount val="1"/>
                <c:pt idx="0">
                  <c:v>Hunchback hb_1_Rel5.gff</c:v>
                </c:pt>
              </c:strCache>
            </c:strRef>
          </c:tx>
          <c:marker>
            <c:symbol val="none"/>
          </c:marker>
          <c:val>
            <c:numRef>
              <c:f>wt_CBP_RawData_vs_top300TF!$C$37:$AX$37</c:f>
              <c:numCache>
                <c:formatCode>General</c:formatCode>
                <c:ptCount val="48"/>
                <c:pt idx="0">
                  <c:v>0.016405874020376</c:v>
                </c:pt>
                <c:pt idx="1">
                  <c:v>0.0164058871574767</c:v>
                </c:pt>
                <c:pt idx="2">
                  <c:v>0.0164059659805223</c:v>
                </c:pt>
                <c:pt idx="3">
                  <c:v>0.016406084216511</c:v>
                </c:pt>
                <c:pt idx="4">
                  <c:v>0.0164070564437016</c:v>
                </c:pt>
                <c:pt idx="5">
                  <c:v>0.0164116695237027</c:v>
                </c:pt>
                <c:pt idx="6">
                  <c:v>0.0164248132687607</c:v>
                </c:pt>
                <c:pt idx="7">
                  <c:v>0.0164596358120799</c:v>
                </c:pt>
                <c:pt idx="8">
                  <c:v>0.0165415282821364</c:v>
                </c:pt>
                <c:pt idx="9">
                  <c:v>0.0167180549113879</c:v>
                </c:pt>
                <c:pt idx="10">
                  <c:v>0.0170504838346711</c:v>
                </c:pt>
                <c:pt idx="11">
                  <c:v>0.0176168136028299</c:v>
                </c:pt>
                <c:pt idx="12">
                  <c:v>0.0185218031174988</c:v>
                </c:pt>
                <c:pt idx="13">
                  <c:v>0.019896421512576</c:v>
                </c:pt>
                <c:pt idx="14">
                  <c:v>0.0218503990703815</c:v>
                </c:pt>
                <c:pt idx="15">
                  <c:v>0.0251927664308601</c:v>
                </c:pt>
                <c:pt idx="16">
                  <c:v>0.029958146936832</c:v>
                </c:pt>
                <c:pt idx="17">
                  <c:v>0.0362358809091375</c:v>
                </c:pt>
                <c:pt idx="18">
                  <c:v>0.0438388151644549</c:v>
                </c:pt>
                <c:pt idx="19">
                  <c:v>0.0526404460451322</c:v>
                </c:pt>
                <c:pt idx="20">
                  <c:v>0.0615355069477508</c:v>
                </c:pt>
                <c:pt idx="21">
                  <c:v>0.0708685419029867</c:v>
                </c:pt>
                <c:pt idx="22">
                  <c:v>0.0799291281021943</c:v>
                </c:pt>
                <c:pt idx="23">
                  <c:v>0.088627348482519</c:v>
                </c:pt>
                <c:pt idx="24">
                  <c:v>0.0982687360906385</c:v>
                </c:pt>
                <c:pt idx="25">
                  <c:v>0.106786342410092</c:v>
                </c:pt>
                <c:pt idx="26">
                  <c:v>0.116735409997538</c:v>
                </c:pt>
                <c:pt idx="27">
                  <c:v>0.127580561434333</c:v>
                </c:pt>
                <c:pt idx="28">
                  <c:v>0.136051412811573</c:v>
                </c:pt>
                <c:pt idx="29">
                  <c:v>0.143591314410183</c:v>
                </c:pt>
                <c:pt idx="30">
                  <c:v>0.149503749943863</c:v>
                </c:pt>
                <c:pt idx="31">
                  <c:v>0.155522476927657</c:v>
                </c:pt>
                <c:pt idx="32">
                  <c:v>0.155321340835248</c:v>
                </c:pt>
                <c:pt idx="33">
                  <c:v>0.159782840110709</c:v>
                </c:pt>
                <c:pt idx="34">
                  <c:v>0.169887039239001</c:v>
                </c:pt>
                <c:pt idx="35">
                  <c:v>0.163636363636364</c:v>
                </c:pt>
                <c:pt idx="36">
                  <c:v>0.165450831631164</c:v>
                </c:pt>
                <c:pt idx="37">
                  <c:v>0.158194387962586</c:v>
                </c:pt>
                <c:pt idx="38">
                  <c:v>0.159863945578231</c:v>
                </c:pt>
                <c:pt idx="39">
                  <c:v>0.161525974025974</c:v>
                </c:pt>
                <c:pt idx="40">
                  <c:v>0.166276346604215</c:v>
                </c:pt>
                <c:pt idx="41">
                  <c:v>0.149152542372881</c:v>
                </c:pt>
                <c:pt idx="42">
                  <c:v>0.146401985111663</c:v>
                </c:pt>
                <c:pt idx="43">
                  <c:v>0.140425531914894</c:v>
                </c:pt>
                <c:pt idx="44">
                  <c:v>0.0851063829787234</c:v>
                </c:pt>
                <c:pt idx="45">
                  <c:v>0.0731707317073171</c:v>
                </c:pt>
                <c:pt idx="46">
                  <c:v>0.0</c:v>
                </c:pt>
                <c:pt idx="47">
                  <c:v>0.0</c:v>
                </c:pt>
              </c:numCache>
            </c:numRef>
          </c:val>
        </c:ser>
        <c:ser>
          <c:idx val="33"/>
          <c:order val="33"/>
          <c:tx>
            <c:strRef>
              <c:f>wt_CBP_RawData_vs_top300TF!$A$38:$B$38</c:f>
              <c:strCache>
                <c:ptCount val="1"/>
                <c:pt idx="0">
                  <c:v>Hunchback hb_2_Rel5.gff</c:v>
                </c:pt>
              </c:strCache>
            </c:strRef>
          </c:tx>
          <c:marker>
            <c:symbol val="none"/>
          </c:marker>
          <c:val>
            <c:numRef>
              <c:f>wt_CBP_RawData_vs_top300TF!$C$38:$AX$38</c:f>
              <c:numCache>
                <c:formatCode>General</c:formatCode>
                <c:ptCount val="48"/>
                <c:pt idx="0">
                  <c:v>0.0141837781395412</c:v>
                </c:pt>
                <c:pt idx="1">
                  <c:v>0.0141837894972854</c:v>
                </c:pt>
                <c:pt idx="2">
                  <c:v>0.0141838576441328</c:v>
                </c:pt>
                <c:pt idx="3">
                  <c:v>0.0141839598656315</c:v>
                </c:pt>
                <c:pt idx="4">
                  <c:v>0.0141848004093756</c:v>
                </c:pt>
                <c:pt idx="5">
                  <c:v>0.0141887886701165</c:v>
                </c:pt>
                <c:pt idx="6">
                  <c:v>0.0142001521588031</c:v>
                </c:pt>
                <c:pt idx="7">
                  <c:v>0.0142302581579155</c:v>
                </c:pt>
                <c:pt idx="8">
                  <c:v>0.014303414274822</c:v>
                </c:pt>
                <c:pt idx="9">
                  <c:v>0.0144545769288556</c:v>
                </c:pt>
                <c:pt idx="10">
                  <c:v>0.0147367455971462</c:v>
                </c:pt>
                <c:pt idx="11">
                  <c:v>0.0152284001252429</c:v>
                </c:pt>
                <c:pt idx="12">
                  <c:v>0.0159858905755557</c:v>
                </c:pt>
                <c:pt idx="13">
                  <c:v>0.017169430986314</c:v>
                </c:pt>
                <c:pt idx="14">
                  <c:v>0.0188040436222388</c:v>
                </c:pt>
                <c:pt idx="15">
                  <c:v>0.0216460437489013</c:v>
                </c:pt>
                <c:pt idx="16">
                  <c:v>0.0256569301905943</c:v>
                </c:pt>
                <c:pt idx="17">
                  <c:v>0.0309467621137564</c:v>
                </c:pt>
                <c:pt idx="18">
                  <c:v>0.0373486204586138</c:v>
                </c:pt>
                <c:pt idx="19">
                  <c:v>0.0447984182436019</c:v>
                </c:pt>
                <c:pt idx="20">
                  <c:v>0.052245165781777</c:v>
                </c:pt>
                <c:pt idx="21">
                  <c:v>0.0598999585242633</c:v>
                </c:pt>
                <c:pt idx="22">
                  <c:v>0.0673097176275261</c:v>
                </c:pt>
                <c:pt idx="23">
                  <c:v>0.0736908459149473</c:v>
                </c:pt>
                <c:pt idx="24">
                  <c:v>0.0811873175525304</c:v>
                </c:pt>
                <c:pt idx="25">
                  <c:v>0.0883498089635515</c:v>
                </c:pt>
                <c:pt idx="26">
                  <c:v>0.095666092095543</c:v>
                </c:pt>
                <c:pt idx="27">
                  <c:v>0.103721598849978</c:v>
                </c:pt>
                <c:pt idx="28">
                  <c:v>0.110214913878337</c:v>
                </c:pt>
                <c:pt idx="29">
                  <c:v>0.114866244639575</c:v>
                </c:pt>
                <c:pt idx="30">
                  <c:v>0.118471280370054</c:v>
                </c:pt>
                <c:pt idx="31">
                  <c:v>0.122119678475737</c:v>
                </c:pt>
                <c:pt idx="32">
                  <c:v>0.121721214042317</c:v>
                </c:pt>
                <c:pt idx="33">
                  <c:v>0.122418565041516</c:v>
                </c:pt>
                <c:pt idx="34">
                  <c:v>0.129310344827586</c:v>
                </c:pt>
                <c:pt idx="35">
                  <c:v>0.122520661157025</c:v>
                </c:pt>
                <c:pt idx="36">
                  <c:v>0.114677560548585</c:v>
                </c:pt>
                <c:pt idx="37">
                  <c:v>0.10492069947133</c:v>
                </c:pt>
                <c:pt idx="38">
                  <c:v>0.0963718820861678</c:v>
                </c:pt>
                <c:pt idx="39">
                  <c:v>0.102272727272727</c:v>
                </c:pt>
                <c:pt idx="40">
                  <c:v>0.107728337236534</c:v>
                </c:pt>
                <c:pt idx="41">
                  <c:v>0.0983050847457627</c:v>
                </c:pt>
                <c:pt idx="42">
                  <c:v>0.104218362282878</c:v>
                </c:pt>
                <c:pt idx="43">
                  <c:v>0.114893617021277</c:v>
                </c:pt>
                <c:pt idx="44">
                  <c:v>0.0851063829787234</c:v>
                </c:pt>
                <c:pt idx="45">
                  <c:v>0.0731707317073171</c:v>
                </c:pt>
                <c:pt idx="46">
                  <c:v>0.0</c:v>
                </c:pt>
                <c:pt idx="47">
                  <c:v>0.0</c:v>
                </c:pt>
              </c:numCache>
            </c:numRef>
          </c:val>
        </c:ser>
        <c:ser>
          <c:idx val="34"/>
          <c:order val="34"/>
          <c:tx>
            <c:strRef>
              <c:f>wt_CBP_RawData_vs_top300TF!$A$39:$B$39</c:f>
              <c:strCache>
                <c:ptCount val="1"/>
                <c:pt idx="0">
                  <c:v>Invected E_0_12h_INV7657.region_Top300regions.gff</c:v>
                </c:pt>
              </c:strCache>
            </c:strRef>
          </c:tx>
          <c:marker>
            <c:symbol val="none"/>
          </c:marker>
          <c:val>
            <c:numRef>
              <c:f>wt_CBP_RawData_vs_top300TF!$C$39:$AX$39</c:f>
              <c:numCache>
                <c:formatCode>General</c:formatCode>
                <c:ptCount val="48"/>
                <c:pt idx="0">
                  <c:v>0.00380358754377129</c:v>
                </c:pt>
                <c:pt idx="1">
                  <c:v>0.0038035905895165</c:v>
                </c:pt>
                <c:pt idx="2">
                  <c:v>0.00380360886409025</c:v>
                </c:pt>
                <c:pt idx="3">
                  <c:v>0.00380363627628012</c:v>
                </c:pt>
                <c:pt idx="4">
                  <c:v>0.00380386168037792</c:v>
                </c:pt>
                <c:pt idx="5">
                  <c:v>0.00380493119082331</c:v>
                </c:pt>
                <c:pt idx="6">
                  <c:v>0.00380797847650397</c:v>
                </c:pt>
                <c:pt idx="7">
                  <c:v>0.00381283832312238</c:v>
                </c:pt>
                <c:pt idx="8">
                  <c:v>0.0038260361070547</c:v>
                </c:pt>
                <c:pt idx="9">
                  <c:v>0.00385738455609049</c:v>
                </c:pt>
                <c:pt idx="10">
                  <c:v>0.00390401653622717</c:v>
                </c:pt>
                <c:pt idx="11">
                  <c:v>0.00395653760263321</c:v>
                </c:pt>
                <c:pt idx="12">
                  <c:v>0.00399397129543472</c:v>
                </c:pt>
                <c:pt idx="13">
                  <c:v>0.00406985653829378</c:v>
                </c:pt>
                <c:pt idx="14">
                  <c:v>0.00415164128946378</c:v>
                </c:pt>
                <c:pt idx="15">
                  <c:v>0.00426017340958873</c:v>
                </c:pt>
                <c:pt idx="16">
                  <c:v>0.00446411789030488</c:v>
                </c:pt>
                <c:pt idx="17">
                  <c:v>0.0047217943212396</c:v>
                </c:pt>
                <c:pt idx="18">
                  <c:v>0.00480264407932238</c:v>
                </c:pt>
                <c:pt idx="19">
                  <c:v>0.00491755857680069</c:v>
                </c:pt>
                <c:pt idx="20">
                  <c:v>0.00495724922680515</c:v>
                </c:pt>
                <c:pt idx="21">
                  <c:v>0.00524193346892068</c:v>
                </c:pt>
                <c:pt idx="22">
                  <c:v>0.00529061195157913</c:v>
                </c:pt>
                <c:pt idx="23">
                  <c:v>0.00535038897942868</c:v>
                </c:pt>
                <c:pt idx="24">
                  <c:v>0.00570344036918215</c:v>
                </c:pt>
                <c:pt idx="25">
                  <c:v>0.00582206319364425</c:v>
                </c:pt>
                <c:pt idx="26">
                  <c:v>0.00615611918246737</c:v>
                </c:pt>
                <c:pt idx="27">
                  <c:v>0.00584993810645689</c:v>
                </c:pt>
                <c:pt idx="28">
                  <c:v>0.00582817297184784</c:v>
                </c:pt>
                <c:pt idx="29">
                  <c:v>0.00588795861411749</c:v>
                </c:pt>
                <c:pt idx="30">
                  <c:v>0.00592805496923699</c:v>
                </c:pt>
                <c:pt idx="31">
                  <c:v>0.00625186067281929</c:v>
                </c:pt>
                <c:pt idx="32">
                  <c:v>0.00633964656470402</c:v>
                </c:pt>
                <c:pt idx="33">
                  <c:v>0.00745156482861401</c:v>
                </c:pt>
                <c:pt idx="34">
                  <c:v>0.00787752675386445</c:v>
                </c:pt>
                <c:pt idx="35">
                  <c:v>0.00826446280991736</c:v>
                </c:pt>
                <c:pt idx="36">
                  <c:v>0.00350160490224686</c:v>
                </c:pt>
                <c:pt idx="37">
                  <c:v>0.00162667751118341</c:v>
                </c:pt>
                <c:pt idx="38">
                  <c:v>0.0</c:v>
                </c:pt>
                <c:pt idx="39">
                  <c:v>0.0</c:v>
                </c:pt>
                <c:pt idx="40">
                  <c:v>0.0</c:v>
                </c:pt>
                <c:pt idx="41">
                  <c:v>0.0</c:v>
                </c:pt>
                <c:pt idx="42">
                  <c:v>0.0</c:v>
                </c:pt>
                <c:pt idx="43">
                  <c:v>0.0</c:v>
                </c:pt>
                <c:pt idx="44">
                  <c:v>0.0</c:v>
                </c:pt>
                <c:pt idx="45">
                  <c:v>0.0</c:v>
                </c:pt>
                <c:pt idx="46">
                  <c:v>0.0</c:v>
                </c:pt>
                <c:pt idx="47">
                  <c:v>0.0</c:v>
                </c:pt>
              </c:numCache>
            </c:numRef>
          </c:val>
        </c:ser>
        <c:ser>
          <c:idx val="35"/>
          <c:order val="35"/>
          <c:tx>
            <c:strRef>
              <c:f>wt_CBP_RawData_vs_top300TF!$A$40:$B$40</c:f>
              <c:strCache>
                <c:ptCount val="1"/>
                <c:pt idx="0">
                  <c:v>Invected Embryo_0_12h_INV_GFP_ChIP_chip.region_Top300regions.gff</c:v>
                </c:pt>
              </c:strCache>
            </c:strRef>
          </c:tx>
          <c:marker>
            <c:symbol val="none"/>
          </c:marker>
          <c:val>
            <c:numRef>
              <c:f>wt_CBP_RawData_vs_top300TF!$C$40:$AX$40</c:f>
              <c:numCache>
                <c:formatCode>0.00E+00</c:formatCode>
                <c:ptCount val="48"/>
                <c:pt idx="0">
                  <c:v>7.04664639688154E-5</c:v>
                </c:pt>
                <c:pt idx="1">
                  <c:v>7.04665203952531E-5</c:v>
                </c:pt>
                <c:pt idx="2">
                  <c:v>7.04668589557772E-5</c:v>
                </c:pt>
                <c:pt idx="3">
                  <c:v>7.04673668026633E-5</c:v>
                </c:pt>
                <c:pt idx="4">
                  <c:v>7.04715427101593E-5</c:v>
                </c:pt>
                <c:pt idx="5">
                  <c:v>7.04913567984107E-5</c:v>
                </c:pt>
                <c:pt idx="6">
                  <c:v>7.05478117752315E-5</c:v>
                </c:pt>
                <c:pt idx="7">
                  <c:v>7.0697381465396E-5</c:v>
                </c:pt>
                <c:pt idx="8">
                  <c:v>7.1076879337305E-5</c:v>
                </c:pt>
                <c:pt idx="9">
                  <c:v>7.18564438899159E-5</c:v>
                </c:pt>
                <c:pt idx="10">
                  <c:v>7.33461689128931E-5</c:v>
                </c:pt>
                <c:pt idx="11">
                  <c:v>7.59047981320519E-5</c:v>
                </c:pt>
                <c:pt idx="12">
                  <c:v>8.00431505347883E-5</c:v>
                </c:pt>
                <c:pt idx="13">
                  <c:v>8.64463855587384E-5</c:v>
                </c:pt>
                <c:pt idx="14">
                  <c:v>9.60169338956143E-5</c:v>
                </c:pt>
                <c:pt idx="15" formatCode="General">
                  <c:v>0.00011292025904934</c:v>
                </c:pt>
                <c:pt idx="16" formatCode="General">
                  <c:v>0.000137839429595379</c:v>
                </c:pt>
                <c:pt idx="17" formatCode="General">
                  <c:v>0.000173349144876548</c:v>
                </c:pt>
                <c:pt idx="18" formatCode="General">
                  <c:v>0.000205006150184506</c:v>
                </c:pt>
                <c:pt idx="19" formatCode="General">
                  <c:v>0.000244765359026279</c:v>
                </c:pt>
                <c:pt idx="20" formatCode="General">
                  <c:v>0.000296074610801922</c:v>
                </c:pt>
                <c:pt idx="21" formatCode="General">
                  <c:v>0.00034979536970872</c:v>
                </c:pt>
                <c:pt idx="22" formatCode="General">
                  <c:v>0.000415071429456442</c:v>
                </c:pt>
                <c:pt idx="23" formatCode="General">
                  <c:v>0.000484302450724148</c:v>
                </c:pt>
                <c:pt idx="24" formatCode="General">
                  <c:v>0.000539514629517231</c:v>
                </c:pt>
                <c:pt idx="25" formatCode="General">
                  <c:v>0.000654982109284978</c:v>
                </c:pt>
                <c:pt idx="26" formatCode="General">
                  <c:v>0.000800295493720758</c:v>
                </c:pt>
                <c:pt idx="27" formatCode="General">
                  <c:v>0.000938385976121072</c:v>
                </c:pt>
                <c:pt idx="28" formatCode="General">
                  <c:v>0.0012228755789145</c:v>
                </c:pt>
                <c:pt idx="29" formatCode="General">
                  <c:v>0.00146348104281533</c:v>
                </c:pt>
                <c:pt idx="30" formatCode="General">
                  <c:v>0.00148201374230925</c:v>
                </c:pt>
                <c:pt idx="31" formatCode="General">
                  <c:v>0.00196487049717178</c:v>
                </c:pt>
                <c:pt idx="32" formatCode="General">
                  <c:v>0.00182264838735241</c:v>
                </c:pt>
                <c:pt idx="33" formatCode="General">
                  <c:v>0.00191611667021503</c:v>
                </c:pt>
                <c:pt idx="34" formatCode="General">
                  <c:v>0.00178359096313912</c:v>
                </c:pt>
                <c:pt idx="35" formatCode="General">
                  <c:v>0.00144628099173554</c:v>
                </c:pt>
                <c:pt idx="36" formatCode="General">
                  <c:v>0.000875401225561716</c:v>
                </c:pt>
                <c:pt idx="37" formatCode="General">
                  <c:v>0.00122000813338756</c:v>
                </c:pt>
                <c:pt idx="38" formatCode="General">
                  <c:v>0.00170068027210884</c:v>
                </c:pt>
                <c:pt idx="39" formatCode="General">
                  <c:v>0.0</c:v>
                </c:pt>
                <c:pt idx="40" formatCode="General">
                  <c:v>0.0</c:v>
                </c:pt>
                <c:pt idx="41" formatCode="General">
                  <c:v>0.0</c:v>
                </c:pt>
                <c:pt idx="42" formatCode="General">
                  <c:v>0.0</c:v>
                </c:pt>
                <c:pt idx="43" formatCode="General">
                  <c:v>0.0</c:v>
                </c:pt>
                <c:pt idx="44" formatCode="General">
                  <c:v>0.0</c:v>
                </c:pt>
                <c:pt idx="45" formatCode="General">
                  <c:v>0.0</c:v>
                </c:pt>
                <c:pt idx="46" formatCode="General">
                  <c:v>0.0</c:v>
                </c:pt>
                <c:pt idx="47" formatCode="General">
                  <c:v>0.0</c:v>
                </c:pt>
              </c:numCache>
            </c:numRef>
          </c:val>
        </c:ser>
        <c:ser>
          <c:idx val="36"/>
          <c:order val="36"/>
          <c:tx>
            <c:strRef>
              <c:f>wt_CBP_RawData_vs_top300TF!$A$41:$B$41</c:f>
              <c:strCache>
                <c:ptCount val="1"/>
                <c:pt idx="0">
                  <c:v>Jumeau E0_8h_jumu.region_Top300regions.gff</c:v>
                </c:pt>
              </c:strCache>
            </c:strRef>
          </c:tx>
          <c:marker>
            <c:symbol val="none"/>
          </c:marker>
          <c:val>
            <c:numRef>
              <c:f>wt_CBP_RawData_vs_top300TF!$C$41:$AX$41</c:f>
              <c:numCache>
                <c:formatCode>General</c:formatCode>
                <c:ptCount val="48"/>
                <c:pt idx="0">
                  <c:v>0.00100014333519375</c:v>
                </c:pt>
                <c:pt idx="1">
                  <c:v>0.00100014413606444</c:v>
                </c:pt>
                <c:pt idx="2">
                  <c:v>0.00100014894131552</c:v>
                </c:pt>
                <c:pt idx="3">
                  <c:v>0.00100015614927871</c:v>
                </c:pt>
                <c:pt idx="4">
                  <c:v>0.00100021541869306</c:v>
                </c:pt>
                <c:pt idx="5">
                  <c:v>0.00100049664365017</c:v>
                </c:pt>
                <c:pt idx="6">
                  <c:v>0.00100129791940073</c:v>
                </c:pt>
                <c:pt idx="7">
                  <c:v>0.00100342078920772</c:v>
                </c:pt>
                <c:pt idx="8">
                  <c:v>0.00100880707150334</c:v>
                </c:pt>
                <c:pt idx="9">
                  <c:v>0.00101660537094256</c:v>
                </c:pt>
                <c:pt idx="10">
                  <c:v>0.00102851332316489</c:v>
                </c:pt>
                <c:pt idx="11">
                  <c:v>0.00106266717384873</c:v>
                </c:pt>
                <c:pt idx="12">
                  <c:v>0.00110968913241411</c:v>
                </c:pt>
                <c:pt idx="13">
                  <c:v>0.00116506151446209</c:v>
                </c:pt>
                <c:pt idx="14">
                  <c:v>0.00125585785129377</c:v>
                </c:pt>
                <c:pt idx="15">
                  <c:v>0.00138198998859249</c:v>
                </c:pt>
                <c:pt idx="16">
                  <c:v>0.00154129544002105</c:v>
                </c:pt>
                <c:pt idx="17">
                  <c:v>0.00174137095535078</c:v>
                </c:pt>
                <c:pt idx="18">
                  <c:v>0.00202006060181805</c:v>
                </c:pt>
                <c:pt idx="19">
                  <c:v>0.0023077876708192</c:v>
                </c:pt>
                <c:pt idx="20">
                  <c:v>0.00261265838991426</c:v>
                </c:pt>
                <c:pt idx="21">
                  <c:v>0.00291329572200263</c:v>
                </c:pt>
                <c:pt idx="22">
                  <c:v>0.00325242538006914</c:v>
                </c:pt>
                <c:pt idx="23">
                  <c:v>0.00332861843116755</c:v>
                </c:pt>
                <c:pt idx="24">
                  <c:v>0.00340086900392112</c:v>
                </c:pt>
                <c:pt idx="25">
                  <c:v>0.00361453089938747</c:v>
                </c:pt>
                <c:pt idx="26">
                  <c:v>0.00377062299926127</c:v>
                </c:pt>
                <c:pt idx="27">
                  <c:v>0.0034540590184882</c:v>
                </c:pt>
                <c:pt idx="28">
                  <c:v>0.00348649633137326</c:v>
                </c:pt>
                <c:pt idx="29">
                  <c:v>0.00387992648560343</c:v>
                </c:pt>
                <c:pt idx="30">
                  <c:v>0.00363767009475906</c:v>
                </c:pt>
                <c:pt idx="31">
                  <c:v>0.0038106579339089</c:v>
                </c:pt>
                <c:pt idx="32">
                  <c:v>0.00412077026705761</c:v>
                </c:pt>
                <c:pt idx="33">
                  <c:v>0.00383223334043006</c:v>
                </c:pt>
                <c:pt idx="34">
                  <c:v>0.00431034482758621</c:v>
                </c:pt>
                <c:pt idx="35">
                  <c:v>0.00454545454545455</c:v>
                </c:pt>
                <c:pt idx="36">
                  <c:v>0.00525240735337029</c:v>
                </c:pt>
                <c:pt idx="37">
                  <c:v>0.00610004066693778</c:v>
                </c:pt>
                <c:pt idx="38">
                  <c:v>0.00850340136054422</c:v>
                </c:pt>
                <c:pt idx="39">
                  <c:v>0.0121753246753247</c:v>
                </c:pt>
                <c:pt idx="40">
                  <c:v>0.0163934426229508</c:v>
                </c:pt>
                <c:pt idx="41">
                  <c:v>0.011864406779661</c:v>
                </c:pt>
                <c:pt idx="42">
                  <c:v>0.0173697270471464</c:v>
                </c:pt>
                <c:pt idx="43">
                  <c:v>0.025531914893617</c:v>
                </c:pt>
                <c:pt idx="44">
                  <c:v>0.0425531914893617</c:v>
                </c:pt>
                <c:pt idx="45">
                  <c:v>0.024390243902439</c:v>
                </c:pt>
                <c:pt idx="46">
                  <c:v>0.0</c:v>
                </c:pt>
                <c:pt idx="47">
                  <c:v>0.0</c:v>
                </c:pt>
              </c:numCache>
            </c:numRef>
          </c:val>
        </c:ser>
        <c:ser>
          <c:idx val="37"/>
          <c:order val="37"/>
          <c:tx>
            <c:strRef>
              <c:f>wt_CBP_RawData_vs_top300TF!$A$42:$B$42</c:f>
              <c:strCache>
                <c:ptCount val="1"/>
                <c:pt idx="0">
                  <c:v>Knirps kni_1_Rel5.gff</c:v>
                </c:pt>
              </c:strCache>
            </c:strRef>
          </c:tx>
          <c:marker>
            <c:symbol val="none"/>
          </c:marker>
          <c:val>
            <c:numRef>
              <c:f>wt_CBP_RawData_vs_top300TF!$C$42:$AX$42</c:f>
              <c:numCache>
                <c:formatCode>General</c:formatCode>
                <c:ptCount val="48"/>
                <c:pt idx="0">
                  <c:v>0.000862413428345616</c:v>
                </c:pt>
                <c:pt idx="1">
                  <c:v>0.000862414118928268</c:v>
                </c:pt>
                <c:pt idx="2">
                  <c:v>0.00086241826244741</c:v>
                </c:pt>
                <c:pt idx="3">
                  <c:v>0.000862424477800778</c:v>
                </c:pt>
                <c:pt idx="4">
                  <c:v>0.000862475585214109</c:v>
                </c:pt>
                <c:pt idx="5">
                  <c:v>0.000862718082635095</c:v>
                </c:pt>
                <c:pt idx="6">
                  <c:v>0.000863409014567321</c:v>
                </c:pt>
                <c:pt idx="7">
                  <c:v>0.000865239543616268</c:v>
                </c:pt>
                <c:pt idx="8">
                  <c:v>0.000869884080071335</c:v>
                </c:pt>
                <c:pt idx="9">
                  <c:v>0.000879424887152721</c:v>
                </c:pt>
                <c:pt idx="10">
                  <c:v>0.000897657089990748</c:v>
                </c:pt>
                <c:pt idx="11">
                  <c:v>0.000928971222593408</c:v>
                </c:pt>
                <c:pt idx="12">
                  <c:v>0.00097961901279508</c:v>
                </c:pt>
                <c:pt idx="13">
                  <c:v>0.0010579858778041</c:v>
                </c:pt>
                <c:pt idx="14">
                  <c:v>0.00117402523717819</c:v>
                </c:pt>
                <c:pt idx="15">
                  <c:v>0.00137172451049709</c:v>
                </c:pt>
                <c:pt idx="16">
                  <c:v>0.0016634712980715</c:v>
                </c:pt>
                <c:pt idx="17">
                  <c:v>0.00201321393254354</c:v>
                </c:pt>
                <c:pt idx="18">
                  <c:v>0.00244757342720282</c:v>
                </c:pt>
                <c:pt idx="19">
                  <c:v>0.00291811168293668</c:v>
                </c:pt>
                <c:pt idx="20">
                  <c:v>0.0033848529829517</c:v>
                </c:pt>
                <c:pt idx="21">
                  <c:v>0.00359289815457957</c:v>
                </c:pt>
                <c:pt idx="22">
                  <c:v>0.00400822708743758</c:v>
                </c:pt>
                <c:pt idx="23">
                  <c:v>0.00420497524676363</c:v>
                </c:pt>
                <c:pt idx="24">
                  <c:v>0.00459550854070927</c:v>
                </c:pt>
                <c:pt idx="25">
                  <c:v>0.00498514160955789</c:v>
                </c:pt>
                <c:pt idx="26">
                  <c:v>0.00532504309283428</c:v>
                </c:pt>
                <c:pt idx="27">
                  <c:v>0.00602962903805455</c:v>
                </c:pt>
                <c:pt idx="28">
                  <c:v>0.00692095540406931</c:v>
                </c:pt>
                <c:pt idx="29">
                  <c:v>0.00765774964263835</c:v>
                </c:pt>
                <c:pt idx="30">
                  <c:v>0.00871244442448466</c:v>
                </c:pt>
                <c:pt idx="31">
                  <c:v>0.0100625186067282</c:v>
                </c:pt>
                <c:pt idx="32">
                  <c:v>0.011094381488232</c:v>
                </c:pt>
                <c:pt idx="33">
                  <c:v>0.0104321907600596</c:v>
                </c:pt>
                <c:pt idx="34">
                  <c:v>0.0105529131985731</c:v>
                </c:pt>
                <c:pt idx="35">
                  <c:v>0.00805785123966942</c:v>
                </c:pt>
                <c:pt idx="36">
                  <c:v>0.002042602859644</c:v>
                </c:pt>
                <c:pt idx="37">
                  <c:v>0.00122000813338756</c:v>
                </c:pt>
                <c:pt idx="38">
                  <c:v>0.0</c:v>
                </c:pt>
                <c:pt idx="39">
                  <c:v>0.0</c:v>
                </c:pt>
                <c:pt idx="40">
                  <c:v>0.0</c:v>
                </c:pt>
                <c:pt idx="41">
                  <c:v>0.0</c:v>
                </c:pt>
                <c:pt idx="42">
                  <c:v>0.0</c:v>
                </c:pt>
                <c:pt idx="43">
                  <c:v>0.0</c:v>
                </c:pt>
                <c:pt idx="44">
                  <c:v>0.0</c:v>
                </c:pt>
                <c:pt idx="45">
                  <c:v>0.0</c:v>
                </c:pt>
                <c:pt idx="46">
                  <c:v>0.0</c:v>
                </c:pt>
                <c:pt idx="47">
                  <c:v>0.0</c:v>
                </c:pt>
              </c:numCache>
            </c:numRef>
          </c:val>
        </c:ser>
        <c:ser>
          <c:idx val="38"/>
          <c:order val="38"/>
          <c:tx>
            <c:strRef>
              <c:f>wt_CBP_RawData_vs_top300TF!$A$43:$B$43</c:f>
              <c:strCache>
                <c:ptCount val="1"/>
                <c:pt idx="0">
                  <c:v>Knirps kni_2_Rel5.gff</c:v>
                </c:pt>
              </c:strCache>
            </c:strRef>
          </c:tx>
          <c:marker>
            <c:symbol val="none"/>
          </c:marker>
          <c:val>
            <c:numRef>
              <c:f>wt_CBP_RawData_vs_top300TF!$C$43:$AX$43</c:f>
              <c:numCache>
                <c:formatCode>General</c:formatCode>
                <c:ptCount val="48"/>
                <c:pt idx="0">
                  <c:v>0.00499751365487928</c:v>
                </c:pt>
                <c:pt idx="1">
                  <c:v>0.00499751765666789</c:v>
                </c:pt>
                <c:pt idx="2">
                  <c:v>0.00499754166753416</c:v>
                </c:pt>
                <c:pt idx="3">
                  <c:v>0.00499757768426616</c:v>
                </c:pt>
                <c:pt idx="4">
                  <c:v>0.00499787384152391</c:v>
                </c:pt>
                <c:pt idx="5">
                  <c:v>0.00499927906566911</c:v>
                </c:pt>
                <c:pt idx="6">
                  <c:v>0.00500328287828659</c:v>
                </c:pt>
                <c:pt idx="7">
                  <c:v>0.00501389042869928</c:v>
                </c:pt>
                <c:pt idx="8">
                  <c:v>0.0050408045902741</c:v>
                </c:pt>
                <c:pt idx="9">
                  <c:v>0.00509527511219404</c:v>
                </c:pt>
                <c:pt idx="10">
                  <c:v>0.00520007668008568</c:v>
                </c:pt>
                <c:pt idx="11">
                  <c:v>0.00538147767665764</c:v>
                </c:pt>
                <c:pt idx="12">
                  <c:v>0.00567487745666528</c:v>
                </c:pt>
                <c:pt idx="13">
                  <c:v>0.00612590523118514</c:v>
                </c:pt>
                <c:pt idx="14">
                  <c:v>0.0067822870578993</c:v>
                </c:pt>
                <c:pt idx="15">
                  <c:v>0.00791211724202533</c:v>
                </c:pt>
                <c:pt idx="16">
                  <c:v>0.00955007957094345</c:v>
                </c:pt>
                <c:pt idx="17">
                  <c:v>0.0117660732084957</c:v>
                </c:pt>
                <c:pt idx="18">
                  <c:v>0.0144454333630009</c:v>
                </c:pt>
                <c:pt idx="19">
                  <c:v>0.0173815192617622</c:v>
                </c:pt>
                <c:pt idx="20">
                  <c:v>0.0205571804094632</c:v>
                </c:pt>
                <c:pt idx="21">
                  <c:v>0.0236611582224399</c:v>
                </c:pt>
                <c:pt idx="22">
                  <c:v>0.0268743262833141</c:v>
                </c:pt>
                <c:pt idx="23">
                  <c:v>0.0295578241751484</c:v>
                </c:pt>
                <c:pt idx="24">
                  <c:v>0.0320240469377728</c:v>
                </c:pt>
                <c:pt idx="25">
                  <c:v>0.034871732670265</c:v>
                </c:pt>
                <c:pt idx="26">
                  <c:v>0.0370598374784536</c:v>
                </c:pt>
                <c:pt idx="27">
                  <c:v>0.0391326917701553</c:v>
                </c:pt>
                <c:pt idx="28">
                  <c:v>0.04032887547484</c:v>
                </c:pt>
                <c:pt idx="29">
                  <c:v>0.0409774691988292</c:v>
                </c:pt>
                <c:pt idx="30">
                  <c:v>0.0409574706965465</c:v>
                </c:pt>
                <c:pt idx="31">
                  <c:v>0.0430485263471271</c:v>
                </c:pt>
                <c:pt idx="32">
                  <c:v>0.0426341231476345</c:v>
                </c:pt>
                <c:pt idx="33">
                  <c:v>0.0432190760059613</c:v>
                </c:pt>
                <c:pt idx="34">
                  <c:v>0.0416171224732461</c:v>
                </c:pt>
                <c:pt idx="35">
                  <c:v>0.0384297520661157</c:v>
                </c:pt>
                <c:pt idx="36">
                  <c:v>0.0326816457543041</c:v>
                </c:pt>
                <c:pt idx="37">
                  <c:v>0.0235868239121594</c:v>
                </c:pt>
                <c:pt idx="38">
                  <c:v>0.018140589569161</c:v>
                </c:pt>
                <c:pt idx="39">
                  <c:v>0.0186688311688312</c:v>
                </c:pt>
                <c:pt idx="40">
                  <c:v>0.0199063231850117</c:v>
                </c:pt>
                <c:pt idx="41">
                  <c:v>0.023728813559322</c:v>
                </c:pt>
                <c:pt idx="42">
                  <c:v>0.0223325062034739</c:v>
                </c:pt>
                <c:pt idx="43">
                  <c:v>0.0382978723404255</c:v>
                </c:pt>
                <c:pt idx="44">
                  <c:v>0.0567375886524823</c:v>
                </c:pt>
                <c:pt idx="45">
                  <c:v>0.0853658536585366</c:v>
                </c:pt>
                <c:pt idx="46">
                  <c:v>0.117647058823529</c:v>
                </c:pt>
                <c:pt idx="47">
                  <c:v>0.176470588235294</c:v>
                </c:pt>
              </c:numCache>
            </c:numRef>
          </c:val>
        </c:ser>
        <c:ser>
          <c:idx val="39"/>
          <c:order val="39"/>
          <c:tx>
            <c:strRef>
              <c:f>wt_CBP_RawData_vs_top300TF!$A$44:$B$44</c:f>
              <c:strCache>
                <c:ptCount val="1"/>
                <c:pt idx="0">
                  <c:v>Knot E0_12h_KN.region_Top300regions.gff</c:v>
                </c:pt>
              </c:strCache>
            </c:strRef>
          </c:tx>
          <c:marker>
            <c:symbol val="none"/>
          </c:marker>
          <c:val>
            <c:numRef>
              <c:f>wt_CBP_RawData_vs_top300TF!$C$44:$AX$44</c:f>
              <c:numCache>
                <c:formatCode>General</c:formatCode>
                <c:ptCount val="48"/>
                <c:pt idx="0">
                  <c:v>0.00545394416013184</c:v>
                </c:pt>
                <c:pt idx="1">
                  <c:v>0.00545394852740987</c:v>
                </c:pt>
                <c:pt idx="2">
                  <c:v>0.00545397473122499</c:v>
                </c:pt>
                <c:pt idx="3">
                  <c:v>0.00545401403741977</c:v>
                </c:pt>
                <c:pt idx="4">
                  <c:v>0.00545433724316927</c:v>
                </c:pt>
                <c:pt idx="5">
                  <c:v>0.00545346769413159</c:v>
                </c:pt>
                <c:pt idx="6">
                  <c:v>0.00544981845963663</c:v>
                </c:pt>
                <c:pt idx="7">
                  <c:v>0.00545574906285801</c:v>
                </c:pt>
                <c:pt idx="8">
                  <c:v>0.00546726586629793</c:v>
                </c:pt>
                <c:pt idx="9">
                  <c:v>0.00550191726057106</c:v>
                </c:pt>
                <c:pt idx="10">
                  <c:v>0.00554763750322973</c:v>
                </c:pt>
                <c:pt idx="11">
                  <c:v>0.00565663256988632</c:v>
                </c:pt>
                <c:pt idx="12">
                  <c:v>0.00584224040778347</c:v>
                </c:pt>
                <c:pt idx="13">
                  <c:v>0.00615832262576967</c:v>
                </c:pt>
                <c:pt idx="14">
                  <c:v>0.00668081461639598</c:v>
                </c:pt>
                <c:pt idx="15">
                  <c:v>0.00764649799630699</c:v>
                </c:pt>
                <c:pt idx="16">
                  <c:v>0.0090065536383344</c:v>
                </c:pt>
                <c:pt idx="17">
                  <c:v>0.0109958514397828</c:v>
                </c:pt>
                <c:pt idx="18">
                  <c:v>0.0134479034371031</c:v>
                </c:pt>
                <c:pt idx="19">
                  <c:v>0.0163102734696602</c:v>
                </c:pt>
                <c:pt idx="20">
                  <c:v>0.0194288960818126</c:v>
                </c:pt>
                <c:pt idx="21">
                  <c:v>0.0225118305791112</c:v>
                </c:pt>
                <c:pt idx="22">
                  <c:v>0.0261556951517179</c:v>
                </c:pt>
                <c:pt idx="23">
                  <c:v>0.0295501368346607</c:v>
                </c:pt>
                <c:pt idx="24">
                  <c:v>0.0336522250161373</c:v>
                </c:pt>
                <c:pt idx="25">
                  <c:v>0.0380132209351689</c:v>
                </c:pt>
                <c:pt idx="26">
                  <c:v>0.0428004186161044</c:v>
                </c:pt>
                <c:pt idx="27">
                  <c:v>0.0472587150101825</c:v>
                </c:pt>
                <c:pt idx="28">
                  <c:v>0.0516209606077952</c:v>
                </c:pt>
                <c:pt idx="29">
                  <c:v>0.0587774828126064</c:v>
                </c:pt>
                <c:pt idx="30">
                  <c:v>0.0661966138231464</c:v>
                </c:pt>
                <c:pt idx="31">
                  <c:v>0.0718666269723132</c:v>
                </c:pt>
                <c:pt idx="32">
                  <c:v>0.0804342657896822</c:v>
                </c:pt>
                <c:pt idx="33">
                  <c:v>0.087289759420907</c:v>
                </c:pt>
                <c:pt idx="34">
                  <c:v>0.101218787158145</c:v>
                </c:pt>
                <c:pt idx="35">
                  <c:v>0.107231404958678</c:v>
                </c:pt>
                <c:pt idx="36">
                  <c:v>0.123723373212723</c:v>
                </c:pt>
                <c:pt idx="37">
                  <c:v>0.134607564050427</c:v>
                </c:pt>
                <c:pt idx="38">
                  <c:v>0.139455782312925</c:v>
                </c:pt>
                <c:pt idx="39">
                  <c:v>0.155032467532468</c:v>
                </c:pt>
                <c:pt idx="40">
                  <c:v>0.172131147540984</c:v>
                </c:pt>
                <c:pt idx="41">
                  <c:v>0.223728813559322</c:v>
                </c:pt>
                <c:pt idx="42">
                  <c:v>0.240694789081886</c:v>
                </c:pt>
                <c:pt idx="43">
                  <c:v>0.276595744680851</c:v>
                </c:pt>
                <c:pt idx="44">
                  <c:v>0.333333333333333</c:v>
                </c:pt>
                <c:pt idx="45">
                  <c:v>0.341463414634146</c:v>
                </c:pt>
                <c:pt idx="46">
                  <c:v>0.372549019607843</c:v>
                </c:pt>
                <c:pt idx="47">
                  <c:v>0.529411764705882</c:v>
                </c:pt>
              </c:numCache>
            </c:numRef>
          </c:val>
        </c:ser>
        <c:ser>
          <c:idx val="40"/>
          <c:order val="40"/>
          <c:tx>
            <c:strRef>
              <c:f>wt_CBP_RawData_vs_top300TF!$A$45:$B$45</c:f>
              <c:strCache>
                <c:ptCount val="1"/>
                <c:pt idx="0">
                  <c:v>Krüppel E0_8_Kr_D2_ChIP_chip.region_Top300regions.gff</c:v>
                </c:pt>
              </c:strCache>
            </c:strRef>
          </c:tx>
          <c:marker>
            <c:symbol val="none"/>
          </c:marker>
          <c:val>
            <c:numRef>
              <c:f>wt_CBP_RawData_vs_top300TF!$C$45:$AX$45</c:f>
              <c:numCache>
                <c:formatCode>General</c:formatCode>
                <c:ptCount val="48"/>
                <c:pt idx="0">
                  <c:v>0.00753750937884613</c:v>
                </c:pt>
                <c:pt idx="1">
                  <c:v>0.00753751541455134</c:v>
                </c:pt>
                <c:pt idx="2">
                  <c:v>0.00753755162898558</c:v>
                </c:pt>
                <c:pt idx="3">
                  <c:v>0.00753760595128943</c:v>
                </c:pt>
                <c:pt idx="4">
                  <c:v>0.00753805263103102</c:v>
                </c:pt>
                <c:pt idx="5">
                  <c:v>0.00754017206299364</c:v>
                </c:pt>
                <c:pt idx="6">
                  <c:v>0.00754460746155345</c:v>
                </c:pt>
                <c:pt idx="7">
                  <c:v>0.00755899616145354</c:v>
                </c:pt>
                <c:pt idx="8">
                  <c:v>0.00759795686279578</c:v>
                </c:pt>
                <c:pt idx="9">
                  <c:v>0.00767639123873977</c:v>
                </c:pt>
                <c:pt idx="10">
                  <c:v>0.00781136698922311</c:v>
                </c:pt>
                <c:pt idx="11">
                  <c:v>0.00803124517508563</c:v>
                </c:pt>
                <c:pt idx="12">
                  <c:v>0.00837997211223869</c:v>
                </c:pt>
                <c:pt idx="13">
                  <c:v>0.00893541276184414</c:v>
                </c:pt>
                <c:pt idx="14">
                  <c:v>0.00970207472954321</c:v>
                </c:pt>
                <c:pt idx="15">
                  <c:v>0.0108724244877847</c:v>
                </c:pt>
                <c:pt idx="16">
                  <c:v>0.0123695224490307</c:v>
                </c:pt>
                <c:pt idx="17">
                  <c:v>0.0142008407433527</c:v>
                </c:pt>
                <c:pt idx="18">
                  <c:v>0.0160829824894747</c:v>
                </c:pt>
                <c:pt idx="19">
                  <c:v>0.0181031002552553</c:v>
                </c:pt>
                <c:pt idx="20">
                  <c:v>0.0201250715180225</c:v>
                </c:pt>
                <c:pt idx="21">
                  <c:v>0.0219271726040266</c:v>
                </c:pt>
                <c:pt idx="22">
                  <c:v>0.0235971205193968</c:v>
                </c:pt>
                <c:pt idx="23">
                  <c:v>0.0247993604132714</c:v>
                </c:pt>
                <c:pt idx="24">
                  <c:v>0.0255691397631916</c:v>
                </c:pt>
                <c:pt idx="25">
                  <c:v>0.0259809570016375</c:v>
                </c:pt>
                <c:pt idx="26">
                  <c:v>0.0265636542723467</c:v>
                </c:pt>
                <c:pt idx="27">
                  <c:v>0.0282114762608314</c:v>
                </c:pt>
                <c:pt idx="28">
                  <c:v>0.0303377218088151</c:v>
                </c:pt>
                <c:pt idx="29">
                  <c:v>0.0323327207133619</c:v>
                </c:pt>
                <c:pt idx="30">
                  <c:v>0.0326941213454888</c:v>
                </c:pt>
                <c:pt idx="31">
                  <c:v>0.0323905924382257</c:v>
                </c:pt>
                <c:pt idx="32">
                  <c:v>0.0308265314208733</c:v>
                </c:pt>
                <c:pt idx="33">
                  <c:v>0.0295933574622099</c:v>
                </c:pt>
                <c:pt idx="34">
                  <c:v>0.0312128418549346</c:v>
                </c:pt>
                <c:pt idx="35">
                  <c:v>0.0303719008264463</c:v>
                </c:pt>
                <c:pt idx="36">
                  <c:v>0.026553837175372</c:v>
                </c:pt>
                <c:pt idx="37">
                  <c:v>0.0244001626677511</c:v>
                </c:pt>
                <c:pt idx="38">
                  <c:v>0.0243764172335601</c:v>
                </c:pt>
                <c:pt idx="39">
                  <c:v>0.0154220779220779</c:v>
                </c:pt>
                <c:pt idx="40">
                  <c:v>0.00585480093676815</c:v>
                </c:pt>
                <c:pt idx="41">
                  <c:v>0.00847457627118644</c:v>
                </c:pt>
                <c:pt idx="42">
                  <c:v>0.0</c:v>
                </c:pt>
                <c:pt idx="43">
                  <c:v>0.0</c:v>
                </c:pt>
                <c:pt idx="44">
                  <c:v>0.0</c:v>
                </c:pt>
                <c:pt idx="45">
                  <c:v>0.0</c:v>
                </c:pt>
                <c:pt idx="46">
                  <c:v>0.0</c:v>
                </c:pt>
                <c:pt idx="47">
                  <c:v>0.0</c:v>
                </c:pt>
              </c:numCache>
            </c:numRef>
          </c:val>
        </c:ser>
        <c:ser>
          <c:idx val="41"/>
          <c:order val="41"/>
          <c:tx>
            <c:strRef>
              <c:f>wt_CBP_RawData_vs_top300TF!$A$46:$B$46</c:f>
              <c:strCache>
                <c:ptCount val="1"/>
                <c:pt idx="0">
                  <c:v>Krüppel kr_1_Rel5.gff</c:v>
                </c:pt>
              </c:strCache>
            </c:strRef>
          </c:tx>
          <c:marker>
            <c:symbol val="none"/>
          </c:marker>
          <c:val>
            <c:numRef>
              <c:f>wt_CBP_RawData_vs_top300TF!$C$46:$AX$46</c:f>
              <c:numCache>
                <c:formatCode>General</c:formatCode>
                <c:ptCount val="48"/>
                <c:pt idx="0">
                  <c:v>0.021956709568465</c:v>
                </c:pt>
                <c:pt idx="1">
                  <c:v>0.02195672715043</c:v>
                </c:pt>
                <c:pt idx="2">
                  <c:v>0.0219568326428115</c:v>
                </c:pt>
                <c:pt idx="3">
                  <c:v>0.0219569908832844</c:v>
                </c:pt>
                <c:pt idx="4">
                  <c:v>0.0219582920580974</c:v>
                </c:pt>
                <c:pt idx="5">
                  <c:v>0.0219644659478684</c:v>
                </c:pt>
                <c:pt idx="6">
                  <c:v>0.0219820568054187</c:v>
                </c:pt>
                <c:pt idx="7">
                  <c:v>0.0220278579818147</c:v>
                </c:pt>
                <c:pt idx="8">
                  <c:v>0.0221444863726238</c:v>
                </c:pt>
                <c:pt idx="9">
                  <c:v>0.0223857319232051</c:v>
                </c:pt>
                <c:pt idx="10">
                  <c:v>0.022828995074138</c:v>
                </c:pt>
                <c:pt idx="11">
                  <c:v>0.0235753402561959</c:v>
                </c:pt>
                <c:pt idx="12">
                  <c:v>0.0247642592779562</c:v>
                </c:pt>
                <c:pt idx="13">
                  <c:v>0.026566546034665</c:v>
                </c:pt>
                <c:pt idx="14">
                  <c:v>0.0291073152901512</c:v>
                </c:pt>
                <c:pt idx="15">
                  <c:v>0.0333563878862226</c:v>
                </c:pt>
                <c:pt idx="16">
                  <c:v>0.0390649474330539</c:v>
                </c:pt>
                <c:pt idx="17">
                  <c:v>0.046191637479661</c:v>
                </c:pt>
                <c:pt idx="18">
                  <c:v>0.0541891256737702</c:v>
                </c:pt>
                <c:pt idx="19">
                  <c:v>0.062771188892103</c:v>
                </c:pt>
                <c:pt idx="20">
                  <c:v>0.0709258733200767</c:v>
                </c:pt>
                <c:pt idx="21">
                  <c:v>0.0781193002093775</c:v>
                </c:pt>
                <c:pt idx="22">
                  <c:v>0.0842223296038856</c:v>
                </c:pt>
                <c:pt idx="23">
                  <c:v>0.0883044801820362</c:v>
                </c:pt>
                <c:pt idx="24">
                  <c:v>0.0932107864389144</c:v>
                </c:pt>
                <c:pt idx="25">
                  <c:v>0.0979804718297047</c:v>
                </c:pt>
                <c:pt idx="26">
                  <c:v>0.100467865057868</c:v>
                </c:pt>
                <c:pt idx="27">
                  <c:v>0.102883041169189</c:v>
                </c:pt>
                <c:pt idx="28">
                  <c:v>0.104022480095749</c:v>
                </c:pt>
                <c:pt idx="29">
                  <c:v>0.107106391668368</c:v>
                </c:pt>
                <c:pt idx="30">
                  <c:v>0.106929536982979</c:v>
                </c:pt>
                <c:pt idx="31">
                  <c:v>0.104793093182495</c:v>
                </c:pt>
                <c:pt idx="32">
                  <c:v>0.104841905063793</c:v>
                </c:pt>
                <c:pt idx="33">
                  <c:v>0.10687672982755</c:v>
                </c:pt>
                <c:pt idx="34">
                  <c:v>0.116676575505351</c:v>
                </c:pt>
                <c:pt idx="35">
                  <c:v>0.119628099173554</c:v>
                </c:pt>
                <c:pt idx="36">
                  <c:v>0.125474175663846</c:v>
                </c:pt>
                <c:pt idx="37">
                  <c:v>0.128507523383489</c:v>
                </c:pt>
                <c:pt idx="38">
                  <c:v>0.129818594104308</c:v>
                </c:pt>
                <c:pt idx="39">
                  <c:v>0.130681818181818</c:v>
                </c:pt>
                <c:pt idx="40">
                  <c:v>0.133489461358314</c:v>
                </c:pt>
                <c:pt idx="41">
                  <c:v>0.116949152542373</c:v>
                </c:pt>
                <c:pt idx="42">
                  <c:v>0.0992555831265509</c:v>
                </c:pt>
                <c:pt idx="43">
                  <c:v>0.0936170212765957</c:v>
                </c:pt>
                <c:pt idx="44">
                  <c:v>0.113475177304965</c:v>
                </c:pt>
                <c:pt idx="45">
                  <c:v>0.195121951219512</c:v>
                </c:pt>
                <c:pt idx="46">
                  <c:v>0.176470588235294</c:v>
                </c:pt>
                <c:pt idx="47">
                  <c:v>0.0882352941176471</c:v>
                </c:pt>
              </c:numCache>
            </c:numRef>
          </c:val>
        </c:ser>
        <c:ser>
          <c:idx val="42"/>
          <c:order val="42"/>
          <c:tx>
            <c:strRef>
              <c:f>wt_CBP_RawData_vs_top300TF!$A$47:$B$47</c:f>
              <c:strCache>
                <c:ptCount val="1"/>
                <c:pt idx="0">
                  <c:v>Krüppel kr_2_Rel5.gff</c:v>
                </c:pt>
              </c:strCache>
            </c:strRef>
          </c:tx>
          <c:marker>
            <c:symbol val="none"/>
          </c:marker>
          <c:val>
            <c:numRef>
              <c:f>wt_CBP_RawData_vs_top300TF!$C$47:$AX$47</c:f>
              <c:numCache>
                <c:formatCode>General</c:formatCode>
                <c:ptCount val="48"/>
                <c:pt idx="0">
                  <c:v>0.0239233645174128</c:v>
                </c:pt>
                <c:pt idx="1">
                  <c:v>0.0239233836741884</c:v>
                </c:pt>
                <c:pt idx="2">
                  <c:v>0.0239234986154864</c:v>
                </c:pt>
                <c:pt idx="3">
                  <c:v>0.0239236710295042</c:v>
                </c:pt>
                <c:pt idx="4">
                  <c:v>0.0239250887500991</c:v>
                </c:pt>
                <c:pt idx="5">
                  <c:v>0.0239318156330604</c:v>
                </c:pt>
                <c:pt idx="6">
                  <c:v>0.0239509820976911</c:v>
                </c:pt>
                <c:pt idx="7">
                  <c:v>0.0240009576281671</c:v>
                </c:pt>
                <c:pt idx="8">
                  <c:v>0.0241297928432044</c:v>
                </c:pt>
                <c:pt idx="9">
                  <c:v>0.024393629599629</c:v>
                </c:pt>
                <c:pt idx="10">
                  <c:v>0.0248768534493536</c:v>
                </c:pt>
                <c:pt idx="11">
                  <c:v>0.0256903239496027</c:v>
                </c:pt>
                <c:pt idx="12">
                  <c:v>0.026967265080175</c:v>
                </c:pt>
                <c:pt idx="13">
                  <c:v>0.0288888103012657</c:v>
                </c:pt>
                <c:pt idx="14">
                  <c:v>0.0316572195459927</c:v>
                </c:pt>
                <c:pt idx="15">
                  <c:v>0.0362217394595996</c:v>
                </c:pt>
                <c:pt idx="16">
                  <c:v>0.0424357480295227</c:v>
                </c:pt>
                <c:pt idx="17">
                  <c:v>0.0499265236010921</c:v>
                </c:pt>
                <c:pt idx="18">
                  <c:v>0.0586567597027911</c:v>
                </c:pt>
                <c:pt idx="19">
                  <c:v>0.068105166456338</c:v>
                </c:pt>
                <c:pt idx="20">
                  <c:v>0.0770874260313599</c:v>
                </c:pt>
                <c:pt idx="21">
                  <c:v>0.0850352543761899</c:v>
                </c:pt>
                <c:pt idx="22">
                  <c:v>0.0920281505160515</c:v>
                </c:pt>
                <c:pt idx="23">
                  <c:v>0.0966683066326374</c:v>
                </c:pt>
                <c:pt idx="24">
                  <c:v>0.102122412015762</c:v>
                </c:pt>
                <c:pt idx="25">
                  <c:v>0.107028928376493</c:v>
                </c:pt>
                <c:pt idx="26">
                  <c:v>0.110256094557991</c:v>
                </c:pt>
                <c:pt idx="27">
                  <c:v>0.112546420157329</c:v>
                </c:pt>
                <c:pt idx="28">
                  <c:v>0.11351927980434</c:v>
                </c:pt>
                <c:pt idx="29">
                  <c:v>0.115649036825267</c:v>
                </c:pt>
                <c:pt idx="30">
                  <c:v>0.113261777518301</c:v>
                </c:pt>
                <c:pt idx="31">
                  <c:v>0.109377791009229</c:v>
                </c:pt>
                <c:pt idx="32">
                  <c:v>0.106109834376733</c:v>
                </c:pt>
                <c:pt idx="33">
                  <c:v>0.106770278901426</c:v>
                </c:pt>
                <c:pt idx="34">
                  <c:v>0.11563614744352</c:v>
                </c:pt>
                <c:pt idx="35">
                  <c:v>0.113842975206612</c:v>
                </c:pt>
                <c:pt idx="36">
                  <c:v>0.115261161365626</c:v>
                </c:pt>
                <c:pt idx="37">
                  <c:v>0.117527450183001</c:v>
                </c:pt>
                <c:pt idx="38">
                  <c:v>0.119047619047619</c:v>
                </c:pt>
                <c:pt idx="39">
                  <c:v>0.117694805194805</c:v>
                </c:pt>
                <c:pt idx="40">
                  <c:v>0.124121779859485</c:v>
                </c:pt>
                <c:pt idx="41">
                  <c:v>0.128813559322034</c:v>
                </c:pt>
                <c:pt idx="42">
                  <c:v>0.106699751861042</c:v>
                </c:pt>
                <c:pt idx="43">
                  <c:v>0.123404255319149</c:v>
                </c:pt>
                <c:pt idx="44">
                  <c:v>0.163120567375887</c:v>
                </c:pt>
                <c:pt idx="45">
                  <c:v>0.195121951219512</c:v>
                </c:pt>
                <c:pt idx="46">
                  <c:v>0.176470588235294</c:v>
                </c:pt>
                <c:pt idx="47">
                  <c:v>0.0882352941176471</c:v>
                </c:pt>
              </c:numCache>
            </c:numRef>
          </c:val>
        </c:ser>
        <c:ser>
          <c:idx val="43"/>
          <c:order val="43"/>
          <c:tx>
            <c:strRef>
              <c:f>wt_CBP_RawData_vs_top300TF!$A$48:$B$48</c:f>
              <c:strCache>
                <c:ptCount val="1"/>
                <c:pt idx="0">
                  <c:v>Mad (Mothers against dpp) mad_2_Rel5.gff</c:v>
                </c:pt>
              </c:strCache>
            </c:strRef>
          </c:tx>
          <c:marker>
            <c:symbol val="none"/>
          </c:marker>
          <c:val>
            <c:numRef>
              <c:f>wt_CBP_RawData_vs_top300TF!$C$48:$AX$48</c:f>
              <c:numCache>
                <c:formatCode>General</c:formatCode>
                <c:ptCount val="48"/>
                <c:pt idx="0">
                  <c:v>0.00234461143750786</c:v>
                </c:pt>
                <c:pt idx="1">
                  <c:v>0.00234461331496933</c:v>
                </c:pt>
                <c:pt idx="2">
                  <c:v>0.00234462457980132</c:v>
                </c:pt>
                <c:pt idx="3">
                  <c:v>0.00234464147725225</c:v>
                </c:pt>
                <c:pt idx="4">
                  <c:v>0.00234478042108348</c:v>
                </c:pt>
                <c:pt idx="5">
                  <c:v>0.00234543968983803</c:v>
                </c:pt>
                <c:pt idx="6">
                  <c:v>0.00234731810088497</c:v>
                </c:pt>
                <c:pt idx="7">
                  <c:v>0.00235229469239409</c:v>
                </c:pt>
                <c:pt idx="8">
                  <c:v>0.00236492162158669</c:v>
                </c:pt>
                <c:pt idx="9">
                  <c:v>0.0023908598603372</c:v>
                </c:pt>
                <c:pt idx="10">
                  <c:v>0.00244042707473808</c:v>
                </c:pt>
                <c:pt idx="11">
                  <c:v>0.00252383453789073</c:v>
                </c:pt>
                <c:pt idx="12">
                  <c:v>0.00266052517402563</c:v>
                </c:pt>
                <c:pt idx="13">
                  <c:v>0.00287041293866629</c:v>
                </c:pt>
                <c:pt idx="14">
                  <c:v>0.00317946983377068</c:v>
                </c:pt>
                <c:pt idx="15">
                  <c:v>0.00371481988577089</c:v>
                </c:pt>
                <c:pt idx="16">
                  <c:v>0.00448761324762227</c:v>
                </c:pt>
                <c:pt idx="17">
                  <c:v>0.00556687140251278</c:v>
                </c:pt>
                <c:pt idx="18">
                  <c:v>0.00688520655619669</c:v>
                </c:pt>
                <c:pt idx="19">
                  <c:v>0.00849049706440508</c:v>
                </c:pt>
                <c:pt idx="20">
                  <c:v>0.0102785902047316</c:v>
                </c:pt>
                <c:pt idx="21">
                  <c:v>0.0123077999370368</c:v>
                </c:pt>
                <c:pt idx="22">
                  <c:v>0.0142177452328737</c:v>
                </c:pt>
                <c:pt idx="23">
                  <c:v>0.0160819163002368</c:v>
                </c:pt>
                <c:pt idx="24">
                  <c:v>0.0183049606443346</c:v>
                </c:pt>
                <c:pt idx="25">
                  <c:v>0.0205955485475165</c:v>
                </c:pt>
                <c:pt idx="26">
                  <c:v>0.0229623245506033</c:v>
                </c:pt>
                <c:pt idx="27">
                  <c:v>0.0251167991055385</c:v>
                </c:pt>
                <c:pt idx="28">
                  <c:v>0.0278919706509861</c:v>
                </c:pt>
                <c:pt idx="29">
                  <c:v>0.0302906541419917</c:v>
                </c:pt>
                <c:pt idx="30">
                  <c:v>0.0318408407059775</c:v>
                </c:pt>
                <c:pt idx="31">
                  <c:v>0.0339386722238762</c:v>
                </c:pt>
                <c:pt idx="32">
                  <c:v>0.0355812663444013</c:v>
                </c:pt>
                <c:pt idx="33">
                  <c:v>0.0383223334043006</c:v>
                </c:pt>
                <c:pt idx="34">
                  <c:v>0.0450356718192628</c:v>
                </c:pt>
                <c:pt idx="35">
                  <c:v>0.0464876033057851</c:v>
                </c:pt>
                <c:pt idx="36">
                  <c:v>0.0536912751677852</c:v>
                </c:pt>
                <c:pt idx="37">
                  <c:v>0.0536803578690525</c:v>
                </c:pt>
                <c:pt idx="38">
                  <c:v>0.0510204081632653</c:v>
                </c:pt>
                <c:pt idx="39">
                  <c:v>0.0641233766233766</c:v>
                </c:pt>
                <c:pt idx="40">
                  <c:v>0.0737704918032787</c:v>
                </c:pt>
                <c:pt idx="41">
                  <c:v>0.088135593220339</c:v>
                </c:pt>
                <c:pt idx="42">
                  <c:v>0.0694789081885856</c:v>
                </c:pt>
                <c:pt idx="43">
                  <c:v>0.0340425531914894</c:v>
                </c:pt>
                <c:pt idx="44">
                  <c:v>0.0</c:v>
                </c:pt>
                <c:pt idx="45">
                  <c:v>0.0</c:v>
                </c:pt>
                <c:pt idx="46">
                  <c:v>0.0</c:v>
                </c:pt>
                <c:pt idx="47">
                  <c:v>0.0</c:v>
                </c:pt>
              </c:numCache>
            </c:numRef>
          </c:val>
        </c:ser>
        <c:ser>
          <c:idx val="44"/>
          <c:order val="44"/>
          <c:tx>
            <c:strRef>
              <c:f>wt_CBP_RawData_vs_top300TF!$A$49:$B$49</c:f>
              <c:strCache>
                <c:ptCount val="1"/>
                <c:pt idx="0">
                  <c:v>Medea med_2_Rel5.gff</c:v>
                </c:pt>
              </c:strCache>
            </c:strRef>
          </c:tx>
          <c:marker>
            <c:symbol val="none"/>
          </c:marker>
          <c:val>
            <c:numRef>
              <c:f>wt_CBP_RawData_vs_top300TF!$C$49:$AX$49</c:f>
              <c:numCache>
                <c:formatCode>General</c:formatCode>
                <c:ptCount val="48"/>
                <c:pt idx="0">
                  <c:v>0.0220568039775116</c:v>
                </c:pt>
                <c:pt idx="1">
                  <c:v>0.0220568216396278</c:v>
                </c:pt>
                <c:pt idx="2">
                  <c:v>0.0220569276129191</c:v>
                </c:pt>
                <c:pt idx="3">
                  <c:v>0.0220570865747655</c:v>
                </c:pt>
                <c:pt idx="4">
                  <c:v>0.0220583936812652</c:v>
                </c:pt>
                <c:pt idx="5">
                  <c:v>0.022064595716048</c:v>
                </c:pt>
                <c:pt idx="6">
                  <c:v>0.0220822667653267</c:v>
                </c:pt>
                <c:pt idx="7">
                  <c:v>0.0221290837780038</c:v>
                </c:pt>
                <c:pt idx="8">
                  <c:v>0.0222478709243871</c:v>
                </c:pt>
                <c:pt idx="9">
                  <c:v>0.0224910669375437</c:v>
                </c:pt>
                <c:pt idx="10">
                  <c:v>0.022954850432159</c:v>
                </c:pt>
                <c:pt idx="11">
                  <c:v>0.0237366379522266</c:v>
                </c:pt>
                <c:pt idx="12">
                  <c:v>0.0249898354294633</c:v>
                </c:pt>
                <c:pt idx="13">
                  <c:v>0.0268759848011537</c:v>
                </c:pt>
                <c:pt idx="14">
                  <c:v>0.0296452283402709</c:v>
                </c:pt>
                <c:pt idx="15">
                  <c:v>0.0343572720005235</c:v>
                </c:pt>
                <c:pt idx="16">
                  <c:v>0.0409696377329173</c:v>
                </c:pt>
                <c:pt idx="17">
                  <c:v>0.0497807527292641</c:v>
                </c:pt>
                <c:pt idx="18">
                  <c:v>0.0601643049291479</c:v>
                </c:pt>
                <c:pt idx="19">
                  <c:v>0.0716844624857353</c:v>
                </c:pt>
                <c:pt idx="20">
                  <c:v>0.0832969908416921</c:v>
                </c:pt>
                <c:pt idx="21">
                  <c:v>0.0951793200977428</c:v>
                </c:pt>
                <c:pt idx="22">
                  <c:v>0.106345017284318</c:v>
                </c:pt>
                <c:pt idx="23">
                  <c:v>0.116032717321116</c:v>
                </c:pt>
                <c:pt idx="24">
                  <c:v>0.126130813029278</c:v>
                </c:pt>
                <c:pt idx="25">
                  <c:v>0.134695857844624</c:v>
                </c:pt>
                <c:pt idx="26">
                  <c:v>0.141806205368136</c:v>
                </c:pt>
                <c:pt idx="27">
                  <c:v>0.151100107814559</c:v>
                </c:pt>
                <c:pt idx="28">
                  <c:v>0.158349378154759</c:v>
                </c:pt>
                <c:pt idx="29">
                  <c:v>0.166530528895242</c:v>
                </c:pt>
                <c:pt idx="30">
                  <c:v>0.168949566623254</c:v>
                </c:pt>
                <c:pt idx="31">
                  <c:v>0.171896397737422</c:v>
                </c:pt>
                <c:pt idx="32">
                  <c:v>0.173944052619066</c:v>
                </c:pt>
                <c:pt idx="33">
                  <c:v>0.173940813285076</c:v>
                </c:pt>
                <c:pt idx="34">
                  <c:v>0.177021403091558</c:v>
                </c:pt>
                <c:pt idx="35">
                  <c:v>0.179752066115702</c:v>
                </c:pt>
                <c:pt idx="36">
                  <c:v>0.173037642252699</c:v>
                </c:pt>
                <c:pt idx="37">
                  <c:v>0.168361122407483</c:v>
                </c:pt>
                <c:pt idx="38">
                  <c:v>0.153061224489796</c:v>
                </c:pt>
                <c:pt idx="39">
                  <c:v>0.166396103896104</c:v>
                </c:pt>
                <c:pt idx="40">
                  <c:v>0.159250585480094</c:v>
                </c:pt>
                <c:pt idx="41">
                  <c:v>0.149152542372881</c:v>
                </c:pt>
                <c:pt idx="42">
                  <c:v>0.148883374689826</c:v>
                </c:pt>
                <c:pt idx="43">
                  <c:v>0.14468085106383</c:v>
                </c:pt>
                <c:pt idx="44">
                  <c:v>0.148936170212766</c:v>
                </c:pt>
                <c:pt idx="45">
                  <c:v>0.170731707317073</c:v>
                </c:pt>
                <c:pt idx="46">
                  <c:v>0.137254901960784</c:v>
                </c:pt>
                <c:pt idx="47">
                  <c:v>0.176470588235294</c:v>
                </c:pt>
              </c:numCache>
            </c:numRef>
          </c:val>
        </c:ser>
        <c:ser>
          <c:idx val="45"/>
          <c:order val="45"/>
          <c:tx>
            <c:strRef>
              <c:f>wt_CBP_RawData_vs_top300TF!$A$50:$B$50</c:f>
              <c:strCache>
                <c:ptCount val="1"/>
                <c:pt idx="0">
                  <c:v>Paired prd_BQ_Rel5.gff</c:v>
                </c:pt>
              </c:strCache>
            </c:strRef>
          </c:tx>
          <c:marker>
            <c:symbol val="none"/>
          </c:marker>
          <c:val>
            <c:numRef>
              <c:f>wt_CBP_RawData_vs_top300TF!$C$50:$AX$50</c:f>
              <c:numCache>
                <c:formatCode>General</c:formatCode>
                <c:ptCount val="48"/>
                <c:pt idx="0">
                  <c:v>0.0118343621703991</c:v>
                </c:pt>
                <c:pt idx="1">
                  <c:v>0.0118343716468346</c:v>
                </c:pt>
                <c:pt idx="2">
                  <c:v>0.0118344285057663</c:v>
                </c:pt>
                <c:pt idx="3">
                  <c:v>0.0118345137951882</c:v>
                </c:pt>
                <c:pt idx="4">
                  <c:v>0.0118352151103801</c:v>
                </c:pt>
                <c:pt idx="5">
                  <c:v>0.0118385427514058</c:v>
                </c:pt>
                <c:pt idx="6">
                  <c:v>0.0118480239798426</c:v>
                </c:pt>
                <c:pt idx="7">
                  <c:v>0.0118723398101775</c:v>
                </c:pt>
                <c:pt idx="8">
                  <c:v>0.0119304157351288</c:v>
                </c:pt>
                <c:pt idx="9">
                  <c:v>0.0120547350130321</c:v>
                </c:pt>
                <c:pt idx="10">
                  <c:v>0.0122954850432159</c:v>
                </c:pt>
                <c:pt idx="11">
                  <c:v>0.0126855893878192</c:v>
                </c:pt>
                <c:pt idx="12">
                  <c:v>0.0133099025201768</c:v>
                </c:pt>
                <c:pt idx="13">
                  <c:v>0.0142724947248058</c:v>
                </c:pt>
                <c:pt idx="14">
                  <c:v>0.015606025062602</c:v>
                </c:pt>
                <c:pt idx="15">
                  <c:v>0.0178888787659869</c:v>
                </c:pt>
                <c:pt idx="16">
                  <c:v>0.02106750372793</c:v>
                </c:pt>
                <c:pt idx="17">
                  <c:v>0.0249563672322839</c:v>
                </c:pt>
                <c:pt idx="18">
                  <c:v>0.0292858785763573</c:v>
                </c:pt>
                <c:pt idx="19">
                  <c:v>0.033660005022458</c:v>
                </c:pt>
                <c:pt idx="20">
                  <c:v>0.0378335340505807</c:v>
                </c:pt>
                <c:pt idx="21">
                  <c:v>0.0421453449731907</c:v>
                </c:pt>
                <c:pt idx="22">
                  <c:v>0.0453233220582587</c:v>
                </c:pt>
                <c:pt idx="23">
                  <c:v>0.048276498262661</c:v>
                </c:pt>
                <c:pt idx="24">
                  <c:v>0.0501941289247281</c:v>
                </c:pt>
                <c:pt idx="25">
                  <c:v>0.0519497847049548</c:v>
                </c:pt>
                <c:pt idx="26">
                  <c:v>0.0528964540753509</c:v>
                </c:pt>
                <c:pt idx="27">
                  <c:v>0.0539671764564948</c:v>
                </c:pt>
                <c:pt idx="28">
                  <c:v>0.0521933704532445</c:v>
                </c:pt>
                <c:pt idx="29">
                  <c:v>0.0502348376557076</c:v>
                </c:pt>
                <c:pt idx="30">
                  <c:v>0.0483675394080927</c:v>
                </c:pt>
                <c:pt idx="31">
                  <c:v>0.0504316760940756</c:v>
                </c:pt>
                <c:pt idx="32">
                  <c:v>0.0513511371741025</c:v>
                </c:pt>
                <c:pt idx="33">
                  <c:v>0.0513093463913136</c:v>
                </c:pt>
                <c:pt idx="34">
                  <c:v>0.053359096313912</c:v>
                </c:pt>
                <c:pt idx="35">
                  <c:v>0.0512396694214876</c:v>
                </c:pt>
                <c:pt idx="36">
                  <c:v>0.0501896702655384</c:v>
                </c:pt>
                <c:pt idx="37">
                  <c:v>0.0459536396909313</c:v>
                </c:pt>
                <c:pt idx="38">
                  <c:v>0.0419501133786848</c:v>
                </c:pt>
                <c:pt idx="39">
                  <c:v>0.0405844155844156</c:v>
                </c:pt>
                <c:pt idx="40">
                  <c:v>0.0351288056206089</c:v>
                </c:pt>
                <c:pt idx="41">
                  <c:v>0.0254237288135593</c:v>
                </c:pt>
                <c:pt idx="42">
                  <c:v>0.0</c:v>
                </c:pt>
                <c:pt idx="43">
                  <c:v>0.0</c:v>
                </c:pt>
                <c:pt idx="44">
                  <c:v>0.0</c:v>
                </c:pt>
                <c:pt idx="45">
                  <c:v>0.0</c:v>
                </c:pt>
                <c:pt idx="46">
                  <c:v>0.0</c:v>
                </c:pt>
                <c:pt idx="47">
                  <c:v>0.0</c:v>
                </c:pt>
              </c:numCache>
            </c:numRef>
          </c:val>
        </c:ser>
        <c:ser>
          <c:idx val="46"/>
          <c:order val="46"/>
          <c:tx>
            <c:strRef>
              <c:f>wt_CBP_RawData_vs_top300TF!$A$51:$B$51</c:f>
              <c:strCache>
                <c:ptCount val="1"/>
                <c:pt idx="0">
                  <c:v>Paired prd_FQ_Rel5.gff</c:v>
                </c:pt>
              </c:strCache>
            </c:strRef>
          </c:tx>
          <c:marker>
            <c:symbol val="none"/>
          </c:marker>
          <c:val>
            <c:numRef>
              <c:f>wt_CBP_RawData_vs_top300TF!$C$51:$AX$51</c:f>
              <c:numCache>
                <c:formatCode>General</c:formatCode>
                <c:ptCount val="48"/>
                <c:pt idx="0">
                  <c:v>0.014071672401409</c:v>
                </c:pt>
                <c:pt idx="1">
                  <c:v>0.0140716836693839</c:v>
                </c:pt>
                <c:pt idx="2">
                  <c:v>0.0140717512776122</c:v>
                </c:pt>
                <c:pt idx="3">
                  <c:v>0.0140718526911728</c:v>
                </c:pt>
                <c:pt idx="4">
                  <c:v>0.0140726865914276</c:v>
                </c:pt>
                <c:pt idx="5">
                  <c:v>0.0140766433297554</c:v>
                </c:pt>
                <c:pt idx="6">
                  <c:v>0.0140879170037062</c:v>
                </c:pt>
                <c:pt idx="7">
                  <c:v>0.0141145715336994</c:v>
                </c:pt>
                <c:pt idx="8">
                  <c:v>0.0141838758868456</c:v>
                </c:pt>
                <c:pt idx="9">
                  <c:v>0.0143271950510507</c:v>
                </c:pt>
                <c:pt idx="10">
                  <c:v>0.0146050558847798</c:v>
                </c:pt>
                <c:pt idx="11">
                  <c:v>0.0150489887842035</c:v>
                </c:pt>
                <c:pt idx="12">
                  <c:v>0.0157812347929384</c:v>
                </c:pt>
                <c:pt idx="13">
                  <c:v>0.0168835685067959</c:v>
                </c:pt>
                <c:pt idx="14">
                  <c:v>0.0184101559729625</c:v>
                </c:pt>
                <c:pt idx="15">
                  <c:v>0.0209736549336529</c:v>
                </c:pt>
                <c:pt idx="16">
                  <c:v>0.0245322857536684</c:v>
                </c:pt>
                <c:pt idx="17">
                  <c:v>0.0286498859441422</c:v>
                </c:pt>
                <c:pt idx="18">
                  <c:v>0.0333785013550407</c:v>
                </c:pt>
                <c:pt idx="19">
                  <c:v>0.0380276362341737</c:v>
                </c:pt>
                <c:pt idx="20">
                  <c:v>0.0423786794272157</c:v>
                </c:pt>
                <c:pt idx="21">
                  <c:v>0.0467026789328243</c:v>
                </c:pt>
                <c:pt idx="22">
                  <c:v>0.0497280352872666</c:v>
                </c:pt>
                <c:pt idx="23">
                  <c:v>0.0524353494664986</c:v>
                </c:pt>
                <c:pt idx="24">
                  <c:v>0.0537684133452797</c:v>
                </c:pt>
                <c:pt idx="25">
                  <c:v>0.0559524531505852</c:v>
                </c:pt>
                <c:pt idx="26">
                  <c:v>0.0573596404826397</c:v>
                </c:pt>
                <c:pt idx="27">
                  <c:v>0.0591782134728267</c:v>
                </c:pt>
                <c:pt idx="28">
                  <c:v>0.058307748347817</c:v>
                </c:pt>
                <c:pt idx="29">
                  <c:v>0.0578245184126336</c:v>
                </c:pt>
                <c:pt idx="30">
                  <c:v>0.0584721785602012</c:v>
                </c:pt>
                <c:pt idx="31">
                  <c:v>0.0609109854123251</c:v>
                </c:pt>
                <c:pt idx="32">
                  <c:v>0.0625247642443934</c:v>
                </c:pt>
                <c:pt idx="33">
                  <c:v>0.0636576538215883</c:v>
                </c:pt>
                <c:pt idx="34">
                  <c:v>0.0691141498216409</c:v>
                </c:pt>
                <c:pt idx="35">
                  <c:v>0.0700413223140496</c:v>
                </c:pt>
                <c:pt idx="36">
                  <c:v>0.0744091041727458</c:v>
                </c:pt>
                <c:pt idx="37">
                  <c:v>0.0764538430256202</c:v>
                </c:pt>
                <c:pt idx="38">
                  <c:v>0.0804988662131519</c:v>
                </c:pt>
                <c:pt idx="39">
                  <c:v>0.0819805194805195</c:v>
                </c:pt>
                <c:pt idx="40">
                  <c:v>0.076112412177986</c:v>
                </c:pt>
                <c:pt idx="41">
                  <c:v>0.0593220338983051</c:v>
                </c:pt>
                <c:pt idx="42">
                  <c:v>0.0397022332506203</c:v>
                </c:pt>
                <c:pt idx="43">
                  <c:v>0.0638297872340425</c:v>
                </c:pt>
                <c:pt idx="44">
                  <c:v>0.0567375886524823</c:v>
                </c:pt>
                <c:pt idx="45">
                  <c:v>0.0853658536585366</c:v>
                </c:pt>
                <c:pt idx="46">
                  <c:v>0.117647058823529</c:v>
                </c:pt>
                <c:pt idx="47">
                  <c:v>0.176470588235294</c:v>
                </c:pt>
              </c:numCache>
            </c:numRef>
          </c:val>
        </c:ser>
        <c:ser>
          <c:idx val="47"/>
          <c:order val="47"/>
          <c:tx>
            <c:strRef>
              <c:f>wt_CBP_RawData_vs_top300TF!$A$52:$B$52</c:f>
              <c:strCache>
                <c:ptCount val="1"/>
                <c:pt idx="0">
                  <c:v>Runt E0_12h_RUN7659.region_Top300regions.gff</c:v>
                </c:pt>
              </c:strCache>
            </c:strRef>
          </c:tx>
          <c:marker>
            <c:symbol val="none"/>
          </c:marker>
          <c:val>
            <c:numRef>
              <c:f>wt_CBP_RawData_vs_top300TF!$C$52:$AX$52</c:f>
              <c:numCache>
                <c:formatCode>General</c:formatCode>
                <c:ptCount val="48"/>
                <c:pt idx="0">
                  <c:v>0.00477009915752538</c:v>
                </c:pt>
                <c:pt idx="1">
                  <c:v>0.00477010297721049</c:v>
                </c:pt>
                <c:pt idx="2">
                  <c:v>0.0047701258954496</c:v>
                </c:pt>
                <c:pt idx="3">
                  <c:v>0.0047701602732212</c:v>
                </c:pt>
                <c:pt idx="4">
                  <c:v>0.00477044295368658</c:v>
                </c:pt>
                <c:pt idx="5">
                  <c:v>0.00477178423236515</c:v>
                </c:pt>
                <c:pt idx="6">
                  <c:v>0.00477400249001708</c:v>
                </c:pt>
                <c:pt idx="7">
                  <c:v>0.00478332055960191</c:v>
                </c:pt>
                <c:pt idx="8">
                  <c:v>0.0048073816569959</c:v>
                </c:pt>
                <c:pt idx="9">
                  <c:v>0.00484622721007558</c:v>
                </c:pt>
                <c:pt idx="10">
                  <c:v>0.00493586377616083</c:v>
                </c:pt>
                <c:pt idx="11">
                  <c:v>0.00509338446556553</c:v>
                </c:pt>
                <c:pt idx="12">
                  <c:v>0.00533287490438027</c:v>
                </c:pt>
                <c:pt idx="13">
                  <c:v>0.00568679688635837</c:v>
                </c:pt>
                <c:pt idx="14">
                  <c:v>0.00619309223626712</c:v>
                </c:pt>
                <c:pt idx="15">
                  <c:v>0.00708061351629837</c:v>
                </c:pt>
                <c:pt idx="16">
                  <c:v>0.00834711727629287</c:v>
                </c:pt>
                <c:pt idx="17">
                  <c:v>0.0100483407729008</c:v>
                </c:pt>
                <c:pt idx="18">
                  <c:v>0.0120803624108723</c:v>
                </c:pt>
                <c:pt idx="19">
                  <c:v>0.0142440723869709</c:v>
                </c:pt>
                <c:pt idx="20">
                  <c:v>0.0166762024030056</c:v>
                </c:pt>
                <c:pt idx="21">
                  <c:v>0.0186041165917938</c:v>
                </c:pt>
                <c:pt idx="22">
                  <c:v>0.0203570853312518</c:v>
                </c:pt>
                <c:pt idx="23">
                  <c:v>0.0214707419821039</c:v>
                </c:pt>
                <c:pt idx="24">
                  <c:v>0.0220333921018912</c:v>
                </c:pt>
                <c:pt idx="25">
                  <c:v>0.0225847534720116</c:v>
                </c:pt>
                <c:pt idx="26">
                  <c:v>0.0220850775671017</c:v>
                </c:pt>
                <c:pt idx="27">
                  <c:v>0.0210238389969253</c:v>
                </c:pt>
                <c:pt idx="28">
                  <c:v>0.0204246240308061</c:v>
                </c:pt>
                <c:pt idx="29">
                  <c:v>0.0191954257708801</c:v>
                </c:pt>
                <c:pt idx="30">
                  <c:v>0.0178739839223964</c:v>
                </c:pt>
                <c:pt idx="31">
                  <c:v>0.0155403393867222</c:v>
                </c:pt>
                <c:pt idx="32">
                  <c:v>0.0132340122038196</c:v>
                </c:pt>
                <c:pt idx="33">
                  <c:v>0.0128805620608899</c:v>
                </c:pt>
                <c:pt idx="34">
                  <c:v>0.0101070154577883</c:v>
                </c:pt>
                <c:pt idx="35">
                  <c:v>0.00578512396694215</c:v>
                </c:pt>
                <c:pt idx="36">
                  <c:v>0.00320980449372629</c:v>
                </c:pt>
                <c:pt idx="37">
                  <c:v>0.0</c:v>
                </c:pt>
                <c:pt idx="38">
                  <c:v>0.0</c:v>
                </c:pt>
                <c:pt idx="39">
                  <c:v>0.0</c:v>
                </c:pt>
                <c:pt idx="40">
                  <c:v>0.0</c:v>
                </c:pt>
                <c:pt idx="41">
                  <c:v>0.0</c:v>
                </c:pt>
                <c:pt idx="42">
                  <c:v>0.0</c:v>
                </c:pt>
                <c:pt idx="43">
                  <c:v>0.0</c:v>
                </c:pt>
                <c:pt idx="44">
                  <c:v>0.0</c:v>
                </c:pt>
                <c:pt idx="45">
                  <c:v>0.0</c:v>
                </c:pt>
                <c:pt idx="46">
                  <c:v>0.0</c:v>
                </c:pt>
                <c:pt idx="47">
                  <c:v>0.0</c:v>
                </c:pt>
              </c:numCache>
            </c:numRef>
          </c:val>
        </c:ser>
        <c:ser>
          <c:idx val="48"/>
          <c:order val="48"/>
          <c:tx>
            <c:strRef>
              <c:f>wt_CBP_RawData_vs_top300TF!$A$53:$B$53</c:f>
              <c:strCache>
                <c:ptCount val="1"/>
                <c:pt idx="0">
                  <c:v>Runt run_1_Rel5.gff</c:v>
                </c:pt>
              </c:strCache>
            </c:strRef>
          </c:tx>
          <c:marker>
            <c:symbol val="none"/>
          </c:marker>
          <c:val>
            <c:numRef>
              <c:f>wt_CBP_RawData_vs_top300TF!$C$53:$AX$53</c:f>
              <c:numCache>
                <c:formatCode>General</c:formatCode>
                <c:ptCount val="48"/>
                <c:pt idx="0">
                  <c:v>0.00986210193454466</c:v>
                </c:pt>
                <c:pt idx="1">
                  <c:v>0.00986210983168111</c:v>
                </c:pt>
                <c:pt idx="2">
                  <c:v>0.00986215721476537</c:v>
                </c:pt>
                <c:pt idx="3">
                  <c:v>0.00986222829024547</c:v>
                </c:pt>
                <c:pt idx="4">
                  <c:v>0.00986281272748094</c:v>
                </c:pt>
                <c:pt idx="5">
                  <c:v>0.00986558579919576</c:v>
                </c:pt>
                <c:pt idx="6">
                  <c:v>0.00987348692981535</c:v>
                </c:pt>
                <c:pt idx="7">
                  <c:v>0.00989120637047677</c:v>
                </c:pt>
                <c:pt idx="8">
                  <c:v>0.00993945542187359</c:v>
                </c:pt>
                <c:pt idx="9">
                  <c:v>0.0100460207861095</c:v>
                </c:pt>
                <c:pt idx="10">
                  <c:v>0.0102434592720393</c:v>
                </c:pt>
                <c:pt idx="11">
                  <c:v>0.0105723308034609</c:v>
                </c:pt>
                <c:pt idx="12">
                  <c:v>0.0111014392304215</c:v>
                </c:pt>
                <c:pt idx="13">
                  <c:v>0.0119148660277493</c:v>
                </c:pt>
                <c:pt idx="14">
                  <c:v>0.0130954004615359</c:v>
                </c:pt>
                <c:pt idx="15">
                  <c:v>0.0151107837564207</c:v>
                </c:pt>
                <c:pt idx="16">
                  <c:v>0.0179880455621969</c:v>
                </c:pt>
                <c:pt idx="17">
                  <c:v>0.0217651670652384</c:v>
                </c:pt>
                <c:pt idx="18">
                  <c:v>0.0259782793483805</c:v>
                </c:pt>
                <c:pt idx="19">
                  <c:v>0.0305670609402169</c:v>
                </c:pt>
                <c:pt idx="20">
                  <c:v>0.0346887415628738</c:v>
                </c:pt>
                <c:pt idx="21">
                  <c:v>0.0389122363417401</c:v>
                </c:pt>
                <c:pt idx="22">
                  <c:v>0.0428824542492163</c:v>
                </c:pt>
                <c:pt idx="23">
                  <c:v>0.0464469112265921</c:v>
                </c:pt>
                <c:pt idx="24">
                  <c:v>0.0494715646887675</c:v>
                </c:pt>
                <c:pt idx="25">
                  <c:v>0.0531263266420038</c:v>
                </c:pt>
                <c:pt idx="26">
                  <c:v>0.0561899778379709</c:v>
                </c:pt>
                <c:pt idx="27">
                  <c:v>0.0589186599049635</c:v>
                </c:pt>
                <c:pt idx="28">
                  <c:v>0.0603111828068897</c:v>
                </c:pt>
                <c:pt idx="29">
                  <c:v>0.0640528214553128</c:v>
                </c:pt>
                <c:pt idx="30">
                  <c:v>0.0669600754479723</c:v>
                </c:pt>
                <c:pt idx="31">
                  <c:v>0.0724620422744865</c:v>
                </c:pt>
                <c:pt idx="32">
                  <c:v>0.0746493382993898</c:v>
                </c:pt>
                <c:pt idx="33">
                  <c:v>0.0795188418139238</c:v>
                </c:pt>
                <c:pt idx="34">
                  <c:v>0.0848692033293698</c:v>
                </c:pt>
                <c:pt idx="35">
                  <c:v>0.084297520661157</c:v>
                </c:pt>
                <c:pt idx="36">
                  <c:v>0.0857893201050482</c:v>
                </c:pt>
                <c:pt idx="37">
                  <c:v>0.082553883692558</c:v>
                </c:pt>
                <c:pt idx="38">
                  <c:v>0.0901360544217687</c:v>
                </c:pt>
                <c:pt idx="39">
                  <c:v>0.0974025974025974</c:v>
                </c:pt>
                <c:pt idx="40">
                  <c:v>0.108899297423888</c:v>
                </c:pt>
                <c:pt idx="41">
                  <c:v>0.130508474576271</c:v>
                </c:pt>
                <c:pt idx="42">
                  <c:v>0.11166253101737</c:v>
                </c:pt>
                <c:pt idx="43">
                  <c:v>0.153191489361702</c:v>
                </c:pt>
                <c:pt idx="44">
                  <c:v>0.170212765957447</c:v>
                </c:pt>
                <c:pt idx="45">
                  <c:v>0.231707317073171</c:v>
                </c:pt>
                <c:pt idx="46">
                  <c:v>0.294117647058824</c:v>
                </c:pt>
                <c:pt idx="47">
                  <c:v>0.264705882352941</c:v>
                </c:pt>
              </c:numCache>
            </c:numRef>
          </c:val>
        </c:ser>
        <c:ser>
          <c:idx val="49"/>
          <c:order val="49"/>
          <c:tx>
            <c:strRef>
              <c:f>wt_CBP_RawData_vs_top300TF!$A$54:$B$54</c:f>
              <c:strCache>
                <c:ptCount val="1"/>
                <c:pt idx="0">
                  <c:v>Runt run_2_Rel5.gff</c:v>
                </c:pt>
              </c:strCache>
            </c:strRef>
          </c:tx>
          <c:marker>
            <c:symbol val="none"/>
          </c:marker>
          <c:val>
            <c:numRef>
              <c:f>wt_CBP_RawData_vs_top300TF!$C$54:$AX$54</c:f>
              <c:numCache>
                <c:formatCode>General</c:formatCode>
                <c:ptCount val="48"/>
                <c:pt idx="0">
                  <c:v>0.00374673391943281</c:v>
                </c:pt>
                <c:pt idx="1">
                  <c:v>0.00374673691965215</c:v>
                </c:pt>
                <c:pt idx="2">
                  <c:v>0.00374675492106911</c:v>
                </c:pt>
                <c:pt idx="3">
                  <c:v>0.00374678192351888</c:v>
                </c:pt>
                <c:pt idx="4">
                  <c:v>0.00374700395841859</c:v>
                </c:pt>
                <c:pt idx="5">
                  <c:v>0.00374805748249732</c:v>
                </c:pt>
                <c:pt idx="6">
                  <c:v>0.00375105921927623</c:v>
                </c:pt>
                <c:pt idx="7">
                  <c:v>0.003756601769684</c:v>
                </c:pt>
                <c:pt idx="8">
                  <c:v>0.00377676690660498</c:v>
                </c:pt>
                <c:pt idx="9">
                  <c:v>0.00381737358165178</c:v>
                </c:pt>
                <c:pt idx="10">
                  <c:v>0.00389651522349745</c:v>
                </c:pt>
                <c:pt idx="11">
                  <c:v>0.00402985473719257</c:v>
                </c:pt>
                <c:pt idx="12">
                  <c:v>0.00423319116578301</c:v>
                </c:pt>
                <c:pt idx="13">
                  <c:v>0.00455120573060949</c:v>
                </c:pt>
                <c:pt idx="14">
                  <c:v>0.00499833607017965</c:v>
                </c:pt>
                <c:pt idx="15">
                  <c:v>0.00577946416770712</c:v>
                </c:pt>
                <c:pt idx="16">
                  <c:v>0.00686847612245154</c:v>
                </c:pt>
                <c:pt idx="17">
                  <c:v>0.00831681920078165</c:v>
                </c:pt>
                <c:pt idx="18">
                  <c:v>0.00996529895896877</c:v>
                </c:pt>
                <c:pt idx="19">
                  <c:v>0.0116406590227823</c:v>
                </c:pt>
                <c:pt idx="20">
                  <c:v>0.0132913494200539</c:v>
                </c:pt>
                <c:pt idx="21">
                  <c:v>0.0149262681331421</c:v>
                </c:pt>
                <c:pt idx="22">
                  <c:v>0.0163488582438142</c:v>
                </c:pt>
                <c:pt idx="23">
                  <c:v>0.017734694505089</c:v>
                </c:pt>
                <c:pt idx="24">
                  <c:v>0.0183916683526499</c:v>
                </c:pt>
                <c:pt idx="25">
                  <c:v>0.0194917824003881</c:v>
                </c:pt>
                <c:pt idx="26">
                  <c:v>0.0209154149224329</c:v>
                </c:pt>
                <c:pt idx="27">
                  <c:v>0.0221818472227768</c:v>
                </c:pt>
                <c:pt idx="28">
                  <c:v>0.022740282041942</c:v>
                </c:pt>
                <c:pt idx="29">
                  <c:v>0.023756041113607</c:v>
                </c:pt>
                <c:pt idx="30">
                  <c:v>0.0241164054430323</c:v>
                </c:pt>
                <c:pt idx="31">
                  <c:v>0.0248883596308425</c:v>
                </c:pt>
                <c:pt idx="32">
                  <c:v>0.0244076392741105</c:v>
                </c:pt>
                <c:pt idx="33">
                  <c:v>0.0243772620821801</c:v>
                </c:pt>
                <c:pt idx="34">
                  <c:v>0.0237812128418549</c:v>
                </c:pt>
                <c:pt idx="35">
                  <c:v>0.0190082644628099</c:v>
                </c:pt>
                <c:pt idx="36">
                  <c:v>0.0160490224686315</c:v>
                </c:pt>
                <c:pt idx="37">
                  <c:v>0.0134200894672631</c:v>
                </c:pt>
                <c:pt idx="38">
                  <c:v>0.0119047619047619</c:v>
                </c:pt>
                <c:pt idx="39">
                  <c:v>0.0170454545454545</c:v>
                </c:pt>
                <c:pt idx="40">
                  <c:v>0.0128805620608899</c:v>
                </c:pt>
                <c:pt idx="41">
                  <c:v>0.0169491525423729</c:v>
                </c:pt>
                <c:pt idx="42">
                  <c:v>0.0</c:v>
                </c:pt>
                <c:pt idx="43">
                  <c:v>0.0</c:v>
                </c:pt>
                <c:pt idx="44">
                  <c:v>0.0</c:v>
                </c:pt>
                <c:pt idx="45">
                  <c:v>0.0</c:v>
                </c:pt>
                <c:pt idx="46">
                  <c:v>0.0</c:v>
                </c:pt>
                <c:pt idx="47">
                  <c:v>0.0</c:v>
                </c:pt>
              </c:numCache>
            </c:numRef>
          </c:val>
        </c:ser>
        <c:ser>
          <c:idx val="50"/>
          <c:order val="50"/>
          <c:tx>
            <c:strRef>
              <c:f>wt_CBP_RawData_vs_top300TF!$A$55:$B$55</c:f>
              <c:strCache>
                <c:ptCount val="1"/>
                <c:pt idx="0">
                  <c:v>Schnurri shn_2_Rel5.gff</c:v>
                </c:pt>
              </c:strCache>
            </c:strRef>
          </c:tx>
          <c:marker>
            <c:symbol val="none"/>
          </c:marker>
          <c:val>
            <c:numRef>
              <c:f>wt_CBP_RawData_vs_top300TF!$C$55:$AX$55</c:f>
              <c:numCache>
                <c:formatCode>General</c:formatCode>
                <c:ptCount val="48"/>
                <c:pt idx="0">
                  <c:v>0.00836549033047971</c:v>
                </c:pt>
                <c:pt idx="1">
                  <c:v>0.00836549702919556</c:v>
                </c:pt>
                <c:pt idx="2">
                  <c:v>0.00836553722171596</c:v>
                </c:pt>
                <c:pt idx="3">
                  <c:v>0.00836559751122073</c:v>
                </c:pt>
                <c:pt idx="4">
                  <c:v>0.00836609325787539</c:v>
                </c:pt>
                <c:pt idx="5">
                  <c:v>0.00836844550537497</c:v>
                </c:pt>
                <c:pt idx="6">
                  <c:v>0.00837514760927094</c:v>
                </c:pt>
                <c:pt idx="7">
                  <c:v>0.00839290391101128</c:v>
                </c:pt>
                <c:pt idx="8">
                  <c:v>0.00843795634587302</c:v>
                </c:pt>
                <c:pt idx="9">
                  <c:v>0.00853050306043127</c:v>
                </c:pt>
                <c:pt idx="10">
                  <c:v>0.00870735712082948</c:v>
                </c:pt>
                <c:pt idx="11">
                  <c:v>0.0090085194510358</c:v>
                </c:pt>
                <c:pt idx="12">
                  <c:v>0.00949420915093318</c:v>
                </c:pt>
                <c:pt idx="13">
                  <c:v>0.0102399673075487</c:v>
                </c:pt>
                <c:pt idx="14">
                  <c:v>0.0113474558240271</c:v>
                </c:pt>
                <c:pt idx="15">
                  <c:v>0.0132668472535355</c:v>
                </c:pt>
                <c:pt idx="16">
                  <c:v>0.0160598599050161</c:v>
                </c:pt>
                <c:pt idx="17">
                  <c:v>0.0198386277051331</c:v>
                </c:pt>
                <c:pt idx="18">
                  <c:v>0.0244457333720012</c:v>
                </c:pt>
                <c:pt idx="19">
                  <c:v>0.0299026978228598</c:v>
                </c:pt>
                <c:pt idx="20">
                  <c:v>0.0356049724530582</c:v>
                </c:pt>
                <c:pt idx="21">
                  <c:v>0.0415207103844251</c:v>
                </c:pt>
                <c:pt idx="22">
                  <c:v>0.0471013145993631</c:v>
                </c:pt>
                <c:pt idx="23">
                  <c:v>0.0515820546723655</c:v>
                </c:pt>
                <c:pt idx="24">
                  <c:v>0.0565045232521171</c:v>
                </c:pt>
                <c:pt idx="25">
                  <c:v>0.0608405603735824</c:v>
                </c:pt>
                <c:pt idx="26">
                  <c:v>0.0651933021423295</c:v>
                </c:pt>
                <c:pt idx="27">
                  <c:v>0.0687417641656351</c:v>
                </c:pt>
                <c:pt idx="28">
                  <c:v>0.0690794608940001</c:v>
                </c:pt>
                <c:pt idx="29">
                  <c:v>0.071676536655095</c:v>
                </c:pt>
                <c:pt idx="30">
                  <c:v>0.0709121120941303</c:v>
                </c:pt>
                <c:pt idx="31">
                  <c:v>0.0710330455492706</c:v>
                </c:pt>
                <c:pt idx="32">
                  <c:v>0.070211585704097</c:v>
                </c:pt>
                <c:pt idx="33">
                  <c:v>0.0688737492016181</c:v>
                </c:pt>
                <c:pt idx="34">
                  <c:v>0.0656956004756243</c:v>
                </c:pt>
                <c:pt idx="35">
                  <c:v>0.059297520661157</c:v>
                </c:pt>
                <c:pt idx="36">
                  <c:v>0.0513568718996207</c:v>
                </c:pt>
                <c:pt idx="37">
                  <c:v>0.0366002440016267</c:v>
                </c:pt>
                <c:pt idx="38">
                  <c:v>0.0260770975056689</c:v>
                </c:pt>
                <c:pt idx="39">
                  <c:v>0.0202922077922078</c:v>
                </c:pt>
                <c:pt idx="40">
                  <c:v>0.0140515222482436</c:v>
                </c:pt>
                <c:pt idx="41">
                  <c:v>0.0152542372881356</c:v>
                </c:pt>
                <c:pt idx="42">
                  <c:v>0.0</c:v>
                </c:pt>
                <c:pt idx="43">
                  <c:v>0.0</c:v>
                </c:pt>
                <c:pt idx="44">
                  <c:v>0.0</c:v>
                </c:pt>
                <c:pt idx="45">
                  <c:v>0.0</c:v>
                </c:pt>
                <c:pt idx="46">
                  <c:v>0.0</c:v>
                </c:pt>
                <c:pt idx="47">
                  <c:v>0.0</c:v>
                </c:pt>
              </c:numCache>
            </c:numRef>
          </c:val>
        </c:ser>
        <c:ser>
          <c:idx val="51"/>
          <c:order val="51"/>
          <c:tx>
            <c:strRef>
              <c:f>wt_CBP_RawData_vs_top300TF!$A$56:$B$56</c:f>
              <c:strCache>
                <c:ptCount val="1"/>
                <c:pt idx="0">
                  <c:v>Schnurri shn_3_Rel5.gff</c:v>
                </c:pt>
              </c:strCache>
            </c:strRef>
          </c:tx>
          <c:marker>
            <c:symbol val="none"/>
          </c:marker>
          <c:val>
            <c:numRef>
              <c:f>wt_CBP_RawData_vs_top300TF!$C$56:$AX$56</c:f>
              <c:numCache>
                <c:formatCode>General</c:formatCode>
                <c:ptCount val="48"/>
                <c:pt idx="0">
                  <c:v>0.0029788096132272</c:v>
                </c:pt>
                <c:pt idx="1">
                  <c:v>0.00297881199852661</c:v>
                </c:pt>
                <c:pt idx="2">
                  <c:v>0.00297882631040331</c:v>
                </c:pt>
                <c:pt idx="3">
                  <c:v>0.00297884777847622</c:v>
                </c:pt>
                <c:pt idx="4">
                  <c:v>0.00297902430547492</c:v>
                </c:pt>
                <c:pt idx="5">
                  <c:v>0.00297986190102373</c:v>
                </c:pt>
                <c:pt idx="6">
                  <c:v>0.00298224840686206</c:v>
                </c:pt>
                <c:pt idx="7">
                  <c:v>0.00298857112558265</c:v>
                </c:pt>
                <c:pt idx="8">
                  <c:v>0.00300461353562244</c:v>
                </c:pt>
                <c:pt idx="9">
                  <c:v>0.00303756785534645</c:v>
                </c:pt>
                <c:pt idx="10">
                  <c:v>0.00310054259495412</c:v>
                </c:pt>
                <c:pt idx="11">
                  <c:v>0.00320697772107919</c:v>
                </c:pt>
                <c:pt idx="12">
                  <c:v>0.00338091352883873</c:v>
                </c:pt>
                <c:pt idx="13">
                  <c:v>0.00362190708585305</c:v>
                </c:pt>
                <c:pt idx="14">
                  <c:v>0.00399343156884032</c:v>
                </c:pt>
                <c:pt idx="15">
                  <c:v>0.00464256246864217</c:v>
                </c:pt>
                <c:pt idx="16">
                  <c:v>0.00558719597007631</c:v>
                </c:pt>
                <c:pt idx="17">
                  <c:v>0.00687486949567218</c:v>
                </c:pt>
                <c:pt idx="18">
                  <c:v>0.00842525275758273</c:v>
                </c:pt>
                <c:pt idx="19">
                  <c:v>0.0103341841843433</c:v>
                </c:pt>
                <c:pt idx="20">
                  <c:v>0.0123151034060583</c:v>
                </c:pt>
                <c:pt idx="21">
                  <c:v>0.0144965195360714</c:v>
                </c:pt>
                <c:pt idx="22">
                  <c:v>0.0165966620822957</c:v>
                </c:pt>
                <c:pt idx="23">
                  <c:v>0.0186264260016605</c:v>
                </c:pt>
                <c:pt idx="24">
                  <c:v>0.020838752565103</c:v>
                </c:pt>
                <c:pt idx="25">
                  <c:v>0.0230699254048153</c:v>
                </c:pt>
                <c:pt idx="26">
                  <c:v>0.0257787490765821</c:v>
                </c:pt>
                <c:pt idx="27">
                  <c:v>0.0289701713053548</c:v>
                </c:pt>
                <c:pt idx="28">
                  <c:v>0.0323411562678878</c:v>
                </c:pt>
                <c:pt idx="29">
                  <c:v>0.0368933360560888</c:v>
                </c:pt>
                <c:pt idx="30">
                  <c:v>0.0411371087259173</c:v>
                </c:pt>
                <c:pt idx="31">
                  <c:v>0.044477523072343</c:v>
                </c:pt>
                <c:pt idx="32">
                  <c:v>0.0496869799508677</c:v>
                </c:pt>
                <c:pt idx="33">
                  <c:v>0.0543964232488823</c:v>
                </c:pt>
                <c:pt idx="34">
                  <c:v>0.0569262782401902</c:v>
                </c:pt>
                <c:pt idx="35">
                  <c:v>0.0576446280991736</c:v>
                </c:pt>
                <c:pt idx="36">
                  <c:v>0.0589436825211555</c:v>
                </c:pt>
                <c:pt idx="37">
                  <c:v>0.0565270435136234</c:v>
                </c:pt>
                <c:pt idx="38">
                  <c:v>0.0612244897959184</c:v>
                </c:pt>
                <c:pt idx="39">
                  <c:v>0.0665584415584416</c:v>
                </c:pt>
                <c:pt idx="40">
                  <c:v>0.0655737704918033</c:v>
                </c:pt>
                <c:pt idx="41">
                  <c:v>0.0694915254237288</c:v>
                </c:pt>
                <c:pt idx="42">
                  <c:v>0.0297766749379653</c:v>
                </c:pt>
                <c:pt idx="43">
                  <c:v>0.025531914893617</c:v>
                </c:pt>
                <c:pt idx="44">
                  <c:v>0.0425531914893617</c:v>
                </c:pt>
                <c:pt idx="45">
                  <c:v>0.0731707317073171</c:v>
                </c:pt>
                <c:pt idx="46">
                  <c:v>0.0</c:v>
                </c:pt>
                <c:pt idx="47">
                  <c:v>0.0</c:v>
                </c:pt>
              </c:numCache>
            </c:numRef>
          </c:val>
        </c:ser>
        <c:ser>
          <c:idx val="52"/>
          <c:order val="52"/>
          <c:tx>
            <c:strRef>
              <c:f>wt_CBP_RawData_vs_top300TF!$A$57:$B$57</c:f>
              <c:strCache>
                <c:ptCount val="1"/>
                <c:pt idx="0">
                  <c:v>Senseless E4_8_GFP_sens.region_Top300regions.gff</c:v>
                </c:pt>
              </c:strCache>
            </c:strRef>
          </c:tx>
          <c:marker>
            <c:symbol val="none"/>
          </c:marker>
          <c:val>
            <c:numRef>
              <c:f>wt_CBP_RawData_vs_top300TF!$C$57:$AX$57</c:f>
              <c:numCache>
                <c:formatCode>General</c:formatCode>
                <c:ptCount val="48"/>
                <c:pt idx="0">
                  <c:v>0.00262327427229363</c:v>
                </c:pt>
                <c:pt idx="1">
                  <c:v>0.00262327637289601</c:v>
                </c:pt>
                <c:pt idx="2">
                  <c:v>0.00262328897658098</c:v>
                </c:pt>
                <c:pt idx="3">
                  <c:v>0.00262330788233551</c:v>
                </c:pt>
                <c:pt idx="4">
                  <c:v>0.00262346333998275</c:v>
                </c:pt>
                <c:pt idx="5">
                  <c:v>0.00262420096444993</c:v>
                </c:pt>
                <c:pt idx="6">
                  <c:v>0.00262630262926884</c:v>
                </c:pt>
                <c:pt idx="7">
                  <c:v>0.00263187070091633</c:v>
                </c:pt>
                <c:pt idx="8">
                  <c:v>0.00264599837169331</c:v>
                </c:pt>
                <c:pt idx="9">
                  <c:v>0.00267338633290437</c:v>
                </c:pt>
                <c:pt idx="10">
                  <c:v>0.002717975645738</c:v>
                </c:pt>
                <c:pt idx="11">
                  <c:v>0.0027955392130225</c:v>
                </c:pt>
                <c:pt idx="12">
                  <c:v>0.00290247378814215</c:v>
                </c:pt>
                <c:pt idx="13">
                  <c:v>0.00306197027030213</c:v>
                </c:pt>
                <c:pt idx="14">
                  <c:v>0.0032754867676663</c:v>
                </c:pt>
                <c:pt idx="15">
                  <c:v>0.00359035096386423</c:v>
                </c:pt>
                <c:pt idx="16">
                  <c:v>0.00400204252972946</c:v>
                </c:pt>
                <c:pt idx="17">
                  <c:v>0.00449919826020495</c:v>
                </c:pt>
                <c:pt idx="18">
                  <c:v>0.00510015300459014</c:v>
                </c:pt>
                <c:pt idx="19">
                  <c:v>0.00567728482105109</c:v>
                </c:pt>
                <c:pt idx="20">
                  <c:v>0.00632159304144644</c:v>
                </c:pt>
                <c:pt idx="21">
                  <c:v>0.00664111494775556</c:v>
                </c:pt>
                <c:pt idx="22">
                  <c:v>0.00693850747748083</c:v>
                </c:pt>
                <c:pt idx="23">
                  <c:v>0.00714922665354694</c:v>
                </c:pt>
                <c:pt idx="24">
                  <c:v>0.0076399125215565</c:v>
                </c:pt>
                <c:pt idx="25">
                  <c:v>0.00810237127782158</c:v>
                </c:pt>
                <c:pt idx="26">
                  <c:v>0.00841849298202413</c:v>
                </c:pt>
                <c:pt idx="27">
                  <c:v>0.00892464960268338</c:v>
                </c:pt>
                <c:pt idx="28">
                  <c:v>0.00902846438049643</c:v>
                </c:pt>
                <c:pt idx="29">
                  <c:v>0.00973385065686475</c:v>
                </c:pt>
                <c:pt idx="30">
                  <c:v>0.011092648313648</c:v>
                </c:pt>
                <c:pt idx="31">
                  <c:v>0.0107770169693361</c:v>
                </c:pt>
                <c:pt idx="32">
                  <c:v>0.0115698549805848</c:v>
                </c:pt>
                <c:pt idx="33">
                  <c:v>0.0134128166915052</c:v>
                </c:pt>
                <c:pt idx="34">
                  <c:v>0.0133769322235434</c:v>
                </c:pt>
                <c:pt idx="35">
                  <c:v>0.0152892561983471</c:v>
                </c:pt>
                <c:pt idx="36">
                  <c:v>0.0151736212430697</c:v>
                </c:pt>
                <c:pt idx="37">
                  <c:v>0.0150467669784465</c:v>
                </c:pt>
                <c:pt idx="38">
                  <c:v>0.0130385487528345</c:v>
                </c:pt>
                <c:pt idx="39">
                  <c:v>0.012987012987013</c:v>
                </c:pt>
                <c:pt idx="40">
                  <c:v>0.0128805620608899</c:v>
                </c:pt>
                <c:pt idx="41">
                  <c:v>0.0169491525423729</c:v>
                </c:pt>
                <c:pt idx="42">
                  <c:v>0.0248138957816377</c:v>
                </c:pt>
                <c:pt idx="43">
                  <c:v>0.0297872340425532</c:v>
                </c:pt>
                <c:pt idx="44">
                  <c:v>0.049645390070922</c:v>
                </c:pt>
                <c:pt idx="45">
                  <c:v>0.0</c:v>
                </c:pt>
                <c:pt idx="46">
                  <c:v>0.0</c:v>
                </c:pt>
                <c:pt idx="47">
                  <c:v>0.0</c:v>
                </c:pt>
              </c:numCache>
            </c:numRef>
          </c:val>
        </c:ser>
        <c:ser>
          <c:idx val="53"/>
          <c:order val="53"/>
          <c:tx>
            <c:strRef>
              <c:f>wt_CBP_RawData_vs_top300TF!$A$58:$B$58</c:f>
              <c:strCache>
                <c:ptCount val="1"/>
                <c:pt idx="0">
                  <c:v>Senseless E4_8_sens.region_Top300regions.gff</c:v>
                </c:pt>
              </c:strCache>
            </c:strRef>
          </c:tx>
          <c:marker>
            <c:symbol val="none"/>
          </c:marker>
          <c:val>
            <c:numRef>
              <c:f>wt_CBP_RawData_vs_top300TF!$C$58:$AX$58</c:f>
              <c:numCache>
                <c:formatCode>General</c:formatCode>
                <c:ptCount val="48"/>
                <c:pt idx="0">
                  <c:v>0.00192741794060158</c:v>
                </c:pt>
                <c:pt idx="1">
                  <c:v>0.00192741948399289</c:v>
                </c:pt>
                <c:pt idx="2">
                  <c:v>0.00192742874439268</c:v>
                </c:pt>
                <c:pt idx="3">
                  <c:v>0.00192744263515921</c:v>
                </c:pt>
                <c:pt idx="4">
                  <c:v>0.00192755685571993</c:v>
                </c:pt>
                <c:pt idx="5">
                  <c:v>0.00192809881606562</c:v>
                </c:pt>
                <c:pt idx="6">
                  <c:v>0.00192884130830917</c:v>
                </c:pt>
                <c:pt idx="7">
                  <c:v>0.00193212730027588</c:v>
                </c:pt>
                <c:pt idx="8">
                  <c:v>0.00194249880461612</c:v>
                </c:pt>
                <c:pt idx="9">
                  <c:v>0.00195808809600021</c:v>
                </c:pt>
                <c:pt idx="10">
                  <c:v>0.00198534743580127</c:v>
                </c:pt>
                <c:pt idx="11">
                  <c:v>0.00202959079550816</c:v>
                </c:pt>
                <c:pt idx="12">
                  <c:v>0.00209567521400173</c:v>
                </c:pt>
                <c:pt idx="13">
                  <c:v>0.00218473592593902</c:v>
                </c:pt>
                <c:pt idx="14">
                  <c:v>0.00229131319523625</c:v>
                </c:pt>
                <c:pt idx="15">
                  <c:v>0.00245216608003737</c:v>
                </c:pt>
                <c:pt idx="16">
                  <c:v>0.00260641830507625</c:v>
                </c:pt>
                <c:pt idx="17">
                  <c:v>0.0028405621239998</c:v>
                </c:pt>
                <c:pt idx="18">
                  <c:v>0.00305509165274958</c:v>
                </c:pt>
                <c:pt idx="19">
                  <c:v>0.00337585469202478</c:v>
                </c:pt>
                <c:pt idx="20">
                  <c:v>0.00367692658549955</c:v>
                </c:pt>
                <c:pt idx="21">
                  <c:v>0.00381776660653518</c:v>
                </c:pt>
                <c:pt idx="22">
                  <c:v>0.00400203199147555</c:v>
                </c:pt>
                <c:pt idx="23">
                  <c:v>0.00398204237262077</c:v>
                </c:pt>
                <c:pt idx="24">
                  <c:v>0.00428721446669942</c:v>
                </c:pt>
                <c:pt idx="25">
                  <c:v>0.00441506458851355</c:v>
                </c:pt>
                <c:pt idx="26">
                  <c:v>0.00443240581137651</c:v>
                </c:pt>
                <c:pt idx="27">
                  <c:v>0.00433254801741005</c:v>
                </c:pt>
                <c:pt idx="28">
                  <c:v>0.00377270125409793</c:v>
                </c:pt>
                <c:pt idx="29">
                  <c:v>0.00323327207133619</c:v>
                </c:pt>
                <c:pt idx="30">
                  <c:v>0.0030089369919612</c:v>
                </c:pt>
                <c:pt idx="31">
                  <c:v>0.00214349508782376</c:v>
                </c:pt>
                <c:pt idx="32">
                  <c:v>0.00237736746176401</c:v>
                </c:pt>
                <c:pt idx="33">
                  <c:v>0.00255482222695337</c:v>
                </c:pt>
                <c:pt idx="34">
                  <c:v>0.00133769322235434</c:v>
                </c:pt>
                <c:pt idx="35">
                  <c:v>0.00165289256198347</c:v>
                </c:pt>
                <c:pt idx="36">
                  <c:v>0.00116720163408229</c:v>
                </c:pt>
                <c:pt idx="37">
                  <c:v>0.000406669377795852</c:v>
                </c:pt>
                <c:pt idx="38">
                  <c:v>0.000566893424036281</c:v>
                </c:pt>
                <c:pt idx="39">
                  <c:v>0.000811688311688312</c:v>
                </c:pt>
                <c:pt idx="40">
                  <c:v>0.00117096018735363</c:v>
                </c:pt>
                <c:pt idx="41">
                  <c:v>0.00169491525423729</c:v>
                </c:pt>
                <c:pt idx="42">
                  <c:v>0.00248138957816377</c:v>
                </c:pt>
                <c:pt idx="43">
                  <c:v>0.00425531914893617</c:v>
                </c:pt>
                <c:pt idx="44">
                  <c:v>0.00709219858156028</c:v>
                </c:pt>
                <c:pt idx="45">
                  <c:v>0.0</c:v>
                </c:pt>
                <c:pt idx="46">
                  <c:v>0.0</c:v>
                </c:pt>
                <c:pt idx="47">
                  <c:v>0.0</c:v>
                </c:pt>
              </c:numCache>
            </c:numRef>
          </c:val>
        </c:ser>
        <c:ser>
          <c:idx val="54"/>
          <c:order val="54"/>
          <c:tx>
            <c:strRef>
              <c:f>wt_CBP_RawData_vs_top300TF!$A$59:$B$59</c:f>
              <c:strCache>
                <c:ptCount val="1"/>
                <c:pt idx="0">
                  <c:v>Senseless E4_8h_sens.region_Top300regions.gff</c:v>
                </c:pt>
              </c:strCache>
            </c:strRef>
          </c:tx>
          <c:marker>
            <c:symbol val="none"/>
          </c:marker>
          <c:val>
            <c:numRef>
              <c:f>wt_CBP_RawData_vs_top300TF!$C$59:$AX$59</c:f>
              <c:numCache>
                <c:formatCode>General</c:formatCode>
                <c:ptCount val="48"/>
                <c:pt idx="0">
                  <c:v>0.000661423854980017</c:v>
                </c:pt>
                <c:pt idx="1">
                  <c:v>0.00066142438461908</c:v>
                </c:pt>
                <c:pt idx="2">
                  <c:v>0.000661427562471273</c:v>
                </c:pt>
                <c:pt idx="3">
                  <c:v>0.000661432329306817</c:v>
                </c:pt>
                <c:pt idx="4">
                  <c:v>0.000661471525893087</c:v>
                </c:pt>
                <c:pt idx="5">
                  <c:v>0.000661657508130537</c:v>
                </c:pt>
                <c:pt idx="6">
                  <c:v>0.000662187415072059</c:v>
                </c:pt>
                <c:pt idx="7">
                  <c:v>0.000663591330572922</c:v>
                </c:pt>
                <c:pt idx="8">
                  <c:v>0.000667153435597886</c:v>
                </c:pt>
                <c:pt idx="9">
                  <c:v>0.000674470711966711</c:v>
                </c:pt>
                <c:pt idx="10">
                  <c:v>0.000688453812750565</c:v>
                </c:pt>
                <c:pt idx="11">
                  <c:v>0.000707294709866848</c:v>
                </c:pt>
                <c:pt idx="12">
                  <c:v>0.000738579979934638</c:v>
                </c:pt>
                <c:pt idx="13">
                  <c:v>0.000780964505899966</c:v>
                </c:pt>
                <c:pt idx="14">
                  <c:v>0.000833601562457379</c:v>
                </c:pt>
                <c:pt idx="15">
                  <c:v>0.000898229333347021</c:v>
                </c:pt>
                <c:pt idx="16">
                  <c:v>0.000988371364485044</c:v>
                </c:pt>
                <c:pt idx="17">
                  <c:v>0.00110707067523432</c:v>
                </c:pt>
                <c:pt idx="18">
                  <c:v>0.00121503645109353</c:v>
                </c:pt>
                <c:pt idx="19">
                  <c:v>0.00134144131829987</c:v>
                </c:pt>
                <c:pt idx="20">
                  <c:v>0.00148837507051777</c:v>
                </c:pt>
                <c:pt idx="21">
                  <c:v>0.00154909378013862</c:v>
                </c:pt>
                <c:pt idx="22">
                  <c:v>0.00161692004609151</c:v>
                </c:pt>
                <c:pt idx="23">
                  <c:v>0.0016758402263153</c:v>
                </c:pt>
                <c:pt idx="24">
                  <c:v>0.00181122768480785</c:v>
                </c:pt>
                <c:pt idx="25">
                  <c:v>0.0020134635211353</c:v>
                </c:pt>
                <c:pt idx="26">
                  <c:v>0.00227776409751293</c:v>
                </c:pt>
                <c:pt idx="27">
                  <c:v>0.00249570738330072</c:v>
                </c:pt>
                <c:pt idx="28">
                  <c:v>0.00239371389915179</c:v>
                </c:pt>
                <c:pt idx="29">
                  <c:v>0.00228030767136342</c:v>
                </c:pt>
                <c:pt idx="30">
                  <c:v>0.00238020388916334</c:v>
                </c:pt>
                <c:pt idx="31">
                  <c:v>0.00250074426912772</c:v>
                </c:pt>
                <c:pt idx="32">
                  <c:v>0.00221887629764641</c:v>
                </c:pt>
                <c:pt idx="33">
                  <c:v>0.00191611667021503</c:v>
                </c:pt>
                <c:pt idx="34">
                  <c:v>0.000743162901307967</c:v>
                </c:pt>
                <c:pt idx="35">
                  <c:v>0.00103305785123967</c:v>
                </c:pt>
                <c:pt idx="36">
                  <c:v>0.0</c:v>
                </c:pt>
                <c:pt idx="37">
                  <c:v>0.0</c:v>
                </c:pt>
                <c:pt idx="38">
                  <c:v>0.0</c:v>
                </c:pt>
                <c:pt idx="39">
                  <c:v>0.0</c:v>
                </c:pt>
                <c:pt idx="40">
                  <c:v>0.0</c:v>
                </c:pt>
                <c:pt idx="41">
                  <c:v>0.0</c:v>
                </c:pt>
                <c:pt idx="42">
                  <c:v>0.0</c:v>
                </c:pt>
                <c:pt idx="43">
                  <c:v>0.0</c:v>
                </c:pt>
                <c:pt idx="44">
                  <c:v>0.0</c:v>
                </c:pt>
                <c:pt idx="45">
                  <c:v>0.0</c:v>
                </c:pt>
                <c:pt idx="46">
                  <c:v>0.0</c:v>
                </c:pt>
                <c:pt idx="47">
                  <c:v>0.0</c:v>
                </c:pt>
              </c:numCache>
            </c:numRef>
          </c:val>
        </c:ser>
        <c:ser>
          <c:idx val="55"/>
          <c:order val="55"/>
          <c:tx>
            <c:strRef>
              <c:f>wt_CBP_RawData_vs_top300TF!$A$60:$B$60</c:f>
              <c:strCache>
                <c:ptCount val="1"/>
                <c:pt idx="0">
                  <c:v>Sloppy-paired 1 slp1_1_Rel5.gff</c:v>
                </c:pt>
              </c:strCache>
            </c:strRef>
          </c:tx>
          <c:marker>
            <c:symbol val="none"/>
          </c:marker>
          <c:val>
            <c:numRef>
              <c:f>wt_CBP_RawData_vs_top300TF!$C$60:$AX$60</c:f>
              <c:numCache>
                <c:formatCode>General</c:formatCode>
                <c:ptCount val="48"/>
                <c:pt idx="0">
                  <c:v>0.0107909780504972</c:v>
                </c:pt>
                <c:pt idx="1">
                  <c:v>0.0107909866914367</c:v>
                </c:pt>
                <c:pt idx="2">
                  <c:v>0.0107910385373643</c:v>
                </c:pt>
                <c:pt idx="3">
                  <c:v>0.0107911163071897</c:v>
                </c:pt>
                <c:pt idx="4">
                  <c:v>0.0107917557904785</c:v>
                </c:pt>
                <c:pt idx="5">
                  <c:v>0.0107947900479021</c:v>
                </c:pt>
                <c:pt idx="6">
                  <c:v>0.0108034353577616</c:v>
                </c:pt>
                <c:pt idx="7">
                  <c:v>0.0108247331575539</c:v>
                </c:pt>
                <c:pt idx="8">
                  <c:v>0.0108747625386077</c:v>
                </c:pt>
                <c:pt idx="9">
                  <c:v>0.0109883200616659</c:v>
                </c:pt>
                <c:pt idx="10">
                  <c:v>0.0111869577176006</c:v>
                </c:pt>
                <c:pt idx="11">
                  <c:v>0.0115306288798781</c:v>
                </c:pt>
                <c:pt idx="12">
                  <c:v>0.0120837869869848</c:v>
                </c:pt>
                <c:pt idx="13">
                  <c:v>0.0129001583540608</c:v>
                </c:pt>
                <c:pt idx="14">
                  <c:v>0.0140424765822336</c:v>
                </c:pt>
                <c:pt idx="15">
                  <c:v>0.0159666679926243</c:v>
                </c:pt>
                <c:pt idx="16">
                  <c:v>0.0185801285665952</c:v>
                </c:pt>
                <c:pt idx="17">
                  <c:v>0.0218971488005421</c:v>
                </c:pt>
                <c:pt idx="18">
                  <c:v>0.0257382721481644</c:v>
                </c:pt>
                <c:pt idx="19">
                  <c:v>0.0296515749220406</c:v>
                </c:pt>
                <c:pt idx="20">
                  <c:v>0.0331603564098153</c:v>
                </c:pt>
                <c:pt idx="21">
                  <c:v>0.0360539084635488</c:v>
                </c:pt>
                <c:pt idx="22">
                  <c:v>0.038576862555601</c:v>
                </c:pt>
                <c:pt idx="23">
                  <c:v>0.0403124135174195</c:v>
                </c:pt>
                <c:pt idx="24">
                  <c:v>0.0418605547366494</c:v>
                </c:pt>
                <c:pt idx="25">
                  <c:v>0.0435684395657711</c:v>
                </c:pt>
                <c:pt idx="26">
                  <c:v>0.0462170647623738</c:v>
                </c:pt>
                <c:pt idx="27">
                  <c:v>0.0486962424629637</c:v>
                </c:pt>
                <c:pt idx="28">
                  <c:v>0.0493573398553364</c:v>
                </c:pt>
                <c:pt idx="29">
                  <c:v>0.0500986998842829</c:v>
                </c:pt>
                <c:pt idx="30">
                  <c:v>0.0520052095028518</c:v>
                </c:pt>
                <c:pt idx="31">
                  <c:v>0.0485263471271212</c:v>
                </c:pt>
                <c:pt idx="32">
                  <c:v>0.0491322608764561</c:v>
                </c:pt>
                <c:pt idx="33">
                  <c:v>0.0472642111986374</c:v>
                </c:pt>
                <c:pt idx="34">
                  <c:v>0.0503864447086801</c:v>
                </c:pt>
                <c:pt idx="35">
                  <c:v>0.0487603305785124</c:v>
                </c:pt>
                <c:pt idx="36">
                  <c:v>0.0496060694484972</c:v>
                </c:pt>
                <c:pt idx="37">
                  <c:v>0.0488003253355022</c:v>
                </c:pt>
                <c:pt idx="38">
                  <c:v>0.0527210884353742</c:v>
                </c:pt>
                <c:pt idx="39">
                  <c:v>0.0349025974025974</c:v>
                </c:pt>
                <c:pt idx="40">
                  <c:v>0.0398126463700234</c:v>
                </c:pt>
                <c:pt idx="41">
                  <c:v>0.0474576271186441</c:v>
                </c:pt>
                <c:pt idx="42">
                  <c:v>0.032258064516129</c:v>
                </c:pt>
                <c:pt idx="43">
                  <c:v>0.025531914893617</c:v>
                </c:pt>
                <c:pt idx="44">
                  <c:v>0.0</c:v>
                </c:pt>
                <c:pt idx="45">
                  <c:v>0.0</c:v>
                </c:pt>
                <c:pt idx="46">
                  <c:v>0.0</c:v>
                </c:pt>
                <c:pt idx="47">
                  <c:v>0.0</c:v>
                </c:pt>
              </c:numCache>
            </c:numRef>
          </c:val>
        </c:ser>
        <c:ser>
          <c:idx val="56"/>
          <c:order val="56"/>
          <c:tx>
            <c:strRef>
              <c:f>wt_CBP_RawData_vs_top300TF!$A$61:$B$61</c:f>
              <c:strCache>
                <c:ptCount val="1"/>
                <c:pt idx="0">
                  <c:v>Snail sna_1_Rel5.gff</c:v>
                </c:pt>
              </c:strCache>
            </c:strRef>
          </c:tx>
          <c:marker>
            <c:symbol val="none"/>
          </c:marker>
          <c:val>
            <c:numRef>
              <c:f>wt_CBP_RawData_vs_top300TF!$C$61:$AX$61</c:f>
              <c:numCache>
                <c:formatCode>General</c:formatCode>
                <c:ptCount val="48"/>
                <c:pt idx="0">
                  <c:v>0.00921509167446736</c:v>
                </c:pt>
                <c:pt idx="1">
                  <c:v>0.00921509905350651</c:v>
                </c:pt>
                <c:pt idx="2">
                  <c:v>0.0092151433279896</c:v>
                </c:pt>
                <c:pt idx="3">
                  <c:v>0.00921520974051193</c:v>
                </c:pt>
                <c:pt idx="4">
                  <c:v>0.00921575583532402</c:v>
                </c:pt>
                <c:pt idx="5">
                  <c:v>0.00921834697768308</c:v>
                </c:pt>
                <c:pt idx="6">
                  <c:v>0.00922572974897004</c:v>
                </c:pt>
                <c:pt idx="7">
                  <c:v>0.00924368262660053</c:v>
                </c:pt>
                <c:pt idx="8">
                  <c:v>0.00929330197335263</c:v>
                </c:pt>
                <c:pt idx="9">
                  <c:v>0.00939523003860651</c:v>
                </c:pt>
                <c:pt idx="10">
                  <c:v>0.0095875111477842</c:v>
                </c:pt>
                <c:pt idx="11">
                  <c:v>0.0099124765924266</c:v>
                </c:pt>
                <c:pt idx="12">
                  <c:v>0.0104338065884609</c:v>
                </c:pt>
                <c:pt idx="13">
                  <c:v>0.0112341007414742</c:v>
                </c:pt>
                <c:pt idx="14">
                  <c:v>0.0124047331984004</c:v>
                </c:pt>
                <c:pt idx="15">
                  <c:v>0.0143960498440289</c:v>
                </c:pt>
                <c:pt idx="16">
                  <c:v>0.0172596894853577</c:v>
                </c:pt>
                <c:pt idx="17">
                  <c:v>0.0211111680186587</c:v>
                </c:pt>
                <c:pt idx="18">
                  <c:v>0.0257907737232117</c:v>
                </c:pt>
                <c:pt idx="19">
                  <c:v>0.0312314240575739</c:v>
                </c:pt>
                <c:pt idx="20">
                  <c:v>0.0368092759375363</c:v>
                </c:pt>
                <c:pt idx="21">
                  <c:v>0.042280266044364</c:v>
                </c:pt>
                <c:pt idx="22">
                  <c:v>0.0475039958368955</c:v>
                </c:pt>
                <c:pt idx="23">
                  <c:v>0.0519433596752867</c:v>
                </c:pt>
                <c:pt idx="24">
                  <c:v>0.0568995250344422</c:v>
                </c:pt>
                <c:pt idx="25">
                  <c:v>0.0611437928315847</c:v>
                </c:pt>
                <c:pt idx="26">
                  <c:v>0.0641775424772224</c:v>
                </c:pt>
                <c:pt idx="27">
                  <c:v>0.0667052669408617</c:v>
                </c:pt>
                <c:pt idx="28">
                  <c:v>0.0686631628245824</c:v>
                </c:pt>
                <c:pt idx="29">
                  <c:v>0.0730719488121979</c:v>
                </c:pt>
                <c:pt idx="30">
                  <c:v>0.0733821349979791</c:v>
                </c:pt>
                <c:pt idx="31">
                  <c:v>0.0754986603155701</c:v>
                </c:pt>
                <c:pt idx="32">
                  <c:v>0.077343688089389</c:v>
                </c:pt>
                <c:pt idx="33">
                  <c:v>0.0764317649563551</c:v>
                </c:pt>
                <c:pt idx="34">
                  <c:v>0.0755053507728894</c:v>
                </c:pt>
                <c:pt idx="35">
                  <c:v>0.0754132231404959</c:v>
                </c:pt>
                <c:pt idx="36">
                  <c:v>0.0682812955938138</c:v>
                </c:pt>
                <c:pt idx="37">
                  <c:v>0.0536803578690525</c:v>
                </c:pt>
                <c:pt idx="38">
                  <c:v>0.0453514739229025</c:v>
                </c:pt>
                <c:pt idx="39">
                  <c:v>0.0422077922077922</c:v>
                </c:pt>
                <c:pt idx="40">
                  <c:v>0.0351288056206089</c:v>
                </c:pt>
                <c:pt idx="41">
                  <c:v>0.0338983050847458</c:v>
                </c:pt>
                <c:pt idx="42">
                  <c:v>0.0148883374689826</c:v>
                </c:pt>
                <c:pt idx="43">
                  <c:v>0.025531914893617</c:v>
                </c:pt>
                <c:pt idx="44">
                  <c:v>0.0425531914893617</c:v>
                </c:pt>
                <c:pt idx="45">
                  <c:v>0.0731707317073171</c:v>
                </c:pt>
                <c:pt idx="46">
                  <c:v>0.0</c:v>
                </c:pt>
                <c:pt idx="47">
                  <c:v>0.0</c:v>
                </c:pt>
              </c:numCache>
            </c:numRef>
          </c:val>
        </c:ser>
        <c:ser>
          <c:idx val="57"/>
          <c:order val="57"/>
          <c:tx>
            <c:strRef>
              <c:f>wt_CBP_RawData_vs_top300TF!$A$62:$B$62</c:f>
              <c:strCache>
                <c:ptCount val="1"/>
                <c:pt idx="0">
                  <c:v>Snail sna_2_Rel5.gff</c:v>
                </c:pt>
              </c:strCache>
            </c:strRef>
          </c:tx>
          <c:marker>
            <c:symbol val="none"/>
          </c:marker>
          <c:val>
            <c:numRef>
              <c:f>wt_CBP_RawData_vs_top300TF!$C$62:$AX$62</c:f>
              <c:numCache>
                <c:formatCode>General</c:formatCode>
                <c:ptCount val="48"/>
                <c:pt idx="0">
                  <c:v>0.0143223088016617</c:v>
                </c:pt>
                <c:pt idx="1">
                  <c:v>0.0143223202703352</c:v>
                </c:pt>
                <c:pt idx="2">
                  <c:v>0.0143223890827617</c:v>
                </c:pt>
                <c:pt idx="3">
                  <c:v>0.0143224923026413</c:v>
                </c:pt>
                <c:pt idx="4">
                  <c:v>0.0143233410558399</c:v>
                </c:pt>
                <c:pt idx="5">
                  <c:v>0.014327368269277</c:v>
                </c:pt>
                <c:pt idx="6">
                  <c:v>0.0143388427433158</c:v>
                </c:pt>
                <c:pt idx="7">
                  <c:v>0.0143684394035069</c:v>
                </c:pt>
                <c:pt idx="8">
                  <c:v>0.0144447603416859</c:v>
                </c:pt>
                <c:pt idx="9">
                  <c:v>0.0146023725691292</c:v>
                </c:pt>
                <c:pt idx="10">
                  <c:v>0.0148992740396236</c:v>
                </c:pt>
                <c:pt idx="11">
                  <c:v>0.0153983233665158</c:v>
                </c:pt>
                <c:pt idx="12">
                  <c:v>0.0161869080331488</c:v>
                </c:pt>
                <c:pt idx="13">
                  <c:v>0.0173963527484057</c:v>
                </c:pt>
                <c:pt idx="14">
                  <c:v>0.0191717448349982</c:v>
                </c:pt>
                <c:pt idx="15">
                  <c:v>0.0221503353603375</c:v>
                </c:pt>
                <c:pt idx="16">
                  <c:v>0.0263492600528802</c:v>
                </c:pt>
                <c:pt idx="17">
                  <c:v>0.0318351764812487</c:v>
                </c:pt>
                <c:pt idx="18">
                  <c:v>0.038331149934498</c:v>
                </c:pt>
                <c:pt idx="19">
                  <c:v>0.045462781360959</c:v>
                </c:pt>
                <c:pt idx="20">
                  <c:v>0.0525052313182922</c:v>
                </c:pt>
                <c:pt idx="21">
                  <c:v>0.0592903151656281</c:v>
                </c:pt>
                <c:pt idx="22">
                  <c:v>0.0656866024854725</c:v>
                </c:pt>
                <c:pt idx="23">
                  <c:v>0.070623597060361</c:v>
                </c:pt>
                <c:pt idx="24">
                  <c:v>0.0758307080166093</c:v>
                </c:pt>
                <c:pt idx="25">
                  <c:v>0.0804900236521317</c:v>
                </c:pt>
                <c:pt idx="26">
                  <c:v>0.0842618813100222</c:v>
                </c:pt>
                <c:pt idx="27">
                  <c:v>0.0873297927564589</c:v>
                </c:pt>
                <c:pt idx="28">
                  <c:v>0.0892959358900973</c:v>
                </c:pt>
                <c:pt idx="29">
                  <c:v>0.0941052344973113</c:v>
                </c:pt>
                <c:pt idx="30">
                  <c:v>0.0949836080298199</c:v>
                </c:pt>
                <c:pt idx="31">
                  <c:v>0.0958618636498958</c:v>
                </c:pt>
                <c:pt idx="32">
                  <c:v>0.0981852761708535</c:v>
                </c:pt>
                <c:pt idx="33">
                  <c:v>0.0967638918458591</c:v>
                </c:pt>
                <c:pt idx="34">
                  <c:v>0.0952734839476813</c:v>
                </c:pt>
                <c:pt idx="35">
                  <c:v>0.0935950413223141</c:v>
                </c:pt>
                <c:pt idx="36">
                  <c:v>0.0889991245987744</c:v>
                </c:pt>
                <c:pt idx="37">
                  <c:v>0.0788938592923953</c:v>
                </c:pt>
                <c:pt idx="38">
                  <c:v>0.0736961451247165</c:v>
                </c:pt>
                <c:pt idx="39">
                  <c:v>0.0771103896103896</c:v>
                </c:pt>
                <c:pt idx="40">
                  <c:v>0.063231850117096</c:v>
                </c:pt>
                <c:pt idx="41">
                  <c:v>0.0542372881355932</c:v>
                </c:pt>
                <c:pt idx="42">
                  <c:v>0.0148883374689826</c:v>
                </c:pt>
                <c:pt idx="43">
                  <c:v>0.025531914893617</c:v>
                </c:pt>
                <c:pt idx="44">
                  <c:v>0.0425531914893617</c:v>
                </c:pt>
                <c:pt idx="45">
                  <c:v>0.0731707317073171</c:v>
                </c:pt>
                <c:pt idx="46">
                  <c:v>0.0</c:v>
                </c:pt>
                <c:pt idx="47">
                  <c:v>0.0</c:v>
                </c:pt>
              </c:numCache>
            </c:numRef>
          </c:val>
        </c:ser>
        <c:ser>
          <c:idx val="58"/>
          <c:order val="58"/>
          <c:tx>
            <c:strRef>
              <c:f>wt_CBP_RawData_vs_top300TF!$A$63:$B$63</c:f>
              <c:strCache>
                <c:ptCount val="1"/>
                <c:pt idx="0">
                  <c:v>Stat92E E0_12h_Stat92E.region_Top300regions.gff</c:v>
                </c:pt>
              </c:strCache>
            </c:strRef>
          </c:tx>
          <c:marker>
            <c:symbol val="none"/>
          </c:marker>
          <c:val>
            <c:numRef>
              <c:f>wt_CBP_RawData_vs_top300TF!$C$63:$AX$63</c:f>
              <c:numCache>
                <c:formatCode>General</c:formatCode>
                <c:ptCount val="48"/>
                <c:pt idx="0">
                  <c:v>0.00200188818093226</c:v>
                </c:pt>
                <c:pt idx="1">
                  <c:v>0.00200188978395605</c:v>
                </c:pt>
                <c:pt idx="2">
                  <c:v>0.00200189940215276</c:v>
                </c:pt>
                <c:pt idx="3">
                  <c:v>0.00200191382962112</c:v>
                </c:pt>
                <c:pt idx="4">
                  <c:v>0.0020020324633568</c:v>
                </c:pt>
                <c:pt idx="5">
                  <c:v>0.00200259536359121</c:v>
                </c:pt>
                <c:pt idx="6">
                  <c:v>0.00200419919815998</c:v>
                </c:pt>
                <c:pt idx="7">
                  <c:v>0.00200844833708511</c:v>
                </c:pt>
                <c:pt idx="8">
                  <c:v>0.00201922952662798</c:v>
                </c:pt>
                <c:pt idx="9">
                  <c:v>0.00204137624687261</c:v>
                </c:pt>
                <c:pt idx="10">
                  <c:v>0.00208369798047992</c:v>
                </c:pt>
                <c:pt idx="11">
                  <c:v>0.00215379864699697</c:v>
                </c:pt>
                <c:pt idx="12">
                  <c:v>0.00226576690888816</c:v>
                </c:pt>
                <c:pt idx="13">
                  <c:v>0.00244112804674392</c:v>
                </c:pt>
                <c:pt idx="14">
                  <c:v>0.00271029617950802</c:v>
                </c:pt>
                <c:pt idx="15">
                  <c:v>0.00317459910100076</c:v>
                </c:pt>
                <c:pt idx="16">
                  <c:v>0.00384384045712567</c:v>
                </c:pt>
                <c:pt idx="17">
                  <c:v>0.00476907136075139</c:v>
                </c:pt>
                <c:pt idx="18">
                  <c:v>0.00592517775533266</c:v>
                </c:pt>
                <c:pt idx="19">
                  <c:v>0.00731753060361681</c:v>
                </c:pt>
                <c:pt idx="20">
                  <c:v>0.00882622420850054</c:v>
                </c:pt>
                <c:pt idx="21">
                  <c:v>0.0104239020173199</c:v>
                </c:pt>
                <c:pt idx="22">
                  <c:v>0.0120184861663507</c:v>
                </c:pt>
                <c:pt idx="23">
                  <c:v>0.0136757787275914</c:v>
                </c:pt>
                <c:pt idx="24">
                  <c:v>0.0157229977745022</c:v>
                </c:pt>
                <c:pt idx="25">
                  <c:v>0.0183031111650191</c:v>
                </c:pt>
                <c:pt idx="26">
                  <c:v>0.0204844865796602</c:v>
                </c:pt>
                <c:pt idx="27">
                  <c:v>0.0232599928123627</c:v>
                </c:pt>
                <c:pt idx="28">
                  <c:v>0.0265390019253786</c:v>
                </c:pt>
                <c:pt idx="29">
                  <c:v>0.0286910353277517</c:v>
                </c:pt>
                <c:pt idx="30">
                  <c:v>0.0317061121839493</c:v>
                </c:pt>
                <c:pt idx="31">
                  <c:v>0.0362012503721346</c:v>
                </c:pt>
                <c:pt idx="32">
                  <c:v>0.0386718440446945</c:v>
                </c:pt>
                <c:pt idx="33">
                  <c:v>0.0393868426655312</c:v>
                </c:pt>
                <c:pt idx="34">
                  <c:v>0.0422116527942925</c:v>
                </c:pt>
                <c:pt idx="35">
                  <c:v>0.0400826446280992</c:v>
                </c:pt>
                <c:pt idx="36">
                  <c:v>0.0405602567843595</c:v>
                </c:pt>
                <c:pt idx="37">
                  <c:v>0.0361935746238308</c:v>
                </c:pt>
                <c:pt idx="38">
                  <c:v>0.0328798185941043</c:v>
                </c:pt>
                <c:pt idx="39">
                  <c:v>0.0308441558441558</c:v>
                </c:pt>
                <c:pt idx="40">
                  <c:v>0.0292740046838408</c:v>
                </c:pt>
                <c:pt idx="41">
                  <c:v>0.0389830508474576</c:v>
                </c:pt>
                <c:pt idx="42">
                  <c:v>0.054590570719603</c:v>
                </c:pt>
                <c:pt idx="43">
                  <c:v>0.025531914893617</c:v>
                </c:pt>
                <c:pt idx="44">
                  <c:v>0.0425531914893617</c:v>
                </c:pt>
                <c:pt idx="45">
                  <c:v>0.024390243902439</c:v>
                </c:pt>
                <c:pt idx="46">
                  <c:v>0.0</c:v>
                </c:pt>
                <c:pt idx="47">
                  <c:v>0.0</c:v>
                </c:pt>
              </c:numCache>
            </c:numRef>
          </c:val>
        </c:ser>
        <c:ser>
          <c:idx val="59"/>
          <c:order val="59"/>
          <c:tx>
            <c:strRef>
              <c:f>wt_CBP_RawData_vs_top300TF!$A$64:$B$64</c:f>
              <c:strCache>
                <c:ptCount val="1"/>
                <c:pt idx="0">
                  <c:v>Tailless tll_1_Rel5.gff</c:v>
                </c:pt>
              </c:strCache>
            </c:strRef>
          </c:tx>
          <c:marker>
            <c:symbol val="none"/>
          </c:marker>
          <c:val>
            <c:numRef>
              <c:f>wt_CBP_RawData_vs_top300TF!$C$64:$AX$64</c:f>
              <c:numCache>
                <c:formatCode>General</c:formatCode>
                <c:ptCount val="48"/>
                <c:pt idx="0">
                  <c:v>0.00940487067401974</c:v>
                </c:pt>
                <c:pt idx="1">
                  <c:v>0.00940487820502554</c:v>
                </c:pt>
                <c:pt idx="2">
                  <c:v>0.00940492339131368</c:v>
                </c:pt>
                <c:pt idx="3">
                  <c:v>0.00940499117156001</c:v>
                </c:pt>
                <c:pt idx="4">
                  <c:v>0.00940554851285025</c:v>
                </c:pt>
                <c:pt idx="5">
                  <c:v>0.00940819301815152</c:v>
                </c:pt>
                <c:pt idx="6">
                  <c:v>0.00941572783295561</c:v>
                </c:pt>
                <c:pt idx="7">
                  <c:v>0.00943488690829104</c:v>
                </c:pt>
                <c:pt idx="8">
                  <c:v>0.00948310954885566</c:v>
                </c:pt>
                <c:pt idx="9">
                  <c:v>0.00958222010282004</c:v>
                </c:pt>
                <c:pt idx="10">
                  <c:v>0.00977087657006643</c:v>
                </c:pt>
                <c:pt idx="11">
                  <c:v>0.0101005134787083</c:v>
                </c:pt>
                <c:pt idx="12">
                  <c:v>0.0106302761397735</c:v>
                </c:pt>
                <c:pt idx="13">
                  <c:v>0.011443340288338</c:v>
                </c:pt>
                <c:pt idx="14">
                  <c:v>0.0126076780814071</c:v>
                </c:pt>
                <c:pt idx="15">
                  <c:v>0.0146000762211749</c:v>
                </c:pt>
                <c:pt idx="16">
                  <c:v>0.0173380073430823</c:v>
                </c:pt>
                <c:pt idx="17">
                  <c:v>0.0208984213408556</c:v>
                </c:pt>
                <c:pt idx="18">
                  <c:v>0.0250307509225277</c:v>
                </c:pt>
                <c:pt idx="19">
                  <c:v>0.0295530330242508</c:v>
                </c:pt>
                <c:pt idx="20">
                  <c:v>0.0342566326714332</c:v>
                </c:pt>
                <c:pt idx="21">
                  <c:v>0.0384175257474378</c:v>
                </c:pt>
                <c:pt idx="22">
                  <c:v>0.0422443593651266</c:v>
                </c:pt>
                <c:pt idx="23">
                  <c:v>0.0451861873866117</c:v>
                </c:pt>
                <c:pt idx="24">
                  <c:v>0.0476603370039596</c:v>
                </c:pt>
                <c:pt idx="25">
                  <c:v>0.0508096306628662</c:v>
                </c:pt>
                <c:pt idx="26">
                  <c:v>0.0527733316917016</c:v>
                </c:pt>
                <c:pt idx="27">
                  <c:v>0.0548057341372839</c:v>
                </c:pt>
                <c:pt idx="28">
                  <c:v>0.0566165374408076</c:v>
                </c:pt>
                <c:pt idx="29">
                  <c:v>0.0579946906269144</c:v>
                </c:pt>
                <c:pt idx="30">
                  <c:v>0.0581578120088023</c:v>
                </c:pt>
                <c:pt idx="31">
                  <c:v>0.0579934504316761</c:v>
                </c:pt>
                <c:pt idx="32">
                  <c:v>0.0557888897693954</c:v>
                </c:pt>
                <c:pt idx="33">
                  <c:v>0.0535448158398978</c:v>
                </c:pt>
                <c:pt idx="34">
                  <c:v>0.0521700356718193</c:v>
                </c:pt>
                <c:pt idx="35">
                  <c:v>0.0481404958677686</c:v>
                </c:pt>
                <c:pt idx="36">
                  <c:v>0.0382258535161949</c:v>
                </c:pt>
                <c:pt idx="37">
                  <c:v>0.0317202114680765</c:v>
                </c:pt>
                <c:pt idx="38">
                  <c:v>0.0300453514739229</c:v>
                </c:pt>
                <c:pt idx="39">
                  <c:v>0.0373376623376623</c:v>
                </c:pt>
                <c:pt idx="40">
                  <c:v>0.0269320843091335</c:v>
                </c:pt>
                <c:pt idx="41">
                  <c:v>0.0372881355932203</c:v>
                </c:pt>
                <c:pt idx="42">
                  <c:v>0.032258064516129</c:v>
                </c:pt>
                <c:pt idx="43">
                  <c:v>0.025531914893617</c:v>
                </c:pt>
                <c:pt idx="44">
                  <c:v>0.0</c:v>
                </c:pt>
                <c:pt idx="45">
                  <c:v>0.0</c:v>
                </c:pt>
                <c:pt idx="46">
                  <c:v>0.0</c:v>
                </c:pt>
                <c:pt idx="47">
                  <c:v>0.0</c:v>
                </c:pt>
              </c:numCache>
            </c:numRef>
          </c:val>
        </c:ser>
        <c:ser>
          <c:idx val="60"/>
          <c:order val="60"/>
          <c:tx>
            <c:strRef>
              <c:f>wt_CBP_RawData_vs_top300TF!$A$65:$B$65</c:f>
              <c:strCache>
                <c:ptCount val="1"/>
                <c:pt idx="0">
                  <c:v>Tramtrack E0_12h_TTK.region_Top300regions.gff</c:v>
                </c:pt>
              </c:strCache>
            </c:strRef>
          </c:tx>
          <c:marker>
            <c:symbol val="none"/>
          </c:marker>
          <c:val>
            <c:numRef>
              <c:f>wt_CBP_RawData_vs_top300TF!$C$65:$AX$65</c:f>
              <c:numCache>
                <c:formatCode>General</c:formatCode>
                <c:ptCount val="48"/>
                <c:pt idx="0">
                  <c:v>0.00474687725462656</c:v>
                </c:pt>
                <c:pt idx="1">
                  <c:v>0.0047468810557166</c:v>
                </c:pt>
                <c:pt idx="2">
                  <c:v>0.00474690386238463</c:v>
                </c:pt>
                <c:pt idx="3">
                  <c:v>0.00474693807279759</c:v>
                </c:pt>
                <c:pt idx="4">
                  <c:v>0.00474721937711164</c:v>
                </c:pt>
                <c:pt idx="5">
                  <c:v>0.00474855412614749</c:v>
                </c:pt>
                <c:pt idx="6">
                  <c:v>0.00475155545899769</c:v>
                </c:pt>
                <c:pt idx="7">
                  <c:v>0.00476162931756139</c:v>
                </c:pt>
                <c:pt idx="8">
                  <c:v>0.00477507398456986</c:v>
                </c:pt>
                <c:pt idx="9">
                  <c:v>0.00481764794261936</c:v>
                </c:pt>
                <c:pt idx="10">
                  <c:v>0.00489418981655123</c:v>
                </c:pt>
                <c:pt idx="11">
                  <c:v>0.00502869287624844</c:v>
                </c:pt>
                <c:pt idx="12">
                  <c:v>0.00523191138495571</c:v>
                </c:pt>
                <c:pt idx="13">
                  <c:v>0.00550899238878869</c:v>
                </c:pt>
                <c:pt idx="14">
                  <c:v>0.00596177871370042</c:v>
                </c:pt>
                <c:pt idx="15">
                  <c:v>0.00672517133724534</c:v>
                </c:pt>
                <c:pt idx="16">
                  <c:v>0.0078082904151473</c:v>
                </c:pt>
                <c:pt idx="17">
                  <c:v>0.00920523356827395</c:v>
                </c:pt>
                <c:pt idx="18">
                  <c:v>0.0106653199595988</c:v>
                </c:pt>
                <c:pt idx="19">
                  <c:v>0.0119521785706339</c:v>
                </c:pt>
                <c:pt idx="20">
                  <c:v>0.0133353605108487</c:v>
                </c:pt>
                <c:pt idx="21">
                  <c:v>0.0145964610702739</c:v>
                </c:pt>
                <c:pt idx="22">
                  <c:v>0.0154939350010532</c:v>
                </c:pt>
                <c:pt idx="23">
                  <c:v>0.015320869591956</c:v>
                </c:pt>
                <c:pt idx="24">
                  <c:v>0.0156555584458125</c:v>
                </c:pt>
                <c:pt idx="25">
                  <c:v>0.0161562253623628</c:v>
                </c:pt>
                <c:pt idx="26">
                  <c:v>0.0166830829844866</c:v>
                </c:pt>
                <c:pt idx="27">
                  <c:v>0.0180489557960308</c:v>
                </c:pt>
                <c:pt idx="28">
                  <c:v>0.0202164749960972</c:v>
                </c:pt>
                <c:pt idx="29">
                  <c:v>0.0222244911850793</c:v>
                </c:pt>
                <c:pt idx="30">
                  <c:v>0.025373871648628</c:v>
                </c:pt>
                <c:pt idx="31">
                  <c:v>0.0270913962488836</c:v>
                </c:pt>
                <c:pt idx="32">
                  <c:v>0.0280529360488153</c:v>
                </c:pt>
                <c:pt idx="33">
                  <c:v>0.029806259314456</c:v>
                </c:pt>
                <c:pt idx="34">
                  <c:v>0.0332936979785969</c:v>
                </c:pt>
                <c:pt idx="35">
                  <c:v>0.0351239669421488</c:v>
                </c:pt>
                <c:pt idx="36">
                  <c:v>0.0411438576014006</c:v>
                </c:pt>
                <c:pt idx="37">
                  <c:v>0.0488003253355022</c:v>
                </c:pt>
                <c:pt idx="38">
                  <c:v>0.0425170068027211</c:v>
                </c:pt>
                <c:pt idx="39">
                  <c:v>0.0584415584415584</c:v>
                </c:pt>
                <c:pt idx="40">
                  <c:v>0.0644028103044497</c:v>
                </c:pt>
                <c:pt idx="41">
                  <c:v>0.0661016949152542</c:v>
                </c:pt>
                <c:pt idx="42">
                  <c:v>0.0918114143920596</c:v>
                </c:pt>
                <c:pt idx="43">
                  <c:v>0.0680851063829787</c:v>
                </c:pt>
                <c:pt idx="44">
                  <c:v>0.0921985815602837</c:v>
                </c:pt>
                <c:pt idx="45">
                  <c:v>0.158536585365854</c:v>
                </c:pt>
                <c:pt idx="46">
                  <c:v>0.137254901960784</c:v>
                </c:pt>
                <c:pt idx="47">
                  <c:v>0.176470588235294</c:v>
                </c:pt>
              </c:numCache>
            </c:numRef>
          </c:val>
        </c:ser>
        <c:ser>
          <c:idx val="61"/>
          <c:order val="61"/>
          <c:tx>
            <c:strRef>
              <c:f>wt_CBP_RawData_vs_top300TF!$A$66:$B$66</c:f>
              <c:strCache>
                <c:ptCount val="1"/>
                <c:pt idx="0">
                  <c:v>Twist twi_1_Rel5.gff</c:v>
                </c:pt>
              </c:strCache>
            </c:strRef>
          </c:tx>
          <c:marker>
            <c:symbol val="none"/>
          </c:marker>
          <c:val>
            <c:numRef>
              <c:f>wt_CBP_RawData_vs_top300TF!$C$66:$AX$66</c:f>
              <c:numCache>
                <c:formatCode>General</c:formatCode>
                <c:ptCount val="48"/>
                <c:pt idx="0">
                  <c:v>0.0240106468421015</c:v>
                </c:pt>
                <c:pt idx="1">
                  <c:v>0.0240106660687689</c:v>
                </c:pt>
                <c:pt idx="2">
                  <c:v>0.0240107814294202</c:v>
                </c:pt>
                <c:pt idx="3">
                  <c:v>0.0240109544724757</c:v>
                </c:pt>
                <c:pt idx="4">
                  <c:v>0.0240123773655015</c:v>
                </c:pt>
                <c:pt idx="5">
                  <c:v>0.024019128790913</c:v>
                </c:pt>
                <c:pt idx="6">
                  <c:v>0.0240383651827309</c:v>
                </c:pt>
                <c:pt idx="7">
                  <c:v>0.024088525975664</c:v>
                </c:pt>
                <c:pt idx="8">
                  <c:v>0.0242129850997015</c:v>
                </c:pt>
                <c:pt idx="9">
                  <c:v>0.0244752846495039</c:v>
                </c:pt>
                <c:pt idx="10">
                  <c:v>0.0249618683269572</c:v>
                </c:pt>
                <c:pt idx="11">
                  <c:v>0.025774854292977</c:v>
                </c:pt>
                <c:pt idx="12">
                  <c:v>0.0270654998558314</c:v>
                </c:pt>
                <c:pt idx="13">
                  <c:v>0.0290096387719898</c:v>
                </c:pt>
                <c:pt idx="14">
                  <c:v>0.0317652385966252</c:v>
                </c:pt>
                <c:pt idx="15">
                  <c:v>0.0365605002367476</c:v>
                </c:pt>
                <c:pt idx="16">
                  <c:v>0.0428289036753004</c:v>
                </c:pt>
                <c:pt idx="17">
                  <c:v>0.0510119256332168</c:v>
                </c:pt>
                <c:pt idx="18">
                  <c:v>0.0604018120543616</c:v>
                </c:pt>
                <c:pt idx="19">
                  <c:v>0.070683149653355</c:v>
                </c:pt>
                <c:pt idx="20">
                  <c:v>0.0803642517914514</c:v>
                </c:pt>
                <c:pt idx="21">
                  <c:v>0.0896175737193742</c:v>
                </c:pt>
                <c:pt idx="22">
                  <c:v>0.0975665663061121</c:v>
                </c:pt>
                <c:pt idx="23">
                  <c:v>0.103563851050091</c:v>
                </c:pt>
                <c:pt idx="24">
                  <c:v>0.110561962291781</c:v>
                </c:pt>
                <c:pt idx="25">
                  <c:v>0.117751228091455</c:v>
                </c:pt>
                <c:pt idx="26">
                  <c:v>0.123091603053435</c:v>
                </c:pt>
                <c:pt idx="27">
                  <c:v>0.128558878728587</c:v>
                </c:pt>
                <c:pt idx="28">
                  <c:v>0.131758338970703</c:v>
                </c:pt>
                <c:pt idx="29">
                  <c:v>0.135763392553264</c:v>
                </c:pt>
                <c:pt idx="30">
                  <c:v>0.135581802667625</c:v>
                </c:pt>
                <c:pt idx="31">
                  <c:v>0.136647811848765</c:v>
                </c:pt>
                <c:pt idx="32">
                  <c:v>0.135034471828196</c:v>
                </c:pt>
                <c:pt idx="33">
                  <c:v>0.133276559506068</c:v>
                </c:pt>
                <c:pt idx="34">
                  <c:v>0.138228299643282</c:v>
                </c:pt>
                <c:pt idx="35">
                  <c:v>0.135950413223141</c:v>
                </c:pt>
                <c:pt idx="36">
                  <c:v>0.135395389553545</c:v>
                </c:pt>
                <c:pt idx="37">
                  <c:v>0.126067507116714</c:v>
                </c:pt>
                <c:pt idx="38">
                  <c:v>0.126417233560091</c:v>
                </c:pt>
                <c:pt idx="39">
                  <c:v>0.140422077922078</c:v>
                </c:pt>
                <c:pt idx="40">
                  <c:v>0.137002341920375</c:v>
                </c:pt>
                <c:pt idx="41">
                  <c:v>0.140677966101695</c:v>
                </c:pt>
                <c:pt idx="42">
                  <c:v>0.133995037220844</c:v>
                </c:pt>
                <c:pt idx="43">
                  <c:v>0.123404255319149</c:v>
                </c:pt>
                <c:pt idx="44">
                  <c:v>0.0921985815602837</c:v>
                </c:pt>
                <c:pt idx="45">
                  <c:v>0.158536585365854</c:v>
                </c:pt>
                <c:pt idx="46">
                  <c:v>0.137254901960784</c:v>
                </c:pt>
                <c:pt idx="47">
                  <c:v>0.176470588235294</c:v>
                </c:pt>
              </c:numCache>
            </c:numRef>
          </c:val>
        </c:ser>
        <c:ser>
          <c:idx val="62"/>
          <c:order val="62"/>
          <c:tx>
            <c:strRef>
              <c:f>wt_CBP_RawData_vs_top300TF!$A$67:$B$67</c:f>
              <c:strCache>
                <c:ptCount val="1"/>
                <c:pt idx="0">
                  <c:v>Twist twi_2_Rel5.gff</c:v>
                </c:pt>
              </c:strCache>
            </c:strRef>
          </c:tx>
          <c:marker>
            <c:symbol val="none"/>
          </c:marker>
          <c:val>
            <c:numRef>
              <c:f>wt_CBP_RawData_vs_top300TF!$C$67:$AX$67</c:f>
              <c:numCache>
                <c:formatCode>General</c:formatCode>
                <c:ptCount val="48"/>
                <c:pt idx="0">
                  <c:v>0.0250260045274703</c:v>
                </c:pt>
                <c:pt idx="1">
                  <c:v>0.0250260245671914</c:v>
                </c:pt>
                <c:pt idx="2">
                  <c:v>0.0250261448061921</c:v>
                </c:pt>
                <c:pt idx="3">
                  <c:v>0.0250263251668595</c:v>
                </c:pt>
                <c:pt idx="4">
                  <c:v>0.025027808230916</c:v>
                </c:pt>
                <c:pt idx="5">
                  <c:v>0.0250348451593265</c:v>
                </c:pt>
                <c:pt idx="6">
                  <c:v>0.0250548950160376</c:v>
                </c:pt>
                <c:pt idx="7">
                  <c:v>0.0251072109722336</c:v>
                </c:pt>
                <c:pt idx="8">
                  <c:v>0.0252355229319859</c:v>
                </c:pt>
                <c:pt idx="9">
                  <c:v>0.0255082210304214</c:v>
                </c:pt>
                <c:pt idx="10">
                  <c:v>0.0260120521091191</c:v>
                </c:pt>
                <c:pt idx="11">
                  <c:v>0.026865123211601</c:v>
                </c:pt>
                <c:pt idx="12">
                  <c:v>0.0282124818197446</c:v>
                </c:pt>
                <c:pt idx="13">
                  <c:v>0.0302473938379445</c:v>
                </c:pt>
                <c:pt idx="14">
                  <c:v>0.0331553019350685</c:v>
                </c:pt>
                <c:pt idx="15">
                  <c:v>0.0381927112539153</c:v>
                </c:pt>
                <c:pt idx="16">
                  <c:v>0.0447774519754896</c:v>
                </c:pt>
                <c:pt idx="17">
                  <c:v>0.0531590911777104</c:v>
                </c:pt>
                <c:pt idx="18">
                  <c:v>0.0627193815814475</c:v>
                </c:pt>
                <c:pt idx="19">
                  <c:v>0.0733755686026441</c:v>
                </c:pt>
                <c:pt idx="20">
                  <c:v>0.0836290745267808</c:v>
                </c:pt>
                <c:pt idx="21">
                  <c:v>0.0932754338711854</c:v>
                </c:pt>
                <c:pt idx="22">
                  <c:v>0.101865962903765</c:v>
                </c:pt>
                <c:pt idx="23">
                  <c:v>0.108376126195381</c:v>
                </c:pt>
                <c:pt idx="24">
                  <c:v>0.115398325577811</c:v>
                </c:pt>
                <c:pt idx="25">
                  <c:v>0.123476256898538</c:v>
                </c:pt>
                <c:pt idx="26">
                  <c:v>0.128570549125831</c:v>
                </c:pt>
                <c:pt idx="27">
                  <c:v>0.135047717925169</c:v>
                </c:pt>
                <c:pt idx="28">
                  <c:v>0.139902169953687</c:v>
                </c:pt>
                <c:pt idx="29">
                  <c:v>0.144986726567286</c:v>
                </c:pt>
                <c:pt idx="30">
                  <c:v>0.144024790048053</c:v>
                </c:pt>
                <c:pt idx="31">
                  <c:v>0.145698124441798</c:v>
                </c:pt>
                <c:pt idx="32">
                  <c:v>0.143672240272605</c:v>
                </c:pt>
                <c:pt idx="33">
                  <c:v>0.141473280817543</c:v>
                </c:pt>
                <c:pt idx="34">
                  <c:v>0.147592152199762</c:v>
                </c:pt>
                <c:pt idx="35">
                  <c:v>0.147727272727273</c:v>
                </c:pt>
                <c:pt idx="36">
                  <c:v>0.148818208345492</c:v>
                </c:pt>
                <c:pt idx="37">
                  <c:v>0.141927612850752</c:v>
                </c:pt>
                <c:pt idx="38">
                  <c:v>0.143424036281179</c:v>
                </c:pt>
                <c:pt idx="39">
                  <c:v>0.149350649350649</c:v>
                </c:pt>
                <c:pt idx="40">
                  <c:v>0.142857142857143</c:v>
                </c:pt>
                <c:pt idx="41">
                  <c:v>0.138983050847458</c:v>
                </c:pt>
                <c:pt idx="42">
                  <c:v>0.114143920595533</c:v>
                </c:pt>
                <c:pt idx="43">
                  <c:v>0.0978723404255319</c:v>
                </c:pt>
                <c:pt idx="44">
                  <c:v>0.0921985815602837</c:v>
                </c:pt>
                <c:pt idx="45">
                  <c:v>0.158536585365854</c:v>
                </c:pt>
                <c:pt idx="46">
                  <c:v>0.137254901960784</c:v>
                </c:pt>
                <c:pt idx="47">
                  <c:v>0.176470588235294</c:v>
                </c:pt>
              </c:numCache>
            </c:numRef>
          </c:val>
        </c:ser>
        <c:ser>
          <c:idx val="63"/>
          <c:order val="63"/>
          <c:tx>
            <c:strRef>
              <c:f>wt_CBP_RawData_vs_top300TF!$A$68:$B$68</c:f>
              <c:strCache>
                <c:ptCount val="1"/>
                <c:pt idx="0">
                  <c:v>Ultrabithorax E0_12h_UBX7701.region_Top300regions.gff</c:v>
                </c:pt>
              </c:strCache>
            </c:strRef>
          </c:tx>
          <c:marker>
            <c:symbol val="none"/>
          </c:marker>
          <c:val>
            <c:numRef>
              <c:f>wt_CBP_RawData_vs_top300TF!$C$68:$AX$68</c:f>
              <c:numCache>
                <c:formatCode>General</c:formatCode>
                <c:ptCount val="48"/>
                <c:pt idx="0">
                  <c:v>0.0072340231306168</c:v>
                </c:pt>
                <c:pt idx="1">
                  <c:v>0.0072340289233036</c:v>
                </c:pt>
                <c:pt idx="2">
                  <c:v>0.00723406367961922</c:v>
                </c:pt>
                <c:pt idx="3">
                  <c:v>0.00723411581471887</c:v>
                </c:pt>
                <c:pt idx="4">
                  <c:v>0.00723454450958613</c:v>
                </c:pt>
                <c:pt idx="5">
                  <c:v>0.00723657860587321</c:v>
                </c:pt>
                <c:pt idx="6">
                  <c:v>0.00724237422247092</c:v>
                </c:pt>
                <c:pt idx="7">
                  <c:v>0.00725772891089077</c:v>
                </c:pt>
                <c:pt idx="8">
                  <c:v>0.00729668781742288</c:v>
                </c:pt>
                <c:pt idx="9">
                  <c:v>0.00737263445320512</c:v>
                </c:pt>
                <c:pt idx="10">
                  <c:v>0.00751964927195593</c:v>
                </c:pt>
                <c:pt idx="11">
                  <c:v>0.00776040305447808</c:v>
                </c:pt>
                <c:pt idx="12">
                  <c:v>0.00816803967957271</c:v>
                </c:pt>
                <c:pt idx="13">
                  <c:v>0.00877234344363106</c:v>
                </c:pt>
                <c:pt idx="14">
                  <c:v>0.00968898151128472</c:v>
                </c:pt>
                <c:pt idx="15">
                  <c:v>0.0112047693411231</c:v>
                </c:pt>
                <c:pt idx="16">
                  <c:v>0.0134597070285578</c:v>
                </c:pt>
                <c:pt idx="17">
                  <c:v>0.0164366507369309</c:v>
                </c:pt>
                <c:pt idx="18">
                  <c:v>0.0200081002430073</c:v>
                </c:pt>
                <c:pt idx="19">
                  <c:v>0.0238979995994749</c:v>
                </c:pt>
                <c:pt idx="20">
                  <c:v>0.0276189599779144</c:v>
                </c:pt>
                <c:pt idx="21">
                  <c:v>0.0306570656166143</c:v>
                </c:pt>
                <c:pt idx="22">
                  <c:v>0.0333667868515283</c:v>
                </c:pt>
                <c:pt idx="23">
                  <c:v>0.034323975277513</c:v>
                </c:pt>
                <c:pt idx="24">
                  <c:v>0.0335751514976348</c:v>
                </c:pt>
                <c:pt idx="25">
                  <c:v>0.0328340105524895</c:v>
                </c:pt>
                <c:pt idx="26">
                  <c:v>0.0313346466387589</c:v>
                </c:pt>
                <c:pt idx="27">
                  <c:v>0.028391167192429</c:v>
                </c:pt>
                <c:pt idx="28">
                  <c:v>0.0263568715200083</c:v>
                </c:pt>
                <c:pt idx="29">
                  <c:v>0.0233816622421891</c:v>
                </c:pt>
                <c:pt idx="30">
                  <c:v>0.0191314501279921</c:v>
                </c:pt>
                <c:pt idx="31">
                  <c:v>0.0152426317356356</c:v>
                </c:pt>
                <c:pt idx="32">
                  <c:v>0.013471748949996</c:v>
                </c:pt>
                <c:pt idx="33">
                  <c:v>0.00989993612944433</c:v>
                </c:pt>
                <c:pt idx="34">
                  <c:v>0.00832342449464923</c:v>
                </c:pt>
                <c:pt idx="35">
                  <c:v>0.00909090909090909</c:v>
                </c:pt>
                <c:pt idx="36">
                  <c:v>0.00875401225561716</c:v>
                </c:pt>
                <c:pt idx="37">
                  <c:v>0.010980073200488</c:v>
                </c:pt>
                <c:pt idx="38">
                  <c:v>0.0147392290249433</c:v>
                </c:pt>
                <c:pt idx="39">
                  <c:v>0.0202922077922078</c:v>
                </c:pt>
                <c:pt idx="40">
                  <c:v>0.0257611241217799</c:v>
                </c:pt>
                <c:pt idx="41">
                  <c:v>0.0338983050847458</c:v>
                </c:pt>
                <c:pt idx="42">
                  <c:v>0.0446650124069479</c:v>
                </c:pt>
                <c:pt idx="43">
                  <c:v>0.0723404255319149</c:v>
                </c:pt>
                <c:pt idx="44">
                  <c:v>0.0567375886524823</c:v>
                </c:pt>
                <c:pt idx="45">
                  <c:v>0.0853658536585366</c:v>
                </c:pt>
                <c:pt idx="46">
                  <c:v>0.117647058823529</c:v>
                </c:pt>
                <c:pt idx="47">
                  <c:v>0.176470588235294</c:v>
                </c:pt>
              </c:numCache>
            </c:numRef>
          </c:val>
        </c:ser>
        <c:ser>
          <c:idx val="64"/>
          <c:order val="64"/>
          <c:tx>
            <c:strRef>
              <c:f>wt_CBP_RawData_vs_top300TF!$A$69:$B$69</c:f>
              <c:strCache>
                <c:ptCount val="1"/>
                <c:pt idx="0">
                  <c:v>Ultrabithorax Embryo_3_8h_UBX1_ChIP_chip.region_Top300regions.gff</c:v>
                </c:pt>
              </c:strCache>
            </c:strRef>
          </c:tx>
          <c:marker>
            <c:symbol val="none"/>
          </c:marker>
          <c:val>
            <c:numRef>
              <c:f>wt_CBP_RawData_vs_top300TF!$C$69:$AX$69</c:f>
              <c:numCache>
                <c:formatCode>0.00E+00</c:formatCode>
                <c:ptCount val="48"/>
                <c:pt idx="0">
                  <c:v>7.60717508754257E-5</c:v>
                </c:pt>
                <c:pt idx="1">
                  <c:v>7.60718117903301E-5</c:v>
                </c:pt>
                <c:pt idx="2">
                  <c:v>7.6072177281805E-5</c:v>
                </c:pt>
                <c:pt idx="3">
                  <c:v>7.60727255256025E-5</c:v>
                </c:pt>
                <c:pt idx="4">
                  <c:v>7.60772336075584E-5</c:v>
                </c:pt>
                <c:pt idx="5">
                  <c:v>7.60986238164661E-5</c:v>
                </c:pt>
                <c:pt idx="6">
                  <c:v>7.61595695300794E-5</c:v>
                </c:pt>
                <c:pt idx="7">
                  <c:v>7.63210368092344E-5</c:v>
                </c:pt>
                <c:pt idx="8">
                  <c:v>7.67307220118634E-5</c:v>
                </c:pt>
                <c:pt idx="9">
                  <c:v>7.75722973811592E-5</c:v>
                </c:pt>
                <c:pt idx="10">
                  <c:v>7.91805232582369E-5</c:v>
                </c:pt>
                <c:pt idx="11">
                  <c:v>8.1942679801647E-5</c:v>
                </c:pt>
                <c:pt idx="12">
                  <c:v>8.64102193273283E-5</c:v>
                </c:pt>
                <c:pt idx="13">
                  <c:v>9.33228025918198E-5</c:v>
                </c:pt>
                <c:pt idx="14" formatCode="General">
                  <c:v>0.000103654644546402</c:v>
                </c:pt>
                <c:pt idx="15" formatCode="General">
                  <c:v>0.00012190255238281</c:v>
                </c:pt>
                <c:pt idx="16" formatCode="General">
                  <c:v>0.000147237572522336</c:v>
                </c:pt>
                <c:pt idx="17" formatCode="General">
                  <c:v>0.000181228651461845</c:v>
                </c:pt>
                <c:pt idx="18" formatCode="General">
                  <c:v>0.000225006750202506</c:v>
                </c:pt>
                <c:pt idx="19" formatCode="General">
                  <c:v>0.00026383798440495</c:v>
                </c:pt>
                <c:pt idx="20" formatCode="General">
                  <c:v>0.000328082676834562</c:v>
                </c:pt>
                <c:pt idx="21" formatCode="General">
                  <c:v>0.000379777829969468</c:v>
                </c:pt>
                <c:pt idx="22" formatCode="General">
                  <c:v>0.000452242005228661</c:v>
                </c:pt>
                <c:pt idx="23" formatCode="General">
                  <c:v>0.000491989791211832</c:v>
                </c:pt>
                <c:pt idx="24" formatCode="General">
                  <c:v>0.000549148819330038</c:v>
                </c:pt>
                <c:pt idx="25" formatCode="General">
                  <c:v>0.000521559827763964</c:v>
                </c:pt>
                <c:pt idx="26" formatCode="General">
                  <c:v>0.000446318640728885</c:v>
                </c:pt>
                <c:pt idx="27" formatCode="General">
                  <c:v>0.00037934752226171</c:v>
                </c:pt>
                <c:pt idx="28" formatCode="General">
                  <c:v>0.000156111776031639</c:v>
                </c:pt>
                <c:pt idx="29">
                  <c:v>3.40344428561704E-5</c:v>
                </c:pt>
                <c:pt idx="30" formatCode="General">
                  <c:v>0.0</c:v>
                </c:pt>
                <c:pt idx="31" formatCode="General">
                  <c:v>0.0</c:v>
                </c:pt>
                <c:pt idx="32" formatCode="General">
                  <c:v>0.0</c:v>
                </c:pt>
                <c:pt idx="33" formatCode="General">
                  <c:v>0.0</c:v>
                </c:pt>
                <c:pt idx="34" formatCode="General">
                  <c:v>0.0</c:v>
                </c:pt>
                <c:pt idx="35" formatCode="General">
                  <c:v>0.0</c:v>
                </c:pt>
                <c:pt idx="36" formatCode="General">
                  <c:v>0.0</c:v>
                </c:pt>
                <c:pt idx="37" formatCode="General">
                  <c:v>0.0</c:v>
                </c:pt>
                <c:pt idx="38" formatCode="General">
                  <c:v>0.0</c:v>
                </c:pt>
                <c:pt idx="39" formatCode="General">
                  <c:v>0.0</c:v>
                </c:pt>
                <c:pt idx="40" formatCode="General">
                  <c:v>0.0</c:v>
                </c:pt>
                <c:pt idx="41" formatCode="General">
                  <c:v>0.0</c:v>
                </c:pt>
                <c:pt idx="42" formatCode="General">
                  <c:v>0.0</c:v>
                </c:pt>
                <c:pt idx="43" formatCode="General">
                  <c:v>0.0</c:v>
                </c:pt>
                <c:pt idx="44" formatCode="General">
                  <c:v>0.0</c:v>
                </c:pt>
                <c:pt idx="45" formatCode="General">
                  <c:v>0.0</c:v>
                </c:pt>
                <c:pt idx="46" formatCode="General">
                  <c:v>0.0</c:v>
                </c:pt>
                <c:pt idx="47" formatCode="General">
                  <c:v>0.0</c:v>
                </c:pt>
              </c:numCache>
            </c:numRef>
          </c:val>
        </c:ser>
        <c:ser>
          <c:idx val="65"/>
          <c:order val="65"/>
          <c:tx>
            <c:strRef>
              <c:f>wt_CBP_RawData_vs_top300TF!$A$70:$B$70</c:f>
              <c:strCache>
                <c:ptCount val="1"/>
                <c:pt idx="0">
                  <c:v>Ultrabithorax Embryo_3_8h_UBX2_ChIP_chip.region_Top300regions.gff</c:v>
                </c:pt>
              </c:strCache>
            </c:strRef>
          </c:tx>
          <c:marker>
            <c:symbol val="none"/>
          </c:marker>
          <c:val>
            <c:numRef>
              <c:f>wt_CBP_RawData_vs_top300TF!$C$70:$AX$70</c:f>
              <c:numCache>
                <c:formatCode>General</c:formatCode>
                <c:ptCount val="48"/>
                <c:pt idx="0">
                  <c:v>0.00195384286458988</c:v>
                </c:pt>
                <c:pt idx="1">
                  <c:v>0.00195384442914111</c:v>
                </c:pt>
                <c:pt idx="2">
                  <c:v>0.0019538538165011</c:v>
                </c:pt>
                <c:pt idx="3">
                  <c:v>0.00195386789771021</c:v>
                </c:pt>
                <c:pt idx="4">
                  <c:v>0.00195398368423624</c:v>
                </c:pt>
                <c:pt idx="5">
                  <c:v>0.00195453307486503</c:v>
                </c:pt>
                <c:pt idx="6">
                  <c:v>0.00195609841740415</c:v>
                </c:pt>
                <c:pt idx="7">
                  <c:v>0.00196024557699507</c:v>
                </c:pt>
                <c:pt idx="8">
                  <c:v>0.00197076801798891</c:v>
                </c:pt>
                <c:pt idx="9">
                  <c:v>0.00199156666644892</c:v>
                </c:pt>
                <c:pt idx="10">
                  <c:v>0.00203285574975621</c:v>
                </c:pt>
                <c:pt idx="11">
                  <c:v>0.0021020453755433</c:v>
                </c:pt>
                <c:pt idx="12">
                  <c:v>0.0022002770584506</c:v>
                </c:pt>
                <c:pt idx="13">
                  <c:v>0.00236352276879914</c:v>
                </c:pt>
                <c:pt idx="14">
                  <c:v>0.00256954408322922</c:v>
                </c:pt>
                <c:pt idx="15">
                  <c:v>0.00289358163813933</c:v>
                </c:pt>
                <c:pt idx="16">
                  <c:v>0.00331754445321604</c:v>
                </c:pt>
                <c:pt idx="17">
                  <c:v>0.00388262686990541</c:v>
                </c:pt>
                <c:pt idx="18">
                  <c:v>0.00435513065391962</c:v>
                </c:pt>
                <c:pt idx="19">
                  <c:v>0.00470775969763531</c:v>
                </c:pt>
                <c:pt idx="20">
                  <c:v>0.00499725930934596</c:v>
                </c:pt>
                <c:pt idx="21">
                  <c:v>0.00521694808537006</c:v>
                </c:pt>
                <c:pt idx="22">
                  <c:v>0.0051667100323384</c:v>
                </c:pt>
                <c:pt idx="23">
                  <c:v>0.00505827004089665</c:v>
                </c:pt>
                <c:pt idx="24">
                  <c:v>0.00483636328602946</c:v>
                </c:pt>
                <c:pt idx="25">
                  <c:v>0.00406331493723088</c:v>
                </c:pt>
                <c:pt idx="26">
                  <c:v>0.00330891406057621</c:v>
                </c:pt>
                <c:pt idx="27">
                  <c:v>0.00219622249730464</c:v>
                </c:pt>
                <c:pt idx="28">
                  <c:v>0.00176926679502524</c:v>
                </c:pt>
                <c:pt idx="29">
                  <c:v>0.0014975154856715</c:v>
                </c:pt>
                <c:pt idx="30">
                  <c:v>0.00116764719091032</c:v>
                </c:pt>
                <c:pt idx="31">
                  <c:v>0.00119083060434653</c:v>
                </c:pt>
                <c:pt idx="32">
                  <c:v>0.001584911641176</c:v>
                </c:pt>
                <c:pt idx="33">
                  <c:v>0.00191611667021503</c:v>
                </c:pt>
                <c:pt idx="34">
                  <c:v>0.00208085612366231</c:v>
                </c:pt>
                <c:pt idx="35">
                  <c:v>0.00268595041322314</c:v>
                </c:pt>
                <c:pt idx="36">
                  <c:v>0.00320980449372629</c:v>
                </c:pt>
                <c:pt idx="37">
                  <c:v>0.00447336315575437</c:v>
                </c:pt>
                <c:pt idx="38">
                  <c:v>0.00510204081632653</c:v>
                </c:pt>
                <c:pt idx="39">
                  <c:v>0.00487012987012987</c:v>
                </c:pt>
                <c:pt idx="40">
                  <c:v>0.00585480093676815</c:v>
                </c:pt>
                <c:pt idx="41">
                  <c:v>0.00847457627118644</c:v>
                </c:pt>
                <c:pt idx="42">
                  <c:v>0.0</c:v>
                </c:pt>
                <c:pt idx="43">
                  <c:v>0.0</c:v>
                </c:pt>
                <c:pt idx="44">
                  <c:v>0.0</c:v>
                </c:pt>
                <c:pt idx="45">
                  <c:v>0.0</c:v>
                </c:pt>
                <c:pt idx="46">
                  <c:v>0.0</c:v>
                </c:pt>
                <c:pt idx="47">
                  <c:v>0.0</c:v>
                </c:pt>
              </c:numCache>
            </c:numRef>
          </c:val>
        </c:ser>
        <c:ser>
          <c:idx val="66"/>
          <c:order val="66"/>
          <c:tx>
            <c:strRef>
              <c:f>wt_CBP_RawData_vs_top300TF!$A$71:$B$71</c:f>
              <c:strCache>
                <c:ptCount val="1"/>
                <c:pt idx="0">
                  <c:v>Ultrabithorax Embryo_3_8h_UBX7701_ChIP_chip.region_Top300regions.gff</c:v>
                </c:pt>
              </c:strCache>
            </c:strRef>
          </c:tx>
          <c:marker>
            <c:symbol val="none"/>
          </c:marker>
          <c:val>
            <c:numRef>
              <c:f>wt_CBP_RawData_vs_top300TF!$C$71:$AX$71</c:f>
              <c:numCache>
                <c:formatCode>General</c:formatCode>
                <c:ptCount val="48"/>
                <c:pt idx="0">
                  <c:v>0.00646369655859407</c:v>
                </c:pt>
                <c:pt idx="1">
                  <c:v>0.00646370173443731</c:v>
                </c:pt>
                <c:pt idx="2">
                  <c:v>0.00646373278967084</c:v>
                </c:pt>
                <c:pt idx="3">
                  <c:v>0.00646377937308067</c:v>
                </c:pt>
                <c:pt idx="4">
                  <c:v>0.00646416241768644</c:v>
                </c:pt>
                <c:pt idx="5">
                  <c:v>0.00646597990996331</c:v>
                </c:pt>
                <c:pt idx="6">
                  <c:v>0.00647115837101896</c:v>
                </c:pt>
                <c:pt idx="7">
                  <c:v>0.00648487799078042</c:v>
                </c:pt>
                <c:pt idx="8">
                  <c:v>0.00651968829557643</c:v>
                </c:pt>
                <c:pt idx="9">
                  <c:v>0.00658547977241104</c:v>
                </c:pt>
                <c:pt idx="10">
                  <c:v>0.00672034272664383</c:v>
                </c:pt>
                <c:pt idx="11">
                  <c:v>0.00695218946527657</c:v>
                </c:pt>
                <c:pt idx="12">
                  <c:v>0.00732849618021352</c:v>
                </c:pt>
                <c:pt idx="13">
                  <c:v>0.00788921502752532</c:v>
                </c:pt>
                <c:pt idx="14">
                  <c:v>0.00874408759363015</c:v>
                </c:pt>
                <c:pt idx="15">
                  <c:v>0.0102000356725364</c:v>
                </c:pt>
                <c:pt idx="16">
                  <c:v>0.0123381953059409</c:v>
                </c:pt>
                <c:pt idx="17">
                  <c:v>0.0151818393132222</c:v>
                </c:pt>
                <c:pt idx="18">
                  <c:v>0.018645559366781</c:v>
                </c:pt>
                <c:pt idx="19">
                  <c:v>0.0225056979468319</c:v>
                </c:pt>
                <c:pt idx="20">
                  <c:v>0.0267107311042383</c:v>
                </c:pt>
                <c:pt idx="21">
                  <c:v>0.0301323725620512</c:v>
                </c:pt>
                <c:pt idx="22">
                  <c:v>0.033478298578845</c:v>
                </c:pt>
                <c:pt idx="23">
                  <c:v>0.0356461978413948</c:v>
                </c:pt>
                <c:pt idx="24">
                  <c:v>0.037322851334817</c:v>
                </c:pt>
                <c:pt idx="25">
                  <c:v>0.0376736005822063</c:v>
                </c:pt>
                <c:pt idx="26">
                  <c:v>0.0372599113518838</c:v>
                </c:pt>
                <c:pt idx="27">
                  <c:v>0.0340813800263547</c:v>
                </c:pt>
                <c:pt idx="28">
                  <c:v>0.0309101316542645</c:v>
                </c:pt>
                <c:pt idx="29">
                  <c:v>0.0286229664420393</c:v>
                </c:pt>
                <c:pt idx="30">
                  <c:v>0.0243409529797458</c:v>
                </c:pt>
                <c:pt idx="31">
                  <c:v>0.0222089907710628</c:v>
                </c:pt>
                <c:pt idx="32">
                  <c:v>0.0210793248276409</c:v>
                </c:pt>
                <c:pt idx="33">
                  <c:v>0.0178837555886736</c:v>
                </c:pt>
                <c:pt idx="34">
                  <c:v>0.0153091557669441</c:v>
                </c:pt>
                <c:pt idx="35">
                  <c:v>0.0130165289256198</c:v>
                </c:pt>
                <c:pt idx="36">
                  <c:v>0.0140064196089875</c:v>
                </c:pt>
                <c:pt idx="37">
                  <c:v>0.0178934526230175</c:v>
                </c:pt>
                <c:pt idx="38">
                  <c:v>0.0226757369614512</c:v>
                </c:pt>
                <c:pt idx="39">
                  <c:v>0.0251623376623377</c:v>
                </c:pt>
                <c:pt idx="40">
                  <c:v>0.0281030444964871</c:v>
                </c:pt>
                <c:pt idx="41">
                  <c:v>0.0372881355932203</c:v>
                </c:pt>
                <c:pt idx="42">
                  <c:v>0.0397022332506203</c:v>
                </c:pt>
                <c:pt idx="43">
                  <c:v>0.0638297872340425</c:v>
                </c:pt>
                <c:pt idx="44">
                  <c:v>0.099290780141844</c:v>
                </c:pt>
                <c:pt idx="45">
                  <c:v>0.109756097560976</c:v>
                </c:pt>
                <c:pt idx="46">
                  <c:v>0.117647058823529</c:v>
                </c:pt>
                <c:pt idx="47">
                  <c:v>0.176470588235294</c:v>
                </c:pt>
              </c:numCache>
            </c:numRef>
          </c:val>
        </c:ser>
        <c:ser>
          <c:idx val="67"/>
          <c:order val="67"/>
          <c:tx>
            <c:strRef>
              <c:f>wt_CBP_RawData_vs_top300TF!$A$72:$B$72</c:f>
              <c:strCache>
                <c:ptCount val="1"/>
                <c:pt idx="0">
                  <c:v>Zeste z_2_Rel5.gff</c:v>
                </c:pt>
              </c:strCache>
            </c:strRef>
          </c:tx>
          <c:marker>
            <c:symbol val="none"/>
          </c:marker>
          <c:val>
            <c:numRef>
              <c:f>wt_CBP_RawData_vs_top300TF!$C$72:$AX$72</c:f>
              <c:numCache>
                <c:formatCode>General</c:formatCode>
                <c:ptCount val="48"/>
                <c:pt idx="0">
                  <c:v>0.0129041712142893</c:v>
                </c:pt>
                <c:pt idx="1">
                  <c:v>0.0129041815473807</c:v>
                </c:pt>
                <c:pt idx="2">
                  <c:v>0.0129042435462767</c:v>
                </c:pt>
                <c:pt idx="3">
                  <c:v>0.0129043365457377</c:v>
                </c:pt>
                <c:pt idx="4">
                  <c:v>0.0129051012587979</c:v>
                </c:pt>
                <c:pt idx="5">
                  <c:v>0.012908729713709</c:v>
                </c:pt>
                <c:pt idx="6">
                  <c:v>0.0129190680313393</c:v>
                </c:pt>
                <c:pt idx="7">
                  <c:v>0.0129416377048416</c:v>
                </c:pt>
                <c:pt idx="8">
                  <c:v>0.0129925304661351</c:v>
                </c:pt>
                <c:pt idx="9">
                  <c:v>0.0131089017069172</c:v>
                </c:pt>
                <c:pt idx="10">
                  <c:v>0.0133456688253778</c:v>
                </c:pt>
                <c:pt idx="11">
                  <c:v>0.0137422186799983</c:v>
                </c:pt>
                <c:pt idx="12">
                  <c:v>0.0143386389208</c:v>
                </c:pt>
                <c:pt idx="13">
                  <c:v>0.0152892221004114</c:v>
                </c:pt>
                <c:pt idx="14">
                  <c:v>0.0165727410106873</c:v>
                </c:pt>
                <c:pt idx="15">
                  <c:v>0.0186908692421896</c:v>
                </c:pt>
                <c:pt idx="16">
                  <c:v>0.0215922333746852</c:v>
                </c:pt>
                <c:pt idx="17">
                  <c:v>0.0254586857770966</c:v>
                </c:pt>
                <c:pt idx="18">
                  <c:v>0.0298033941018231</c:v>
                </c:pt>
                <c:pt idx="19">
                  <c:v>0.0347662172944209</c:v>
                </c:pt>
                <c:pt idx="20">
                  <c:v>0.0400580946398492</c:v>
                </c:pt>
                <c:pt idx="21">
                  <c:v>0.0453534682210907</c:v>
                </c:pt>
                <c:pt idx="22">
                  <c:v>0.0512706141818137</c:v>
                </c:pt>
                <c:pt idx="23">
                  <c:v>0.0568863196088681</c:v>
                </c:pt>
                <c:pt idx="24">
                  <c:v>0.0632484561210825</c:v>
                </c:pt>
                <c:pt idx="25">
                  <c:v>0.0711504639456607</c:v>
                </c:pt>
                <c:pt idx="26">
                  <c:v>0.0792292538783551</c:v>
                </c:pt>
                <c:pt idx="27">
                  <c:v>0.0891666333905682</c:v>
                </c:pt>
                <c:pt idx="28">
                  <c:v>0.100535983764375</c:v>
                </c:pt>
                <c:pt idx="29">
                  <c:v>0.114083452453883</c:v>
                </c:pt>
                <c:pt idx="30">
                  <c:v>0.126689720213769</c:v>
                </c:pt>
                <c:pt idx="31">
                  <c:v>0.139148556117892</c:v>
                </c:pt>
                <c:pt idx="32">
                  <c:v>0.15127981615025</c:v>
                </c:pt>
                <c:pt idx="33">
                  <c:v>0.163189269746647</c:v>
                </c:pt>
                <c:pt idx="34">
                  <c:v>0.179548156956005</c:v>
                </c:pt>
                <c:pt idx="35">
                  <c:v>0.198760330578512</c:v>
                </c:pt>
                <c:pt idx="36">
                  <c:v>0.204843886781442</c:v>
                </c:pt>
                <c:pt idx="37">
                  <c:v>0.211061407076047</c:v>
                </c:pt>
                <c:pt idx="38">
                  <c:v>0.231292517006803</c:v>
                </c:pt>
                <c:pt idx="39">
                  <c:v>0.251623376623377</c:v>
                </c:pt>
                <c:pt idx="40">
                  <c:v>0.276346604215457</c:v>
                </c:pt>
                <c:pt idx="41">
                  <c:v>0.333898305084746</c:v>
                </c:pt>
                <c:pt idx="42">
                  <c:v>0.352357320099256</c:v>
                </c:pt>
                <c:pt idx="43">
                  <c:v>0.417021276595745</c:v>
                </c:pt>
                <c:pt idx="44">
                  <c:v>0.460992907801418</c:v>
                </c:pt>
                <c:pt idx="45">
                  <c:v>0.439024390243902</c:v>
                </c:pt>
                <c:pt idx="46">
                  <c:v>0.294117647058824</c:v>
                </c:pt>
                <c:pt idx="47">
                  <c:v>0.176470588235294</c:v>
                </c:pt>
              </c:numCache>
            </c:numRef>
          </c:val>
        </c:ser>
        <c:ser>
          <c:idx val="68"/>
          <c:order val="68"/>
          <c:tx>
            <c:strRef>
              <c:f>wt_CBP_RawData_vs_top300TF!$A$73:$B$73</c:f>
              <c:strCache>
                <c:ptCount val="1"/>
                <c:pt idx="0">
                  <c:v>Zfh1 (Zn finger homeodomain 1) Embryo_0_12h_ZFH1_ChIP_chip.region_Top300regions.gff</c:v>
                </c:pt>
              </c:strCache>
            </c:strRef>
          </c:tx>
          <c:marker>
            <c:symbol val="none"/>
          </c:marker>
          <c:val>
            <c:numRef>
              <c:f>wt_CBP_RawData_vs_top300TF!$C$73:$AX$73</c:f>
              <c:numCache>
                <c:formatCode>General</c:formatCode>
                <c:ptCount val="48"/>
                <c:pt idx="0">
                  <c:v>0.00707867660777645</c:v>
                </c:pt>
                <c:pt idx="1">
                  <c:v>0.00707868227606861</c:v>
                </c:pt>
                <c:pt idx="2">
                  <c:v>0.00707871628601217</c:v>
                </c:pt>
                <c:pt idx="3">
                  <c:v>0.00707876730154027</c:v>
                </c:pt>
                <c:pt idx="4">
                  <c:v>0.00707918679042964</c:v>
                </c:pt>
                <c:pt idx="5">
                  <c:v>0.0070803761675131</c:v>
                </c:pt>
                <c:pt idx="6">
                  <c:v>0.00708444332565591</c:v>
                </c:pt>
                <c:pt idx="7">
                  <c:v>0.00709464290591946</c:v>
                </c:pt>
                <c:pt idx="8">
                  <c:v>0.00712545715356483</c:v>
                </c:pt>
                <c:pt idx="9">
                  <c:v>0.00718891059098659</c:v>
                </c:pt>
                <c:pt idx="10">
                  <c:v>0.00729044249410313</c:v>
                </c:pt>
                <c:pt idx="11">
                  <c:v>0.00748007283410403</c:v>
                </c:pt>
                <c:pt idx="12">
                  <c:v>0.00782330838351948</c:v>
                </c:pt>
                <c:pt idx="13">
                  <c:v>0.00833421744409473</c:v>
                </c:pt>
                <c:pt idx="14">
                  <c:v>0.00906268923792014</c:v>
                </c:pt>
                <c:pt idx="15">
                  <c:v>0.0103399028115861</c:v>
                </c:pt>
                <c:pt idx="16">
                  <c:v>0.012195656804882</c:v>
                </c:pt>
                <c:pt idx="17">
                  <c:v>0.0147681652174941</c:v>
                </c:pt>
                <c:pt idx="18">
                  <c:v>0.0179905397161915</c:v>
                </c:pt>
                <c:pt idx="19">
                  <c:v>0.021542530365209</c:v>
                </c:pt>
                <c:pt idx="20">
                  <c:v>0.0257704941645295</c:v>
                </c:pt>
                <c:pt idx="21">
                  <c:v>0.0299174982635158</c:v>
                </c:pt>
                <c:pt idx="22">
                  <c:v>0.0344757090287329</c:v>
                </c:pt>
                <c:pt idx="23">
                  <c:v>0.0393514959564589</c:v>
                </c:pt>
                <c:pt idx="24">
                  <c:v>0.0453192288794474</c:v>
                </c:pt>
                <c:pt idx="25">
                  <c:v>0.0517193280368731</c:v>
                </c:pt>
                <c:pt idx="26">
                  <c:v>0.0584677419354839</c:v>
                </c:pt>
                <c:pt idx="27">
                  <c:v>0.0656670526694086</c:v>
                </c:pt>
                <c:pt idx="28">
                  <c:v>0.0755320809699745</c:v>
                </c:pt>
                <c:pt idx="29">
                  <c:v>0.0832822816690491</c:v>
                </c:pt>
                <c:pt idx="30">
                  <c:v>0.0900435622221224</c:v>
                </c:pt>
                <c:pt idx="31">
                  <c:v>0.0975885680261983</c:v>
                </c:pt>
                <c:pt idx="32">
                  <c:v>0.103732466914969</c:v>
                </c:pt>
                <c:pt idx="33">
                  <c:v>0.112944432616564</c:v>
                </c:pt>
                <c:pt idx="34">
                  <c:v>0.12128418549346</c:v>
                </c:pt>
                <c:pt idx="35">
                  <c:v>0.129338842975207</c:v>
                </c:pt>
                <c:pt idx="36">
                  <c:v>0.138313393638751</c:v>
                </c:pt>
                <c:pt idx="37">
                  <c:v>0.141927612850752</c:v>
                </c:pt>
                <c:pt idx="38">
                  <c:v>0.13718820861678</c:v>
                </c:pt>
                <c:pt idx="39">
                  <c:v>0.133116883116883</c:v>
                </c:pt>
                <c:pt idx="40">
                  <c:v>0.137002341920375</c:v>
                </c:pt>
                <c:pt idx="41">
                  <c:v>0.135593220338983</c:v>
                </c:pt>
                <c:pt idx="42">
                  <c:v>0.158808933002481</c:v>
                </c:pt>
                <c:pt idx="43">
                  <c:v>0.195744680851064</c:v>
                </c:pt>
                <c:pt idx="44">
                  <c:v>0.26241134751773</c:v>
                </c:pt>
                <c:pt idx="45">
                  <c:v>0.182926829268293</c:v>
                </c:pt>
                <c:pt idx="46">
                  <c:v>0.254901960784314</c:v>
                </c:pt>
                <c:pt idx="47">
                  <c:v>0.382352941176471</c:v>
                </c:pt>
              </c:numCache>
            </c:numRef>
          </c:val>
        </c:ser>
        <c:marker val="1"/>
        <c:axId val="465760840"/>
        <c:axId val="70681352"/>
      </c:lineChart>
      <c:catAx>
        <c:axId val="465760840"/>
        <c:scaling>
          <c:orientation val="minMax"/>
        </c:scaling>
        <c:axPos val="b"/>
        <c:tickLblPos val="nextTo"/>
        <c:crossAx val="70681352"/>
        <c:crosses val="autoZero"/>
        <c:auto val="1"/>
        <c:lblAlgn val="ctr"/>
        <c:lblOffset val="100"/>
      </c:catAx>
      <c:valAx>
        <c:axId val="70681352"/>
        <c:scaling>
          <c:orientation val="minMax"/>
        </c:scaling>
        <c:axPos val="l"/>
        <c:majorGridlines/>
        <c:numFmt formatCode="General" sourceLinked="1"/>
        <c:tickLblPos val="nextTo"/>
        <c:crossAx val="465760840"/>
        <c:crosses val="autoZero"/>
        <c:crossBetween val="between"/>
      </c:valAx>
    </c:plotArea>
    <c:legend>
      <c:legendPos val="r"/>
    </c:legend>
    <c:plotVisOnly val="1"/>
  </c:chart>
  <c:printSettings>
    <c:headerFooter/>
    <c:pageMargins b="1.0" l="0.75" r="0.75" t="1.0" header="0.5" footer="0.5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114300</xdr:colOff>
      <xdr:row>23</xdr:row>
      <xdr:rowOff>76200</xdr:rowOff>
    </xdr:from>
    <xdr:to>
      <xdr:col>17</xdr:col>
      <xdr:colOff>685800</xdr:colOff>
      <xdr:row>62</xdr:row>
      <xdr:rowOff>177800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mv="urn:schemas-microsoft-com:mac:vml" mc:Ignorable="mv" mc:PreserveAttributes="mv:*">
  <dimension ref="A1:BA73"/>
  <sheetViews>
    <sheetView tabSelected="1" workbookViewId="0">
      <pane xSplit="2" ySplit="4" topLeftCell="C5" activePane="bottomRight" state="frozen"/>
      <selection pane="topRight" activeCell="C1" sqref="C1"/>
      <selection pane="bottomLeft" activeCell="A4" sqref="A4"/>
      <selection pane="bottomRight"/>
    </sheetView>
  </sheetViews>
  <sheetFormatPr baseColWidth="10" defaultColWidth="8.625" defaultRowHeight="15"/>
  <cols>
    <col min="1" max="1" width="22.75" customWidth="1"/>
    <col min="2" max="2" width="23.25" customWidth="1"/>
  </cols>
  <sheetData>
    <row r="1" spans="1:53">
      <c r="B1" s="3" t="s">
        <v>60</v>
      </c>
      <c r="C1">
        <f>-1.95536309524139+(0*((5.06534582371868--1.95536309524139)/50))</f>
        <v>-1.9553630952413901</v>
      </c>
      <c r="D1">
        <f>-1.95536309524139+(1*((5.06534582371868--1.95536309524139)/50))</f>
        <v>-1.8149489168621886</v>
      </c>
      <c r="E1">
        <f>-1.95536309524139+(2*((5.06534582371868--1.95536309524139)/50))</f>
        <v>-1.6745347384829872</v>
      </c>
      <c r="F1">
        <f>-1.95536309524139+(3*((5.06534582371868--1.95536309524139)/50))</f>
        <v>-1.5341205601037859</v>
      </c>
      <c r="G1">
        <f>-1.95536309524139+(4*((5.06534582371868--1.95536309524139)/50))</f>
        <v>-1.3937063817245845</v>
      </c>
      <c r="H1">
        <f>-1.95536309524139+(5*((5.06534582371868--1.95536309524139)/50))</f>
        <v>-1.253292203345383</v>
      </c>
      <c r="I1">
        <f>-1.95536309524139+(6*((5.06534582371868--1.95536309524139)/50))</f>
        <v>-1.1128780249661818</v>
      </c>
      <c r="J1">
        <f>-1.95536309524139+(7*((5.06534582371868--1.95536309524139)/50))</f>
        <v>-0.97246384658698037</v>
      </c>
      <c r="K1">
        <f>-1.95536309524139+(8*((5.06534582371868--1.95536309524139)/50))</f>
        <v>-0.83204966820777893</v>
      </c>
      <c r="L1">
        <f>-1.95536309524139+(9*((5.06534582371868--1.95536309524139)/50))</f>
        <v>-0.69163548982857748</v>
      </c>
      <c r="M1">
        <f>-1.95536309524139+(10*((5.06534582371868--1.95536309524139)/50))</f>
        <v>-0.55122131144937603</v>
      </c>
      <c r="N1">
        <f>-1.95536309524139+(11*((5.06534582371868--1.95536309524139)/50))</f>
        <v>-0.4108071330701748</v>
      </c>
      <c r="O1">
        <f>-1.95536309524139+(12*((5.06534582371868--1.95536309524139)/50))</f>
        <v>-0.27039295469097335</v>
      </c>
      <c r="P1">
        <f>-1.95536309524139+(13*((5.06534582371868--1.95536309524139)/50))</f>
        <v>-0.1299787763117719</v>
      </c>
      <c r="Q1">
        <f>-1.95536309524139+(14*((5.06534582371868--1.95536309524139)/50))</f>
        <v>1.0435402067429322E-2</v>
      </c>
      <c r="R1">
        <f>-1.95536309524139+(15*((5.06534582371868--1.95536309524139)/50))</f>
        <v>0.15084958044663077</v>
      </c>
      <c r="S1">
        <f>-1.95536309524139+(16*((5.06534582371868--1.95536309524139)/50))</f>
        <v>0.29126375882583222</v>
      </c>
      <c r="T1">
        <f>-1.95536309524139+(17*((5.06534582371868--1.95536309524139)/50))</f>
        <v>0.43167793720503367</v>
      </c>
      <c r="U1">
        <f>-1.95536309524139+(18*((5.06534582371868--1.95536309524139)/50))</f>
        <v>0.57209211558423512</v>
      </c>
      <c r="V1">
        <f>-1.95536309524139+(19*((5.06534582371868--1.95536309524139)/50))</f>
        <v>0.71250629396343657</v>
      </c>
      <c r="W1">
        <f>-1.95536309524139+(20*((5.06534582371868--1.95536309524139)/50))</f>
        <v>0.85292047234263801</v>
      </c>
      <c r="X1">
        <f>-1.95536309524139+(21*((5.06534582371868--1.95536309524139)/50))</f>
        <v>0.99333465072183902</v>
      </c>
      <c r="Y1">
        <f>-1.95536309524139+(22*((5.06534582371868--1.95536309524139)/50))</f>
        <v>1.1337488291010405</v>
      </c>
      <c r="Z1">
        <f>-1.95536309524139+(23*((5.06534582371868--1.95536309524139)/50))</f>
        <v>1.2741630074802419</v>
      </c>
      <c r="AA1">
        <f>-1.95536309524139+(24*((5.06534582371868--1.95536309524139)/50))</f>
        <v>1.4145771858594434</v>
      </c>
      <c r="AB1">
        <f>-1.95536309524139+(25*((5.06534582371868--1.95536309524139)/50))</f>
        <v>1.5549913642386448</v>
      </c>
      <c r="AC1">
        <f>-1.95536309524139+(26*((5.06534582371868--1.95536309524139)/50))</f>
        <v>1.6954055426178463</v>
      </c>
      <c r="AD1">
        <f>-1.95536309524139+(27*((5.06534582371868--1.95536309524139)/50))</f>
        <v>1.8358197209970477</v>
      </c>
      <c r="AE1">
        <f>-1.95536309524139+(28*((5.06534582371868--1.95536309524139)/50))</f>
        <v>1.9762338993762487</v>
      </c>
      <c r="AF1">
        <f>-1.95536309524139+(29*((5.06534582371868--1.95536309524139)/50))</f>
        <v>2.1166480777554506</v>
      </c>
      <c r="AG1">
        <f>-1.95536309524139+(30*((5.06534582371868--1.95536309524139)/50))</f>
        <v>2.2570622561346516</v>
      </c>
      <c r="AH1">
        <f>-1.95536309524139+(31*((5.06534582371868--1.95536309524139)/50))</f>
        <v>2.3974764345138535</v>
      </c>
      <c r="AI1">
        <f>-1.95536309524139+(32*((5.06534582371868--1.95536309524139)/50))</f>
        <v>2.5378906128930545</v>
      </c>
      <c r="AJ1">
        <f>-1.95536309524139+(33*((5.06534582371868--1.95536309524139)/50))</f>
        <v>2.6783047912722555</v>
      </c>
      <c r="AK1">
        <f>-1.95536309524139+(34*((5.06534582371868--1.95536309524139)/50))</f>
        <v>2.8187189696514574</v>
      </c>
      <c r="AL1">
        <f>-1.95536309524139+(35*((5.06534582371868--1.95536309524139)/50))</f>
        <v>2.9591331480306584</v>
      </c>
      <c r="AM1">
        <f>-1.95536309524139+(36*((5.06534582371868--1.95536309524139)/50))</f>
        <v>3.0995473264098603</v>
      </c>
      <c r="AN1">
        <f>-1.95536309524139+(37*((5.06534582371868--1.95536309524139)/50))</f>
        <v>3.2399615047890613</v>
      </c>
      <c r="AO1">
        <f>-1.95536309524139+(38*((5.06534582371868--1.95536309524139)/50))</f>
        <v>3.3803756831682632</v>
      </c>
      <c r="AP1">
        <f>-1.95536309524139+(39*((5.06534582371868--1.95536309524139)/50))</f>
        <v>3.5207898615474642</v>
      </c>
      <c r="AQ1">
        <f>-1.95536309524139+(40*((5.06534582371868--1.95536309524139)/50))</f>
        <v>3.6612040399266661</v>
      </c>
      <c r="AR1">
        <f>-1.95536309524139+(41*((5.06534582371868--1.95536309524139)/50))</f>
        <v>3.8016182183058671</v>
      </c>
      <c r="AS1">
        <f>-1.95536309524139+(42*((5.06534582371868--1.95536309524139)/50))</f>
        <v>3.9420323966850681</v>
      </c>
      <c r="AT1">
        <f>-1.95536309524139+(43*((5.06534582371868--1.95536309524139)/50))</f>
        <v>4.08244657506427</v>
      </c>
      <c r="AU1">
        <f>-1.95536309524139+(44*((5.06534582371868--1.95536309524139)/50))</f>
        <v>4.222860753443471</v>
      </c>
      <c r="AV1">
        <f>-1.95536309524139+(45*((5.06534582371868--1.95536309524139)/50))</f>
        <v>4.3632749318226729</v>
      </c>
      <c r="AW1">
        <f>-1.95536309524139+(46*((5.06534582371868--1.95536309524139)/50))</f>
        <v>4.5036891102018739</v>
      </c>
      <c r="AX1">
        <f>-1.95536309524139+(47*((5.06534582371868--1.95536309524139)/50))</f>
        <v>4.6441032885810758</v>
      </c>
      <c r="AY1">
        <f>-1.95536309524139+(48*((5.06534582371868--1.95536309524139)/50))</f>
        <v>4.7845174669602768</v>
      </c>
      <c r="AZ1">
        <f>-1.95536309524139+(49*((5.06534582371868--1.95536309524139)/50))</f>
        <v>4.9249316453394778</v>
      </c>
    </row>
    <row r="2" spans="1:53">
      <c r="B2" s="4" t="s">
        <v>61</v>
      </c>
      <c r="C2">
        <v>1248821</v>
      </c>
      <c r="D2">
        <v>1248820</v>
      </c>
      <c r="E2">
        <v>1248814</v>
      </c>
      <c r="F2">
        <v>1248805</v>
      </c>
      <c r="G2">
        <v>1248731</v>
      </c>
      <c r="H2">
        <v>1248380</v>
      </c>
      <c r="I2">
        <v>1247381</v>
      </c>
      <c r="J2">
        <v>1244742</v>
      </c>
      <c r="K2">
        <v>1238096</v>
      </c>
      <c r="L2">
        <v>1224664</v>
      </c>
      <c r="M2">
        <v>1199790</v>
      </c>
      <c r="N2">
        <v>1159347</v>
      </c>
      <c r="O2">
        <v>1099407</v>
      </c>
      <c r="P2">
        <v>1017972</v>
      </c>
      <c r="Q2">
        <v>916505</v>
      </c>
      <c r="R2">
        <v>779311</v>
      </c>
      <c r="S2">
        <v>638424</v>
      </c>
      <c r="T2">
        <v>507646</v>
      </c>
      <c r="U2">
        <v>399988</v>
      </c>
      <c r="V2">
        <v>314587</v>
      </c>
      <c r="W2">
        <v>249937</v>
      </c>
      <c r="X2">
        <v>200117</v>
      </c>
      <c r="Y2">
        <v>161418</v>
      </c>
      <c r="Z2">
        <v>130084</v>
      </c>
      <c r="AA2">
        <v>103797</v>
      </c>
      <c r="AB2">
        <v>82445</v>
      </c>
      <c r="AC2">
        <v>64976</v>
      </c>
      <c r="AD2">
        <v>50086</v>
      </c>
      <c r="AE2">
        <v>38434</v>
      </c>
      <c r="AF2">
        <v>29382</v>
      </c>
      <c r="AG2">
        <v>22267</v>
      </c>
      <c r="AH2">
        <v>16795</v>
      </c>
      <c r="AI2">
        <v>12619</v>
      </c>
      <c r="AJ2">
        <v>9394</v>
      </c>
      <c r="AK2">
        <v>6728</v>
      </c>
      <c r="AL2">
        <v>4840</v>
      </c>
      <c r="AM2">
        <v>3427</v>
      </c>
      <c r="AN2">
        <v>2459</v>
      </c>
      <c r="AO2">
        <v>1764</v>
      </c>
      <c r="AP2">
        <v>1232</v>
      </c>
      <c r="AQ2">
        <v>854</v>
      </c>
      <c r="AR2">
        <v>590</v>
      </c>
      <c r="AS2">
        <v>403</v>
      </c>
      <c r="AT2">
        <v>235</v>
      </c>
      <c r="AU2">
        <v>141</v>
      </c>
      <c r="AV2">
        <v>82</v>
      </c>
      <c r="AW2">
        <v>51</v>
      </c>
      <c r="AX2">
        <v>34</v>
      </c>
      <c r="AY2">
        <v>20</v>
      </c>
      <c r="AZ2">
        <v>12</v>
      </c>
    </row>
    <row r="3" spans="1:53">
      <c r="B3" s="4"/>
    </row>
    <row r="4" spans="1:53">
      <c r="A4" s="2" t="s">
        <v>13</v>
      </c>
      <c r="B4" s="4"/>
      <c r="C4" s="5" t="s">
        <v>57</v>
      </c>
      <c r="D4" s="5" t="s">
        <v>57</v>
      </c>
      <c r="E4" s="5" t="s">
        <v>57</v>
      </c>
      <c r="F4" s="5" t="s">
        <v>57</v>
      </c>
      <c r="G4" s="5" t="s">
        <v>57</v>
      </c>
      <c r="H4" s="5" t="s">
        <v>57</v>
      </c>
      <c r="I4" s="5" t="s">
        <v>57</v>
      </c>
      <c r="J4" s="5" t="s">
        <v>57</v>
      </c>
      <c r="K4" s="5" t="s">
        <v>57</v>
      </c>
      <c r="L4" s="5" t="s">
        <v>57</v>
      </c>
      <c r="M4" s="5" t="s">
        <v>57</v>
      </c>
      <c r="N4" s="5" t="s">
        <v>57</v>
      </c>
      <c r="O4" s="5" t="s">
        <v>57</v>
      </c>
      <c r="P4" s="5" t="s">
        <v>57</v>
      </c>
      <c r="Q4" s="5" t="s">
        <v>57</v>
      </c>
      <c r="R4" s="5" t="s">
        <v>57</v>
      </c>
      <c r="S4" s="5" t="s">
        <v>57</v>
      </c>
      <c r="T4" s="5" t="s">
        <v>57</v>
      </c>
      <c r="U4" s="5" t="s">
        <v>57</v>
      </c>
      <c r="V4" s="5" t="s">
        <v>57</v>
      </c>
      <c r="W4" s="5" t="s">
        <v>57</v>
      </c>
      <c r="X4" s="5" t="s">
        <v>57</v>
      </c>
      <c r="Y4" s="5" t="s">
        <v>57</v>
      </c>
      <c r="Z4" s="5" t="s">
        <v>57</v>
      </c>
      <c r="AA4" s="5" t="s">
        <v>57</v>
      </c>
      <c r="AB4" s="5" t="s">
        <v>57</v>
      </c>
      <c r="AC4" s="5" t="s">
        <v>57</v>
      </c>
      <c r="AD4" s="5" t="s">
        <v>57</v>
      </c>
      <c r="AE4" s="5" t="s">
        <v>57</v>
      </c>
      <c r="AF4" s="5" t="s">
        <v>57</v>
      </c>
      <c r="AG4" s="5" t="s">
        <v>57</v>
      </c>
      <c r="AH4" s="5" t="s">
        <v>57</v>
      </c>
      <c r="AI4" s="5" t="s">
        <v>57</v>
      </c>
      <c r="AJ4" s="5" t="s">
        <v>57</v>
      </c>
      <c r="AK4" s="5" t="s">
        <v>57</v>
      </c>
      <c r="AL4" s="5" t="s">
        <v>57</v>
      </c>
      <c r="AM4" s="5" t="s">
        <v>57</v>
      </c>
      <c r="AN4" s="5" t="s">
        <v>57</v>
      </c>
      <c r="AO4" s="5" t="s">
        <v>57</v>
      </c>
      <c r="AP4" s="5" t="s">
        <v>57</v>
      </c>
      <c r="AQ4" s="5" t="s">
        <v>57</v>
      </c>
      <c r="AR4" s="5" t="s">
        <v>57</v>
      </c>
      <c r="AS4" s="5" t="s">
        <v>57</v>
      </c>
      <c r="AT4" s="5" t="s">
        <v>57</v>
      </c>
      <c r="AU4" s="5" t="s">
        <v>57</v>
      </c>
      <c r="AV4" s="5" t="s">
        <v>57</v>
      </c>
      <c r="AW4" s="5" t="s">
        <v>57</v>
      </c>
      <c r="AX4" s="5" t="s">
        <v>57</v>
      </c>
      <c r="AY4" s="5" t="s">
        <v>57</v>
      </c>
      <c r="AZ4" s="5" t="s">
        <v>57</v>
      </c>
      <c r="BA4" t="s">
        <v>130</v>
      </c>
    </row>
    <row r="5" spans="1:53">
      <c r="A5" t="s">
        <v>14</v>
      </c>
      <c r="B5" t="s">
        <v>131</v>
      </c>
      <c r="C5">
        <v>1.6152034599033801E-2</v>
      </c>
      <c r="D5">
        <v>1.6152047532871E-2</v>
      </c>
      <c r="E5">
        <v>1.6152125136329399E-2</v>
      </c>
      <c r="F5">
        <v>1.6152241542914999E-2</v>
      </c>
      <c r="G5">
        <v>1.6153198727347998E-2</v>
      </c>
      <c r="H5">
        <v>1.6157740431599399E-2</v>
      </c>
      <c r="I5">
        <v>1.6170680810434001E-2</v>
      </c>
      <c r="J5">
        <v>1.62033578042679E-2</v>
      </c>
      <c r="K5">
        <v>1.6284682286349401E-2</v>
      </c>
      <c r="L5">
        <v>1.6457575302287E-2</v>
      </c>
      <c r="M5">
        <v>1.6784603972361801E-2</v>
      </c>
      <c r="N5">
        <v>1.7333033164358899E-2</v>
      </c>
      <c r="O5">
        <v>1.8202540096615701E-2</v>
      </c>
      <c r="P5">
        <v>1.9540812517436602E-2</v>
      </c>
      <c r="Q5">
        <v>2.1444509304368201E-2</v>
      </c>
      <c r="R5">
        <v>2.4628165135613399E-2</v>
      </c>
      <c r="S5">
        <v>2.9055925215843999E-2</v>
      </c>
      <c r="T5">
        <v>3.4646190455553699E-2</v>
      </c>
      <c r="U5">
        <v>4.1406242187265602E-2</v>
      </c>
      <c r="V5">
        <v>4.8755988009676197E-2</v>
      </c>
      <c r="W5">
        <v>5.57260429628266E-2</v>
      </c>
      <c r="X5">
        <v>6.2448467646426802E-2</v>
      </c>
      <c r="Y5">
        <v>6.8716004410908305E-2</v>
      </c>
      <c r="Z5">
        <v>7.4129024322745304E-2</v>
      </c>
      <c r="AA5">
        <v>8.0580363594323495E-2</v>
      </c>
      <c r="AB5">
        <v>8.6578931408818005E-2</v>
      </c>
      <c r="AC5">
        <v>9.0418000492489506E-2</v>
      </c>
      <c r="AD5">
        <v>9.6394201972607105E-2</v>
      </c>
      <c r="AE5">
        <v>0.101810896601967</v>
      </c>
      <c r="AF5">
        <v>0.10611939282553901</v>
      </c>
      <c r="AG5">
        <v>0.109713926438227</v>
      </c>
      <c r="AH5">
        <v>0.115986900863352</v>
      </c>
      <c r="AI5">
        <v>0.116649496790554</v>
      </c>
      <c r="AJ5">
        <v>0.122844368746008</v>
      </c>
      <c r="AK5">
        <v>0.126337693222354</v>
      </c>
      <c r="AL5">
        <v>0.12541322314049599</v>
      </c>
      <c r="AM5">
        <v>0.129559381383134</v>
      </c>
      <c r="AN5">
        <v>0.12525416836112199</v>
      </c>
      <c r="AO5">
        <v>0.11734693877551</v>
      </c>
      <c r="AP5">
        <v>0.131493506493507</v>
      </c>
      <c r="AQ5">
        <v>0.13348946135831399</v>
      </c>
      <c r="AR5">
        <v>0.14237288135593201</v>
      </c>
      <c r="AS5">
        <v>0.16873449131513599</v>
      </c>
      <c r="AT5">
        <v>0.17446808510638301</v>
      </c>
      <c r="AU5">
        <v>0.184397163120567</v>
      </c>
      <c r="AV5">
        <v>0.23170731707317099</v>
      </c>
      <c r="AW5">
        <v>0.11764705882352899</v>
      </c>
      <c r="AX5">
        <v>0.17647058823529399</v>
      </c>
      <c r="AY5">
        <v>0.3</v>
      </c>
      <c r="AZ5">
        <v>0.5</v>
      </c>
      <c r="BA5">
        <v>902051</v>
      </c>
    </row>
    <row r="6" spans="1:53">
      <c r="A6" t="s">
        <v>14</v>
      </c>
      <c r="B6" t="s">
        <v>132</v>
      </c>
      <c r="C6">
        <v>1.85807253401408E-2</v>
      </c>
      <c r="D6">
        <v>1.85807402187665E-2</v>
      </c>
      <c r="E6">
        <v>1.8580829491021099E-2</v>
      </c>
      <c r="F6">
        <v>1.85809634010114E-2</v>
      </c>
      <c r="G6">
        <v>1.8582064511892499E-2</v>
      </c>
      <c r="H6">
        <v>1.8587289126708199E-2</v>
      </c>
      <c r="I6">
        <v>1.86021752776417E-2</v>
      </c>
      <c r="J6">
        <v>1.8640007326819499E-2</v>
      </c>
      <c r="K6">
        <v>1.8737642315296999E-2</v>
      </c>
      <c r="L6">
        <v>1.8939072267985298E-2</v>
      </c>
      <c r="M6">
        <v>1.93117128830879E-2</v>
      </c>
      <c r="N6">
        <v>1.9940535491099701E-2</v>
      </c>
      <c r="O6">
        <v>2.0938560514895802E-2</v>
      </c>
      <c r="P6">
        <v>2.2458378030044E-2</v>
      </c>
      <c r="Q6">
        <v>2.46337990518328E-2</v>
      </c>
      <c r="R6">
        <v>2.8299356739478799E-2</v>
      </c>
      <c r="S6">
        <v>3.3476185105823099E-2</v>
      </c>
      <c r="T6">
        <v>4.0096839135933302E-2</v>
      </c>
      <c r="U6">
        <v>4.8018940568216997E-2</v>
      </c>
      <c r="V6">
        <v>5.6289675034251301E-2</v>
      </c>
      <c r="W6">
        <v>6.3996127024010002E-2</v>
      </c>
      <c r="X6">
        <v>7.1718044943707898E-2</v>
      </c>
      <c r="Y6">
        <v>7.8745864773445307E-2</v>
      </c>
      <c r="Z6">
        <v>8.4898988345991799E-2</v>
      </c>
      <c r="AA6">
        <v>9.1967975953062206E-2</v>
      </c>
      <c r="AB6">
        <v>9.96543149978774E-2</v>
      </c>
      <c r="AC6">
        <v>0.105023393252893</v>
      </c>
      <c r="AD6">
        <v>0.110669648205087</v>
      </c>
      <c r="AE6">
        <v>0.11726596242909899</v>
      </c>
      <c r="AF6">
        <v>0.122149615410796</v>
      </c>
      <c r="AG6">
        <v>0.12615080612565699</v>
      </c>
      <c r="AH6">
        <v>0.132360821673117</v>
      </c>
      <c r="AI6">
        <v>0.134638243917902</v>
      </c>
      <c r="AJ6">
        <v>0.14413455397062</v>
      </c>
      <c r="AK6">
        <v>0.15383472057074901</v>
      </c>
      <c r="AL6">
        <v>0.15971074380165301</v>
      </c>
      <c r="AM6">
        <v>0.16807703530784901</v>
      </c>
      <c r="AN6">
        <v>0.16876779178527901</v>
      </c>
      <c r="AO6">
        <v>0.170634920634921</v>
      </c>
      <c r="AP6">
        <v>0.19805194805194801</v>
      </c>
      <c r="AQ6">
        <v>0.22131147540983601</v>
      </c>
      <c r="AR6">
        <v>0.21694915254237301</v>
      </c>
      <c r="AS6">
        <v>0.22828784119106699</v>
      </c>
      <c r="AT6">
        <v>0.21276595744680901</v>
      </c>
      <c r="AU6">
        <v>0.15602836879432599</v>
      </c>
      <c r="AV6">
        <v>0.25609756097560998</v>
      </c>
      <c r="AW6">
        <v>0.27450980392156898</v>
      </c>
      <c r="AX6">
        <v>0.41176470588235298</v>
      </c>
      <c r="AY6">
        <v>0.55000000000000004</v>
      </c>
      <c r="AZ6">
        <v>0.91666666666666696</v>
      </c>
      <c r="BA6">
        <v>1021670</v>
      </c>
    </row>
    <row r="7" spans="1:53">
      <c r="A7" t="s">
        <v>100</v>
      </c>
      <c r="B7" t="s">
        <v>137</v>
      </c>
      <c r="C7">
        <v>2.3724777209864299E-2</v>
      </c>
      <c r="D7">
        <v>2.372479620762E-2</v>
      </c>
      <c r="E7">
        <v>2.3724910194792798E-2</v>
      </c>
      <c r="F7">
        <v>2.37250811776058E-2</v>
      </c>
      <c r="G7">
        <v>2.3726487129734099E-2</v>
      </c>
      <c r="H7">
        <v>2.3733158172992201E-2</v>
      </c>
      <c r="I7">
        <v>2.3743347060761699E-2</v>
      </c>
      <c r="J7">
        <v>2.3783241828427101E-2</v>
      </c>
      <c r="K7">
        <v>2.3884254532766401E-2</v>
      </c>
      <c r="L7">
        <v>2.4090689364593101E-2</v>
      </c>
      <c r="M7">
        <v>2.4445944706990401E-2</v>
      </c>
      <c r="N7">
        <v>2.5125350736233398E-2</v>
      </c>
      <c r="O7">
        <v>2.6167743156083199E-2</v>
      </c>
      <c r="P7">
        <v>2.7656949307053601E-2</v>
      </c>
      <c r="Q7">
        <v>2.9696510111783401E-2</v>
      </c>
      <c r="R7">
        <v>3.32370517033636E-2</v>
      </c>
      <c r="S7">
        <v>3.8378882999386001E-2</v>
      </c>
      <c r="T7">
        <v>4.5210638909791503E-2</v>
      </c>
      <c r="U7">
        <v>5.3299098972969201E-2</v>
      </c>
      <c r="V7">
        <v>6.2237155381500202E-2</v>
      </c>
      <c r="W7">
        <v>7.2122174788046597E-2</v>
      </c>
      <c r="X7">
        <v>8.1677218826986198E-2</v>
      </c>
      <c r="Y7">
        <v>9.0442205949770205E-2</v>
      </c>
      <c r="Z7">
        <v>9.9966175701854204E-2</v>
      </c>
      <c r="AA7">
        <v>0.108577319190343</v>
      </c>
      <c r="AB7">
        <v>0.116999211595609</v>
      </c>
      <c r="AC7">
        <v>0.12695456784043299</v>
      </c>
      <c r="AD7">
        <v>0.13596613824222301</v>
      </c>
      <c r="AE7">
        <v>0.14801998230733199</v>
      </c>
      <c r="AF7">
        <v>0.157953849295487</v>
      </c>
      <c r="AG7">
        <v>0.16701845780751801</v>
      </c>
      <c r="AH7">
        <v>0.17755284310806799</v>
      </c>
      <c r="AI7">
        <v>0.188604485299945</v>
      </c>
      <c r="AJ7">
        <v>0.193101979987226</v>
      </c>
      <c r="AK7">
        <v>0.198573127229489</v>
      </c>
      <c r="AL7">
        <v>0.2</v>
      </c>
      <c r="AM7">
        <v>0.21009629413481201</v>
      </c>
      <c r="AN7">
        <v>0.22163481089873899</v>
      </c>
      <c r="AO7">
        <v>0.222789115646259</v>
      </c>
      <c r="AP7">
        <v>0.246753246753247</v>
      </c>
      <c r="AQ7">
        <v>0.27751756440281</v>
      </c>
      <c r="AR7">
        <v>0.32542372881355902</v>
      </c>
      <c r="AS7">
        <v>0.34243176178660101</v>
      </c>
      <c r="AT7">
        <v>0.319148936170213</v>
      </c>
      <c r="AU7">
        <v>0.340425531914894</v>
      </c>
      <c r="AV7">
        <v>0.439024390243902</v>
      </c>
      <c r="AW7">
        <v>0.56862745098039202</v>
      </c>
      <c r="AX7">
        <v>0.64705882352941202</v>
      </c>
      <c r="AY7">
        <v>0.7</v>
      </c>
      <c r="AZ7">
        <v>0.5</v>
      </c>
      <c r="BA7">
        <v>1486798</v>
      </c>
    </row>
    <row r="8" spans="1:53">
      <c r="A8" t="s">
        <v>101</v>
      </c>
      <c r="B8" t="s">
        <v>138</v>
      </c>
      <c r="C8">
        <v>1.17166511453603E-2</v>
      </c>
      <c r="D8">
        <v>1.1716660527538E-2</v>
      </c>
      <c r="E8">
        <v>1.1716716820919701E-2</v>
      </c>
      <c r="F8">
        <v>1.17168012620065E-2</v>
      </c>
      <c r="G8">
        <v>1.17174956015347E-2</v>
      </c>
      <c r="H8">
        <v>1.17207901440267E-2</v>
      </c>
      <c r="I8">
        <v>1.17301770669908E-2</v>
      </c>
      <c r="J8">
        <v>1.1755046427291801E-2</v>
      </c>
      <c r="K8">
        <v>1.18173388816376E-2</v>
      </c>
      <c r="L8">
        <v>1.19322524382198E-2</v>
      </c>
      <c r="M8">
        <v>1.2135457038314999E-2</v>
      </c>
      <c r="N8">
        <v>1.24872018472468E-2</v>
      </c>
      <c r="O8">
        <v>1.2950617924026299E-2</v>
      </c>
      <c r="P8">
        <v>1.36545995371189E-2</v>
      </c>
      <c r="Q8">
        <v>1.4624033693215001E-2</v>
      </c>
      <c r="R8">
        <v>1.6247685455485699E-2</v>
      </c>
      <c r="S8">
        <v>1.8288786135859599E-2</v>
      </c>
      <c r="T8">
        <v>2.1026463322866701E-2</v>
      </c>
      <c r="U8">
        <v>2.4345730371911199E-2</v>
      </c>
      <c r="V8">
        <v>2.8081262099196699E-2</v>
      </c>
      <c r="W8">
        <v>3.1928045867558603E-2</v>
      </c>
      <c r="X8">
        <v>3.5064487274944198E-2</v>
      </c>
      <c r="Y8">
        <v>3.8056474494789903E-2</v>
      </c>
      <c r="Z8">
        <v>4.0566095753513103E-2</v>
      </c>
      <c r="AA8">
        <v>4.2563850592984398E-2</v>
      </c>
      <c r="AB8">
        <v>4.4284068166656601E-2</v>
      </c>
      <c r="AC8">
        <v>4.6524870721497198E-2</v>
      </c>
      <c r="AD8">
        <v>4.9375074871221503E-2</v>
      </c>
      <c r="AE8">
        <v>5.2219389082583098E-2</v>
      </c>
      <c r="AF8">
        <v>5.4489143012728898E-2</v>
      </c>
      <c r="AG8">
        <v>5.7843445457403303E-2</v>
      </c>
      <c r="AH8">
        <v>6.0136945519499899E-2</v>
      </c>
      <c r="AI8">
        <v>6.2920992154687397E-2</v>
      </c>
      <c r="AJ8">
        <v>6.5147966787311107E-2</v>
      </c>
      <c r="AK8">
        <v>6.1682520808561202E-2</v>
      </c>
      <c r="AL8">
        <v>5.3719008264462798E-2</v>
      </c>
      <c r="AM8">
        <v>4.4353662095126901E-2</v>
      </c>
      <c r="AN8">
        <v>3.7006913379422503E-2</v>
      </c>
      <c r="AO8">
        <v>3.4013605442176902E-2</v>
      </c>
      <c r="AP8">
        <v>4.1396103896103903E-2</v>
      </c>
      <c r="AQ8">
        <v>4.4496487119437898E-2</v>
      </c>
      <c r="AR8">
        <v>4.7457627118644097E-2</v>
      </c>
      <c r="AS8">
        <v>5.7071960297766698E-2</v>
      </c>
      <c r="AT8">
        <v>5.95744680851064E-2</v>
      </c>
      <c r="AU8">
        <v>5.6737588652482303E-2</v>
      </c>
      <c r="AV8">
        <v>8.5365853658536606E-2</v>
      </c>
      <c r="AW8">
        <v>0.11764705882352899</v>
      </c>
      <c r="AX8">
        <v>0.17647058823529399</v>
      </c>
      <c r="AY8">
        <v>0.3</v>
      </c>
      <c r="AZ8">
        <v>0.5</v>
      </c>
      <c r="BA8">
        <v>724334</v>
      </c>
    </row>
    <row r="9" spans="1:53">
      <c r="A9" t="s">
        <v>15</v>
      </c>
      <c r="B9" t="s">
        <v>133</v>
      </c>
      <c r="C9">
        <v>5.0248194096672E-2</v>
      </c>
      <c r="D9">
        <v>5.0248234333210601E-2</v>
      </c>
      <c r="E9">
        <v>5.0248475753795201E-2</v>
      </c>
      <c r="F9">
        <v>5.0248837889021902E-2</v>
      </c>
      <c r="G9">
        <v>5.0251815643241E-2</v>
      </c>
      <c r="H9">
        <v>5.0265944664284898E-2</v>
      </c>
      <c r="I9">
        <v>5.03045981941364E-2</v>
      </c>
      <c r="J9">
        <v>5.0409643122831901E-2</v>
      </c>
      <c r="K9">
        <v>5.0674584200255897E-2</v>
      </c>
      <c r="L9">
        <v>5.1215680382537598E-2</v>
      </c>
      <c r="M9">
        <v>5.2223305745172102E-2</v>
      </c>
      <c r="N9">
        <v>5.3914833091386803E-2</v>
      </c>
      <c r="O9">
        <v>5.66823751349591E-2</v>
      </c>
      <c r="P9">
        <v>6.0856290742770901E-2</v>
      </c>
      <c r="Q9">
        <v>6.67492266817966E-2</v>
      </c>
      <c r="R9">
        <v>7.6955156542124994E-2</v>
      </c>
      <c r="S9">
        <v>9.12497023921406E-2</v>
      </c>
      <c r="T9">
        <v>0.109917146988256</v>
      </c>
      <c r="U9">
        <v>0.13202646079382399</v>
      </c>
      <c r="V9">
        <v>0.156792874467159</v>
      </c>
      <c r="W9">
        <v>0.18087358014219601</v>
      </c>
      <c r="X9">
        <v>0.204700250353543</v>
      </c>
      <c r="Y9">
        <v>0.227607825645219</v>
      </c>
      <c r="Z9">
        <v>0.247655361151256</v>
      </c>
      <c r="AA9">
        <v>0.26980548570767898</v>
      </c>
      <c r="AB9">
        <v>0.288822851598035</v>
      </c>
      <c r="AC9">
        <v>0.30502031519330203</v>
      </c>
      <c r="AD9">
        <v>0.32366329912550401</v>
      </c>
      <c r="AE9">
        <v>0.33891866576468799</v>
      </c>
      <c r="AF9">
        <v>0.35143965693281598</v>
      </c>
      <c r="AG9">
        <v>0.36417119504199003</v>
      </c>
      <c r="AH9">
        <v>0.37427805894611499</v>
      </c>
      <c r="AI9">
        <v>0.38957128140106201</v>
      </c>
      <c r="AJ9">
        <v>0.39727485629124998</v>
      </c>
      <c r="AK9">
        <v>0.41171224732461398</v>
      </c>
      <c r="AL9">
        <v>0.40971074380165301</v>
      </c>
      <c r="AM9">
        <v>0.40355996498395103</v>
      </c>
      <c r="AN9">
        <v>0.39894265961773101</v>
      </c>
      <c r="AO9">
        <v>0.38378684807256203</v>
      </c>
      <c r="AP9">
        <v>0.38961038961039002</v>
      </c>
      <c r="AQ9">
        <v>0.36651053864168598</v>
      </c>
      <c r="AR9">
        <v>0.34745762711864397</v>
      </c>
      <c r="AS9">
        <v>0.29776674937965297</v>
      </c>
      <c r="AT9">
        <v>0.33191489361702098</v>
      </c>
      <c r="AU9">
        <v>0.22695035460992899</v>
      </c>
      <c r="AV9">
        <v>0.19512195121951201</v>
      </c>
      <c r="AW9">
        <v>0.17647058823529399</v>
      </c>
      <c r="AX9">
        <v>0.17647058823529399</v>
      </c>
      <c r="AY9">
        <v>0.3</v>
      </c>
      <c r="AZ9">
        <v>0.5</v>
      </c>
      <c r="BA9">
        <v>2573977</v>
      </c>
    </row>
    <row r="10" spans="1:53">
      <c r="A10" t="s">
        <v>15</v>
      </c>
      <c r="B10" t="s">
        <v>21</v>
      </c>
      <c r="C10">
        <v>4.0536634153333397E-2</v>
      </c>
      <c r="D10">
        <v>4.0536666613282903E-2</v>
      </c>
      <c r="E10">
        <v>4.0536861374071698E-2</v>
      </c>
      <c r="F10">
        <v>4.0537153518763899E-2</v>
      </c>
      <c r="G10">
        <v>4.0539555757004499E-2</v>
      </c>
      <c r="H10">
        <v>4.0550954036431199E-2</v>
      </c>
      <c r="I10">
        <v>4.0581827044022599E-2</v>
      </c>
      <c r="J10">
        <v>4.0667865308634199E-2</v>
      </c>
      <c r="K10">
        <v>4.0883744071542098E-2</v>
      </c>
      <c r="L10">
        <v>4.13150055852054E-2</v>
      </c>
      <c r="M10">
        <v>4.2118204019036702E-2</v>
      </c>
      <c r="N10">
        <v>4.3524501292538001E-2</v>
      </c>
      <c r="O10">
        <v>4.5762852155753098E-2</v>
      </c>
      <c r="P10">
        <v>4.9075023674521497E-2</v>
      </c>
      <c r="Q10">
        <v>5.3864408813918102E-2</v>
      </c>
      <c r="R10">
        <v>6.1952160305705897E-2</v>
      </c>
      <c r="S10">
        <v>7.3199002543764005E-2</v>
      </c>
      <c r="T10">
        <v>8.7547227792595606E-2</v>
      </c>
      <c r="U10">
        <v>0.104215626468794</v>
      </c>
      <c r="V10">
        <v>0.12216334432128501</v>
      </c>
      <c r="W10">
        <v>0.13924308925849299</v>
      </c>
      <c r="X10">
        <v>0.155039302008325</v>
      </c>
      <c r="Y10">
        <v>0.169163290339367</v>
      </c>
      <c r="Z10">
        <v>0.180498754650841</v>
      </c>
      <c r="AA10">
        <v>0.19067988477508999</v>
      </c>
      <c r="AB10">
        <v>0.198520225604949</v>
      </c>
      <c r="AC10">
        <v>0.20384449642945099</v>
      </c>
      <c r="AD10">
        <v>0.21167591742203401</v>
      </c>
      <c r="AE10">
        <v>0.217281573606702</v>
      </c>
      <c r="AF10">
        <v>0.22108774079368301</v>
      </c>
      <c r="AG10">
        <v>0.22468226523554999</v>
      </c>
      <c r="AH10">
        <v>0.22923489133670699</v>
      </c>
      <c r="AI10">
        <v>0.227989539583168</v>
      </c>
      <c r="AJ10">
        <v>0.23004045135192699</v>
      </c>
      <c r="AK10">
        <v>0.23290725326991699</v>
      </c>
      <c r="AL10">
        <v>0.232231404958678</v>
      </c>
      <c r="AM10">
        <v>0.21914210679894999</v>
      </c>
      <c r="AN10">
        <v>0.22895485969906501</v>
      </c>
      <c r="AO10">
        <v>0.24149659863945599</v>
      </c>
      <c r="AP10">
        <v>0.256493506493507</v>
      </c>
      <c r="AQ10">
        <v>0.26463700234192</v>
      </c>
      <c r="AR10">
        <v>0.25423728813559299</v>
      </c>
      <c r="AS10">
        <v>0.26054590570719599</v>
      </c>
      <c r="AT10">
        <v>0.242553191489362</v>
      </c>
      <c r="AU10">
        <v>0.184397163120567</v>
      </c>
      <c r="AV10">
        <v>0.17073170731707299</v>
      </c>
      <c r="AW10">
        <v>0.11764705882352899</v>
      </c>
      <c r="AX10">
        <v>0.17647058823529399</v>
      </c>
      <c r="AY10">
        <v>0.3</v>
      </c>
      <c r="AZ10">
        <v>0.5</v>
      </c>
      <c r="BA10">
        <v>2049764</v>
      </c>
    </row>
    <row r="11" spans="1:53">
      <c r="A11" t="s">
        <v>15</v>
      </c>
      <c r="B11" t="s">
        <v>19</v>
      </c>
      <c r="C11">
        <v>8.6763435272148706E-2</v>
      </c>
      <c r="D11">
        <v>8.6763504748482601E-2</v>
      </c>
      <c r="E11">
        <v>8.6763921608822403E-2</v>
      </c>
      <c r="F11">
        <v>8.6764546906842904E-2</v>
      </c>
      <c r="G11">
        <v>8.6769688587854402E-2</v>
      </c>
      <c r="H11">
        <v>8.6794085134334106E-2</v>
      </c>
      <c r="I11">
        <v>8.6861191568574497E-2</v>
      </c>
      <c r="J11">
        <v>8.7033296859911499E-2</v>
      </c>
      <c r="K11">
        <v>8.7465753867228394E-2</v>
      </c>
      <c r="L11">
        <v>8.8340965358661594E-2</v>
      </c>
      <c r="M11">
        <v>8.9945740504588298E-2</v>
      </c>
      <c r="N11">
        <v>9.2617654593491E-2</v>
      </c>
      <c r="O11">
        <v>9.6888595397336894E-2</v>
      </c>
      <c r="P11">
        <v>0.10311678513750901</v>
      </c>
      <c r="Q11">
        <v>0.111740797922543</v>
      </c>
      <c r="R11">
        <v>0.12588170832953699</v>
      </c>
      <c r="S11">
        <v>0.14462958786010599</v>
      </c>
      <c r="T11">
        <v>0.16751831000342801</v>
      </c>
      <c r="U11">
        <v>0.19261077832335</v>
      </c>
      <c r="V11">
        <v>0.218362487960405</v>
      </c>
      <c r="W11">
        <v>0.24168490459595801</v>
      </c>
      <c r="X11">
        <v>0.26202671437209202</v>
      </c>
      <c r="Y11">
        <v>0.28035906776196001</v>
      </c>
      <c r="Z11">
        <v>0.29631622643830102</v>
      </c>
      <c r="AA11">
        <v>0.31165640625451602</v>
      </c>
      <c r="AB11">
        <v>0.32790345078537197</v>
      </c>
      <c r="AC11">
        <v>0.34171078552080802</v>
      </c>
      <c r="AD11">
        <v>0.35776464481092501</v>
      </c>
      <c r="AE11">
        <v>0.37224852994744201</v>
      </c>
      <c r="AF11">
        <v>0.38322782656047899</v>
      </c>
      <c r="AG11">
        <v>0.395428212152513</v>
      </c>
      <c r="AH11">
        <v>0.40631140220303702</v>
      </c>
      <c r="AI11">
        <v>0.417941199778112</v>
      </c>
      <c r="AJ11">
        <v>0.42835852671918201</v>
      </c>
      <c r="AK11">
        <v>0.443965517241379</v>
      </c>
      <c r="AL11">
        <v>0.44380165289256202</v>
      </c>
      <c r="AM11">
        <v>0.435074409104173</v>
      </c>
      <c r="AN11">
        <v>0.44489629930866198</v>
      </c>
      <c r="AO11">
        <v>0.45804988662131502</v>
      </c>
      <c r="AP11">
        <v>0.44805194805194798</v>
      </c>
      <c r="AQ11">
        <v>0.46018735362997698</v>
      </c>
      <c r="AR11">
        <v>0.47796610169491499</v>
      </c>
      <c r="AS11">
        <v>0.45905707196029799</v>
      </c>
      <c r="AT11">
        <v>0.52340425531914903</v>
      </c>
      <c r="AU11">
        <v>0.50354609929077998</v>
      </c>
      <c r="AV11">
        <v>0.52439024390243905</v>
      </c>
      <c r="AW11">
        <v>0.60784313725490202</v>
      </c>
      <c r="AX11">
        <v>0.64705882352941202</v>
      </c>
      <c r="AY11">
        <v>1</v>
      </c>
      <c r="AZ11">
        <v>1</v>
      </c>
      <c r="BA11">
        <v>5185035</v>
      </c>
    </row>
    <row r="12" spans="1:53">
      <c r="A12" t="s">
        <v>15</v>
      </c>
      <c r="B12" t="s">
        <v>20</v>
      </c>
      <c r="C12">
        <v>2.4374990491031101E-3</v>
      </c>
      <c r="D12">
        <v>2.4375010009448899E-3</v>
      </c>
      <c r="E12">
        <v>2.4375127120612001E-3</v>
      </c>
      <c r="F12">
        <v>2.4375302789466698E-3</v>
      </c>
      <c r="G12">
        <v>2.4376747273832399E-3</v>
      </c>
      <c r="H12">
        <v>2.4383601147086602E-3</v>
      </c>
      <c r="I12">
        <v>2.4403129436796002E-3</v>
      </c>
      <c r="J12">
        <v>2.4454866952348399E-3</v>
      </c>
      <c r="K12">
        <v>2.4586138716222298E-3</v>
      </c>
      <c r="L12">
        <v>2.48394661719459E-3</v>
      </c>
      <c r="M12">
        <v>2.5271089107260399E-3</v>
      </c>
      <c r="N12">
        <v>2.61181509936197E-3</v>
      </c>
      <c r="O12">
        <v>2.7342012557678799E-3</v>
      </c>
      <c r="P12">
        <v>2.9008656426699401E-3</v>
      </c>
      <c r="Q12">
        <v>3.1565567018183201E-3</v>
      </c>
      <c r="R12">
        <v>3.5749527467211399E-3</v>
      </c>
      <c r="S12">
        <v>4.0756613159906299E-3</v>
      </c>
      <c r="T12">
        <v>4.7730111140440396E-3</v>
      </c>
      <c r="U12">
        <v>5.5776673300199E-3</v>
      </c>
      <c r="V12">
        <v>6.3956870436476998E-3</v>
      </c>
      <c r="W12">
        <v>7.3058410719501303E-3</v>
      </c>
      <c r="X12">
        <v>8.2201911881549308E-3</v>
      </c>
      <c r="Y12">
        <v>8.8465970337880499E-3</v>
      </c>
      <c r="Z12">
        <v>9.57073890716768E-3</v>
      </c>
      <c r="AA12">
        <v>1.00291915951328E-2</v>
      </c>
      <c r="AB12">
        <v>1.0782946206562E-2</v>
      </c>
      <c r="AC12">
        <v>1.1096404826397401E-2</v>
      </c>
      <c r="AD12">
        <v>1.20592580761091E-2</v>
      </c>
      <c r="AE12">
        <v>1.28792215226102E-2</v>
      </c>
      <c r="AF12">
        <v>1.32053638281941E-2</v>
      </c>
      <c r="AG12">
        <v>1.29788476220416E-2</v>
      </c>
      <c r="AH12">
        <v>1.4111342661506401E-2</v>
      </c>
      <c r="AI12">
        <v>1.5532134083524799E-2</v>
      </c>
      <c r="AJ12">
        <v>1.6712795401320001E-2</v>
      </c>
      <c r="AK12">
        <v>1.7390011890606401E-2</v>
      </c>
      <c r="AL12">
        <v>1.8388429752066102E-2</v>
      </c>
      <c r="AM12">
        <v>1.9550627370878301E-2</v>
      </c>
      <c r="AN12">
        <v>2.4806832045547001E-2</v>
      </c>
      <c r="AO12">
        <v>2.4376417233560099E-2</v>
      </c>
      <c r="AP12">
        <v>2.27272727272727E-2</v>
      </c>
      <c r="AQ12">
        <v>2.8103044496487099E-2</v>
      </c>
      <c r="AR12">
        <v>3.7288135593220299E-2</v>
      </c>
      <c r="AS12">
        <v>2.2332506203473899E-2</v>
      </c>
      <c r="AT12">
        <v>3.4042553191489397E-2</v>
      </c>
      <c r="AU12">
        <v>5.6737588652482303E-2</v>
      </c>
      <c r="AV12">
        <v>8.5365853658536606E-2</v>
      </c>
      <c r="AW12">
        <v>0.11764705882352899</v>
      </c>
      <c r="AX12">
        <v>0.17647058823529399</v>
      </c>
      <c r="AY12">
        <v>0.3</v>
      </c>
      <c r="AZ12">
        <v>0.5</v>
      </c>
      <c r="BA12">
        <v>811826</v>
      </c>
    </row>
    <row r="13" spans="1:53">
      <c r="A13" t="s">
        <v>15</v>
      </c>
      <c r="B13" t="s">
        <v>29</v>
      </c>
      <c r="C13">
        <v>5.3590546603556499E-2</v>
      </c>
      <c r="D13">
        <v>5.3590589516503598E-2</v>
      </c>
      <c r="E13">
        <v>5.3590046235868598E-2</v>
      </c>
      <c r="F13">
        <v>5.3590432453425499E-2</v>
      </c>
      <c r="G13">
        <v>5.3593608231076201E-2</v>
      </c>
      <c r="H13">
        <v>5.3603069578173297E-2</v>
      </c>
      <c r="I13">
        <v>5.3628362144364901E-2</v>
      </c>
      <c r="J13">
        <v>5.368662742962E-2</v>
      </c>
      <c r="K13">
        <v>5.3860928393274797E-2</v>
      </c>
      <c r="L13">
        <v>5.4131582213570402E-2</v>
      </c>
      <c r="M13">
        <v>5.4604555797264497E-2</v>
      </c>
      <c r="N13">
        <v>5.5388076218767998E-2</v>
      </c>
      <c r="O13">
        <v>5.64149582456724E-2</v>
      </c>
      <c r="P13">
        <v>5.7927919431968698E-2</v>
      </c>
      <c r="Q13">
        <v>5.9899291329561802E-2</v>
      </c>
      <c r="R13">
        <v>6.2452602362856401E-2</v>
      </c>
      <c r="S13">
        <v>6.4930203125195804E-2</v>
      </c>
      <c r="T13">
        <v>6.7724359100633097E-2</v>
      </c>
      <c r="U13">
        <v>7.0902127063811896E-2</v>
      </c>
      <c r="V13">
        <v>7.3563116085534397E-2</v>
      </c>
      <c r="W13">
        <v>7.6331235471338799E-2</v>
      </c>
      <c r="X13">
        <v>7.7789493146509306E-2</v>
      </c>
      <c r="Y13">
        <v>7.8696304005748993E-2</v>
      </c>
      <c r="Z13">
        <v>7.8764490636819298E-2</v>
      </c>
      <c r="AA13">
        <v>7.6620711581259604E-2</v>
      </c>
      <c r="AB13">
        <v>7.3685487294559995E-2</v>
      </c>
      <c r="AC13">
        <v>7.0102807190347199E-2</v>
      </c>
      <c r="AD13">
        <v>6.6625404304596098E-2</v>
      </c>
      <c r="AE13">
        <v>6.3121194775459202E-2</v>
      </c>
      <c r="AF13">
        <v>6.32700292696209E-2</v>
      </c>
      <c r="AG13">
        <v>6.4040957470696505E-2</v>
      </c>
      <c r="AH13">
        <v>6.7281929145578998E-2</v>
      </c>
      <c r="AI13">
        <v>6.7358744749980201E-2</v>
      </c>
      <c r="AJ13">
        <v>6.8660847349371903E-2</v>
      </c>
      <c r="AK13">
        <v>7.2829964328180702E-2</v>
      </c>
      <c r="AL13">
        <v>8.3264462809917394E-2</v>
      </c>
      <c r="AM13">
        <v>7.8202509483513302E-2</v>
      </c>
      <c r="AN13">
        <v>8.4587230581537207E-2</v>
      </c>
      <c r="AO13">
        <v>8.6167800453514701E-2</v>
      </c>
      <c r="AP13">
        <v>9.8214285714285698E-2</v>
      </c>
      <c r="AQ13">
        <v>0.11826697892271699</v>
      </c>
      <c r="AR13">
        <v>0.13728813559322001</v>
      </c>
      <c r="AS13">
        <v>0.146401985111663</v>
      </c>
      <c r="AT13">
        <v>0.18723404255319101</v>
      </c>
      <c r="AU13">
        <v>0.21276595744680901</v>
      </c>
      <c r="AV13">
        <v>0.292682926829268</v>
      </c>
      <c r="AW13">
        <v>0.31372549019607798</v>
      </c>
      <c r="AX13">
        <v>0.35294117647058798</v>
      </c>
      <c r="AY13">
        <v>0.3</v>
      </c>
      <c r="AZ13">
        <v>0.5</v>
      </c>
      <c r="BA13">
        <v>11063124</v>
      </c>
    </row>
    <row r="14" spans="1:53">
      <c r="A14" t="s">
        <v>116</v>
      </c>
      <c r="B14" t="s">
        <v>33</v>
      </c>
      <c r="C14">
        <v>1.20409570306713E-2</v>
      </c>
      <c r="D14">
        <v>1.20409666725389E-2</v>
      </c>
      <c r="E14">
        <v>1.2041024524068401E-2</v>
      </c>
      <c r="F14">
        <v>1.2041111302405099E-2</v>
      </c>
      <c r="G14">
        <v>1.20410240476131E-2</v>
      </c>
      <c r="H14">
        <v>1.2042006440346699E-2</v>
      </c>
      <c r="I14">
        <v>1.2047642219979299E-2</v>
      </c>
      <c r="J14">
        <v>1.2069971126546701E-2</v>
      </c>
      <c r="K14">
        <v>1.21169925433892E-2</v>
      </c>
      <c r="L14">
        <v>1.2183749991834501E-2</v>
      </c>
      <c r="M14">
        <v>1.22971520016003E-2</v>
      </c>
      <c r="N14">
        <v>1.25061780467798E-2</v>
      </c>
      <c r="O14">
        <v>1.2759605860250101E-2</v>
      </c>
      <c r="P14">
        <v>1.30769805063401E-2</v>
      </c>
      <c r="Q14">
        <v>1.3358355928227299E-2</v>
      </c>
      <c r="R14">
        <v>1.3105165973532999E-2</v>
      </c>
      <c r="S14">
        <v>1.2117338947157399E-2</v>
      </c>
      <c r="T14">
        <v>1.07456771056996E-2</v>
      </c>
      <c r="U14">
        <v>9.03277098312949E-3</v>
      </c>
      <c r="V14">
        <v>7.2984579782381298E-3</v>
      </c>
      <c r="W14">
        <v>5.8814821334976404E-3</v>
      </c>
      <c r="X14">
        <v>4.5923134966044899E-3</v>
      </c>
      <c r="Y14">
        <v>3.7046673852978002E-3</v>
      </c>
      <c r="Z14">
        <v>3.0826235355616398E-3</v>
      </c>
      <c r="AA14">
        <v>2.63976800870931E-3</v>
      </c>
      <c r="AB14">
        <v>2.3530838740978802E-3</v>
      </c>
      <c r="AC14">
        <v>1.9545678404333899E-3</v>
      </c>
      <c r="AD14">
        <v>1.8568062931757401E-3</v>
      </c>
      <c r="AE14">
        <v>2.05547171774991E-3</v>
      </c>
      <c r="AF14">
        <v>2.4845143285004401E-3</v>
      </c>
      <c r="AG14">
        <v>2.4700229038487399E-3</v>
      </c>
      <c r="AH14">
        <v>2.5602857993450401E-3</v>
      </c>
      <c r="AI14">
        <v>2.0603851335288101E-3</v>
      </c>
      <c r="AJ14">
        <v>1.38386203959974E-3</v>
      </c>
      <c r="AK14">
        <v>1.48632580261593E-3</v>
      </c>
      <c r="AL14">
        <v>4.1322314049586798E-4</v>
      </c>
      <c r="AM14">
        <v>2.9180040852057202E-4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8790707</v>
      </c>
    </row>
    <row r="15" spans="1:53">
      <c r="A15" t="s">
        <v>99</v>
      </c>
      <c r="B15" t="s">
        <v>147</v>
      </c>
      <c r="C15">
        <v>6.2998620298665695E-2</v>
      </c>
      <c r="D15">
        <v>6.2998670745183394E-2</v>
      </c>
      <c r="E15">
        <v>6.2998973425986607E-2</v>
      </c>
      <c r="F15">
        <v>6.2999427452644696E-2</v>
      </c>
      <c r="G15">
        <v>6.3002359995867799E-2</v>
      </c>
      <c r="H15">
        <v>6.3020074015924604E-2</v>
      </c>
      <c r="I15">
        <v>6.3051305094433893E-2</v>
      </c>
      <c r="J15">
        <v>6.3160879925317895E-2</v>
      </c>
      <c r="K15">
        <v>6.3406230211550604E-2</v>
      </c>
      <c r="L15">
        <v>6.3892626875616504E-2</v>
      </c>
      <c r="M15">
        <v>6.47529984413939E-2</v>
      </c>
      <c r="N15">
        <v>6.64020349386336E-2</v>
      </c>
      <c r="O15">
        <v>6.8808912440979503E-2</v>
      </c>
      <c r="P15">
        <v>7.2328119044531694E-2</v>
      </c>
      <c r="Q15">
        <v>7.7383102110735902E-2</v>
      </c>
      <c r="R15">
        <v>8.5638467826066905E-2</v>
      </c>
      <c r="S15">
        <v>9.7026427577910607E-2</v>
      </c>
      <c r="T15">
        <v>0.111987487343543</v>
      </c>
      <c r="U15">
        <v>0.12971639149174499</v>
      </c>
      <c r="V15">
        <v>0.14858846678343399</v>
      </c>
      <c r="W15">
        <v>0.167994334572312</v>
      </c>
      <c r="X15">
        <v>0.185801306235852</v>
      </c>
      <c r="Y15">
        <v>0.20150169126119799</v>
      </c>
      <c r="Z15">
        <v>0.21384643768641801</v>
      </c>
      <c r="AA15">
        <v>0.22299295740724701</v>
      </c>
      <c r="AB15">
        <v>0.23029898720358999</v>
      </c>
      <c r="AC15">
        <v>0.23585631617828101</v>
      </c>
      <c r="AD15">
        <v>0.23667292257317399</v>
      </c>
      <c r="AE15">
        <v>0.23807045844824901</v>
      </c>
      <c r="AF15">
        <v>0.23500782792185701</v>
      </c>
      <c r="AG15">
        <v>0.23150851035164099</v>
      </c>
      <c r="AH15">
        <v>0.23078297112235799</v>
      </c>
      <c r="AI15">
        <v>0.22458197955463999</v>
      </c>
      <c r="AJ15">
        <v>0.212795401319991</v>
      </c>
      <c r="AK15">
        <v>0.19961355529131999</v>
      </c>
      <c r="AL15">
        <v>0.190909090909091</v>
      </c>
      <c r="AM15">
        <v>0.181791654508316</v>
      </c>
      <c r="AN15">
        <v>0.17771451809678701</v>
      </c>
      <c r="AO15">
        <v>0.160997732426304</v>
      </c>
      <c r="AP15">
        <v>0.16314935064935099</v>
      </c>
      <c r="AQ15">
        <v>0.16510538641686201</v>
      </c>
      <c r="AR15">
        <v>0.161016949152542</v>
      </c>
      <c r="AS15">
        <v>0.205955334987593</v>
      </c>
      <c r="AT15">
        <v>0.208510638297872</v>
      </c>
      <c r="AU15">
        <v>0.23404255319148901</v>
      </c>
      <c r="AV15">
        <v>0.219512195121951</v>
      </c>
      <c r="AW15">
        <v>0.25490196078431399</v>
      </c>
      <c r="AX15">
        <v>0.38235294117647101</v>
      </c>
      <c r="AY15">
        <v>0.65</v>
      </c>
      <c r="AZ15">
        <v>0.5</v>
      </c>
      <c r="BA15">
        <v>4289684</v>
      </c>
    </row>
    <row r="16" spans="1:53">
      <c r="A16" t="s">
        <v>99</v>
      </c>
      <c r="B16" t="s">
        <v>148</v>
      </c>
      <c r="C16">
        <v>5.34063728909107E-2</v>
      </c>
      <c r="D16">
        <v>5.3406415656379602E-2</v>
      </c>
      <c r="E16">
        <v>5.34066722506314E-2</v>
      </c>
      <c r="F16">
        <v>5.34070571466322E-2</v>
      </c>
      <c r="G16">
        <v>5.3409421244447398E-2</v>
      </c>
      <c r="H16">
        <v>5.3424438071741E-2</v>
      </c>
      <c r="I16">
        <v>5.3447984216530499E-2</v>
      </c>
      <c r="J16">
        <v>5.3535592114671203E-2</v>
      </c>
      <c r="K16">
        <v>5.3720390018221501E-2</v>
      </c>
      <c r="L16">
        <v>5.4080956082647999E-2</v>
      </c>
      <c r="M16">
        <v>5.47562490102435E-2</v>
      </c>
      <c r="N16">
        <v>5.6079844947198698E-2</v>
      </c>
      <c r="O16">
        <v>5.7962155962259697E-2</v>
      </c>
      <c r="P16">
        <v>6.0719744747399697E-2</v>
      </c>
      <c r="Q16">
        <v>6.4653220658916197E-2</v>
      </c>
      <c r="R16">
        <v>7.1070471223940099E-2</v>
      </c>
      <c r="S16">
        <v>7.9796498878488303E-2</v>
      </c>
      <c r="T16">
        <v>9.1165891191893597E-2</v>
      </c>
      <c r="U16">
        <v>0.10461063831915</v>
      </c>
      <c r="V16">
        <v>0.11894642817408201</v>
      </c>
      <c r="W16">
        <v>0.13369769181833799</v>
      </c>
      <c r="X16">
        <v>0.14718889449671901</v>
      </c>
      <c r="Y16">
        <v>0.159195380936451</v>
      </c>
      <c r="Z16">
        <v>0.16847575412810201</v>
      </c>
      <c r="AA16">
        <v>0.17504359470890299</v>
      </c>
      <c r="AB16">
        <v>0.18044757110801099</v>
      </c>
      <c r="AC16">
        <v>0.185022162029057</v>
      </c>
      <c r="AD16">
        <v>0.185740526294773</v>
      </c>
      <c r="AE16">
        <v>0.18475828693344401</v>
      </c>
      <c r="AF16">
        <v>0.17956572050915501</v>
      </c>
      <c r="AG16">
        <v>0.17595544976871599</v>
      </c>
      <c r="AH16">
        <v>0.17189639773742199</v>
      </c>
      <c r="AI16">
        <v>0.16704968697995101</v>
      </c>
      <c r="AJ16">
        <v>0.15477964658292501</v>
      </c>
      <c r="AK16">
        <v>0.13956599286563601</v>
      </c>
      <c r="AL16">
        <v>0.13264462809917399</v>
      </c>
      <c r="AM16">
        <v>0.125765976072367</v>
      </c>
      <c r="AN16">
        <v>0.12525416836112199</v>
      </c>
      <c r="AO16">
        <v>0.102607709750567</v>
      </c>
      <c r="AP16">
        <v>9.9837662337662295E-2</v>
      </c>
      <c r="AQ16">
        <v>0.100702576112412</v>
      </c>
      <c r="AR16">
        <v>9.4915254237288096E-2</v>
      </c>
      <c r="AS16">
        <v>0.11414392059553299</v>
      </c>
      <c r="AT16">
        <v>0.10638297872340401</v>
      </c>
      <c r="AU16">
        <v>0.134751773049645</v>
      </c>
      <c r="AV16">
        <v>0.109756097560976</v>
      </c>
      <c r="AW16">
        <v>0.13725490196078399</v>
      </c>
      <c r="AX16">
        <v>0.20588235294117599</v>
      </c>
      <c r="AY16">
        <v>0.35</v>
      </c>
      <c r="AZ16">
        <v>0</v>
      </c>
      <c r="BA16">
        <v>3828714</v>
      </c>
    </row>
    <row r="17" spans="1:53">
      <c r="A17" t="s">
        <v>17</v>
      </c>
      <c r="B17" t="s">
        <v>134</v>
      </c>
      <c r="C17">
        <v>0.16073960959977501</v>
      </c>
      <c r="D17">
        <v>0.16073973831296701</v>
      </c>
      <c r="E17">
        <v>0.160740510596454</v>
      </c>
      <c r="F17">
        <v>0.16074086827006601</v>
      </c>
      <c r="G17">
        <v>0.1607495929868</v>
      </c>
      <c r="H17">
        <v>0.16079318797161099</v>
      </c>
      <c r="I17">
        <v>0.16091555026090701</v>
      </c>
      <c r="J17">
        <v>0.16123983925986299</v>
      </c>
      <c r="K17">
        <v>0.16204074643646399</v>
      </c>
      <c r="L17">
        <v>0.16366203301477</v>
      </c>
      <c r="M17">
        <v>0.166729177606081</v>
      </c>
      <c r="N17">
        <v>0.171800159917609</v>
      </c>
      <c r="O17">
        <v>0.17973598494461099</v>
      </c>
      <c r="P17">
        <v>0.19166735430837001</v>
      </c>
      <c r="Q17">
        <v>0.20821053894959701</v>
      </c>
      <c r="R17">
        <v>0.235174404056917</v>
      </c>
      <c r="S17">
        <v>0.27069157801085197</v>
      </c>
      <c r="T17">
        <v>0.31403970483368299</v>
      </c>
      <c r="U17">
        <v>0.36245587367621002</v>
      </c>
      <c r="V17">
        <v>0.41124394841490602</v>
      </c>
      <c r="W17">
        <v>0.45368232794664298</v>
      </c>
      <c r="X17">
        <v>0.49045808202201702</v>
      </c>
      <c r="Y17">
        <v>0.52312629322628201</v>
      </c>
      <c r="Z17">
        <v>0.55145905722456301</v>
      </c>
      <c r="AA17">
        <v>0.57779126564351602</v>
      </c>
      <c r="AB17">
        <v>0.60033962035296295</v>
      </c>
      <c r="AC17">
        <v>0.62096774193548399</v>
      </c>
      <c r="AD17">
        <v>0.64237511480253995</v>
      </c>
      <c r="AE17">
        <v>0.66274652651298305</v>
      </c>
      <c r="AF17">
        <v>0.67551562180927105</v>
      </c>
      <c r="AG17">
        <v>0.69115731800422198</v>
      </c>
      <c r="AH17">
        <v>0.69842214944924097</v>
      </c>
      <c r="AI17">
        <v>0.70615738172596898</v>
      </c>
      <c r="AJ17">
        <v>0.71428571428571397</v>
      </c>
      <c r="AK17">
        <v>0.71774673008323397</v>
      </c>
      <c r="AL17">
        <v>0.727479338842975</v>
      </c>
      <c r="AM17">
        <v>0.73446162824628003</v>
      </c>
      <c r="AN17">
        <v>0.73647824318828803</v>
      </c>
      <c r="AO17">
        <v>0.75623582766439901</v>
      </c>
      <c r="AP17">
        <v>0.78814935064935099</v>
      </c>
      <c r="AQ17">
        <v>0.80796252927400503</v>
      </c>
      <c r="AR17">
        <v>0.84237288135593202</v>
      </c>
      <c r="AS17">
        <v>0.88089330024813906</v>
      </c>
      <c r="AT17">
        <v>0.927659574468085</v>
      </c>
      <c r="AU17">
        <v>0.900709219858156</v>
      </c>
      <c r="AV17">
        <v>1</v>
      </c>
      <c r="AW17">
        <v>1</v>
      </c>
      <c r="AX17">
        <v>1</v>
      </c>
      <c r="AY17">
        <v>1</v>
      </c>
      <c r="AZ17">
        <v>1</v>
      </c>
      <c r="BA17">
        <v>10235046</v>
      </c>
    </row>
    <row r="18" spans="1:53">
      <c r="A18" t="s">
        <v>16</v>
      </c>
      <c r="B18" t="s">
        <v>136</v>
      </c>
      <c r="C18">
        <v>0.19955221765168901</v>
      </c>
      <c r="D18">
        <v>0.19955237744430701</v>
      </c>
      <c r="E18">
        <v>0.19955333620539201</v>
      </c>
      <c r="F18">
        <v>0.199554774364292</v>
      </c>
      <c r="G18">
        <v>0.199565799199347</v>
      </c>
      <c r="H18">
        <v>0.199621108957209</v>
      </c>
      <c r="I18">
        <v>0.19977376599451199</v>
      </c>
      <c r="J18">
        <v>0.20016437141190699</v>
      </c>
      <c r="K18">
        <v>0.20118391465605301</v>
      </c>
      <c r="L18">
        <v>0.20323125363364999</v>
      </c>
      <c r="M18">
        <v>0.207040398736446</v>
      </c>
      <c r="N18">
        <v>0.213428766365894</v>
      </c>
      <c r="O18">
        <v>0.223508673312067</v>
      </c>
      <c r="P18">
        <v>0.238501648375397</v>
      </c>
      <c r="Q18">
        <v>0.25983709854283399</v>
      </c>
      <c r="R18">
        <v>0.29512864568830699</v>
      </c>
      <c r="S18">
        <v>0.34281449318947899</v>
      </c>
      <c r="T18">
        <v>0.40247731687041799</v>
      </c>
      <c r="U18">
        <v>0.46963158894766799</v>
      </c>
      <c r="V18">
        <v>0.53967265017308397</v>
      </c>
      <c r="W18">
        <v>0.60322801345939203</v>
      </c>
      <c r="X18">
        <v>0.65791012257829196</v>
      </c>
      <c r="Y18">
        <v>0.703800071863113</v>
      </c>
      <c r="Z18">
        <v>0.73927616001968</v>
      </c>
      <c r="AA18">
        <v>0.76813395377515703</v>
      </c>
      <c r="AB18">
        <v>0.79011462186912496</v>
      </c>
      <c r="AC18">
        <v>0.80685176065008601</v>
      </c>
      <c r="AD18">
        <v>0.82036896537954695</v>
      </c>
      <c r="AE18">
        <v>0.83139928188583001</v>
      </c>
      <c r="AF18">
        <v>0.83806412089034099</v>
      </c>
      <c r="AG18">
        <v>0.84645439439529302</v>
      </c>
      <c r="AH18">
        <v>0.85174158975885705</v>
      </c>
      <c r="AI18">
        <v>0.85838814486092396</v>
      </c>
      <c r="AJ18">
        <v>0.85416223121141199</v>
      </c>
      <c r="AK18">
        <v>0.86087990487514898</v>
      </c>
      <c r="AL18">
        <v>0.86880165289256195</v>
      </c>
      <c r="AM18">
        <v>0.87044061861686595</v>
      </c>
      <c r="AN18">
        <v>0.87677917852785703</v>
      </c>
      <c r="AO18">
        <v>0.88151927437641697</v>
      </c>
      <c r="AP18">
        <v>0.88636363636363602</v>
      </c>
      <c r="AQ18">
        <v>0.9192037470726</v>
      </c>
      <c r="AR18">
        <v>0.93728813559322</v>
      </c>
      <c r="AS18">
        <v>0.95533498759305202</v>
      </c>
      <c r="AT18">
        <v>0.95319148936170195</v>
      </c>
      <c r="AU18">
        <v>0.95744680851063801</v>
      </c>
      <c r="AV18">
        <v>1</v>
      </c>
      <c r="AW18">
        <v>1</v>
      </c>
      <c r="AX18">
        <v>1</v>
      </c>
      <c r="AY18">
        <v>1</v>
      </c>
      <c r="AZ18">
        <v>1</v>
      </c>
      <c r="BA18">
        <v>12129460</v>
      </c>
    </row>
    <row r="19" spans="1:53">
      <c r="A19" t="s">
        <v>16</v>
      </c>
      <c r="B19" t="s">
        <v>139</v>
      </c>
      <c r="C19">
        <v>1.0918298138804501E-2</v>
      </c>
      <c r="D19">
        <v>1.09183068816963E-2</v>
      </c>
      <c r="E19">
        <v>1.09183593393412E-2</v>
      </c>
      <c r="F19">
        <v>1.09184380267536E-2</v>
      </c>
      <c r="G19">
        <v>1.0919085055147999E-2</v>
      </c>
      <c r="H19">
        <v>1.0922155113026501E-2</v>
      </c>
      <c r="I19">
        <v>1.09309024267646E-2</v>
      </c>
      <c r="J19">
        <v>1.0953273851127401E-2</v>
      </c>
      <c r="K19">
        <v>1.10112624546077E-2</v>
      </c>
      <c r="L19">
        <v>1.1131216398947E-2</v>
      </c>
      <c r="M19">
        <v>1.13569874728077E-2</v>
      </c>
      <c r="N19">
        <v>1.17454049564108E-2</v>
      </c>
      <c r="O19">
        <v>1.23739434076734E-2</v>
      </c>
      <c r="P19">
        <v>1.3318637447788301E-2</v>
      </c>
      <c r="Q19">
        <v>1.4757148078842999E-2</v>
      </c>
      <c r="R19">
        <v>1.7257551863120099E-2</v>
      </c>
      <c r="S19">
        <v>2.0879540869390902E-2</v>
      </c>
      <c r="T19">
        <v>2.58999381458733E-2</v>
      </c>
      <c r="U19">
        <v>3.22334670040101E-2</v>
      </c>
      <c r="V19">
        <v>4.0116088713138202E-2</v>
      </c>
      <c r="W19">
        <v>4.9096372285816002E-2</v>
      </c>
      <c r="X19">
        <v>5.9220356091686403E-2</v>
      </c>
      <c r="Y19">
        <v>7.0147071578138806E-2</v>
      </c>
      <c r="Z19">
        <v>8.2900279819193706E-2</v>
      </c>
      <c r="AA19">
        <v>9.80182471555055E-2</v>
      </c>
      <c r="AB19">
        <v>0.116077384923282</v>
      </c>
      <c r="AC19">
        <v>0.136434991381433</v>
      </c>
      <c r="AD19">
        <v>0.16230084255081301</v>
      </c>
      <c r="AE19">
        <v>0.188088671488786</v>
      </c>
      <c r="AF19">
        <v>0.216084677693826</v>
      </c>
      <c r="AG19">
        <v>0.247316656936273</v>
      </c>
      <c r="AH19">
        <v>0.27329562369752902</v>
      </c>
      <c r="AI19">
        <v>0.30184642206196999</v>
      </c>
      <c r="AJ19">
        <v>0.330530125612093</v>
      </c>
      <c r="AK19">
        <v>0.35969084423305597</v>
      </c>
      <c r="AL19">
        <v>0.37809917355371903</v>
      </c>
      <c r="AM19">
        <v>0.40385176539247197</v>
      </c>
      <c r="AN19">
        <v>0.40707604717364798</v>
      </c>
      <c r="AO19">
        <v>0.408730158730159</v>
      </c>
      <c r="AP19">
        <v>0.39935064935064901</v>
      </c>
      <c r="AQ19">
        <v>0.39461358313817302</v>
      </c>
      <c r="AR19">
        <v>0.42033898305084699</v>
      </c>
      <c r="AS19">
        <v>0.41935483870967699</v>
      </c>
      <c r="AT19">
        <v>0.48510638297872299</v>
      </c>
      <c r="AU19">
        <v>0.44680851063829802</v>
      </c>
      <c r="AV19">
        <v>0.25609756097560998</v>
      </c>
      <c r="AW19">
        <v>0.29411764705882398</v>
      </c>
      <c r="AX19">
        <v>0.17647058823529399</v>
      </c>
      <c r="AY19">
        <v>0.3</v>
      </c>
      <c r="AZ19">
        <v>0.5</v>
      </c>
      <c r="BA19">
        <v>538539</v>
      </c>
    </row>
    <row r="20" spans="1:53">
      <c r="A20" t="s">
        <v>16</v>
      </c>
      <c r="B20" t="s">
        <v>27</v>
      </c>
      <c r="C20">
        <v>1.6453118581446002E-2</v>
      </c>
      <c r="D20">
        <v>1.6453131756378001E-2</v>
      </c>
      <c r="E20">
        <v>1.6453210806413099E-2</v>
      </c>
      <c r="F20">
        <v>1.645332938289E-2</v>
      </c>
      <c r="G20">
        <v>1.64543044098369E-2</v>
      </c>
      <c r="H20">
        <v>1.6458930774283499E-2</v>
      </c>
      <c r="I20">
        <v>1.64721123698373E-2</v>
      </c>
      <c r="J20">
        <v>1.6507035192835098E-2</v>
      </c>
      <c r="K20">
        <v>1.6591605174396801E-2</v>
      </c>
      <c r="L20">
        <v>1.67450010778467E-2</v>
      </c>
      <c r="M20">
        <v>1.70321472924428E-2</v>
      </c>
      <c r="N20">
        <v>1.75365960320767E-2</v>
      </c>
      <c r="O20">
        <v>1.8321695241161801E-2</v>
      </c>
      <c r="P20">
        <v>1.9522147956918302E-2</v>
      </c>
      <c r="Q20">
        <v>2.1171733923982999E-2</v>
      </c>
      <c r="R20">
        <v>2.3942944472745802E-2</v>
      </c>
      <c r="S20">
        <v>2.7754282420460401E-2</v>
      </c>
      <c r="T20">
        <v>3.28122352978256E-2</v>
      </c>
      <c r="U20">
        <v>3.8843665309959301E-2</v>
      </c>
      <c r="V20">
        <v>4.5129010416832198E-2</v>
      </c>
      <c r="W20">
        <v>5.1548990345567099E-2</v>
      </c>
      <c r="X20">
        <v>5.776120969233E-2</v>
      </c>
      <c r="Y20">
        <v>6.4026316767646696E-2</v>
      </c>
      <c r="Z20">
        <v>6.9009255557947194E-2</v>
      </c>
      <c r="AA20">
        <v>7.2429839012688194E-2</v>
      </c>
      <c r="AB20">
        <v>7.71665959124265E-2</v>
      </c>
      <c r="AC20">
        <v>8.0952967249446006E-2</v>
      </c>
      <c r="AD20">
        <v>8.4953879327556603E-2</v>
      </c>
      <c r="AE20">
        <v>8.7084352396315803E-2</v>
      </c>
      <c r="AF20">
        <v>8.8966033626029506E-2</v>
      </c>
      <c r="AG20">
        <v>9.2603404140656598E-2</v>
      </c>
      <c r="AH20">
        <v>9.4373325394462595E-2</v>
      </c>
      <c r="AI20">
        <v>9.8739995245265097E-2</v>
      </c>
      <c r="AJ20">
        <v>0.100170321481797</v>
      </c>
      <c r="AK20">
        <v>0.10077288941736</v>
      </c>
      <c r="AL20">
        <v>0.101239669421488</v>
      </c>
      <c r="AM20">
        <v>9.6877735628829897E-2</v>
      </c>
      <c r="AN20">
        <v>9.1907279381862605E-2</v>
      </c>
      <c r="AO20">
        <v>9.5238095238095205E-2</v>
      </c>
      <c r="AP20">
        <v>9.1720779220779203E-2</v>
      </c>
      <c r="AQ20">
        <v>0.104215456674473</v>
      </c>
      <c r="AR20">
        <v>0.106779661016949</v>
      </c>
      <c r="AS20">
        <v>0.11166253101737</v>
      </c>
      <c r="AT20">
        <v>0.14468085106383</v>
      </c>
      <c r="AU20">
        <v>0.14184397163120599</v>
      </c>
      <c r="AV20">
        <v>0.12195121951219499</v>
      </c>
      <c r="AW20">
        <v>9.8039215686274495E-2</v>
      </c>
      <c r="AX20">
        <v>0.11764705882352899</v>
      </c>
      <c r="AY20">
        <v>0.15</v>
      </c>
      <c r="AZ20">
        <v>0.25</v>
      </c>
      <c r="BA20">
        <v>894408</v>
      </c>
    </row>
    <row r="21" spans="1:53">
      <c r="A21" t="s">
        <v>110</v>
      </c>
      <c r="B21" t="s">
        <v>22</v>
      </c>
      <c r="C21">
        <v>1.53777042506492E-2</v>
      </c>
      <c r="D21">
        <v>1.5377716564436801E-2</v>
      </c>
      <c r="E21">
        <v>1.53777904475767E-2</v>
      </c>
      <c r="F21">
        <v>1.53779012736176E-2</v>
      </c>
      <c r="G21">
        <v>1.5378812570521601E-2</v>
      </c>
      <c r="H21">
        <v>1.53831365449623E-2</v>
      </c>
      <c r="I21">
        <v>1.5395456560585699E-2</v>
      </c>
      <c r="J21">
        <v>1.54264899874834E-2</v>
      </c>
      <c r="K21">
        <v>1.5505259689071E-2</v>
      </c>
      <c r="L21">
        <v>1.56696040709942E-2</v>
      </c>
      <c r="M21">
        <v>1.597779611432E-2</v>
      </c>
      <c r="N21">
        <v>1.64998054939548E-2</v>
      </c>
      <c r="O21">
        <v>1.7307512140635799E-2</v>
      </c>
      <c r="P21">
        <v>1.8548643774091999E-2</v>
      </c>
      <c r="Q21">
        <v>2.0317401432616299E-2</v>
      </c>
      <c r="R21">
        <v>2.33077680155933E-2</v>
      </c>
      <c r="S21">
        <v>2.7404984775008499E-2</v>
      </c>
      <c r="T21">
        <v>3.28575424606911E-2</v>
      </c>
      <c r="U21">
        <v>3.9406182185465599E-2</v>
      </c>
      <c r="V21">
        <v>4.6530848382164598E-2</v>
      </c>
      <c r="W21">
        <v>5.3925589248490599E-2</v>
      </c>
      <c r="X21">
        <v>6.0964335863519799E-2</v>
      </c>
      <c r="Y21">
        <v>6.7706203769096404E-2</v>
      </c>
      <c r="Z21">
        <v>7.4105962301282205E-2</v>
      </c>
      <c r="AA21">
        <v>7.9597676233417194E-2</v>
      </c>
      <c r="AB21">
        <v>8.6069500879374095E-2</v>
      </c>
      <c r="AC21">
        <v>9.0202536321103199E-2</v>
      </c>
      <c r="AD21">
        <v>9.5495747314618906E-2</v>
      </c>
      <c r="AE21">
        <v>0.101498673049904</v>
      </c>
      <c r="AF21">
        <v>0.10697025389694401</v>
      </c>
      <c r="AG21">
        <v>0.113037229981587</v>
      </c>
      <c r="AH21">
        <v>0.11664185769574301</v>
      </c>
      <c r="AI21">
        <v>0.123306125683493</v>
      </c>
      <c r="AJ21">
        <v>0.125186289120715</v>
      </c>
      <c r="AK21">
        <v>0.128269916765755</v>
      </c>
      <c r="AL21">
        <v>0.13264462809917399</v>
      </c>
      <c r="AM21">
        <v>0.129559381383134</v>
      </c>
      <c r="AN21">
        <v>0.13460756405042701</v>
      </c>
      <c r="AO21">
        <v>0.14852607709750601</v>
      </c>
      <c r="AP21">
        <v>0.15097402597402601</v>
      </c>
      <c r="AQ21">
        <v>0.16744730679156899</v>
      </c>
      <c r="AR21">
        <v>0.16610169491525401</v>
      </c>
      <c r="AS21">
        <v>0.16377171215880901</v>
      </c>
      <c r="AT21">
        <v>0.17872340425531899</v>
      </c>
      <c r="AU21">
        <v>0.17730496453900699</v>
      </c>
      <c r="AV21">
        <v>0.17073170731707299</v>
      </c>
      <c r="AW21">
        <v>0.15686274509803899</v>
      </c>
      <c r="AX21">
        <v>0.11764705882352899</v>
      </c>
      <c r="AY21">
        <v>0</v>
      </c>
      <c r="AZ21">
        <v>0</v>
      </c>
      <c r="BA21">
        <v>825583</v>
      </c>
    </row>
    <row r="22" spans="1:53">
      <c r="A22" t="s">
        <v>97</v>
      </c>
      <c r="B22" t="s">
        <v>71</v>
      </c>
      <c r="C22">
        <v>1.1330687104076601E-3</v>
      </c>
      <c r="D22">
        <v>1.13306961771913E-3</v>
      </c>
      <c r="E22">
        <v>1.13307506161846E-3</v>
      </c>
      <c r="F22">
        <v>1.13308322756555E-3</v>
      </c>
      <c r="G22">
        <v>1.1331503742599499E-3</v>
      </c>
      <c r="H22">
        <v>1.13346897579263E-3</v>
      </c>
      <c r="I22">
        <v>1.13437674615855E-3</v>
      </c>
      <c r="J22">
        <v>1.1367817587901699E-3</v>
      </c>
      <c r="K22">
        <v>1.14288391207144E-3</v>
      </c>
      <c r="L22">
        <v>1.1554189557299E-3</v>
      </c>
      <c r="M22">
        <v>1.1793730569516301E-3</v>
      </c>
      <c r="N22">
        <v>1.2205146517824299E-3</v>
      </c>
      <c r="O22">
        <v>1.2870574773491501E-3</v>
      </c>
      <c r="P22">
        <v>1.3900185859729E-3</v>
      </c>
      <c r="Q22">
        <v>1.5395442468944501E-3</v>
      </c>
      <c r="R22">
        <v>1.80287459050366E-3</v>
      </c>
      <c r="S22">
        <v>2.1991654449080899E-3</v>
      </c>
      <c r="T22">
        <v>2.7322189084519502E-3</v>
      </c>
      <c r="U22">
        <v>3.42260267808034E-3</v>
      </c>
      <c r="V22">
        <v>4.2086926668934198E-3</v>
      </c>
      <c r="W22">
        <v>5.1452966147469198E-3</v>
      </c>
      <c r="X22">
        <v>6.1114248164823599E-3</v>
      </c>
      <c r="Y22">
        <v>7.2606524675067202E-3</v>
      </c>
      <c r="Z22">
        <v>8.2715783647489306E-3</v>
      </c>
      <c r="AA22">
        <v>9.8268736090638496E-3</v>
      </c>
      <c r="AB22">
        <v>1.11225665595245E-2</v>
      </c>
      <c r="AC22">
        <v>1.25123122383649E-2</v>
      </c>
      <c r="AD22">
        <v>1.40558239827497E-2</v>
      </c>
      <c r="AE22">
        <v>1.54810844564708E-2</v>
      </c>
      <c r="AF22">
        <v>1.7765979170921001E-2</v>
      </c>
      <c r="AG22">
        <v>1.9445816679391E-2</v>
      </c>
      <c r="AH22">
        <v>2.1137243227150899E-2</v>
      </c>
      <c r="AI22">
        <v>2.3456692289404901E-2</v>
      </c>
      <c r="AJ22">
        <v>2.5441771343410701E-2</v>
      </c>
      <c r="AK22">
        <v>2.5713436385255702E-2</v>
      </c>
      <c r="AL22">
        <v>2.7272727272727299E-2</v>
      </c>
      <c r="AM22">
        <v>2.80128392179749E-2</v>
      </c>
      <c r="AN22">
        <v>1.99267995119967E-2</v>
      </c>
      <c r="AO22">
        <v>2.04081632653061E-2</v>
      </c>
      <c r="AP22">
        <v>1.37987012987013E-2</v>
      </c>
      <c r="AQ22">
        <v>1.1709601873536301E-2</v>
      </c>
      <c r="AR22">
        <v>1.3559322033898299E-2</v>
      </c>
      <c r="AS22">
        <v>1.9851116625310201E-2</v>
      </c>
      <c r="AT22">
        <v>3.4042553191489397E-2</v>
      </c>
      <c r="AU22">
        <v>4.9645390070922002E-2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58000</v>
      </c>
    </row>
    <row r="23" spans="1:53">
      <c r="A23" t="s">
        <v>18</v>
      </c>
      <c r="B23" t="s">
        <v>135</v>
      </c>
      <c r="C23">
        <v>0.32556307108865101</v>
      </c>
      <c r="D23">
        <v>0.32556333178520502</v>
      </c>
      <c r="E23">
        <v>0.32556489597329902</v>
      </c>
      <c r="F23">
        <v>0.32556724228362299</v>
      </c>
      <c r="G23">
        <v>0.32558573463780399</v>
      </c>
      <c r="H23">
        <v>0.32567327256123901</v>
      </c>
      <c r="I23">
        <v>0.32591646016734299</v>
      </c>
      <c r="J23">
        <v>0.32652067657394102</v>
      </c>
      <c r="K23">
        <v>0.328044028895982</v>
      </c>
      <c r="L23">
        <v>0.331161036823161</v>
      </c>
      <c r="M23">
        <v>0.336883121212879</v>
      </c>
      <c r="N23">
        <v>0.34628027674199402</v>
      </c>
      <c r="O23">
        <v>0.36085635256097098</v>
      </c>
      <c r="P23">
        <v>0.38245256254592502</v>
      </c>
      <c r="Q23">
        <v>0.412091587061718</v>
      </c>
      <c r="R23">
        <v>0.459756117904149</v>
      </c>
      <c r="S23">
        <v>0.52148572108818003</v>
      </c>
      <c r="T23">
        <v>0.59554295710002603</v>
      </c>
      <c r="U23">
        <v>0.67387521625648805</v>
      </c>
      <c r="V23">
        <v>0.74935709358619396</v>
      </c>
      <c r="W23">
        <v>0.81248474615603095</v>
      </c>
      <c r="X23">
        <v>0.86275528815642799</v>
      </c>
      <c r="Y23">
        <v>0.89916861812189497</v>
      </c>
      <c r="Z23">
        <v>0.92457950247532406</v>
      </c>
      <c r="AA23">
        <v>0.94035473086890797</v>
      </c>
      <c r="AB23">
        <v>0.95012432530778101</v>
      </c>
      <c r="AC23">
        <v>0.95686099482886</v>
      </c>
      <c r="AD23">
        <v>0.96144631234277</v>
      </c>
      <c r="AE23">
        <v>0.96588957693708699</v>
      </c>
      <c r="AF23">
        <v>0.96787148594377503</v>
      </c>
      <c r="AG23">
        <v>0.96878789239681995</v>
      </c>
      <c r="AH23">
        <v>0.970526942542423</v>
      </c>
      <c r="AI23">
        <v>0.97020366114589096</v>
      </c>
      <c r="AJ23">
        <v>0.969235682350436</v>
      </c>
      <c r="AK23">
        <v>0.97057074910820496</v>
      </c>
      <c r="AL23">
        <v>0.97438016528925597</v>
      </c>
      <c r="AM23">
        <v>0.97344616282462804</v>
      </c>
      <c r="AN23">
        <v>0.96909312728751495</v>
      </c>
      <c r="AO23">
        <v>0.97789115646258495</v>
      </c>
      <c r="AP23">
        <v>0.97564935064935099</v>
      </c>
      <c r="AQ23">
        <v>0.98829039812646402</v>
      </c>
      <c r="AR23">
        <v>0.99152542372881403</v>
      </c>
      <c r="AS23">
        <v>0.99255583126550895</v>
      </c>
      <c r="AT23">
        <v>0.99574468085106405</v>
      </c>
      <c r="AU23">
        <v>0.99290780141844004</v>
      </c>
      <c r="AV23">
        <v>1</v>
      </c>
      <c r="AW23">
        <v>1</v>
      </c>
      <c r="AX23">
        <v>1</v>
      </c>
      <c r="AY23">
        <v>1</v>
      </c>
      <c r="AZ23">
        <v>1</v>
      </c>
      <c r="BA23">
        <v>21733463</v>
      </c>
    </row>
    <row r="24" spans="1:53">
      <c r="A24" t="s">
        <v>102</v>
      </c>
      <c r="B24" t="s">
        <v>140</v>
      </c>
      <c r="C24">
        <v>4.1959576272340102E-4</v>
      </c>
      <c r="D24">
        <v>4.1959609871718899E-4</v>
      </c>
      <c r="E24">
        <v>4.1959811469121901E-4</v>
      </c>
      <c r="F24">
        <v>4.1960113868858598E-4</v>
      </c>
      <c r="G24">
        <v>4.1962600431958498E-4</v>
      </c>
      <c r="H24">
        <v>4.1974398820871899E-4</v>
      </c>
      <c r="I24">
        <v>4.2008015193433298E-4</v>
      </c>
      <c r="J24">
        <v>4.2097077145304002E-4</v>
      </c>
      <c r="K24">
        <v>4.2323050878122502E-4</v>
      </c>
      <c r="L24">
        <v>4.2787246134449899E-4</v>
      </c>
      <c r="M24">
        <v>4.3674309670859102E-4</v>
      </c>
      <c r="N24">
        <v>4.5197857069540002E-4</v>
      </c>
      <c r="O24">
        <v>4.76620578184421E-4</v>
      </c>
      <c r="P24">
        <v>5.1278424160978899E-4</v>
      </c>
      <c r="Q24">
        <v>5.6737279120135705E-4</v>
      </c>
      <c r="R24">
        <v>6.6725607620064396E-4</v>
      </c>
      <c r="S24">
        <v>8.0980664887284905E-4</v>
      </c>
      <c r="T24">
        <v>1.01054671956442E-3</v>
      </c>
      <c r="U24">
        <v>1.2775383261497801E-3</v>
      </c>
      <c r="V24">
        <v>1.5925642191190401E-3</v>
      </c>
      <c r="W24">
        <v>1.86847085465537E-3</v>
      </c>
      <c r="X24">
        <v>2.2286962127155601E-3</v>
      </c>
      <c r="Y24">
        <v>2.6762814555997502E-3</v>
      </c>
      <c r="Z24">
        <v>3.1133728975123801E-3</v>
      </c>
      <c r="AA24">
        <v>3.5839186103644601E-3</v>
      </c>
      <c r="AB24">
        <v>4.2452544120322603E-3</v>
      </c>
      <c r="AC24">
        <v>4.8325535582368897E-3</v>
      </c>
      <c r="AD24">
        <v>5.77007547019127E-3</v>
      </c>
      <c r="AE24">
        <v>6.7388249986990697E-3</v>
      </c>
      <c r="AF24">
        <v>7.4535429855013303E-3</v>
      </c>
      <c r="AG24">
        <v>8.3082588584003202E-3</v>
      </c>
      <c r="AH24">
        <v>8.2167311699910695E-3</v>
      </c>
      <c r="AI24">
        <v>9.0339963547032293E-3</v>
      </c>
      <c r="AJ24">
        <v>8.6225250159676393E-3</v>
      </c>
      <c r="AK24">
        <v>1.0404280618311499E-2</v>
      </c>
      <c r="AL24">
        <v>1.2396694214876E-2</v>
      </c>
      <c r="AM24">
        <v>1.45900204260286E-2</v>
      </c>
      <c r="AN24">
        <v>1.5046766978446501E-2</v>
      </c>
      <c r="AO24">
        <v>1.6439909297052201E-2</v>
      </c>
      <c r="AP24">
        <v>2.3538961038961002E-2</v>
      </c>
      <c r="AQ24">
        <v>3.39578454332553E-2</v>
      </c>
      <c r="AR24">
        <v>3.8983050847457602E-2</v>
      </c>
      <c r="AS24">
        <v>4.4665012406947903E-2</v>
      </c>
      <c r="AT24">
        <v>6.8085106382978697E-2</v>
      </c>
      <c r="AU24">
        <v>9.2198581560283696E-2</v>
      </c>
      <c r="AV24">
        <v>0.15853658536585399</v>
      </c>
      <c r="AW24">
        <v>0.13725490196078399</v>
      </c>
      <c r="AX24">
        <v>0.17647058823529399</v>
      </c>
      <c r="AY24">
        <v>0</v>
      </c>
      <c r="AZ24">
        <v>0</v>
      </c>
      <c r="BA24">
        <v>23891</v>
      </c>
    </row>
    <row r="25" spans="1:53">
      <c r="A25" t="s">
        <v>103</v>
      </c>
      <c r="B25" t="s">
        <v>141</v>
      </c>
      <c r="C25">
        <v>1.56147278112716E-4</v>
      </c>
      <c r="D25">
        <v>1.5614740314857199E-4</v>
      </c>
      <c r="E25">
        <v>1.5614815336791499E-4</v>
      </c>
      <c r="F25">
        <v>1.5614927871044701E-4</v>
      </c>
      <c r="G25">
        <v>1.5615853214183E-4</v>
      </c>
      <c r="H25">
        <v>1.56202438360115E-4</v>
      </c>
      <c r="I25">
        <v>1.56327537456479E-4</v>
      </c>
      <c r="J25">
        <v>1.5665897029263899E-4</v>
      </c>
      <c r="K25">
        <v>1.5346144402372699E-4</v>
      </c>
      <c r="L25">
        <v>1.5432804426356901E-4</v>
      </c>
      <c r="M25">
        <v>1.4835929621017001E-4</v>
      </c>
      <c r="N25">
        <v>1.4835937816719201E-4</v>
      </c>
      <c r="O25">
        <v>1.31889282131185E-4</v>
      </c>
      <c r="P25">
        <v>1.17881434852825E-4</v>
      </c>
      <c r="Q25">
        <v>1.1238345671873E-4</v>
      </c>
      <c r="R25" s="1">
        <v>9.1106118096626396E-5</v>
      </c>
      <c r="S25" s="1">
        <v>7.2052429106675195E-5</v>
      </c>
      <c r="T25" s="1">
        <v>5.71264227434078E-5</v>
      </c>
      <c r="U25" s="1">
        <v>4.7501425042751298E-5</v>
      </c>
      <c r="V25" s="1">
        <v>5.40391052395681E-5</v>
      </c>
      <c r="W25" s="1">
        <v>4.0010082540800297E-5</v>
      </c>
      <c r="X25" s="1">
        <v>3.4979536970872001E-5</v>
      </c>
      <c r="Y25" s="1">
        <v>3.0975479810182302E-5</v>
      </c>
      <c r="Z25" s="1">
        <v>7.6873404876848804E-6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20735</v>
      </c>
    </row>
    <row r="26" spans="1:53">
      <c r="A26" t="s">
        <v>119</v>
      </c>
      <c r="B26" t="s">
        <v>73</v>
      </c>
      <c r="C26">
        <v>7.6287954798966396E-3</v>
      </c>
      <c r="D26">
        <v>7.6288015886997297E-3</v>
      </c>
      <c r="E26">
        <v>7.6288382417237502E-3</v>
      </c>
      <c r="F26">
        <v>7.6288932219201596E-3</v>
      </c>
      <c r="G26">
        <v>7.6293453113600897E-3</v>
      </c>
      <c r="H26">
        <v>7.6314904115733998E-3</v>
      </c>
      <c r="I26">
        <v>7.6359989449895404E-3</v>
      </c>
      <c r="J26">
        <v>7.6521881642942899E-3</v>
      </c>
      <c r="K26">
        <v>7.68922603739936E-3</v>
      </c>
      <c r="L26">
        <v>7.7735607480908997E-3</v>
      </c>
      <c r="M26">
        <v>7.9297210345143695E-3</v>
      </c>
      <c r="N26">
        <v>8.1899552075435592E-3</v>
      </c>
      <c r="O26">
        <v>8.5973620324411304E-3</v>
      </c>
      <c r="P26">
        <v>9.24190449246148E-3</v>
      </c>
      <c r="Q26">
        <v>1.01668839777197E-2</v>
      </c>
      <c r="R26">
        <v>1.17411405716075E-2</v>
      </c>
      <c r="S26">
        <v>1.39358796035237E-2</v>
      </c>
      <c r="T26">
        <v>1.6828656189549401E-2</v>
      </c>
      <c r="U26">
        <v>2.0240607218216501E-2</v>
      </c>
      <c r="V26">
        <v>2.3987005184575302E-2</v>
      </c>
      <c r="W26">
        <v>2.7574948887119598E-2</v>
      </c>
      <c r="X26">
        <v>3.1126790827366E-2</v>
      </c>
      <c r="Y26">
        <v>3.4110198366972697E-2</v>
      </c>
      <c r="Z26">
        <v>3.6683988807232198E-2</v>
      </c>
      <c r="AA26">
        <v>3.8276636126284999E-2</v>
      </c>
      <c r="AB26">
        <v>4.0997028321911599E-2</v>
      </c>
      <c r="AC26">
        <v>4.3031273085446901E-2</v>
      </c>
      <c r="AD26">
        <v>4.5421874376073201E-2</v>
      </c>
      <c r="AE26">
        <v>4.7223812249570701E-2</v>
      </c>
      <c r="AF26">
        <v>4.6252807841535598E-2</v>
      </c>
      <c r="AG26">
        <v>4.5089145372075298E-2</v>
      </c>
      <c r="AH26">
        <v>4.5072938374516203E-2</v>
      </c>
      <c r="AI26">
        <v>4.4932245027339703E-2</v>
      </c>
      <c r="AJ26">
        <v>4.7051309346391297E-2</v>
      </c>
      <c r="AK26">
        <v>4.8156956004756203E-2</v>
      </c>
      <c r="AL26">
        <v>4.1735537190082599E-2</v>
      </c>
      <c r="AM26">
        <v>4.4937262912168097E-2</v>
      </c>
      <c r="AN26">
        <v>3.9446929646197601E-2</v>
      </c>
      <c r="AO26">
        <v>3.6848072562358301E-2</v>
      </c>
      <c r="AP26">
        <v>2.8409090909090901E-2</v>
      </c>
      <c r="AQ26">
        <v>3.2786885245901599E-2</v>
      </c>
      <c r="AR26">
        <v>3.55932203389831E-2</v>
      </c>
      <c r="AS26">
        <v>2.2332506203473899E-2</v>
      </c>
      <c r="AT26">
        <v>3.8297872340425497E-2</v>
      </c>
      <c r="AU26">
        <v>5.6737588652482303E-2</v>
      </c>
      <c r="AV26">
        <v>8.5365853658536606E-2</v>
      </c>
      <c r="AW26">
        <v>0.11764705882352899</v>
      </c>
      <c r="AX26">
        <v>0.17647058823529399</v>
      </c>
      <c r="AY26">
        <v>0.3</v>
      </c>
      <c r="AZ26">
        <v>0.5</v>
      </c>
      <c r="BA26">
        <v>483497</v>
      </c>
    </row>
    <row r="27" spans="1:53">
      <c r="A27" t="s">
        <v>117</v>
      </c>
      <c r="B27" t="s">
        <v>34</v>
      </c>
      <c r="C27">
        <v>0.10561801891544099</v>
      </c>
      <c r="D27">
        <v>0.105618103489694</v>
      </c>
      <c r="E27">
        <v>0.10561861093805799</v>
      </c>
      <c r="F27">
        <v>0.10561937211974599</v>
      </c>
      <c r="G27">
        <v>0.105624830327749</v>
      </c>
      <c r="H27">
        <v>0.105653727230491</v>
      </c>
      <c r="I27">
        <v>0.105736739616845</v>
      </c>
      <c r="J27">
        <v>0.10595207681591801</v>
      </c>
      <c r="K27">
        <v>0.10648770369987499</v>
      </c>
      <c r="L27">
        <v>0.107562564099214</v>
      </c>
      <c r="M27">
        <v>0.109620850315472</v>
      </c>
      <c r="N27">
        <v>0.113016206536956</v>
      </c>
      <c r="O27">
        <v>0.11839018670974399</v>
      </c>
      <c r="P27">
        <v>0.12643275060610701</v>
      </c>
      <c r="Q27">
        <v>0.13801888696733799</v>
      </c>
      <c r="R27">
        <v>0.15746088532049499</v>
      </c>
      <c r="S27">
        <v>0.18425685751162199</v>
      </c>
      <c r="T27">
        <v>0.21876071120426399</v>
      </c>
      <c r="U27">
        <v>0.25880526415792499</v>
      </c>
      <c r="V27">
        <v>0.30278746419909303</v>
      </c>
      <c r="W27">
        <v>0.34659534202619102</v>
      </c>
      <c r="X27">
        <v>0.38918732541463202</v>
      </c>
      <c r="Y27">
        <v>0.43011931754822902</v>
      </c>
      <c r="Z27">
        <v>0.469519694966329</v>
      </c>
      <c r="AA27">
        <v>0.50947522568089598</v>
      </c>
      <c r="AB27">
        <v>0.54919036933713405</v>
      </c>
      <c r="AC27">
        <v>0.58950997291307605</v>
      </c>
      <c r="AD27">
        <v>0.63365012179052005</v>
      </c>
      <c r="AE27">
        <v>0.66990164958109999</v>
      </c>
      <c r="AF27">
        <v>0.700837247294262</v>
      </c>
      <c r="AG27">
        <v>0.727893295010554</v>
      </c>
      <c r="AH27">
        <v>0.75117594522179199</v>
      </c>
      <c r="AI27">
        <v>0.76947460179094995</v>
      </c>
      <c r="AJ27">
        <v>0.78305301256120896</v>
      </c>
      <c r="AK27">
        <v>0.79131985731272303</v>
      </c>
      <c r="AL27">
        <v>0.80289256198347103</v>
      </c>
      <c r="AM27">
        <v>0.80828713160198395</v>
      </c>
      <c r="AN27">
        <v>0.81171207808052004</v>
      </c>
      <c r="AO27">
        <v>0.83616780045351502</v>
      </c>
      <c r="AP27">
        <v>0.84253246753246802</v>
      </c>
      <c r="AQ27">
        <v>0.85011709601873497</v>
      </c>
      <c r="AR27">
        <v>0.87796610169491496</v>
      </c>
      <c r="AS27">
        <v>0.90322580645161299</v>
      </c>
      <c r="AT27">
        <v>0.92340425531914905</v>
      </c>
      <c r="AU27">
        <v>0.89361702127659604</v>
      </c>
      <c r="AV27">
        <v>0.87804878048780499</v>
      </c>
      <c r="AW27">
        <v>0.86274509803921595</v>
      </c>
      <c r="AX27">
        <v>0.79411764705882304</v>
      </c>
      <c r="AY27">
        <v>0.65</v>
      </c>
      <c r="AZ27">
        <v>1</v>
      </c>
      <c r="BA27">
        <v>5788834</v>
      </c>
    </row>
    <row r="28" spans="1:53">
      <c r="A28" t="s">
        <v>111</v>
      </c>
      <c r="B28" t="s">
        <v>23</v>
      </c>
      <c r="C28">
        <v>1.25198086835503E-2</v>
      </c>
      <c r="D28">
        <v>1.2519818708861199E-2</v>
      </c>
      <c r="E28">
        <v>1.2519878861063399E-2</v>
      </c>
      <c r="F28">
        <v>1.25199690904505E-2</v>
      </c>
      <c r="G28">
        <v>1.25207110258334E-2</v>
      </c>
      <c r="H28">
        <v>1.2524231403899499E-2</v>
      </c>
      <c r="I28">
        <v>1.25310550665755E-2</v>
      </c>
      <c r="J28">
        <v>1.25471784514381E-2</v>
      </c>
      <c r="K28">
        <v>1.25894922526202E-2</v>
      </c>
      <c r="L28">
        <v>1.26622485841014E-2</v>
      </c>
      <c r="M28">
        <v>1.28130756215671E-2</v>
      </c>
      <c r="N28">
        <v>1.3063388269431001E-2</v>
      </c>
      <c r="O28">
        <v>1.3396312739504101E-2</v>
      </c>
      <c r="P28">
        <v>1.3891344752115E-2</v>
      </c>
      <c r="Q28">
        <v>1.4545474383664001E-2</v>
      </c>
      <c r="R28">
        <v>1.5715163779287101E-2</v>
      </c>
      <c r="S28">
        <v>1.7464882272596301E-2</v>
      </c>
      <c r="T28">
        <v>1.9633760533915402E-2</v>
      </c>
      <c r="U28">
        <v>2.22956688700661E-2</v>
      </c>
      <c r="V28">
        <v>2.51504353326743E-2</v>
      </c>
      <c r="W28">
        <v>2.76829761099797E-2</v>
      </c>
      <c r="X28">
        <v>3.03422497838764E-2</v>
      </c>
      <c r="Y28">
        <v>3.2635765528008003E-2</v>
      </c>
      <c r="Z28">
        <v>3.50388979428677E-2</v>
      </c>
      <c r="AA28">
        <v>3.6860410223802202E-2</v>
      </c>
      <c r="AB28">
        <v>3.7831281460367502E-2</v>
      </c>
      <c r="AC28">
        <v>3.89374538291061E-2</v>
      </c>
      <c r="AD28">
        <v>4.0051112087210003E-2</v>
      </c>
      <c r="AE28">
        <v>4.1265546131029798E-2</v>
      </c>
      <c r="AF28">
        <v>4.0637124770267499E-2</v>
      </c>
      <c r="AG28">
        <v>4.1406565769973501E-2</v>
      </c>
      <c r="AH28">
        <v>4.2572194105388497E-2</v>
      </c>
      <c r="AI28">
        <v>3.9860527775576499E-2</v>
      </c>
      <c r="AJ28">
        <v>3.7683627847562302E-2</v>
      </c>
      <c r="AK28">
        <v>3.4928656361474401E-2</v>
      </c>
      <c r="AL28">
        <v>3.2024793388429701E-2</v>
      </c>
      <c r="AM28">
        <v>3.35570469798658E-2</v>
      </c>
      <c r="AN28">
        <v>3.8633590890605897E-2</v>
      </c>
      <c r="AO28">
        <v>4.3083900226757399E-2</v>
      </c>
      <c r="AP28">
        <v>4.4642857142857102E-2</v>
      </c>
      <c r="AQ28">
        <v>5.5035128805620601E-2</v>
      </c>
      <c r="AR28">
        <v>6.94915254237288E-2</v>
      </c>
      <c r="AS28">
        <v>8.1885856079404504E-2</v>
      </c>
      <c r="AT28">
        <v>8.0851063829787198E-2</v>
      </c>
      <c r="AU28">
        <v>0.120567375886525</v>
      </c>
      <c r="AV28">
        <v>0.146341463414634</v>
      </c>
      <c r="AW28">
        <v>0.15686274509803899</v>
      </c>
      <c r="AX28">
        <v>0.11764705882352899</v>
      </c>
      <c r="AY28">
        <v>0</v>
      </c>
      <c r="AZ28">
        <v>0</v>
      </c>
      <c r="BA28">
        <v>826100</v>
      </c>
    </row>
    <row r="29" spans="1:53">
      <c r="A29" t="s">
        <v>120</v>
      </c>
      <c r="B29" t="s">
        <v>74</v>
      </c>
      <c r="C29">
        <v>3.1786781292114701E-2</v>
      </c>
      <c r="D29">
        <v>3.1786806745567803E-2</v>
      </c>
      <c r="E29">
        <v>3.1786959467142398E-2</v>
      </c>
      <c r="F29">
        <v>3.1787188552255999E-2</v>
      </c>
      <c r="G29">
        <v>3.1789072266164599E-2</v>
      </c>
      <c r="H29">
        <v>3.1798010221246703E-2</v>
      </c>
      <c r="I29">
        <v>3.1823476548063501E-2</v>
      </c>
      <c r="J29">
        <v>3.1890946075572302E-2</v>
      </c>
      <c r="K29">
        <v>3.2061326423799101E-2</v>
      </c>
      <c r="L29">
        <v>3.2406439643853299E-2</v>
      </c>
      <c r="M29">
        <v>3.3058285199909998E-2</v>
      </c>
      <c r="N29">
        <v>3.4138182959890399E-2</v>
      </c>
      <c r="O29">
        <v>3.5879342227218898E-2</v>
      </c>
      <c r="P29">
        <v>3.8524635255193701E-2</v>
      </c>
      <c r="Q29">
        <v>4.2340194543401301E-2</v>
      </c>
      <c r="R29">
        <v>4.8780268724552801E-2</v>
      </c>
      <c r="S29">
        <v>5.7677969499893497E-2</v>
      </c>
      <c r="T29">
        <v>6.9191917202144806E-2</v>
      </c>
      <c r="U29">
        <v>8.2319969599087994E-2</v>
      </c>
      <c r="V29">
        <v>9.6494769332489905E-2</v>
      </c>
      <c r="W29">
        <v>0.109579614062744</v>
      </c>
      <c r="X29">
        <v>0.12153390266694</v>
      </c>
      <c r="Y29">
        <v>0.13222193311774399</v>
      </c>
      <c r="Z29">
        <v>0.14018634113342099</v>
      </c>
      <c r="AA29">
        <v>0.14880969584862799</v>
      </c>
      <c r="AB29">
        <v>0.155461216568622</v>
      </c>
      <c r="AC29">
        <v>0.159643560699335</v>
      </c>
      <c r="AD29">
        <v>0.16401788923052299</v>
      </c>
      <c r="AE29">
        <v>0.16623302284435701</v>
      </c>
      <c r="AF29">
        <v>0.16806207882377</v>
      </c>
      <c r="AG29">
        <v>0.17047648987290601</v>
      </c>
      <c r="AH29">
        <v>0.16999106877046699</v>
      </c>
      <c r="AI29">
        <v>0.16419684602583401</v>
      </c>
      <c r="AJ29">
        <v>0.162763466042155</v>
      </c>
      <c r="AK29">
        <v>0.162752675386445</v>
      </c>
      <c r="AL29">
        <v>0.145867768595041</v>
      </c>
      <c r="AM29">
        <v>0.12693317770644899</v>
      </c>
      <c r="AN29">
        <v>0.11671411142741001</v>
      </c>
      <c r="AO29">
        <v>0.106009070294785</v>
      </c>
      <c r="AP29">
        <v>9.8214285714285698E-2</v>
      </c>
      <c r="AQ29">
        <v>9.7189695550351299E-2</v>
      </c>
      <c r="AR29">
        <v>8.30508474576271E-2</v>
      </c>
      <c r="AS29">
        <v>6.9478908188585597E-2</v>
      </c>
      <c r="AT29">
        <v>8.0851063829787198E-2</v>
      </c>
      <c r="AU29">
        <v>4.2553191489361701E-2</v>
      </c>
      <c r="AV29">
        <v>7.3170731707317097E-2</v>
      </c>
      <c r="AW29">
        <v>0</v>
      </c>
      <c r="AX29">
        <v>0</v>
      </c>
      <c r="AY29">
        <v>0</v>
      </c>
      <c r="AZ29">
        <v>0</v>
      </c>
      <c r="BA29">
        <v>1642989</v>
      </c>
    </row>
    <row r="30" spans="1:53">
      <c r="A30" t="s">
        <v>112</v>
      </c>
      <c r="B30" t="s">
        <v>24</v>
      </c>
      <c r="C30">
        <v>1.41461426417397E-2</v>
      </c>
      <c r="D30">
        <v>1.4146153969347101E-2</v>
      </c>
      <c r="E30">
        <v>1.4146221935372299E-2</v>
      </c>
      <c r="F30">
        <v>1.41463238856347E-2</v>
      </c>
      <c r="G30">
        <v>1.4147162199064501E-2</v>
      </c>
      <c r="H30">
        <v>1.4151139877281E-2</v>
      </c>
      <c r="I30">
        <v>1.41624732138777E-2</v>
      </c>
      <c r="J30">
        <v>1.41900891911738E-2</v>
      </c>
      <c r="K30">
        <v>1.42517219989403E-2</v>
      </c>
      <c r="L30">
        <v>1.43753715304769E-2</v>
      </c>
      <c r="M30">
        <v>1.4630060260545599E-2</v>
      </c>
      <c r="N30">
        <v>1.50662398746881E-2</v>
      </c>
      <c r="O30">
        <v>1.5713925779988699E-2</v>
      </c>
      <c r="P30">
        <v>1.66586114352851E-2</v>
      </c>
      <c r="Q30">
        <v>1.8023906034337001E-2</v>
      </c>
      <c r="R30">
        <v>2.02756024231661E-2</v>
      </c>
      <c r="S30">
        <v>2.3445233888450299E-2</v>
      </c>
      <c r="T30">
        <v>2.7668887374272599E-2</v>
      </c>
      <c r="U30">
        <v>3.2775983279498398E-2</v>
      </c>
      <c r="V30">
        <v>3.8126178131963499E-2</v>
      </c>
      <c r="W30">
        <v>4.3466953672325399E-2</v>
      </c>
      <c r="X30">
        <v>4.8426670397817298E-2</v>
      </c>
      <c r="Y30">
        <v>5.23547559751701E-2</v>
      </c>
      <c r="Z30">
        <v>5.5218166723040502E-2</v>
      </c>
      <c r="AA30">
        <v>5.7872578205535798E-2</v>
      </c>
      <c r="AB30">
        <v>5.9203105100369899E-2</v>
      </c>
      <c r="AC30">
        <v>5.8775547894607198E-2</v>
      </c>
      <c r="AD30">
        <v>5.8699037655233002E-2</v>
      </c>
      <c r="AE30">
        <v>5.7267003174272801E-2</v>
      </c>
      <c r="AF30">
        <v>5.4284936355591902E-2</v>
      </c>
      <c r="AG30">
        <v>5.1331566892711199E-2</v>
      </c>
      <c r="AH30">
        <v>4.7990473355165202E-2</v>
      </c>
      <c r="AI30">
        <v>4.4932245027339703E-2</v>
      </c>
      <c r="AJ30">
        <v>4.1728763040238502E-2</v>
      </c>
      <c r="AK30">
        <v>3.7158145065398301E-2</v>
      </c>
      <c r="AL30">
        <v>3.3884297520661202E-2</v>
      </c>
      <c r="AM30">
        <v>2.8304639626495501E-2</v>
      </c>
      <c r="AN30">
        <v>3.4973566490443302E-2</v>
      </c>
      <c r="AO30">
        <v>3.79818594104308E-2</v>
      </c>
      <c r="AP30">
        <v>4.5454545454545497E-2</v>
      </c>
      <c r="AQ30">
        <v>4.8009367681498799E-2</v>
      </c>
      <c r="AR30">
        <v>4.4067796610169498E-2</v>
      </c>
      <c r="AS30">
        <v>4.7146401985111698E-2</v>
      </c>
      <c r="AT30">
        <v>4.2553191489361701E-2</v>
      </c>
      <c r="AU30">
        <v>5.6737588652482303E-2</v>
      </c>
      <c r="AV30">
        <v>1.21951219512195E-2</v>
      </c>
      <c r="AW30">
        <v>1.9607843137254902E-2</v>
      </c>
      <c r="AX30">
        <v>0</v>
      </c>
      <c r="AY30">
        <v>0</v>
      </c>
      <c r="AZ30">
        <v>0</v>
      </c>
      <c r="BA30">
        <v>859193</v>
      </c>
    </row>
    <row r="31" spans="1:53">
      <c r="A31" t="s">
        <v>112</v>
      </c>
      <c r="B31" t="s">
        <v>80</v>
      </c>
      <c r="C31">
        <v>4.0628721009656303E-2</v>
      </c>
      <c r="D31">
        <v>4.06287535433449E-2</v>
      </c>
      <c r="E31">
        <v>4.0628948746570699E-2</v>
      </c>
      <c r="F31">
        <v>4.0629241554926497E-2</v>
      </c>
      <c r="G31">
        <v>4.0631649250318903E-2</v>
      </c>
      <c r="H31">
        <v>4.0643073423156401E-2</v>
      </c>
      <c r="I31">
        <v>4.0675623566496497E-2</v>
      </c>
      <c r="J31">
        <v>4.0759450552805297E-2</v>
      </c>
      <c r="K31">
        <v>4.0970974787092398E-2</v>
      </c>
      <c r="L31">
        <v>4.1399926837075302E-2</v>
      </c>
      <c r="M31">
        <v>4.2223222397252902E-2</v>
      </c>
      <c r="N31">
        <v>4.3584017554709698E-2</v>
      </c>
      <c r="O31">
        <v>4.5717373092949203E-2</v>
      </c>
      <c r="P31">
        <v>4.8959106930249602E-2</v>
      </c>
      <c r="Q31">
        <v>5.3718201210031603E-2</v>
      </c>
      <c r="R31">
        <v>6.1737868450464597E-2</v>
      </c>
      <c r="S31">
        <v>7.2824643183840201E-2</v>
      </c>
      <c r="T31">
        <v>8.7362059387841098E-2</v>
      </c>
      <c r="U31">
        <v>0.10447813434403</v>
      </c>
      <c r="V31">
        <v>0.123466640388827</v>
      </c>
      <c r="W31">
        <v>0.14151566194681101</v>
      </c>
      <c r="X31">
        <v>0.159451720743365</v>
      </c>
      <c r="Y31">
        <v>0.17660979568573501</v>
      </c>
      <c r="Z31">
        <v>0.19233725900187601</v>
      </c>
      <c r="AA31">
        <v>0.20799252386870501</v>
      </c>
      <c r="AB31">
        <v>0.224549699799867</v>
      </c>
      <c r="AC31">
        <v>0.238718911598129</v>
      </c>
      <c r="AD31">
        <v>0.25605957752665398</v>
      </c>
      <c r="AE31">
        <v>0.27163449029505099</v>
      </c>
      <c r="AF31">
        <v>0.286195629977537</v>
      </c>
      <c r="AG31">
        <v>0.301702070328289</v>
      </c>
      <c r="AH31">
        <v>0.31574873474248299</v>
      </c>
      <c r="AI31">
        <v>0.328076709723433</v>
      </c>
      <c r="AJ31">
        <v>0.342665531190121</v>
      </c>
      <c r="AK31">
        <v>0.35240784780023798</v>
      </c>
      <c r="AL31">
        <v>0.35909090909090902</v>
      </c>
      <c r="AM31">
        <v>0.36183250656550903</v>
      </c>
      <c r="AN31">
        <v>0.36112240748271701</v>
      </c>
      <c r="AO31">
        <v>0.369614512471655</v>
      </c>
      <c r="AP31">
        <v>0.37987012987013002</v>
      </c>
      <c r="AQ31">
        <v>0.409836065573771</v>
      </c>
      <c r="AR31">
        <v>0.41525423728813599</v>
      </c>
      <c r="AS31">
        <v>0.41687344913151397</v>
      </c>
      <c r="AT31">
        <v>0.44680851063829802</v>
      </c>
      <c r="AU31">
        <v>0.32624113475177302</v>
      </c>
      <c r="AV31">
        <v>0.23170731707317099</v>
      </c>
      <c r="AW31">
        <v>0.29411764705882398</v>
      </c>
      <c r="AX31">
        <v>0.26470588235294101</v>
      </c>
      <c r="AY31">
        <v>0.35</v>
      </c>
      <c r="AZ31">
        <v>0.5</v>
      </c>
      <c r="BA31">
        <v>2375335</v>
      </c>
    </row>
    <row r="32" spans="1:53">
      <c r="A32" t="s">
        <v>112</v>
      </c>
      <c r="B32" t="s">
        <v>81</v>
      </c>
      <c r="C32">
        <v>6.5495375237924397E-2</v>
      </c>
      <c r="D32">
        <v>6.5495427683733398E-2</v>
      </c>
      <c r="E32">
        <v>6.5495742360351494E-2</v>
      </c>
      <c r="F32">
        <v>6.5496214380948201E-2</v>
      </c>
      <c r="G32">
        <v>6.5500095697151706E-2</v>
      </c>
      <c r="H32">
        <v>6.5518511991541004E-2</v>
      </c>
      <c r="I32">
        <v>6.5570984326360604E-2</v>
      </c>
      <c r="J32">
        <v>6.5706789037406996E-2</v>
      </c>
      <c r="K32">
        <v>6.6054651658675897E-2</v>
      </c>
      <c r="L32">
        <v>6.6760352227223096E-2</v>
      </c>
      <c r="M32">
        <v>6.8107752189966606E-2</v>
      </c>
      <c r="N32">
        <v>7.0372373413654404E-2</v>
      </c>
      <c r="O32">
        <v>7.3969876487961203E-2</v>
      </c>
      <c r="P32">
        <v>7.9480575104226805E-2</v>
      </c>
      <c r="Q32">
        <v>8.7479064489555405E-2</v>
      </c>
      <c r="R32">
        <v>0.10105464955582601</v>
      </c>
      <c r="S32">
        <v>0.120205380750097</v>
      </c>
      <c r="T32">
        <v>0.14535719773227801</v>
      </c>
      <c r="U32">
        <v>0.17558276748302401</v>
      </c>
      <c r="V32">
        <v>0.209509611013805</v>
      </c>
      <c r="W32">
        <v>0.24318528269123799</v>
      </c>
      <c r="X32">
        <v>0.27741271356256603</v>
      </c>
      <c r="Y32">
        <v>0.31008933328377303</v>
      </c>
      <c r="Z32">
        <v>0.34124104424833201</v>
      </c>
      <c r="AA32">
        <v>0.37345973390367698</v>
      </c>
      <c r="AB32">
        <v>0.40605251986172602</v>
      </c>
      <c r="AC32">
        <v>0.43556082245752298</v>
      </c>
      <c r="AD32">
        <v>0.46779539192588698</v>
      </c>
      <c r="AE32">
        <v>0.49521257220169601</v>
      </c>
      <c r="AF32">
        <v>0.51749370362807201</v>
      </c>
      <c r="AG32">
        <v>0.53985718776665004</v>
      </c>
      <c r="AH32">
        <v>0.555939267639178</v>
      </c>
      <c r="AI32">
        <v>0.57215310246453799</v>
      </c>
      <c r="AJ32">
        <v>0.57930593996167801</v>
      </c>
      <c r="AK32">
        <v>0.58962544589774102</v>
      </c>
      <c r="AL32">
        <v>0.60702479338842996</v>
      </c>
      <c r="AM32">
        <v>0.61774146483805104</v>
      </c>
      <c r="AN32">
        <v>0.61976413176087797</v>
      </c>
      <c r="AO32">
        <v>0.64285714285714302</v>
      </c>
      <c r="AP32">
        <v>0.66720779220779203</v>
      </c>
      <c r="AQ32">
        <v>0.69789227166276302</v>
      </c>
      <c r="AR32">
        <v>0.71864406779661005</v>
      </c>
      <c r="AS32">
        <v>0.71712158808933002</v>
      </c>
      <c r="AT32">
        <v>0.76170212765957401</v>
      </c>
      <c r="AU32">
        <v>0.66666666666666696</v>
      </c>
      <c r="AV32">
        <v>0.63414634146341498</v>
      </c>
      <c r="AW32">
        <v>0.47058823529411797</v>
      </c>
      <c r="AX32">
        <v>0.441176470588235</v>
      </c>
      <c r="AY32">
        <v>0.65</v>
      </c>
      <c r="AZ32">
        <v>1</v>
      </c>
      <c r="BA32">
        <v>3872069</v>
      </c>
    </row>
    <row r="33" spans="1:53">
      <c r="A33" t="s">
        <v>113</v>
      </c>
      <c r="B33" t="s">
        <v>25</v>
      </c>
      <c r="C33">
        <v>1.1263423661197199E-2</v>
      </c>
      <c r="D33">
        <v>1.1263432680450301E-2</v>
      </c>
      <c r="E33">
        <v>1.1263486796272299E-2</v>
      </c>
      <c r="F33">
        <v>1.12635679709803E-2</v>
      </c>
      <c r="G33">
        <v>1.1264235451830701E-2</v>
      </c>
      <c r="H33">
        <v>1.12674025537096E-2</v>
      </c>
      <c r="I33">
        <v>1.12764263685273E-2</v>
      </c>
      <c r="J33">
        <v>1.1296316827101501E-2</v>
      </c>
      <c r="K33">
        <v>1.1344031480596E-2</v>
      </c>
      <c r="L33">
        <v>1.14292573309904E-2</v>
      </c>
      <c r="M33">
        <v>1.1587861209044901E-2</v>
      </c>
      <c r="N33">
        <v>1.18540868264635E-2</v>
      </c>
      <c r="O33">
        <v>1.23130014635162E-2</v>
      </c>
      <c r="P33">
        <v>1.29207876051601E-2</v>
      </c>
      <c r="Q33">
        <v>1.3763154592719099E-2</v>
      </c>
      <c r="R33">
        <v>1.50876864307061E-2</v>
      </c>
      <c r="S33">
        <v>1.6940152625841101E-2</v>
      </c>
      <c r="T33">
        <v>1.9220086438187199E-2</v>
      </c>
      <c r="U33">
        <v>2.1895656869706102E-2</v>
      </c>
      <c r="V33">
        <v>2.49946755587485E-2</v>
      </c>
      <c r="W33">
        <v>2.8147093067453E-2</v>
      </c>
      <c r="X33">
        <v>3.1286697282089999E-2</v>
      </c>
      <c r="Y33">
        <v>3.4172149326593099E-2</v>
      </c>
      <c r="Z33">
        <v>3.6622490083330801E-2</v>
      </c>
      <c r="AA33">
        <v>3.9066639690935198E-2</v>
      </c>
      <c r="AB33">
        <v>4.0972769725271398E-2</v>
      </c>
      <c r="AC33">
        <v>4.3108224575227803E-2</v>
      </c>
      <c r="AD33">
        <v>4.4663179331549702E-2</v>
      </c>
      <c r="AE33">
        <v>4.67034396627986E-2</v>
      </c>
      <c r="AF33">
        <v>4.7478047784357803E-2</v>
      </c>
      <c r="AG33">
        <v>4.8681905959491602E-2</v>
      </c>
      <c r="AH33">
        <v>5.0133968442989001E-2</v>
      </c>
      <c r="AI33">
        <v>5.0954909263808502E-2</v>
      </c>
      <c r="AJ33">
        <v>4.7370662124760501E-2</v>
      </c>
      <c r="AK33">
        <v>4.0725326991676601E-2</v>
      </c>
      <c r="AL33">
        <v>3.6776859504132203E-2</v>
      </c>
      <c r="AM33">
        <v>3.0930843303180602E-2</v>
      </c>
      <c r="AN33">
        <v>2.7653517690117899E-2</v>
      </c>
      <c r="AO33">
        <v>2.60770975056689E-2</v>
      </c>
      <c r="AP33">
        <v>3.3279220779220797E-2</v>
      </c>
      <c r="AQ33">
        <v>3.39578454332553E-2</v>
      </c>
      <c r="AR33">
        <v>4.4067796610169498E-2</v>
      </c>
      <c r="AS33">
        <v>4.9627791563275403E-2</v>
      </c>
      <c r="AT33">
        <v>3.4042553191489397E-2</v>
      </c>
      <c r="AU33">
        <v>4.9645390070922002E-2</v>
      </c>
      <c r="AV33">
        <v>3.65853658536585E-2</v>
      </c>
      <c r="AW33">
        <v>1.9607843137254902E-2</v>
      </c>
      <c r="AX33">
        <v>0</v>
      </c>
      <c r="AY33">
        <v>0</v>
      </c>
      <c r="AZ33">
        <v>0</v>
      </c>
      <c r="BA33">
        <v>815453</v>
      </c>
    </row>
    <row r="34" spans="1:53">
      <c r="A34" t="s">
        <v>113</v>
      </c>
      <c r="B34" t="s">
        <v>77</v>
      </c>
      <c r="C34">
        <v>2.40739065086189E-2</v>
      </c>
      <c r="D34">
        <v>2.4073925785941901E-2</v>
      </c>
      <c r="E34">
        <v>2.40740414505283E-2</v>
      </c>
      <c r="F34">
        <v>2.4074214949491701E-2</v>
      </c>
      <c r="G34">
        <v>2.40756415913435E-2</v>
      </c>
      <c r="H34">
        <v>2.4082410804402501E-2</v>
      </c>
      <c r="I34">
        <v>2.4101697877392698E-2</v>
      </c>
      <c r="J34">
        <v>2.4151189563781102E-2</v>
      </c>
      <c r="K34">
        <v>2.4275985060932301E-2</v>
      </c>
      <c r="L34">
        <v>2.4525094229927599E-2</v>
      </c>
      <c r="M34">
        <v>2.4998541411413701E-2</v>
      </c>
      <c r="N34">
        <v>2.5815394355615699E-2</v>
      </c>
      <c r="O34">
        <v>2.7135537612549301E-2</v>
      </c>
      <c r="P34">
        <v>2.9132431933294799E-2</v>
      </c>
      <c r="Q34">
        <v>3.1978003393325703E-2</v>
      </c>
      <c r="R34">
        <v>3.6803022156751297E-2</v>
      </c>
      <c r="S34">
        <v>4.3447614751325102E-2</v>
      </c>
      <c r="T34">
        <v>5.2122936061743799E-2</v>
      </c>
      <c r="U34">
        <v>6.2241867256017699E-2</v>
      </c>
      <c r="V34">
        <v>7.2971864698795602E-2</v>
      </c>
      <c r="W34">
        <v>8.3385013023281898E-2</v>
      </c>
      <c r="X34">
        <v>9.3295422178025902E-2</v>
      </c>
      <c r="Y34">
        <v>0.102417326444387</v>
      </c>
      <c r="Z34">
        <v>0.109721410780726</v>
      </c>
      <c r="AA34">
        <v>0.116910893378421</v>
      </c>
      <c r="AB34">
        <v>0.123003214264055</v>
      </c>
      <c r="AC34">
        <v>0.12775486333415401</v>
      </c>
      <c r="AD34">
        <v>0.13402946931278201</v>
      </c>
      <c r="AE34">
        <v>0.14226986522349999</v>
      </c>
      <c r="AF34">
        <v>0.14675651759580699</v>
      </c>
      <c r="AG34">
        <v>0.151794134818341</v>
      </c>
      <c r="AH34">
        <v>0.154272104793093</v>
      </c>
      <c r="AI34">
        <v>0.156113796655836</v>
      </c>
      <c r="AJ34">
        <v>0.16052799659357</v>
      </c>
      <c r="AK34">
        <v>0.157847800237812</v>
      </c>
      <c r="AL34">
        <v>0.14628099173553699</v>
      </c>
      <c r="AM34">
        <v>0.14502480303472401</v>
      </c>
      <c r="AN34">
        <v>0.13989426596177301</v>
      </c>
      <c r="AO34">
        <v>0.14739229024943301</v>
      </c>
      <c r="AP34">
        <v>0.148538961038961</v>
      </c>
      <c r="AQ34">
        <v>0.14402810304449601</v>
      </c>
      <c r="AR34">
        <v>0.132203389830508</v>
      </c>
      <c r="AS34">
        <v>0.13399503722084399</v>
      </c>
      <c r="AT34">
        <v>0.170212765957447</v>
      </c>
      <c r="AU34">
        <v>0.19858156028368801</v>
      </c>
      <c r="AV34">
        <v>9.7560975609756101E-2</v>
      </c>
      <c r="AW34">
        <v>0</v>
      </c>
      <c r="AX34">
        <v>0</v>
      </c>
      <c r="AY34">
        <v>0</v>
      </c>
      <c r="AZ34">
        <v>0</v>
      </c>
      <c r="BA34">
        <v>1316483</v>
      </c>
    </row>
    <row r="35" spans="1:53">
      <c r="A35" t="s">
        <v>113</v>
      </c>
      <c r="B35" t="s">
        <v>78</v>
      </c>
      <c r="C35">
        <v>1.4141338110105499E-2</v>
      </c>
      <c r="D35">
        <v>1.4141349433865601E-2</v>
      </c>
      <c r="E35">
        <v>1.4141417376807099E-2</v>
      </c>
      <c r="F35">
        <v>1.4141519292443601E-2</v>
      </c>
      <c r="G35">
        <v>1.4142357321152399E-2</v>
      </c>
      <c r="H35">
        <v>1.41463336484083E-2</v>
      </c>
      <c r="I35">
        <v>1.41576631358021E-2</v>
      </c>
      <c r="J35">
        <v>1.41876790531693E-2</v>
      </c>
      <c r="K35">
        <v>1.4260606608857499E-2</v>
      </c>
      <c r="L35">
        <v>1.44088501009256E-2</v>
      </c>
      <c r="M35">
        <v>1.4682569449653699E-2</v>
      </c>
      <c r="N35">
        <v>1.5172334081168099E-2</v>
      </c>
      <c r="O35">
        <v>1.5949507325312601E-2</v>
      </c>
      <c r="P35">
        <v>1.7146837044633802E-2</v>
      </c>
      <c r="Q35">
        <v>1.88389588709281E-2</v>
      </c>
      <c r="R35">
        <v>2.1717902095569001E-2</v>
      </c>
      <c r="S35">
        <v>2.56819919050662E-2</v>
      </c>
      <c r="T35">
        <v>3.0899485074244601E-2</v>
      </c>
      <c r="U35">
        <v>3.6956108683260498E-2</v>
      </c>
      <c r="V35">
        <v>4.3577770219366999E-2</v>
      </c>
      <c r="W35">
        <v>4.9828556796312699E-2</v>
      </c>
      <c r="X35">
        <v>5.5647446243947303E-2</v>
      </c>
      <c r="Y35">
        <v>6.0953549170476601E-2</v>
      </c>
      <c r="Z35">
        <v>6.5434642231173706E-2</v>
      </c>
      <c r="AA35">
        <v>6.9799705193791695E-2</v>
      </c>
      <c r="AB35">
        <v>7.3091151676875493E-2</v>
      </c>
      <c r="AC35">
        <v>7.6120413691209102E-2</v>
      </c>
      <c r="AD35">
        <v>8.0781056582677799E-2</v>
      </c>
      <c r="AE35">
        <v>8.6355830774834802E-2</v>
      </c>
      <c r="AF35">
        <v>8.9782860254577601E-2</v>
      </c>
      <c r="AG35">
        <v>9.27381326626847E-2</v>
      </c>
      <c r="AH35">
        <v>9.6933611193807695E-2</v>
      </c>
      <c r="AI35">
        <v>9.8819240827323906E-2</v>
      </c>
      <c r="AJ35">
        <v>9.7721950180966605E-2</v>
      </c>
      <c r="AK35">
        <v>9.5719381688466096E-2</v>
      </c>
      <c r="AL35">
        <v>8.8636363636363596E-2</v>
      </c>
      <c r="AM35">
        <v>8.9290925007295005E-2</v>
      </c>
      <c r="AN35">
        <v>8.7027246848312298E-2</v>
      </c>
      <c r="AO35">
        <v>9.2403628117913805E-2</v>
      </c>
      <c r="AP35">
        <v>9.2532467532467494E-2</v>
      </c>
      <c r="AQ35">
        <v>8.3138173302107696E-2</v>
      </c>
      <c r="AR35">
        <v>8.1355932203389797E-2</v>
      </c>
      <c r="AS35">
        <v>7.4441687344913104E-2</v>
      </c>
      <c r="AT35">
        <v>0.102127659574468</v>
      </c>
      <c r="AU35">
        <v>0.134751773049645</v>
      </c>
      <c r="AV35">
        <v>9.7560975609756101E-2</v>
      </c>
      <c r="AW35">
        <v>0</v>
      </c>
      <c r="AX35">
        <v>0</v>
      </c>
      <c r="AY35">
        <v>0</v>
      </c>
      <c r="AZ35">
        <v>0</v>
      </c>
      <c r="BA35">
        <v>766710</v>
      </c>
    </row>
    <row r="36" spans="1:53">
      <c r="A36" t="s">
        <v>113</v>
      </c>
      <c r="B36" t="s">
        <v>79</v>
      </c>
      <c r="C36">
        <v>1.4788348370182801E-2</v>
      </c>
      <c r="D36">
        <v>1.47883602120402E-2</v>
      </c>
      <c r="E36">
        <v>1.47884312635829E-2</v>
      </c>
      <c r="F36">
        <v>1.47885378421771E-2</v>
      </c>
      <c r="G36">
        <v>1.47894142133094E-2</v>
      </c>
      <c r="H36">
        <v>1.4793572469920999E-2</v>
      </c>
      <c r="I36">
        <v>1.4805420316647401E-2</v>
      </c>
      <c r="J36">
        <v>1.4836809555715201E-2</v>
      </c>
      <c r="K36">
        <v>1.4913221591863601E-2</v>
      </c>
      <c r="L36">
        <v>1.50629070504236E-2</v>
      </c>
      <c r="M36">
        <v>1.5351853240983799E-2</v>
      </c>
      <c r="N36">
        <v>1.58546147098323E-2</v>
      </c>
      <c r="O36">
        <v>1.6660799867564999E-2</v>
      </c>
      <c r="P36">
        <v>1.7889490084206601E-2</v>
      </c>
      <c r="Q36">
        <v>1.9646373996868499E-2</v>
      </c>
      <c r="R36">
        <v>2.2635379200344901E-2</v>
      </c>
      <c r="S36">
        <v>2.68035036276832E-2</v>
      </c>
      <c r="T36">
        <v>3.21208085949658E-2</v>
      </c>
      <c r="U36">
        <v>3.8396151884556501E-2</v>
      </c>
      <c r="V36">
        <v>4.5173513209382503E-2</v>
      </c>
      <c r="W36">
        <v>5.1689025634459901E-2</v>
      </c>
      <c r="X36">
        <v>5.7826171689561598E-2</v>
      </c>
      <c r="Y36">
        <v>6.3512123802797693E-2</v>
      </c>
      <c r="Z36">
        <v>6.8002213954060406E-2</v>
      </c>
      <c r="AA36">
        <v>7.2661059568195602E-2</v>
      </c>
      <c r="AB36">
        <v>7.5383589059372896E-2</v>
      </c>
      <c r="AC36">
        <v>7.8244274809160297E-2</v>
      </c>
      <c r="AD36">
        <v>8.1559717286267597E-2</v>
      </c>
      <c r="AE36">
        <v>8.5887495446739903E-2</v>
      </c>
      <c r="AF36">
        <v>8.7400449254645698E-2</v>
      </c>
      <c r="AG36">
        <v>9.0223200251493205E-2</v>
      </c>
      <c r="AH36">
        <v>9.1515331944030998E-2</v>
      </c>
      <c r="AI36">
        <v>9.1132419367620301E-2</v>
      </c>
      <c r="AJ36">
        <v>8.9631679795614205E-2</v>
      </c>
      <c r="AK36">
        <v>8.5166468489892996E-2</v>
      </c>
      <c r="AL36">
        <v>8.2438016528925601E-2</v>
      </c>
      <c r="AM36">
        <v>8.3746717245404098E-2</v>
      </c>
      <c r="AN36">
        <v>8.2553883692558006E-2</v>
      </c>
      <c r="AO36">
        <v>8.3333333333333301E-2</v>
      </c>
      <c r="AP36">
        <v>7.7922077922077906E-2</v>
      </c>
      <c r="AQ36">
        <v>7.1428571428571397E-2</v>
      </c>
      <c r="AR36">
        <v>6.7796610169491497E-2</v>
      </c>
      <c r="AS36">
        <v>7.69230769230769E-2</v>
      </c>
      <c r="AT36">
        <v>8.5106382978723402E-2</v>
      </c>
      <c r="AU36">
        <v>6.3829787234042507E-2</v>
      </c>
      <c r="AV36">
        <v>7.3170731707317097E-2</v>
      </c>
      <c r="AW36">
        <v>0</v>
      </c>
      <c r="AX36">
        <v>0</v>
      </c>
      <c r="AY36">
        <v>0</v>
      </c>
      <c r="AZ36">
        <v>0</v>
      </c>
      <c r="BA36">
        <v>798862</v>
      </c>
    </row>
    <row r="37" spans="1:53">
      <c r="A37" t="s">
        <v>121</v>
      </c>
      <c r="B37" t="s">
        <v>75</v>
      </c>
      <c r="C37">
        <v>5.7003365574409798E-2</v>
      </c>
      <c r="D37">
        <v>5.7003411220191903E-2</v>
      </c>
      <c r="E37">
        <v>5.7003685096419503E-2</v>
      </c>
      <c r="F37">
        <v>5.7004095915695399E-2</v>
      </c>
      <c r="G37">
        <v>5.7007473987592198E-2</v>
      </c>
      <c r="H37">
        <v>5.7022701421041697E-2</v>
      </c>
      <c r="I37">
        <v>5.7066766288728102E-2</v>
      </c>
      <c r="J37">
        <v>5.7180524156813198E-2</v>
      </c>
      <c r="K37">
        <v>5.7465656944211102E-2</v>
      </c>
      <c r="L37">
        <v>5.8066539067042101E-2</v>
      </c>
      <c r="M37">
        <v>5.9205360938164198E-2</v>
      </c>
      <c r="N37">
        <v>6.1124063804883298E-2</v>
      </c>
      <c r="O37">
        <v>6.4229170816631195E-2</v>
      </c>
      <c r="P37">
        <v>6.8942957173674699E-2</v>
      </c>
      <c r="Q37">
        <v>7.57191722903858E-2</v>
      </c>
      <c r="R37">
        <v>8.72501478870438E-2</v>
      </c>
      <c r="S37">
        <v>0.103614525769708</v>
      </c>
      <c r="T37">
        <v>0.12510686580806299</v>
      </c>
      <c r="U37">
        <v>0.15102453073592201</v>
      </c>
      <c r="V37">
        <v>0.180388890831471</v>
      </c>
      <c r="W37">
        <v>0.209016672201395</v>
      </c>
      <c r="X37">
        <v>0.23771093910062599</v>
      </c>
      <c r="Y37">
        <v>0.26568288542789498</v>
      </c>
      <c r="Z37">
        <v>0.29109652224716298</v>
      </c>
      <c r="AA37">
        <v>0.31748509109126499</v>
      </c>
      <c r="AB37">
        <v>0.34215537631148002</v>
      </c>
      <c r="AC37">
        <v>0.36450381679389299</v>
      </c>
      <c r="AD37">
        <v>0.38771313341053398</v>
      </c>
      <c r="AE37">
        <v>0.40635895301035502</v>
      </c>
      <c r="AF37">
        <v>0.42144850588795901</v>
      </c>
      <c r="AG37">
        <v>0.43256837472492898</v>
      </c>
      <c r="AH37">
        <v>0.43965465912474</v>
      </c>
      <c r="AI37">
        <v>0.43957524368016498</v>
      </c>
      <c r="AJ37">
        <v>0.44485842026825601</v>
      </c>
      <c r="AK37">
        <v>0.45734244946492297</v>
      </c>
      <c r="AL37">
        <v>0.44772727272727297</v>
      </c>
      <c r="AM37">
        <v>0.44995622993872197</v>
      </c>
      <c r="AN37">
        <v>0.44733631557543702</v>
      </c>
      <c r="AO37">
        <v>0.44954648526077101</v>
      </c>
      <c r="AP37">
        <v>0.44561688311688302</v>
      </c>
      <c r="AQ37">
        <v>0.44028103044496503</v>
      </c>
      <c r="AR37">
        <v>0.41525423728813599</v>
      </c>
      <c r="AS37">
        <v>0.42431761786600503</v>
      </c>
      <c r="AT37">
        <v>0.41702127659574501</v>
      </c>
      <c r="AU37">
        <v>0.37588652482269502</v>
      </c>
      <c r="AV37">
        <v>0.41463414634146301</v>
      </c>
      <c r="AW37">
        <v>0.37254901960784298</v>
      </c>
      <c r="AX37">
        <v>0.52941176470588203</v>
      </c>
      <c r="AY37">
        <v>0.6</v>
      </c>
      <c r="AZ37">
        <v>1</v>
      </c>
      <c r="BA37">
        <v>2999742</v>
      </c>
    </row>
    <row r="38" spans="1:53">
      <c r="A38" t="s">
        <v>121</v>
      </c>
      <c r="B38" t="s">
        <v>76</v>
      </c>
      <c r="C38">
        <v>4.82278885444751E-2</v>
      </c>
      <c r="D38">
        <v>4.8227927163242097E-2</v>
      </c>
      <c r="E38">
        <v>4.8228158877142602E-2</v>
      </c>
      <c r="F38">
        <v>4.82285064521683E-2</v>
      </c>
      <c r="G38">
        <v>4.8231364481221298E-2</v>
      </c>
      <c r="H38">
        <v>4.8244124385203202E-2</v>
      </c>
      <c r="I38">
        <v>4.8281960363353298E-2</v>
      </c>
      <c r="J38">
        <v>4.8377896785036602E-2</v>
      </c>
      <c r="K38">
        <v>4.8619008542148602E-2</v>
      </c>
      <c r="L38">
        <v>4.9126127656238798E-2</v>
      </c>
      <c r="M38">
        <v>5.0061260720626097E-2</v>
      </c>
      <c r="N38">
        <v>5.1644589583619102E-2</v>
      </c>
      <c r="O38">
        <v>5.4163744636881499E-2</v>
      </c>
      <c r="P38">
        <v>5.8014365817527398E-2</v>
      </c>
      <c r="Q38">
        <v>6.3514110670427296E-2</v>
      </c>
      <c r="R38">
        <v>7.2932372313492297E-2</v>
      </c>
      <c r="S38">
        <v>8.6097953711013406E-2</v>
      </c>
      <c r="T38">
        <v>0.103046217245876</v>
      </c>
      <c r="U38">
        <v>0.123313699410982</v>
      </c>
      <c r="V38">
        <v>0.14561949476615399</v>
      </c>
      <c r="W38">
        <v>0.16665799781544899</v>
      </c>
      <c r="X38">
        <v>0.187225473098238</v>
      </c>
      <c r="Y38">
        <v>0.20675513263700501</v>
      </c>
      <c r="Z38">
        <v>0.22410903723747699</v>
      </c>
      <c r="AA38">
        <v>0.24264670462537499</v>
      </c>
      <c r="AB38">
        <v>0.25928801018861097</v>
      </c>
      <c r="AC38">
        <v>0.27451674464417603</v>
      </c>
      <c r="AD38">
        <v>0.29159845066485601</v>
      </c>
      <c r="AE38">
        <v>0.30460009366706597</v>
      </c>
      <c r="AF38">
        <v>0.31158532434823999</v>
      </c>
      <c r="AG38">
        <v>0.31746530740557799</v>
      </c>
      <c r="AH38">
        <v>0.322476927657041</v>
      </c>
      <c r="AI38">
        <v>0.32704651715666799</v>
      </c>
      <c r="AJ38">
        <v>0.33936555248030698</v>
      </c>
      <c r="AK38">
        <v>0.351516052318668</v>
      </c>
      <c r="AL38">
        <v>0.344214876033058</v>
      </c>
      <c r="AM38">
        <v>0.34636708491391899</v>
      </c>
      <c r="AN38">
        <v>0.35014233428222902</v>
      </c>
      <c r="AO38">
        <v>0.35487528344671199</v>
      </c>
      <c r="AP38">
        <v>0.37012987012986998</v>
      </c>
      <c r="AQ38">
        <v>0.371194379391101</v>
      </c>
      <c r="AR38">
        <v>0.38305084745762702</v>
      </c>
      <c r="AS38">
        <v>0.40694789081885901</v>
      </c>
      <c r="AT38">
        <v>0.39574468085106401</v>
      </c>
      <c r="AU38">
        <v>0.36170212765957399</v>
      </c>
      <c r="AV38">
        <v>0.45121951219512202</v>
      </c>
      <c r="AW38">
        <v>0.43137254901960798</v>
      </c>
      <c r="AX38">
        <v>0.441176470588235</v>
      </c>
      <c r="AY38">
        <v>0.35</v>
      </c>
      <c r="AZ38">
        <v>0.5</v>
      </c>
      <c r="BA38">
        <v>2622227</v>
      </c>
    </row>
    <row r="39" spans="1:53">
      <c r="A39" t="s">
        <v>98</v>
      </c>
      <c r="B39" t="s">
        <v>72</v>
      </c>
      <c r="C39">
        <v>2.9346079221922099E-2</v>
      </c>
      <c r="D39">
        <v>2.93461027209686E-2</v>
      </c>
      <c r="E39">
        <v>2.93462437160378E-2</v>
      </c>
      <c r="F39">
        <v>2.9346455211181899E-2</v>
      </c>
      <c r="G39">
        <v>2.9345791847883999E-2</v>
      </c>
      <c r="H39">
        <v>2.93516397250837E-2</v>
      </c>
      <c r="I39">
        <v>2.93671300107986E-2</v>
      </c>
      <c r="J39">
        <v>2.93835991715552E-2</v>
      </c>
      <c r="K39">
        <v>2.94322895801295E-2</v>
      </c>
      <c r="L39">
        <v>2.95860742211741E-2</v>
      </c>
      <c r="M39">
        <v>2.9822718975820801E-2</v>
      </c>
      <c r="N39">
        <v>3.0110053331746201E-2</v>
      </c>
      <c r="O39">
        <v>3.05091744913394E-2</v>
      </c>
      <c r="P39">
        <v>3.0986117496355499E-2</v>
      </c>
      <c r="Q39">
        <v>3.1631033109475702E-2</v>
      </c>
      <c r="R39">
        <v>3.2449176259542099E-2</v>
      </c>
      <c r="S39">
        <v>3.3645351678508302E-2</v>
      </c>
      <c r="T39">
        <v>3.5101231960854601E-2</v>
      </c>
      <c r="U39">
        <v>3.69036071082132E-2</v>
      </c>
      <c r="V39">
        <v>3.87047144351165E-2</v>
      </c>
      <c r="W39">
        <v>4.0398180341446002E-2</v>
      </c>
      <c r="X39">
        <v>4.2155339126610902E-2</v>
      </c>
      <c r="Y39">
        <v>4.3124062991735698E-2</v>
      </c>
      <c r="Z39">
        <v>4.4033086313459001E-2</v>
      </c>
      <c r="AA39">
        <v>4.5762401610836501E-2</v>
      </c>
      <c r="AB39">
        <v>4.61034629146704E-2</v>
      </c>
      <c r="AC39">
        <v>4.7494459492735799E-2</v>
      </c>
      <c r="AD39">
        <v>4.7438405941780101E-2</v>
      </c>
      <c r="AE39">
        <v>4.79002966123745E-2</v>
      </c>
      <c r="AF39">
        <v>5.0473078755700798E-2</v>
      </c>
      <c r="AG39">
        <v>5.3038128171733999E-2</v>
      </c>
      <c r="AH39">
        <v>5.0431676094075603E-2</v>
      </c>
      <c r="AI39">
        <v>5.2064347412631697E-2</v>
      </c>
      <c r="AJ39">
        <v>5.2160953800298102E-2</v>
      </c>
      <c r="AK39">
        <v>5.4994054696789502E-2</v>
      </c>
      <c r="AL39">
        <v>5.2685950413223097E-2</v>
      </c>
      <c r="AM39">
        <v>4.9314269039976703E-2</v>
      </c>
      <c r="AN39">
        <v>4.5140300935339599E-2</v>
      </c>
      <c r="AO39">
        <v>3.6281179138322003E-2</v>
      </c>
      <c r="AP39">
        <v>4.6266233766233802E-2</v>
      </c>
      <c r="AQ39">
        <v>5.9718969555035098E-2</v>
      </c>
      <c r="AR39">
        <v>6.7796610169491497E-2</v>
      </c>
      <c r="AS39">
        <v>8.4367245657568202E-2</v>
      </c>
      <c r="AT39">
        <v>8.9361702127659606E-2</v>
      </c>
      <c r="AU39">
        <v>9.2198581560283696E-2</v>
      </c>
      <c r="AV39">
        <v>0.134146341463415</v>
      </c>
      <c r="AW39">
        <v>0.19607843137254899</v>
      </c>
      <c r="AX39">
        <v>0.29411764705882398</v>
      </c>
      <c r="AY39">
        <v>0.5</v>
      </c>
      <c r="AZ39">
        <v>0.83333333333333304</v>
      </c>
      <c r="BA39">
        <v>3194272</v>
      </c>
    </row>
    <row r="40" spans="1:53">
      <c r="A40" t="s">
        <v>98</v>
      </c>
      <c r="B40" t="s">
        <v>35</v>
      </c>
      <c r="C40" s="1">
        <v>7.0466463968815406E-5</v>
      </c>
      <c r="D40" s="1">
        <v>7.0466520395253093E-5</v>
      </c>
      <c r="E40" s="1">
        <v>7.0466858955777205E-5</v>
      </c>
      <c r="F40" s="1">
        <v>7.0467366802663304E-5</v>
      </c>
      <c r="G40" s="1">
        <v>7.0471542710159293E-5</v>
      </c>
      <c r="H40" s="1">
        <v>7.0491356798410695E-5</v>
      </c>
      <c r="I40" s="1">
        <v>7.0547811775231495E-5</v>
      </c>
      <c r="J40" s="1">
        <v>7.0697381465396005E-5</v>
      </c>
      <c r="K40" s="1">
        <v>7.1076879337305006E-5</v>
      </c>
      <c r="L40" s="1">
        <v>7.1856443889915897E-5</v>
      </c>
      <c r="M40" s="1">
        <v>7.3346168912893098E-5</v>
      </c>
      <c r="N40" s="1">
        <v>7.5904798132051901E-5</v>
      </c>
      <c r="O40" s="1">
        <v>8.0043150534788295E-5</v>
      </c>
      <c r="P40" s="1">
        <v>8.6446385558738397E-5</v>
      </c>
      <c r="Q40" s="1">
        <v>9.6016933895614294E-5</v>
      </c>
      <c r="R40">
        <v>1.1292025904934E-4</v>
      </c>
      <c r="S40">
        <v>1.37839429595379E-4</v>
      </c>
      <c r="T40">
        <v>1.7334914487654801E-4</v>
      </c>
      <c r="U40">
        <v>2.0500615018450601E-4</v>
      </c>
      <c r="V40">
        <v>2.4476535902627901E-4</v>
      </c>
      <c r="W40">
        <v>2.9607461080192202E-4</v>
      </c>
      <c r="X40">
        <v>3.4979536970871999E-4</v>
      </c>
      <c r="Y40">
        <v>4.1507142945644202E-4</v>
      </c>
      <c r="Z40">
        <v>4.8430245072414799E-4</v>
      </c>
      <c r="AA40">
        <v>5.3951462951723104E-4</v>
      </c>
      <c r="AB40">
        <v>6.5498210928497801E-4</v>
      </c>
      <c r="AC40">
        <v>8.0029549372075798E-4</v>
      </c>
      <c r="AD40">
        <v>9.3838597612107201E-4</v>
      </c>
      <c r="AE40">
        <v>1.2228755789144999E-3</v>
      </c>
      <c r="AF40">
        <v>1.46348104281533E-3</v>
      </c>
      <c r="AG40">
        <v>1.48201374230925E-3</v>
      </c>
      <c r="AH40">
        <v>1.9648704971717799E-3</v>
      </c>
      <c r="AI40">
        <v>1.82264838735241E-3</v>
      </c>
      <c r="AJ40">
        <v>1.91611667021503E-3</v>
      </c>
      <c r="AK40">
        <v>1.7835909631391199E-3</v>
      </c>
      <c r="AL40">
        <v>1.4462809917355399E-3</v>
      </c>
      <c r="AM40">
        <v>8.7540122556171605E-4</v>
      </c>
      <c r="AN40">
        <v>1.22000813338756E-3</v>
      </c>
      <c r="AO40">
        <v>1.70068027210884E-3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3278</v>
      </c>
    </row>
    <row r="41" spans="1:53">
      <c r="A41" t="s">
        <v>114</v>
      </c>
      <c r="B41" t="s">
        <v>26</v>
      </c>
      <c r="C41">
        <v>9.09337687306668E-3</v>
      </c>
      <c r="D41">
        <v>9.0933841546419793E-3</v>
      </c>
      <c r="E41">
        <v>9.0934278443387095E-3</v>
      </c>
      <c r="F41">
        <v>9.0934933796709694E-3</v>
      </c>
      <c r="G41">
        <v>9.0940322615519296E-3</v>
      </c>
      <c r="H41">
        <v>9.0965891795767306E-3</v>
      </c>
      <c r="I41">
        <v>9.1038744377219209E-3</v>
      </c>
      <c r="J41">
        <v>9.1215689677057593E-3</v>
      </c>
      <c r="K41">
        <v>9.1656866672697405E-3</v>
      </c>
      <c r="L41">
        <v>9.2507006003279303E-3</v>
      </c>
      <c r="M41">
        <v>9.4033122463097699E-3</v>
      </c>
      <c r="N41">
        <v>9.6994256249423195E-3</v>
      </c>
      <c r="O41">
        <v>1.01072669175292E-2</v>
      </c>
      <c r="P41">
        <v>1.06780933070851E-2</v>
      </c>
      <c r="Q41">
        <v>1.15122121537798E-2</v>
      </c>
      <c r="R41">
        <v>1.27291928382892E-2</v>
      </c>
      <c r="S41">
        <v>1.4324336177837901E-2</v>
      </c>
      <c r="T41">
        <v>1.6338156904614601E-2</v>
      </c>
      <c r="U41">
        <v>1.8768063041891301E-2</v>
      </c>
      <c r="V41">
        <v>2.1250083442736E-2</v>
      </c>
      <c r="W41">
        <v>2.3994046499717901E-2</v>
      </c>
      <c r="X41">
        <v>2.6199673191183201E-2</v>
      </c>
      <c r="Y41">
        <v>2.86399286324945E-2</v>
      </c>
      <c r="Z41">
        <v>3.0549491098059701E-2</v>
      </c>
      <c r="AA41">
        <v>3.1474898118442701E-2</v>
      </c>
      <c r="AB41">
        <v>3.2373097216326002E-2</v>
      </c>
      <c r="AC41">
        <v>3.2273454814085202E-2</v>
      </c>
      <c r="AD41">
        <v>3.2823543505171103E-2</v>
      </c>
      <c r="AE41">
        <v>3.3173752406723198E-2</v>
      </c>
      <c r="AF41">
        <v>3.1515894084813798E-2</v>
      </c>
      <c r="AG41">
        <v>2.89217227287017E-2</v>
      </c>
      <c r="AH41">
        <v>2.80440607323608E-2</v>
      </c>
      <c r="AI41">
        <v>2.6943497899992098E-2</v>
      </c>
      <c r="AJ41">
        <v>2.39514583776879E-2</v>
      </c>
      <c r="AK41">
        <v>2.00653983353151E-2</v>
      </c>
      <c r="AL41">
        <v>1.6735537190082601E-2</v>
      </c>
      <c r="AM41">
        <v>1.6632623285672599E-2</v>
      </c>
      <c r="AN41">
        <v>2.0333468889792601E-2</v>
      </c>
      <c r="AO41">
        <v>2.0975056689342401E-2</v>
      </c>
      <c r="AP41">
        <v>2.6785714285714302E-2</v>
      </c>
      <c r="AQ41">
        <v>3.2786885245901599E-2</v>
      </c>
      <c r="AR41">
        <v>3.3898305084745797E-2</v>
      </c>
      <c r="AS41">
        <v>3.2258064516128997E-2</v>
      </c>
      <c r="AT41">
        <v>5.1063829787233998E-2</v>
      </c>
      <c r="AU41">
        <v>7.8014184397163094E-2</v>
      </c>
      <c r="AV41">
        <v>8.5365853658536606E-2</v>
      </c>
      <c r="AW41">
        <v>9.8039215686274495E-2</v>
      </c>
      <c r="AX41">
        <v>0.11764705882352899</v>
      </c>
      <c r="AY41">
        <v>0</v>
      </c>
      <c r="AZ41">
        <v>0</v>
      </c>
      <c r="BA41">
        <v>790652</v>
      </c>
    </row>
    <row r="42" spans="1:53">
      <c r="A42" t="s">
        <v>122</v>
      </c>
      <c r="B42" t="s">
        <v>82</v>
      </c>
      <c r="C42">
        <v>8.6241342834561595E-4</v>
      </c>
      <c r="D42">
        <v>8.6241411892826799E-4</v>
      </c>
      <c r="E42">
        <v>8.6241826244741005E-4</v>
      </c>
      <c r="F42">
        <v>8.6242447780077798E-4</v>
      </c>
      <c r="G42">
        <v>8.6247558521410897E-4</v>
      </c>
      <c r="H42">
        <v>8.62718082635095E-4</v>
      </c>
      <c r="I42">
        <v>8.6340901456732097E-4</v>
      </c>
      <c r="J42">
        <v>8.6523954361626795E-4</v>
      </c>
      <c r="K42">
        <v>8.69884080071335E-4</v>
      </c>
      <c r="L42">
        <v>8.7942488715272104E-4</v>
      </c>
      <c r="M42">
        <v>8.9765708999074798E-4</v>
      </c>
      <c r="N42">
        <v>9.2897122259340801E-4</v>
      </c>
      <c r="O42">
        <v>9.7961901279508003E-4</v>
      </c>
      <c r="P42">
        <v>1.0579858778041E-3</v>
      </c>
      <c r="Q42">
        <v>1.17402523717819E-3</v>
      </c>
      <c r="R42">
        <v>1.3717245104970901E-3</v>
      </c>
      <c r="S42">
        <v>1.6634712980714999E-3</v>
      </c>
      <c r="T42">
        <v>2.01321393254354E-3</v>
      </c>
      <c r="U42">
        <v>2.4475734272028202E-3</v>
      </c>
      <c r="V42">
        <v>2.91811168293668E-3</v>
      </c>
      <c r="W42">
        <v>3.3848529829516999E-3</v>
      </c>
      <c r="X42">
        <v>3.5928981545795698E-3</v>
      </c>
      <c r="Y42">
        <v>4.0082270874375802E-3</v>
      </c>
      <c r="Z42">
        <v>4.20497524676363E-3</v>
      </c>
      <c r="AA42">
        <v>4.5955085407092698E-3</v>
      </c>
      <c r="AB42">
        <v>4.9851416095578896E-3</v>
      </c>
      <c r="AC42">
        <v>5.32504309283428E-3</v>
      </c>
      <c r="AD42">
        <v>6.0296290380545499E-3</v>
      </c>
      <c r="AE42">
        <v>6.9209554040693096E-3</v>
      </c>
      <c r="AF42">
        <v>7.6577496426383498E-3</v>
      </c>
      <c r="AG42">
        <v>8.7124444244846607E-3</v>
      </c>
      <c r="AH42">
        <v>1.00625186067282E-2</v>
      </c>
      <c r="AI42">
        <v>1.1094381488232E-2</v>
      </c>
      <c r="AJ42">
        <v>1.0432190760059599E-2</v>
      </c>
      <c r="AK42">
        <v>1.05529131985731E-2</v>
      </c>
      <c r="AL42">
        <v>8.0578512396694193E-3</v>
      </c>
      <c r="AM42">
        <v>2.0426028596440002E-3</v>
      </c>
      <c r="AN42">
        <v>1.22000813338756E-3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44117</v>
      </c>
    </row>
    <row r="43" spans="1:53">
      <c r="A43" t="s">
        <v>122</v>
      </c>
      <c r="B43" t="s">
        <v>83</v>
      </c>
      <c r="C43">
        <v>4.9975136548792796E-3</v>
      </c>
      <c r="D43">
        <v>4.9975176566678901E-3</v>
      </c>
      <c r="E43">
        <v>4.9975416675341602E-3</v>
      </c>
      <c r="F43">
        <v>4.9975776842661598E-3</v>
      </c>
      <c r="G43">
        <v>4.9978738415239104E-3</v>
      </c>
      <c r="H43">
        <v>4.9992790656691096E-3</v>
      </c>
      <c r="I43">
        <v>5.0032828782865897E-3</v>
      </c>
      <c r="J43">
        <v>5.0138904286992801E-3</v>
      </c>
      <c r="K43">
        <v>5.0408045902740999E-3</v>
      </c>
      <c r="L43">
        <v>5.0952751121940403E-3</v>
      </c>
      <c r="M43">
        <v>5.2000766800856801E-3</v>
      </c>
      <c r="N43">
        <v>5.3814776766576396E-3</v>
      </c>
      <c r="O43">
        <v>5.6748774566652803E-3</v>
      </c>
      <c r="P43">
        <v>6.1259052311851397E-3</v>
      </c>
      <c r="Q43">
        <v>6.7822870578992996E-3</v>
      </c>
      <c r="R43">
        <v>7.9121172420253301E-3</v>
      </c>
      <c r="S43">
        <v>9.55007957094345E-3</v>
      </c>
      <c r="T43">
        <v>1.17660732084957E-2</v>
      </c>
      <c r="U43">
        <v>1.4445433363000901E-2</v>
      </c>
      <c r="V43">
        <v>1.73815192617622E-2</v>
      </c>
      <c r="W43">
        <v>2.0557180409463201E-2</v>
      </c>
      <c r="X43">
        <v>2.3661158222439901E-2</v>
      </c>
      <c r="Y43">
        <v>2.6874326283314098E-2</v>
      </c>
      <c r="Z43">
        <v>2.9557824175148399E-2</v>
      </c>
      <c r="AA43">
        <v>3.2024046937772797E-2</v>
      </c>
      <c r="AB43">
        <v>3.4871732670264999E-2</v>
      </c>
      <c r="AC43">
        <v>3.7059837478453601E-2</v>
      </c>
      <c r="AD43">
        <v>3.9132691770155298E-2</v>
      </c>
      <c r="AE43">
        <v>4.0328875474840001E-2</v>
      </c>
      <c r="AF43">
        <v>4.0977469198829199E-2</v>
      </c>
      <c r="AG43">
        <v>4.0957470696546497E-2</v>
      </c>
      <c r="AH43">
        <v>4.3048526347127102E-2</v>
      </c>
      <c r="AI43">
        <v>4.2634123147634498E-2</v>
      </c>
      <c r="AJ43">
        <v>4.3219076005961303E-2</v>
      </c>
      <c r="AK43">
        <v>4.1617122473246101E-2</v>
      </c>
      <c r="AL43">
        <v>3.8429752066115701E-2</v>
      </c>
      <c r="AM43">
        <v>3.2681645754304101E-2</v>
      </c>
      <c r="AN43">
        <v>2.35868239121594E-2</v>
      </c>
      <c r="AO43">
        <v>1.8140589569161002E-2</v>
      </c>
      <c r="AP43">
        <v>1.8668831168831199E-2</v>
      </c>
      <c r="AQ43">
        <v>1.99063231850117E-2</v>
      </c>
      <c r="AR43">
        <v>2.3728813559322E-2</v>
      </c>
      <c r="AS43">
        <v>2.2332506203473899E-2</v>
      </c>
      <c r="AT43">
        <v>3.8297872340425497E-2</v>
      </c>
      <c r="AU43">
        <v>5.6737588652482303E-2</v>
      </c>
      <c r="AV43">
        <v>8.5365853658536606E-2</v>
      </c>
      <c r="AW43">
        <v>0.11764705882352899</v>
      </c>
      <c r="AX43">
        <v>0.17647058823529399</v>
      </c>
      <c r="AY43">
        <v>0.3</v>
      </c>
      <c r="AZ43">
        <v>0.5</v>
      </c>
      <c r="BA43">
        <v>248866</v>
      </c>
    </row>
    <row r="44" spans="1:53">
      <c r="A44" t="s">
        <v>104</v>
      </c>
      <c r="B44" t="s">
        <v>142</v>
      </c>
      <c r="C44">
        <v>1.1723857942811699E-2</v>
      </c>
      <c r="D44">
        <v>1.1723867330760199E-2</v>
      </c>
      <c r="E44">
        <v>1.1723923658767401E-2</v>
      </c>
      <c r="F44">
        <v>1.17240081517931E-2</v>
      </c>
      <c r="G44">
        <v>1.1722300479446701E-2</v>
      </c>
      <c r="H44">
        <v>1.17199891058812E-2</v>
      </c>
      <c r="I44">
        <v>1.17101350750092E-2</v>
      </c>
      <c r="J44">
        <v>1.1711663943210699E-2</v>
      </c>
      <c r="K44">
        <v>1.17204158643595E-2</v>
      </c>
      <c r="L44">
        <v>1.17575106314875E-2</v>
      </c>
      <c r="M44">
        <v>1.1824569299627399E-2</v>
      </c>
      <c r="N44">
        <v>1.19757070143796E-2</v>
      </c>
      <c r="O44">
        <v>1.22802565382975E-2</v>
      </c>
      <c r="P44">
        <v>1.28451470177962E-2</v>
      </c>
      <c r="Q44">
        <v>1.3699870704469701E-2</v>
      </c>
      <c r="R44">
        <v>1.54367126859495E-2</v>
      </c>
      <c r="S44">
        <v>1.7911294061626799E-2</v>
      </c>
      <c r="T44">
        <v>2.1453926555119102E-2</v>
      </c>
      <c r="U44">
        <v>2.5968279048371502E-2</v>
      </c>
      <c r="V44">
        <v>3.1129703388887701E-2</v>
      </c>
      <c r="W44">
        <v>3.6473191244193501E-2</v>
      </c>
      <c r="X44">
        <v>4.2085380052669201E-2</v>
      </c>
      <c r="Y44">
        <v>4.8427065135238902E-2</v>
      </c>
      <c r="Z44">
        <v>5.4057378309400099E-2</v>
      </c>
      <c r="AA44">
        <v>6.0733932579939698E-2</v>
      </c>
      <c r="AB44">
        <v>6.7353993571471898E-2</v>
      </c>
      <c r="AC44">
        <v>7.4781457769022397E-2</v>
      </c>
      <c r="AD44">
        <v>8.1220301082138693E-2</v>
      </c>
      <c r="AE44">
        <v>8.8255190716553106E-2</v>
      </c>
      <c r="AF44">
        <v>9.7814988768633898E-2</v>
      </c>
      <c r="AG44">
        <v>0.108411550725289</v>
      </c>
      <c r="AH44">
        <v>0.11884489431378401</v>
      </c>
      <c r="AI44">
        <v>0.13091370156113799</v>
      </c>
      <c r="AJ44">
        <v>0.14296359378326601</v>
      </c>
      <c r="AK44">
        <v>0.162158145065398</v>
      </c>
      <c r="AL44">
        <v>0.17706611570247899</v>
      </c>
      <c r="AM44">
        <v>0.205135687189962</v>
      </c>
      <c r="AN44">
        <v>0.22163481089873899</v>
      </c>
      <c r="AO44">
        <v>0.23185941043083899</v>
      </c>
      <c r="AP44">
        <v>0.23863636363636401</v>
      </c>
      <c r="AQ44">
        <v>0.23653395784543299</v>
      </c>
      <c r="AR44">
        <v>0.28305084745762699</v>
      </c>
      <c r="AS44">
        <v>0.310173697270471</v>
      </c>
      <c r="AT44">
        <v>0.32340425531914901</v>
      </c>
      <c r="AU44">
        <v>0.33333333333333298</v>
      </c>
      <c r="AV44">
        <v>0.34146341463414598</v>
      </c>
      <c r="AW44">
        <v>0.37254901960784298</v>
      </c>
      <c r="AX44">
        <v>0.52941176470588203</v>
      </c>
      <c r="AY44">
        <v>0.6</v>
      </c>
      <c r="AZ44">
        <v>1</v>
      </c>
      <c r="BA44">
        <v>660327</v>
      </c>
    </row>
    <row r="45" spans="1:53">
      <c r="A45" t="s">
        <v>109</v>
      </c>
      <c r="B45" t="s">
        <v>28</v>
      </c>
      <c r="C45">
        <v>1.5827728713722799E-2</v>
      </c>
      <c r="D45">
        <v>1.58277413878701E-2</v>
      </c>
      <c r="E45">
        <v>1.58278174331806E-2</v>
      </c>
      <c r="F45">
        <v>1.58279315025164E-2</v>
      </c>
      <c r="G45">
        <v>1.5828869468284198E-2</v>
      </c>
      <c r="H45">
        <v>1.5833319982697599E-2</v>
      </c>
      <c r="I45">
        <v>1.58443971809736E-2</v>
      </c>
      <c r="J45">
        <v>1.58739722769859E-2</v>
      </c>
      <c r="K45">
        <v>1.5951105568550401E-2</v>
      </c>
      <c r="L45">
        <v>1.6109724789819899E-2</v>
      </c>
      <c r="M45">
        <v>1.6377866126572199E-2</v>
      </c>
      <c r="N45">
        <v>1.6831026431258299E-2</v>
      </c>
      <c r="O45">
        <v>1.7531269129630801E-2</v>
      </c>
      <c r="P45">
        <v>1.86350901596508E-2</v>
      </c>
      <c r="Q45">
        <v>2.0114456549609701E-2</v>
      </c>
      <c r="R45">
        <v>2.2441618301294299E-2</v>
      </c>
      <c r="S45">
        <v>2.5409445760184501E-2</v>
      </c>
      <c r="T45">
        <v>2.9181752638649801E-2</v>
      </c>
      <c r="U45">
        <v>3.31959958798764E-2</v>
      </c>
      <c r="V45">
        <v>3.7175725633926397E-2</v>
      </c>
      <c r="W45">
        <v>4.11383668684508E-2</v>
      </c>
      <c r="X45">
        <v>4.4444000259848002E-2</v>
      </c>
      <c r="Y45">
        <v>4.7491605644971402E-2</v>
      </c>
      <c r="Z45">
        <v>4.9375787952400003E-2</v>
      </c>
      <c r="AA45">
        <v>5.0781814503309299E-2</v>
      </c>
      <c r="AB45">
        <v>5.1864879616714203E-2</v>
      </c>
      <c r="AC45">
        <v>5.32504309283428E-2</v>
      </c>
      <c r="AD45">
        <v>5.6562712135127598E-2</v>
      </c>
      <c r="AE45">
        <v>5.9946921996149198E-2</v>
      </c>
      <c r="AF45">
        <v>6.2623374855353603E-2</v>
      </c>
      <c r="AG45">
        <v>6.4040957470696505E-2</v>
      </c>
      <c r="AH45">
        <v>6.37689788627568E-2</v>
      </c>
      <c r="AI45">
        <v>6.1970045169981801E-2</v>
      </c>
      <c r="AJ45">
        <v>6.26995954864807E-2</v>
      </c>
      <c r="AK45">
        <v>6.7330558858501796E-2</v>
      </c>
      <c r="AL45">
        <v>6.3636363636363602E-2</v>
      </c>
      <c r="AM45">
        <v>4.9022468631456102E-2</v>
      </c>
      <c r="AN45">
        <v>4.2293615290768603E-2</v>
      </c>
      <c r="AO45">
        <v>4.08163265306122E-2</v>
      </c>
      <c r="AP45">
        <v>3.2467532467532499E-2</v>
      </c>
      <c r="AQ45">
        <v>2.4590163934426201E-2</v>
      </c>
      <c r="AR45">
        <v>2.5423728813559299E-2</v>
      </c>
      <c r="AS45">
        <v>2.2332506203473899E-2</v>
      </c>
      <c r="AT45">
        <v>2.97872340425532E-2</v>
      </c>
      <c r="AU45">
        <v>4.9645390070922002E-2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954440</v>
      </c>
    </row>
    <row r="46" spans="1:53">
      <c r="A46" t="s">
        <v>109</v>
      </c>
      <c r="B46" t="s">
        <v>84</v>
      </c>
      <c r="C46">
        <v>0.11192957197228399</v>
      </c>
      <c r="D46">
        <v>0.111929661600551</v>
      </c>
      <c r="E46">
        <v>0.11193019937316501</v>
      </c>
      <c r="F46">
        <v>0.111931006041776</v>
      </c>
      <c r="G46">
        <v>0.11193603746523501</v>
      </c>
      <c r="H46">
        <v>0.111967509892821</v>
      </c>
      <c r="I46">
        <v>0.112054777169125</v>
      </c>
      <c r="J46">
        <v>0.112265835008379</v>
      </c>
      <c r="K46">
        <v>0.11281031519365201</v>
      </c>
      <c r="L46">
        <v>0.113945539347935</v>
      </c>
      <c r="M46">
        <v>0.11598946482301099</v>
      </c>
      <c r="N46">
        <v>0.11938099637123301</v>
      </c>
      <c r="O46">
        <v>0.12469904230189501</v>
      </c>
      <c r="P46">
        <v>0.132733513298991</v>
      </c>
      <c r="Q46">
        <v>0.14419561268078199</v>
      </c>
      <c r="R46">
        <v>0.16280021711486201</v>
      </c>
      <c r="S46">
        <v>0.18783285089533</v>
      </c>
      <c r="T46">
        <v>0.218811927997069</v>
      </c>
      <c r="U46">
        <v>0.25289008670260099</v>
      </c>
      <c r="V46">
        <v>0.28799982198883001</v>
      </c>
      <c r="W46">
        <v>0.319356477832414</v>
      </c>
      <c r="X46">
        <v>0.34710694243867302</v>
      </c>
      <c r="Y46">
        <v>0.370057862196285</v>
      </c>
      <c r="Z46">
        <v>0.38881799452661397</v>
      </c>
      <c r="AA46">
        <v>0.40698671445224799</v>
      </c>
      <c r="AB46">
        <v>0.42554430226211398</v>
      </c>
      <c r="AC46">
        <v>0.44085508495444498</v>
      </c>
      <c r="AD46">
        <v>0.45661462284870002</v>
      </c>
      <c r="AE46">
        <v>0.470859135140761</v>
      </c>
      <c r="AF46">
        <v>0.47927302430059199</v>
      </c>
      <c r="AG46">
        <v>0.48857053038128201</v>
      </c>
      <c r="AH46">
        <v>0.49365882703185499</v>
      </c>
      <c r="AI46">
        <v>0.50336793723749895</v>
      </c>
      <c r="AJ46">
        <v>0.51607408984458203</v>
      </c>
      <c r="AK46">
        <v>0.52437574316290103</v>
      </c>
      <c r="AL46">
        <v>0.52871900826446305</v>
      </c>
      <c r="AM46">
        <v>0.52144733002626198</v>
      </c>
      <c r="AN46">
        <v>0.52948352989019898</v>
      </c>
      <c r="AO46">
        <v>0.54251700680272097</v>
      </c>
      <c r="AP46">
        <v>0.56574675324675305</v>
      </c>
      <c r="AQ46">
        <v>0.58313817330210804</v>
      </c>
      <c r="AR46">
        <v>0.591525423728814</v>
      </c>
      <c r="AS46">
        <v>0.62034739454094301</v>
      </c>
      <c r="AT46">
        <v>0.61276595744680895</v>
      </c>
      <c r="AU46">
        <v>0.63829787234042601</v>
      </c>
      <c r="AV46">
        <v>0.78048780487804903</v>
      </c>
      <c r="AW46">
        <v>0.80392156862745101</v>
      </c>
      <c r="AX46">
        <v>0.79411764705882304</v>
      </c>
      <c r="AY46">
        <v>0.65</v>
      </c>
      <c r="AZ46">
        <v>1</v>
      </c>
      <c r="BA46">
        <v>6540533</v>
      </c>
    </row>
    <row r="47" spans="1:53">
      <c r="A47" t="s">
        <v>109</v>
      </c>
      <c r="B47" t="s">
        <v>85</v>
      </c>
      <c r="C47">
        <v>0.12740656987670801</v>
      </c>
      <c r="D47">
        <v>0.12740667189827201</v>
      </c>
      <c r="E47">
        <v>0.127407284031089</v>
      </c>
      <c r="F47">
        <v>0.127408202241343</v>
      </c>
      <c r="G47">
        <v>0.12741415084593899</v>
      </c>
      <c r="H47">
        <v>0.127449975167818</v>
      </c>
      <c r="I47">
        <v>0.12754964200993901</v>
      </c>
      <c r="J47">
        <v>0.12778471361936899</v>
      </c>
      <c r="K47">
        <v>0.12838745945387101</v>
      </c>
      <c r="L47">
        <v>0.12965597094386699</v>
      </c>
      <c r="M47">
        <v>0.13191475174822301</v>
      </c>
      <c r="N47">
        <v>0.13571087862391501</v>
      </c>
      <c r="O47">
        <v>0.14160451952734501</v>
      </c>
      <c r="P47">
        <v>0.15045109295737</v>
      </c>
      <c r="Q47">
        <v>0.16306184908974899</v>
      </c>
      <c r="R47">
        <v>0.18344922630374799</v>
      </c>
      <c r="S47">
        <v>0.210496472563688</v>
      </c>
      <c r="T47">
        <v>0.243740716956304</v>
      </c>
      <c r="U47">
        <v>0.280780923427703</v>
      </c>
      <c r="V47">
        <v>0.31871946393207601</v>
      </c>
      <c r="W47">
        <v>0.35170863057490498</v>
      </c>
      <c r="X47">
        <v>0.37993273934748201</v>
      </c>
      <c r="Y47">
        <v>0.40474420448772802</v>
      </c>
      <c r="Z47">
        <v>0.42487930875434299</v>
      </c>
      <c r="AA47">
        <v>0.44410724780099597</v>
      </c>
      <c r="AB47">
        <v>0.46246588634847502</v>
      </c>
      <c r="AC47">
        <v>0.478884511204137</v>
      </c>
      <c r="AD47">
        <v>0.49604679950485198</v>
      </c>
      <c r="AE47">
        <v>0.51251496071186997</v>
      </c>
      <c r="AF47">
        <v>0.52185011231366096</v>
      </c>
      <c r="AG47">
        <v>0.53303094265055895</v>
      </c>
      <c r="AH47">
        <v>0.53539743971420095</v>
      </c>
      <c r="AI47">
        <v>0.54354544734131105</v>
      </c>
      <c r="AJ47">
        <v>0.54854162231211401</v>
      </c>
      <c r="AK47">
        <v>0.55558858501783603</v>
      </c>
      <c r="AL47">
        <v>0.55371900826446296</v>
      </c>
      <c r="AM47">
        <v>0.54449956229938701</v>
      </c>
      <c r="AN47">
        <v>0.54778365189101297</v>
      </c>
      <c r="AO47">
        <v>0.55555555555555602</v>
      </c>
      <c r="AP47">
        <v>0.56818181818181801</v>
      </c>
      <c r="AQ47">
        <v>0.57025761124121799</v>
      </c>
      <c r="AR47">
        <v>0.56440677966101704</v>
      </c>
      <c r="AS47">
        <v>0.56079404466501204</v>
      </c>
      <c r="AT47">
        <v>0.54468085106383002</v>
      </c>
      <c r="AU47">
        <v>0.59574468085106402</v>
      </c>
      <c r="AV47">
        <v>0.707317073170732</v>
      </c>
      <c r="AW47">
        <v>0.80392156862745101</v>
      </c>
      <c r="AX47">
        <v>0.79411764705882304</v>
      </c>
      <c r="AY47">
        <v>0.65</v>
      </c>
      <c r="AZ47">
        <v>1</v>
      </c>
      <c r="BA47">
        <v>7572036</v>
      </c>
    </row>
    <row r="48" spans="1:53">
      <c r="A48" t="s">
        <v>123</v>
      </c>
      <c r="B48" t="s">
        <v>86</v>
      </c>
      <c r="C48">
        <v>2.3446114375078602E-3</v>
      </c>
      <c r="D48">
        <v>2.3446133149693299E-3</v>
      </c>
      <c r="E48">
        <v>2.3446245798013198E-3</v>
      </c>
      <c r="F48">
        <v>2.34464147725225E-3</v>
      </c>
      <c r="G48">
        <v>2.34478042108348E-3</v>
      </c>
      <c r="H48">
        <v>2.34543968983803E-3</v>
      </c>
      <c r="I48">
        <v>2.3473181008849698E-3</v>
      </c>
      <c r="J48">
        <v>2.35229469239409E-3</v>
      </c>
      <c r="K48">
        <v>2.36492162158669E-3</v>
      </c>
      <c r="L48">
        <v>2.3908598603371999E-3</v>
      </c>
      <c r="M48">
        <v>2.4404270747380801E-3</v>
      </c>
      <c r="N48">
        <v>2.5238345378907302E-3</v>
      </c>
      <c r="O48">
        <v>2.6605251740256298E-3</v>
      </c>
      <c r="P48">
        <v>2.8704129386662898E-3</v>
      </c>
      <c r="Q48">
        <v>3.17946983377068E-3</v>
      </c>
      <c r="R48">
        <v>3.7148198857708901E-3</v>
      </c>
      <c r="S48">
        <v>4.4876132476222696E-3</v>
      </c>
      <c r="T48">
        <v>5.5668714025127802E-3</v>
      </c>
      <c r="U48">
        <v>6.8852065561966899E-3</v>
      </c>
      <c r="V48">
        <v>8.4904970644050799E-3</v>
      </c>
      <c r="W48">
        <v>1.02785902047316E-2</v>
      </c>
      <c r="X48">
        <v>1.23077999370368E-2</v>
      </c>
      <c r="Y48">
        <v>1.42177452328737E-2</v>
      </c>
      <c r="Z48">
        <v>1.6081916300236799E-2</v>
      </c>
      <c r="AA48">
        <v>1.8304960644334602E-2</v>
      </c>
      <c r="AB48">
        <v>2.0595548547516499E-2</v>
      </c>
      <c r="AC48">
        <v>2.2962324550603298E-2</v>
      </c>
      <c r="AD48">
        <v>2.51167991055385E-2</v>
      </c>
      <c r="AE48">
        <v>2.78919706509861E-2</v>
      </c>
      <c r="AF48">
        <v>3.02906541419917E-2</v>
      </c>
      <c r="AG48">
        <v>3.1840840705977501E-2</v>
      </c>
      <c r="AH48">
        <v>3.3938672223876198E-2</v>
      </c>
      <c r="AI48">
        <v>3.5581266344401299E-2</v>
      </c>
      <c r="AJ48">
        <v>3.83223334043006E-2</v>
      </c>
      <c r="AK48">
        <v>4.5035671819262803E-2</v>
      </c>
      <c r="AL48">
        <v>4.6487603305785101E-2</v>
      </c>
      <c r="AM48">
        <v>5.3691275167785199E-2</v>
      </c>
      <c r="AN48">
        <v>5.3680357869052502E-2</v>
      </c>
      <c r="AO48">
        <v>5.10204081632653E-2</v>
      </c>
      <c r="AP48">
        <v>6.4123376623376596E-2</v>
      </c>
      <c r="AQ48">
        <v>7.3770491803278701E-2</v>
      </c>
      <c r="AR48">
        <v>8.8135593220338995E-2</v>
      </c>
      <c r="AS48">
        <v>6.9478908188585597E-2</v>
      </c>
      <c r="AT48">
        <v>3.4042553191489397E-2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201634</v>
      </c>
    </row>
    <row r="49" spans="1:53">
      <c r="A49" t="s">
        <v>124</v>
      </c>
      <c r="B49" t="s">
        <v>87</v>
      </c>
      <c r="C49">
        <v>0.17667143649890599</v>
      </c>
      <c r="D49">
        <v>0.17667157796960301</v>
      </c>
      <c r="E49">
        <v>0.176672426798546</v>
      </c>
      <c r="F49">
        <v>0.176673700057255</v>
      </c>
      <c r="G49">
        <v>0.17668416976915</v>
      </c>
      <c r="H49">
        <v>0.17673384706579701</v>
      </c>
      <c r="I49">
        <v>0.17687538931569399</v>
      </c>
      <c r="J49">
        <v>0.17723592519574299</v>
      </c>
      <c r="K49">
        <v>0.178162274977062</v>
      </c>
      <c r="L49">
        <v>0.18003223741369101</v>
      </c>
      <c r="M49">
        <v>0.18354295335017001</v>
      </c>
      <c r="N49">
        <v>0.189451475701408</v>
      </c>
      <c r="O49">
        <v>0.19877715895933001</v>
      </c>
      <c r="P49">
        <v>0.212952812061628</v>
      </c>
      <c r="Q49">
        <v>0.233229496838533</v>
      </c>
      <c r="R49">
        <v>0.26727327087645403</v>
      </c>
      <c r="S49">
        <v>0.31385254940290502</v>
      </c>
      <c r="T49">
        <v>0.37339996769402301</v>
      </c>
      <c r="U49">
        <v>0.441068232046961</v>
      </c>
      <c r="V49">
        <v>0.51232568415096602</v>
      </c>
      <c r="W49">
        <v>0.57715344266755197</v>
      </c>
      <c r="X49">
        <v>0.63464873049266202</v>
      </c>
      <c r="Y49">
        <v>0.68170835966249099</v>
      </c>
      <c r="Z49">
        <v>0.71791304080440299</v>
      </c>
      <c r="AA49">
        <v>0.74627397708989696</v>
      </c>
      <c r="AB49">
        <v>0.76578324943901999</v>
      </c>
      <c r="AC49">
        <v>0.78173479438561899</v>
      </c>
      <c r="AD49">
        <v>0.792756458890708</v>
      </c>
      <c r="AE49">
        <v>0.80168600718114202</v>
      </c>
      <c r="AF49">
        <v>0.80682050234837699</v>
      </c>
      <c r="AG49">
        <v>0.80926932231553395</v>
      </c>
      <c r="AH49">
        <v>0.80976481095564201</v>
      </c>
      <c r="AI49">
        <v>0.81472382914652497</v>
      </c>
      <c r="AJ49">
        <v>0.81445603576751102</v>
      </c>
      <c r="AK49">
        <v>0.81866825208085603</v>
      </c>
      <c r="AL49">
        <v>0.82417355371900802</v>
      </c>
      <c r="AM49">
        <v>0.83046396264954803</v>
      </c>
      <c r="AN49">
        <v>0.83245221634810895</v>
      </c>
      <c r="AO49">
        <v>0.84977324263038501</v>
      </c>
      <c r="AP49">
        <v>0.86282467532467499</v>
      </c>
      <c r="AQ49">
        <v>0.88407494145199095</v>
      </c>
      <c r="AR49">
        <v>0.89661016949152506</v>
      </c>
      <c r="AS49">
        <v>0.89826302729528495</v>
      </c>
      <c r="AT49">
        <v>0.88936170212765997</v>
      </c>
      <c r="AU49">
        <v>0.81560283687943302</v>
      </c>
      <c r="AV49">
        <v>0.81707317073170704</v>
      </c>
      <c r="AW49">
        <v>0.74509803921568596</v>
      </c>
      <c r="AX49">
        <v>0.79411764705882304</v>
      </c>
      <c r="AY49">
        <v>0.65</v>
      </c>
      <c r="AZ49">
        <v>1</v>
      </c>
      <c r="BA49">
        <v>10120341</v>
      </c>
    </row>
    <row r="50" spans="1:53">
      <c r="A50" t="s">
        <v>125</v>
      </c>
      <c r="B50" t="s">
        <v>88</v>
      </c>
      <c r="C50">
        <v>3.4166625961607001E-2</v>
      </c>
      <c r="D50">
        <v>3.4166653320734798E-2</v>
      </c>
      <c r="E50">
        <v>3.4166817476421599E-2</v>
      </c>
      <c r="F50">
        <v>3.41670637129095E-2</v>
      </c>
      <c r="G50">
        <v>3.4169088458603197E-2</v>
      </c>
      <c r="H50">
        <v>3.4178695589483998E-2</v>
      </c>
      <c r="I50">
        <v>3.42060685548361E-2</v>
      </c>
      <c r="J50">
        <v>3.42777860793642E-2</v>
      </c>
      <c r="K50">
        <v>3.4449671107894701E-2</v>
      </c>
      <c r="L50">
        <v>3.4807098110175502E-2</v>
      </c>
      <c r="M50">
        <v>3.5491210961918297E-2</v>
      </c>
      <c r="N50">
        <v>3.6644766407296497E-2</v>
      </c>
      <c r="O50">
        <v>3.84907500134163E-2</v>
      </c>
      <c r="P50">
        <v>4.1299760700687201E-2</v>
      </c>
      <c r="Q50">
        <v>4.5300352971342203E-2</v>
      </c>
      <c r="R50">
        <v>5.2203805669366901E-2</v>
      </c>
      <c r="S50">
        <v>6.17536308158841E-2</v>
      </c>
      <c r="T50">
        <v>7.3834916457531402E-2</v>
      </c>
      <c r="U50">
        <v>8.8200146004380101E-2</v>
      </c>
      <c r="V50">
        <v>0.103456277595705</v>
      </c>
      <c r="W50">
        <v>0.118837947162685</v>
      </c>
      <c r="X50">
        <v>0.134131533053164</v>
      </c>
      <c r="Y50">
        <v>0.147282211401455</v>
      </c>
      <c r="Z50">
        <v>0.15999661757018499</v>
      </c>
      <c r="AA50">
        <v>0.17216297195487301</v>
      </c>
      <c r="AB50">
        <v>0.18554187640245001</v>
      </c>
      <c r="AC50">
        <v>0.197165107116474</v>
      </c>
      <c r="AD50">
        <v>0.20916024437966699</v>
      </c>
      <c r="AE50">
        <v>0.21845241192694001</v>
      </c>
      <c r="AF50">
        <v>0.22404873732217001</v>
      </c>
      <c r="AG50">
        <v>0.23123905330758501</v>
      </c>
      <c r="AH50">
        <v>0.24025007442691301</v>
      </c>
      <c r="AI50">
        <v>0.25009905697757401</v>
      </c>
      <c r="AJ50">
        <v>0.26463700234192</v>
      </c>
      <c r="AK50">
        <v>0.27482164090368599</v>
      </c>
      <c r="AL50">
        <v>0.292355371900826</v>
      </c>
      <c r="AM50">
        <v>0.30493142690399799</v>
      </c>
      <c r="AN50">
        <v>0.31313542090280599</v>
      </c>
      <c r="AO50">
        <v>0.33106575963718798</v>
      </c>
      <c r="AP50">
        <v>0.36201298701298701</v>
      </c>
      <c r="AQ50">
        <v>0.371194379391101</v>
      </c>
      <c r="AR50">
        <v>0.36101694915254201</v>
      </c>
      <c r="AS50">
        <v>0.31265508684863502</v>
      </c>
      <c r="AT50">
        <v>0.28510638297872298</v>
      </c>
      <c r="AU50">
        <v>0.269503546099291</v>
      </c>
      <c r="AV50">
        <v>0.34146341463414598</v>
      </c>
      <c r="AW50">
        <v>0.25490196078431399</v>
      </c>
      <c r="AX50">
        <v>0.35294117647058798</v>
      </c>
      <c r="AY50">
        <v>0.3</v>
      </c>
      <c r="AZ50">
        <v>0.5</v>
      </c>
      <c r="BA50">
        <v>1856531</v>
      </c>
    </row>
    <row r="51" spans="1:53">
      <c r="A51" t="s">
        <v>125</v>
      </c>
      <c r="B51" t="s">
        <v>89</v>
      </c>
      <c r="C51">
        <v>5.5382636903127003E-2</v>
      </c>
      <c r="D51">
        <v>5.5382681251100997E-2</v>
      </c>
      <c r="E51">
        <v>5.5382947340436597E-2</v>
      </c>
      <c r="F51">
        <v>5.5383346479234097E-2</v>
      </c>
      <c r="G51">
        <v>5.5386628505258502E-2</v>
      </c>
      <c r="H51">
        <v>5.5402201252823698E-2</v>
      </c>
      <c r="I51">
        <v>5.5446571656935603E-2</v>
      </c>
      <c r="J51">
        <v>5.5556091141778799E-2</v>
      </c>
      <c r="K51">
        <v>5.5816350266861402E-2</v>
      </c>
      <c r="L51">
        <v>5.6384445039619001E-2</v>
      </c>
      <c r="M51">
        <v>5.74583885513298E-2</v>
      </c>
      <c r="N51">
        <v>5.9233344287775803E-2</v>
      </c>
      <c r="O51">
        <v>6.20125212955712E-2</v>
      </c>
      <c r="P51">
        <v>6.6241507624964099E-2</v>
      </c>
      <c r="Q51">
        <v>7.2181821157549605E-2</v>
      </c>
      <c r="R51">
        <v>8.21687362298235E-2</v>
      </c>
      <c r="S51">
        <v>9.5959738355700902E-2</v>
      </c>
      <c r="T51">
        <v>0.113181232591215</v>
      </c>
      <c r="U51">
        <v>0.13289148674460199</v>
      </c>
      <c r="V51">
        <v>0.15317225441610699</v>
      </c>
      <c r="W51">
        <v>0.173131629170551</v>
      </c>
      <c r="X51">
        <v>0.19214759365771</v>
      </c>
      <c r="Y51">
        <v>0.20876853882466601</v>
      </c>
      <c r="Z51">
        <v>0.22440884351649701</v>
      </c>
      <c r="AA51">
        <v>0.23969864254265499</v>
      </c>
      <c r="AB51">
        <v>0.25718964157923502</v>
      </c>
      <c r="AC51">
        <v>0.27190039399162802</v>
      </c>
      <c r="AD51">
        <v>0.28724593698838002</v>
      </c>
      <c r="AE51">
        <v>0.30111359733569198</v>
      </c>
      <c r="AF51">
        <v>0.31216390987679499</v>
      </c>
      <c r="AG51">
        <v>0.32662684690348898</v>
      </c>
      <c r="AH51">
        <v>0.33902947305745801</v>
      </c>
      <c r="AI51">
        <v>0.35882399556224698</v>
      </c>
      <c r="AJ51">
        <v>0.37598467106663802</v>
      </c>
      <c r="AK51">
        <v>0.38971462544589802</v>
      </c>
      <c r="AL51">
        <v>0.40681818181818202</v>
      </c>
      <c r="AM51">
        <v>0.41902538663554101</v>
      </c>
      <c r="AN51">
        <v>0.42944286295242001</v>
      </c>
      <c r="AO51">
        <v>0.46485260770975101</v>
      </c>
      <c r="AP51">
        <v>0.49269480519480502</v>
      </c>
      <c r="AQ51">
        <v>0.51990632318501195</v>
      </c>
      <c r="AR51">
        <v>0.51016949152542401</v>
      </c>
      <c r="AS51">
        <v>0.48883374689826298</v>
      </c>
      <c r="AT51">
        <v>0.51063829787234005</v>
      </c>
      <c r="AU51">
        <v>0.50354609929077998</v>
      </c>
      <c r="AV51">
        <v>0.707317073170732</v>
      </c>
      <c r="AW51">
        <v>0.80392156862745101</v>
      </c>
      <c r="AX51">
        <v>0.79411764705882304</v>
      </c>
      <c r="AY51">
        <v>0.65</v>
      </c>
      <c r="AZ51">
        <v>1</v>
      </c>
      <c r="BA51">
        <v>3217596</v>
      </c>
    </row>
    <row r="52" spans="1:53">
      <c r="A52" t="s">
        <v>105</v>
      </c>
      <c r="B52" t="s">
        <v>143</v>
      </c>
      <c r="C52">
        <v>5.06557785303098E-3</v>
      </c>
      <c r="D52">
        <v>5.0655819093223999E-3</v>
      </c>
      <c r="E52">
        <v>5.0656062472073504E-3</v>
      </c>
      <c r="F52">
        <v>5.0656427544732803E-3</v>
      </c>
      <c r="G52">
        <v>5.0659429452780498E-3</v>
      </c>
      <c r="H52">
        <v>5.0673673080312096E-3</v>
      </c>
      <c r="I52">
        <v>5.0698222916654998E-3</v>
      </c>
      <c r="J52">
        <v>5.07976753415567E-3</v>
      </c>
      <c r="K52">
        <v>5.10541993512619E-3</v>
      </c>
      <c r="L52">
        <v>5.14753434411398E-3</v>
      </c>
      <c r="M52">
        <v>5.2409171605030903E-3</v>
      </c>
      <c r="N52">
        <v>5.4064917578602401E-3</v>
      </c>
      <c r="O52">
        <v>5.6612337378241203E-3</v>
      </c>
      <c r="P52">
        <v>6.0325824285933204E-3</v>
      </c>
      <c r="Q52">
        <v>6.5695222611987904E-3</v>
      </c>
      <c r="R52">
        <v>7.5066308572572403E-3</v>
      </c>
      <c r="S52">
        <v>8.84051977995815E-3</v>
      </c>
      <c r="T52">
        <v>1.06176351236886E-2</v>
      </c>
      <c r="U52">
        <v>1.2725381761452799E-2</v>
      </c>
      <c r="V52">
        <v>1.4987904776738999E-2</v>
      </c>
      <c r="W52">
        <v>1.7516414136362402E-2</v>
      </c>
      <c r="X52">
        <v>1.9418640095544101E-2</v>
      </c>
      <c r="Y52">
        <v>2.12553742457471E-2</v>
      </c>
      <c r="Z52">
        <v>2.24085975216014E-2</v>
      </c>
      <c r="AA52">
        <v>2.29293717544823E-2</v>
      </c>
      <c r="AB52">
        <v>2.3530838740978801E-2</v>
      </c>
      <c r="AC52">
        <v>2.3085446934252601E-2</v>
      </c>
      <c r="AD52">
        <v>2.1842431018647902E-2</v>
      </c>
      <c r="AE52">
        <v>2.1335276057657299E-2</v>
      </c>
      <c r="AF52">
        <v>2.00803212851406E-2</v>
      </c>
      <c r="AG52">
        <v>1.8951812098621301E-2</v>
      </c>
      <c r="AH52">
        <v>1.6135754688895498E-2</v>
      </c>
      <c r="AI52">
        <v>1.37094856961724E-2</v>
      </c>
      <c r="AJ52">
        <v>1.2880562060889901E-2</v>
      </c>
      <c r="AK52">
        <v>1.0107015457788301E-2</v>
      </c>
      <c r="AL52">
        <v>5.7851239669421501E-3</v>
      </c>
      <c r="AM52">
        <v>3.20980449372629E-3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299648</v>
      </c>
    </row>
    <row r="53" spans="1:53">
      <c r="A53" t="s">
        <v>105</v>
      </c>
      <c r="B53" t="s">
        <v>90</v>
      </c>
      <c r="C53">
        <v>2.1143942967006502E-2</v>
      </c>
      <c r="D53">
        <v>2.1143959898143799E-2</v>
      </c>
      <c r="E53">
        <v>2.1144061485537501E-2</v>
      </c>
      <c r="F53">
        <v>2.11442138684582E-2</v>
      </c>
      <c r="G53">
        <v>2.11454668779745E-2</v>
      </c>
      <c r="H53">
        <v>2.11514122302504E-2</v>
      </c>
      <c r="I53">
        <v>2.1168351930965799E-2</v>
      </c>
      <c r="J53">
        <v>2.1210017818953601E-2</v>
      </c>
      <c r="K53">
        <v>2.1318217650327601E-2</v>
      </c>
      <c r="L53">
        <v>2.1547134560989799E-2</v>
      </c>
      <c r="M53">
        <v>2.197801281891E-2</v>
      </c>
      <c r="N53">
        <v>2.2706747850298501E-2</v>
      </c>
      <c r="O53">
        <v>2.3877417553280999E-2</v>
      </c>
      <c r="P53">
        <v>2.5676541201526199E-2</v>
      </c>
      <c r="Q53">
        <v>2.8299900164210801E-2</v>
      </c>
      <c r="R53">
        <v>3.2726344168117698E-2</v>
      </c>
      <c r="S53">
        <v>3.8956868789393903E-2</v>
      </c>
      <c r="T53">
        <v>4.7202184199225401E-2</v>
      </c>
      <c r="U53">
        <v>5.6829204876146303E-2</v>
      </c>
      <c r="V53">
        <v>6.7342261441191195E-2</v>
      </c>
      <c r="W53">
        <v>7.7571548030103604E-2</v>
      </c>
      <c r="X53">
        <v>8.7213979821804205E-2</v>
      </c>
      <c r="Y53">
        <v>9.6562960760262204E-2</v>
      </c>
      <c r="Z53">
        <v>0.105470311491037</v>
      </c>
      <c r="AA53">
        <v>0.113693073980944</v>
      </c>
      <c r="AB53">
        <v>0.123100248650616</v>
      </c>
      <c r="AC53">
        <v>0.13194102437823199</v>
      </c>
      <c r="AD53">
        <v>0.139579922533243</v>
      </c>
      <c r="AE53">
        <v>0.146849143987095</v>
      </c>
      <c r="AF53">
        <v>0.15615002382411</v>
      </c>
      <c r="AG53">
        <v>0.165626263079894</v>
      </c>
      <c r="AH53">
        <v>0.17469484965763599</v>
      </c>
      <c r="AI53">
        <v>0.18361201363023999</v>
      </c>
      <c r="AJ53">
        <v>0.19299552906110301</v>
      </c>
      <c r="AK53">
        <v>0.208382877526754</v>
      </c>
      <c r="AL53">
        <v>0.21942148760330599</v>
      </c>
      <c r="AM53">
        <v>0.23110592354829301</v>
      </c>
      <c r="AN53">
        <v>0.23058153721024799</v>
      </c>
      <c r="AO53">
        <v>0.24546485260771</v>
      </c>
      <c r="AP53">
        <v>0.25892857142857101</v>
      </c>
      <c r="AQ53">
        <v>0.27049180327868899</v>
      </c>
      <c r="AR53">
        <v>0.29830508474576301</v>
      </c>
      <c r="AS53">
        <v>0.230769230769231</v>
      </c>
      <c r="AT53">
        <v>0.229787234042553</v>
      </c>
      <c r="AU53">
        <v>0.17730496453900699</v>
      </c>
      <c r="AV53">
        <v>0.24390243902438999</v>
      </c>
      <c r="AW53">
        <v>0.29411764705882398</v>
      </c>
      <c r="AX53">
        <v>0.26470588235294101</v>
      </c>
      <c r="AY53">
        <v>0.35</v>
      </c>
      <c r="AZ53">
        <v>0.5</v>
      </c>
      <c r="BA53">
        <v>1192132</v>
      </c>
    </row>
    <row r="54" spans="1:53">
      <c r="A54" t="s">
        <v>105</v>
      </c>
      <c r="B54" t="s">
        <v>91</v>
      </c>
      <c r="C54">
        <v>3.7467339194328102E-3</v>
      </c>
      <c r="D54">
        <v>3.7467369196521501E-3</v>
      </c>
      <c r="E54">
        <v>3.74675492106911E-3</v>
      </c>
      <c r="F54">
        <v>3.7467819235188801E-3</v>
      </c>
      <c r="G54">
        <v>3.7470039584185902E-3</v>
      </c>
      <c r="H54">
        <v>3.7480574824973198E-3</v>
      </c>
      <c r="I54">
        <v>3.7510592192762301E-3</v>
      </c>
      <c r="J54">
        <v>3.7566017696840002E-3</v>
      </c>
      <c r="K54">
        <v>3.7767669066049799E-3</v>
      </c>
      <c r="L54">
        <v>3.8173735816517799E-3</v>
      </c>
      <c r="M54">
        <v>3.8965152234974498E-3</v>
      </c>
      <c r="N54">
        <v>4.0298547371925703E-3</v>
      </c>
      <c r="O54">
        <v>4.2331911657830096E-3</v>
      </c>
      <c r="P54">
        <v>4.5512057306094896E-3</v>
      </c>
      <c r="Q54">
        <v>4.9983360701796502E-3</v>
      </c>
      <c r="R54">
        <v>5.7794641677071197E-3</v>
      </c>
      <c r="S54">
        <v>6.8684761224515403E-3</v>
      </c>
      <c r="T54">
        <v>8.3168192007816496E-3</v>
      </c>
      <c r="U54">
        <v>9.9652989589687699E-3</v>
      </c>
      <c r="V54">
        <v>1.16406590227823E-2</v>
      </c>
      <c r="W54">
        <v>1.3291349420053901E-2</v>
      </c>
      <c r="X54">
        <v>1.4926268133142099E-2</v>
      </c>
      <c r="Y54">
        <v>1.6348858243814199E-2</v>
      </c>
      <c r="Z54">
        <v>1.7734694505089001E-2</v>
      </c>
      <c r="AA54">
        <v>1.8391668352649899E-2</v>
      </c>
      <c r="AB54">
        <v>1.94917824003881E-2</v>
      </c>
      <c r="AC54">
        <v>2.0915414922432901E-2</v>
      </c>
      <c r="AD54">
        <v>2.2181847222776802E-2</v>
      </c>
      <c r="AE54">
        <v>2.2740282041941999E-2</v>
      </c>
      <c r="AF54">
        <v>2.3756041113607001E-2</v>
      </c>
      <c r="AG54">
        <v>2.4116405443032299E-2</v>
      </c>
      <c r="AH54">
        <v>2.4888359630842499E-2</v>
      </c>
      <c r="AI54">
        <v>2.44076392741105E-2</v>
      </c>
      <c r="AJ54">
        <v>2.43772620821801E-2</v>
      </c>
      <c r="AK54">
        <v>2.3781212841854901E-2</v>
      </c>
      <c r="AL54">
        <v>1.9008264462809898E-2</v>
      </c>
      <c r="AM54">
        <v>1.6049022468631501E-2</v>
      </c>
      <c r="AN54">
        <v>1.3420089467263099E-2</v>
      </c>
      <c r="AO54">
        <v>1.1904761904761901E-2</v>
      </c>
      <c r="AP54">
        <v>1.7045454545454499E-2</v>
      </c>
      <c r="AQ54">
        <v>1.2880562060889901E-2</v>
      </c>
      <c r="AR54">
        <v>1.6949152542372899E-2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202218</v>
      </c>
    </row>
    <row r="55" spans="1:53">
      <c r="A55" t="s">
        <v>126</v>
      </c>
      <c r="B55" t="s">
        <v>92</v>
      </c>
      <c r="C55">
        <v>9.0309179618215905E-3</v>
      </c>
      <c r="D55">
        <v>9.03092519338255E-3</v>
      </c>
      <c r="E55">
        <v>9.0309685829915408E-3</v>
      </c>
      <c r="F55">
        <v>9.0310336681867897E-3</v>
      </c>
      <c r="G55">
        <v>9.0315688486951994E-3</v>
      </c>
      <c r="H55">
        <v>9.0341082042326906E-3</v>
      </c>
      <c r="I55">
        <v>9.0413434227393195E-3</v>
      </c>
      <c r="J55">
        <v>9.0605121382583698E-3</v>
      </c>
      <c r="K55">
        <v>9.1091482405241606E-3</v>
      </c>
      <c r="L55">
        <v>9.2090565248917292E-3</v>
      </c>
      <c r="M55">
        <v>9.3999783295410002E-3</v>
      </c>
      <c r="N55">
        <v>9.7253022606691494E-3</v>
      </c>
      <c r="O55">
        <v>1.02500711747333E-2</v>
      </c>
      <c r="P55">
        <v>1.1056296243904499E-2</v>
      </c>
      <c r="Q55">
        <v>1.2254161188427801E-2</v>
      </c>
      <c r="R55">
        <v>1.43293242364088E-2</v>
      </c>
      <c r="S55">
        <v>1.73458391288548E-2</v>
      </c>
      <c r="T55">
        <v>2.1442107295241201E-2</v>
      </c>
      <c r="U55">
        <v>2.6420792623778701E-2</v>
      </c>
      <c r="V55">
        <v>3.2296312307882998E-2</v>
      </c>
      <c r="W55">
        <v>3.8401677222660101E-2</v>
      </c>
      <c r="X55">
        <v>4.4763813169296E-2</v>
      </c>
      <c r="Y55">
        <v>5.0843152560433202E-2</v>
      </c>
      <c r="Z55">
        <v>5.5902340026444501E-2</v>
      </c>
      <c r="AA55">
        <v>6.13119839687081E-2</v>
      </c>
      <c r="AB55">
        <v>6.6153193037782804E-2</v>
      </c>
      <c r="AC55">
        <v>7.0610687022900798E-2</v>
      </c>
      <c r="AD55">
        <v>7.4731461885556794E-2</v>
      </c>
      <c r="AE55">
        <v>7.5844304522037803E-2</v>
      </c>
      <c r="AF55">
        <v>7.8109046354911199E-2</v>
      </c>
      <c r="AG55">
        <v>7.69748955853954E-2</v>
      </c>
      <c r="AH55">
        <v>7.6629949389699303E-2</v>
      </c>
      <c r="AI55">
        <v>7.6788969014977407E-2</v>
      </c>
      <c r="AJ55">
        <v>7.5047902916755393E-2</v>
      </c>
      <c r="AK55">
        <v>7.2086801426872807E-2</v>
      </c>
      <c r="AL55">
        <v>6.7148760330578497E-2</v>
      </c>
      <c r="AM55">
        <v>6.0694484972279E-2</v>
      </c>
      <c r="AN55">
        <v>4.5546970313135399E-2</v>
      </c>
      <c r="AO55">
        <v>3.2312925170068001E-2</v>
      </c>
      <c r="AP55">
        <v>2.6785714285714302E-2</v>
      </c>
      <c r="AQ55">
        <v>2.3419203747072601E-2</v>
      </c>
      <c r="AR55">
        <v>2.20338983050847E-2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440752</v>
      </c>
    </row>
    <row r="56" spans="1:53">
      <c r="A56" t="s">
        <v>126</v>
      </c>
      <c r="B56" t="s">
        <v>93</v>
      </c>
      <c r="C56">
        <v>2.9788096132272002E-3</v>
      </c>
      <c r="D56">
        <v>2.97881199852661E-3</v>
      </c>
      <c r="E56">
        <v>2.9788263104033102E-3</v>
      </c>
      <c r="F56">
        <v>2.9788477784762199E-3</v>
      </c>
      <c r="G56">
        <v>2.9790243054749199E-3</v>
      </c>
      <c r="H56">
        <v>2.9798619010237299E-3</v>
      </c>
      <c r="I56">
        <v>2.9822484068620599E-3</v>
      </c>
      <c r="J56">
        <v>2.9885711255826499E-3</v>
      </c>
      <c r="K56">
        <v>3.0046135356224398E-3</v>
      </c>
      <c r="L56">
        <v>3.03756785534645E-3</v>
      </c>
      <c r="M56">
        <v>3.1005425949541198E-3</v>
      </c>
      <c r="N56">
        <v>3.20697772107919E-3</v>
      </c>
      <c r="O56">
        <v>3.3809135288387299E-3</v>
      </c>
      <c r="P56">
        <v>3.6219070858530501E-3</v>
      </c>
      <c r="Q56">
        <v>3.9934315688403199E-3</v>
      </c>
      <c r="R56">
        <v>4.6425624686421696E-3</v>
      </c>
      <c r="S56">
        <v>5.5871959700763097E-3</v>
      </c>
      <c r="T56">
        <v>6.87486949567218E-3</v>
      </c>
      <c r="U56">
        <v>8.4252527575827303E-3</v>
      </c>
      <c r="V56">
        <v>1.0334184184343301E-2</v>
      </c>
      <c r="W56">
        <v>1.2315103406058301E-2</v>
      </c>
      <c r="X56">
        <v>1.44965195360714E-2</v>
      </c>
      <c r="Y56">
        <v>1.65966620822957E-2</v>
      </c>
      <c r="Z56">
        <v>1.86264260016605E-2</v>
      </c>
      <c r="AA56">
        <v>2.0838752565103001E-2</v>
      </c>
      <c r="AB56">
        <v>2.3069925404815301E-2</v>
      </c>
      <c r="AC56">
        <v>2.5778749076582098E-2</v>
      </c>
      <c r="AD56">
        <v>2.89701713053548E-2</v>
      </c>
      <c r="AE56">
        <v>3.2341156267887798E-2</v>
      </c>
      <c r="AF56">
        <v>3.6893336056088799E-2</v>
      </c>
      <c r="AG56">
        <v>4.1137108725917297E-2</v>
      </c>
      <c r="AH56">
        <v>4.4477523072342998E-2</v>
      </c>
      <c r="AI56">
        <v>4.9686979950867703E-2</v>
      </c>
      <c r="AJ56">
        <v>5.4396423248882303E-2</v>
      </c>
      <c r="AK56">
        <v>5.6926278240190198E-2</v>
      </c>
      <c r="AL56">
        <v>5.7644628099173603E-2</v>
      </c>
      <c r="AM56">
        <v>5.8943682521155498E-2</v>
      </c>
      <c r="AN56">
        <v>5.65270435136234E-2</v>
      </c>
      <c r="AO56">
        <v>6.1224489795918401E-2</v>
      </c>
      <c r="AP56">
        <v>6.6558441558441594E-2</v>
      </c>
      <c r="AQ56">
        <v>6.5573770491803296E-2</v>
      </c>
      <c r="AR56">
        <v>6.94915254237288E-2</v>
      </c>
      <c r="AS56">
        <v>2.9776674937965299E-2</v>
      </c>
      <c r="AT56">
        <v>2.5531914893616999E-2</v>
      </c>
      <c r="AU56">
        <v>4.2553191489361701E-2</v>
      </c>
      <c r="AV56">
        <v>7.3170731707317097E-2</v>
      </c>
      <c r="AW56">
        <v>0</v>
      </c>
      <c r="AX56">
        <v>0</v>
      </c>
      <c r="AY56">
        <v>0</v>
      </c>
      <c r="AZ56">
        <v>0</v>
      </c>
      <c r="BA56">
        <v>147695</v>
      </c>
    </row>
    <row r="57" spans="1:53">
      <c r="A57" t="s">
        <v>115</v>
      </c>
      <c r="B57" t="s">
        <v>31</v>
      </c>
      <c r="C57">
        <v>9.9641982317722103E-2</v>
      </c>
      <c r="D57">
        <v>9.9642062106628695E-2</v>
      </c>
      <c r="E57">
        <v>9.9642540842751606E-2</v>
      </c>
      <c r="F57">
        <v>9.9643258955561503E-2</v>
      </c>
      <c r="G57">
        <v>9.9649163831121407E-2</v>
      </c>
      <c r="H57">
        <v>9.9677181627389103E-2</v>
      </c>
      <c r="I57">
        <v>9.9755407529856593E-2</v>
      </c>
      <c r="J57">
        <v>9.9958063598721697E-2</v>
      </c>
      <c r="K57">
        <v>0.100436476654476</v>
      </c>
      <c r="L57">
        <v>0.101404140237649</v>
      </c>
      <c r="M57">
        <v>0.10318055659740499</v>
      </c>
      <c r="N57">
        <v>0.106187362368644</v>
      </c>
      <c r="O57">
        <v>0.110654198126808</v>
      </c>
      <c r="P57">
        <v>0.11712895836034801</v>
      </c>
      <c r="Q57">
        <v>0.12583673847933199</v>
      </c>
      <c r="R57">
        <v>0.13921399800593101</v>
      </c>
      <c r="S57">
        <v>0.15605146423066801</v>
      </c>
      <c r="T57">
        <v>0.17652261615377601</v>
      </c>
      <c r="U57">
        <v>0.198743462303869</v>
      </c>
      <c r="V57">
        <v>0.22195449907338799</v>
      </c>
      <c r="W57">
        <v>0.24361339057442499</v>
      </c>
      <c r="X57">
        <v>0.26331096308659402</v>
      </c>
      <c r="Y57">
        <v>0.28017940997906099</v>
      </c>
      <c r="Z57">
        <v>0.29540143292026699</v>
      </c>
      <c r="AA57">
        <v>0.30732102083875301</v>
      </c>
      <c r="AB57">
        <v>0.31940081266298698</v>
      </c>
      <c r="AC57">
        <v>0.32758249199704498</v>
      </c>
      <c r="AD57">
        <v>0.33935630715169901</v>
      </c>
      <c r="AE57">
        <v>0.34836342821460198</v>
      </c>
      <c r="AF57">
        <v>0.360152474303996</v>
      </c>
      <c r="AG57">
        <v>0.36960524543045797</v>
      </c>
      <c r="AH57">
        <v>0.37338493599285499</v>
      </c>
      <c r="AI57">
        <v>0.381646723195182</v>
      </c>
      <c r="AJ57">
        <v>0.38492654886097499</v>
      </c>
      <c r="AK57">
        <v>0.38258026159334102</v>
      </c>
      <c r="AL57">
        <v>0.38760330578512397</v>
      </c>
      <c r="AM57">
        <v>0.38751094251531998</v>
      </c>
      <c r="AN57">
        <v>0.399349328995527</v>
      </c>
      <c r="AO57">
        <v>0.417233560090703</v>
      </c>
      <c r="AP57">
        <v>0.44886363636363602</v>
      </c>
      <c r="AQ57">
        <v>0.45901639344262302</v>
      </c>
      <c r="AR57">
        <v>0.46610169491525399</v>
      </c>
      <c r="AS57">
        <v>0.45161290322580599</v>
      </c>
      <c r="AT57">
        <v>0.44680851063829802</v>
      </c>
      <c r="AU57">
        <v>0.41843971631205701</v>
      </c>
      <c r="AV57">
        <v>0.439024390243902</v>
      </c>
      <c r="AW57">
        <v>0.41176470588235298</v>
      </c>
      <c r="AX57">
        <v>0.52941176470588203</v>
      </c>
      <c r="AY57">
        <v>0.6</v>
      </c>
      <c r="AZ57">
        <v>1</v>
      </c>
      <c r="BA57">
        <v>10075276</v>
      </c>
    </row>
    <row r="58" spans="1:53">
      <c r="A58" t="s">
        <v>115</v>
      </c>
      <c r="B58" t="s">
        <v>32</v>
      </c>
      <c r="C58">
        <v>5.9270303750497501E-2</v>
      </c>
      <c r="D58">
        <v>5.9270351211543698E-2</v>
      </c>
      <c r="E58">
        <v>5.9270635979417299E-2</v>
      </c>
      <c r="F58">
        <v>5.9271063136358403E-2</v>
      </c>
      <c r="G58">
        <v>5.9274575549097402E-2</v>
      </c>
      <c r="H58">
        <v>5.9288037296336103E-2</v>
      </c>
      <c r="I58">
        <v>5.9331511382648902E-2</v>
      </c>
      <c r="J58">
        <v>5.9430789673683398E-2</v>
      </c>
      <c r="K58">
        <v>5.9618155619596498E-2</v>
      </c>
      <c r="L58">
        <v>5.9967468628129801E-2</v>
      </c>
      <c r="M58">
        <v>6.0582268563665297E-2</v>
      </c>
      <c r="N58">
        <v>6.1588118138917902E-2</v>
      </c>
      <c r="O58">
        <v>6.3061268483828106E-2</v>
      </c>
      <c r="P58">
        <v>6.5000805523138194E-2</v>
      </c>
      <c r="Q58">
        <v>6.7550095198607801E-2</v>
      </c>
      <c r="R58">
        <v>7.13579046106112E-2</v>
      </c>
      <c r="S58">
        <v>7.5719271205343205E-2</v>
      </c>
      <c r="T58">
        <v>8.1566682294354695E-2</v>
      </c>
      <c r="U58">
        <v>8.7517625528765894E-2</v>
      </c>
      <c r="V58">
        <v>9.4021685575055594E-2</v>
      </c>
      <c r="W58">
        <v>9.9913178120886501E-2</v>
      </c>
      <c r="X58">
        <v>0.10428399386359</v>
      </c>
      <c r="Y58">
        <v>0.108271692128511</v>
      </c>
      <c r="Z58">
        <v>0.11059776759632201</v>
      </c>
      <c r="AA58">
        <v>0.112970509744983</v>
      </c>
      <c r="AB58">
        <v>0.11441567105342999</v>
      </c>
      <c r="AC58">
        <v>0.114365304112288</v>
      </c>
      <c r="AD58">
        <v>0.114103741564509</v>
      </c>
      <c r="AE58">
        <v>0.11388354061508001</v>
      </c>
      <c r="AF58">
        <v>0.11364100469675301</v>
      </c>
      <c r="AG58">
        <v>0.112902501459559</v>
      </c>
      <c r="AH58">
        <v>0.108484668055969</v>
      </c>
      <c r="AI58">
        <v>0.103177747840558</v>
      </c>
      <c r="AJ58">
        <v>9.5167127954013206E-2</v>
      </c>
      <c r="AK58">
        <v>8.4126040428061793E-2</v>
      </c>
      <c r="AL58">
        <v>7.9132231404958703E-2</v>
      </c>
      <c r="AM58">
        <v>6.5363291508608104E-2</v>
      </c>
      <c r="AN58">
        <v>5.6933712891419297E-2</v>
      </c>
      <c r="AO58">
        <v>5.2721088435374201E-2</v>
      </c>
      <c r="AP58">
        <v>4.7889610389610399E-2</v>
      </c>
      <c r="AQ58">
        <v>5.5035128805620601E-2</v>
      </c>
      <c r="AR58">
        <v>3.3898305084745797E-2</v>
      </c>
      <c r="AS58">
        <v>2.4813895781637701E-2</v>
      </c>
      <c r="AT58">
        <v>1.7021276595744698E-2</v>
      </c>
      <c r="AU58">
        <v>1.41843971631206E-2</v>
      </c>
      <c r="AV58">
        <v>1.21951219512195E-2</v>
      </c>
      <c r="AW58">
        <v>1.9607843137254902E-2</v>
      </c>
      <c r="AX58">
        <v>2.9411764705882401E-2</v>
      </c>
      <c r="AY58">
        <v>0</v>
      </c>
      <c r="AZ58">
        <v>0</v>
      </c>
      <c r="BA58">
        <v>4823668</v>
      </c>
    </row>
    <row r="59" spans="1:53">
      <c r="A59" t="s">
        <v>115</v>
      </c>
      <c r="B59" t="s">
        <v>30</v>
      </c>
      <c r="C59">
        <v>6.06411967767999E-3</v>
      </c>
      <c r="D59">
        <v>6.0641245335596797E-3</v>
      </c>
      <c r="E59">
        <v>6.0641536690011497E-3</v>
      </c>
      <c r="F59">
        <v>6.0641973726882903E-3</v>
      </c>
      <c r="G59">
        <v>6.0645567380004199E-3</v>
      </c>
      <c r="H59">
        <v>6.06626187539051E-3</v>
      </c>
      <c r="I59">
        <v>6.0711202110662298E-3</v>
      </c>
      <c r="J59">
        <v>6.0823849440285599E-3</v>
      </c>
      <c r="K59">
        <v>6.1126116230082296E-3</v>
      </c>
      <c r="L59">
        <v>6.1772045230365199E-3</v>
      </c>
      <c r="M59">
        <v>6.2886005050883896E-3</v>
      </c>
      <c r="N59">
        <v>6.4786470314754799E-3</v>
      </c>
      <c r="O59">
        <v>6.7663749639578401E-3</v>
      </c>
      <c r="P59">
        <v>7.1495090238238397E-3</v>
      </c>
      <c r="Q59">
        <v>7.6758992040414399E-3</v>
      </c>
      <c r="R59">
        <v>8.4895503848912701E-3</v>
      </c>
      <c r="S59">
        <v>9.4404345701289399E-3</v>
      </c>
      <c r="T59">
        <v>1.0576267714115699E-2</v>
      </c>
      <c r="U59">
        <v>1.1807854235627101E-2</v>
      </c>
      <c r="V59">
        <v>1.3176005365765299E-2</v>
      </c>
      <c r="W59">
        <v>1.46236851686625E-2</v>
      </c>
      <c r="X59">
        <v>1.5830739017674698E-2</v>
      </c>
      <c r="Y59">
        <v>1.70117335117521E-2</v>
      </c>
      <c r="Z59">
        <v>1.79422526982565E-2</v>
      </c>
      <c r="AA59">
        <v>1.8661425667408499E-2</v>
      </c>
      <c r="AB59">
        <v>1.9649463278549301E-2</v>
      </c>
      <c r="AC59">
        <v>1.9083969465648901E-2</v>
      </c>
      <c r="AD59">
        <v>1.8987341772151899E-2</v>
      </c>
      <c r="AE59">
        <v>1.96700837799865E-2</v>
      </c>
      <c r="AF59">
        <v>1.9059287999455499E-2</v>
      </c>
      <c r="AG59">
        <v>1.77392554003683E-2</v>
      </c>
      <c r="AH59">
        <v>1.7564751414111301E-2</v>
      </c>
      <c r="AI59">
        <v>1.8305729455582901E-2</v>
      </c>
      <c r="AJ59">
        <v>1.6286991696827801E-2</v>
      </c>
      <c r="AK59">
        <v>1.29310344827586E-2</v>
      </c>
      <c r="AL59">
        <v>1.03305785123967E-2</v>
      </c>
      <c r="AM59">
        <v>6.7114093959731499E-3</v>
      </c>
      <c r="AN59">
        <v>8.1333875559170404E-3</v>
      </c>
      <c r="AO59">
        <v>5.66893424036281E-3</v>
      </c>
      <c r="AP59">
        <v>2.4350649350649402E-3</v>
      </c>
      <c r="AQ59">
        <v>1.17096018735363E-3</v>
      </c>
      <c r="AR59">
        <v>1.69491525423729E-3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807717</v>
      </c>
    </row>
    <row r="60" spans="1:53">
      <c r="A60" t="s">
        <v>127</v>
      </c>
      <c r="B60" t="s">
        <v>94</v>
      </c>
      <c r="C60">
        <v>2.79839945036158E-2</v>
      </c>
      <c r="D60">
        <v>2.79840169119649E-2</v>
      </c>
      <c r="E60">
        <v>2.7984151362813001E-2</v>
      </c>
      <c r="F60">
        <v>2.79843530415077E-2</v>
      </c>
      <c r="G60">
        <v>2.7986011398772E-2</v>
      </c>
      <c r="H60">
        <v>2.7993880068568899E-2</v>
      </c>
      <c r="I60">
        <v>2.8016299751238798E-2</v>
      </c>
      <c r="J60">
        <v>2.80740908557757E-2</v>
      </c>
      <c r="K60">
        <v>2.8211867254235499E-2</v>
      </c>
      <c r="L60">
        <v>2.8505777911329098E-2</v>
      </c>
      <c r="M60">
        <v>2.90475833270822E-2</v>
      </c>
      <c r="N60">
        <v>2.9953930962860999E-2</v>
      </c>
      <c r="O60">
        <v>3.14032928660632E-2</v>
      </c>
      <c r="P60">
        <v>3.3579509063117699E-2</v>
      </c>
      <c r="Q60">
        <v>3.6736297128766297E-2</v>
      </c>
      <c r="R60">
        <v>4.2069212419688702E-2</v>
      </c>
      <c r="S60">
        <v>4.9351214866608997E-2</v>
      </c>
      <c r="T60">
        <v>5.8958408024489498E-2</v>
      </c>
      <c r="U60">
        <v>7.0072102163064906E-2</v>
      </c>
      <c r="V60">
        <v>8.1688054496848295E-2</v>
      </c>
      <c r="W60">
        <v>9.2551322933379199E-2</v>
      </c>
      <c r="X60">
        <v>0.102255180719279</v>
      </c>
      <c r="Y60">
        <v>0.110415195331376</v>
      </c>
      <c r="Z60">
        <v>0.117462562651825</v>
      </c>
      <c r="AA60">
        <v>0.122633602127229</v>
      </c>
      <c r="AB60">
        <v>0.127915580083692</v>
      </c>
      <c r="AC60">
        <v>0.134819010096035</v>
      </c>
      <c r="AD60">
        <v>0.139659785169508</v>
      </c>
      <c r="AE60">
        <v>0.14466357912265199</v>
      </c>
      <c r="AF60">
        <v>0.14760737866721099</v>
      </c>
      <c r="AG60">
        <v>0.150267211568689</v>
      </c>
      <c r="AH60">
        <v>0.14361417088419201</v>
      </c>
      <c r="AI60">
        <v>0.14153260955701699</v>
      </c>
      <c r="AJ60">
        <v>0.13583138173302101</v>
      </c>
      <c r="AK60">
        <v>0.13614744351961899</v>
      </c>
      <c r="AL60">
        <v>0.13367768595041299</v>
      </c>
      <c r="AM60">
        <v>0.13714619200466899</v>
      </c>
      <c r="AN60">
        <v>0.14640097600650701</v>
      </c>
      <c r="AO60">
        <v>0.14739229024943301</v>
      </c>
      <c r="AP60">
        <v>0.128246753246753</v>
      </c>
      <c r="AQ60">
        <v>0.13583138173302101</v>
      </c>
      <c r="AR60">
        <v>0.15423728813559301</v>
      </c>
      <c r="AS60">
        <v>8.6848635235731997E-2</v>
      </c>
      <c r="AT60">
        <v>3.4042553191489397E-2</v>
      </c>
      <c r="AU60">
        <v>7.09219858156028E-3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1582363</v>
      </c>
    </row>
    <row r="61" spans="1:53">
      <c r="A61" t="s">
        <v>128</v>
      </c>
      <c r="B61" t="s">
        <v>95</v>
      </c>
      <c r="C61">
        <v>1.2569455510437399E-2</v>
      </c>
      <c r="D61">
        <v>1.25694655755033E-2</v>
      </c>
      <c r="E61">
        <v>1.25695259662368E-2</v>
      </c>
      <c r="F61">
        <v>1.25696165534251E-2</v>
      </c>
      <c r="G61">
        <v>1.2570361430924701E-2</v>
      </c>
      <c r="H61">
        <v>1.25738957689165E-2</v>
      </c>
      <c r="I61">
        <v>1.2583965925406899E-2</v>
      </c>
      <c r="J61">
        <v>1.26090386602204E-2</v>
      </c>
      <c r="K61">
        <v>1.26767229681705E-2</v>
      </c>
      <c r="L61">
        <v>1.281331042637E-2</v>
      </c>
      <c r="M61">
        <v>1.30714541711466E-2</v>
      </c>
      <c r="N61">
        <v>1.35015659677387E-2</v>
      </c>
      <c r="O61">
        <v>1.4204020894900599E-2</v>
      </c>
      <c r="P61">
        <v>1.52941338268636E-2</v>
      </c>
      <c r="Q61">
        <v>1.6867338421503401E-2</v>
      </c>
      <c r="R61">
        <v>1.9563434880298099E-2</v>
      </c>
      <c r="S61">
        <v>2.34405348169868E-2</v>
      </c>
      <c r="T61">
        <v>2.8669584710605399E-2</v>
      </c>
      <c r="U61">
        <v>3.4948548456453697E-2</v>
      </c>
      <c r="V61">
        <v>4.2163217170448901E-2</v>
      </c>
      <c r="W61">
        <v>4.9220403541692499E-2</v>
      </c>
      <c r="X61">
        <v>5.6362028213495098E-2</v>
      </c>
      <c r="Y61">
        <v>6.3121832757189397E-2</v>
      </c>
      <c r="Z61">
        <v>6.8932382153070307E-2</v>
      </c>
      <c r="AA61">
        <v>7.5377901095407401E-2</v>
      </c>
      <c r="AB61">
        <v>8.0356601370610695E-2</v>
      </c>
      <c r="AC61">
        <v>8.4261881310022199E-2</v>
      </c>
      <c r="AD61">
        <v>8.6191750189673802E-2</v>
      </c>
      <c r="AE61">
        <v>8.9295935890097294E-2</v>
      </c>
      <c r="AF61">
        <v>9.4547682254441504E-2</v>
      </c>
      <c r="AG61">
        <v>9.5387793595904297E-2</v>
      </c>
      <c r="AH61">
        <v>9.75290264959809E-2</v>
      </c>
      <c r="AI61">
        <v>9.9611696647911904E-2</v>
      </c>
      <c r="AJ61">
        <v>9.8360655737704902E-2</v>
      </c>
      <c r="AK61">
        <v>0.10017835909631401</v>
      </c>
      <c r="AL61">
        <v>0.100619834710744</v>
      </c>
      <c r="AM61">
        <v>9.2500729501021298E-2</v>
      </c>
      <c r="AN61">
        <v>7.8487189914599395E-2</v>
      </c>
      <c r="AO61">
        <v>6.7460317460317498E-2</v>
      </c>
      <c r="AP61">
        <v>5.76298701298701E-2</v>
      </c>
      <c r="AQ61">
        <v>4.0983606557376998E-2</v>
      </c>
      <c r="AR61">
        <v>3.55932203389831E-2</v>
      </c>
      <c r="AS61">
        <v>1.4888337468982601E-2</v>
      </c>
      <c r="AT61">
        <v>2.5531914893616999E-2</v>
      </c>
      <c r="AU61">
        <v>4.2553191489361701E-2</v>
      </c>
      <c r="AV61">
        <v>7.3170731707317097E-2</v>
      </c>
      <c r="AW61">
        <v>0</v>
      </c>
      <c r="AX61">
        <v>0</v>
      </c>
      <c r="AY61">
        <v>0</v>
      </c>
      <c r="AZ61">
        <v>0</v>
      </c>
      <c r="BA61">
        <v>755151</v>
      </c>
    </row>
    <row r="62" spans="1:53">
      <c r="A62" t="s">
        <v>128</v>
      </c>
      <c r="B62" t="s">
        <v>96</v>
      </c>
      <c r="C62">
        <v>4.7912390967160198E-2</v>
      </c>
      <c r="D62">
        <v>4.7912429333290603E-2</v>
      </c>
      <c r="E62">
        <v>4.7912659531363401E-2</v>
      </c>
      <c r="F62">
        <v>4.7913004832620003E-2</v>
      </c>
      <c r="G62">
        <v>4.79158441649963E-2</v>
      </c>
      <c r="H62">
        <v>4.7929316394046698E-2</v>
      </c>
      <c r="I62">
        <v>4.7967701929081799E-2</v>
      </c>
      <c r="J62">
        <v>4.8058955189107501E-2</v>
      </c>
      <c r="K62">
        <v>4.8308047195047901E-2</v>
      </c>
      <c r="L62">
        <v>4.8810939163721603E-2</v>
      </c>
      <c r="M62">
        <v>4.9740371231632198E-2</v>
      </c>
      <c r="N62">
        <v>5.1267653256531501E-2</v>
      </c>
      <c r="O62">
        <v>5.3712592333867298E-2</v>
      </c>
      <c r="P62">
        <v>5.7465234800171301E-2</v>
      </c>
      <c r="Q62">
        <v>6.2789619260124094E-2</v>
      </c>
      <c r="R62">
        <v>7.1713346789664206E-2</v>
      </c>
      <c r="S62">
        <v>8.3995902409683798E-2</v>
      </c>
      <c r="T62">
        <v>9.9583174101637806E-2</v>
      </c>
      <c r="U62">
        <v>0.117543526305789</v>
      </c>
      <c r="V62">
        <v>0.13642648933363399</v>
      </c>
      <c r="W62">
        <v>0.154350896425899</v>
      </c>
      <c r="X62">
        <v>0.17122983054912899</v>
      </c>
      <c r="Y62">
        <v>0.184905029178902</v>
      </c>
      <c r="Z62">
        <v>0.19559669136865401</v>
      </c>
      <c r="AA62">
        <v>0.205217877202617</v>
      </c>
      <c r="AB62">
        <v>0.21421553763114801</v>
      </c>
      <c r="AC62">
        <v>0.22202043831568599</v>
      </c>
      <c r="AD62">
        <v>0.22655033342650599</v>
      </c>
      <c r="AE62">
        <v>0.23018681375865099</v>
      </c>
      <c r="AF62">
        <v>0.234837655707576</v>
      </c>
      <c r="AG62">
        <v>0.236852741725423</v>
      </c>
      <c r="AH62">
        <v>0.241976778803215</v>
      </c>
      <c r="AI62">
        <v>0.245978286710516</v>
      </c>
      <c r="AJ62">
        <v>0.241111347668725</v>
      </c>
      <c r="AK62">
        <v>0.24331153388822799</v>
      </c>
      <c r="AL62">
        <v>0.227479338842975</v>
      </c>
      <c r="AM62">
        <v>0.20805369127516801</v>
      </c>
      <c r="AN62">
        <v>0.198861325742172</v>
      </c>
      <c r="AO62">
        <v>0.187074829931973</v>
      </c>
      <c r="AP62">
        <v>0.19805194805194801</v>
      </c>
      <c r="AQ62">
        <v>0.17681498829039799</v>
      </c>
      <c r="AR62">
        <v>0.17457627118644101</v>
      </c>
      <c r="AS62">
        <v>0.16377171215880901</v>
      </c>
      <c r="AT62">
        <v>0.20425531914893599</v>
      </c>
      <c r="AU62">
        <v>0.16312056737588701</v>
      </c>
      <c r="AV62">
        <v>0.26829268292682901</v>
      </c>
      <c r="AW62">
        <v>7.8431372549019607E-2</v>
      </c>
      <c r="AX62">
        <v>0.11764705882352899</v>
      </c>
      <c r="AY62">
        <v>0.2</v>
      </c>
      <c r="AZ62">
        <v>0.33333333333333298</v>
      </c>
      <c r="BA62">
        <v>3737082</v>
      </c>
    </row>
    <row r="63" spans="1:53">
      <c r="A63" t="s">
        <v>106</v>
      </c>
      <c r="B63" t="s">
        <v>144</v>
      </c>
      <c r="C63">
        <v>2.0018881809322599E-3</v>
      </c>
      <c r="D63">
        <v>2.00188978395605E-3</v>
      </c>
      <c r="E63">
        <v>2.00189940215276E-3</v>
      </c>
      <c r="F63">
        <v>2.0019138296211202E-3</v>
      </c>
      <c r="G63">
        <v>2.0020324633567999E-3</v>
      </c>
      <c r="H63">
        <v>2.0025953635912099E-3</v>
      </c>
      <c r="I63">
        <v>2.0041991981599801E-3</v>
      </c>
      <c r="J63">
        <v>2.0084483370851102E-3</v>
      </c>
      <c r="K63">
        <v>2.0192295266279799E-3</v>
      </c>
      <c r="L63">
        <v>2.0413762468726102E-3</v>
      </c>
      <c r="M63">
        <v>2.0836979804799202E-3</v>
      </c>
      <c r="N63">
        <v>2.1537986469969701E-3</v>
      </c>
      <c r="O63">
        <v>2.2657669088881598E-3</v>
      </c>
      <c r="P63">
        <v>2.4411280467439198E-3</v>
      </c>
      <c r="Q63">
        <v>2.7102961795080201E-3</v>
      </c>
      <c r="R63">
        <v>3.17459910100076E-3</v>
      </c>
      <c r="S63">
        <v>3.8438404571256701E-3</v>
      </c>
      <c r="T63">
        <v>4.7690713607513903E-3</v>
      </c>
      <c r="U63">
        <v>5.9251777553326604E-3</v>
      </c>
      <c r="V63">
        <v>7.3175306036168102E-3</v>
      </c>
      <c r="W63">
        <v>8.8262242085005403E-3</v>
      </c>
      <c r="X63">
        <v>1.04239020173199E-2</v>
      </c>
      <c r="Y63">
        <v>1.2018486166350701E-2</v>
      </c>
      <c r="Z63">
        <v>1.36757787275914E-2</v>
      </c>
      <c r="AA63">
        <v>1.5722997774502201E-2</v>
      </c>
      <c r="AB63">
        <v>1.8303111165019099E-2</v>
      </c>
      <c r="AC63">
        <v>2.0484486579660201E-2</v>
      </c>
      <c r="AD63">
        <v>2.3259992812362702E-2</v>
      </c>
      <c r="AE63">
        <v>2.65390019253786E-2</v>
      </c>
      <c r="AF63">
        <v>2.8691035327751701E-2</v>
      </c>
      <c r="AG63">
        <v>3.1706112183949302E-2</v>
      </c>
      <c r="AH63">
        <v>3.6201250372134598E-2</v>
      </c>
      <c r="AI63">
        <v>3.8671844044694502E-2</v>
      </c>
      <c r="AJ63">
        <v>3.9386842665531198E-2</v>
      </c>
      <c r="AK63">
        <v>4.2211652794292502E-2</v>
      </c>
      <c r="AL63">
        <v>4.0082644628099198E-2</v>
      </c>
      <c r="AM63">
        <v>4.0560256784359497E-2</v>
      </c>
      <c r="AN63">
        <v>3.6193574623830799E-2</v>
      </c>
      <c r="AO63">
        <v>3.2879818594104299E-2</v>
      </c>
      <c r="AP63">
        <v>3.0844155844155799E-2</v>
      </c>
      <c r="AQ63">
        <v>2.9274004683840799E-2</v>
      </c>
      <c r="AR63">
        <v>3.8983050847457602E-2</v>
      </c>
      <c r="AS63">
        <v>5.4590570719603E-2</v>
      </c>
      <c r="AT63">
        <v>2.5531914893616999E-2</v>
      </c>
      <c r="AU63">
        <v>4.2553191489361701E-2</v>
      </c>
      <c r="AV63">
        <v>2.4390243902439001E-2</v>
      </c>
      <c r="AW63">
        <v>0</v>
      </c>
      <c r="AX63">
        <v>0</v>
      </c>
      <c r="AY63">
        <v>0</v>
      </c>
      <c r="AZ63">
        <v>0</v>
      </c>
      <c r="BA63">
        <v>102220</v>
      </c>
    </row>
    <row r="64" spans="1:53">
      <c r="A64" t="s">
        <v>129</v>
      </c>
      <c r="B64" t="s">
        <v>9</v>
      </c>
      <c r="C64">
        <v>1.17462790904381E-2</v>
      </c>
      <c r="D64">
        <v>1.1746288496340501E-2</v>
      </c>
      <c r="E64">
        <v>1.17463449320715E-2</v>
      </c>
      <c r="F64">
        <v>1.17464295866849E-2</v>
      </c>
      <c r="G64">
        <v>1.1747125681992401E-2</v>
      </c>
      <c r="H64">
        <v>1.17504285554078E-2</v>
      </c>
      <c r="I64">
        <v>1.17598392151235E-2</v>
      </c>
      <c r="J64">
        <v>1.17839680833458E-2</v>
      </c>
      <c r="K64">
        <v>1.1844800403199801E-2</v>
      </c>
      <c r="L64">
        <v>1.19698137611622E-2</v>
      </c>
      <c r="M64">
        <v>1.22079697280357E-2</v>
      </c>
      <c r="N64">
        <v>1.26226229075505E-2</v>
      </c>
      <c r="O64">
        <v>1.3288982151287E-2</v>
      </c>
      <c r="P64">
        <v>1.4308841500552101E-2</v>
      </c>
      <c r="Q64">
        <v>1.5780601306048501E-2</v>
      </c>
      <c r="R64">
        <v>1.83148961069458E-2</v>
      </c>
      <c r="S64">
        <v>2.1805257947696201E-2</v>
      </c>
      <c r="T64">
        <v>2.6419985580502899E-2</v>
      </c>
      <c r="U64">
        <v>3.1810954328629903E-2</v>
      </c>
      <c r="V64">
        <v>3.7741546853493603E-2</v>
      </c>
      <c r="W64">
        <v>4.3827044415192598E-2</v>
      </c>
      <c r="X64">
        <v>4.94060974330017E-2</v>
      </c>
      <c r="Y64">
        <v>5.4609770905351303E-2</v>
      </c>
      <c r="Z64">
        <v>5.8923464838104601E-2</v>
      </c>
      <c r="AA64">
        <v>6.2699307301752494E-2</v>
      </c>
      <c r="AB64">
        <v>6.7317605676511599E-2</v>
      </c>
      <c r="AC64">
        <v>7.0426003447426694E-2</v>
      </c>
      <c r="AD64">
        <v>7.2635067683584201E-2</v>
      </c>
      <c r="AE64">
        <v>7.5688192746006105E-2</v>
      </c>
      <c r="AF64">
        <v>7.8415356340616693E-2</v>
      </c>
      <c r="AG64">
        <v>7.9400008981901499E-2</v>
      </c>
      <c r="AH64">
        <v>7.9726108961000297E-2</v>
      </c>
      <c r="AI64">
        <v>7.9087090894682605E-2</v>
      </c>
      <c r="AJ64">
        <v>7.8667234404939307E-2</v>
      </c>
      <c r="AK64">
        <v>7.5208085612366193E-2</v>
      </c>
      <c r="AL64">
        <v>6.6942148760330597E-2</v>
      </c>
      <c r="AM64">
        <v>5.5442077618908701E-2</v>
      </c>
      <c r="AN64">
        <v>4.71736478243188E-2</v>
      </c>
      <c r="AO64">
        <v>4.6485260770975097E-2</v>
      </c>
      <c r="AP64">
        <v>5.8441558441558399E-2</v>
      </c>
      <c r="AQ64">
        <v>4.8009367681498799E-2</v>
      </c>
      <c r="AR64">
        <v>6.7796610169491497E-2</v>
      </c>
      <c r="AS64">
        <v>6.4516129032258104E-2</v>
      </c>
      <c r="AT64">
        <v>2.5531914893616999E-2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605896</v>
      </c>
    </row>
    <row r="65" spans="1:53">
      <c r="A65" t="s">
        <v>107</v>
      </c>
      <c r="B65" t="s">
        <v>145</v>
      </c>
      <c r="C65">
        <v>5.6229035226025197E-3</v>
      </c>
      <c r="D65">
        <v>5.6229080251757697E-3</v>
      </c>
      <c r="E65">
        <v>5.6229350407666799E-3</v>
      </c>
      <c r="F65">
        <v>5.6229755646397999E-3</v>
      </c>
      <c r="G65">
        <v>5.6233087830765797E-3</v>
      </c>
      <c r="H65">
        <v>5.6248898572549997E-3</v>
      </c>
      <c r="I65">
        <v>5.6285930281124996E-3</v>
      </c>
      <c r="J65">
        <v>5.6405263098698397E-3</v>
      </c>
      <c r="K65">
        <v>5.6586888254222603E-3</v>
      </c>
      <c r="L65">
        <v>5.7085045367545701E-3</v>
      </c>
      <c r="M65">
        <v>5.7910134273497903E-3</v>
      </c>
      <c r="N65">
        <v>5.9464508900268897E-3</v>
      </c>
      <c r="O65">
        <v>6.19061002886101E-3</v>
      </c>
      <c r="P65">
        <v>6.5257197643943101E-3</v>
      </c>
      <c r="Q65">
        <v>7.0365137124183703E-3</v>
      </c>
      <c r="R65">
        <v>7.9108340572633992E-3</v>
      </c>
      <c r="S65">
        <v>9.1600566394747108E-3</v>
      </c>
      <c r="T65">
        <v>1.07338578458217E-2</v>
      </c>
      <c r="U65">
        <v>1.2330369911097301E-2</v>
      </c>
      <c r="V65">
        <v>1.38403684831223E-2</v>
      </c>
      <c r="W65">
        <v>1.5395879761699901E-2</v>
      </c>
      <c r="X65">
        <v>1.68101660528591E-2</v>
      </c>
      <c r="Y65">
        <v>1.78170959868168E-2</v>
      </c>
      <c r="Z65">
        <v>1.78423172719166E-2</v>
      </c>
      <c r="AA65">
        <v>1.84398393017139E-2</v>
      </c>
      <c r="AB65">
        <v>1.91764206440657E-2</v>
      </c>
      <c r="AC65">
        <v>1.9899655257325798E-2</v>
      </c>
      <c r="AD65">
        <v>2.1702671405183099E-2</v>
      </c>
      <c r="AE65">
        <v>2.4327418431597001E-2</v>
      </c>
      <c r="AF65">
        <v>2.6648968756381501E-2</v>
      </c>
      <c r="AG65">
        <v>2.9999550904926599E-2</v>
      </c>
      <c r="AH65">
        <v>3.2390592438225702E-2</v>
      </c>
      <c r="AI65">
        <v>3.3203898882637299E-2</v>
      </c>
      <c r="AJ65">
        <v>3.4064296359378299E-2</v>
      </c>
      <c r="AK65">
        <v>3.7604042806183097E-2</v>
      </c>
      <c r="AL65">
        <v>4.0909090909090902E-2</v>
      </c>
      <c r="AM65">
        <v>4.8730668222935501E-2</v>
      </c>
      <c r="AN65">
        <v>5.8560390402602698E-2</v>
      </c>
      <c r="AO65">
        <v>5.38548752834467E-2</v>
      </c>
      <c r="AP65">
        <v>6.9805194805194801E-2</v>
      </c>
      <c r="AQ65">
        <v>7.2599531615925098E-2</v>
      </c>
      <c r="AR65">
        <v>7.6271186440677999E-2</v>
      </c>
      <c r="AS65">
        <v>9.1811414392059601E-2</v>
      </c>
      <c r="AT65">
        <v>6.8085106382978697E-2</v>
      </c>
      <c r="AU65">
        <v>9.2198581560283696E-2</v>
      </c>
      <c r="AV65">
        <v>0.15853658536585399</v>
      </c>
      <c r="AW65">
        <v>0.13725490196078399</v>
      </c>
      <c r="AX65">
        <v>0.17647058823529399</v>
      </c>
      <c r="AY65">
        <v>0</v>
      </c>
      <c r="AZ65">
        <v>0</v>
      </c>
      <c r="BA65">
        <v>347039</v>
      </c>
    </row>
    <row r="66" spans="1:53">
      <c r="A66" t="s">
        <v>58</v>
      </c>
      <c r="B66" t="s">
        <v>10</v>
      </c>
      <c r="C66">
        <v>0.19438094010270501</v>
      </c>
      <c r="D66">
        <v>0.194381095754392</v>
      </c>
      <c r="E66">
        <v>0.19438202966975099</v>
      </c>
      <c r="F66">
        <v>0.194382629794083</v>
      </c>
      <c r="G66">
        <v>0.194390945688063</v>
      </c>
      <c r="H66">
        <v>0.19444399942325299</v>
      </c>
      <c r="I66">
        <v>0.19459010518839101</v>
      </c>
      <c r="J66">
        <v>0.19494963614949901</v>
      </c>
      <c r="K66">
        <v>0.19586203331567201</v>
      </c>
      <c r="L66">
        <v>0.197765264595024</v>
      </c>
      <c r="M66">
        <v>0.201225214412522</v>
      </c>
      <c r="N66">
        <v>0.20687680219985899</v>
      </c>
      <c r="O66">
        <v>0.215678997859755</v>
      </c>
      <c r="P66">
        <v>0.22891297599541</v>
      </c>
      <c r="Q66">
        <v>0.24725560689794401</v>
      </c>
      <c r="R66">
        <v>0.27708065201184101</v>
      </c>
      <c r="S66">
        <v>0.316494993922534</v>
      </c>
      <c r="T66">
        <v>0.36491176922501101</v>
      </c>
      <c r="U66">
        <v>0.41872256167685001</v>
      </c>
      <c r="V66">
        <v>0.47336031050234101</v>
      </c>
      <c r="W66">
        <v>0.52155143096060197</v>
      </c>
      <c r="X66">
        <v>0.56420494011003597</v>
      </c>
      <c r="Y66">
        <v>0.59971626460493899</v>
      </c>
      <c r="Z66">
        <v>0.62917806955505695</v>
      </c>
      <c r="AA66">
        <v>0.65341965567405602</v>
      </c>
      <c r="AB66">
        <v>0.67750621626538898</v>
      </c>
      <c r="AC66">
        <v>0.69544139374538305</v>
      </c>
      <c r="AD66">
        <v>0.711635986103901</v>
      </c>
      <c r="AE66">
        <v>0.72493105063225305</v>
      </c>
      <c r="AF66">
        <v>0.73316996800762402</v>
      </c>
      <c r="AG66">
        <v>0.74540800287420905</v>
      </c>
      <c r="AH66">
        <v>0.754212563262876</v>
      </c>
      <c r="AI66">
        <v>0.76654251525477501</v>
      </c>
      <c r="AJ66">
        <v>0.76729827549499696</v>
      </c>
      <c r="AK66">
        <v>0.77229488703923899</v>
      </c>
      <c r="AL66">
        <v>0.777272727272727</v>
      </c>
      <c r="AM66">
        <v>0.78114969360957098</v>
      </c>
      <c r="AN66">
        <v>0.78446522976819799</v>
      </c>
      <c r="AO66">
        <v>0.806689342403628</v>
      </c>
      <c r="AP66">
        <v>0.83441558441558406</v>
      </c>
      <c r="AQ66">
        <v>0.85362997658079598</v>
      </c>
      <c r="AR66">
        <v>0.89322033898305098</v>
      </c>
      <c r="AS66">
        <v>0.91315136476426795</v>
      </c>
      <c r="AT66">
        <v>0.94042553191489398</v>
      </c>
      <c r="AU66">
        <v>0.91489361702127703</v>
      </c>
      <c r="AV66">
        <v>0.92682926829268297</v>
      </c>
      <c r="AW66">
        <v>1</v>
      </c>
      <c r="AX66">
        <v>1</v>
      </c>
      <c r="AY66">
        <v>1</v>
      </c>
      <c r="AZ66">
        <v>1</v>
      </c>
      <c r="BA66">
        <v>12413365</v>
      </c>
    </row>
    <row r="67" spans="1:53">
      <c r="A67" t="s">
        <v>58</v>
      </c>
      <c r="B67" t="s">
        <v>11</v>
      </c>
      <c r="C67">
        <v>0.20854389860516401</v>
      </c>
      <c r="D67">
        <v>0.20854406559792399</v>
      </c>
      <c r="E67">
        <v>0.20854506756010099</v>
      </c>
      <c r="F67">
        <v>0.20854576975588701</v>
      </c>
      <c r="G67">
        <v>0.208554924959819</v>
      </c>
      <c r="H67">
        <v>0.208611961101588</v>
      </c>
      <c r="I67">
        <v>0.20876941367553301</v>
      </c>
      <c r="J67">
        <v>0.20915659630670499</v>
      </c>
      <c r="K67">
        <v>0.21012910145901401</v>
      </c>
      <c r="L67">
        <v>0.21213328717101201</v>
      </c>
      <c r="M67">
        <v>0.21575442369081299</v>
      </c>
      <c r="N67">
        <v>0.22165322375440699</v>
      </c>
      <c r="O67">
        <v>0.23083898865479299</v>
      </c>
      <c r="P67">
        <v>0.244672741489943</v>
      </c>
      <c r="Q67">
        <v>0.26377051952798902</v>
      </c>
      <c r="R67">
        <v>0.29475010618353897</v>
      </c>
      <c r="S67">
        <v>0.33523645727604201</v>
      </c>
      <c r="T67">
        <v>0.38462235494813302</v>
      </c>
      <c r="U67">
        <v>0.43877066311989399</v>
      </c>
      <c r="V67">
        <v>0.49388563418068798</v>
      </c>
      <c r="W67">
        <v>0.54166449945386197</v>
      </c>
      <c r="X67">
        <v>0.58391341065476698</v>
      </c>
      <c r="Y67">
        <v>0.61915647573380905</v>
      </c>
      <c r="Z67">
        <v>0.64843485747670704</v>
      </c>
      <c r="AA67">
        <v>0.67180168983689303</v>
      </c>
      <c r="AB67">
        <v>0.69491175935472105</v>
      </c>
      <c r="AC67">
        <v>0.713032504309283</v>
      </c>
      <c r="AD67">
        <v>0.72884638421914305</v>
      </c>
      <c r="AE67">
        <v>0.74124473122755896</v>
      </c>
      <c r="AF67">
        <v>0.74845143285004401</v>
      </c>
      <c r="AG67">
        <v>0.75955449768715999</v>
      </c>
      <c r="AH67">
        <v>0.76772849062220905</v>
      </c>
      <c r="AI67">
        <v>0.77938029954830002</v>
      </c>
      <c r="AJ67">
        <v>0.78220140515222503</v>
      </c>
      <c r="AK67">
        <v>0.789090368608799</v>
      </c>
      <c r="AL67">
        <v>0.79586776859504105</v>
      </c>
      <c r="AM67">
        <v>0.79982491975488801</v>
      </c>
      <c r="AN67">
        <v>0.80886539243595001</v>
      </c>
      <c r="AO67">
        <v>0.82653061224489799</v>
      </c>
      <c r="AP67">
        <v>0.85064935064935099</v>
      </c>
      <c r="AQ67">
        <v>0.871194379391101</v>
      </c>
      <c r="AR67">
        <v>0.90508474576271203</v>
      </c>
      <c r="AS67">
        <v>0.92555831265508703</v>
      </c>
      <c r="AT67">
        <v>0.93617021276595702</v>
      </c>
      <c r="AU67">
        <v>0.90780141843971596</v>
      </c>
      <c r="AV67">
        <v>0.92682926829268297</v>
      </c>
      <c r="AW67">
        <v>1</v>
      </c>
      <c r="AX67">
        <v>1</v>
      </c>
      <c r="AY67">
        <v>1</v>
      </c>
      <c r="AZ67">
        <v>1</v>
      </c>
      <c r="BA67">
        <v>13731589</v>
      </c>
    </row>
    <row r="68" spans="1:53">
      <c r="A68" t="s">
        <v>108</v>
      </c>
      <c r="B68" t="s">
        <v>146</v>
      </c>
      <c r="C68">
        <v>2.4703300152704E-2</v>
      </c>
      <c r="D68">
        <v>2.4703319934017701E-2</v>
      </c>
      <c r="E68">
        <v>2.4703438622565101E-2</v>
      </c>
      <c r="F68">
        <v>2.4703616657524598E-2</v>
      </c>
      <c r="G68">
        <v>2.47050805978229E-2</v>
      </c>
      <c r="H68">
        <v>2.47120267867156E-2</v>
      </c>
      <c r="I68">
        <v>2.47318181052942E-2</v>
      </c>
      <c r="J68">
        <v>2.47842524796303E-2</v>
      </c>
      <c r="K68">
        <v>2.4913253899536102E-2</v>
      </c>
      <c r="L68">
        <v>2.5175068426931801E-2</v>
      </c>
      <c r="M68">
        <v>2.5676159994665701E-2</v>
      </c>
      <c r="N68">
        <v>2.6522689065482601E-2</v>
      </c>
      <c r="O68">
        <v>2.7880484661276499E-2</v>
      </c>
      <c r="P68">
        <v>2.99173258203566E-2</v>
      </c>
      <c r="Q68">
        <v>3.2909804092721803E-2</v>
      </c>
      <c r="R68">
        <v>3.8029746789150901E-2</v>
      </c>
      <c r="S68">
        <v>4.54165256945228E-2</v>
      </c>
      <c r="T68">
        <v>5.5349594008423202E-2</v>
      </c>
      <c r="U68">
        <v>6.7047011410342305E-2</v>
      </c>
      <c r="V68">
        <v>7.9838009835117199E-2</v>
      </c>
      <c r="W68">
        <v>9.2371277561945603E-2</v>
      </c>
      <c r="X68">
        <v>0.10266993808622001</v>
      </c>
      <c r="Y68">
        <v>0.11105329021546501</v>
      </c>
      <c r="Z68">
        <v>0.114441437840165</v>
      </c>
      <c r="AA68">
        <v>0.11443490659652999</v>
      </c>
      <c r="AB68">
        <v>0.11257201770877601</v>
      </c>
      <c r="AC68">
        <v>0.10933267668062099</v>
      </c>
      <c r="AD68">
        <v>0.101225891466677</v>
      </c>
      <c r="AE68">
        <v>9.3953270541707906E-2</v>
      </c>
      <c r="AF68">
        <v>8.5222244911850806E-2</v>
      </c>
      <c r="AG68">
        <v>7.7917995239592197E-2</v>
      </c>
      <c r="AH68">
        <v>7.28192914557904E-2</v>
      </c>
      <c r="AI68">
        <v>7.2271970837625807E-2</v>
      </c>
      <c r="AJ68">
        <v>6.34447519693421E-2</v>
      </c>
      <c r="AK68">
        <v>5.7966706302021401E-2</v>
      </c>
      <c r="AL68">
        <v>5.2685950413223097E-2</v>
      </c>
      <c r="AM68">
        <v>5.3107674350744101E-2</v>
      </c>
      <c r="AN68">
        <v>5.6933712891419297E-2</v>
      </c>
      <c r="AO68">
        <v>6.4625850340136098E-2</v>
      </c>
      <c r="AP68">
        <v>7.9545454545454503E-2</v>
      </c>
      <c r="AQ68">
        <v>0.10655737704918</v>
      </c>
      <c r="AR68">
        <v>0.12542372881355901</v>
      </c>
      <c r="AS68">
        <v>0.14888337468982599</v>
      </c>
      <c r="AT68">
        <v>0.195744680851064</v>
      </c>
      <c r="AU68">
        <v>0.24113475177304999</v>
      </c>
      <c r="AV68">
        <v>0.26829268292682901</v>
      </c>
      <c r="AW68">
        <v>0.25490196078431399</v>
      </c>
      <c r="AX68">
        <v>0.35294117647058798</v>
      </c>
      <c r="AY68">
        <v>0.3</v>
      </c>
      <c r="AZ68">
        <v>0.5</v>
      </c>
      <c r="BA68">
        <v>1266582</v>
      </c>
    </row>
    <row r="69" spans="1:53">
      <c r="A69" t="s">
        <v>108</v>
      </c>
      <c r="B69" t="s">
        <v>37</v>
      </c>
      <c r="C69" s="1">
        <v>7.6071750875425704E-5</v>
      </c>
      <c r="D69" s="1">
        <v>7.6071811790330104E-5</v>
      </c>
      <c r="E69" s="1">
        <v>7.6072177281804999E-5</v>
      </c>
      <c r="F69" s="1">
        <v>7.60727255256025E-5</v>
      </c>
      <c r="G69" s="1">
        <v>7.6077233607558397E-5</v>
      </c>
      <c r="H69" s="1">
        <v>7.6098623816466096E-5</v>
      </c>
      <c r="I69" s="1">
        <v>7.6159569530079402E-5</v>
      </c>
      <c r="J69" s="1">
        <v>7.6321036809234402E-5</v>
      </c>
      <c r="K69" s="1">
        <v>7.6730722011863402E-5</v>
      </c>
      <c r="L69" s="1">
        <v>7.7572297381159203E-5</v>
      </c>
      <c r="M69" s="1">
        <v>7.9180523258236894E-5</v>
      </c>
      <c r="N69" s="1">
        <v>8.1942679801647004E-5</v>
      </c>
      <c r="O69" s="1">
        <v>8.6410219327328307E-5</v>
      </c>
      <c r="P69" s="1">
        <v>9.3322802591819798E-5</v>
      </c>
      <c r="Q69">
        <v>1.03654644546402E-4</v>
      </c>
      <c r="R69">
        <v>1.2190255238281E-4</v>
      </c>
      <c r="S69">
        <v>1.47237572522336E-4</v>
      </c>
      <c r="T69">
        <v>1.8122865146184499E-4</v>
      </c>
      <c r="U69">
        <v>2.25006750202506E-4</v>
      </c>
      <c r="V69">
        <v>2.6383798440495003E-4</v>
      </c>
      <c r="W69">
        <v>3.2808267683456202E-4</v>
      </c>
      <c r="X69">
        <v>3.7977782996946802E-4</v>
      </c>
      <c r="Y69">
        <v>4.5224200522866098E-4</v>
      </c>
      <c r="Z69">
        <v>4.9198979121183202E-4</v>
      </c>
      <c r="AA69">
        <v>5.4914881933003801E-4</v>
      </c>
      <c r="AB69">
        <v>5.2155982776396403E-4</v>
      </c>
      <c r="AC69">
        <v>4.4631864072888501E-4</v>
      </c>
      <c r="AD69">
        <v>3.7934752226170999E-4</v>
      </c>
      <c r="AE69">
        <v>1.56111776031639E-4</v>
      </c>
      <c r="AF69" s="1">
        <v>3.4034442856170402E-5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5388</v>
      </c>
    </row>
    <row r="70" spans="1:53">
      <c r="A70" t="s">
        <v>108</v>
      </c>
      <c r="B70" t="s">
        <v>69</v>
      </c>
      <c r="C70">
        <v>1.9538428645898801E-3</v>
      </c>
      <c r="D70">
        <v>1.95384442914111E-3</v>
      </c>
      <c r="E70">
        <v>1.9538538165011E-3</v>
      </c>
      <c r="F70">
        <v>1.9538678977102102E-3</v>
      </c>
      <c r="G70">
        <v>1.95398368423624E-3</v>
      </c>
      <c r="H70">
        <v>1.95453307486503E-3</v>
      </c>
      <c r="I70">
        <v>1.9560984174041502E-3</v>
      </c>
      <c r="J70">
        <v>1.96024557699507E-3</v>
      </c>
      <c r="K70">
        <v>1.9707680179889102E-3</v>
      </c>
      <c r="L70">
        <v>1.9915666664489201E-3</v>
      </c>
      <c r="M70">
        <v>2.0328557497562099E-3</v>
      </c>
      <c r="N70">
        <v>2.1020453755432999E-3</v>
      </c>
      <c r="O70">
        <v>2.2002770584505999E-3</v>
      </c>
      <c r="P70">
        <v>2.3635227687991401E-3</v>
      </c>
      <c r="Q70">
        <v>2.56954408322922E-3</v>
      </c>
      <c r="R70">
        <v>2.8935816381393301E-3</v>
      </c>
      <c r="S70">
        <v>3.3175444532160402E-3</v>
      </c>
      <c r="T70">
        <v>3.88262686990541E-3</v>
      </c>
      <c r="U70">
        <v>4.3551306539196203E-3</v>
      </c>
      <c r="V70">
        <v>4.7077596976353104E-3</v>
      </c>
      <c r="W70">
        <v>4.9972593093459599E-3</v>
      </c>
      <c r="X70">
        <v>5.2169480853700599E-3</v>
      </c>
      <c r="Y70">
        <v>5.1667100323383999E-3</v>
      </c>
      <c r="Z70">
        <v>5.0582700408966499E-3</v>
      </c>
      <c r="AA70">
        <v>4.8363632860294603E-3</v>
      </c>
      <c r="AB70">
        <v>4.0633149372308799E-3</v>
      </c>
      <c r="AC70">
        <v>3.3089140605762099E-3</v>
      </c>
      <c r="AD70">
        <v>2.19622249730464E-3</v>
      </c>
      <c r="AE70">
        <v>1.7692667950252399E-3</v>
      </c>
      <c r="AF70">
        <v>1.4975154856715E-3</v>
      </c>
      <c r="AG70">
        <v>1.1676471909103201E-3</v>
      </c>
      <c r="AH70">
        <v>1.19083060434653E-3</v>
      </c>
      <c r="AI70">
        <v>1.5849116411759999E-3</v>
      </c>
      <c r="AJ70">
        <v>1.91611667021503E-3</v>
      </c>
      <c r="AK70">
        <v>2.0808561236623098E-3</v>
      </c>
      <c r="AL70">
        <v>2.6859504132231401E-3</v>
      </c>
      <c r="AM70">
        <v>3.20980449372629E-3</v>
      </c>
      <c r="AN70">
        <v>4.4733631557543696E-3</v>
      </c>
      <c r="AO70">
        <v>5.1020408163265302E-3</v>
      </c>
      <c r="AP70">
        <v>4.87012987012987E-3</v>
      </c>
      <c r="AQ70">
        <v>5.8548009367681503E-3</v>
      </c>
      <c r="AR70">
        <v>8.4745762711864406E-3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137102</v>
      </c>
    </row>
    <row r="71" spans="1:53">
      <c r="A71" t="s">
        <v>108</v>
      </c>
      <c r="B71" t="s">
        <v>70</v>
      </c>
      <c r="C71">
        <v>1.3422259875514601E-2</v>
      </c>
      <c r="D71">
        <v>1.34222706234686E-2</v>
      </c>
      <c r="E71">
        <v>1.34223351115538E-2</v>
      </c>
      <c r="F71">
        <v>1.34224318448437E-2</v>
      </c>
      <c r="G71">
        <v>1.34232272603147E-2</v>
      </c>
      <c r="H71">
        <v>1.34270013938064E-2</v>
      </c>
      <c r="I71">
        <v>1.34377547838231E-2</v>
      </c>
      <c r="J71">
        <v>1.34662444104883E-2</v>
      </c>
      <c r="K71">
        <v>1.35385301301353E-2</v>
      </c>
      <c r="L71">
        <v>1.3681303606540201E-2</v>
      </c>
      <c r="M71">
        <v>1.39582760316389E-2</v>
      </c>
      <c r="N71">
        <v>1.44348499629533E-2</v>
      </c>
      <c r="O71">
        <v>1.52118369266341E-2</v>
      </c>
      <c r="P71">
        <v>1.6388466480414001E-2</v>
      </c>
      <c r="Q71">
        <v>1.81548382169219E-2</v>
      </c>
      <c r="R71">
        <v>2.1155867169846201E-2</v>
      </c>
      <c r="S71">
        <v>2.5501860832299501E-2</v>
      </c>
      <c r="T71">
        <v>3.13821048525941E-2</v>
      </c>
      <c r="U71">
        <v>3.8563656909707297E-2</v>
      </c>
      <c r="V71">
        <v>4.6588066258300601E-2</v>
      </c>
      <c r="W71">
        <v>5.51819058402718E-2</v>
      </c>
      <c r="X71">
        <v>6.2698321481933106E-2</v>
      </c>
      <c r="Y71">
        <v>6.9471806118276802E-2</v>
      </c>
      <c r="Z71">
        <v>7.4105962301282205E-2</v>
      </c>
      <c r="AA71">
        <v>7.6013757623052694E-2</v>
      </c>
      <c r="AB71">
        <v>7.6341803626660196E-2</v>
      </c>
      <c r="AC71">
        <v>7.5858778625954207E-2</v>
      </c>
      <c r="AD71">
        <v>6.9819909755220996E-2</v>
      </c>
      <c r="AE71">
        <v>6.2808971223395904E-2</v>
      </c>
      <c r="AF71">
        <v>5.7756449526921202E-2</v>
      </c>
      <c r="AG71">
        <v>5.1645933444110101E-2</v>
      </c>
      <c r="AH71">
        <v>4.58469782673415E-2</v>
      </c>
      <c r="AI71">
        <v>4.5328472937633701E-2</v>
      </c>
      <c r="AJ71">
        <v>3.9280391739408102E-2</v>
      </c>
      <c r="AK71">
        <v>3.6117717003567203E-2</v>
      </c>
      <c r="AL71">
        <v>3.2024793388429701E-2</v>
      </c>
      <c r="AM71">
        <v>3.03472424861395E-2</v>
      </c>
      <c r="AN71">
        <v>3.4160227734851598E-2</v>
      </c>
      <c r="AO71">
        <v>4.1383219954648498E-2</v>
      </c>
      <c r="AP71">
        <v>4.4642857142857102E-2</v>
      </c>
      <c r="AQ71">
        <v>5.5035128805620601E-2</v>
      </c>
      <c r="AR71">
        <v>6.6101694915254194E-2</v>
      </c>
      <c r="AS71">
        <v>8.1885856079404504E-2</v>
      </c>
      <c r="AT71">
        <v>0.136170212765957</v>
      </c>
      <c r="AU71">
        <v>0.19858156028368801</v>
      </c>
      <c r="AV71">
        <v>0.25609756097560998</v>
      </c>
      <c r="AW71">
        <v>0.23529411764705899</v>
      </c>
      <c r="AX71">
        <v>0.35294117647058798</v>
      </c>
      <c r="AY71">
        <v>0.3</v>
      </c>
      <c r="AZ71">
        <v>0.5</v>
      </c>
      <c r="BA71">
        <v>674366</v>
      </c>
    </row>
    <row r="72" spans="1:53">
      <c r="A72" t="s">
        <v>59</v>
      </c>
      <c r="B72" t="s">
        <v>12</v>
      </c>
      <c r="C72">
        <v>3.7462534662693898E-2</v>
      </c>
      <c r="D72">
        <v>3.7462564661039997E-2</v>
      </c>
      <c r="E72">
        <v>3.7462744652125901E-2</v>
      </c>
      <c r="F72">
        <v>3.7463014641997701E-2</v>
      </c>
      <c r="G72">
        <v>3.7465234706273803E-2</v>
      </c>
      <c r="H72">
        <v>3.7475768596100502E-2</v>
      </c>
      <c r="I72">
        <v>3.7505782114686699E-2</v>
      </c>
      <c r="J72">
        <v>3.75780683868625E-2</v>
      </c>
      <c r="K72">
        <v>3.7754745997079397E-2</v>
      </c>
      <c r="L72">
        <v>3.8123109685595402E-2</v>
      </c>
      <c r="M72">
        <v>3.88384633977613E-2</v>
      </c>
      <c r="N72">
        <v>4.0062207432287299E-2</v>
      </c>
      <c r="O72">
        <v>4.1974446224191803E-2</v>
      </c>
      <c r="P72">
        <v>4.4914791369507198E-2</v>
      </c>
      <c r="Q72">
        <v>4.9187947692593097E-2</v>
      </c>
      <c r="R72">
        <v>5.6446014492288699E-2</v>
      </c>
      <c r="S72">
        <v>6.6631266994975097E-2</v>
      </c>
      <c r="T72">
        <v>8.0303991364060801E-2</v>
      </c>
      <c r="U72">
        <v>9.6825404762142894E-2</v>
      </c>
      <c r="V72">
        <v>0.11555150085667899</v>
      </c>
      <c r="W72">
        <v>0.135626177796805</v>
      </c>
      <c r="X72">
        <v>0.15630855949269701</v>
      </c>
      <c r="Y72">
        <v>0.17820813044394099</v>
      </c>
      <c r="Z72">
        <v>0.19996310076565901</v>
      </c>
      <c r="AA72">
        <v>0.223098933495188</v>
      </c>
      <c r="AB72">
        <v>0.247571108011402</v>
      </c>
      <c r="AC72">
        <v>0.27279303127308502</v>
      </c>
      <c r="AD72">
        <v>0.29926526374635598</v>
      </c>
      <c r="AE72">
        <v>0.32619555601810901</v>
      </c>
      <c r="AF72">
        <v>0.35310734463276799</v>
      </c>
      <c r="AG72">
        <v>0.376296762024521</v>
      </c>
      <c r="AH72">
        <v>0.394343554629354</v>
      </c>
      <c r="AI72">
        <v>0.41786195419605399</v>
      </c>
      <c r="AJ72">
        <v>0.43612944432616602</v>
      </c>
      <c r="AK72">
        <v>0.45451843043995199</v>
      </c>
      <c r="AL72">
        <v>0.47169421487603302</v>
      </c>
      <c r="AM72">
        <v>0.477093667931135</v>
      </c>
      <c r="AN72">
        <v>0.47092313948759701</v>
      </c>
      <c r="AO72">
        <v>0.50170068027210901</v>
      </c>
      <c r="AP72">
        <v>0.51542207792207795</v>
      </c>
      <c r="AQ72">
        <v>0.52459016393442603</v>
      </c>
      <c r="AR72">
        <v>0.54237288135593198</v>
      </c>
      <c r="AS72">
        <v>0.53598014888337497</v>
      </c>
      <c r="AT72">
        <v>0.62553191489361704</v>
      </c>
      <c r="AU72">
        <v>0.57446808510638303</v>
      </c>
      <c r="AV72">
        <v>0.63414634146341498</v>
      </c>
      <c r="AW72">
        <v>0.47058823529411797</v>
      </c>
      <c r="AX72">
        <v>0.26470588235294101</v>
      </c>
      <c r="AY72">
        <v>0.35</v>
      </c>
      <c r="AZ72">
        <v>0.5</v>
      </c>
      <c r="BA72">
        <v>1990982</v>
      </c>
    </row>
    <row r="73" spans="1:53">
      <c r="A73" t="s">
        <v>118</v>
      </c>
      <c r="B73" t="s">
        <v>36</v>
      </c>
      <c r="C73">
        <v>1.6085571911426899E-2</v>
      </c>
      <c r="D73">
        <v>1.6085584792043701E-2</v>
      </c>
      <c r="E73">
        <v>1.6085662076177901E-2</v>
      </c>
      <c r="F73">
        <v>1.60857780037716E-2</v>
      </c>
      <c r="G73">
        <v>1.6086731249564602E-2</v>
      </c>
      <c r="H73">
        <v>1.6090453227382701E-2</v>
      </c>
      <c r="I73">
        <v>1.6101736358017298E-2</v>
      </c>
      <c r="J73">
        <v>1.6120609732780001E-2</v>
      </c>
      <c r="K73">
        <v>1.6165143898373001E-2</v>
      </c>
      <c r="L73">
        <v>1.6280383844058499E-2</v>
      </c>
      <c r="M73">
        <v>1.6439543586794399E-2</v>
      </c>
      <c r="N73">
        <v>1.67706476145623E-2</v>
      </c>
      <c r="O73">
        <v>1.7335709159574199E-2</v>
      </c>
      <c r="P73">
        <v>1.8253940186959999E-2</v>
      </c>
      <c r="Q73">
        <v>1.96180053573085E-2</v>
      </c>
      <c r="R73">
        <v>2.2123388480337101E-2</v>
      </c>
      <c r="S73">
        <v>2.5826096763279599E-2</v>
      </c>
      <c r="T73">
        <v>3.0997978906560902E-2</v>
      </c>
      <c r="U73">
        <v>3.7301119033571001E-2</v>
      </c>
      <c r="V73">
        <v>4.4544116571886297E-2</v>
      </c>
      <c r="W73">
        <v>5.2637264590676899E-2</v>
      </c>
      <c r="X73">
        <v>6.1124242318243802E-2</v>
      </c>
      <c r="Y73">
        <v>7.0029364754860005E-2</v>
      </c>
      <c r="Z73">
        <v>7.9371790535346404E-2</v>
      </c>
      <c r="AA73">
        <v>8.9790649055367697E-2</v>
      </c>
      <c r="AB73">
        <v>0.100867244829887</v>
      </c>
      <c r="AC73">
        <v>0.113257202659443</v>
      </c>
      <c r="AD73">
        <v>0.124465918619974</v>
      </c>
      <c r="AE73">
        <v>0.13956392777228499</v>
      </c>
      <c r="AF73">
        <v>0.15308692396705501</v>
      </c>
      <c r="AG73">
        <v>0.16701845780751801</v>
      </c>
      <c r="AH73">
        <v>0.17826734147067599</v>
      </c>
      <c r="AI73">
        <v>0.18678183691259201</v>
      </c>
      <c r="AJ73">
        <v>0.194592292952949</v>
      </c>
      <c r="AK73">
        <v>0.19961355529131999</v>
      </c>
      <c r="AL73">
        <v>0.212396694214876</v>
      </c>
      <c r="AM73">
        <v>0.23110592354829301</v>
      </c>
      <c r="AN73">
        <v>0.23871492476616499</v>
      </c>
      <c r="AO73">
        <v>0.23129251700680301</v>
      </c>
      <c r="AP73">
        <v>0.21753246753246799</v>
      </c>
      <c r="AQ73">
        <v>0.22248243559719</v>
      </c>
      <c r="AR73">
        <v>0.22542372881355899</v>
      </c>
      <c r="AS73">
        <v>0.26799007444168699</v>
      </c>
      <c r="AT73">
        <v>0.27234042553191501</v>
      </c>
      <c r="AU73">
        <v>0.340425531914894</v>
      </c>
      <c r="AV73">
        <v>0.31707317073170699</v>
      </c>
      <c r="AW73">
        <v>0.39215686274509798</v>
      </c>
      <c r="AX73">
        <v>0.55882352941176505</v>
      </c>
      <c r="AY73">
        <v>0.65</v>
      </c>
      <c r="AZ73">
        <v>0.5</v>
      </c>
      <c r="BA73">
        <v>857128</v>
      </c>
    </row>
  </sheetData>
  <sortState ref="A4:BA73">
    <sortCondition ref="A5:A73"/>
  </sortState>
  <phoneticPr fontId="19" type="noConversion"/>
  <pageMargins left="0.7" right="0.7" top="0.75" bottom="0.75" header="0.3" footer="0.3"/>
  <extLst>
    <ext xmlns:mx="http://schemas.microsoft.com/office/mac/excel/2008/main" uri="http://schemas.microsoft.com/office/mac/excel/2008/main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mv="urn:schemas-microsoft-com:mac:vml" mc:Ignorable="mv" mc:PreserveAttributes="mv:*">
  <dimension ref="A1:BA73"/>
  <sheetViews>
    <sheetView workbookViewId="0">
      <pane xSplit="2" ySplit="4" topLeftCell="C5" activePane="bottomRight" state="frozen"/>
      <selection pane="topRight" activeCell="C1" sqref="C1"/>
      <selection pane="bottomLeft" activeCell="A5" sqref="A5"/>
      <selection pane="bottomRight" activeCell="C4" sqref="C4:AZ4"/>
    </sheetView>
  </sheetViews>
  <sheetFormatPr baseColWidth="10" defaultColWidth="8.625" defaultRowHeight="15"/>
  <cols>
    <col min="1" max="1" width="22.75" customWidth="1"/>
    <col min="2" max="2" width="16.75" customWidth="1"/>
  </cols>
  <sheetData>
    <row r="1" spans="1:53">
      <c r="B1" s="3" t="s">
        <v>60</v>
      </c>
      <c r="C1">
        <f>-1.8240070434831+(0*((5.11073564785347--1.8240070434831)/50))</f>
        <v>-1.8240070434830999</v>
      </c>
      <c r="D1">
        <f>-1.8240070434831+(1*((5.11073564785347--1.8240070434831)/50))</f>
        <v>-1.6853121896563685</v>
      </c>
      <c r="E1">
        <f>-1.8240070434831+(2*((5.11073564785347--1.8240070434831)/50))</f>
        <v>-1.5466173358296371</v>
      </c>
      <c r="F1">
        <f>-1.8240070434831+(3*((5.11073564785347--1.8240070434831)/50))</f>
        <v>-1.4079224820029057</v>
      </c>
      <c r="G1">
        <f>-1.8240070434831+(4*((5.11073564785347--1.8240070434831)/50))</f>
        <v>-1.2692276281761745</v>
      </c>
      <c r="H1">
        <f>-1.8240070434831+(5*((5.11073564785347--1.8240070434831)/50))</f>
        <v>-1.1305327743494429</v>
      </c>
      <c r="I1">
        <f>-1.8240070434831+(6*((5.11073564785347--1.8240070434831)/50))</f>
        <v>-0.99183792052271169</v>
      </c>
      <c r="J1">
        <f>-1.8240070434831+(7*((5.11073564785347--1.8240070434831)/50))</f>
        <v>-0.85314306669598028</v>
      </c>
      <c r="K1">
        <f>-1.8240070434831+(8*((5.11073564785347--1.8240070434831)/50))</f>
        <v>-0.71444821286924887</v>
      </c>
      <c r="L1">
        <f>-1.8240070434831+(9*((5.11073564785347--1.8240070434831)/50))</f>
        <v>-0.57575335904251745</v>
      </c>
      <c r="M1">
        <f>-1.8240070434831+(10*((5.11073564785347--1.8240070434831)/50))</f>
        <v>-0.43705850521578604</v>
      </c>
      <c r="N1">
        <f>-1.8240070434831+(11*((5.11073564785347--1.8240070434831)/50))</f>
        <v>-0.29836365138905463</v>
      </c>
      <c r="O1">
        <f>-1.8240070434831+(12*((5.11073564785347--1.8240070434831)/50))</f>
        <v>-0.15966879756232344</v>
      </c>
      <c r="P1">
        <f>-1.8240070434831+(13*((5.11073564785347--1.8240070434831)/50))</f>
        <v>-2.0973943735592027E-2</v>
      </c>
      <c r="Q1">
        <f>-1.8240070434831+(14*((5.11073564785347--1.8240070434831)/50))</f>
        <v>0.11772091009113939</v>
      </c>
      <c r="R1">
        <f>-1.8240070434831+(15*((5.11073564785347--1.8240070434831)/50))</f>
        <v>0.25641576391787102</v>
      </c>
      <c r="S1">
        <f>-1.8240070434831+(16*((5.11073564785347--1.8240070434831)/50))</f>
        <v>0.39511061774460221</v>
      </c>
      <c r="T1">
        <f>-1.8240070434831+(17*((5.11073564785347--1.8240070434831)/50))</f>
        <v>0.5338054715713334</v>
      </c>
      <c r="U1">
        <f>-1.8240070434831+(18*((5.11073564785347--1.8240070434831)/50))</f>
        <v>0.67250032539806504</v>
      </c>
      <c r="V1">
        <f>-1.8240070434831+(19*((5.11073564785347--1.8240070434831)/50))</f>
        <v>0.81119517922479623</v>
      </c>
      <c r="W1">
        <f>-1.8240070434831+(20*((5.11073564785347--1.8240070434831)/50))</f>
        <v>0.94989003305152786</v>
      </c>
      <c r="X1">
        <f>-1.8240070434831+(21*((5.11073564785347--1.8240070434831)/50))</f>
        <v>1.0885848868782591</v>
      </c>
      <c r="Y1">
        <f>-1.8240070434831+(22*((5.11073564785347--1.8240070434831)/50))</f>
        <v>1.2272797407049907</v>
      </c>
      <c r="Z1">
        <f>-1.8240070434831+(23*((5.11073564785347--1.8240070434831)/50))</f>
        <v>1.3659745945317219</v>
      </c>
      <c r="AA1">
        <f>-1.8240070434831+(24*((5.11073564785347--1.8240070434831)/50))</f>
        <v>1.5046694483584531</v>
      </c>
      <c r="AB1">
        <f>-1.8240070434831+(25*((5.11073564785347--1.8240070434831)/50))</f>
        <v>1.6433643021851847</v>
      </c>
      <c r="AC1">
        <f>-1.8240070434831+(26*((5.11073564785347--1.8240070434831)/50))</f>
        <v>1.7820591560119159</v>
      </c>
      <c r="AD1">
        <f>-1.8240070434831+(27*((5.11073564785347--1.8240070434831)/50))</f>
        <v>1.9207540098386475</v>
      </c>
      <c r="AE1">
        <f>-1.8240070434831+(28*((5.11073564785347--1.8240070434831)/50))</f>
        <v>2.0594488636653789</v>
      </c>
      <c r="AF1">
        <f>-1.8240070434831+(29*((5.11073564785347--1.8240070434831)/50))</f>
        <v>2.1981437174921101</v>
      </c>
      <c r="AG1">
        <f>-1.8240070434831+(30*((5.11073564785347--1.8240070434831)/50))</f>
        <v>2.3368385713188422</v>
      </c>
      <c r="AH1">
        <f>-1.8240070434831+(31*((5.11073564785347--1.8240070434831)/50))</f>
        <v>2.4755334251455734</v>
      </c>
      <c r="AI1">
        <f>-1.8240070434831+(32*((5.11073564785347--1.8240070434831)/50))</f>
        <v>2.6142282789723046</v>
      </c>
      <c r="AJ1">
        <f>-1.8240070434831+(33*((5.11073564785347--1.8240070434831)/50))</f>
        <v>2.7529231327990358</v>
      </c>
      <c r="AK1">
        <f>-1.8240070434831+(34*((5.11073564785347--1.8240070434831)/50))</f>
        <v>2.891617986625767</v>
      </c>
      <c r="AL1">
        <f>-1.8240070434831+(35*((5.11073564785347--1.8240070434831)/50))</f>
        <v>3.030312840452499</v>
      </c>
      <c r="AM1">
        <f>-1.8240070434831+(36*((5.11073564785347--1.8240070434831)/50))</f>
        <v>3.1690076942792302</v>
      </c>
      <c r="AN1">
        <f>-1.8240070434831+(37*((5.11073564785347--1.8240070434831)/50))</f>
        <v>3.3077025481059614</v>
      </c>
      <c r="AO1">
        <f>-1.8240070434831+(38*((5.11073564785347--1.8240070434831)/50))</f>
        <v>3.4463974019326926</v>
      </c>
      <c r="AP1">
        <f>-1.8240070434831+(39*((5.11073564785347--1.8240070434831)/50))</f>
        <v>3.5850922557594247</v>
      </c>
      <c r="AQ1">
        <f>-1.8240070434831+(40*((5.11073564785347--1.8240070434831)/50))</f>
        <v>3.7237871095861559</v>
      </c>
      <c r="AR1">
        <f>-1.8240070434831+(41*((5.11073564785347--1.8240070434831)/50))</f>
        <v>3.8624819634128871</v>
      </c>
      <c r="AS1">
        <f>-1.8240070434831+(42*((5.11073564785347--1.8240070434831)/50))</f>
        <v>4.0011768172396183</v>
      </c>
      <c r="AT1">
        <f>-1.8240070434831+(43*((5.11073564785347--1.8240070434831)/50))</f>
        <v>4.1398716710663495</v>
      </c>
      <c r="AU1">
        <f>-1.8240070434831+(44*((5.11073564785347--1.8240070434831)/50))</f>
        <v>4.2785665248930815</v>
      </c>
      <c r="AV1">
        <f>-1.8240070434831+(45*((5.11073564785347--1.8240070434831)/50))</f>
        <v>4.4172613787198127</v>
      </c>
      <c r="AW1">
        <f>-1.8240070434831+(46*((5.11073564785347--1.8240070434831)/50))</f>
        <v>4.5559562325465439</v>
      </c>
      <c r="AX1">
        <f>-1.8240070434831+(47*((5.11073564785347--1.8240070434831)/50))</f>
        <v>4.6946510863732751</v>
      </c>
      <c r="AY1">
        <f>-1.8240070434831+(48*((5.11073564785347--1.8240070434831)/50))</f>
        <v>4.8333459402000063</v>
      </c>
      <c r="AZ1">
        <f>-1.8240070434831+(49*((5.11073564785347--1.8240070434831)/50))</f>
        <v>4.9720407940267384</v>
      </c>
    </row>
    <row r="2" spans="1:53">
      <c r="B2" s="4" t="s">
        <v>61</v>
      </c>
      <c r="C2">
        <v>1086317</v>
      </c>
      <c r="D2">
        <v>1086312</v>
      </c>
      <c r="E2">
        <v>1086014</v>
      </c>
      <c r="F2">
        <v>1085856</v>
      </c>
      <c r="G2">
        <v>1085302</v>
      </c>
      <c r="H2">
        <v>1083721</v>
      </c>
      <c r="I2">
        <v>1080123</v>
      </c>
      <c r="J2">
        <v>1071765</v>
      </c>
      <c r="K2">
        <v>1054453</v>
      </c>
      <c r="L2">
        <v>1024713</v>
      </c>
      <c r="M2">
        <v>978693</v>
      </c>
      <c r="N2">
        <v>914230</v>
      </c>
      <c r="O2">
        <v>833867</v>
      </c>
      <c r="P2">
        <v>740229</v>
      </c>
      <c r="Q2">
        <v>626643</v>
      </c>
      <c r="R2">
        <v>510332</v>
      </c>
      <c r="S2">
        <v>407227</v>
      </c>
      <c r="T2">
        <v>323184</v>
      </c>
      <c r="U2">
        <v>255441</v>
      </c>
      <c r="V2">
        <v>203515</v>
      </c>
      <c r="W2">
        <v>162242</v>
      </c>
      <c r="X2">
        <v>129954</v>
      </c>
      <c r="Y2">
        <v>105157</v>
      </c>
      <c r="Z2">
        <v>85151</v>
      </c>
      <c r="AA2">
        <v>69195</v>
      </c>
      <c r="AB2">
        <v>56002</v>
      </c>
      <c r="AC2">
        <v>45674</v>
      </c>
      <c r="AD2">
        <v>37019</v>
      </c>
      <c r="AE2">
        <v>29865</v>
      </c>
      <c r="AF2">
        <v>23878</v>
      </c>
      <c r="AG2">
        <v>18984</v>
      </c>
      <c r="AH2">
        <v>14921</v>
      </c>
      <c r="AI2">
        <v>11538</v>
      </c>
      <c r="AJ2">
        <v>8855</v>
      </c>
      <c r="AK2">
        <v>6570</v>
      </c>
      <c r="AL2">
        <v>4888</v>
      </c>
      <c r="AM2">
        <v>3545</v>
      </c>
      <c r="AN2">
        <v>2541</v>
      </c>
      <c r="AO2">
        <v>1733</v>
      </c>
      <c r="AP2">
        <v>1101</v>
      </c>
      <c r="AQ2">
        <v>696</v>
      </c>
      <c r="AR2">
        <v>432</v>
      </c>
      <c r="AS2">
        <v>234</v>
      </c>
      <c r="AT2">
        <v>141</v>
      </c>
      <c r="AU2">
        <v>100</v>
      </c>
      <c r="AV2">
        <v>45</v>
      </c>
      <c r="AW2">
        <v>23</v>
      </c>
      <c r="AX2">
        <v>12</v>
      </c>
      <c r="AY2">
        <v>5</v>
      </c>
      <c r="AZ2">
        <v>5</v>
      </c>
    </row>
    <row r="4" spans="1:53">
      <c r="A4" s="2" t="s">
        <v>13</v>
      </c>
      <c r="C4" s="5" t="s">
        <v>57</v>
      </c>
      <c r="D4" s="5" t="s">
        <v>57</v>
      </c>
      <c r="E4" s="5" t="s">
        <v>57</v>
      </c>
      <c r="F4" s="5" t="s">
        <v>57</v>
      </c>
      <c r="G4" s="5" t="s">
        <v>57</v>
      </c>
      <c r="H4" s="5" t="s">
        <v>57</v>
      </c>
      <c r="I4" s="5" t="s">
        <v>57</v>
      </c>
      <c r="J4" s="5" t="s">
        <v>57</v>
      </c>
      <c r="K4" s="5" t="s">
        <v>57</v>
      </c>
      <c r="L4" s="5" t="s">
        <v>57</v>
      </c>
      <c r="M4" s="5" t="s">
        <v>57</v>
      </c>
      <c r="N4" s="5" t="s">
        <v>57</v>
      </c>
      <c r="O4" s="5" t="s">
        <v>57</v>
      </c>
      <c r="P4" s="5" t="s">
        <v>57</v>
      </c>
      <c r="Q4" s="5" t="s">
        <v>57</v>
      </c>
      <c r="R4" s="5" t="s">
        <v>57</v>
      </c>
      <c r="S4" s="5" t="s">
        <v>57</v>
      </c>
      <c r="T4" s="5" t="s">
        <v>57</v>
      </c>
      <c r="U4" s="5" t="s">
        <v>57</v>
      </c>
      <c r="V4" s="5" t="s">
        <v>57</v>
      </c>
      <c r="W4" s="5" t="s">
        <v>57</v>
      </c>
      <c r="X4" s="5" t="s">
        <v>57</v>
      </c>
      <c r="Y4" s="5" t="s">
        <v>57</v>
      </c>
      <c r="Z4" s="5" t="s">
        <v>57</v>
      </c>
      <c r="AA4" s="5" t="s">
        <v>57</v>
      </c>
      <c r="AB4" s="5" t="s">
        <v>57</v>
      </c>
      <c r="AC4" s="5" t="s">
        <v>57</v>
      </c>
      <c r="AD4" s="5" t="s">
        <v>57</v>
      </c>
      <c r="AE4" s="5" t="s">
        <v>57</v>
      </c>
      <c r="AF4" s="5" t="s">
        <v>57</v>
      </c>
      <c r="AG4" s="5" t="s">
        <v>57</v>
      </c>
      <c r="AH4" s="5" t="s">
        <v>57</v>
      </c>
      <c r="AI4" s="5" t="s">
        <v>57</v>
      </c>
      <c r="AJ4" s="5" t="s">
        <v>57</v>
      </c>
      <c r="AK4" s="5" t="s">
        <v>57</v>
      </c>
      <c r="AL4" s="5" t="s">
        <v>57</v>
      </c>
      <c r="AM4" s="5" t="s">
        <v>57</v>
      </c>
      <c r="AN4" s="5" t="s">
        <v>57</v>
      </c>
      <c r="AO4" s="5" t="s">
        <v>57</v>
      </c>
      <c r="AP4" s="5" t="s">
        <v>57</v>
      </c>
      <c r="AQ4" s="5" t="s">
        <v>57</v>
      </c>
      <c r="AR4" s="5" t="s">
        <v>57</v>
      </c>
      <c r="AS4" s="5" t="s">
        <v>57</v>
      </c>
      <c r="AT4" s="5" t="s">
        <v>57</v>
      </c>
      <c r="AU4" s="5" t="s">
        <v>57</v>
      </c>
      <c r="AV4" s="5" t="s">
        <v>57</v>
      </c>
      <c r="AW4" s="5" t="s">
        <v>57</v>
      </c>
      <c r="AX4" s="5" t="s">
        <v>57</v>
      </c>
      <c r="AY4" s="5" t="s">
        <v>57</v>
      </c>
      <c r="AZ4" s="5" t="s">
        <v>57</v>
      </c>
      <c r="BA4" t="s">
        <v>130</v>
      </c>
    </row>
    <row r="5" spans="1:53">
      <c r="A5" t="s">
        <v>14</v>
      </c>
      <c r="B5" t="s">
        <v>131</v>
      </c>
      <c r="C5">
        <v>1.95486216270205E-2</v>
      </c>
      <c r="D5">
        <v>1.9548711604032699E-2</v>
      </c>
      <c r="E5">
        <v>1.95540757301471E-2</v>
      </c>
      <c r="F5">
        <v>1.9556920991365301E-2</v>
      </c>
      <c r="G5">
        <v>1.9566903958529499E-2</v>
      </c>
      <c r="H5">
        <v>1.9595449382267201E-2</v>
      </c>
      <c r="I5">
        <v>1.9660723824971801E-2</v>
      </c>
      <c r="J5">
        <v>1.98131120161603E-2</v>
      </c>
      <c r="K5">
        <v>2.01327133594385E-2</v>
      </c>
      <c r="L5">
        <v>2.0704333798829501E-2</v>
      </c>
      <c r="M5">
        <v>2.16370199848165E-2</v>
      </c>
      <c r="N5">
        <v>2.3071874692364099E-2</v>
      </c>
      <c r="O5">
        <v>2.5165883768035E-2</v>
      </c>
      <c r="P5">
        <v>2.8152098877509499E-2</v>
      </c>
      <c r="Q5">
        <v>3.2817728754649798E-2</v>
      </c>
      <c r="R5">
        <v>3.9348894445184697E-2</v>
      </c>
      <c r="S5">
        <v>4.77178576076734E-2</v>
      </c>
      <c r="T5">
        <v>5.7465716124560598E-2</v>
      </c>
      <c r="U5">
        <v>6.8920024584933501E-2</v>
      </c>
      <c r="V5">
        <v>8.1885856079404504E-2</v>
      </c>
      <c r="W5">
        <v>9.6152660839979795E-2</v>
      </c>
      <c r="X5">
        <v>0.112185850377826</v>
      </c>
      <c r="Y5">
        <v>0.12883593103645</v>
      </c>
      <c r="Z5">
        <v>0.146610139634297</v>
      </c>
      <c r="AA5">
        <v>0.165387672519691</v>
      </c>
      <c r="AB5">
        <v>0.185796935823721</v>
      </c>
      <c r="AC5">
        <v>0.20657266716293701</v>
      </c>
      <c r="AD5">
        <v>0.22769388692293099</v>
      </c>
      <c r="AE5">
        <v>0.248853172610079</v>
      </c>
      <c r="AF5">
        <v>0.268071027724265</v>
      </c>
      <c r="AG5">
        <v>0.29287821323219598</v>
      </c>
      <c r="AH5">
        <v>0.31814221566919099</v>
      </c>
      <c r="AI5">
        <v>0.34026694401109397</v>
      </c>
      <c r="AJ5">
        <v>0.35098814229248998</v>
      </c>
      <c r="AK5">
        <v>0.37092846270928498</v>
      </c>
      <c r="AL5">
        <v>0.39954991816693902</v>
      </c>
      <c r="AM5">
        <v>0.41805359661495101</v>
      </c>
      <c r="AN5">
        <v>0.44746162927981098</v>
      </c>
      <c r="AO5">
        <v>0.43912290825158701</v>
      </c>
      <c r="AP5">
        <v>0.44959128065395099</v>
      </c>
      <c r="AQ5">
        <v>0.44827586206896602</v>
      </c>
      <c r="AR5">
        <v>0.45833333333333298</v>
      </c>
      <c r="AS5">
        <v>0.53846153846153799</v>
      </c>
      <c r="AT5">
        <v>0.58865248226950395</v>
      </c>
      <c r="AU5">
        <v>0.61</v>
      </c>
      <c r="AV5">
        <v>0.64444444444444404</v>
      </c>
      <c r="AW5">
        <v>0.60869565217391297</v>
      </c>
      <c r="AX5">
        <v>0.58333333333333304</v>
      </c>
      <c r="AY5">
        <v>1</v>
      </c>
      <c r="AZ5">
        <v>1</v>
      </c>
      <c r="BA5">
        <v>902051</v>
      </c>
    </row>
    <row r="6" spans="1:53">
      <c r="A6" t="s">
        <v>14</v>
      </c>
      <c r="B6" t="s">
        <v>132</v>
      </c>
      <c r="C6">
        <v>2.24474071564746E-2</v>
      </c>
      <c r="D6">
        <v>2.2447510475811699E-2</v>
      </c>
      <c r="E6">
        <v>2.24536700263533E-2</v>
      </c>
      <c r="F6">
        <v>2.2456937199776001E-2</v>
      </c>
      <c r="G6">
        <v>2.24684005005059E-2</v>
      </c>
      <c r="H6">
        <v>2.2501178808937001E-2</v>
      </c>
      <c r="I6">
        <v>2.25761325330541E-2</v>
      </c>
      <c r="J6">
        <v>2.27512561055828E-2</v>
      </c>
      <c r="K6">
        <v>2.3121940949478101E-2</v>
      </c>
      <c r="L6">
        <v>2.3784220557365801E-2</v>
      </c>
      <c r="M6">
        <v>2.48780771907023E-2</v>
      </c>
      <c r="N6">
        <v>2.6548024020213699E-2</v>
      </c>
      <c r="O6">
        <v>2.8959054621420399E-2</v>
      </c>
      <c r="P6">
        <v>3.2369712615960701E-2</v>
      </c>
      <c r="Q6">
        <v>3.7697700285489501E-2</v>
      </c>
      <c r="R6">
        <v>4.5166675811040703E-2</v>
      </c>
      <c r="S6">
        <v>5.4704133075655602E-2</v>
      </c>
      <c r="T6">
        <v>6.5727263725926993E-2</v>
      </c>
      <c r="U6">
        <v>7.8703105609514504E-2</v>
      </c>
      <c r="V6">
        <v>9.3373952779893396E-2</v>
      </c>
      <c r="W6">
        <v>0.109885233170203</v>
      </c>
      <c r="X6">
        <v>0.12759899656801599</v>
      </c>
      <c r="Y6">
        <v>0.146076818471428</v>
      </c>
      <c r="Z6">
        <v>0.16547075195828601</v>
      </c>
      <c r="AA6">
        <v>0.18616952091914199</v>
      </c>
      <c r="AB6">
        <v>0.20802828470411799</v>
      </c>
      <c r="AC6">
        <v>0.23021850505758201</v>
      </c>
      <c r="AD6">
        <v>0.25316729247143399</v>
      </c>
      <c r="AE6">
        <v>0.27500418550142303</v>
      </c>
      <c r="AF6">
        <v>0.29788927045816199</v>
      </c>
      <c r="AG6">
        <v>0.32495785924989501</v>
      </c>
      <c r="AH6">
        <v>0.35111587695194701</v>
      </c>
      <c r="AI6">
        <v>0.37831513260530403</v>
      </c>
      <c r="AJ6">
        <v>0.39412761151891601</v>
      </c>
      <c r="AK6">
        <v>0.41948249619482503</v>
      </c>
      <c r="AL6">
        <v>0.44926350245499203</v>
      </c>
      <c r="AM6">
        <v>0.47362482369534598</v>
      </c>
      <c r="AN6">
        <v>0.50373868555686696</v>
      </c>
      <c r="AO6">
        <v>0.50144258511252204</v>
      </c>
      <c r="AP6">
        <v>0.490463215258856</v>
      </c>
      <c r="AQ6">
        <v>0.46982758620689702</v>
      </c>
      <c r="AR6">
        <v>0.44444444444444398</v>
      </c>
      <c r="AS6">
        <v>0.50854700854700896</v>
      </c>
      <c r="AT6">
        <v>0.58865248226950395</v>
      </c>
      <c r="AU6">
        <v>0.61</v>
      </c>
      <c r="AV6">
        <v>0.64444444444444404</v>
      </c>
      <c r="AW6">
        <v>0.60869565217391297</v>
      </c>
      <c r="AX6">
        <v>0.58333333333333304</v>
      </c>
      <c r="AY6">
        <v>1</v>
      </c>
      <c r="AZ6">
        <v>1</v>
      </c>
      <c r="BA6">
        <v>1021670</v>
      </c>
    </row>
    <row r="7" spans="1:53">
      <c r="A7" t="s">
        <v>100</v>
      </c>
      <c r="B7" t="s">
        <v>137</v>
      </c>
      <c r="C7">
        <v>2.49310284198811E-2</v>
      </c>
      <c r="D7">
        <v>2.49311431706545E-2</v>
      </c>
      <c r="E7">
        <v>2.49379842248811E-2</v>
      </c>
      <c r="F7">
        <v>2.4941612884213E-2</v>
      </c>
      <c r="G7">
        <v>2.4953423102509701E-2</v>
      </c>
      <c r="H7">
        <v>2.4987058477228E-2</v>
      </c>
      <c r="I7">
        <v>2.5056405613064402E-2</v>
      </c>
      <c r="J7">
        <v>2.5183692320611299E-2</v>
      </c>
      <c r="K7">
        <v>2.5476716363839799E-2</v>
      </c>
      <c r="L7">
        <v>2.5950680824777299E-2</v>
      </c>
      <c r="M7">
        <v>2.6759157365997301E-2</v>
      </c>
      <c r="N7">
        <v>2.8007175437253201E-2</v>
      </c>
      <c r="O7">
        <v>2.9575459875495699E-2</v>
      </c>
      <c r="P7">
        <v>3.1696947836412803E-2</v>
      </c>
      <c r="Q7">
        <v>3.48587632830814E-2</v>
      </c>
      <c r="R7">
        <v>3.8823746110375201E-2</v>
      </c>
      <c r="S7">
        <v>4.3960739341939503E-2</v>
      </c>
      <c r="T7">
        <v>4.87771671864944E-2</v>
      </c>
      <c r="U7">
        <v>5.32960644532397E-2</v>
      </c>
      <c r="V7">
        <v>5.7278333292386303E-2</v>
      </c>
      <c r="W7">
        <v>6.0157049346038598E-2</v>
      </c>
      <c r="X7">
        <v>6.1706449974606399E-2</v>
      </c>
      <c r="Y7">
        <v>6.1298819859828602E-2</v>
      </c>
      <c r="Z7">
        <v>5.9506053951216102E-2</v>
      </c>
      <c r="AA7">
        <v>5.7576414480815102E-2</v>
      </c>
      <c r="AB7">
        <v>5.6837255812292403E-2</v>
      </c>
      <c r="AC7">
        <v>5.6377807943250001E-2</v>
      </c>
      <c r="AD7">
        <v>5.6862692131067802E-2</v>
      </c>
      <c r="AE7">
        <v>5.70902394106814E-2</v>
      </c>
      <c r="AF7">
        <v>5.6495518887679001E-2</v>
      </c>
      <c r="AG7">
        <v>5.6205225453013097E-2</v>
      </c>
      <c r="AH7">
        <v>5.8374103612358397E-2</v>
      </c>
      <c r="AI7">
        <v>5.7202288091523702E-2</v>
      </c>
      <c r="AJ7">
        <v>5.6239412761151901E-2</v>
      </c>
      <c r="AK7">
        <v>5.6773211567732101E-2</v>
      </c>
      <c r="AL7">
        <v>5.9328968903437002E-2</v>
      </c>
      <c r="AM7">
        <v>4.96473906911142E-2</v>
      </c>
      <c r="AN7">
        <v>4.6831955922865001E-2</v>
      </c>
      <c r="AO7">
        <v>4.27005193306405E-2</v>
      </c>
      <c r="AP7">
        <v>2.4523160762942801E-2</v>
      </c>
      <c r="AQ7">
        <v>1.29310344827586E-2</v>
      </c>
      <c r="AR7">
        <v>6.9444444444444397E-3</v>
      </c>
      <c r="AS7">
        <v>4.2735042735042696E-3</v>
      </c>
      <c r="AT7">
        <v>7.09219858156028E-3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1486798</v>
      </c>
    </row>
    <row r="8" spans="1:53">
      <c r="A8" t="s">
        <v>101</v>
      </c>
      <c r="B8" t="s">
        <v>138</v>
      </c>
      <c r="C8">
        <v>1.2476100438453999E-2</v>
      </c>
      <c r="D8">
        <v>1.2476157862566201E-2</v>
      </c>
      <c r="E8">
        <v>1.24795812945321E-2</v>
      </c>
      <c r="F8">
        <v>1.2481397165001599E-2</v>
      </c>
      <c r="G8">
        <v>1.24877683815196E-2</v>
      </c>
      <c r="H8">
        <v>1.2505063572635399E-2</v>
      </c>
      <c r="I8">
        <v>1.2534683549928999E-2</v>
      </c>
      <c r="J8">
        <v>1.26156386894515E-2</v>
      </c>
      <c r="K8">
        <v>1.2775344183192599E-2</v>
      </c>
      <c r="L8">
        <v>1.3039748690609001E-2</v>
      </c>
      <c r="M8">
        <v>1.3466940092551999E-2</v>
      </c>
      <c r="N8">
        <v>1.41386740754515E-2</v>
      </c>
      <c r="O8">
        <v>1.50143847879818E-2</v>
      </c>
      <c r="P8">
        <v>1.6209848573887301E-2</v>
      </c>
      <c r="Q8">
        <v>1.79480182496254E-2</v>
      </c>
      <c r="R8">
        <v>2.01711826810782E-2</v>
      </c>
      <c r="S8">
        <v>2.2751438386943899E-2</v>
      </c>
      <c r="T8">
        <v>2.5505594336353299E-2</v>
      </c>
      <c r="U8">
        <v>2.80025524485106E-2</v>
      </c>
      <c r="V8">
        <v>2.99633933616687E-2</v>
      </c>
      <c r="W8">
        <v>3.1896796144031798E-2</v>
      </c>
      <c r="X8">
        <v>3.25807593456146E-2</v>
      </c>
      <c r="Y8">
        <v>3.2437212929239102E-2</v>
      </c>
      <c r="Z8">
        <v>3.2777066622823002E-2</v>
      </c>
      <c r="AA8">
        <v>3.3441722667822797E-2</v>
      </c>
      <c r="AB8">
        <v>3.4748758972893798E-2</v>
      </c>
      <c r="AC8">
        <v>3.6038008494986201E-2</v>
      </c>
      <c r="AD8">
        <v>3.7035036062562497E-2</v>
      </c>
      <c r="AE8">
        <v>3.9377197388247097E-2</v>
      </c>
      <c r="AF8">
        <v>4.3135941033587401E-2</v>
      </c>
      <c r="AG8">
        <v>4.4458491361146199E-2</v>
      </c>
      <c r="AH8">
        <v>4.6980765364251699E-2</v>
      </c>
      <c r="AI8">
        <v>4.6368521407522997E-2</v>
      </c>
      <c r="AJ8">
        <v>4.7317899491812497E-2</v>
      </c>
      <c r="AK8">
        <v>5.14459665144597E-2</v>
      </c>
      <c r="AL8">
        <v>5.5441898527004901E-2</v>
      </c>
      <c r="AM8">
        <v>5.7545839210155103E-2</v>
      </c>
      <c r="AN8">
        <v>6.0999606454151901E-2</v>
      </c>
      <c r="AO8">
        <v>5.5395268320830901E-2</v>
      </c>
      <c r="AP8">
        <v>3.81471389645777E-2</v>
      </c>
      <c r="AQ8">
        <v>2.8735632183908E-2</v>
      </c>
      <c r="AR8">
        <v>3.9351851851851902E-2</v>
      </c>
      <c r="AS8">
        <v>8.5470085470085496E-3</v>
      </c>
      <c r="AT8">
        <v>1.41843971631206E-2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724334</v>
      </c>
    </row>
    <row r="9" spans="1:53">
      <c r="A9" t="s">
        <v>15</v>
      </c>
      <c r="B9" t="s">
        <v>133</v>
      </c>
      <c r="C9">
        <v>5.9288402924744799E-2</v>
      </c>
      <c r="D9">
        <v>5.92886758132102E-2</v>
      </c>
      <c r="E9">
        <v>5.9304944503477897E-2</v>
      </c>
      <c r="F9">
        <v>5.9312652874782698E-2</v>
      </c>
      <c r="G9">
        <v>5.9342929433466397E-2</v>
      </c>
      <c r="H9">
        <v>5.9424888878226001E-2</v>
      </c>
      <c r="I9">
        <v>5.9617284327803402E-2</v>
      </c>
      <c r="J9">
        <v>6.0067272209859399E-2</v>
      </c>
      <c r="K9">
        <v>6.1022160304916397E-2</v>
      </c>
      <c r="L9">
        <v>6.27385424016286E-2</v>
      </c>
      <c r="M9">
        <v>6.5567036854253594E-2</v>
      </c>
      <c r="N9">
        <v>6.9957231768810899E-2</v>
      </c>
      <c r="O9">
        <v>7.6283148271846707E-2</v>
      </c>
      <c r="P9">
        <v>8.52857696739793E-2</v>
      </c>
      <c r="Q9">
        <v>9.9329283180375399E-2</v>
      </c>
      <c r="R9">
        <v>0.119314485472202</v>
      </c>
      <c r="S9">
        <v>0.144877427086122</v>
      </c>
      <c r="T9">
        <v>0.17577602851626301</v>
      </c>
      <c r="U9">
        <v>0.21192369275096801</v>
      </c>
      <c r="V9">
        <v>0.25066948382183102</v>
      </c>
      <c r="W9">
        <v>0.29263076145511002</v>
      </c>
      <c r="X9">
        <v>0.33699616787478598</v>
      </c>
      <c r="Y9">
        <v>0.380374107287199</v>
      </c>
      <c r="Z9">
        <v>0.42397623046118099</v>
      </c>
      <c r="AA9">
        <v>0.46724474311727698</v>
      </c>
      <c r="AB9">
        <v>0.50717831506017597</v>
      </c>
      <c r="AC9">
        <v>0.54753251302710504</v>
      </c>
      <c r="AD9">
        <v>0.58391636727086105</v>
      </c>
      <c r="AE9">
        <v>0.61540264523689903</v>
      </c>
      <c r="AF9">
        <v>0.64494513778373397</v>
      </c>
      <c r="AG9">
        <v>0.68115254951538096</v>
      </c>
      <c r="AH9">
        <v>0.709402855036526</v>
      </c>
      <c r="AI9">
        <v>0.73929623851620696</v>
      </c>
      <c r="AJ9">
        <v>0.75979672501411599</v>
      </c>
      <c r="AK9">
        <v>0.78432267884322704</v>
      </c>
      <c r="AL9">
        <v>0.80360065466448405</v>
      </c>
      <c r="AM9">
        <v>0.81495063469675599</v>
      </c>
      <c r="AN9">
        <v>0.82408500590318801</v>
      </c>
      <c r="AO9">
        <v>0.82919792267743797</v>
      </c>
      <c r="AP9">
        <v>0.84468664850136199</v>
      </c>
      <c r="AQ9">
        <v>0.87356321839080497</v>
      </c>
      <c r="AR9">
        <v>0.87731481481481499</v>
      </c>
      <c r="AS9">
        <v>0.86324786324786296</v>
      </c>
      <c r="AT9">
        <v>0.900709219858156</v>
      </c>
      <c r="AU9">
        <v>0.94</v>
      </c>
      <c r="AV9">
        <v>1</v>
      </c>
      <c r="AW9">
        <v>1</v>
      </c>
      <c r="AX9">
        <v>1</v>
      </c>
      <c r="AY9">
        <v>1</v>
      </c>
      <c r="AZ9">
        <v>1</v>
      </c>
      <c r="BA9">
        <v>2573977</v>
      </c>
    </row>
    <row r="10" spans="1:53">
      <c r="A10" t="s">
        <v>15</v>
      </c>
      <c r="B10" t="s">
        <v>21</v>
      </c>
      <c r="C10">
        <v>4.6424754468539102E-2</v>
      </c>
      <c r="D10">
        <v>4.6424968149113698E-2</v>
      </c>
      <c r="E10">
        <v>4.6437707064549798E-2</v>
      </c>
      <c r="F10">
        <v>4.6444464091002897E-2</v>
      </c>
      <c r="G10">
        <v>4.6468171992680399E-2</v>
      </c>
      <c r="H10">
        <v>4.6534117175915199E-2</v>
      </c>
      <c r="I10">
        <v>4.6688201251153798E-2</v>
      </c>
      <c r="J10">
        <v>4.7041095762597199E-2</v>
      </c>
      <c r="K10">
        <v>4.7778326772269598E-2</v>
      </c>
      <c r="L10">
        <v>4.90839874189163E-2</v>
      </c>
      <c r="M10">
        <v>5.1235678604015802E-2</v>
      </c>
      <c r="N10">
        <v>5.44906642748543E-2</v>
      </c>
      <c r="O10">
        <v>5.9154517447026898E-2</v>
      </c>
      <c r="P10">
        <v>6.5786398533426799E-2</v>
      </c>
      <c r="Q10">
        <v>7.5869354640520997E-2</v>
      </c>
      <c r="R10">
        <v>9.0000235141045395E-2</v>
      </c>
      <c r="S10">
        <v>0.10764021049684799</v>
      </c>
      <c r="T10">
        <v>0.12829843061537699</v>
      </c>
      <c r="U10">
        <v>0.15091547558927501</v>
      </c>
      <c r="V10">
        <v>0.17410510281797401</v>
      </c>
      <c r="W10">
        <v>0.198111463122989</v>
      </c>
      <c r="X10">
        <v>0.22302507040953001</v>
      </c>
      <c r="Y10">
        <v>0.246402997422901</v>
      </c>
      <c r="Z10">
        <v>0.26970910500170298</v>
      </c>
      <c r="AA10">
        <v>0.29239106871883802</v>
      </c>
      <c r="AB10">
        <v>0.312006714045927</v>
      </c>
      <c r="AC10">
        <v>0.33410693173359002</v>
      </c>
      <c r="AD10">
        <v>0.35133309921931999</v>
      </c>
      <c r="AE10">
        <v>0.36521011217143801</v>
      </c>
      <c r="AF10">
        <v>0.37653907362425698</v>
      </c>
      <c r="AG10">
        <v>0.39849346818373399</v>
      </c>
      <c r="AH10">
        <v>0.409355941290798</v>
      </c>
      <c r="AI10">
        <v>0.41983012653839502</v>
      </c>
      <c r="AJ10">
        <v>0.42450592885375499</v>
      </c>
      <c r="AK10">
        <v>0.439117199391172</v>
      </c>
      <c r="AL10">
        <v>0.44905891980360102</v>
      </c>
      <c r="AM10">
        <v>0.44823695345557102</v>
      </c>
      <c r="AN10">
        <v>0.45297127115308899</v>
      </c>
      <c r="AO10">
        <v>0.43912290825158701</v>
      </c>
      <c r="AP10">
        <v>0.39146230699364198</v>
      </c>
      <c r="AQ10">
        <v>0.372126436781609</v>
      </c>
      <c r="AR10">
        <v>0.36111111111111099</v>
      </c>
      <c r="AS10">
        <v>0.34615384615384598</v>
      </c>
      <c r="AT10">
        <v>0.340425531914894</v>
      </c>
      <c r="AU10">
        <v>0.32</v>
      </c>
      <c r="AV10">
        <v>0.37777777777777799</v>
      </c>
      <c r="AW10">
        <v>0.34782608695652201</v>
      </c>
      <c r="AX10">
        <v>0.33333333333333298</v>
      </c>
      <c r="AY10">
        <v>0</v>
      </c>
      <c r="AZ10">
        <v>0</v>
      </c>
      <c r="BA10">
        <v>2049764</v>
      </c>
    </row>
    <row r="11" spans="1:53">
      <c r="A11" t="s">
        <v>15</v>
      </c>
      <c r="B11" t="s">
        <v>19</v>
      </c>
      <c r="C11">
        <v>9.8856963483034896E-2</v>
      </c>
      <c r="D11">
        <v>9.8857418494870702E-2</v>
      </c>
      <c r="E11">
        <v>9.8884544766457902E-2</v>
      </c>
      <c r="F11">
        <v>9.8894328529749803E-2</v>
      </c>
      <c r="G11">
        <v>9.8936517209034902E-2</v>
      </c>
      <c r="H11">
        <v>9.9071624523285995E-2</v>
      </c>
      <c r="I11">
        <v>9.9376645067274699E-2</v>
      </c>
      <c r="J11">
        <v>0.100085373192817</v>
      </c>
      <c r="K11">
        <v>0.10154554067369501</v>
      </c>
      <c r="L11">
        <v>0.104169655308364</v>
      </c>
      <c r="M11">
        <v>0.108387410556732</v>
      </c>
      <c r="N11">
        <v>0.114882469400479</v>
      </c>
      <c r="O11">
        <v>0.12385068602067199</v>
      </c>
      <c r="P11">
        <v>0.13618083052676899</v>
      </c>
      <c r="Q11">
        <v>0.15463988267642001</v>
      </c>
      <c r="R11">
        <v>0.17912848890526201</v>
      </c>
      <c r="S11">
        <v>0.20850778558396199</v>
      </c>
      <c r="T11">
        <v>0.241695133422447</v>
      </c>
      <c r="U11">
        <v>0.276932833805067</v>
      </c>
      <c r="V11">
        <v>0.311018843819866</v>
      </c>
      <c r="W11">
        <v>0.34481207085711502</v>
      </c>
      <c r="X11">
        <v>0.37960355202610202</v>
      </c>
      <c r="Y11">
        <v>0.41181281322213498</v>
      </c>
      <c r="Z11">
        <v>0.44316567039729399</v>
      </c>
      <c r="AA11">
        <v>0.472779825131874</v>
      </c>
      <c r="AB11">
        <v>0.498392914538767</v>
      </c>
      <c r="AC11">
        <v>0.52031790515391696</v>
      </c>
      <c r="AD11">
        <v>0.53842621356600695</v>
      </c>
      <c r="AE11">
        <v>0.55399296835760903</v>
      </c>
      <c r="AF11">
        <v>0.56792863723929998</v>
      </c>
      <c r="AG11">
        <v>0.58749473240623695</v>
      </c>
      <c r="AH11">
        <v>0.59634072783325498</v>
      </c>
      <c r="AI11">
        <v>0.60608424336973499</v>
      </c>
      <c r="AJ11">
        <v>0.61355166572557895</v>
      </c>
      <c r="AK11">
        <v>0.62572298325722997</v>
      </c>
      <c r="AL11">
        <v>0.62970540098199701</v>
      </c>
      <c r="AM11">
        <v>0.61918194640338498</v>
      </c>
      <c r="AN11">
        <v>0.62258953168044096</v>
      </c>
      <c r="AO11">
        <v>0.63242931332948604</v>
      </c>
      <c r="AP11">
        <v>0.62488646684832005</v>
      </c>
      <c r="AQ11">
        <v>0.65517241379310298</v>
      </c>
      <c r="AR11">
        <v>0.66898148148148195</v>
      </c>
      <c r="AS11">
        <v>0.70512820512820495</v>
      </c>
      <c r="AT11">
        <v>0.75886524822695001</v>
      </c>
      <c r="AU11">
        <v>0.7</v>
      </c>
      <c r="AV11">
        <v>0.82222222222222197</v>
      </c>
      <c r="AW11">
        <v>1</v>
      </c>
      <c r="AX11">
        <v>1</v>
      </c>
      <c r="AY11">
        <v>1</v>
      </c>
      <c r="AZ11">
        <v>1</v>
      </c>
      <c r="BA11">
        <v>5185035</v>
      </c>
    </row>
    <row r="12" spans="1:53">
      <c r="A12" t="s">
        <v>15</v>
      </c>
      <c r="B12" t="s">
        <v>20</v>
      </c>
      <c r="C12">
        <v>2.4145806426669201E-3</v>
      </c>
      <c r="D12">
        <v>2.41459175632783E-3</v>
      </c>
      <c r="E12">
        <v>2.4152543153219E-3</v>
      </c>
      <c r="F12">
        <v>2.4156057525122998E-3</v>
      </c>
      <c r="G12">
        <v>2.4168388153712099E-3</v>
      </c>
      <c r="H12">
        <v>2.4203646510494899E-3</v>
      </c>
      <c r="I12">
        <v>2.4284271328358E-3</v>
      </c>
      <c r="J12">
        <v>2.4473648607670501E-3</v>
      </c>
      <c r="K12">
        <v>2.4837522393127099E-3</v>
      </c>
      <c r="L12">
        <v>2.5529099367335001E-3</v>
      </c>
      <c r="M12">
        <v>2.6555824962475501E-3</v>
      </c>
      <c r="N12">
        <v>2.8297036850683101E-3</v>
      </c>
      <c r="O12">
        <v>3.07243241428189E-3</v>
      </c>
      <c r="P12">
        <v>3.4057028297999701E-3</v>
      </c>
      <c r="Q12">
        <v>3.8873808532130698E-3</v>
      </c>
      <c r="R12">
        <v>4.5499792292076503E-3</v>
      </c>
      <c r="S12">
        <v>5.3557352533108102E-3</v>
      </c>
      <c r="T12">
        <v>6.3555126491410497E-3</v>
      </c>
      <c r="U12">
        <v>7.58687916191997E-3</v>
      </c>
      <c r="V12">
        <v>8.9231751959315004E-3</v>
      </c>
      <c r="W12">
        <v>1.05336472676619E-2</v>
      </c>
      <c r="X12">
        <v>1.23274389399326E-2</v>
      </c>
      <c r="Y12">
        <v>1.43594815371302E-2</v>
      </c>
      <c r="Z12">
        <v>1.66292820988597E-2</v>
      </c>
      <c r="AA12">
        <v>1.8960907580027501E-2</v>
      </c>
      <c r="AB12">
        <v>2.14813756651548E-2</v>
      </c>
      <c r="AC12">
        <v>2.4521609668520399E-2</v>
      </c>
      <c r="AD12">
        <v>2.7175234339123201E-2</v>
      </c>
      <c r="AE12">
        <v>2.9867738155031E-2</v>
      </c>
      <c r="AF12">
        <v>3.2289136443588197E-2</v>
      </c>
      <c r="AG12">
        <v>3.45554150863885E-2</v>
      </c>
      <c r="AH12">
        <v>3.8603310770055597E-2</v>
      </c>
      <c r="AI12">
        <v>4.2815045935170701E-2</v>
      </c>
      <c r="AJ12">
        <v>4.4381705251270498E-2</v>
      </c>
      <c r="AK12">
        <v>4.6270928462709297E-2</v>
      </c>
      <c r="AL12">
        <v>4.5212765957446797E-2</v>
      </c>
      <c r="AM12">
        <v>4.4287729196050798E-2</v>
      </c>
      <c r="AN12">
        <v>4.6831955922865001E-2</v>
      </c>
      <c r="AO12">
        <v>4.5585689555683803E-2</v>
      </c>
      <c r="AP12">
        <v>3.0881017257039099E-2</v>
      </c>
      <c r="AQ12">
        <v>4.1666666666666699E-2</v>
      </c>
      <c r="AR12">
        <v>9.2592592592592605E-3</v>
      </c>
      <c r="AS12">
        <v>4.2735042735042696E-3</v>
      </c>
      <c r="AT12">
        <v>7.09219858156028E-3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811826</v>
      </c>
    </row>
    <row r="13" spans="1:53">
      <c r="A13" t="s">
        <v>15</v>
      </c>
      <c r="B13" t="s">
        <v>29</v>
      </c>
      <c r="C13">
        <v>5.5877796260207703E-2</v>
      </c>
      <c r="D13">
        <v>5.5877132904727199E-2</v>
      </c>
      <c r="E13">
        <v>5.5889703079334101E-2</v>
      </c>
      <c r="F13">
        <v>5.5895072643149697E-2</v>
      </c>
      <c r="G13">
        <v>5.5909783636259799E-2</v>
      </c>
      <c r="H13">
        <v>5.5948901977538497E-2</v>
      </c>
      <c r="I13">
        <v>5.6025100844996401E-2</v>
      </c>
      <c r="J13">
        <v>5.6238074577915902E-2</v>
      </c>
      <c r="K13">
        <v>5.6625567948500301E-2</v>
      </c>
      <c r="L13">
        <v>5.7338005861153299E-2</v>
      </c>
      <c r="M13">
        <v>5.8408510125238497E-2</v>
      </c>
      <c r="N13">
        <v>5.9988186780131902E-2</v>
      </c>
      <c r="O13">
        <v>6.2041068899476803E-2</v>
      </c>
      <c r="P13">
        <v>6.4604331902695003E-2</v>
      </c>
      <c r="Q13">
        <v>6.7352543633296805E-2</v>
      </c>
      <c r="R13">
        <v>7.0538394613702496E-2</v>
      </c>
      <c r="S13">
        <v>7.2983864036520199E-2</v>
      </c>
      <c r="T13">
        <v>7.4406530026238898E-2</v>
      </c>
      <c r="U13">
        <v>7.5571266946183296E-2</v>
      </c>
      <c r="V13">
        <v>7.5812593666314501E-2</v>
      </c>
      <c r="W13">
        <v>7.4561457575720205E-2</v>
      </c>
      <c r="X13">
        <v>7.3318251073456797E-2</v>
      </c>
      <c r="Y13">
        <v>7.1350456935819803E-2</v>
      </c>
      <c r="Z13">
        <v>7.1108971121889394E-2</v>
      </c>
      <c r="AA13">
        <v>6.9932798612616504E-2</v>
      </c>
      <c r="AB13">
        <v>6.9997500089282502E-2</v>
      </c>
      <c r="AC13">
        <v>7.1594342514340797E-2</v>
      </c>
      <c r="AD13">
        <v>6.8991598908668503E-2</v>
      </c>
      <c r="AE13">
        <v>7.0282939896199603E-2</v>
      </c>
      <c r="AF13">
        <v>7.1655917581036899E-2</v>
      </c>
      <c r="AG13">
        <v>7.3377581120943905E-2</v>
      </c>
      <c r="AH13">
        <v>7.5933248441793402E-2</v>
      </c>
      <c r="AI13">
        <v>7.8783151326053E-2</v>
      </c>
      <c r="AJ13">
        <v>8.1761716544325194E-2</v>
      </c>
      <c r="AK13">
        <v>8.2343987823439893E-2</v>
      </c>
      <c r="AL13">
        <v>7.9991816693944395E-2</v>
      </c>
      <c r="AM13">
        <v>7.6445698166431597E-2</v>
      </c>
      <c r="AN13">
        <v>6.8476977567886704E-2</v>
      </c>
      <c r="AO13">
        <v>7.0975187536064605E-2</v>
      </c>
      <c r="AP13">
        <v>5.4495912806539502E-2</v>
      </c>
      <c r="AQ13">
        <v>5.0287356321839102E-2</v>
      </c>
      <c r="AR13">
        <v>2.3148148148148098E-2</v>
      </c>
      <c r="AS13">
        <v>1.7094017094017099E-2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11063124</v>
      </c>
    </row>
    <row r="14" spans="1:53">
      <c r="A14" t="s">
        <v>116</v>
      </c>
      <c r="B14" t="s">
        <v>33</v>
      </c>
      <c r="C14">
        <v>1.11551232283026E-2</v>
      </c>
      <c r="D14">
        <v>1.1155174572314399E-2</v>
      </c>
      <c r="E14">
        <v>1.1158235529192101E-2</v>
      </c>
      <c r="F14">
        <v>1.1159859134176201E-2</v>
      </c>
      <c r="G14">
        <v>1.1161870152271E-2</v>
      </c>
      <c r="H14">
        <v>1.11569306122148E-2</v>
      </c>
      <c r="I14">
        <v>1.1180208179994299E-2</v>
      </c>
      <c r="J14">
        <v>1.12272746357644E-2</v>
      </c>
      <c r="K14">
        <v>1.1276936952144901E-2</v>
      </c>
      <c r="L14">
        <v>1.14119758410404E-2</v>
      </c>
      <c r="M14">
        <v>1.15664462706896E-2</v>
      </c>
      <c r="N14">
        <v>1.1894162300515199E-2</v>
      </c>
      <c r="O14">
        <v>1.2250155000737501E-2</v>
      </c>
      <c r="P14">
        <v>1.25407137520956E-2</v>
      </c>
      <c r="Q14">
        <v>1.2586113624503899E-2</v>
      </c>
      <c r="R14">
        <v>1.21313184358418E-2</v>
      </c>
      <c r="S14">
        <v>1.1364668845631601E-2</v>
      </c>
      <c r="T14">
        <v>1.03130105450765E-2</v>
      </c>
      <c r="U14">
        <v>8.83961462725248E-3</v>
      </c>
      <c r="V14">
        <v>7.7488145836916199E-3</v>
      </c>
      <c r="W14">
        <v>7.0511951282651803E-3</v>
      </c>
      <c r="X14">
        <v>6.6562014251196596E-3</v>
      </c>
      <c r="Y14">
        <v>6.1812337742613403E-3</v>
      </c>
      <c r="Z14">
        <v>5.9776162346889599E-3</v>
      </c>
      <c r="AA14">
        <v>5.7518606835754004E-3</v>
      </c>
      <c r="AB14">
        <v>5.2676690118210103E-3</v>
      </c>
      <c r="AC14">
        <v>4.9262162280509702E-3</v>
      </c>
      <c r="AD14">
        <v>4.83535481779627E-3</v>
      </c>
      <c r="AE14">
        <v>4.6877615938389402E-3</v>
      </c>
      <c r="AF14">
        <v>3.89479855934333E-3</v>
      </c>
      <c r="AG14">
        <v>3.16055625790139E-3</v>
      </c>
      <c r="AH14">
        <v>3.6860800214462801E-3</v>
      </c>
      <c r="AI14">
        <v>3.9868261397122597E-3</v>
      </c>
      <c r="AJ14">
        <v>4.2913608130999399E-3</v>
      </c>
      <c r="AK14">
        <v>5.0228310502283104E-3</v>
      </c>
      <c r="AL14">
        <v>5.9328968903436998E-3</v>
      </c>
      <c r="AM14">
        <v>3.3850493653032401E-3</v>
      </c>
      <c r="AN14">
        <v>3.1483667847304201E-3</v>
      </c>
      <c r="AO14">
        <v>4.0392383150605901E-3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8790707</v>
      </c>
    </row>
    <row r="15" spans="1:53">
      <c r="A15" t="s">
        <v>99</v>
      </c>
      <c r="B15" t="s">
        <v>147</v>
      </c>
      <c r="C15">
        <v>6.4524443601637504E-2</v>
      </c>
      <c r="D15">
        <v>6.4524740590180402E-2</v>
      </c>
      <c r="E15">
        <v>6.4542446045815202E-2</v>
      </c>
      <c r="F15">
        <v>6.45499955795244E-2</v>
      </c>
      <c r="G15">
        <v>6.4572810148695897E-2</v>
      </c>
      <c r="H15">
        <v>6.4645789829670203E-2</v>
      </c>
      <c r="I15">
        <v>6.4784288456036995E-2</v>
      </c>
      <c r="J15">
        <v>6.5115020550213898E-2</v>
      </c>
      <c r="K15">
        <v>6.5859739599583897E-2</v>
      </c>
      <c r="L15">
        <v>6.7014861722257804E-2</v>
      </c>
      <c r="M15">
        <v>6.8886770417281001E-2</v>
      </c>
      <c r="N15">
        <v>7.1786093215055302E-2</v>
      </c>
      <c r="O15">
        <v>7.5546819816589506E-2</v>
      </c>
      <c r="P15">
        <v>8.0614242349327001E-2</v>
      </c>
      <c r="Q15">
        <v>8.8278333915802101E-2</v>
      </c>
      <c r="R15">
        <v>9.8202738609375895E-2</v>
      </c>
      <c r="S15">
        <v>0.109118501474608</v>
      </c>
      <c r="T15">
        <v>0.11941494628447</v>
      </c>
      <c r="U15">
        <v>0.128354492818302</v>
      </c>
      <c r="V15">
        <v>0.13460924256197301</v>
      </c>
      <c r="W15">
        <v>0.137325723302228</v>
      </c>
      <c r="X15">
        <v>0.13664065746341</v>
      </c>
      <c r="Y15">
        <v>0.130233840828476</v>
      </c>
      <c r="Z15">
        <v>0.122253408650515</v>
      </c>
      <c r="AA15">
        <v>0.112883878892984</v>
      </c>
      <c r="AB15">
        <v>0.103032034570194</v>
      </c>
      <c r="AC15">
        <v>9.1605727547401206E-2</v>
      </c>
      <c r="AD15">
        <v>8.3551689672870702E-2</v>
      </c>
      <c r="AE15">
        <v>7.7850326469110998E-2</v>
      </c>
      <c r="AF15">
        <v>7.2409749560264705E-2</v>
      </c>
      <c r="AG15">
        <v>6.7899283607248201E-2</v>
      </c>
      <c r="AH15">
        <v>6.4405870920179603E-2</v>
      </c>
      <c r="AI15">
        <v>6.0235742763043901E-2</v>
      </c>
      <c r="AJ15">
        <v>5.5448898927159797E-2</v>
      </c>
      <c r="AK15">
        <v>5.57077625570776E-2</v>
      </c>
      <c r="AL15">
        <v>5.2373158756137503E-2</v>
      </c>
      <c r="AM15">
        <v>4.3159379407616397E-2</v>
      </c>
      <c r="AN15">
        <v>3.18772136953955E-2</v>
      </c>
      <c r="AO15">
        <v>3.3467974610502001E-2</v>
      </c>
      <c r="AP15">
        <v>1.45322434150772E-2</v>
      </c>
      <c r="AQ15">
        <v>1.29310344827586E-2</v>
      </c>
      <c r="AR15">
        <v>2.3148148148148099E-3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4289684</v>
      </c>
    </row>
    <row r="16" spans="1:53">
      <c r="A16" t="s">
        <v>99</v>
      </c>
      <c r="B16" t="s">
        <v>148</v>
      </c>
      <c r="C16">
        <v>5.3978718919063202E-2</v>
      </c>
      <c r="D16">
        <v>5.3978967368490803E-2</v>
      </c>
      <c r="E16">
        <v>5.3993779085720797E-2</v>
      </c>
      <c r="F16">
        <v>5.3999793711136702E-2</v>
      </c>
      <c r="G16">
        <v>5.4016301453420297E-2</v>
      </c>
      <c r="H16">
        <v>5.4069266905412E-2</v>
      </c>
      <c r="I16">
        <v>5.4179014797388798E-2</v>
      </c>
      <c r="J16">
        <v>5.4433574524265997E-2</v>
      </c>
      <c r="K16">
        <v>5.5004822405550602E-2</v>
      </c>
      <c r="L16">
        <v>5.5899554314232401E-2</v>
      </c>
      <c r="M16">
        <v>5.7310106437871697E-2</v>
      </c>
      <c r="N16">
        <v>5.9536440501843098E-2</v>
      </c>
      <c r="O16">
        <v>6.2308497638112602E-2</v>
      </c>
      <c r="P16">
        <v>6.6032268392618998E-2</v>
      </c>
      <c r="Q16">
        <v>7.1748986264906806E-2</v>
      </c>
      <c r="R16">
        <v>7.9093609650188496E-2</v>
      </c>
      <c r="S16">
        <v>8.7130764905077498E-2</v>
      </c>
      <c r="T16">
        <v>9.4766448834100694E-2</v>
      </c>
      <c r="U16">
        <v>0.101052689270712</v>
      </c>
      <c r="V16">
        <v>0.10534850011055701</v>
      </c>
      <c r="W16">
        <v>0.106766435325008</v>
      </c>
      <c r="X16">
        <v>0.10524493282238299</v>
      </c>
      <c r="Y16">
        <v>9.9679526802780596E-2</v>
      </c>
      <c r="Z16">
        <v>9.0979553968831797E-2</v>
      </c>
      <c r="AA16">
        <v>8.2318086566948501E-2</v>
      </c>
      <c r="AB16">
        <v>7.3747366165494099E-2</v>
      </c>
      <c r="AC16">
        <v>6.3821868021193703E-2</v>
      </c>
      <c r="AD16">
        <v>5.65115211107809E-2</v>
      </c>
      <c r="AE16">
        <v>5.1732797589151197E-2</v>
      </c>
      <c r="AF16">
        <v>4.7742692017756903E-2</v>
      </c>
      <c r="AG16">
        <v>4.4247787610619503E-2</v>
      </c>
      <c r="AH16">
        <v>3.9943703505127E-2</v>
      </c>
      <c r="AI16">
        <v>3.6314785924770297E-2</v>
      </c>
      <c r="AJ16">
        <v>3.2749858836815401E-2</v>
      </c>
      <c r="AK16">
        <v>3.0136986301369899E-2</v>
      </c>
      <c r="AL16">
        <v>3.0278232405891999E-2</v>
      </c>
      <c r="AM16">
        <v>2.5669957686882901E-2</v>
      </c>
      <c r="AN16">
        <v>1.6528925619834701E-2</v>
      </c>
      <c r="AO16">
        <v>2.0196191575302901E-2</v>
      </c>
      <c r="AP16">
        <v>1.2715712988192599E-2</v>
      </c>
      <c r="AQ16">
        <v>1.1494252873563199E-2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3828714</v>
      </c>
    </row>
    <row r="17" spans="1:53">
      <c r="A17" t="s">
        <v>17</v>
      </c>
      <c r="B17" t="s">
        <v>134</v>
      </c>
      <c r="C17">
        <v>0.18083855817408701</v>
      </c>
      <c r="D17">
        <v>0.180839390525006</v>
      </c>
      <c r="E17">
        <v>0.18088901248050199</v>
      </c>
      <c r="F17">
        <v>0.18091533315651401</v>
      </c>
      <c r="G17">
        <v>0.18100215423909699</v>
      </c>
      <c r="H17">
        <v>0.18124683382531101</v>
      </c>
      <c r="I17">
        <v>0.18180984943381401</v>
      </c>
      <c r="J17">
        <v>0.18314835808222901</v>
      </c>
      <c r="K17">
        <v>0.185903022704663</v>
      </c>
      <c r="L17">
        <v>0.190742188300529</v>
      </c>
      <c r="M17">
        <v>0.19849942729742601</v>
      </c>
      <c r="N17">
        <v>0.21049079553285299</v>
      </c>
      <c r="O17">
        <v>0.227048198333787</v>
      </c>
      <c r="P17">
        <v>0.24954574868047599</v>
      </c>
      <c r="Q17">
        <v>0.28352187768793402</v>
      </c>
      <c r="R17">
        <v>0.32803547494572199</v>
      </c>
      <c r="S17">
        <v>0.38166428061007701</v>
      </c>
      <c r="T17">
        <v>0.44039618297935501</v>
      </c>
      <c r="U17">
        <v>0.50239389917828403</v>
      </c>
      <c r="V17">
        <v>0.56235166941011705</v>
      </c>
      <c r="W17">
        <v>0.61990729897313901</v>
      </c>
      <c r="X17">
        <v>0.67463871831571198</v>
      </c>
      <c r="Y17">
        <v>0.72382247496600305</v>
      </c>
      <c r="Z17">
        <v>0.768575824124203</v>
      </c>
      <c r="AA17">
        <v>0.80693691740732698</v>
      </c>
      <c r="AB17">
        <v>0.83857719367165495</v>
      </c>
      <c r="AC17">
        <v>0.86489030958532198</v>
      </c>
      <c r="AD17">
        <v>0.88532915529862999</v>
      </c>
      <c r="AE17">
        <v>0.90376695128076301</v>
      </c>
      <c r="AF17">
        <v>0.91536142055448499</v>
      </c>
      <c r="AG17">
        <v>0.92709650231774099</v>
      </c>
      <c r="AH17">
        <v>0.93693452181489201</v>
      </c>
      <c r="AI17">
        <v>0.94825793031721295</v>
      </c>
      <c r="AJ17">
        <v>0.95166572557876905</v>
      </c>
      <c r="AK17">
        <v>0.95570776255707801</v>
      </c>
      <c r="AL17">
        <v>0.96051554828150598</v>
      </c>
      <c r="AM17">
        <v>0.96191819464033801</v>
      </c>
      <c r="AN17">
        <v>0.96851633215269595</v>
      </c>
      <c r="AO17">
        <v>0.97518753606462805</v>
      </c>
      <c r="AP17">
        <v>0.99273387829246096</v>
      </c>
      <c r="AQ17">
        <v>0.99712643678160895</v>
      </c>
      <c r="AR17">
        <v>0.99537037037037002</v>
      </c>
      <c r="AS17">
        <v>0.99572649572649596</v>
      </c>
      <c r="AT17">
        <v>1</v>
      </c>
      <c r="AU17">
        <v>1</v>
      </c>
      <c r="AV17">
        <v>1</v>
      </c>
      <c r="AW17">
        <v>1</v>
      </c>
      <c r="AX17">
        <v>1</v>
      </c>
      <c r="AY17">
        <v>1</v>
      </c>
      <c r="AZ17">
        <v>1</v>
      </c>
      <c r="BA17">
        <v>10235046</v>
      </c>
    </row>
    <row r="18" spans="1:53">
      <c r="A18" t="s">
        <v>16</v>
      </c>
      <c r="B18" t="s">
        <v>136</v>
      </c>
      <c r="C18">
        <v>0.225101880942671</v>
      </c>
      <c r="D18">
        <v>0.22510291702568</v>
      </c>
      <c r="E18">
        <v>0.225163764003042</v>
      </c>
      <c r="F18">
        <v>0.22519468511478499</v>
      </c>
      <c r="G18">
        <v>0.22530318749988501</v>
      </c>
      <c r="H18">
        <v>0.22561341895192599</v>
      </c>
      <c r="I18">
        <v>0.226342740595284</v>
      </c>
      <c r="J18">
        <v>0.228014536768788</v>
      </c>
      <c r="K18">
        <v>0.23151434914595501</v>
      </c>
      <c r="L18">
        <v>0.237675329580087</v>
      </c>
      <c r="M18">
        <v>0.247671128740065</v>
      </c>
      <c r="N18">
        <v>0.26284961114817901</v>
      </c>
      <c r="O18">
        <v>0.28389059646202602</v>
      </c>
      <c r="P18">
        <v>0.31266000116180298</v>
      </c>
      <c r="Q18">
        <v>0.355749605437227</v>
      </c>
      <c r="R18">
        <v>0.41379141421662802</v>
      </c>
      <c r="S18">
        <v>0.48177797641119102</v>
      </c>
      <c r="T18">
        <v>0.55406827070647102</v>
      </c>
      <c r="U18">
        <v>0.62860308251220398</v>
      </c>
      <c r="V18">
        <v>0.69518217330417897</v>
      </c>
      <c r="W18">
        <v>0.75518669641646397</v>
      </c>
      <c r="X18">
        <v>0.80713944934361403</v>
      </c>
      <c r="Y18">
        <v>0.845840029669922</v>
      </c>
      <c r="Z18">
        <v>0.87517468966894096</v>
      </c>
      <c r="AA18">
        <v>0.89830190042633096</v>
      </c>
      <c r="AB18">
        <v>0.915038748616121</v>
      </c>
      <c r="AC18">
        <v>0.92871217760651603</v>
      </c>
      <c r="AD18">
        <v>0.94081417650395704</v>
      </c>
      <c r="AE18">
        <v>0.95171605558345895</v>
      </c>
      <c r="AF18">
        <v>0.95992126643772502</v>
      </c>
      <c r="AG18">
        <v>0.967867678044669</v>
      </c>
      <c r="AH18">
        <v>0.97446551839689</v>
      </c>
      <c r="AI18">
        <v>0.98292598370601503</v>
      </c>
      <c r="AJ18">
        <v>0.983286278938453</v>
      </c>
      <c r="AK18">
        <v>0.99147640791476399</v>
      </c>
      <c r="AL18">
        <v>0.99222585924713602</v>
      </c>
      <c r="AM18">
        <v>0.99520451339915394</v>
      </c>
      <c r="AN18">
        <v>0.995277449822904</v>
      </c>
      <c r="AO18">
        <v>0.99422965954991305</v>
      </c>
      <c r="AP18">
        <v>0.99818346957311499</v>
      </c>
      <c r="AQ18">
        <v>0.99712643678160895</v>
      </c>
      <c r="AR18">
        <v>0.99537037037037002</v>
      </c>
      <c r="AS18">
        <v>0.99572649572649596</v>
      </c>
      <c r="AT18">
        <v>1</v>
      </c>
      <c r="AU18">
        <v>1</v>
      </c>
      <c r="AV18">
        <v>1</v>
      </c>
      <c r="AW18">
        <v>1</v>
      </c>
      <c r="AX18">
        <v>1</v>
      </c>
      <c r="AY18">
        <v>1</v>
      </c>
      <c r="AZ18">
        <v>1</v>
      </c>
      <c r="BA18">
        <v>12129460</v>
      </c>
    </row>
    <row r="19" spans="1:53">
      <c r="A19" t="s">
        <v>16</v>
      </c>
      <c r="B19" t="s">
        <v>139</v>
      </c>
      <c r="C19">
        <v>1.1743349317004201E-2</v>
      </c>
      <c r="D19">
        <v>1.17434033684614E-2</v>
      </c>
      <c r="E19">
        <v>1.17466257341066E-2</v>
      </c>
      <c r="F19">
        <v>1.17483349541744E-2</v>
      </c>
      <c r="G19">
        <v>1.17543319739575E-2</v>
      </c>
      <c r="H19">
        <v>1.1771479928874701E-2</v>
      </c>
      <c r="I19">
        <v>1.1810691930456099E-2</v>
      </c>
      <c r="J19">
        <v>1.19027958554347E-2</v>
      </c>
      <c r="K19">
        <v>1.20963191341862E-2</v>
      </c>
      <c r="L19">
        <v>1.24288459305191E-2</v>
      </c>
      <c r="M19">
        <v>1.2990794866214401E-2</v>
      </c>
      <c r="N19">
        <v>1.38510002953305E-2</v>
      </c>
      <c r="O19">
        <v>1.50971317967973E-2</v>
      </c>
      <c r="P19">
        <v>1.6848840021128599E-2</v>
      </c>
      <c r="Q19">
        <v>1.9585314126224999E-2</v>
      </c>
      <c r="R19">
        <v>2.3519983069844701E-2</v>
      </c>
      <c r="S19">
        <v>2.8524631225336199E-2</v>
      </c>
      <c r="T19">
        <v>3.4565448784593299E-2</v>
      </c>
      <c r="U19">
        <v>4.1763068575522297E-2</v>
      </c>
      <c r="V19">
        <v>4.9730978060585199E-2</v>
      </c>
      <c r="W19">
        <v>5.8714759433438901E-2</v>
      </c>
      <c r="X19">
        <v>6.8393431521923106E-2</v>
      </c>
      <c r="Y19">
        <v>7.83685346672119E-2</v>
      </c>
      <c r="Z19">
        <v>8.8936125236344907E-2</v>
      </c>
      <c r="AA19">
        <v>9.9660380085266301E-2</v>
      </c>
      <c r="AB19">
        <v>0.110138923609871</v>
      </c>
      <c r="AC19">
        <v>0.11923632701318</v>
      </c>
      <c r="AD19">
        <v>0.12663767254652999</v>
      </c>
      <c r="AE19">
        <v>0.13383559350410201</v>
      </c>
      <c r="AF19">
        <v>0.13769997487226701</v>
      </c>
      <c r="AG19">
        <v>0.14633375474083399</v>
      </c>
      <c r="AH19">
        <v>0.15045908451176199</v>
      </c>
      <c r="AI19">
        <v>0.15444617784711401</v>
      </c>
      <c r="AJ19">
        <v>0.15573122529644301</v>
      </c>
      <c r="AK19">
        <v>0.15707762557077601</v>
      </c>
      <c r="AL19">
        <v>0.155073649754501</v>
      </c>
      <c r="AM19">
        <v>0.14696755994358299</v>
      </c>
      <c r="AN19">
        <v>0.13341204250295199</v>
      </c>
      <c r="AO19">
        <v>0.12752452394691299</v>
      </c>
      <c r="AP19">
        <v>0.13623978201634901</v>
      </c>
      <c r="AQ19">
        <v>0.160919540229885</v>
      </c>
      <c r="AR19">
        <v>0.18287037037036999</v>
      </c>
      <c r="AS19">
        <v>0.106837606837607</v>
      </c>
      <c r="AT19">
        <v>9.9290780141844004E-2</v>
      </c>
      <c r="AU19">
        <v>0.06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538539</v>
      </c>
    </row>
    <row r="20" spans="1:53">
      <c r="A20" t="s">
        <v>16</v>
      </c>
      <c r="B20" t="s">
        <v>27</v>
      </c>
      <c r="C20">
        <v>1.7808797984382101E-2</v>
      </c>
      <c r="D20">
        <v>1.7808879953457198E-2</v>
      </c>
      <c r="E20">
        <v>1.7813766673357798E-2</v>
      </c>
      <c r="F20">
        <v>1.7816358706863499E-2</v>
      </c>
      <c r="G20">
        <v>1.7825453191830501E-2</v>
      </c>
      <c r="H20">
        <v>1.78486898380672E-2</v>
      </c>
      <c r="I20">
        <v>1.7905368184919699E-2</v>
      </c>
      <c r="J20">
        <v>1.8027272769683699E-2</v>
      </c>
      <c r="K20">
        <v>1.8284361654810601E-2</v>
      </c>
      <c r="L20">
        <v>1.8711580706012299E-2</v>
      </c>
      <c r="M20">
        <v>1.9431016672235301E-2</v>
      </c>
      <c r="N20">
        <v>2.0537501503997899E-2</v>
      </c>
      <c r="O20">
        <v>2.2077861337599401E-2</v>
      </c>
      <c r="P20">
        <v>2.4062823801823501E-2</v>
      </c>
      <c r="Q20">
        <v>2.71574086042611E-2</v>
      </c>
      <c r="R20">
        <v>3.13619369351716E-2</v>
      </c>
      <c r="S20">
        <v>3.64145795833773E-2</v>
      </c>
      <c r="T20">
        <v>4.20596316649339E-2</v>
      </c>
      <c r="U20">
        <v>4.8167678642034799E-2</v>
      </c>
      <c r="V20">
        <v>5.4025501805763702E-2</v>
      </c>
      <c r="W20">
        <v>6.0015285807620701E-2</v>
      </c>
      <c r="X20">
        <v>6.6200347815380797E-2</v>
      </c>
      <c r="Y20">
        <v>7.1131736356115097E-2</v>
      </c>
      <c r="Z20">
        <v>7.5876971497692305E-2</v>
      </c>
      <c r="AA20">
        <v>8.0193655610954595E-2</v>
      </c>
      <c r="AB20">
        <v>8.5318381486375494E-2</v>
      </c>
      <c r="AC20">
        <v>8.9350615229671193E-2</v>
      </c>
      <c r="AD20">
        <v>9.2601096734109503E-2</v>
      </c>
      <c r="AE20">
        <v>9.6233048719236602E-2</v>
      </c>
      <c r="AF20">
        <v>0.10218611273976</v>
      </c>
      <c r="AG20">
        <v>0.10766961651917401</v>
      </c>
      <c r="AH20">
        <v>0.110180282822867</v>
      </c>
      <c r="AI20">
        <v>0.113624544981799</v>
      </c>
      <c r="AJ20">
        <v>0.113382269904009</v>
      </c>
      <c r="AK20">
        <v>0.11796042617960401</v>
      </c>
      <c r="AL20">
        <v>0.12581833060556499</v>
      </c>
      <c r="AM20">
        <v>0.124682651622003</v>
      </c>
      <c r="AN20">
        <v>0.13026367571822101</v>
      </c>
      <c r="AO20">
        <v>0.122908251586844</v>
      </c>
      <c r="AP20">
        <v>0.113533151680291</v>
      </c>
      <c r="AQ20">
        <v>0.114942528735632</v>
      </c>
      <c r="AR20">
        <v>0.148148148148148</v>
      </c>
      <c r="AS20">
        <v>0.170940170940171</v>
      </c>
      <c r="AT20">
        <v>0.15602836879432599</v>
      </c>
      <c r="AU20">
        <v>0.21</v>
      </c>
      <c r="AV20">
        <v>0.266666666666667</v>
      </c>
      <c r="AW20">
        <v>0.26086956521739102</v>
      </c>
      <c r="AX20">
        <v>0.33333333333333298</v>
      </c>
      <c r="AY20">
        <v>0.6</v>
      </c>
      <c r="AZ20">
        <v>0.6</v>
      </c>
      <c r="BA20">
        <v>894408</v>
      </c>
    </row>
    <row r="21" spans="1:53">
      <c r="A21" t="s">
        <v>110</v>
      </c>
      <c r="B21" t="s">
        <v>22</v>
      </c>
      <c r="C21">
        <v>1.6818295212171E-2</v>
      </c>
      <c r="D21">
        <v>1.6818372622230099E-2</v>
      </c>
      <c r="E21">
        <v>1.6822987548963501E-2</v>
      </c>
      <c r="F21">
        <v>1.6825435416850901E-2</v>
      </c>
      <c r="G21">
        <v>1.68340240780907E-2</v>
      </c>
      <c r="H21">
        <v>1.6858582605670601E-2</v>
      </c>
      <c r="I21">
        <v>1.6911962804236201E-2</v>
      </c>
      <c r="J21">
        <v>1.7027986545558E-2</v>
      </c>
      <c r="K21">
        <v>1.72904814154827E-2</v>
      </c>
      <c r="L21">
        <v>1.7735697702673799E-2</v>
      </c>
      <c r="M21">
        <v>1.84746391360723E-2</v>
      </c>
      <c r="N21">
        <v>1.9662448180435999E-2</v>
      </c>
      <c r="O21">
        <v>2.1329540562224001E-2</v>
      </c>
      <c r="P21">
        <v>2.3614313948791502E-2</v>
      </c>
      <c r="Q21">
        <v>2.7048893867800301E-2</v>
      </c>
      <c r="R21">
        <v>3.1769514747262598E-2</v>
      </c>
      <c r="S21">
        <v>3.7610472782993301E-2</v>
      </c>
      <c r="T21">
        <v>4.4374102678350402E-2</v>
      </c>
      <c r="U21">
        <v>5.1828015079803197E-2</v>
      </c>
      <c r="V21">
        <v>5.9263444954917303E-2</v>
      </c>
      <c r="W21">
        <v>6.6875408340626996E-2</v>
      </c>
      <c r="X21">
        <v>7.4618711236283594E-2</v>
      </c>
      <c r="Y21">
        <v>8.2105803703034497E-2</v>
      </c>
      <c r="Z21">
        <v>8.9229721318598701E-2</v>
      </c>
      <c r="AA21">
        <v>9.5787267866175294E-2</v>
      </c>
      <c r="AB21">
        <v>0.10215706581907801</v>
      </c>
      <c r="AC21">
        <v>0.10710688794500201</v>
      </c>
      <c r="AD21">
        <v>0.11196952916070101</v>
      </c>
      <c r="AE21">
        <v>0.11706010380043499</v>
      </c>
      <c r="AF21">
        <v>0.12241393751570501</v>
      </c>
      <c r="AG21">
        <v>0.122576906868942</v>
      </c>
      <c r="AH21">
        <v>0.12633201528047699</v>
      </c>
      <c r="AI21">
        <v>0.12991853007453599</v>
      </c>
      <c r="AJ21">
        <v>0.128514963297572</v>
      </c>
      <c r="AK21">
        <v>0.127853881278539</v>
      </c>
      <c r="AL21">
        <v>0.13604746317512301</v>
      </c>
      <c r="AM21">
        <v>0.138222849083216</v>
      </c>
      <c r="AN21">
        <v>0.13537977174340801</v>
      </c>
      <c r="AO21">
        <v>0.148297749567224</v>
      </c>
      <c r="AP21">
        <v>0.14532243415077201</v>
      </c>
      <c r="AQ21">
        <v>0.140804597701149</v>
      </c>
      <c r="AR21">
        <v>0.16203703703703701</v>
      </c>
      <c r="AS21">
        <v>0.19230769230769201</v>
      </c>
      <c r="AT21">
        <v>0.11347517730496499</v>
      </c>
      <c r="AU21">
        <v>0.15</v>
      </c>
      <c r="AV21">
        <v>0.133333333333333</v>
      </c>
      <c r="AW21">
        <v>0.26086956521739102</v>
      </c>
      <c r="AX21">
        <v>0.33333333333333298</v>
      </c>
      <c r="AY21">
        <v>0.6</v>
      </c>
      <c r="AZ21">
        <v>0.6</v>
      </c>
      <c r="BA21">
        <v>825583</v>
      </c>
    </row>
    <row r="22" spans="1:53">
      <c r="A22" t="s">
        <v>97</v>
      </c>
      <c r="B22" t="s">
        <v>71</v>
      </c>
      <c r="C22">
        <v>1.1847370518918499E-3</v>
      </c>
      <c r="D22">
        <v>1.1847425049157101E-3</v>
      </c>
      <c r="E22">
        <v>1.18506759581368E-3</v>
      </c>
      <c r="F22">
        <v>1.18524003182742E-3</v>
      </c>
      <c r="G22">
        <v>1.1858450458950599E-3</v>
      </c>
      <c r="H22">
        <v>1.18757503084281E-3</v>
      </c>
      <c r="I22">
        <v>1.1915309645290401E-3</v>
      </c>
      <c r="J22">
        <v>1.20082294159634E-3</v>
      </c>
      <c r="K22">
        <v>1.2205380419990301E-3</v>
      </c>
      <c r="L22">
        <v>1.25498554229331E-3</v>
      </c>
      <c r="M22">
        <v>1.31093202873628E-3</v>
      </c>
      <c r="N22">
        <v>1.4022729510079501E-3</v>
      </c>
      <c r="O22">
        <v>1.5266223510463899E-3</v>
      </c>
      <c r="P22">
        <v>1.7035268815461201E-3</v>
      </c>
      <c r="Q22">
        <v>1.95645686619016E-3</v>
      </c>
      <c r="R22">
        <v>2.3572889805068102E-3</v>
      </c>
      <c r="S22">
        <v>2.7969658200463102E-3</v>
      </c>
      <c r="T22">
        <v>3.34484380414872E-3</v>
      </c>
      <c r="U22">
        <v>3.96177590911404E-3</v>
      </c>
      <c r="V22">
        <v>4.5647740952755303E-3</v>
      </c>
      <c r="W22">
        <v>5.0418510619938102E-3</v>
      </c>
      <c r="X22">
        <v>5.7558828508549199E-3</v>
      </c>
      <c r="Y22">
        <v>6.3904447635440304E-3</v>
      </c>
      <c r="Z22">
        <v>7.1402567204143204E-3</v>
      </c>
      <c r="AA22">
        <v>7.6884167931208901E-3</v>
      </c>
      <c r="AB22">
        <v>8.3032748830398906E-3</v>
      </c>
      <c r="AC22">
        <v>9.2612865087358196E-3</v>
      </c>
      <c r="AD22">
        <v>1.01299332775061E-2</v>
      </c>
      <c r="AE22">
        <v>1.08823036999833E-2</v>
      </c>
      <c r="AF22">
        <v>1.14331183516207E-2</v>
      </c>
      <c r="AG22">
        <v>1.24315212810788E-2</v>
      </c>
      <c r="AH22">
        <v>1.2063534615642401E-2</v>
      </c>
      <c r="AI22">
        <v>1.14404576183047E-2</v>
      </c>
      <c r="AJ22">
        <v>9.7120271033314508E-3</v>
      </c>
      <c r="AK22">
        <v>9.4368340943683394E-3</v>
      </c>
      <c r="AL22">
        <v>7.9787234042553203E-3</v>
      </c>
      <c r="AM22">
        <v>7.3342736248237003E-3</v>
      </c>
      <c r="AN22">
        <v>6.6902794175521503E-3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58000</v>
      </c>
    </row>
    <row r="23" spans="1:53">
      <c r="A23" t="s">
        <v>18</v>
      </c>
      <c r="B23" t="s">
        <v>135</v>
      </c>
      <c r="C23">
        <v>0.35470585473669303</v>
      </c>
      <c r="D23">
        <v>0.35470748735169999</v>
      </c>
      <c r="E23">
        <v>0.354804818354091</v>
      </c>
      <c r="F23">
        <v>0.35485091945893399</v>
      </c>
      <c r="G23">
        <v>0.35501086333573501</v>
      </c>
      <c r="H23">
        <v>0.35548909728611</v>
      </c>
      <c r="I23">
        <v>0.35656587259043598</v>
      </c>
      <c r="J23">
        <v>0.35901247008439402</v>
      </c>
      <c r="K23">
        <v>0.36403139827000403</v>
      </c>
      <c r="L23">
        <v>0.37274046489114498</v>
      </c>
      <c r="M23">
        <v>0.386443961487412</v>
      </c>
      <c r="N23">
        <v>0.40715246710346398</v>
      </c>
      <c r="O23">
        <v>0.43497943916715698</v>
      </c>
      <c r="P23">
        <v>0.47152705446557802</v>
      </c>
      <c r="Q23">
        <v>0.52460970600485402</v>
      </c>
      <c r="R23">
        <v>0.59115046675497496</v>
      </c>
      <c r="S23">
        <v>0.66480857114091196</v>
      </c>
      <c r="T23">
        <v>0.737725258676172</v>
      </c>
      <c r="U23">
        <v>0.80537188626727896</v>
      </c>
      <c r="V23">
        <v>0.85912586295850402</v>
      </c>
      <c r="W23">
        <v>0.89830623389751096</v>
      </c>
      <c r="X23">
        <v>0.92917493882450697</v>
      </c>
      <c r="Y23">
        <v>0.94873379803531899</v>
      </c>
      <c r="Z23">
        <v>0.96219656844899104</v>
      </c>
      <c r="AA23">
        <v>0.97210781125803902</v>
      </c>
      <c r="AB23">
        <v>0.97825077675797301</v>
      </c>
      <c r="AC23">
        <v>0.98325086482462698</v>
      </c>
      <c r="AD23">
        <v>0.98662848807369197</v>
      </c>
      <c r="AE23">
        <v>0.98931860036832397</v>
      </c>
      <c r="AF23">
        <v>0.99070273892285798</v>
      </c>
      <c r="AG23">
        <v>0.99367888748419697</v>
      </c>
      <c r="AH23">
        <v>0.99550968433751097</v>
      </c>
      <c r="AI23">
        <v>0.99809325706361596</v>
      </c>
      <c r="AJ23">
        <v>0.99762845849802395</v>
      </c>
      <c r="AK23">
        <v>0.99802130898021302</v>
      </c>
      <c r="AL23">
        <v>0.99877250409165297</v>
      </c>
      <c r="AM23">
        <v>0.99858956276445698</v>
      </c>
      <c r="AN23">
        <v>0.99842581660763496</v>
      </c>
      <c r="AO23">
        <v>0.99826889786497397</v>
      </c>
      <c r="AP23">
        <v>0.99818346957311499</v>
      </c>
      <c r="AQ23">
        <v>0.99712643678160895</v>
      </c>
      <c r="AR23">
        <v>0.99537037037037002</v>
      </c>
      <c r="AS23">
        <v>0.99572649572649596</v>
      </c>
      <c r="AT23">
        <v>1</v>
      </c>
      <c r="AU23">
        <v>1</v>
      </c>
      <c r="AV23">
        <v>1</v>
      </c>
      <c r="AW23">
        <v>1</v>
      </c>
      <c r="AX23">
        <v>1</v>
      </c>
      <c r="AY23">
        <v>1</v>
      </c>
      <c r="AZ23">
        <v>1</v>
      </c>
      <c r="BA23">
        <v>21733463</v>
      </c>
    </row>
    <row r="24" spans="1:53">
      <c r="A24" t="s">
        <v>102</v>
      </c>
      <c r="B24" t="s">
        <v>140</v>
      </c>
      <c r="C24">
        <v>4.4001888951383398E-4</v>
      </c>
      <c r="D24">
        <v>4.4002091480164102E-4</v>
      </c>
      <c r="E24">
        <v>4.4014165563243198E-4</v>
      </c>
      <c r="F24">
        <v>4.4020569946659602E-4</v>
      </c>
      <c r="G24">
        <v>4.4043040554610598E-4</v>
      </c>
      <c r="H24">
        <v>4.41072932978137E-4</v>
      </c>
      <c r="I24">
        <v>4.4254219195406401E-4</v>
      </c>
      <c r="J24">
        <v>4.45993291439821E-4</v>
      </c>
      <c r="K24">
        <v>4.5331560534229602E-4</v>
      </c>
      <c r="L24">
        <v>4.61592660579108E-4</v>
      </c>
      <c r="M24">
        <v>4.83297622441358E-4</v>
      </c>
      <c r="N24">
        <v>5.1518764424707101E-4</v>
      </c>
      <c r="O24">
        <v>5.5764288549612804E-4</v>
      </c>
      <c r="P24">
        <v>6.2142931444188199E-4</v>
      </c>
      <c r="Q24">
        <v>7.1970803152672297E-4</v>
      </c>
      <c r="R24">
        <v>8.7785990296512903E-4</v>
      </c>
      <c r="S24">
        <v>1.0731115569449E-3</v>
      </c>
      <c r="T24">
        <v>1.2314966087430101E-3</v>
      </c>
      <c r="U24">
        <v>1.4602197767781999E-3</v>
      </c>
      <c r="V24">
        <v>1.6902930987887899E-3</v>
      </c>
      <c r="W24">
        <v>1.9045623204842199E-3</v>
      </c>
      <c r="X24">
        <v>2.20847376764086E-3</v>
      </c>
      <c r="Y24">
        <v>2.5105318713923002E-3</v>
      </c>
      <c r="Z24">
        <v>2.7598031731864599E-3</v>
      </c>
      <c r="AA24">
        <v>3.1505166558277301E-3</v>
      </c>
      <c r="AB24">
        <v>3.5713010249633901E-3</v>
      </c>
      <c r="AC24">
        <v>3.8752900994001001E-3</v>
      </c>
      <c r="AD24">
        <v>4.1600259326291904E-3</v>
      </c>
      <c r="AE24">
        <v>4.2859534572241799E-3</v>
      </c>
      <c r="AF24">
        <v>4.9836669737833997E-3</v>
      </c>
      <c r="AG24">
        <v>5.9523809523809503E-3</v>
      </c>
      <c r="AH24">
        <v>6.1658065813283303E-3</v>
      </c>
      <c r="AI24">
        <v>6.2402496099843996E-3</v>
      </c>
      <c r="AJ24">
        <v>6.3241106719367597E-3</v>
      </c>
      <c r="AK24">
        <v>5.1750380517503799E-3</v>
      </c>
      <c r="AL24">
        <v>6.1374795417348596E-3</v>
      </c>
      <c r="AM24">
        <v>5.3596614950634702E-3</v>
      </c>
      <c r="AN24">
        <v>7.0838252656434501E-3</v>
      </c>
      <c r="AO24">
        <v>7.5014425851125197E-3</v>
      </c>
      <c r="AP24">
        <v>7.2661217075386001E-3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23891</v>
      </c>
    </row>
    <row r="25" spans="1:53">
      <c r="A25" t="s">
        <v>103</v>
      </c>
      <c r="B25" t="s">
        <v>141</v>
      </c>
      <c r="C25">
        <v>1.7214128104411501E-4</v>
      </c>
      <c r="D25">
        <v>1.7214207336382201E-4</v>
      </c>
      <c r="E25">
        <v>1.7218930879344101E-4</v>
      </c>
      <c r="F25">
        <v>1.7221436359885701E-4</v>
      </c>
      <c r="G25">
        <v>1.7230227162577801E-4</v>
      </c>
      <c r="H25">
        <v>1.72553636960066E-4</v>
      </c>
      <c r="I25">
        <v>1.7312843074353599E-4</v>
      </c>
      <c r="J25">
        <v>1.72612466352232E-4</v>
      </c>
      <c r="K25">
        <v>1.6785954423762799E-4</v>
      </c>
      <c r="L25">
        <v>1.5906892954417501E-4</v>
      </c>
      <c r="M25">
        <v>1.5837448515520201E-4</v>
      </c>
      <c r="N25">
        <v>1.4657143169661901E-4</v>
      </c>
      <c r="O25">
        <v>1.283178252647E-4</v>
      </c>
      <c r="P25">
        <v>1.13478396550257E-4</v>
      </c>
      <c r="Q25">
        <v>1.03727321616933E-4</v>
      </c>
      <c r="R25" s="1">
        <v>9.4056418174835195E-5</v>
      </c>
      <c r="S25" s="1">
        <v>8.5947149869728697E-5</v>
      </c>
      <c r="T25" s="1">
        <v>8.9732164958661301E-5</v>
      </c>
      <c r="U25" s="1">
        <v>8.2210764912445504E-5</v>
      </c>
      <c r="V25" s="1">
        <v>5.8963712748446097E-5</v>
      </c>
      <c r="W25" s="1">
        <v>3.0818160525634501E-5</v>
      </c>
      <c r="X25" s="1">
        <v>3.0780122197085099E-5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20735</v>
      </c>
    </row>
    <row r="26" spans="1:53">
      <c r="A26" t="s">
        <v>119</v>
      </c>
      <c r="B26" t="s">
        <v>73</v>
      </c>
      <c r="C26">
        <v>9.0305131927420797E-3</v>
      </c>
      <c r="D26">
        <v>9.0305547577491495E-3</v>
      </c>
      <c r="E26">
        <v>9.0330327233350601E-3</v>
      </c>
      <c r="F26">
        <v>9.0343470957475001E-3</v>
      </c>
      <c r="G26">
        <v>9.0389587414378691E-3</v>
      </c>
      <c r="H26">
        <v>9.0521453399906408E-3</v>
      </c>
      <c r="I26">
        <v>9.0822989603961801E-3</v>
      </c>
      <c r="J26">
        <v>9.1456615955923196E-3</v>
      </c>
      <c r="K26">
        <v>9.2882281144821104E-3</v>
      </c>
      <c r="L26">
        <v>9.5441357726504892E-3</v>
      </c>
      <c r="M26">
        <v>9.9714619395459003E-3</v>
      </c>
      <c r="N26">
        <v>1.06395545978583E-2</v>
      </c>
      <c r="O26">
        <v>1.1606167410390399E-2</v>
      </c>
      <c r="P26">
        <v>1.29365372067293E-2</v>
      </c>
      <c r="Q26">
        <v>1.50564196839349E-2</v>
      </c>
      <c r="R26">
        <v>1.8168564777439E-2</v>
      </c>
      <c r="S26">
        <v>2.21154294779079E-2</v>
      </c>
      <c r="T26">
        <v>2.6727808307341901E-2</v>
      </c>
      <c r="U26">
        <v>3.2308830610591102E-2</v>
      </c>
      <c r="V26">
        <v>3.8105299363683301E-2</v>
      </c>
      <c r="W26">
        <v>4.5099296113213602E-2</v>
      </c>
      <c r="X26">
        <v>5.2703264231959E-2</v>
      </c>
      <c r="Y26">
        <v>6.1080099280123999E-2</v>
      </c>
      <c r="Z26">
        <v>6.9864123733132902E-2</v>
      </c>
      <c r="AA26">
        <v>7.8661753016836505E-2</v>
      </c>
      <c r="AB26">
        <v>8.7086175493732404E-2</v>
      </c>
      <c r="AC26">
        <v>9.52839689976792E-2</v>
      </c>
      <c r="AD26">
        <v>0.105027148221184</v>
      </c>
      <c r="AE26">
        <v>0.11387912271890201</v>
      </c>
      <c r="AF26">
        <v>0.123712203702153</v>
      </c>
      <c r="AG26">
        <v>0.134797724399494</v>
      </c>
      <c r="AH26">
        <v>0.14020508008846599</v>
      </c>
      <c r="AI26">
        <v>0.14664586583463299</v>
      </c>
      <c r="AJ26">
        <v>0.14895539243365299</v>
      </c>
      <c r="AK26">
        <v>0.15312024353120199</v>
      </c>
      <c r="AL26">
        <v>0.161620294599018</v>
      </c>
      <c r="AM26">
        <v>0.18335684062059199</v>
      </c>
      <c r="AN26">
        <v>0.207792207792208</v>
      </c>
      <c r="AO26">
        <v>0.208309290248125</v>
      </c>
      <c r="AP26">
        <v>0.201634877384196</v>
      </c>
      <c r="AQ26">
        <v>0.21839080459770099</v>
      </c>
      <c r="AR26">
        <v>0.25462962962962998</v>
      </c>
      <c r="AS26">
        <v>0.341880341880342</v>
      </c>
      <c r="AT26">
        <v>0.47517730496453903</v>
      </c>
      <c r="AU26">
        <v>0.51</v>
      </c>
      <c r="AV26">
        <v>0.64444444444444404</v>
      </c>
      <c r="AW26">
        <v>0.60869565217391297</v>
      </c>
      <c r="AX26">
        <v>0.58333333333333304</v>
      </c>
      <c r="AY26">
        <v>1</v>
      </c>
      <c r="AZ26">
        <v>1</v>
      </c>
      <c r="BA26">
        <v>483497</v>
      </c>
    </row>
    <row r="27" spans="1:53">
      <c r="A27" t="s">
        <v>117</v>
      </c>
      <c r="B27" t="s">
        <v>34</v>
      </c>
      <c r="C27">
        <v>0.10680768136740899</v>
      </c>
      <c r="D27">
        <v>0.106808172974247</v>
      </c>
      <c r="E27">
        <v>0.106837480916452</v>
      </c>
      <c r="F27">
        <v>0.106852105619898</v>
      </c>
      <c r="G27">
        <v>0.106903884817314</v>
      </c>
      <c r="H27">
        <v>0.107046924439039</v>
      </c>
      <c r="I27">
        <v>0.10736925331652</v>
      </c>
      <c r="J27">
        <v>0.10810672115622399</v>
      </c>
      <c r="K27">
        <v>0.10959995372008</v>
      </c>
      <c r="L27">
        <v>0.11221873831989999</v>
      </c>
      <c r="M27">
        <v>0.116414442526921</v>
      </c>
      <c r="N27">
        <v>0.122868424794636</v>
      </c>
      <c r="O27">
        <v>0.13164569409749999</v>
      </c>
      <c r="P27">
        <v>0.14338535777441799</v>
      </c>
      <c r="Q27">
        <v>0.16103586890781499</v>
      </c>
      <c r="R27">
        <v>0.18491883714915</v>
      </c>
      <c r="S27">
        <v>0.21335029357090801</v>
      </c>
      <c r="T27">
        <v>0.24552886281499101</v>
      </c>
      <c r="U27">
        <v>0.28058142584784701</v>
      </c>
      <c r="V27">
        <v>0.31411443873915901</v>
      </c>
      <c r="W27">
        <v>0.34667965138496798</v>
      </c>
      <c r="X27">
        <v>0.37888791418501899</v>
      </c>
      <c r="Y27">
        <v>0.40822769763306299</v>
      </c>
      <c r="Z27">
        <v>0.43542647766908199</v>
      </c>
      <c r="AA27">
        <v>0.45592889659657498</v>
      </c>
      <c r="AB27">
        <v>0.474179493589515</v>
      </c>
      <c r="AC27">
        <v>0.48716994351272103</v>
      </c>
      <c r="AD27">
        <v>0.49977038817904301</v>
      </c>
      <c r="AE27">
        <v>0.51009542943244601</v>
      </c>
      <c r="AF27">
        <v>0.51373649384370501</v>
      </c>
      <c r="AG27">
        <v>0.51922671723556701</v>
      </c>
      <c r="AH27">
        <v>0.52751156088733997</v>
      </c>
      <c r="AI27">
        <v>0.53336800138672202</v>
      </c>
      <c r="AJ27">
        <v>0.53913043478260902</v>
      </c>
      <c r="AK27">
        <v>0.54916286149162896</v>
      </c>
      <c r="AL27">
        <v>0.56771685761047497</v>
      </c>
      <c r="AM27">
        <v>0.55796897038081805</v>
      </c>
      <c r="AN27">
        <v>0.56080283353010596</v>
      </c>
      <c r="AO27">
        <v>0.56376226197345602</v>
      </c>
      <c r="AP27">
        <v>0.59491371480472299</v>
      </c>
      <c r="AQ27">
        <v>0.66810344827586199</v>
      </c>
      <c r="AR27">
        <v>0.67824074074074103</v>
      </c>
      <c r="AS27">
        <v>0.61538461538461497</v>
      </c>
      <c r="AT27">
        <v>0.659574468085106</v>
      </c>
      <c r="AU27">
        <v>0.62</v>
      </c>
      <c r="AV27">
        <v>0.77777777777777801</v>
      </c>
      <c r="AW27">
        <v>1</v>
      </c>
      <c r="AX27">
        <v>1</v>
      </c>
      <c r="AY27">
        <v>1</v>
      </c>
      <c r="AZ27">
        <v>1</v>
      </c>
      <c r="BA27">
        <v>5788834</v>
      </c>
    </row>
    <row r="28" spans="1:53">
      <c r="A28" t="s">
        <v>111</v>
      </c>
      <c r="B28" t="s">
        <v>23</v>
      </c>
      <c r="C28">
        <v>1.3010014572173699E-2</v>
      </c>
      <c r="D28">
        <v>1.30100744537481E-2</v>
      </c>
      <c r="E28">
        <v>1.3013644391324601E-2</v>
      </c>
      <c r="F28">
        <v>1.30155379718858E-2</v>
      </c>
      <c r="G28">
        <v>1.30184962342279E-2</v>
      </c>
      <c r="H28">
        <v>1.3024569976959E-2</v>
      </c>
      <c r="I28">
        <v>1.3047588098762801E-2</v>
      </c>
      <c r="J28">
        <v>1.3086824070575201E-2</v>
      </c>
      <c r="K28">
        <v>1.31670164530804E-2</v>
      </c>
      <c r="L28">
        <v>1.3348127719663899E-2</v>
      </c>
      <c r="M28">
        <v>1.3632466973811E-2</v>
      </c>
      <c r="N28">
        <v>1.4043512026514099E-2</v>
      </c>
      <c r="O28">
        <v>1.47253698731332E-2</v>
      </c>
      <c r="P28">
        <v>1.55465403273852E-2</v>
      </c>
      <c r="Q28">
        <v>1.6655416241783599E-2</v>
      </c>
      <c r="R28">
        <v>1.81803218297109E-2</v>
      </c>
      <c r="S28">
        <v>2.0072342943861801E-2</v>
      </c>
      <c r="T28">
        <v>2.1947249863854601E-2</v>
      </c>
      <c r="U28">
        <v>2.3876355009571699E-2</v>
      </c>
      <c r="V28">
        <v>2.5295432769083401E-2</v>
      </c>
      <c r="W28">
        <v>2.6275563664155999E-2</v>
      </c>
      <c r="X28">
        <v>2.7309663419363799E-2</v>
      </c>
      <c r="Y28">
        <v>2.7577812223627499E-2</v>
      </c>
      <c r="Z28">
        <v>2.7868140127538101E-2</v>
      </c>
      <c r="AA28">
        <v>2.79066406532264E-2</v>
      </c>
      <c r="AB28">
        <v>2.8766829756080099E-2</v>
      </c>
      <c r="AC28">
        <v>2.8550159828348701E-2</v>
      </c>
      <c r="AD28">
        <v>2.8579918420270699E-2</v>
      </c>
      <c r="AE28">
        <v>2.9198057927339701E-2</v>
      </c>
      <c r="AF28">
        <v>3.0153279169109599E-2</v>
      </c>
      <c r="AG28">
        <v>2.83923303834808E-2</v>
      </c>
      <c r="AH28">
        <v>2.7545070705716799E-2</v>
      </c>
      <c r="AI28">
        <v>2.66077309759057E-2</v>
      </c>
      <c r="AJ28">
        <v>2.6764539808018101E-2</v>
      </c>
      <c r="AK28">
        <v>2.5266362252663599E-2</v>
      </c>
      <c r="AL28">
        <v>2.5777414075286401E-2</v>
      </c>
      <c r="AM28">
        <v>2.2002820874471099E-2</v>
      </c>
      <c r="AN28">
        <v>2.3219205037386899E-2</v>
      </c>
      <c r="AO28">
        <v>2.5389497980380801E-2</v>
      </c>
      <c r="AP28">
        <v>2.5431425976385098E-2</v>
      </c>
      <c r="AQ28">
        <v>2.0114942528735601E-2</v>
      </c>
      <c r="AR28">
        <v>2.0833333333333301E-2</v>
      </c>
      <c r="AS28">
        <v>2.1367521367521399E-2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826100</v>
      </c>
    </row>
    <row r="29" spans="1:53">
      <c r="A29" t="s">
        <v>120</v>
      </c>
      <c r="B29" t="s">
        <v>74</v>
      </c>
      <c r="C29">
        <v>3.7779948210328998E-2</v>
      </c>
      <c r="D29">
        <v>3.7780122101201102E-2</v>
      </c>
      <c r="E29">
        <v>3.7790488888725202E-2</v>
      </c>
      <c r="F29">
        <v>3.7795987681607898E-2</v>
      </c>
      <c r="G29">
        <v>3.7815280907986901E-2</v>
      </c>
      <c r="H29">
        <v>3.7868602712321703E-2</v>
      </c>
      <c r="I29">
        <v>3.7991969433110902E-2</v>
      </c>
      <c r="J29">
        <v>3.8285445036925103E-2</v>
      </c>
      <c r="K29">
        <v>3.89016864668221E-2</v>
      </c>
      <c r="L29">
        <v>4.0014130785888301E-2</v>
      </c>
      <c r="M29">
        <v>4.1836408352772497E-2</v>
      </c>
      <c r="N29">
        <v>4.4625531868348202E-2</v>
      </c>
      <c r="O29">
        <v>4.8686421215853398E-2</v>
      </c>
      <c r="P29">
        <v>5.4342642614650299E-2</v>
      </c>
      <c r="Q29">
        <v>6.32082381834633E-2</v>
      </c>
      <c r="R29">
        <v>7.5805554031493194E-2</v>
      </c>
      <c r="S29">
        <v>9.2154989723176498E-2</v>
      </c>
      <c r="T29">
        <v>0.111750581711966</v>
      </c>
      <c r="U29">
        <v>0.13464165893494001</v>
      </c>
      <c r="V29">
        <v>0.159398570129966</v>
      </c>
      <c r="W29">
        <v>0.186394398491143</v>
      </c>
      <c r="X29">
        <v>0.21604567770134001</v>
      </c>
      <c r="Y29">
        <v>0.24490999172665601</v>
      </c>
      <c r="Z29">
        <v>0.273960376272739</v>
      </c>
      <c r="AA29">
        <v>0.30376472288460099</v>
      </c>
      <c r="AB29">
        <v>0.33307739009321102</v>
      </c>
      <c r="AC29">
        <v>0.36154048255024701</v>
      </c>
      <c r="AD29">
        <v>0.388611253680542</v>
      </c>
      <c r="AE29">
        <v>0.410915787711368</v>
      </c>
      <c r="AF29">
        <v>0.43571488399363401</v>
      </c>
      <c r="AG29">
        <v>0.45712178676780402</v>
      </c>
      <c r="AH29">
        <v>0.47557134240332399</v>
      </c>
      <c r="AI29">
        <v>0.49921996879875202</v>
      </c>
      <c r="AJ29">
        <v>0.50784867306606396</v>
      </c>
      <c r="AK29">
        <v>0.52968036529680396</v>
      </c>
      <c r="AL29">
        <v>0.54664484451718498</v>
      </c>
      <c r="AM29">
        <v>0.57066290550070498</v>
      </c>
      <c r="AN29">
        <v>0.59386068476977605</v>
      </c>
      <c r="AO29">
        <v>0.59953837276399302</v>
      </c>
      <c r="AP29">
        <v>0.59491371480472299</v>
      </c>
      <c r="AQ29">
        <v>0.60344827586206895</v>
      </c>
      <c r="AR29">
        <v>0.625</v>
      </c>
      <c r="AS29">
        <v>0.73504273504273498</v>
      </c>
      <c r="AT29">
        <v>0.85106382978723405</v>
      </c>
      <c r="AU29">
        <v>0.91</v>
      </c>
      <c r="AV29">
        <v>0.91111111111111098</v>
      </c>
      <c r="AW29">
        <v>0.95652173913043503</v>
      </c>
      <c r="AX29">
        <v>1</v>
      </c>
      <c r="AY29">
        <v>1</v>
      </c>
      <c r="AZ29">
        <v>1</v>
      </c>
      <c r="BA29">
        <v>1642989</v>
      </c>
    </row>
    <row r="30" spans="1:53">
      <c r="A30" t="s">
        <v>112</v>
      </c>
      <c r="B30" t="s">
        <v>24</v>
      </c>
      <c r="C30">
        <v>1.4763646338960001E-2</v>
      </c>
      <c r="D30">
        <v>1.47637142920266E-2</v>
      </c>
      <c r="E30">
        <v>1.47677654247551E-2</v>
      </c>
      <c r="F30">
        <v>1.47699142427725E-2</v>
      </c>
      <c r="G30">
        <v>1.47774536488461E-2</v>
      </c>
      <c r="H30">
        <v>1.47980891760887E-2</v>
      </c>
      <c r="I30">
        <v>1.48418281991958E-2</v>
      </c>
      <c r="J30">
        <v>1.4932377900006099E-2</v>
      </c>
      <c r="K30">
        <v>1.5133913033582301E-2</v>
      </c>
      <c r="L30">
        <v>1.54794561989552E-2</v>
      </c>
      <c r="M30">
        <v>1.6035672064682201E-2</v>
      </c>
      <c r="N30">
        <v>1.6918062194414999E-2</v>
      </c>
      <c r="O30">
        <v>1.80820202742164E-2</v>
      </c>
      <c r="P30">
        <v>1.9702011134392201E-2</v>
      </c>
      <c r="Q30">
        <v>2.2065195015343701E-2</v>
      </c>
      <c r="R30">
        <v>2.53109740325905E-2</v>
      </c>
      <c r="S30">
        <v>2.9020669061727199E-2</v>
      </c>
      <c r="T30">
        <v>3.2730580721817899E-2</v>
      </c>
      <c r="U30">
        <v>3.5800830720205498E-2</v>
      </c>
      <c r="V30">
        <v>3.8065990221850997E-2</v>
      </c>
      <c r="W30">
        <v>3.9360954623340397E-2</v>
      </c>
      <c r="X30">
        <v>3.9852563214676E-2</v>
      </c>
      <c r="Y30">
        <v>3.9093926224597501E-2</v>
      </c>
      <c r="Z30">
        <v>3.6793461028056001E-2</v>
      </c>
      <c r="AA30">
        <v>3.4352193077534503E-2</v>
      </c>
      <c r="AB30">
        <v>3.2730973893789497E-2</v>
      </c>
      <c r="AC30">
        <v>2.9141305775714801E-2</v>
      </c>
      <c r="AD30">
        <v>2.6905102785056301E-2</v>
      </c>
      <c r="AE30">
        <v>2.5514816675037699E-2</v>
      </c>
      <c r="AF30">
        <v>2.4541418879303101E-2</v>
      </c>
      <c r="AG30">
        <v>2.3493468183733698E-2</v>
      </c>
      <c r="AH30">
        <v>2.3054755043227699E-2</v>
      </c>
      <c r="AI30">
        <v>2.0887502166753301E-2</v>
      </c>
      <c r="AJ30">
        <v>1.8746470920383999E-2</v>
      </c>
      <c r="AK30">
        <v>1.9482496194824998E-2</v>
      </c>
      <c r="AL30">
        <v>2.1276595744680899E-2</v>
      </c>
      <c r="AM30">
        <v>2.1720733427362499E-2</v>
      </c>
      <c r="AN30">
        <v>2.5186934277843399E-2</v>
      </c>
      <c r="AO30">
        <v>2.71206001154068E-2</v>
      </c>
      <c r="AP30">
        <v>2.6339691189827399E-2</v>
      </c>
      <c r="AQ30">
        <v>1.1494252873563199E-2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859193</v>
      </c>
    </row>
    <row r="31" spans="1:53">
      <c r="A31" t="s">
        <v>112</v>
      </c>
      <c r="B31" t="s">
        <v>80</v>
      </c>
      <c r="C31">
        <v>4.6674221244811603E-2</v>
      </c>
      <c r="D31">
        <v>4.6674436073614198E-2</v>
      </c>
      <c r="E31">
        <v>4.6687243442533902E-2</v>
      </c>
      <c r="F31">
        <v>4.6694036778357401E-2</v>
      </c>
      <c r="G31">
        <v>4.6717872076159399E-2</v>
      </c>
      <c r="H31">
        <v>4.6784181537498998E-2</v>
      </c>
      <c r="I31">
        <v>4.6935395320718103E-2</v>
      </c>
      <c r="J31">
        <v>4.7289284498001002E-2</v>
      </c>
      <c r="K31">
        <v>4.8023003396073599E-2</v>
      </c>
      <c r="L31">
        <v>4.9329909935757602E-2</v>
      </c>
      <c r="M31">
        <v>5.1510534968575397E-2</v>
      </c>
      <c r="N31">
        <v>5.4918346586745097E-2</v>
      </c>
      <c r="O31">
        <v>5.9767325005066797E-2</v>
      </c>
      <c r="P31">
        <v>6.6456461446390197E-2</v>
      </c>
      <c r="Q31">
        <v>7.6831625024136596E-2</v>
      </c>
      <c r="R31">
        <v>9.1248442190574E-2</v>
      </c>
      <c r="S31">
        <v>0.10924373875013201</v>
      </c>
      <c r="T31">
        <v>0.130368458834596</v>
      </c>
      <c r="U31">
        <v>0.15508473580983501</v>
      </c>
      <c r="V31">
        <v>0.180070265091025</v>
      </c>
      <c r="W31">
        <v>0.207332256752259</v>
      </c>
      <c r="X31">
        <v>0.23712236637579501</v>
      </c>
      <c r="Y31">
        <v>0.26516541932539001</v>
      </c>
      <c r="Z31">
        <v>0.29256262404434502</v>
      </c>
      <c r="AA31">
        <v>0.32074571862128798</v>
      </c>
      <c r="AB31">
        <v>0.34661262097782197</v>
      </c>
      <c r="AC31">
        <v>0.36961947716425098</v>
      </c>
      <c r="AD31">
        <v>0.38998892460628298</v>
      </c>
      <c r="AE31">
        <v>0.40890674702829399</v>
      </c>
      <c r="AF31">
        <v>0.42671077979730299</v>
      </c>
      <c r="AG31">
        <v>0.44316266329540699</v>
      </c>
      <c r="AH31">
        <v>0.45660478520206399</v>
      </c>
      <c r="AI31">
        <v>0.46905876235049399</v>
      </c>
      <c r="AJ31">
        <v>0.46561264822134402</v>
      </c>
      <c r="AK31">
        <v>0.47640791476407901</v>
      </c>
      <c r="AL31">
        <v>0.48301963993453401</v>
      </c>
      <c r="AM31">
        <v>0.48885754583920998</v>
      </c>
      <c r="AN31">
        <v>0.50098386462022804</v>
      </c>
      <c r="AO31">
        <v>0.50201961915753002</v>
      </c>
      <c r="AP31">
        <v>0.500454132606721</v>
      </c>
      <c r="AQ31">
        <v>0.53448275862068995</v>
      </c>
      <c r="AR31">
        <v>0.60879629629629595</v>
      </c>
      <c r="AS31">
        <v>0.670940170940171</v>
      </c>
      <c r="AT31">
        <v>0.780141843971631</v>
      </c>
      <c r="AU31">
        <v>0.8</v>
      </c>
      <c r="AV31">
        <v>0.95555555555555605</v>
      </c>
      <c r="AW31">
        <v>1</v>
      </c>
      <c r="AX31">
        <v>1</v>
      </c>
      <c r="AY31">
        <v>1</v>
      </c>
      <c r="AZ31">
        <v>1</v>
      </c>
      <c r="BA31">
        <v>2375335</v>
      </c>
    </row>
    <row r="32" spans="1:53">
      <c r="A32" t="s">
        <v>112</v>
      </c>
      <c r="B32" t="s">
        <v>81</v>
      </c>
      <c r="C32">
        <v>7.4774674427446106E-2</v>
      </c>
      <c r="D32">
        <v>7.4775018595026096E-2</v>
      </c>
      <c r="E32">
        <v>7.4795536705788299E-2</v>
      </c>
      <c r="F32">
        <v>7.4806420004125795E-2</v>
      </c>
      <c r="G32">
        <v>7.4844605464654101E-2</v>
      </c>
      <c r="H32">
        <v>7.49519479644669E-2</v>
      </c>
      <c r="I32">
        <v>7.5196991453751097E-2</v>
      </c>
      <c r="J32">
        <v>7.5774073607553893E-2</v>
      </c>
      <c r="K32">
        <v>7.6977352238553995E-2</v>
      </c>
      <c r="L32">
        <v>7.9126545676691903E-2</v>
      </c>
      <c r="M32">
        <v>8.2687829584966899E-2</v>
      </c>
      <c r="N32">
        <v>8.8285223630814993E-2</v>
      </c>
      <c r="O32">
        <v>9.6264752052785396E-2</v>
      </c>
      <c r="P32">
        <v>0.10737893273568</v>
      </c>
      <c r="Q32">
        <v>0.124846204298141</v>
      </c>
      <c r="R32">
        <v>0.14954186686314</v>
      </c>
      <c r="S32">
        <v>0.18071984421465201</v>
      </c>
      <c r="T32">
        <v>0.21741175305708199</v>
      </c>
      <c r="U32">
        <v>0.26000133103143203</v>
      </c>
      <c r="V32">
        <v>0.303898975505491</v>
      </c>
      <c r="W32">
        <v>0.35190641141011603</v>
      </c>
      <c r="X32">
        <v>0.40225002693260697</v>
      </c>
      <c r="Y32">
        <v>0.44971804064398901</v>
      </c>
      <c r="Z32">
        <v>0.49508520158307001</v>
      </c>
      <c r="AA32">
        <v>0.54008237589421204</v>
      </c>
      <c r="AB32">
        <v>0.57944359130031098</v>
      </c>
      <c r="AC32">
        <v>0.61509830538161803</v>
      </c>
      <c r="AD32">
        <v>0.64550636159809804</v>
      </c>
      <c r="AE32">
        <v>0.67825213460572598</v>
      </c>
      <c r="AF32">
        <v>0.70462350280593</v>
      </c>
      <c r="AG32">
        <v>0.72840286557100697</v>
      </c>
      <c r="AH32">
        <v>0.75269754037933101</v>
      </c>
      <c r="AI32">
        <v>0.78176460391749003</v>
      </c>
      <c r="AJ32">
        <v>0.79593450028232604</v>
      </c>
      <c r="AK32">
        <v>0.81887366818873697</v>
      </c>
      <c r="AL32">
        <v>0.82978723404255295</v>
      </c>
      <c r="AM32">
        <v>0.84005641748942195</v>
      </c>
      <c r="AN32">
        <v>0.84494293585202696</v>
      </c>
      <c r="AO32">
        <v>0.84997114829775</v>
      </c>
      <c r="AP32">
        <v>0.86103542234332398</v>
      </c>
      <c r="AQ32">
        <v>0.87356321839080497</v>
      </c>
      <c r="AR32">
        <v>0.89120370370370405</v>
      </c>
      <c r="AS32">
        <v>0.88034188034187999</v>
      </c>
      <c r="AT32">
        <v>0.95035460992907805</v>
      </c>
      <c r="AU32">
        <v>0.93</v>
      </c>
      <c r="AV32">
        <v>1</v>
      </c>
      <c r="AW32">
        <v>1</v>
      </c>
      <c r="AX32">
        <v>1</v>
      </c>
      <c r="AY32">
        <v>1</v>
      </c>
      <c r="AZ32">
        <v>1</v>
      </c>
      <c r="BA32">
        <v>3872069</v>
      </c>
    </row>
    <row r="33" spans="1:53">
      <c r="A33" t="s">
        <v>113</v>
      </c>
      <c r="B33" t="s">
        <v>25</v>
      </c>
      <c r="C33">
        <v>1.17359849841253E-2</v>
      </c>
      <c r="D33">
        <v>1.1736039001686399E-2</v>
      </c>
      <c r="E33">
        <v>1.17392593465646E-2</v>
      </c>
      <c r="F33">
        <v>1.17409674947691E-2</v>
      </c>
      <c r="G33">
        <v>1.17460393512589E-2</v>
      </c>
      <c r="H33">
        <v>1.17622524616576E-2</v>
      </c>
      <c r="I33">
        <v>1.17977304436624E-2</v>
      </c>
      <c r="J33">
        <v>1.18710724832403E-2</v>
      </c>
      <c r="K33">
        <v>1.2008121746535899E-2</v>
      </c>
      <c r="L33">
        <v>1.2245379925891401E-2</v>
      </c>
      <c r="M33">
        <v>1.2583108288298801E-2</v>
      </c>
      <c r="N33">
        <v>1.31137678702296E-2</v>
      </c>
      <c r="O33">
        <v>1.38847082328477E-2</v>
      </c>
      <c r="P33">
        <v>1.4898092347098E-2</v>
      </c>
      <c r="Q33">
        <v>1.6301147543338099E-2</v>
      </c>
      <c r="R33">
        <v>1.80372776937366E-2</v>
      </c>
      <c r="S33">
        <v>2.0214769649360202E-2</v>
      </c>
      <c r="T33">
        <v>2.2510396554284901E-2</v>
      </c>
      <c r="U33">
        <v>2.4765014230291899E-2</v>
      </c>
      <c r="V33">
        <v>2.7010294081517301E-2</v>
      </c>
      <c r="W33">
        <v>2.92032889140913E-2</v>
      </c>
      <c r="X33">
        <v>3.1388029610477597E-2</v>
      </c>
      <c r="Y33">
        <v>3.2627404737677897E-2</v>
      </c>
      <c r="Z33">
        <v>3.37870371457763E-2</v>
      </c>
      <c r="AA33">
        <v>3.4727942770431397E-2</v>
      </c>
      <c r="AB33">
        <v>3.5677297239384301E-2</v>
      </c>
      <c r="AC33">
        <v>3.4636773656784997E-2</v>
      </c>
      <c r="AD33">
        <v>3.4982036251654601E-2</v>
      </c>
      <c r="AE33">
        <v>3.7301188682404202E-2</v>
      </c>
      <c r="AF33">
        <v>3.9366781137448702E-2</v>
      </c>
      <c r="AG33">
        <v>3.9559629161399101E-2</v>
      </c>
      <c r="AH33">
        <v>4.1619194423966201E-2</v>
      </c>
      <c r="AI33">
        <v>4.2728375801698699E-2</v>
      </c>
      <c r="AJ33">
        <v>4.4381705251270498E-2</v>
      </c>
      <c r="AK33">
        <v>4.7336377473363798E-2</v>
      </c>
      <c r="AL33">
        <v>5.36006546644845E-2</v>
      </c>
      <c r="AM33">
        <v>6.0648801128349798E-2</v>
      </c>
      <c r="AN33">
        <v>6.2573789846517097E-2</v>
      </c>
      <c r="AO33">
        <v>6.6358915175995403E-2</v>
      </c>
      <c r="AP33">
        <v>6.17620345140781E-2</v>
      </c>
      <c r="AQ33">
        <v>4.5977011494252901E-2</v>
      </c>
      <c r="AR33">
        <v>4.8611111111111098E-2</v>
      </c>
      <c r="AS33">
        <v>3.8461538461538498E-2</v>
      </c>
      <c r="AT33">
        <v>1.41843971631206E-2</v>
      </c>
      <c r="AU33">
        <v>0.01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815453</v>
      </c>
    </row>
    <row r="34" spans="1:53">
      <c r="A34" t="s">
        <v>113</v>
      </c>
      <c r="B34" t="s">
        <v>77</v>
      </c>
      <c r="C34">
        <v>2.7781945785622399E-2</v>
      </c>
      <c r="D34">
        <v>2.7782073658396501E-2</v>
      </c>
      <c r="E34">
        <v>2.7789697002064399E-2</v>
      </c>
      <c r="F34">
        <v>2.7793740606489301E-2</v>
      </c>
      <c r="G34">
        <v>2.7807928115860799E-2</v>
      </c>
      <c r="H34">
        <v>2.7848496061255602E-2</v>
      </c>
      <c r="I34">
        <v>2.79403364246479E-2</v>
      </c>
      <c r="J34">
        <v>2.8145162419000402E-2</v>
      </c>
      <c r="K34">
        <v>2.85825921117395E-2</v>
      </c>
      <c r="L34">
        <v>2.9360416038442E-2</v>
      </c>
      <c r="M34">
        <v>3.0655169700815301E-2</v>
      </c>
      <c r="N34">
        <v>3.26701158351837E-2</v>
      </c>
      <c r="O34">
        <v>3.5503263709920199E-2</v>
      </c>
      <c r="P34">
        <v>3.94823763997358E-2</v>
      </c>
      <c r="Q34">
        <v>4.5571401898688697E-2</v>
      </c>
      <c r="R34">
        <v>5.4258796234608102E-2</v>
      </c>
      <c r="S34">
        <v>6.5125838905573594E-2</v>
      </c>
      <c r="T34">
        <v>7.7732808554878893E-2</v>
      </c>
      <c r="U34">
        <v>9.2694594837946898E-2</v>
      </c>
      <c r="V34">
        <v>0.108586590668992</v>
      </c>
      <c r="W34">
        <v>0.12543607697143799</v>
      </c>
      <c r="X34">
        <v>0.14422795758499199</v>
      </c>
      <c r="Y34">
        <v>0.161672546763411</v>
      </c>
      <c r="Z34">
        <v>0.17916407323460701</v>
      </c>
      <c r="AA34">
        <v>0.19536093648385</v>
      </c>
      <c r="AB34">
        <v>0.21274240205706901</v>
      </c>
      <c r="AC34">
        <v>0.22956167622717499</v>
      </c>
      <c r="AD34">
        <v>0.24479321429536199</v>
      </c>
      <c r="AE34">
        <v>0.25799430771806497</v>
      </c>
      <c r="AF34">
        <v>0.27544182929893601</v>
      </c>
      <c r="AG34">
        <v>0.29345764854614398</v>
      </c>
      <c r="AH34">
        <v>0.31398699819046999</v>
      </c>
      <c r="AI34">
        <v>0.32847980585890102</v>
      </c>
      <c r="AJ34">
        <v>0.33822699040090298</v>
      </c>
      <c r="AK34">
        <v>0.34809741248097398</v>
      </c>
      <c r="AL34">
        <v>0.36702127659574502</v>
      </c>
      <c r="AM34">
        <v>0.373483779971791</v>
      </c>
      <c r="AN34">
        <v>0.392365210547029</v>
      </c>
      <c r="AO34">
        <v>0.40738603577611099</v>
      </c>
      <c r="AP34">
        <v>0.42143505903723899</v>
      </c>
      <c r="AQ34">
        <v>0.42959770114942503</v>
      </c>
      <c r="AR34">
        <v>0.467592592592593</v>
      </c>
      <c r="AS34">
        <v>0.54273504273504303</v>
      </c>
      <c r="AT34">
        <v>0.57446808510638303</v>
      </c>
      <c r="AU34">
        <v>0.63</v>
      </c>
      <c r="AV34">
        <v>0.64444444444444404</v>
      </c>
      <c r="AW34">
        <v>0.60869565217391297</v>
      </c>
      <c r="AX34">
        <v>0.58333333333333304</v>
      </c>
      <c r="AY34">
        <v>1</v>
      </c>
      <c r="AZ34">
        <v>1</v>
      </c>
      <c r="BA34">
        <v>1316483</v>
      </c>
    </row>
    <row r="35" spans="1:53">
      <c r="A35" t="s">
        <v>113</v>
      </c>
      <c r="B35" t="s">
        <v>78</v>
      </c>
      <c r="C35">
        <v>1.6249400497276599E-2</v>
      </c>
      <c r="D35">
        <v>1.6249475288867301E-2</v>
      </c>
      <c r="E35">
        <v>1.62539341113466E-2</v>
      </c>
      <c r="F35">
        <v>1.6256299177791499E-2</v>
      </c>
      <c r="G35">
        <v>1.6264597319455801E-2</v>
      </c>
      <c r="H35">
        <v>1.62883251316529E-2</v>
      </c>
      <c r="I35">
        <v>1.6342583205801599E-2</v>
      </c>
      <c r="J35">
        <v>1.6463497128568299E-2</v>
      </c>
      <c r="K35">
        <v>1.67243110883083E-2</v>
      </c>
      <c r="L35">
        <v>1.71794443907709E-2</v>
      </c>
      <c r="M35">
        <v>1.7934122344800699E-2</v>
      </c>
      <c r="N35">
        <v>1.9106789319974199E-2</v>
      </c>
      <c r="O35">
        <v>2.0792284620928799E-2</v>
      </c>
      <c r="P35">
        <v>2.31414872964988E-2</v>
      </c>
      <c r="Q35">
        <v>2.6697816779250701E-2</v>
      </c>
      <c r="R35">
        <v>3.1810664430214103E-2</v>
      </c>
      <c r="S35">
        <v>3.8162990175012998E-2</v>
      </c>
      <c r="T35">
        <v>4.5689143026882498E-2</v>
      </c>
      <c r="U35">
        <v>5.4580118305205497E-2</v>
      </c>
      <c r="V35">
        <v>6.3985455617522002E-2</v>
      </c>
      <c r="W35">
        <v>7.4117676064151095E-2</v>
      </c>
      <c r="X35">
        <v>8.5591824799544497E-2</v>
      </c>
      <c r="Y35">
        <v>9.6398718107211095E-2</v>
      </c>
      <c r="Z35">
        <v>0.10689246162699199</v>
      </c>
      <c r="AA35">
        <v>0.117725269166847</v>
      </c>
      <c r="AB35">
        <v>0.12822756330131099</v>
      </c>
      <c r="AC35">
        <v>0.13944476069536299</v>
      </c>
      <c r="AD35">
        <v>0.15022015721656401</v>
      </c>
      <c r="AE35">
        <v>0.159116022099448</v>
      </c>
      <c r="AF35">
        <v>0.17040790685987101</v>
      </c>
      <c r="AG35">
        <v>0.180257058575643</v>
      </c>
      <c r="AH35">
        <v>0.192011259298975</v>
      </c>
      <c r="AI35">
        <v>0.206621598197261</v>
      </c>
      <c r="AJ35">
        <v>0.21389045736871801</v>
      </c>
      <c r="AK35">
        <v>0.22450532724505301</v>
      </c>
      <c r="AL35">
        <v>0.244476268412439</v>
      </c>
      <c r="AM35">
        <v>0.25923836389280702</v>
      </c>
      <c r="AN35">
        <v>0.27902400629673402</v>
      </c>
      <c r="AO35">
        <v>0.29544143104443199</v>
      </c>
      <c r="AP35">
        <v>0.31970935513169801</v>
      </c>
      <c r="AQ35">
        <v>0.35488505747126398</v>
      </c>
      <c r="AR35">
        <v>0.39814814814814797</v>
      </c>
      <c r="AS35">
        <v>0.43589743589743601</v>
      </c>
      <c r="AT35">
        <v>0.47517730496453903</v>
      </c>
      <c r="AU35">
        <v>0.51</v>
      </c>
      <c r="AV35">
        <v>0.51111111111111096</v>
      </c>
      <c r="AW35">
        <v>0.60869565217391297</v>
      </c>
      <c r="AX35">
        <v>0.58333333333333304</v>
      </c>
      <c r="AY35">
        <v>1</v>
      </c>
      <c r="AZ35">
        <v>1</v>
      </c>
      <c r="BA35">
        <v>766710</v>
      </c>
    </row>
    <row r="36" spans="1:53">
      <c r="A36" t="s">
        <v>113</v>
      </c>
      <c r="B36" t="s">
        <v>79</v>
      </c>
      <c r="C36">
        <v>1.72518703104158E-2</v>
      </c>
      <c r="D36">
        <v>1.72519497161037E-2</v>
      </c>
      <c r="E36">
        <v>1.7256683615496701E-2</v>
      </c>
      <c r="F36">
        <v>1.7259194589337799E-2</v>
      </c>
      <c r="G36">
        <v>1.7268004665982401E-2</v>
      </c>
      <c r="H36">
        <v>1.7293196311596801E-2</v>
      </c>
      <c r="I36">
        <v>1.73508017142492E-2</v>
      </c>
      <c r="J36">
        <v>1.74795780791498E-2</v>
      </c>
      <c r="K36">
        <v>1.7749487174867001E-2</v>
      </c>
      <c r="L36">
        <v>1.82392533323965E-2</v>
      </c>
      <c r="M36">
        <v>1.9051939678734801E-2</v>
      </c>
      <c r="N36">
        <v>2.03220196230708E-2</v>
      </c>
      <c r="O36">
        <v>2.2107842137894899E-2</v>
      </c>
      <c r="P36">
        <v>2.4663989116881401E-2</v>
      </c>
      <c r="Q36">
        <v>2.8563312763407601E-2</v>
      </c>
      <c r="R36">
        <v>3.4152277341025099E-2</v>
      </c>
      <c r="S36">
        <v>4.1320934024512097E-2</v>
      </c>
      <c r="T36">
        <v>4.9640452497648403E-2</v>
      </c>
      <c r="U36">
        <v>5.9536252989927201E-2</v>
      </c>
      <c r="V36">
        <v>6.9803208608702094E-2</v>
      </c>
      <c r="W36">
        <v>8.1070253078734195E-2</v>
      </c>
      <c r="X36">
        <v>9.3094479585083906E-2</v>
      </c>
      <c r="Y36">
        <v>0.10448186996586099</v>
      </c>
      <c r="Z36">
        <v>0.115594649504997</v>
      </c>
      <c r="AA36">
        <v>0.126584290772455</v>
      </c>
      <c r="AB36">
        <v>0.13751294596621499</v>
      </c>
      <c r="AC36">
        <v>0.148311949905855</v>
      </c>
      <c r="AD36">
        <v>0.15899943272373601</v>
      </c>
      <c r="AE36">
        <v>0.16691779675205101</v>
      </c>
      <c r="AF36">
        <v>0.17945389061060399</v>
      </c>
      <c r="AG36">
        <v>0.19010745891276901</v>
      </c>
      <c r="AH36">
        <v>0.200790831713692</v>
      </c>
      <c r="AI36">
        <v>0.21424856994279801</v>
      </c>
      <c r="AJ36">
        <v>0.21874647092038399</v>
      </c>
      <c r="AK36">
        <v>0.22709284627092799</v>
      </c>
      <c r="AL36">
        <v>0.24222585924713599</v>
      </c>
      <c r="AM36">
        <v>0.256981664315938</v>
      </c>
      <c r="AN36">
        <v>0.27430145611963802</v>
      </c>
      <c r="AO36">
        <v>0.29601846508944002</v>
      </c>
      <c r="AP36">
        <v>0.31153496821071802</v>
      </c>
      <c r="AQ36">
        <v>0.35488505747126398</v>
      </c>
      <c r="AR36">
        <v>0.39351851851851899</v>
      </c>
      <c r="AS36">
        <v>0.43589743589743601</v>
      </c>
      <c r="AT36">
        <v>0.52482269503546097</v>
      </c>
      <c r="AU36">
        <v>0.56000000000000005</v>
      </c>
      <c r="AV36">
        <v>0.51111111111111096</v>
      </c>
      <c r="AW36">
        <v>0.60869565217391297</v>
      </c>
      <c r="AX36">
        <v>0.58333333333333304</v>
      </c>
      <c r="AY36">
        <v>1</v>
      </c>
      <c r="AZ36">
        <v>1</v>
      </c>
      <c r="BA36">
        <v>798862</v>
      </c>
    </row>
    <row r="37" spans="1:53">
      <c r="A37" t="s">
        <v>121</v>
      </c>
      <c r="B37" t="s">
        <v>75</v>
      </c>
      <c r="C37">
        <v>6.6262426161056098E-2</v>
      </c>
      <c r="D37">
        <v>6.6262731149062101E-2</v>
      </c>
      <c r="E37">
        <v>6.6280913505719102E-2</v>
      </c>
      <c r="F37">
        <v>6.6290557864026198E-2</v>
      </c>
      <c r="G37">
        <v>6.6323474940615607E-2</v>
      </c>
      <c r="H37">
        <v>6.6419309028799806E-2</v>
      </c>
      <c r="I37">
        <v>6.6638706888011795E-2</v>
      </c>
      <c r="J37">
        <v>6.7133186845997006E-2</v>
      </c>
      <c r="K37">
        <v>6.8199341269833694E-2</v>
      </c>
      <c r="L37">
        <v>7.0098652012807502E-2</v>
      </c>
      <c r="M37">
        <v>7.3234405477509298E-2</v>
      </c>
      <c r="N37">
        <v>7.8088664778009895E-2</v>
      </c>
      <c r="O37">
        <v>8.5121488198957401E-2</v>
      </c>
      <c r="P37">
        <v>9.5000330978656594E-2</v>
      </c>
      <c r="Q37">
        <v>0.11041374434885599</v>
      </c>
      <c r="R37">
        <v>0.131929802559902</v>
      </c>
      <c r="S37">
        <v>0.15955720028387099</v>
      </c>
      <c r="T37">
        <v>0.19238266745878499</v>
      </c>
      <c r="U37">
        <v>0.230088356998289</v>
      </c>
      <c r="V37">
        <v>0.27036336387981202</v>
      </c>
      <c r="W37">
        <v>0.31344534707412403</v>
      </c>
      <c r="X37">
        <v>0.35844991304615498</v>
      </c>
      <c r="Y37">
        <v>0.40139981171011002</v>
      </c>
      <c r="Z37">
        <v>0.44370588718864101</v>
      </c>
      <c r="AA37">
        <v>0.48483271912710502</v>
      </c>
      <c r="AB37">
        <v>0.52492768115424404</v>
      </c>
      <c r="AC37">
        <v>0.56279283618689002</v>
      </c>
      <c r="AD37">
        <v>0.59704476079850899</v>
      </c>
      <c r="AE37">
        <v>0.629700318098108</v>
      </c>
      <c r="AF37">
        <v>0.658597872518636</v>
      </c>
      <c r="AG37">
        <v>0.68857985672144995</v>
      </c>
      <c r="AH37">
        <v>0.71590375980162202</v>
      </c>
      <c r="AI37">
        <v>0.73868954758190297</v>
      </c>
      <c r="AJ37">
        <v>0.75561829474872999</v>
      </c>
      <c r="AK37">
        <v>0.77488584474885802</v>
      </c>
      <c r="AL37">
        <v>0.79091653027823206</v>
      </c>
      <c r="AM37">
        <v>0.81354019746121298</v>
      </c>
      <c r="AN37">
        <v>0.82802046438410104</v>
      </c>
      <c r="AO37">
        <v>0.830929024812464</v>
      </c>
      <c r="AP37">
        <v>0.84741144414168901</v>
      </c>
      <c r="AQ37">
        <v>0.88218390804597702</v>
      </c>
      <c r="AR37">
        <v>0.89583333333333304</v>
      </c>
      <c r="AS37">
        <v>0.91880341880341898</v>
      </c>
      <c r="AT37">
        <v>0.95035460992907805</v>
      </c>
      <c r="AU37">
        <v>1</v>
      </c>
      <c r="AV37">
        <v>1</v>
      </c>
      <c r="AW37">
        <v>1</v>
      </c>
      <c r="AX37">
        <v>1</v>
      </c>
      <c r="AY37">
        <v>1</v>
      </c>
      <c r="AZ37">
        <v>1</v>
      </c>
      <c r="BA37">
        <v>2999742</v>
      </c>
    </row>
    <row r="38" spans="1:53">
      <c r="A38" t="s">
        <v>121</v>
      </c>
      <c r="B38" t="s">
        <v>76</v>
      </c>
      <c r="C38">
        <v>5.5551003988706799E-2</v>
      </c>
      <c r="D38">
        <v>5.55512596749368E-2</v>
      </c>
      <c r="E38">
        <v>5.5566502825930397E-2</v>
      </c>
      <c r="F38">
        <v>5.5574588159019202E-2</v>
      </c>
      <c r="G38">
        <v>5.5602035193890703E-2</v>
      </c>
      <c r="H38">
        <v>5.5678537188076999E-2</v>
      </c>
      <c r="I38">
        <v>5.58621564395907E-2</v>
      </c>
      <c r="J38">
        <v>5.6273530111544998E-2</v>
      </c>
      <c r="K38">
        <v>5.714906212036E-2</v>
      </c>
      <c r="L38">
        <v>5.8731566789920697E-2</v>
      </c>
      <c r="M38">
        <v>6.1287860442447203E-2</v>
      </c>
      <c r="N38">
        <v>6.5257101604628998E-2</v>
      </c>
      <c r="O38">
        <v>7.0951362747296604E-2</v>
      </c>
      <c r="P38">
        <v>7.89228738674113E-2</v>
      </c>
      <c r="Q38">
        <v>9.1399728393997903E-2</v>
      </c>
      <c r="R38">
        <v>0.10834515570256199</v>
      </c>
      <c r="S38">
        <v>0.130173097559838</v>
      </c>
      <c r="T38">
        <v>0.15559866825090399</v>
      </c>
      <c r="U38">
        <v>0.184171687395524</v>
      </c>
      <c r="V38">
        <v>0.21398422720683999</v>
      </c>
      <c r="W38">
        <v>0.245904266466143</v>
      </c>
      <c r="X38">
        <v>0.27866783631130998</v>
      </c>
      <c r="Y38">
        <v>0.310022157345683</v>
      </c>
      <c r="Z38">
        <v>0.33981984944392901</v>
      </c>
      <c r="AA38">
        <v>0.37069152395404298</v>
      </c>
      <c r="AB38">
        <v>0.40082497053676702</v>
      </c>
      <c r="AC38">
        <v>0.43055129833165501</v>
      </c>
      <c r="AD38">
        <v>0.45857532618385199</v>
      </c>
      <c r="AE38">
        <v>0.485049388916792</v>
      </c>
      <c r="AF38">
        <v>0.50954853840355097</v>
      </c>
      <c r="AG38">
        <v>0.53724188790560501</v>
      </c>
      <c r="AH38">
        <v>0.56169157563165995</v>
      </c>
      <c r="AI38">
        <v>0.58528341133645301</v>
      </c>
      <c r="AJ38">
        <v>0.59616036137775297</v>
      </c>
      <c r="AK38">
        <v>0.62176560121765601</v>
      </c>
      <c r="AL38">
        <v>0.63768412438625199</v>
      </c>
      <c r="AM38">
        <v>0.64992947813822299</v>
      </c>
      <c r="AN38">
        <v>0.67729240456513196</v>
      </c>
      <c r="AO38">
        <v>0.68436237738026495</v>
      </c>
      <c r="AP38">
        <v>0.67938237965485904</v>
      </c>
      <c r="AQ38">
        <v>0.71839080459770099</v>
      </c>
      <c r="AR38">
        <v>0.75462962962962998</v>
      </c>
      <c r="AS38">
        <v>0.84615384615384603</v>
      </c>
      <c r="AT38">
        <v>0.91489361702127703</v>
      </c>
      <c r="AU38">
        <v>0.99</v>
      </c>
      <c r="AV38">
        <v>0.97777777777777797</v>
      </c>
      <c r="AW38">
        <v>1</v>
      </c>
      <c r="AX38">
        <v>1</v>
      </c>
      <c r="AY38">
        <v>1</v>
      </c>
      <c r="AZ38">
        <v>1</v>
      </c>
      <c r="BA38">
        <v>2622227</v>
      </c>
    </row>
    <row r="39" spans="1:53">
      <c r="A39" t="s">
        <v>98</v>
      </c>
      <c r="B39" t="s">
        <v>72</v>
      </c>
      <c r="C39">
        <v>2.8949192546926902E-2</v>
      </c>
      <c r="D39">
        <v>2.89493257922218E-2</v>
      </c>
      <c r="E39">
        <v>2.89572694274659E-2</v>
      </c>
      <c r="F39">
        <v>2.8959641057377802E-2</v>
      </c>
      <c r="G39">
        <v>2.8969816696182302E-2</v>
      </c>
      <c r="H39">
        <v>2.8989011009291101E-2</v>
      </c>
      <c r="I39">
        <v>2.90309529562837E-2</v>
      </c>
      <c r="J39">
        <v>2.9111792230572898E-2</v>
      </c>
      <c r="K39">
        <v>2.91658329010397E-2</v>
      </c>
      <c r="L39">
        <v>2.9326260133325101E-2</v>
      </c>
      <c r="M39">
        <v>2.9704922789884101E-2</v>
      </c>
      <c r="N39">
        <v>3.0084333264058301E-2</v>
      </c>
      <c r="O39">
        <v>3.07015387345944E-2</v>
      </c>
      <c r="P39">
        <v>3.1418655578206202E-2</v>
      </c>
      <c r="Q39">
        <v>3.2249622193178597E-2</v>
      </c>
      <c r="R39">
        <v>3.3393947469490398E-2</v>
      </c>
      <c r="S39">
        <v>3.4675991523155397E-2</v>
      </c>
      <c r="T39">
        <v>3.6347715233427398E-2</v>
      </c>
      <c r="U39">
        <v>3.7914821817953998E-2</v>
      </c>
      <c r="V39">
        <v>3.97268014642655E-2</v>
      </c>
      <c r="W39">
        <v>4.2066789117491198E-2</v>
      </c>
      <c r="X39">
        <v>4.3600043092171102E-2</v>
      </c>
      <c r="Y39">
        <v>4.5579466892360899E-2</v>
      </c>
      <c r="Z39">
        <v>4.6623057861915902E-2</v>
      </c>
      <c r="AA39">
        <v>4.8168220247127698E-2</v>
      </c>
      <c r="AB39">
        <v>4.8783972001000001E-2</v>
      </c>
      <c r="AC39">
        <v>4.88242763935718E-2</v>
      </c>
      <c r="AD39">
        <v>4.8029390313082503E-2</v>
      </c>
      <c r="AE39">
        <v>4.85853005190022E-2</v>
      </c>
      <c r="AF39">
        <v>4.9752910629030901E-2</v>
      </c>
      <c r="AG39">
        <v>4.9936788874842E-2</v>
      </c>
      <c r="AH39">
        <v>5.3548689766101498E-2</v>
      </c>
      <c r="AI39">
        <v>5.79823192927717E-2</v>
      </c>
      <c r="AJ39">
        <v>5.9514398644833398E-2</v>
      </c>
      <c r="AK39">
        <v>6.5753424657534199E-2</v>
      </c>
      <c r="AL39">
        <v>7.3036006546644799E-2</v>
      </c>
      <c r="AM39">
        <v>8.4062059238363906E-2</v>
      </c>
      <c r="AN39">
        <v>9.0121999212908296E-2</v>
      </c>
      <c r="AO39">
        <v>9.0017311021350299E-2</v>
      </c>
      <c r="AP39">
        <v>7.0844686648501395E-2</v>
      </c>
      <c r="AQ39">
        <v>7.1839080459770097E-2</v>
      </c>
      <c r="AR39">
        <v>9.0277777777777804E-2</v>
      </c>
      <c r="AS39">
        <v>7.2649572649572697E-2</v>
      </c>
      <c r="AT39">
        <v>7.09219858156028E-2</v>
      </c>
      <c r="AU39">
        <v>0.06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3194272</v>
      </c>
    </row>
    <row r="40" spans="1:53">
      <c r="A40" t="s">
        <v>98</v>
      </c>
      <c r="B40" t="s">
        <v>35</v>
      </c>
      <c r="C40" s="1">
        <v>6.9961162349479905E-5</v>
      </c>
      <c r="D40" s="1">
        <v>6.9961484361767196E-5</v>
      </c>
      <c r="E40" s="1">
        <v>6.9980681648671201E-5</v>
      </c>
      <c r="F40" s="1">
        <v>6.9990864350337397E-5</v>
      </c>
      <c r="G40" s="1">
        <v>7.0026591676786704E-5</v>
      </c>
      <c r="H40" s="1">
        <v>7.0128750850080397E-5</v>
      </c>
      <c r="I40" s="1">
        <v>7.0362356879725697E-5</v>
      </c>
      <c r="J40" s="1">
        <v>7.0911067258214297E-5</v>
      </c>
      <c r="K40" s="1">
        <v>7.2075284531411104E-5</v>
      </c>
      <c r="L40" s="1">
        <v>7.4167108253725696E-5</v>
      </c>
      <c r="M40" s="1">
        <v>7.7654586269647398E-5</v>
      </c>
      <c r="N40" s="1">
        <v>8.3130065738380897E-5</v>
      </c>
      <c r="O40" s="1">
        <v>9.1141632898291894E-5</v>
      </c>
      <c r="P40">
        <v>1.02670930212137E-4</v>
      </c>
      <c r="Q40">
        <v>1.21281176044414E-4</v>
      </c>
      <c r="R40">
        <v>1.4892266211015599E-4</v>
      </c>
      <c r="S40">
        <v>1.7189429973945699E-4</v>
      </c>
      <c r="T40">
        <v>1.8565275508688499E-4</v>
      </c>
      <c r="U40">
        <v>1.9573991645820401E-4</v>
      </c>
      <c r="V40">
        <v>2.3585485099378401E-4</v>
      </c>
      <c r="W40">
        <v>2.9585434104609199E-4</v>
      </c>
      <c r="X40">
        <v>3.6166643581574999E-4</v>
      </c>
      <c r="Y40">
        <v>4.2793156898732399E-4</v>
      </c>
      <c r="Z40">
        <v>4.9324141818651596E-4</v>
      </c>
      <c r="AA40">
        <v>5.7807645061059296E-4</v>
      </c>
      <c r="AB40">
        <v>6.0712117424377703E-4</v>
      </c>
      <c r="AC40">
        <v>3.2841441520339799E-4</v>
      </c>
      <c r="AD40">
        <v>1.3506577703341501E-4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3278</v>
      </c>
    </row>
    <row r="41" spans="1:53">
      <c r="A41" t="s">
        <v>114</v>
      </c>
      <c r="B41" t="s">
        <v>26</v>
      </c>
      <c r="C41">
        <v>9.3508616729739095E-3</v>
      </c>
      <c r="D41">
        <v>9.3509047124583008E-3</v>
      </c>
      <c r="E41">
        <v>9.3534705814105508E-3</v>
      </c>
      <c r="F41">
        <v>9.3548315798780007E-3</v>
      </c>
      <c r="G41">
        <v>9.3596068191157903E-3</v>
      </c>
      <c r="H41">
        <v>9.3732611991462697E-3</v>
      </c>
      <c r="I41">
        <v>9.4017070278107195E-3</v>
      </c>
      <c r="J41">
        <v>9.47035964040625E-3</v>
      </c>
      <c r="K41">
        <v>9.5983415097685692E-3</v>
      </c>
      <c r="L41">
        <v>9.8290936096253299E-3</v>
      </c>
      <c r="M41">
        <v>1.02156651779465E-2</v>
      </c>
      <c r="N41">
        <v>1.0768624963083701E-2</v>
      </c>
      <c r="O41">
        <v>1.1525818865598499E-2</v>
      </c>
      <c r="P41">
        <v>1.25136950862503E-2</v>
      </c>
      <c r="Q41">
        <v>1.3813287629479599E-2</v>
      </c>
      <c r="R41">
        <v>1.54957948943041E-2</v>
      </c>
      <c r="S41">
        <v>1.7299933452349699E-2</v>
      </c>
      <c r="T41">
        <v>1.89644289321254E-2</v>
      </c>
      <c r="U41">
        <v>2.0419588084919799E-2</v>
      </c>
      <c r="V41">
        <v>2.12121956612535E-2</v>
      </c>
      <c r="W41">
        <v>2.1640512321100602E-2</v>
      </c>
      <c r="X41">
        <v>2.19385320959724E-2</v>
      </c>
      <c r="Y41">
        <v>2.1529712715273399E-2</v>
      </c>
      <c r="Z41">
        <v>2.0798346466864698E-2</v>
      </c>
      <c r="AA41">
        <v>1.9828022255943299E-2</v>
      </c>
      <c r="AB41">
        <v>1.8285061247812599E-2</v>
      </c>
      <c r="AC41">
        <v>1.6245566405394801E-2</v>
      </c>
      <c r="AD41">
        <v>1.47221696966423E-2</v>
      </c>
      <c r="AE41">
        <v>1.32261844969027E-2</v>
      </c>
      <c r="AF41">
        <v>1.25219867660608E-2</v>
      </c>
      <c r="AG41">
        <v>1.1378002528444999E-2</v>
      </c>
      <c r="AH41">
        <v>1.1192279337846001E-2</v>
      </c>
      <c r="AI41">
        <v>1.04004160166407E-2</v>
      </c>
      <c r="AJ41">
        <v>1.17447769621683E-2</v>
      </c>
      <c r="AK41">
        <v>1.00456621004566E-2</v>
      </c>
      <c r="AL41">
        <v>1.04337152209493E-2</v>
      </c>
      <c r="AM41">
        <v>9.8730606488011304E-3</v>
      </c>
      <c r="AN41">
        <v>1.18063754427391E-2</v>
      </c>
      <c r="AO41">
        <v>1.2694748990190401E-2</v>
      </c>
      <c r="AP41">
        <v>1.08991825613079E-2</v>
      </c>
      <c r="AQ41">
        <v>7.1839080459770097E-3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790652</v>
      </c>
    </row>
    <row r="42" spans="1:53">
      <c r="A42" t="s">
        <v>122</v>
      </c>
      <c r="B42" t="s">
        <v>82</v>
      </c>
      <c r="C42">
        <v>1.0632255593901201E-3</v>
      </c>
      <c r="D42">
        <v>1.06323045312949E-3</v>
      </c>
      <c r="E42">
        <v>1.0635222013712501E-3</v>
      </c>
      <c r="F42">
        <v>1.06367695164E-3</v>
      </c>
      <c r="G42">
        <v>1.0642199129827501E-3</v>
      </c>
      <c r="H42">
        <v>1.06577246357688E-3</v>
      </c>
      <c r="I42">
        <v>1.0693226604747801E-3</v>
      </c>
      <c r="J42">
        <v>1.0776616142531201E-3</v>
      </c>
      <c r="K42">
        <v>1.09535465307605E-3</v>
      </c>
      <c r="L42">
        <v>1.1271448688559599E-3</v>
      </c>
      <c r="M42">
        <v>1.1801453571242499E-3</v>
      </c>
      <c r="N42">
        <v>1.26226441923805E-3</v>
      </c>
      <c r="O42">
        <v>1.3839137416398501E-3</v>
      </c>
      <c r="P42">
        <v>1.5589770192737701E-3</v>
      </c>
      <c r="Q42">
        <v>1.8399631049895999E-3</v>
      </c>
      <c r="R42">
        <v>2.2416779665002402E-3</v>
      </c>
      <c r="S42">
        <v>2.7871432886326301E-3</v>
      </c>
      <c r="T42">
        <v>3.4686123075399799E-3</v>
      </c>
      <c r="U42">
        <v>4.3415113470429596E-3</v>
      </c>
      <c r="V42">
        <v>5.3607842173795496E-3</v>
      </c>
      <c r="W42">
        <v>6.5211227672242701E-3</v>
      </c>
      <c r="X42">
        <v>7.9104914046508792E-3</v>
      </c>
      <c r="Y42">
        <v>9.3003794326578394E-3</v>
      </c>
      <c r="Z42">
        <v>1.0663409707460899E-2</v>
      </c>
      <c r="AA42">
        <v>1.2110701640291901E-2</v>
      </c>
      <c r="AB42">
        <v>1.3428091853862401E-2</v>
      </c>
      <c r="AC42">
        <v>1.51070630993563E-2</v>
      </c>
      <c r="AD42">
        <v>1.7045301061616999E-2</v>
      </c>
      <c r="AE42">
        <v>1.8382722250125601E-2</v>
      </c>
      <c r="AF42">
        <v>2.0395342993550499E-2</v>
      </c>
      <c r="AG42">
        <v>2.1491782553729501E-2</v>
      </c>
      <c r="AH42">
        <v>2.3926010321024101E-2</v>
      </c>
      <c r="AI42">
        <v>2.6347720575489699E-2</v>
      </c>
      <c r="AJ42">
        <v>2.9926595143986399E-2</v>
      </c>
      <c r="AK42">
        <v>3.54642313546423E-2</v>
      </c>
      <c r="AL42">
        <v>4.1121112929623602E-2</v>
      </c>
      <c r="AM42">
        <v>4.4005641748942198E-2</v>
      </c>
      <c r="AN42">
        <v>5.1948051948052E-2</v>
      </c>
      <c r="AO42">
        <v>4.6739757645701097E-2</v>
      </c>
      <c r="AP42">
        <v>3.4514078110808401E-2</v>
      </c>
      <c r="AQ42">
        <v>3.1609195402298902E-2</v>
      </c>
      <c r="AR42">
        <v>3.9351851851851902E-2</v>
      </c>
      <c r="AS42">
        <v>4.7008547008547001E-2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44117</v>
      </c>
    </row>
    <row r="43" spans="1:53">
      <c r="A43" t="s">
        <v>122</v>
      </c>
      <c r="B43" t="s">
        <v>83</v>
      </c>
      <c r="C43">
        <v>6.0507200016201501E-3</v>
      </c>
      <c r="D43">
        <v>6.0507478514459897E-3</v>
      </c>
      <c r="E43">
        <v>6.0524081641673104E-3</v>
      </c>
      <c r="F43">
        <v>6.05328883387853E-3</v>
      </c>
      <c r="G43">
        <v>6.0563787775199896E-3</v>
      </c>
      <c r="H43">
        <v>6.0652142018102397E-3</v>
      </c>
      <c r="I43">
        <v>6.0854180496110197E-3</v>
      </c>
      <c r="J43">
        <v>6.1328742774768696E-3</v>
      </c>
      <c r="K43">
        <v>6.2335637529600703E-3</v>
      </c>
      <c r="L43">
        <v>6.4144789809439298E-3</v>
      </c>
      <c r="M43">
        <v>6.7160999414525302E-3</v>
      </c>
      <c r="N43">
        <v>7.1874692364065898E-3</v>
      </c>
      <c r="O43">
        <v>7.8777550856431507E-3</v>
      </c>
      <c r="P43">
        <v>8.8675261304272095E-3</v>
      </c>
      <c r="Q43">
        <v>1.04413517744553E-2</v>
      </c>
      <c r="R43">
        <v>1.27054544884507E-2</v>
      </c>
      <c r="S43">
        <v>1.5782352348935599E-2</v>
      </c>
      <c r="T43">
        <v>1.96080251497599E-2</v>
      </c>
      <c r="U43">
        <v>2.43148124224381E-2</v>
      </c>
      <c r="V43">
        <v>2.9870034149816999E-2</v>
      </c>
      <c r="W43">
        <v>3.6365429420248799E-2</v>
      </c>
      <c r="X43">
        <v>4.3938624436339002E-2</v>
      </c>
      <c r="Y43">
        <v>5.2169613054765702E-2</v>
      </c>
      <c r="Z43">
        <v>6.1338093504480301E-2</v>
      </c>
      <c r="AA43">
        <v>7.1117855336368205E-2</v>
      </c>
      <c r="AB43">
        <v>8.08006856897968E-2</v>
      </c>
      <c r="AC43">
        <v>9.1255418837850905E-2</v>
      </c>
      <c r="AD43">
        <v>0.102866095788649</v>
      </c>
      <c r="AE43">
        <v>0.114716223003516</v>
      </c>
      <c r="AF43">
        <v>0.12798391825111</v>
      </c>
      <c r="AG43">
        <v>0.141066160977665</v>
      </c>
      <c r="AH43">
        <v>0.156356812546076</v>
      </c>
      <c r="AI43">
        <v>0.172560235742763</v>
      </c>
      <c r="AJ43">
        <v>0.180463015245624</v>
      </c>
      <c r="AK43">
        <v>0.19817351598173499</v>
      </c>
      <c r="AL43">
        <v>0.21706219312602301</v>
      </c>
      <c r="AM43">
        <v>0.23497884344146699</v>
      </c>
      <c r="AN43">
        <v>0.257378984651712</v>
      </c>
      <c r="AO43">
        <v>0.27005193306405101</v>
      </c>
      <c r="AP43">
        <v>0.24613987284287001</v>
      </c>
      <c r="AQ43">
        <v>0.22270114942528699</v>
      </c>
      <c r="AR43">
        <v>0.26157407407407401</v>
      </c>
      <c r="AS43">
        <v>0.29487179487179499</v>
      </c>
      <c r="AT43">
        <v>0.31205673758865199</v>
      </c>
      <c r="AU43">
        <v>0.28999999999999998</v>
      </c>
      <c r="AV43">
        <v>0.24444444444444399</v>
      </c>
      <c r="AW43">
        <v>0</v>
      </c>
      <c r="AX43">
        <v>0</v>
      </c>
      <c r="AY43">
        <v>0</v>
      </c>
      <c r="AZ43">
        <v>0</v>
      </c>
      <c r="BA43">
        <v>248866</v>
      </c>
    </row>
    <row r="44" spans="1:53">
      <c r="A44" t="s">
        <v>104</v>
      </c>
      <c r="B44" t="s">
        <v>142</v>
      </c>
      <c r="C44">
        <v>1.3380072299338E-2</v>
      </c>
      <c r="D44">
        <v>1.3380133884188E-2</v>
      </c>
      <c r="E44">
        <v>1.33838053653084E-2</v>
      </c>
      <c r="F44">
        <v>1.3384831874576401E-2</v>
      </c>
      <c r="G44">
        <v>1.33889000480972E-2</v>
      </c>
      <c r="H44">
        <v>1.33936686656436E-2</v>
      </c>
      <c r="I44">
        <v>1.3404028985587801E-2</v>
      </c>
      <c r="J44">
        <v>1.3437647245431599E-2</v>
      </c>
      <c r="K44">
        <v>1.35302379527584E-2</v>
      </c>
      <c r="L44">
        <v>1.37082285478959E-2</v>
      </c>
      <c r="M44">
        <v>1.399519563336E-2</v>
      </c>
      <c r="N44">
        <v>1.45346357043632E-2</v>
      </c>
      <c r="O44">
        <v>1.5290208150700301E-2</v>
      </c>
      <c r="P44">
        <v>1.6281448038377298E-2</v>
      </c>
      <c r="Q44">
        <v>1.8152281282963301E-2</v>
      </c>
      <c r="R44">
        <v>2.06845739636158E-2</v>
      </c>
      <c r="S44">
        <v>2.3920319625172201E-2</v>
      </c>
      <c r="T44">
        <v>2.73559334620526E-2</v>
      </c>
      <c r="U44">
        <v>3.10952431285502E-2</v>
      </c>
      <c r="V44">
        <v>3.4695231309731497E-2</v>
      </c>
      <c r="W44">
        <v>3.8417918911255997E-2</v>
      </c>
      <c r="X44">
        <v>4.0906782399926102E-2</v>
      </c>
      <c r="Y44">
        <v>4.2783647308310399E-2</v>
      </c>
      <c r="Z44">
        <v>4.3769303942408203E-2</v>
      </c>
      <c r="AA44">
        <v>4.64628947178264E-2</v>
      </c>
      <c r="AB44">
        <v>4.7337595085889798E-2</v>
      </c>
      <c r="AC44">
        <v>4.8714804921837399E-2</v>
      </c>
      <c r="AD44">
        <v>5.1514087360544601E-2</v>
      </c>
      <c r="AE44">
        <v>5.3406998158379397E-2</v>
      </c>
      <c r="AF44">
        <v>5.6746796214088298E-2</v>
      </c>
      <c r="AG44">
        <v>5.9787189211968003E-2</v>
      </c>
      <c r="AH44">
        <v>6.23952818175725E-2</v>
      </c>
      <c r="AI44">
        <v>6.4135898769284105E-2</v>
      </c>
      <c r="AJ44">
        <v>6.8887634105025394E-2</v>
      </c>
      <c r="AK44">
        <v>7.2298325722983295E-2</v>
      </c>
      <c r="AL44">
        <v>7.5695581014730007E-2</v>
      </c>
      <c r="AM44">
        <v>7.4471086036671394E-2</v>
      </c>
      <c r="AN44">
        <v>7.2018890200708396E-2</v>
      </c>
      <c r="AO44">
        <v>7.7322562031159794E-2</v>
      </c>
      <c r="AP44">
        <v>8.5376930063578604E-2</v>
      </c>
      <c r="AQ44">
        <v>8.18965517241379E-2</v>
      </c>
      <c r="AR44">
        <v>8.1018518518518504E-2</v>
      </c>
      <c r="AS44">
        <v>7.2649572649572697E-2</v>
      </c>
      <c r="AT44">
        <v>7.8014184397163094E-2</v>
      </c>
      <c r="AU44">
        <v>0.1</v>
      </c>
      <c r="AV44">
        <v>4.4444444444444398E-2</v>
      </c>
      <c r="AW44">
        <v>0</v>
      </c>
      <c r="AX44">
        <v>0</v>
      </c>
      <c r="AY44">
        <v>0</v>
      </c>
      <c r="AZ44">
        <v>0</v>
      </c>
      <c r="BA44">
        <v>660327</v>
      </c>
    </row>
    <row r="45" spans="1:53">
      <c r="A45" t="s">
        <v>109</v>
      </c>
      <c r="B45" t="s">
        <v>28</v>
      </c>
      <c r="C45">
        <v>1.80242047210897E-2</v>
      </c>
      <c r="D45">
        <v>1.8024287681623698E-2</v>
      </c>
      <c r="E45">
        <v>1.80292335089603E-2</v>
      </c>
      <c r="F45">
        <v>1.8031856894468502E-2</v>
      </c>
      <c r="G45">
        <v>1.8041061381993202E-2</v>
      </c>
      <c r="H45">
        <v>1.80618443307826E-2</v>
      </c>
      <c r="I45">
        <v>1.81210843579852E-2</v>
      </c>
      <c r="J45">
        <v>1.82437381328929E-2</v>
      </c>
      <c r="K45">
        <v>1.85119678164887E-2</v>
      </c>
      <c r="L45">
        <v>1.89721414679037E-2</v>
      </c>
      <c r="M45">
        <v>1.9706894807666998E-2</v>
      </c>
      <c r="N45">
        <v>2.08372072673179E-2</v>
      </c>
      <c r="O45">
        <v>2.2340493148187899E-2</v>
      </c>
      <c r="P45">
        <v>2.4362730992706302E-2</v>
      </c>
      <c r="Q45">
        <v>2.74638031542681E-2</v>
      </c>
      <c r="R45">
        <v>3.1604916015456598E-2</v>
      </c>
      <c r="S45">
        <v>3.6252507815051599E-2</v>
      </c>
      <c r="T45">
        <v>4.1481013911579802E-2</v>
      </c>
      <c r="U45">
        <v>4.7282934219643698E-2</v>
      </c>
      <c r="V45">
        <v>5.3185268899098297E-2</v>
      </c>
      <c r="W45">
        <v>5.96701224097336E-2</v>
      </c>
      <c r="X45">
        <v>6.5292334210566794E-2</v>
      </c>
      <c r="Y45">
        <v>7.1588196696368303E-2</v>
      </c>
      <c r="Z45">
        <v>7.7251001162640498E-2</v>
      </c>
      <c r="AA45">
        <v>8.25493171471927E-2</v>
      </c>
      <c r="AB45">
        <v>8.7604014142352096E-2</v>
      </c>
      <c r="AC45">
        <v>9.4517668695537904E-2</v>
      </c>
      <c r="AD45">
        <v>9.9759582916880502E-2</v>
      </c>
      <c r="AE45">
        <v>0.102929850996149</v>
      </c>
      <c r="AF45">
        <v>0.106457827288718</v>
      </c>
      <c r="AG45">
        <v>0.10909186683523001</v>
      </c>
      <c r="AH45">
        <v>0.110247302459621</v>
      </c>
      <c r="AI45">
        <v>0.11475125671693499</v>
      </c>
      <c r="AJ45">
        <v>0.114285714285714</v>
      </c>
      <c r="AK45">
        <v>0.11735159817351599</v>
      </c>
      <c r="AL45">
        <v>0.123363338788871</v>
      </c>
      <c r="AM45">
        <v>0.1212976022567</v>
      </c>
      <c r="AN45">
        <v>0.12711530893349099</v>
      </c>
      <c r="AO45">
        <v>0.10905943450663599</v>
      </c>
      <c r="AP45">
        <v>9.6276112624886501E-2</v>
      </c>
      <c r="AQ45">
        <v>8.04597701149425E-2</v>
      </c>
      <c r="AR45">
        <v>8.1018518518518504E-2</v>
      </c>
      <c r="AS45">
        <v>7.2649572649572697E-2</v>
      </c>
      <c r="AT45">
        <v>5.6737588652482303E-2</v>
      </c>
      <c r="AU45">
        <v>0.08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954440</v>
      </c>
    </row>
    <row r="46" spans="1:53">
      <c r="A46" t="s">
        <v>109</v>
      </c>
      <c r="B46" t="s">
        <v>84</v>
      </c>
      <c r="C46">
        <v>0.13032936058259201</v>
      </c>
      <c r="D46">
        <v>0.13032996045334999</v>
      </c>
      <c r="E46">
        <v>0.13036572272548999</v>
      </c>
      <c r="F46">
        <v>0.13038008723071901</v>
      </c>
      <c r="G46">
        <v>0.13044203364593401</v>
      </c>
      <c r="H46">
        <v>0.13061203021810999</v>
      </c>
      <c r="I46">
        <v>0.131020263432961</v>
      </c>
      <c r="J46">
        <v>0.131976692651841</v>
      </c>
      <c r="K46">
        <v>0.13394812286560001</v>
      </c>
      <c r="L46">
        <v>0.13748239751032701</v>
      </c>
      <c r="M46">
        <v>0.143161338642455</v>
      </c>
      <c r="N46">
        <v>0.151800969121556</v>
      </c>
      <c r="O46">
        <v>0.163997376080358</v>
      </c>
      <c r="P46">
        <v>0.180590060643396</v>
      </c>
      <c r="Q46">
        <v>0.20623066083878699</v>
      </c>
      <c r="R46">
        <v>0.24125275310974001</v>
      </c>
      <c r="S46">
        <v>0.28344878900465797</v>
      </c>
      <c r="T46">
        <v>0.33046499826724102</v>
      </c>
      <c r="U46">
        <v>0.38231529002783399</v>
      </c>
      <c r="V46">
        <v>0.43389430754489799</v>
      </c>
      <c r="W46">
        <v>0.48653246385029802</v>
      </c>
      <c r="X46">
        <v>0.53815196146328703</v>
      </c>
      <c r="Y46">
        <v>0.58843443612883595</v>
      </c>
      <c r="Z46">
        <v>0.63535366584068298</v>
      </c>
      <c r="AA46">
        <v>0.68029481898981103</v>
      </c>
      <c r="AB46">
        <v>0.72009928216849395</v>
      </c>
      <c r="AC46">
        <v>0.75548452073389705</v>
      </c>
      <c r="AD46">
        <v>0.78651503282098401</v>
      </c>
      <c r="AE46">
        <v>0.81007868742675404</v>
      </c>
      <c r="AF46">
        <v>0.83478515788592</v>
      </c>
      <c r="AG46">
        <v>0.858354403708386</v>
      </c>
      <c r="AH46">
        <v>0.875142416728101</v>
      </c>
      <c r="AI46">
        <v>0.89547581903276097</v>
      </c>
      <c r="AJ46">
        <v>0.90457368718238296</v>
      </c>
      <c r="AK46">
        <v>0.91978691019786896</v>
      </c>
      <c r="AL46">
        <v>0.93064648117839599</v>
      </c>
      <c r="AM46">
        <v>0.94217207334273601</v>
      </c>
      <c r="AN46">
        <v>0.95749704840613903</v>
      </c>
      <c r="AO46">
        <v>0.95556837853433396</v>
      </c>
      <c r="AP46">
        <v>0.97547683923705697</v>
      </c>
      <c r="AQ46">
        <v>0.97557471264367801</v>
      </c>
      <c r="AR46">
        <v>0.98148148148148195</v>
      </c>
      <c r="AS46">
        <v>0.99572649572649596</v>
      </c>
      <c r="AT46">
        <v>1</v>
      </c>
      <c r="AU46">
        <v>1</v>
      </c>
      <c r="AV46">
        <v>1</v>
      </c>
      <c r="AW46">
        <v>1</v>
      </c>
      <c r="AX46">
        <v>1</v>
      </c>
      <c r="AY46">
        <v>1</v>
      </c>
      <c r="AZ46">
        <v>1</v>
      </c>
      <c r="BA46">
        <v>6540533</v>
      </c>
    </row>
    <row r="47" spans="1:53">
      <c r="A47" t="s">
        <v>109</v>
      </c>
      <c r="B47" t="s">
        <v>85</v>
      </c>
      <c r="C47">
        <v>0.147433023693821</v>
      </c>
      <c r="D47">
        <v>0.14743370228810901</v>
      </c>
      <c r="E47">
        <v>0.147474157791704</v>
      </c>
      <c r="F47">
        <v>0.147491011699526</v>
      </c>
      <c r="G47">
        <v>0.147558928298299</v>
      </c>
      <c r="H47">
        <v>0.14774651409357201</v>
      </c>
      <c r="I47">
        <v>0.148197010895981</v>
      </c>
      <c r="J47">
        <v>0.149239805367781</v>
      </c>
      <c r="K47">
        <v>0.151409308902341</v>
      </c>
      <c r="L47">
        <v>0.15531958704534801</v>
      </c>
      <c r="M47">
        <v>0.161505191106915</v>
      </c>
      <c r="N47">
        <v>0.17106417422311701</v>
      </c>
      <c r="O47">
        <v>0.184350741784961</v>
      </c>
      <c r="P47">
        <v>0.20243465197932001</v>
      </c>
      <c r="Q47">
        <v>0.23007039095625401</v>
      </c>
      <c r="R47">
        <v>0.267819772226707</v>
      </c>
      <c r="S47">
        <v>0.31289428255002699</v>
      </c>
      <c r="T47">
        <v>0.36264480914896802</v>
      </c>
      <c r="U47">
        <v>0.41716090995572402</v>
      </c>
      <c r="V47">
        <v>0.47042232759256097</v>
      </c>
      <c r="W47">
        <v>0.52391489256789203</v>
      </c>
      <c r="X47">
        <v>0.57628083783492601</v>
      </c>
      <c r="Y47">
        <v>0.62536968532765302</v>
      </c>
      <c r="Z47">
        <v>0.67201794459254705</v>
      </c>
      <c r="AA47">
        <v>0.71469036780114203</v>
      </c>
      <c r="AB47">
        <v>0.75181243527016905</v>
      </c>
      <c r="AC47">
        <v>0.78412225773963296</v>
      </c>
      <c r="AD47">
        <v>0.81325805667359996</v>
      </c>
      <c r="AE47">
        <v>0.83529214799933005</v>
      </c>
      <c r="AF47">
        <v>0.85702320127313802</v>
      </c>
      <c r="AG47">
        <v>0.87895069532237702</v>
      </c>
      <c r="AH47">
        <v>0.89176328664298599</v>
      </c>
      <c r="AI47">
        <v>0.90908302998786605</v>
      </c>
      <c r="AJ47">
        <v>0.91654432523997698</v>
      </c>
      <c r="AK47">
        <v>0.93226788432267904</v>
      </c>
      <c r="AL47">
        <v>0.94189852700490995</v>
      </c>
      <c r="AM47">
        <v>0.94837799717912596</v>
      </c>
      <c r="AN47">
        <v>0.96064541519086999</v>
      </c>
      <c r="AO47">
        <v>0.95787651471436797</v>
      </c>
      <c r="AP47">
        <v>0.97093551316984605</v>
      </c>
      <c r="AQ47">
        <v>0.96982758620689702</v>
      </c>
      <c r="AR47">
        <v>0.97222222222222199</v>
      </c>
      <c r="AS47">
        <v>0.98290598290598297</v>
      </c>
      <c r="AT47">
        <v>0.97872340425531901</v>
      </c>
      <c r="AU47">
        <v>0.97</v>
      </c>
      <c r="AV47">
        <v>0.95555555555555605</v>
      </c>
      <c r="AW47">
        <v>1</v>
      </c>
      <c r="AX47">
        <v>1</v>
      </c>
      <c r="AY47">
        <v>1</v>
      </c>
      <c r="AZ47">
        <v>1</v>
      </c>
      <c r="BA47">
        <v>7572036</v>
      </c>
    </row>
    <row r="48" spans="1:53">
      <c r="A48" t="s">
        <v>123</v>
      </c>
      <c r="B48" t="s">
        <v>86</v>
      </c>
      <c r="C48">
        <v>2.7432139973874998E-3</v>
      </c>
      <c r="D48">
        <v>2.7432266236587601E-3</v>
      </c>
      <c r="E48">
        <v>2.7439793593821101E-3</v>
      </c>
      <c r="F48">
        <v>2.74437862847376E-3</v>
      </c>
      <c r="G48">
        <v>2.7457795157476901E-3</v>
      </c>
      <c r="H48">
        <v>2.7497852307005201E-3</v>
      </c>
      <c r="I48">
        <v>2.7589450460734602E-3</v>
      </c>
      <c r="J48">
        <v>2.7804602688089302E-3</v>
      </c>
      <c r="K48">
        <v>2.8261098408369099E-3</v>
      </c>
      <c r="L48">
        <v>2.9081313499487202E-3</v>
      </c>
      <c r="M48">
        <v>3.0448771984677501E-3</v>
      </c>
      <c r="N48">
        <v>3.2573859969591899E-3</v>
      </c>
      <c r="O48">
        <v>3.5713129311988599E-3</v>
      </c>
      <c r="P48">
        <v>4.0136228113191999E-3</v>
      </c>
      <c r="Q48">
        <v>4.7235826459403503E-3</v>
      </c>
      <c r="R48">
        <v>5.7687936480565602E-3</v>
      </c>
      <c r="S48">
        <v>7.1729035648422099E-3</v>
      </c>
      <c r="T48">
        <v>8.8772959057379103E-3</v>
      </c>
      <c r="U48">
        <v>1.09966685066219E-2</v>
      </c>
      <c r="V48">
        <v>1.34142446502715E-2</v>
      </c>
      <c r="W48">
        <v>1.6117897954906899E-2</v>
      </c>
      <c r="X48">
        <v>1.9329916739769502E-2</v>
      </c>
      <c r="Y48">
        <v>2.2927622507298601E-2</v>
      </c>
      <c r="Z48">
        <v>2.6775962701553701E-2</v>
      </c>
      <c r="AA48">
        <v>3.09704458414625E-2</v>
      </c>
      <c r="AB48">
        <v>3.5588014713760198E-2</v>
      </c>
      <c r="AC48">
        <v>4.07233874852213E-2</v>
      </c>
      <c r="AD48">
        <v>4.6624706231935001E-2</v>
      </c>
      <c r="AE48">
        <v>5.1565377532228403E-2</v>
      </c>
      <c r="AF48">
        <v>5.8086941954937597E-2</v>
      </c>
      <c r="AG48">
        <v>6.6635061104087706E-2</v>
      </c>
      <c r="AH48">
        <v>7.4927953890489896E-2</v>
      </c>
      <c r="AI48">
        <v>8.4850060669093397E-2</v>
      </c>
      <c r="AJ48">
        <v>9.1812535290796193E-2</v>
      </c>
      <c r="AK48">
        <v>0.100608828006088</v>
      </c>
      <c r="AL48">
        <v>0.10270049099836299</v>
      </c>
      <c r="AM48">
        <v>0.105218617771509</v>
      </c>
      <c r="AN48">
        <v>0.11452184179456899</v>
      </c>
      <c r="AO48">
        <v>0.11886901327178299</v>
      </c>
      <c r="AP48">
        <v>0.10535876475931</v>
      </c>
      <c r="AQ48">
        <v>9.6264367816091906E-2</v>
      </c>
      <c r="AR48">
        <v>7.17592592592593E-2</v>
      </c>
      <c r="AS48">
        <v>7.2649572649572697E-2</v>
      </c>
      <c r="AT48">
        <v>5.6737588652482303E-2</v>
      </c>
      <c r="AU48">
        <v>0.08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201634</v>
      </c>
    </row>
    <row r="49" spans="1:53">
      <c r="A49" t="s">
        <v>124</v>
      </c>
      <c r="B49" t="s">
        <v>87</v>
      </c>
      <c r="C49">
        <v>0.20177903871521799</v>
      </c>
      <c r="D49">
        <v>0.201779967449499</v>
      </c>
      <c r="E49">
        <v>0.20183533545608101</v>
      </c>
      <c r="F49">
        <v>0.20186470397548101</v>
      </c>
      <c r="G49">
        <v>0.20196590442107401</v>
      </c>
      <c r="H49">
        <v>0.20225408569179701</v>
      </c>
      <c r="I49">
        <v>0.20291855649773199</v>
      </c>
      <c r="J49">
        <v>0.20445993291439801</v>
      </c>
      <c r="K49">
        <v>0.207683984018254</v>
      </c>
      <c r="L49">
        <v>0.213417805766102</v>
      </c>
      <c r="M49">
        <v>0.22276955081930699</v>
      </c>
      <c r="N49">
        <v>0.23725320761733901</v>
      </c>
      <c r="O49">
        <v>0.25762141924311699</v>
      </c>
      <c r="P49">
        <v>0.285710232914409</v>
      </c>
      <c r="Q49">
        <v>0.32846134082723299</v>
      </c>
      <c r="R49">
        <v>0.38672472037810701</v>
      </c>
      <c r="S49">
        <v>0.45669614244635098</v>
      </c>
      <c r="T49">
        <v>0.53269345017080105</v>
      </c>
      <c r="U49">
        <v>0.61041101467657899</v>
      </c>
      <c r="V49">
        <v>0.68229368842591498</v>
      </c>
      <c r="W49">
        <v>0.74676717496086098</v>
      </c>
      <c r="X49">
        <v>0.80261477138064197</v>
      </c>
      <c r="Y49">
        <v>0.84480348431393104</v>
      </c>
      <c r="Z49">
        <v>0.878392502730444</v>
      </c>
      <c r="AA49">
        <v>0.90464628947178305</v>
      </c>
      <c r="AB49">
        <v>0.923699153601657</v>
      </c>
      <c r="AC49">
        <v>0.93941848754214696</v>
      </c>
      <c r="AD49">
        <v>0.95172749128825695</v>
      </c>
      <c r="AE49">
        <v>0.96122551481667495</v>
      </c>
      <c r="AF49">
        <v>0.96775274311081305</v>
      </c>
      <c r="AG49">
        <v>0.97445217024862996</v>
      </c>
      <c r="AH49">
        <v>0.98083238388847904</v>
      </c>
      <c r="AI49">
        <v>0.98448604610851098</v>
      </c>
      <c r="AJ49">
        <v>0.98531902879729005</v>
      </c>
      <c r="AK49">
        <v>0.98888888888888904</v>
      </c>
      <c r="AL49">
        <v>0.98833878887070403</v>
      </c>
      <c r="AM49">
        <v>0.98617771509167795</v>
      </c>
      <c r="AN49">
        <v>0.98583234946871301</v>
      </c>
      <c r="AO49">
        <v>0.98615118291979198</v>
      </c>
      <c r="AP49">
        <v>0.98910081743869205</v>
      </c>
      <c r="AQ49">
        <v>0.99712643678160895</v>
      </c>
      <c r="AR49">
        <v>0.99537037037037002</v>
      </c>
      <c r="AS49">
        <v>0.99572649572649596</v>
      </c>
      <c r="AT49">
        <v>1</v>
      </c>
      <c r="AU49">
        <v>1</v>
      </c>
      <c r="AV49">
        <v>1</v>
      </c>
      <c r="AW49">
        <v>1</v>
      </c>
      <c r="AX49">
        <v>1</v>
      </c>
      <c r="AY49">
        <v>1</v>
      </c>
      <c r="AZ49">
        <v>1</v>
      </c>
      <c r="BA49">
        <v>10120341</v>
      </c>
    </row>
    <row r="50" spans="1:53">
      <c r="A50" t="s">
        <v>125</v>
      </c>
      <c r="B50" t="s">
        <v>88</v>
      </c>
      <c r="C50">
        <v>3.9532659435505497E-2</v>
      </c>
      <c r="D50">
        <v>3.9532841393632799E-2</v>
      </c>
      <c r="E50">
        <v>3.9543689123712998E-2</v>
      </c>
      <c r="F50">
        <v>3.9549443020068999E-2</v>
      </c>
      <c r="G50">
        <v>3.9569631309994802E-2</v>
      </c>
      <c r="H50">
        <v>3.9627357963904E-2</v>
      </c>
      <c r="I50">
        <v>3.9757509098500801E-2</v>
      </c>
      <c r="J50">
        <v>4.0064753000891101E-2</v>
      </c>
      <c r="K50">
        <v>4.0701671862093398E-2</v>
      </c>
      <c r="L50">
        <v>4.1810731395034502E-2</v>
      </c>
      <c r="M50">
        <v>4.3629616233078199E-2</v>
      </c>
      <c r="N50">
        <v>4.6443455148048103E-2</v>
      </c>
      <c r="O50">
        <v>5.0498460785712802E-2</v>
      </c>
      <c r="P50">
        <v>5.62434057568671E-2</v>
      </c>
      <c r="Q50">
        <v>6.5187036318924793E-2</v>
      </c>
      <c r="R50">
        <v>7.7535800224167797E-2</v>
      </c>
      <c r="S50">
        <v>9.3539966652505899E-2</v>
      </c>
      <c r="T50">
        <v>0.11223327887519199</v>
      </c>
      <c r="U50">
        <v>0.13397614321898199</v>
      </c>
      <c r="V50">
        <v>0.157595263248409</v>
      </c>
      <c r="W50">
        <v>0.182985909937008</v>
      </c>
      <c r="X50">
        <v>0.21010511411730301</v>
      </c>
      <c r="Y50">
        <v>0.23636086993733199</v>
      </c>
      <c r="Z50">
        <v>0.26464750854364599</v>
      </c>
      <c r="AA50">
        <v>0.29189970373581903</v>
      </c>
      <c r="AB50">
        <v>0.31904217706510501</v>
      </c>
      <c r="AC50">
        <v>0.34485703025791498</v>
      </c>
      <c r="AD50">
        <v>0.37051243955806501</v>
      </c>
      <c r="AE50">
        <v>0.39708689100954297</v>
      </c>
      <c r="AF50">
        <v>0.41883742356981302</v>
      </c>
      <c r="AG50">
        <v>0.44110830172777099</v>
      </c>
      <c r="AH50">
        <v>0.46129615977481397</v>
      </c>
      <c r="AI50">
        <v>0.47677240422950301</v>
      </c>
      <c r="AJ50">
        <v>0.48447204968944102</v>
      </c>
      <c r="AK50">
        <v>0.50030441400304404</v>
      </c>
      <c r="AL50">
        <v>0.51084288052373195</v>
      </c>
      <c r="AM50">
        <v>0.53060648801128396</v>
      </c>
      <c r="AN50">
        <v>0.54545454545454497</v>
      </c>
      <c r="AO50">
        <v>0.549913444893249</v>
      </c>
      <c r="AP50">
        <v>0.54132606721162602</v>
      </c>
      <c r="AQ50">
        <v>0.53017241379310298</v>
      </c>
      <c r="AR50">
        <v>0.56481481481481499</v>
      </c>
      <c r="AS50">
        <v>0.63675213675213704</v>
      </c>
      <c r="AT50">
        <v>0.73049645390070905</v>
      </c>
      <c r="AU50">
        <v>0.8</v>
      </c>
      <c r="AV50">
        <v>0.91111111111111098</v>
      </c>
      <c r="AW50">
        <v>1</v>
      </c>
      <c r="AX50">
        <v>1</v>
      </c>
      <c r="AY50">
        <v>1</v>
      </c>
      <c r="AZ50">
        <v>1</v>
      </c>
      <c r="BA50">
        <v>1856531</v>
      </c>
    </row>
    <row r="51" spans="1:53">
      <c r="A51" t="s">
        <v>125</v>
      </c>
      <c r="B51" t="s">
        <v>89</v>
      </c>
      <c r="C51">
        <v>6.3425316919462696E-2</v>
      </c>
      <c r="D51">
        <v>6.3425608849023096E-2</v>
      </c>
      <c r="E51">
        <v>6.3443012705176896E-2</v>
      </c>
      <c r="F51">
        <v>6.3452244128134896E-2</v>
      </c>
      <c r="G51">
        <v>6.3482790965095404E-2</v>
      </c>
      <c r="H51">
        <v>6.3568021658711005E-2</v>
      </c>
      <c r="I51">
        <v>6.3766811742736698E-2</v>
      </c>
      <c r="J51">
        <v>6.4238895653431494E-2</v>
      </c>
      <c r="K51">
        <v>6.5224339064899106E-2</v>
      </c>
      <c r="L51">
        <v>6.6926056368954004E-2</v>
      </c>
      <c r="M51">
        <v>6.9680686384801002E-2</v>
      </c>
      <c r="N51">
        <v>7.4007634840248096E-2</v>
      </c>
      <c r="O51">
        <v>8.0107499157539494E-2</v>
      </c>
      <c r="P51">
        <v>8.8625276772458295E-2</v>
      </c>
      <c r="Q51">
        <v>0.101783631190327</v>
      </c>
      <c r="R51">
        <v>0.119631925883542</v>
      </c>
      <c r="S51">
        <v>0.142058360570394</v>
      </c>
      <c r="T51">
        <v>0.16778986583494199</v>
      </c>
      <c r="U51">
        <v>0.19706311829346099</v>
      </c>
      <c r="V51">
        <v>0.228332063975628</v>
      </c>
      <c r="W51">
        <v>0.26082025616054999</v>
      </c>
      <c r="X51">
        <v>0.29568154885574899</v>
      </c>
      <c r="Y51">
        <v>0.32911741491294</v>
      </c>
      <c r="Z51">
        <v>0.36334276755410999</v>
      </c>
      <c r="AA51">
        <v>0.39627140689356199</v>
      </c>
      <c r="AB51">
        <v>0.42850255348023297</v>
      </c>
      <c r="AC51">
        <v>0.45811621491439303</v>
      </c>
      <c r="AD51">
        <v>0.48607471838785499</v>
      </c>
      <c r="AE51">
        <v>0.51618951950443703</v>
      </c>
      <c r="AF51">
        <v>0.54024625177988095</v>
      </c>
      <c r="AG51">
        <v>0.56326380109565999</v>
      </c>
      <c r="AH51">
        <v>0.58025601501239898</v>
      </c>
      <c r="AI51">
        <v>0.59845727162419804</v>
      </c>
      <c r="AJ51">
        <v>0.60688876341050302</v>
      </c>
      <c r="AK51">
        <v>0.62557077625570801</v>
      </c>
      <c r="AL51">
        <v>0.63031914893617003</v>
      </c>
      <c r="AM51">
        <v>0.63723554301833596</v>
      </c>
      <c r="AN51">
        <v>0.65564738292011004</v>
      </c>
      <c r="AO51">
        <v>0.65377957299480705</v>
      </c>
      <c r="AP51">
        <v>0.62579473206176195</v>
      </c>
      <c r="AQ51">
        <v>0.58189655172413801</v>
      </c>
      <c r="AR51">
        <v>0.57407407407407396</v>
      </c>
      <c r="AS51">
        <v>0.645299145299145</v>
      </c>
      <c r="AT51">
        <v>0.72340425531914898</v>
      </c>
      <c r="AU51">
        <v>0.78</v>
      </c>
      <c r="AV51">
        <v>0.88888888888888895</v>
      </c>
      <c r="AW51">
        <v>1</v>
      </c>
      <c r="AX51">
        <v>1</v>
      </c>
      <c r="AY51">
        <v>1</v>
      </c>
      <c r="AZ51">
        <v>1</v>
      </c>
      <c r="BA51">
        <v>3217596</v>
      </c>
    </row>
    <row r="52" spans="1:53">
      <c r="A52" t="s">
        <v>105</v>
      </c>
      <c r="B52" t="s">
        <v>143</v>
      </c>
      <c r="C52">
        <v>5.32625375465909E-3</v>
      </c>
      <c r="D52">
        <v>5.3262782699629602E-3</v>
      </c>
      <c r="E52">
        <v>5.3277397897264697E-3</v>
      </c>
      <c r="F52">
        <v>5.3285150148822697E-3</v>
      </c>
      <c r="G52">
        <v>5.3312349926564204E-3</v>
      </c>
      <c r="H52">
        <v>5.3390125318232302E-3</v>
      </c>
      <c r="I52">
        <v>5.3512424048001899E-3</v>
      </c>
      <c r="J52">
        <v>5.3836428694723198E-3</v>
      </c>
      <c r="K52">
        <v>5.4578060852403998E-3</v>
      </c>
      <c r="L52">
        <v>5.5713160660594702E-3</v>
      </c>
      <c r="M52">
        <v>5.7873102188326702E-3</v>
      </c>
      <c r="N52">
        <v>6.0881834986819504E-3</v>
      </c>
      <c r="O52">
        <v>6.5238221442987902E-3</v>
      </c>
      <c r="P52">
        <v>7.0856451179297196E-3</v>
      </c>
      <c r="Q52">
        <v>7.9263631764816597E-3</v>
      </c>
      <c r="R52">
        <v>8.9745499008488609E-3</v>
      </c>
      <c r="S52">
        <v>1.0230166467351099E-2</v>
      </c>
      <c r="T52">
        <v>1.14857171147086E-2</v>
      </c>
      <c r="U52">
        <v>1.26761169898333E-2</v>
      </c>
      <c r="V52">
        <v>1.3424071935729601E-2</v>
      </c>
      <c r="W52">
        <v>1.39729539823227E-2</v>
      </c>
      <c r="X52">
        <v>1.39433953552796E-2</v>
      </c>
      <c r="Y52">
        <v>1.3379993723670301E-2</v>
      </c>
      <c r="Z52">
        <v>1.2378010827823501E-2</v>
      </c>
      <c r="AA52">
        <v>1.06077028687044E-2</v>
      </c>
      <c r="AB52">
        <v>9.4818042212778102E-3</v>
      </c>
      <c r="AC52">
        <v>8.6044576783290295E-3</v>
      </c>
      <c r="AD52">
        <v>7.7527756017180399E-3</v>
      </c>
      <c r="AE52">
        <v>7.5004185501423102E-3</v>
      </c>
      <c r="AF52">
        <v>6.9520060306558296E-3</v>
      </c>
      <c r="AG52">
        <v>6.0050568900126399E-3</v>
      </c>
      <c r="AH52">
        <v>6.0987869445747597E-3</v>
      </c>
      <c r="AI52">
        <v>5.8935690760963796E-3</v>
      </c>
      <c r="AJ52">
        <v>5.0818746470920398E-3</v>
      </c>
      <c r="AK52">
        <v>6.0882800608828003E-3</v>
      </c>
      <c r="AL52">
        <v>5.1145662847790502E-3</v>
      </c>
      <c r="AM52">
        <v>5.9238363892806798E-3</v>
      </c>
      <c r="AN52">
        <v>5.1160960251869303E-3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299648</v>
      </c>
    </row>
    <row r="53" spans="1:53">
      <c r="A53" t="s">
        <v>105</v>
      </c>
      <c r="B53" t="s">
        <v>90</v>
      </c>
      <c r="C53">
        <v>2.4634614021505699E-2</v>
      </c>
      <c r="D53">
        <v>2.46347274079638E-2</v>
      </c>
      <c r="E53">
        <v>2.4641487126316999E-2</v>
      </c>
      <c r="F53">
        <v>2.4645072643149701E-2</v>
      </c>
      <c r="G53">
        <v>2.4657652892927501E-2</v>
      </c>
      <c r="H53">
        <v>2.4691779526280301E-2</v>
      </c>
      <c r="I53">
        <v>2.4772178724089801E-2</v>
      </c>
      <c r="J53">
        <v>2.4964427836326099E-2</v>
      </c>
      <c r="K53">
        <v>2.5365758360021699E-2</v>
      </c>
      <c r="L53">
        <v>2.6078521498214598E-2</v>
      </c>
      <c r="M53">
        <v>2.72475638427985E-2</v>
      </c>
      <c r="N53">
        <v>2.9079115758616499E-2</v>
      </c>
      <c r="O53">
        <v>3.1741272888842001E-2</v>
      </c>
      <c r="P53">
        <v>3.5490368521092802E-2</v>
      </c>
      <c r="Q53">
        <v>4.1376030690520801E-2</v>
      </c>
      <c r="R53">
        <v>4.9804832932287199E-2</v>
      </c>
      <c r="S53">
        <v>6.0528894203969799E-2</v>
      </c>
      <c r="T53">
        <v>7.3147185504232895E-2</v>
      </c>
      <c r="U53">
        <v>8.7981177649633396E-2</v>
      </c>
      <c r="V53">
        <v>0.10380561629363901</v>
      </c>
      <c r="W53">
        <v>0.12102908001627199</v>
      </c>
      <c r="X53">
        <v>0.14067285347122799</v>
      </c>
      <c r="Y53">
        <v>0.16056943427446599</v>
      </c>
      <c r="Z53">
        <v>0.18159504879566901</v>
      </c>
      <c r="AA53">
        <v>0.202384565358769</v>
      </c>
      <c r="AB53">
        <v>0.22577765079818601</v>
      </c>
      <c r="AC53">
        <v>0.248434557954197</v>
      </c>
      <c r="AD53">
        <v>0.270104540911424</v>
      </c>
      <c r="AE53">
        <v>0.28893353423740198</v>
      </c>
      <c r="AF53">
        <v>0.307228411089706</v>
      </c>
      <c r="AG53">
        <v>0.32732827644332102</v>
      </c>
      <c r="AH53">
        <v>0.34253736344748997</v>
      </c>
      <c r="AI53">
        <v>0.359941064309239</v>
      </c>
      <c r="AJ53">
        <v>0.364991530208922</v>
      </c>
      <c r="AK53">
        <v>0.384627092846271</v>
      </c>
      <c r="AL53">
        <v>0.39504909983633402</v>
      </c>
      <c r="AM53">
        <v>0.40987306064880102</v>
      </c>
      <c r="AN53">
        <v>0.44628099173553698</v>
      </c>
      <c r="AO53">
        <v>0.43796884016157001</v>
      </c>
      <c r="AP53">
        <v>0.41507720254314301</v>
      </c>
      <c r="AQ53">
        <v>0.41522988505747099</v>
      </c>
      <c r="AR53">
        <v>0.43518518518518501</v>
      </c>
      <c r="AS53">
        <v>0.43162393162393198</v>
      </c>
      <c r="AT53">
        <v>0.46099290780141799</v>
      </c>
      <c r="AU53">
        <v>0.48</v>
      </c>
      <c r="AV53">
        <v>0.53333333333333299</v>
      </c>
      <c r="AW53">
        <v>0.60869565217391297</v>
      </c>
      <c r="AX53">
        <v>0.58333333333333304</v>
      </c>
      <c r="AY53">
        <v>1</v>
      </c>
      <c r="AZ53">
        <v>1</v>
      </c>
      <c r="BA53">
        <v>1192132</v>
      </c>
    </row>
    <row r="54" spans="1:53">
      <c r="A54" t="s">
        <v>105</v>
      </c>
      <c r="B54" t="s">
        <v>91</v>
      </c>
      <c r="C54">
        <v>4.3854602293805604E-3</v>
      </c>
      <c r="D54">
        <v>4.3854804144665598E-3</v>
      </c>
      <c r="E54">
        <v>4.3866837812403898E-3</v>
      </c>
      <c r="F54">
        <v>4.3873220758553601E-3</v>
      </c>
      <c r="G54">
        <v>4.3895616151080497E-3</v>
      </c>
      <c r="H54">
        <v>4.3959653822339901E-3</v>
      </c>
      <c r="I54">
        <v>4.4096829712912296E-3</v>
      </c>
      <c r="J54">
        <v>4.4431381879423198E-3</v>
      </c>
      <c r="K54">
        <v>4.5151372322901097E-3</v>
      </c>
      <c r="L54">
        <v>4.6432513298845599E-3</v>
      </c>
      <c r="M54">
        <v>4.8503463292370501E-3</v>
      </c>
      <c r="N54">
        <v>5.1671898756330504E-3</v>
      </c>
      <c r="O54">
        <v>5.6507812396941002E-3</v>
      </c>
      <c r="P54">
        <v>6.3237187410922803E-3</v>
      </c>
      <c r="Q54">
        <v>7.3885769090215603E-3</v>
      </c>
      <c r="R54">
        <v>8.9353597266093408E-3</v>
      </c>
      <c r="S54">
        <v>1.0885820439214501E-2</v>
      </c>
      <c r="T54">
        <v>1.31999108866776E-2</v>
      </c>
      <c r="U54">
        <v>1.5831444443139501E-2</v>
      </c>
      <c r="V54">
        <v>1.87995970812962E-2</v>
      </c>
      <c r="W54">
        <v>2.1905548501620999E-2</v>
      </c>
      <c r="X54">
        <v>2.53551256598489E-2</v>
      </c>
      <c r="Y54">
        <v>2.9070817919872202E-2</v>
      </c>
      <c r="Z54">
        <v>3.2765322779532799E-2</v>
      </c>
      <c r="AA54">
        <v>3.63754606546716E-2</v>
      </c>
      <c r="AB54">
        <v>4.0569979643584199E-2</v>
      </c>
      <c r="AC54">
        <v>4.4598677584621403E-2</v>
      </c>
      <c r="AD54">
        <v>4.8056403468489203E-2</v>
      </c>
      <c r="AE54">
        <v>5.1096601372844497E-2</v>
      </c>
      <c r="AF54">
        <v>5.5448530027640497E-2</v>
      </c>
      <c r="AG54">
        <v>6.0103244837758099E-2</v>
      </c>
      <c r="AH54">
        <v>6.2127203270558297E-2</v>
      </c>
      <c r="AI54">
        <v>6.5522620904836196E-2</v>
      </c>
      <c r="AJ54">
        <v>6.70807453416149E-2</v>
      </c>
      <c r="AK54">
        <v>6.9254185692541895E-2</v>
      </c>
      <c r="AL54">
        <v>6.64893617021277E-2</v>
      </c>
      <c r="AM54">
        <v>6.6290550070521898E-2</v>
      </c>
      <c r="AN54">
        <v>6.9657615112160606E-2</v>
      </c>
      <c r="AO54">
        <v>6.5204847085978096E-2</v>
      </c>
      <c r="AP54">
        <v>3.99636693914623E-2</v>
      </c>
      <c r="AQ54">
        <v>3.0172413793103502E-2</v>
      </c>
      <c r="AR54">
        <v>2.0833333333333301E-2</v>
      </c>
      <c r="AS54">
        <v>4.2735042735042696E-3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202218</v>
      </c>
    </row>
    <row r="55" spans="1:53">
      <c r="A55" t="s">
        <v>126</v>
      </c>
      <c r="B55" t="s">
        <v>92</v>
      </c>
      <c r="C55">
        <v>1.05981955543363E-2</v>
      </c>
      <c r="D55">
        <v>1.0598244334960901E-2</v>
      </c>
      <c r="E55">
        <v>1.06011524713309E-2</v>
      </c>
      <c r="F55">
        <v>1.0602695016650499E-2</v>
      </c>
      <c r="G55">
        <v>1.0608107236511099E-2</v>
      </c>
      <c r="H55">
        <v>1.06235830070655E-2</v>
      </c>
      <c r="I55">
        <v>1.06589712467932E-2</v>
      </c>
      <c r="J55">
        <v>1.0742093649260801E-2</v>
      </c>
      <c r="K55">
        <v>1.09175088884948E-2</v>
      </c>
      <c r="L55">
        <v>1.1232413368426101E-2</v>
      </c>
      <c r="M55">
        <v>1.1755473882003899E-2</v>
      </c>
      <c r="N55">
        <v>1.2571234809621201E-2</v>
      </c>
      <c r="O55">
        <v>1.37551911755712E-2</v>
      </c>
      <c r="P55">
        <v>1.5442518463880801E-2</v>
      </c>
      <c r="Q55">
        <v>1.813153581864E-2</v>
      </c>
      <c r="R55">
        <v>2.2018999396471301E-2</v>
      </c>
      <c r="S55">
        <v>2.7232968344436899E-2</v>
      </c>
      <c r="T55">
        <v>3.3791895638397899E-2</v>
      </c>
      <c r="U55">
        <v>4.1880512525397297E-2</v>
      </c>
      <c r="V55">
        <v>5.1337739232980399E-2</v>
      </c>
      <c r="W55">
        <v>6.2314320582833101E-2</v>
      </c>
      <c r="X55">
        <v>7.5188143496929705E-2</v>
      </c>
      <c r="Y55">
        <v>8.8971727987675595E-2</v>
      </c>
      <c r="Z55">
        <v>0.104602412185412</v>
      </c>
      <c r="AA55">
        <v>0.121757352409856</v>
      </c>
      <c r="AB55">
        <v>0.14069140387843301</v>
      </c>
      <c r="AC55">
        <v>0.16125147786486799</v>
      </c>
      <c r="AD55">
        <v>0.182527891082957</v>
      </c>
      <c r="AE55">
        <v>0.20475472961660801</v>
      </c>
      <c r="AF55">
        <v>0.228369210151604</v>
      </c>
      <c r="AG55">
        <v>0.25247576906868902</v>
      </c>
      <c r="AH55">
        <v>0.27344011795456102</v>
      </c>
      <c r="AI55">
        <v>0.29849193967758703</v>
      </c>
      <c r="AJ55">
        <v>0.30942970073404902</v>
      </c>
      <c r="AK55">
        <v>0.34003044140030397</v>
      </c>
      <c r="AL55">
        <v>0.36968085106382997</v>
      </c>
      <c r="AM55">
        <v>0.39689703808180499</v>
      </c>
      <c r="AN55">
        <v>0.421487603305785</v>
      </c>
      <c r="AO55">
        <v>0.43162146566647402</v>
      </c>
      <c r="AP55">
        <v>0.413260672116258</v>
      </c>
      <c r="AQ55">
        <v>0.41522988505747099</v>
      </c>
      <c r="AR55">
        <v>0.453703703703704</v>
      </c>
      <c r="AS55">
        <v>0.50427350427350404</v>
      </c>
      <c r="AT55">
        <v>0.58156028368794299</v>
      </c>
      <c r="AU55">
        <v>0.64</v>
      </c>
      <c r="AV55">
        <v>0.64444444444444404</v>
      </c>
      <c r="AW55">
        <v>0.60869565217391297</v>
      </c>
      <c r="AX55">
        <v>0.58333333333333304</v>
      </c>
      <c r="AY55">
        <v>1</v>
      </c>
      <c r="AZ55">
        <v>1</v>
      </c>
      <c r="BA55">
        <v>440752</v>
      </c>
    </row>
    <row r="56" spans="1:53">
      <c r="A56" t="s">
        <v>126</v>
      </c>
      <c r="B56" t="s">
        <v>93</v>
      </c>
      <c r="C56">
        <v>3.4060039564878402E-3</v>
      </c>
      <c r="D56">
        <v>3.4060196334018199E-3</v>
      </c>
      <c r="E56">
        <v>3.4069542381589902E-3</v>
      </c>
      <c r="F56">
        <v>3.4074499749506401E-3</v>
      </c>
      <c r="G56">
        <v>3.40918933163304E-3</v>
      </c>
      <c r="H56">
        <v>3.4141628703328601E-3</v>
      </c>
      <c r="I56">
        <v>3.4255357954603299E-3</v>
      </c>
      <c r="J56">
        <v>3.4522493270446402E-3</v>
      </c>
      <c r="K56">
        <v>3.5089283258713301E-3</v>
      </c>
      <c r="L56">
        <v>3.6000323993157098E-3</v>
      </c>
      <c r="M56">
        <v>3.7631821214619901E-3</v>
      </c>
      <c r="N56">
        <v>4.0164947551491401E-3</v>
      </c>
      <c r="O56">
        <v>4.3867906992362104E-3</v>
      </c>
      <c r="P56">
        <v>4.9011859843372798E-3</v>
      </c>
      <c r="Q56">
        <v>5.6858530295558997E-3</v>
      </c>
      <c r="R56">
        <v>6.8406449135072897E-3</v>
      </c>
      <c r="S56">
        <v>8.4031756244060396E-3</v>
      </c>
      <c r="T56">
        <v>1.03501410960939E-2</v>
      </c>
      <c r="U56">
        <v>1.27035205781374E-2</v>
      </c>
      <c r="V56">
        <v>1.53944426700735E-2</v>
      </c>
      <c r="W56">
        <v>1.8392278201698701E-2</v>
      </c>
      <c r="X56">
        <v>2.1769241423888499E-2</v>
      </c>
      <c r="Y56">
        <v>2.5476192740378701E-2</v>
      </c>
      <c r="Z56">
        <v>2.9958544233185801E-2</v>
      </c>
      <c r="AA56">
        <v>3.4496712190187198E-2</v>
      </c>
      <c r="AB56">
        <v>3.9695010892468102E-2</v>
      </c>
      <c r="AC56">
        <v>4.6196961071944702E-2</v>
      </c>
      <c r="AD56">
        <v>5.2486560955185203E-2</v>
      </c>
      <c r="AE56">
        <v>6.0137284446676702E-2</v>
      </c>
      <c r="AF56">
        <v>6.8054275902504402E-2</v>
      </c>
      <c r="AG56">
        <v>7.8065739570164397E-2</v>
      </c>
      <c r="AH56">
        <v>8.65893706856109E-2</v>
      </c>
      <c r="AI56">
        <v>9.9757323626278399E-2</v>
      </c>
      <c r="AJ56">
        <v>0.109316770186335</v>
      </c>
      <c r="AK56">
        <v>0.12770167427701701</v>
      </c>
      <c r="AL56">
        <v>0.13645662847790499</v>
      </c>
      <c r="AM56">
        <v>0.14978843441466899</v>
      </c>
      <c r="AN56">
        <v>0.16450216450216501</v>
      </c>
      <c r="AO56">
        <v>0.17772648586266601</v>
      </c>
      <c r="AP56">
        <v>0.158946412352407</v>
      </c>
      <c r="AQ56">
        <v>0.17097701149425301</v>
      </c>
      <c r="AR56">
        <v>0.23611111111111099</v>
      </c>
      <c r="AS56">
        <v>0.31196581196581202</v>
      </c>
      <c r="AT56">
        <v>0.45390070921985798</v>
      </c>
      <c r="AU56">
        <v>0.49</v>
      </c>
      <c r="AV56">
        <v>0.46666666666666701</v>
      </c>
      <c r="AW56">
        <v>0.60869565217391297</v>
      </c>
      <c r="AX56">
        <v>0.58333333333333304</v>
      </c>
      <c r="AY56">
        <v>1</v>
      </c>
      <c r="AZ56">
        <v>1</v>
      </c>
      <c r="BA56">
        <v>147695</v>
      </c>
    </row>
    <row r="57" spans="1:53">
      <c r="A57" t="s">
        <v>115</v>
      </c>
      <c r="B57" t="s">
        <v>31</v>
      </c>
      <c r="C57">
        <v>0.106126480576112</v>
      </c>
      <c r="D57">
        <v>0.10612696904756599</v>
      </c>
      <c r="E57">
        <v>0.10615609006882</v>
      </c>
      <c r="F57">
        <v>0.106171536557334</v>
      </c>
      <c r="G57">
        <v>0.10622020414594301</v>
      </c>
      <c r="H57">
        <v>0.106366860105138</v>
      </c>
      <c r="I57">
        <v>0.10669062690082499</v>
      </c>
      <c r="J57">
        <v>0.107462923308748</v>
      </c>
      <c r="K57">
        <v>0.109024299802836</v>
      </c>
      <c r="L57">
        <v>0.11169859267912099</v>
      </c>
      <c r="M57">
        <v>0.11600879949074901</v>
      </c>
      <c r="N57">
        <v>0.122468087899106</v>
      </c>
      <c r="O57">
        <v>0.13112043047632299</v>
      </c>
      <c r="P57">
        <v>0.14249239086823101</v>
      </c>
      <c r="Q57">
        <v>0.15811554585306101</v>
      </c>
      <c r="R57">
        <v>0.177547165374697</v>
      </c>
      <c r="S57">
        <v>0.19949070174620101</v>
      </c>
      <c r="T57">
        <v>0.22245531957027601</v>
      </c>
      <c r="U57">
        <v>0.24553223640684099</v>
      </c>
      <c r="V57">
        <v>0.26792128344348098</v>
      </c>
      <c r="W57">
        <v>0.28973385436570098</v>
      </c>
      <c r="X57">
        <v>0.31253366575865299</v>
      </c>
      <c r="Y57">
        <v>0.33153285088011297</v>
      </c>
      <c r="Z57">
        <v>0.35031884534532798</v>
      </c>
      <c r="AA57">
        <v>0.36749765156441899</v>
      </c>
      <c r="AB57">
        <v>0.38236134423770601</v>
      </c>
      <c r="AC57">
        <v>0.39744712527915199</v>
      </c>
      <c r="AD57">
        <v>0.41097814635727598</v>
      </c>
      <c r="AE57">
        <v>0.42327138791227198</v>
      </c>
      <c r="AF57">
        <v>0.43253203785911698</v>
      </c>
      <c r="AG57">
        <v>0.44368942267172401</v>
      </c>
      <c r="AH57">
        <v>0.45888345285168602</v>
      </c>
      <c r="AI57">
        <v>0.47408563009186999</v>
      </c>
      <c r="AJ57">
        <v>0.47995482778091503</v>
      </c>
      <c r="AK57">
        <v>0.48386605783866099</v>
      </c>
      <c r="AL57">
        <v>0.49693126022913298</v>
      </c>
      <c r="AM57">
        <v>0.51142454160789796</v>
      </c>
      <c r="AN57">
        <v>0.53049980322707602</v>
      </c>
      <c r="AO57">
        <v>0.54702827466820503</v>
      </c>
      <c r="AP57">
        <v>0.55585831062670299</v>
      </c>
      <c r="AQ57">
        <v>0.54454022988505701</v>
      </c>
      <c r="AR57">
        <v>0.61342592592592604</v>
      </c>
      <c r="AS57">
        <v>0.60256410256410298</v>
      </c>
      <c r="AT57">
        <v>0.60283687943262398</v>
      </c>
      <c r="AU57">
        <v>0.69</v>
      </c>
      <c r="AV57">
        <v>0.86666666666666703</v>
      </c>
      <c r="AW57">
        <v>1</v>
      </c>
      <c r="AX57">
        <v>1</v>
      </c>
      <c r="AY57">
        <v>1</v>
      </c>
      <c r="AZ57">
        <v>1</v>
      </c>
      <c r="BA57">
        <v>10075276</v>
      </c>
    </row>
    <row r="58" spans="1:53">
      <c r="A58" t="s">
        <v>115</v>
      </c>
      <c r="B58" t="s">
        <v>32</v>
      </c>
      <c r="C58">
        <v>6.2212043077665202E-2</v>
      </c>
      <c r="D58">
        <v>6.2212329422854602E-2</v>
      </c>
      <c r="E58">
        <v>6.2227558760752602E-2</v>
      </c>
      <c r="F58">
        <v>6.22329295965579E-2</v>
      </c>
      <c r="G58">
        <v>6.22499543905752E-2</v>
      </c>
      <c r="H58">
        <v>6.2307549636852998E-2</v>
      </c>
      <c r="I58">
        <v>6.2454924115123898E-2</v>
      </c>
      <c r="J58">
        <v>6.2755361483161007E-2</v>
      </c>
      <c r="K58">
        <v>6.33190858198516E-2</v>
      </c>
      <c r="L58">
        <v>6.4272630482876694E-2</v>
      </c>
      <c r="M58">
        <v>6.5675344566682295E-2</v>
      </c>
      <c r="N58">
        <v>6.7746628310162593E-2</v>
      </c>
      <c r="O58">
        <v>7.02977813008549E-2</v>
      </c>
      <c r="P58">
        <v>7.3706920425976305E-2</v>
      </c>
      <c r="Q58">
        <v>7.8144972496301701E-2</v>
      </c>
      <c r="R58">
        <v>8.4023733569519393E-2</v>
      </c>
      <c r="S58">
        <v>9.0401667865834007E-2</v>
      </c>
      <c r="T58">
        <v>9.7204688350908494E-2</v>
      </c>
      <c r="U58">
        <v>0.103534671411402</v>
      </c>
      <c r="V58">
        <v>0.109530010072968</v>
      </c>
      <c r="W58">
        <v>0.115648229188496</v>
      </c>
      <c r="X58">
        <v>0.122997368299552</v>
      </c>
      <c r="Y58">
        <v>0.128398489877041</v>
      </c>
      <c r="Z58">
        <v>0.13667484821082501</v>
      </c>
      <c r="AA58">
        <v>0.142640364188164</v>
      </c>
      <c r="AB58">
        <v>0.149708938966465</v>
      </c>
      <c r="AC58">
        <v>0.155777904278145</v>
      </c>
      <c r="AD58">
        <v>0.16183581404143799</v>
      </c>
      <c r="AE58">
        <v>0.166649924660974</v>
      </c>
      <c r="AF58">
        <v>0.16952843621743899</v>
      </c>
      <c r="AG58">
        <v>0.17472608512431501</v>
      </c>
      <c r="AH58">
        <v>0.184102942162053</v>
      </c>
      <c r="AI58">
        <v>0.19102097417229999</v>
      </c>
      <c r="AJ58">
        <v>0.19536984754376099</v>
      </c>
      <c r="AK58">
        <v>0.201217656012177</v>
      </c>
      <c r="AL58">
        <v>0.214402618657938</v>
      </c>
      <c r="AM58">
        <v>0.21946403385049401</v>
      </c>
      <c r="AN58">
        <v>0.24006296733569499</v>
      </c>
      <c r="AO58">
        <v>0.23485285631852301</v>
      </c>
      <c r="AP58">
        <v>0.23705722070844701</v>
      </c>
      <c r="AQ58">
        <v>0.193965517241379</v>
      </c>
      <c r="AR58">
        <v>0.20601851851851899</v>
      </c>
      <c r="AS58">
        <v>0.24786324786324801</v>
      </c>
      <c r="AT58">
        <v>0.28368794326241098</v>
      </c>
      <c r="AU58">
        <v>0.34</v>
      </c>
      <c r="AV58">
        <v>0.44444444444444398</v>
      </c>
      <c r="AW58">
        <v>0.565217391304348</v>
      </c>
      <c r="AX58">
        <v>0.58333333333333304</v>
      </c>
      <c r="AY58">
        <v>1</v>
      </c>
      <c r="AZ58">
        <v>1</v>
      </c>
      <c r="BA58">
        <v>4823668</v>
      </c>
    </row>
    <row r="59" spans="1:53">
      <c r="A59" t="s">
        <v>115</v>
      </c>
      <c r="B59" t="s">
        <v>30</v>
      </c>
      <c r="C59">
        <v>6.16026445319368E-3</v>
      </c>
      <c r="D59">
        <v>6.1602928072229703E-3</v>
      </c>
      <c r="E59">
        <v>6.1619831788540498E-3</v>
      </c>
      <c r="F59">
        <v>6.1628797925323397E-3</v>
      </c>
      <c r="G59">
        <v>6.1660256776454904E-3</v>
      </c>
      <c r="H59">
        <v>6.1750210616939201E-3</v>
      </c>
      <c r="I59">
        <v>6.1955906873568996E-3</v>
      </c>
      <c r="J59">
        <v>6.2429730397988402E-3</v>
      </c>
      <c r="K59">
        <v>6.3407283207501898E-3</v>
      </c>
      <c r="L59">
        <v>6.5013325682410604E-3</v>
      </c>
      <c r="M59">
        <v>6.7539054637153796E-3</v>
      </c>
      <c r="N59">
        <v>7.1623114533541903E-3</v>
      </c>
      <c r="O59">
        <v>7.7374449402602598E-3</v>
      </c>
      <c r="P59">
        <v>8.4190162773952401E-3</v>
      </c>
      <c r="Q59">
        <v>9.3067344564608592E-3</v>
      </c>
      <c r="R59">
        <v>1.03226918946882E-2</v>
      </c>
      <c r="S59">
        <v>1.1342568149950801E-2</v>
      </c>
      <c r="T59">
        <v>1.2222139709886601E-2</v>
      </c>
      <c r="U59">
        <v>1.28483681163165E-2</v>
      </c>
      <c r="V59">
        <v>1.33061445102327E-2</v>
      </c>
      <c r="W59">
        <v>1.37880450191689E-2</v>
      </c>
      <c r="X59">
        <v>1.4097295966265E-2</v>
      </c>
      <c r="Y59">
        <v>1.3931549968142901E-2</v>
      </c>
      <c r="Z59">
        <v>1.4033892731735401E-2</v>
      </c>
      <c r="AA59">
        <v>1.4061709661102701E-2</v>
      </c>
      <c r="AB59">
        <v>1.4535195171601E-2</v>
      </c>
      <c r="AC59">
        <v>1.3749616849848901E-2</v>
      </c>
      <c r="AD59">
        <v>1.40738539668819E-2</v>
      </c>
      <c r="AE59">
        <v>1.40298007701323E-2</v>
      </c>
      <c r="AF59">
        <v>1.5118519138956401E-2</v>
      </c>
      <c r="AG59">
        <v>1.53813737884534E-2</v>
      </c>
      <c r="AH59">
        <v>1.7291066282420799E-2</v>
      </c>
      <c r="AI59">
        <v>1.8720748829953199E-2</v>
      </c>
      <c r="AJ59">
        <v>2.2360248447205001E-2</v>
      </c>
      <c r="AK59">
        <v>2.64840182648402E-2</v>
      </c>
      <c r="AL59">
        <v>2.8846153846153799E-2</v>
      </c>
      <c r="AM59">
        <v>3.2722143864598E-2</v>
      </c>
      <c r="AN59">
        <v>3.4238488783943297E-2</v>
      </c>
      <c r="AO59">
        <v>3.9238315060588599E-2</v>
      </c>
      <c r="AP59">
        <v>3.0881017257039099E-2</v>
      </c>
      <c r="AQ59">
        <v>3.0172413793103502E-2</v>
      </c>
      <c r="AR59">
        <v>3.2407407407407399E-2</v>
      </c>
      <c r="AS59">
        <v>3.8461538461538498E-2</v>
      </c>
      <c r="AT59">
        <v>3.54609929078014E-2</v>
      </c>
      <c r="AU59">
        <v>0.05</v>
      </c>
      <c r="AV59">
        <v>8.8888888888888906E-2</v>
      </c>
      <c r="AW59">
        <v>0.173913043478261</v>
      </c>
      <c r="AX59">
        <v>0.25</v>
      </c>
      <c r="AY59">
        <v>0.4</v>
      </c>
      <c r="AZ59">
        <v>0.4</v>
      </c>
      <c r="BA59">
        <v>807717</v>
      </c>
    </row>
    <row r="60" spans="1:53">
      <c r="A60" t="s">
        <v>127</v>
      </c>
      <c r="B60" t="s">
        <v>94</v>
      </c>
      <c r="C60">
        <v>3.1502774972682897E-2</v>
      </c>
      <c r="D60">
        <v>3.1502919971426298E-2</v>
      </c>
      <c r="E60">
        <v>3.1511564307642403E-2</v>
      </c>
      <c r="F60">
        <v>3.15161494710164E-2</v>
      </c>
      <c r="G60">
        <v>3.1532237110039399E-2</v>
      </c>
      <c r="H60">
        <v>3.1571779083361902E-2</v>
      </c>
      <c r="I60">
        <v>3.16713929802439E-2</v>
      </c>
      <c r="J60">
        <v>3.1912779387272397E-2</v>
      </c>
      <c r="K60">
        <v>3.2414910858995102E-2</v>
      </c>
      <c r="L60">
        <v>3.3298103956912802E-2</v>
      </c>
      <c r="M60">
        <v>3.4742253188691501E-2</v>
      </c>
      <c r="N60">
        <v>3.6944751320783599E-2</v>
      </c>
      <c r="O60">
        <v>4.0015973770397402E-2</v>
      </c>
      <c r="P60">
        <v>4.4306559186413901E-2</v>
      </c>
      <c r="Q60">
        <v>5.0880644960527799E-2</v>
      </c>
      <c r="R60">
        <v>6.0068739565616099E-2</v>
      </c>
      <c r="S60">
        <v>7.1198618952083195E-2</v>
      </c>
      <c r="T60">
        <v>8.3803653646220097E-2</v>
      </c>
      <c r="U60">
        <v>9.7764258674214399E-2</v>
      </c>
      <c r="V60">
        <v>0.11260103677861601</v>
      </c>
      <c r="W60">
        <v>0.126909185044563</v>
      </c>
      <c r="X60">
        <v>0.14139618634286</v>
      </c>
      <c r="Y60">
        <v>0.15468299780328501</v>
      </c>
      <c r="Z60">
        <v>0.16717360923535801</v>
      </c>
      <c r="AA60">
        <v>0.18150155358046099</v>
      </c>
      <c r="AB60">
        <v>0.195010892468126</v>
      </c>
      <c r="AC60">
        <v>0.20911240530717701</v>
      </c>
      <c r="AD60">
        <v>0.222264242686188</v>
      </c>
      <c r="AE60">
        <v>0.23428762765779301</v>
      </c>
      <c r="AF60">
        <v>0.24332021107295401</v>
      </c>
      <c r="AG60">
        <v>0.25121154656552902</v>
      </c>
      <c r="AH60">
        <v>0.25929897459955797</v>
      </c>
      <c r="AI60">
        <v>0.27370428150459403</v>
      </c>
      <c r="AJ60">
        <v>0.28040654997176701</v>
      </c>
      <c r="AK60">
        <v>0.28386605783866098</v>
      </c>
      <c r="AL60">
        <v>0.28314238952536802</v>
      </c>
      <c r="AM60">
        <v>0.28942172073342698</v>
      </c>
      <c r="AN60">
        <v>0.31326249508067699</v>
      </c>
      <c r="AO60">
        <v>0.31102135025966499</v>
      </c>
      <c r="AP60">
        <v>0.29336966394187097</v>
      </c>
      <c r="AQ60">
        <v>0.26436781609195398</v>
      </c>
      <c r="AR60">
        <v>0.30092592592592599</v>
      </c>
      <c r="AS60">
        <v>0.39743589743589702</v>
      </c>
      <c r="AT60">
        <v>0.37588652482269502</v>
      </c>
      <c r="AU60">
        <v>0.32</v>
      </c>
      <c r="AV60">
        <v>0.2</v>
      </c>
      <c r="AW60">
        <v>0</v>
      </c>
      <c r="AX60">
        <v>0</v>
      </c>
      <c r="AY60">
        <v>0</v>
      </c>
      <c r="AZ60">
        <v>0</v>
      </c>
      <c r="BA60">
        <v>1582363</v>
      </c>
    </row>
    <row r="61" spans="1:53">
      <c r="A61" t="s">
        <v>128</v>
      </c>
      <c r="B61" t="s">
        <v>95</v>
      </c>
      <c r="C61">
        <v>1.47203808832965E-2</v>
      </c>
      <c r="D61">
        <v>1.4720448637223899E-2</v>
      </c>
      <c r="E61">
        <v>1.4724487897946101E-2</v>
      </c>
      <c r="F61">
        <v>1.4726630418766399E-2</v>
      </c>
      <c r="G61">
        <v>1.47341477303092E-2</v>
      </c>
      <c r="H61">
        <v>1.47556428268899E-2</v>
      </c>
      <c r="I61">
        <v>1.4803869559300201E-2</v>
      </c>
      <c r="J61">
        <v>1.4914650133191499E-2</v>
      </c>
      <c r="K61">
        <v>1.51557252907432E-2</v>
      </c>
      <c r="L61">
        <v>1.55868033293225E-2</v>
      </c>
      <c r="M61">
        <v>1.6305419574882001E-2</v>
      </c>
      <c r="N61">
        <v>1.7414654955536402E-2</v>
      </c>
      <c r="O61">
        <v>1.9054597435802099E-2</v>
      </c>
      <c r="P61">
        <v>2.1325832951694702E-2</v>
      </c>
      <c r="Q61">
        <v>2.4944027141450598E-2</v>
      </c>
      <c r="R61">
        <v>3.0051025606859801E-2</v>
      </c>
      <c r="S61">
        <v>3.6760823815709699E-2</v>
      </c>
      <c r="T61">
        <v>4.48908361800089E-2</v>
      </c>
      <c r="U61">
        <v>5.4721051045055397E-2</v>
      </c>
      <c r="V61">
        <v>6.5454634793504204E-2</v>
      </c>
      <c r="W61">
        <v>7.7698746317229797E-2</v>
      </c>
      <c r="X61">
        <v>9.1062991520076297E-2</v>
      </c>
      <c r="Y61">
        <v>0.105337733103835</v>
      </c>
      <c r="Z61">
        <v>0.12093809820201799</v>
      </c>
      <c r="AA61">
        <v>0.136816243948262</v>
      </c>
      <c r="AB61">
        <v>0.15395878718617201</v>
      </c>
      <c r="AC61">
        <v>0.17246135657047801</v>
      </c>
      <c r="AD61">
        <v>0.190847942948216</v>
      </c>
      <c r="AE61">
        <v>0.209007199062448</v>
      </c>
      <c r="AF61">
        <v>0.22991875366446099</v>
      </c>
      <c r="AG61">
        <v>0.24973662031184199</v>
      </c>
      <c r="AH61">
        <v>0.26921788083908599</v>
      </c>
      <c r="AI61">
        <v>0.28921823539608199</v>
      </c>
      <c r="AJ61">
        <v>0.30626764539807999</v>
      </c>
      <c r="AK61">
        <v>0.33089802130897999</v>
      </c>
      <c r="AL61">
        <v>0.34819967266775798</v>
      </c>
      <c r="AM61">
        <v>0.38533145275035302</v>
      </c>
      <c r="AN61">
        <v>0.41637150728059802</v>
      </c>
      <c r="AO61">
        <v>0.41892671667628401</v>
      </c>
      <c r="AP61">
        <v>0.44686648501362403</v>
      </c>
      <c r="AQ61">
        <v>0.43247126436781602</v>
      </c>
      <c r="AR61">
        <v>0.49768518518518501</v>
      </c>
      <c r="AS61">
        <v>0.59401709401709402</v>
      </c>
      <c r="AT61">
        <v>0.659574468085106</v>
      </c>
      <c r="AU61">
        <v>0.67</v>
      </c>
      <c r="AV61">
        <v>0.86666666666666703</v>
      </c>
      <c r="AW61">
        <v>1</v>
      </c>
      <c r="AX61">
        <v>1</v>
      </c>
      <c r="AY61">
        <v>1</v>
      </c>
      <c r="AZ61">
        <v>1</v>
      </c>
      <c r="BA61">
        <v>755151</v>
      </c>
    </row>
    <row r="62" spans="1:53">
      <c r="A62" t="s">
        <v>128</v>
      </c>
      <c r="B62" t="s">
        <v>96</v>
      </c>
      <c r="C62">
        <v>5.5549162905487101E-2</v>
      </c>
      <c r="D62">
        <v>5.5549418583243103E-2</v>
      </c>
      <c r="E62">
        <v>5.5564661229044902E-2</v>
      </c>
      <c r="F62">
        <v>5.5571825361742301E-2</v>
      </c>
      <c r="G62">
        <v>5.56001923888466E-2</v>
      </c>
      <c r="H62">
        <v>5.5676691694633601E-2</v>
      </c>
      <c r="I62">
        <v>5.5843640029885497E-2</v>
      </c>
      <c r="J62">
        <v>5.62614005868824E-2</v>
      </c>
      <c r="K62">
        <v>5.7095954015968502E-2</v>
      </c>
      <c r="L62">
        <v>5.8637882021600203E-2</v>
      </c>
      <c r="M62">
        <v>6.1154008458219299E-2</v>
      </c>
      <c r="N62">
        <v>6.5042713540356401E-2</v>
      </c>
      <c r="O62">
        <v>7.0512443830970606E-2</v>
      </c>
      <c r="P62">
        <v>7.8031257894516398E-2</v>
      </c>
      <c r="Q62">
        <v>8.9748070272866701E-2</v>
      </c>
      <c r="R62">
        <v>0.10581347044669</v>
      </c>
      <c r="S62">
        <v>0.126300564549993</v>
      </c>
      <c r="T62">
        <v>0.15005693351155999</v>
      </c>
      <c r="U62">
        <v>0.177708355354074</v>
      </c>
      <c r="V62">
        <v>0.206844704321549</v>
      </c>
      <c r="W62">
        <v>0.23650472750582499</v>
      </c>
      <c r="X62">
        <v>0.26874124690274998</v>
      </c>
      <c r="Y62">
        <v>0.29978032846125302</v>
      </c>
      <c r="Z62">
        <v>0.33213937593216802</v>
      </c>
      <c r="AA62">
        <v>0.36421706770720402</v>
      </c>
      <c r="AB62">
        <v>0.395003749866076</v>
      </c>
      <c r="AC62">
        <v>0.42380785567281198</v>
      </c>
      <c r="AD62">
        <v>0.45209216888624798</v>
      </c>
      <c r="AE62">
        <v>0.47681232211619001</v>
      </c>
      <c r="AF62">
        <v>0.50175894128486498</v>
      </c>
      <c r="AG62">
        <v>0.52786557100716403</v>
      </c>
      <c r="AH62">
        <v>0.54828764828094601</v>
      </c>
      <c r="AI62">
        <v>0.57202288091523701</v>
      </c>
      <c r="AJ62">
        <v>0.58757763975155297</v>
      </c>
      <c r="AK62">
        <v>0.61232876712328799</v>
      </c>
      <c r="AL62">
        <v>0.62111292962356801</v>
      </c>
      <c r="AM62">
        <v>0.64795486600846297</v>
      </c>
      <c r="AN62">
        <v>0.66312475403384497</v>
      </c>
      <c r="AO62">
        <v>0.66762839007501396</v>
      </c>
      <c r="AP62">
        <v>0.65576748410535901</v>
      </c>
      <c r="AQ62">
        <v>0.63793103448275901</v>
      </c>
      <c r="AR62">
        <v>0.66666666666666696</v>
      </c>
      <c r="AS62">
        <v>0.67948717948717996</v>
      </c>
      <c r="AT62">
        <v>0.68794326241134796</v>
      </c>
      <c r="AU62">
        <v>0.67</v>
      </c>
      <c r="AV62">
        <v>0.86666666666666703</v>
      </c>
      <c r="AW62">
        <v>1</v>
      </c>
      <c r="AX62">
        <v>1</v>
      </c>
      <c r="AY62">
        <v>1</v>
      </c>
      <c r="AZ62">
        <v>1</v>
      </c>
      <c r="BA62">
        <v>3737082</v>
      </c>
    </row>
    <row r="63" spans="1:53">
      <c r="A63" t="s">
        <v>106</v>
      </c>
      <c r="B63" t="s">
        <v>144</v>
      </c>
      <c r="C63">
        <v>2.2866253588961602E-3</v>
      </c>
      <c r="D63">
        <v>2.2866358836135499E-3</v>
      </c>
      <c r="E63">
        <v>2.2872633317802499E-3</v>
      </c>
      <c r="F63">
        <v>2.28759614534524E-3</v>
      </c>
      <c r="G63">
        <v>2.2887638648044499E-3</v>
      </c>
      <c r="H63">
        <v>2.2921028567315801E-3</v>
      </c>
      <c r="I63">
        <v>2.2997380853847201E-3</v>
      </c>
      <c r="J63">
        <v>2.3176722509132101E-3</v>
      </c>
      <c r="K63">
        <v>2.3557237733687498E-3</v>
      </c>
      <c r="L63">
        <v>2.4240933802928198E-3</v>
      </c>
      <c r="M63">
        <v>2.53807884597111E-3</v>
      </c>
      <c r="N63">
        <v>2.7039147698062899E-3</v>
      </c>
      <c r="O63">
        <v>2.9561069091353898E-3</v>
      </c>
      <c r="P63">
        <v>3.3124884326336899E-3</v>
      </c>
      <c r="Q63">
        <v>3.86025216909788E-3</v>
      </c>
      <c r="R63">
        <v>4.6675497519262001E-3</v>
      </c>
      <c r="S63">
        <v>5.7142576499102501E-3</v>
      </c>
      <c r="T63">
        <v>6.9217535521560502E-3</v>
      </c>
      <c r="U63">
        <v>8.3933276177277708E-3</v>
      </c>
      <c r="V63">
        <v>9.9550401690293097E-3</v>
      </c>
      <c r="W63">
        <v>1.1661591942900101E-2</v>
      </c>
      <c r="X63">
        <v>1.3812579835942E-2</v>
      </c>
      <c r="Y63">
        <v>1.5757391329155501E-2</v>
      </c>
      <c r="Z63">
        <v>1.8202957099740499E-2</v>
      </c>
      <c r="AA63">
        <v>2.0666233109328701E-2</v>
      </c>
      <c r="AB63">
        <v>2.3677725795507299E-2</v>
      </c>
      <c r="AC63">
        <v>2.6623461925822101E-2</v>
      </c>
      <c r="AD63">
        <v>2.9471352548691199E-2</v>
      </c>
      <c r="AE63">
        <v>3.3082203247949103E-2</v>
      </c>
      <c r="AF63">
        <v>3.6937766982159302E-2</v>
      </c>
      <c r="AG63">
        <v>4.1561314791403299E-2</v>
      </c>
      <c r="AH63">
        <v>4.7114804637758897E-2</v>
      </c>
      <c r="AI63">
        <v>5.3995493153059501E-2</v>
      </c>
      <c r="AJ63">
        <v>5.7142857142857099E-2</v>
      </c>
      <c r="AK63">
        <v>6.7275494672754899E-2</v>
      </c>
      <c r="AL63">
        <v>7.5286415711947594E-2</v>
      </c>
      <c r="AM63">
        <v>8.1523272214386502E-2</v>
      </c>
      <c r="AN63">
        <v>9.1302636757182198E-2</v>
      </c>
      <c r="AO63">
        <v>9.3479515291402193E-2</v>
      </c>
      <c r="AP63">
        <v>8.9009990917347903E-2</v>
      </c>
      <c r="AQ63">
        <v>0.10344827586206901</v>
      </c>
      <c r="AR63">
        <v>0.13657407407407399</v>
      </c>
      <c r="AS63">
        <v>0.170940170940171</v>
      </c>
      <c r="AT63">
        <v>0.24822695035461001</v>
      </c>
      <c r="AU63">
        <v>0.21</v>
      </c>
      <c r="AV63">
        <v>0.17777777777777801</v>
      </c>
      <c r="AW63">
        <v>0</v>
      </c>
      <c r="AX63">
        <v>0</v>
      </c>
      <c r="AY63">
        <v>0</v>
      </c>
      <c r="AZ63">
        <v>0</v>
      </c>
      <c r="BA63">
        <v>102220</v>
      </c>
    </row>
    <row r="64" spans="1:53">
      <c r="A64" t="s">
        <v>129</v>
      </c>
      <c r="B64" t="s">
        <v>9</v>
      </c>
      <c r="C64">
        <v>1.416529429255E-2</v>
      </c>
      <c r="D64">
        <v>1.4165359491564101E-2</v>
      </c>
      <c r="E64">
        <v>1.4169246436970401E-2</v>
      </c>
      <c r="F64">
        <v>1.4171308166092E-2</v>
      </c>
      <c r="G64">
        <v>1.4178542009505199E-2</v>
      </c>
      <c r="H64">
        <v>1.4197381060254401E-2</v>
      </c>
      <c r="I64">
        <v>1.42428223452329E-2</v>
      </c>
      <c r="J64">
        <v>1.4352959837277799E-2</v>
      </c>
      <c r="K64">
        <v>1.45876582455548E-2</v>
      </c>
      <c r="L64">
        <v>1.5001273527319401E-2</v>
      </c>
      <c r="M64">
        <v>1.5694400593444499E-2</v>
      </c>
      <c r="N64">
        <v>1.6779147479299501E-2</v>
      </c>
      <c r="O64">
        <v>1.8368636725041299E-2</v>
      </c>
      <c r="P64">
        <v>2.06557700387313E-2</v>
      </c>
      <c r="Q64">
        <v>2.4254639403934901E-2</v>
      </c>
      <c r="R64">
        <v>2.9369116575092301E-2</v>
      </c>
      <c r="S64">
        <v>3.60928916795792E-2</v>
      </c>
      <c r="T64">
        <v>4.4256522600128703E-2</v>
      </c>
      <c r="U64">
        <v>5.3898943395931001E-2</v>
      </c>
      <c r="V64">
        <v>6.4840429452374504E-2</v>
      </c>
      <c r="W64">
        <v>7.7051564946191503E-2</v>
      </c>
      <c r="X64">
        <v>9.1109161703371994E-2</v>
      </c>
      <c r="Y64">
        <v>0.10528067556130399</v>
      </c>
      <c r="Z64">
        <v>0.120961585888598</v>
      </c>
      <c r="AA64">
        <v>0.137885685381892</v>
      </c>
      <c r="AB64">
        <v>0.15501232098853601</v>
      </c>
      <c r="AC64">
        <v>0.173249551166966</v>
      </c>
      <c r="AD64">
        <v>0.19082092979280901</v>
      </c>
      <c r="AE64">
        <v>0.20649589820860501</v>
      </c>
      <c r="AF64">
        <v>0.22279922941619901</v>
      </c>
      <c r="AG64">
        <v>0.24209860935524699</v>
      </c>
      <c r="AH64">
        <v>0.26117552442865799</v>
      </c>
      <c r="AI64">
        <v>0.28367134685387402</v>
      </c>
      <c r="AJ64">
        <v>0.29632975719932197</v>
      </c>
      <c r="AK64">
        <v>0.32115677321156799</v>
      </c>
      <c r="AL64">
        <v>0.34083469721767601</v>
      </c>
      <c r="AM64">
        <v>0.36558533145275002</v>
      </c>
      <c r="AN64">
        <v>0.390003935458481</v>
      </c>
      <c r="AO64">
        <v>0.39699942296595497</v>
      </c>
      <c r="AP64">
        <v>0.366030881017257</v>
      </c>
      <c r="AQ64">
        <v>0.35057471264367801</v>
      </c>
      <c r="AR64">
        <v>0.38425925925925902</v>
      </c>
      <c r="AS64">
        <v>0.36324786324786301</v>
      </c>
      <c r="AT64">
        <v>0.36879432624113501</v>
      </c>
      <c r="AU64">
        <v>0.37</v>
      </c>
      <c r="AV64">
        <v>0.2</v>
      </c>
      <c r="AW64">
        <v>0</v>
      </c>
      <c r="AX64">
        <v>0</v>
      </c>
      <c r="AY64">
        <v>0</v>
      </c>
      <c r="AZ64">
        <v>0</v>
      </c>
      <c r="BA64">
        <v>605896</v>
      </c>
    </row>
    <row r="65" spans="1:53">
      <c r="A65" t="s">
        <v>107</v>
      </c>
      <c r="B65" t="s">
        <v>145</v>
      </c>
      <c r="C65">
        <v>5.9448577164860697E-3</v>
      </c>
      <c r="D65">
        <v>5.9448850790564797E-3</v>
      </c>
      <c r="E65">
        <v>5.9465163432515598E-3</v>
      </c>
      <c r="F65">
        <v>5.9473816049273598E-3</v>
      </c>
      <c r="G65">
        <v>5.9504174874827499E-3</v>
      </c>
      <c r="H65">
        <v>5.95909832881341E-3</v>
      </c>
      <c r="I65">
        <v>5.9696904889535701E-3</v>
      </c>
      <c r="J65">
        <v>6.0115790308509802E-3</v>
      </c>
      <c r="K65">
        <v>6.0799295938273202E-3</v>
      </c>
      <c r="L65">
        <v>6.19490530519277E-3</v>
      </c>
      <c r="M65">
        <v>6.3993509711421197E-3</v>
      </c>
      <c r="N65">
        <v>6.6908764752852097E-3</v>
      </c>
      <c r="O65">
        <v>7.0814650297949203E-3</v>
      </c>
      <c r="P65">
        <v>7.6530371006810101E-3</v>
      </c>
      <c r="Q65">
        <v>8.4082962707634195E-3</v>
      </c>
      <c r="R65">
        <v>9.4095608349074704E-3</v>
      </c>
      <c r="S65">
        <v>1.04339839941851E-2</v>
      </c>
      <c r="T65">
        <v>1.11329768800436E-2</v>
      </c>
      <c r="U65">
        <v>1.15055922894132E-2</v>
      </c>
      <c r="V65">
        <v>1.15618013414245E-2</v>
      </c>
      <c r="W65">
        <v>1.1322592177118101E-2</v>
      </c>
      <c r="X65">
        <v>1.0326730997122099E-2</v>
      </c>
      <c r="Y65">
        <v>9.2433218901261903E-3</v>
      </c>
      <c r="Z65">
        <v>8.2324341463987493E-3</v>
      </c>
      <c r="AA65">
        <v>8.2231375099356893E-3</v>
      </c>
      <c r="AB65">
        <v>7.3390236062997804E-3</v>
      </c>
      <c r="AC65">
        <v>6.8748084249244702E-3</v>
      </c>
      <c r="AD65">
        <v>7.1314730273643297E-3</v>
      </c>
      <c r="AE65">
        <v>7.7013226184496899E-3</v>
      </c>
      <c r="AF65">
        <v>7.5801993466789496E-3</v>
      </c>
      <c r="AG65">
        <v>8.5861778339654405E-3</v>
      </c>
      <c r="AH65">
        <v>8.5785135044568108E-3</v>
      </c>
      <c r="AI65">
        <v>8.4936730802565395E-3</v>
      </c>
      <c r="AJ65">
        <v>9.9378881987577591E-3</v>
      </c>
      <c r="AK65">
        <v>1.23287671232877E-2</v>
      </c>
      <c r="AL65">
        <v>1.4525368248772499E-2</v>
      </c>
      <c r="AM65">
        <v>1.66431593794076E-2</v>
      </c>
      <c r="AN65">
        <v>1.81031090121999E-2</v>
      </c>
      <c r="AO65">
        <v>1.6733987305251E-2</v>
      </c>
      <c r="AP65">
        <v>9.0826521344232504E-3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347039</v>
      </c>
    </row>
    <row r="66" spans="1:53">
      <c r="A66" t="s">
        <v>58</v>
      </c>
      <c r="B66" t="s">
        <v>10</v>
      </c>
      <c r="C66">
        <v>0.214691475876747</v>
      </c>
      <c r="D66">
        <v>0.214692464043479</v>
      </c>
      <c r="E66">
        <v>0.214751375212474</v>
      </c>
      <c r="F66">
        <v>0.214781702177821</v>
      </c>
      <c r="G66">
        <v>0.214880282170308</v>
      </c>
      <c r="H66">
        <v>0.215164235075264</v>
      </c>
      <c r="I66">
        <v>0.21580134855011901</v>
      </c>
      <c r="J66">
        <v>0.21728177352311401</v>
      </c>
      <c r="K66">
        <v>0.22028103670813201</v>
      </c>
      <c r="L66">
        <v>0.22559389799875701</v>
      </c>
      <c r="M66">
        <v>0.23416025250001801</v>
      </c>
      <c r="N66">
        <v>0.24716318650667801</v>
      </c>
      <c r="O66">
        <v>0.26504466539628002</v>
      </c>
      <c r="P66">
        <v>0.289306417338418</v>
      </c>
      <c r="Q66">
        <v>0.32565591572873198</v>
      </c>
      <c r="R66">
        <v>0.37401142785480801</v>
      </c>
      <c r="S66">
        <v>0.43111090374655903</v>
      </c>
      <c r="T66">
        <v>0.49262958562305098</v>
      </c>
      <c r="U66">
        <v>0.55606186947279401</v>
      </c>
      <c r="V66">
        <v>0.615713829447461</v>
      </c>
      <c r="W66">
        <v>0.67177426313778199</v>
      </c>
      <c r="X66">
        <v>0.72397925419763898</v>
      </c>
      <c r="Y66">
        <v>0.76588339340224598</v>
      </c>
      <c r="Z66">
        <v>0.80196357059811396</v>
      </c>
      <c r="AA66">
        <v>0.83151961846954303</v>
      </c>
      <c r="AB66">
        <v>0.85698725045534097</v>
      </c>
      <c r="AC66">
        <v>0.87962516968078097</v>
      </c>
      <c r="AD66">
        <v>0.89632350954914997</v>
      </c>
      <c r="AE66">
        <v>0.91009542943244603</v>
      </c>
      <c r="AF66">
        <v>0.91984253287545004</v>
      </c>
      <c r="AG66">
        <v>0.930046354825116</v>
      </c>
      <c r="AH66">
        <v>0.93861001273373101</v>
      </c>
      <c r="AI66">
        <v>0.94687120818166104</v>
      </c>
      <c r="AJ66">
        <v>0.94669678147938996</v>
      </c>
      <c r="AK66">
        <v>0.95205479452054798</v>
      </c>
      <c r="AL66">
        <v>0.95192307692307698</v>
      </c>
      <c r="AM66">
        <v>0.95035260930888599</v>
      </c>
      <c r="AN66">
        <v>0.95631641086186503</v>
      </c>
      <c r="AO66">
        <v>0.96133871898442003</v>
      </c>
      <c r="AP66">
        <v>0.96639418710263403</v>
      </c>
      <c r="AQ66">
        <v>0.97988505747126398</v>
      </c>
      <c r="AR66">
        <v>0.98611111111111105</v>
      </c>
      <c r="AS66">
        <v>0.987179487179487</v>
      </c>
      <c r="AT66">
        <v>1</v>
      </c>
      <c r="AU66">
        <v>1</v>
      </c>
      <c r="AV66">
        <v>1</v>
      </c>
      <c r="AW66">
        <v>1</v>
      </c>
      <c r="AX66">
        <v>1</v>
      </c>
      <c r="AY66">
        <v>1</v>
      </c>
      <c r="AZ66">
        <v>1</v>
      </c>
      <c r="BA66">
        <v>12413365</v>
      </c>
    </row>
    <row r="67" spans="1:53">
      <c r="A67" t="s">
        <v>58</v>
      </c>
      <c r="B67" t="s">
        <v>11</v>
      </c>
      <c r="C67">
        <v>0.230086613760072</v>
      </c>
      <c r="D67">
        <v>0.23008767278645501</v>
      </c>
      <c r="E67">
        <v>0.23015080836895299</v>
      </c>
      <c r="F67">
        <v>0.23018337606459799</v>
      </c>
      <c r="G67">
        <v>0.230284289534157</v>
      </c>
      <c r="H67">
        <v>0.230574105327847</v>
      </c>
      <c r="I67">
        <v>0.23124033096230701</v>
      </c>
      <c r="J67">
        <v>0.23277677475939201</v>
      </c>
      <c r="K67">
        <v>0.235904302989322</v>
      </c>
      <c r="L67">
        <v>0.241462731516044</v>
      </c>
      <c r="M67">
        <v>0.25042888832350901</v>
      </c>
      <c r="N67">
        <v>0.26412281373396201</v>
      </c>
      <c r="O67">
        <v>0.28276811529896301</v>
      </c>
      <c r="P67">
        <v>0.30803440556908701</v>
      </c>
      <c r="Q67">
        <v>0.34560826499298603</v>
      </c>
      <c r="R67">
        <v>0.395203514574826</v>
      </c>
      <c r="S67">
        <v>0.45376411681936601</v>
      </c>
      <c r="T67">
        <v>0.51573407099361401</v>
      </c>
      <c r="U67">
        <v>0.58025532314702799</v>
      </c>
      <c r="V67">
        <v>0.63956956489693595</v>
      </c>
      <c r="W67">
        <v>0.69492486532463804</v>
      </c>
      <c r="X67">
        <v>0.74558689997999295</v>
      </c>
      <c r="Y67">
        <v>0.78676645396882805</v>
      </c>
      <c r="Z67">
        <v>0.82217472490047105</v>
      </c>
      <c r="AA67">
        <v>0.85108750632271102</v>
      </c>
      <c r="AB67">
        <v>0.87362951323167004</v>
      </c>
      <c r="AC67">
        <v>0.89350615229671104</v>
      </c>
      <c r="AD67">
        <v>0.90931683729976498</v>
      </c>
      <c r="AE67">
        <v>0.92201573748535104</v>
      </c>
      <c r="AF67">
        <v>0.93039618058463902</v>
      </c>
      <c r="AG67">
        <v>0.94084492203961201</v>
      </c>
      <c r="AH67">
        <v>0.94946719388780898</v>
      </c>
      <c r="AI67">
        <v>0.95839833593343704</v>
      </c>
      <c r="AJ67">
        <v>0.95855448898927198</v>
      </c>
      <c r="AK67">
        <v>0.96392694063926898</v>
      </c>
      <c r="AL67">
        <v>0.96767594108019594</v>
      </c>
      <c r="AM67">
        <v>0.96614950634696795</v>
      </c>
      <c r="AN67">
        <v>0.96851633215269595</v>
      </c>
      <c r="AO67">
        <v>0.97461050201961896</v>
      </c>
      <c r="AP67">
        <v>0.99000908265213405</v>
      </c>
      <c r="AQ67">
        <v>0.99281609195402298</v>
      </c>
      <c r="AR67">
        <v>0.98842592592592604</v>
      </c>
      <c r="AS67">
        <v>0.987179487179487</v>
      </c>
      <c r="AT67">
        <v>1</v>
      </c>
      <c r="AU67">
        <v>1</v>
      </c>
      <c r="AV67">
        <v>1</v>
      </c>
      <c r="AW67">
        <v>1</v>
      </c>
      <c r="AX67">
        <v>1</v>
      </c>
      <c r="AY67">
        <v>1</v>
      </c>
      <c r="AZ67">
        <v>1</v>
      </c>
      <c r="BA67">
        <v>13731589</v>
      </c>
    </row>
    <row r="68" spans="1:53">
      <c r="A68" t="s">
        <v>108</v>
      </c>
      <c r="B68" t="s">
        <v>146</v>
      </c>
      <c r="C68">
        <v>2.6996723792410499E-2</v>
      </c>
      <c r="D68">
        <v>2.6996848051020299E-2</v>
      </c>
      <c r="E68">
        <v>2.7004255930402399E-2</v>
      </c>
      <c r="F68">
        <v>2.7008185247399299E-2</v>
      </c>
      <c r="G68">
        <v>2.7021971764541099E-2</v>
      </c>
      <c r="H68">
        <v>2.7061393107635601E-2</v>
      </c>
      <c r="I68">
        <v>2.7146908268780499E-2</v>
      </c>
      <c r="J68">
        <v>2.73576763562908E-2</v>
      </c>
      <c r="K68">
        <v>2.7783125468845E-2</v>
      </c>
      <c r="L68">
        <v>2.8538722549630999E-2</v>
      </c>
      <c r="M68">
        <v>2.9776446750921899E-2</v>
      </c>
      <c r="N68">
        <v>3.1632083830108397E-2</v>
      </c>
      <c r="O68">
        <v>3.4293238609994198E-2</v>
      </c>
      <c r="P68">
        <v>3.7909890047539301E-2</v>
      </c>
      <c r="Q68">
        <v>4.3351637216086397E-2</v>
      </c>
      <c r="R68">
        <v>5.0563162803821803E-2</v>
      </c>
      <c r="S68">
        <v>5.8515275264164703E-2</v>
      </c>
      <c r="T68">
        <v>6.6055250259913906E-2</v>
      </c>
      <c r="U68">
        <v>7.2290665946343799E-2</v>
      </c>
      <c r="V68">
        <v>7.5114856398791202E-2</v>
      </c>
      <c r="W68">
        <v>7.4900457341502205E-2</v>
      </c>
      <c r="X68">
        <v>7.1456053680533094E-2</v>
      </c>
      <c r="Y68">
        <v>6.5283338246621705E-2</v>
      </c>
      <c r="Z68">
        <v>5.8272950405749799E-2</v>
      </c>
      <c r="AA68">
        <v>5.0755112363610098E-2</v>
      </c>
      <c r="AB68">
        <v>4.4551980286418297E-2</v>
      </c>
      <c r="AC68">
        <v>3.94754127074484E-2</v>
      </c>
      <c r="AD68">
        <v>3.5144115184094701E-2</v>
      </c>
      <c r="AE68">
        <v>3.1274066633182697E-2</v>
      </c>
      <c r="AF68">
        <v>2.9566965407488099E-2</v>
      </c>
      <c r="AG68">
        <v>2.9024441635061099E-2</v>
      </c>
      <c r="AH68">
        <v>2.7545070705716799E-2</v>
      </c>
      <c r="AI68">
        <v>2.68677413763217E-2</v>
      </c>
      <c r="AJ68">
        <v>2.6877470355731198E-2</v>
      </c>
      <c r="AK68">
        <v>2.78538812785388E-2</v>
      </c>
      <c r="AL68">
        <v>3.0482815057283098E-2</v>
      </c>
      <c r="AM68">
        <v>2.7362482369534601E-2</v>
      </c>
      <c r="AN68">
        <v>2.79417552144825E-2</v>
      </c>
      <c r="AO68">
        <v>2.9428736295441401E-2</v>
      </c>
      <c r="AP68">
        <v>2.27066303360581E-2</v>
      </c>
      <c r="AQ68">
        <v>1.72413793103448E-2</v>
      </c>
      <c r="AR68">
        <v>2.5462962962963E-2</v>
      </c>
      <c r="AS68">
        <v>4.2735042735042701E-2</v>
      </c>
      <c r="AT68">
        <v>4.9645390070922002E-2</v>
      </c>
      <c r="AU68">
        <v>7.0000000000000007E-2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1266582</v>
      </c>
    </row>
    <row r="69" spans="1:53">
      <c r="A69" t="s">
        <v>108</v>
      </c>
      <c r="B69" t="s">
        <v>37</v>
      </c>
      <c r="C69" s="1">
        <v>7.8246036838234106E-5</v>
      </c>
      <c r="D69" s="1">
        <v>7.8246396983555399E-5</v>
      </c>
      <c r="E69" s="1">
        <v>7.8267867633382296E-5</v>
      </c>
      <c r="F69" s="1">
        <v>7.8279256181298397E-5</v>
      </c>
      <c r="G69" s="1">
        <v>7.8319214375353603E-5</v>
      </c>
      <c r="H69" s="1">
        <v>7.8433471345484696E-5</v>
      </c>
      <c r="I69" s="1">
        <v>7.8694741247061699E-5</v>
      </c>
      <c r="J69" s="1">
        <v>7.9308430486160696E-5</v>
      </c>
      <c r="K69" s="1">
        <v>8.0610515594341299E-5</v>
      </c>
      <c r="L69" s="1">
        <v>8.2950055283772105E-5</v>
      </c>
      <c r="M69" s="1">
        <v>8.6850524117368806E-5</v>
      </c>
      <c r="N69" s="1">
        <v>9.2974415628452399E-5</v>
      </c>
      <c r="O69">
        <v>1.01934721004669E-4</v>
      </c>
      <c r="P69">
        <v>1.13478396550257E-4</v>
      </c>
      <c r="Q69">
        <v>1.2926020078417899E-4</v>
      </c>
      <c r="R69">
        <v>1.43044135974229E-4</v>
      </c>
      <c r="S69">
        <v>1.62071768325774E-4</v>
      </c>
      <c r="T69">
        <v>1.8255854250210401E-4</v>
      </c>
      <c r="U69">
        <v>2.07484311445696E-4</v>
      </c>
      <c r="V69">
        <v>2.1128663734859801E-4</v>
      </c>
      <c r="W69">
        <v>2.34218019994823E-4</v>
      </c>
      <c r="X69">
        <v>2.0007079428105301E-4</v>
      </c>
      <c r="Y69">
        <v>1.9019180843881099E-4</v>
      </c>
      <c r="Z69">
        <v>1.6441380606217201E-4</v>
      </c>
      <c r="AA69">
        <v>1.73422935183178E-4</v>
      </c>
      <c r="AB69" s="1">
        <v>3.57130102496339E-5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5388</v>
      </c>
    </row>
    <row r="70" spans="1:53">
      <c r="A70" t="s">
        <v>108</v>
      </c>
      <c r="B70" t="s">
        <v>69</v>
      </c>
      <c r="C70">
        <v>1.9312962974895899E-3</v>
      </c>
      <c r="D70">
        <v>1.93130518672352E-3</v>
      </c>
      <c r="E70">
        <v>1.93183513288042E-3</v>
      </c>
      <c r="F70">
        <v>1.9321162290395801E-3</v>
      </c>
      <c r="G70">
        <v>1.9331024912881401E-3</v>
      </c>
      <c r="H70">
        <v>1.9359226221509001E-3</v>
      </c>
      <c r="I70">
        <v>1.94237137807453E-3</v>
      </c>
      <c r="J70">
        <v>1.9565856321115201E-3</v>
      </c>
      <c r="K70">
        <v>1.98870883766275E-3</v>
      </c>
      <c r="L70">
        <v>2.0386195939741201E-3</v>
      </c>
      <c r="M70">
        <v>2.1293704971834899E-3</v>
      </c>
      <c r="N70">
        <v>2.2652942913708798E-3</v>
      </c>
      <c r="O70">
        <v>2.4296440559465702E-3</v>
      </c>
      <c r="P70">
        <v>2.65728578588518E-3</v>
      </c>
      <c r="Q70">
        <v>2.92511046959752E-3</v>
      </c>
      <c r="R70">
        <v>3.2527844618797201E-3</v>
      </c>
      <c r="S70">
        <v>3.4648979561767799E-3</v>
      </c>
      <c r="T70">
        <v>3.5830981731768902E-3</v>
      </c>
      <c r="U70">
        <v>3.5350628912351602E-3</v>
      </c>
      <c r="V70">
        <v>3.2282632729774201E-3</v>
      </c>
      <c r="W70">
        <v>2.8599252967788898E-3</v>
      </c>
      <c r="X70">
        <v>2.3238992258799301E-3</v>
      </c>
      <c r="Y70">
        <v>1.7212358663712399E-3</v>
      </c>
      <c r="Z70">
        <v>1.3270542917875299E-3</v>
      </c>
      <c r="AA70">
        <v>9.9718187730327298E-4</v>
      </c>
      <c r="AB70">
        <v>9.9996428698974999E-4</v>
      </c>
      <c r="AC70">
        <v>6.7872312475368904E-4</v>
      </c>
      <c r="AD70">
        <v>6.7532888516707603E-4</v>
      </c>
      <c r="AE70">
        <v>6.6968022769127705E-4</v>
      </c>
      <c r="AF70">
        <v>7.5383197922774105E-4</v>
      </c>
      <c r="AG70">
        <v>7.9013906447534805E-4</v>
      </c>
      <c r="AH70">
        <v>1.0052945513035301E-3</v>
      </c>
      <c r="AI70">
        <v>1.2133818686080799E-3</v>
      </c>
      <c r="AJ70">
        <v>1.3551665725578799E-3</v>
      </c>
      <c r="AK70">
        <v>1.5220700152207001E-3</v>
      </c>
      <c r="AL70">
        <v>1.22749590834697E-3</v>
      </c>
      <c r="AM70">
        <v>1.6925246826516201E-3</v>
      </c>
      <c r="AN70">
        <v>1.18063754427391E-3</v>
      </c>
      <c r="AO70">
        <v>1.73110213502597E-3</v>
      </c>
      <c r="AP70">
        <v>9.0826521344232502E-4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137102</v>
      </c>
    </row>
    <row r="71" spans="1:53">
      <c r="A71" t="s">
        <v>108</v>
      </c>
      <c r="B71" t="s">
        <v>70</v>
      </c>
      <c r="C71">
        <v>1.44386951506789E-2</v>
      </c>
      <c r="D71">
        <v>1.4438761608083101E-2</v>
      </c>
      <c r="E71">
        <v>1.44427235744659E-2</v>
      </c>
      <c r="F71">
        <v>1.4444825096513699E-2</v>
      </c>
      <c r="G71">
        <v>1.4452198558557901E-2</v>
      </c>
      <c r="H71">
        <v>1.4473282330046199E-2</v>
      </c>
      <c r="I71">
        <v>1.4521494311296001E-2</v>
      </c>
      <c r="J71">
        <v>1.4633804985234601E-2</v>
      </c>
      <c r="K71">
        <v>1.4866475793610501E-2</v>
      </c>
      <c r="L71">
        <v>1.52794001832708E-2</v>
      </c>
      <c r="M71">
        <v>1.5974365812364E-2</v>
      </c>
      <c r="N71">
        <v>1.7039475843059201E-2</v>
      </c>
      <c r="O71">
        <v>1.8568908471015201E-2</v>
      </c>
      <c r="P71">
        <v>2.0673332171530698E-2</v>
      </c>
      <c r="Q71">
        <v>2.39115413401251E-2</v>
      </c>
      <c r="R71">
        <v>2.8297265309641599E-2</v>
      </c>
      <c r="S71">
        <v>3.3180511115422098E-2</v>
      </c>
      <c r="T71">
        <v>3.8427026090400503E-2</v>
      </c>
      <c r="U71">
        <v>4.2569517031330099E-2</v>
      </c>
      <c r="V71">
        <v>4.5102326609832197E-2</v>
      </c>
      <c r="W71">
        <v>4.62272407884518E-2</v>
      </c>
      <c r="X71">
        <v>4.51159641103775E-2</v>
      </c>
      <c r="Y71">
        <v>4.2051408845821002E-2</v>
      </c>
      <c r="Z71">
        <v>3.6899155617667399E-2</v>
      </c>
      <c r="AA71">
        <v>3.08548305513404E-2</v>
      </c>
      <c r="AB71">
        <v>2.53205242669905E-2</v>
      </c>
      <c r="AC71">
        <v>2.07776853352016E-2</v>
      </c>
      <c r="AD71">
        <v>1.6964261595397E-2</v>
      </c>
      <c r="AE71">
        <v>1.5101289134438299E-2</v>
      </c>
      <c r="AF71">
        <v>1.48253622581456E-2</v>
      </c>
      <c r="AG71">
        <v>1.46965865992415E-2</v>
      </c>
      <c r="AH71">
        <v>1.4409221902017299E-2</v>
      </c>
      <c r="AI71">
        <v>1.3607210955104899E-2</v>
      </c>
      <c r="AJ71">
        <v>1.26482213438735E-2</v>
      </c>
      <c r="AK71">
        <v>1.33942161339422E-2</v>
      </c>
      <c r="AL71">
        <v>1.16612111292962E-2</v>
      </c>
      <c r="AM71">
        <v>1.01551480959097E-2</v>
      </c>
      <c r="AN71">
        <v>9.8386462022825704E-3</v>
      </c>
      <c r="AO71">
        <v>9.8095787651471394E-3</v>
      </c>
      <c r="AP71">
        <v>9.0826521344232504E-3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674366</v>
      </c>
    </row>
    <row r="72" spans="1:53">
      <c r="A72" t="s">
        <v>59</v>
      </c>
      <c r="B72" t="s">
        <v>12</v>
      </c>
      <c r="C72">
        <v>4.05139567916179E-2</v>
      </c>
      <c r="D72">
        <v>4.0514143266391203E-2</v>
      </c>
      <c r="E72">
        <v>4.0525260263679801E-2</v>
      </c>
      <c r="F72">
        <v>4.0531156985824997E-2</v>
      </c>
      <c r="G72">
        <v>4.0551846398514002E-2</v>
      </c>
      <c r="H72">
        <v>4.0606392235639999E-2</v>
      </c>
      <c r="I72">
        <v>4.0733323889964403E-2</v>
      </c>
      <c r="J72">
        <v>4.1021119368518301E-2</v>
      </c>
      <c r="K72">
        <v>4.1614941585827001E-2</v>
      </c>
      <c r="L72">
        <v>4.2667556671965701E-2</v>
      </c>
      <c r="M72">
        <v>4.43693783443838E-2</v>
      </c>
      <c r="N72">
        <v>4.7046148124651299E-2</v>
      </c>
      <c r="O72">
        <v>5.0840241909081402E-2</v>
      </c>
      <c r="P72">
        <v>5.59840265647523E-2</v>
      </c>
      <c r="Q72">
        <v>6.4058802220722202E-2</v>
      </c>
      <c r="R72">
        <v>7.52392560137322E-2</v>
      </c>
      <c r="S72">
        <v>8.9237697893312595E-2</v>
      </c>
      <c r="T72">
        <v>0.10553430862914</v>
      </c>
      <c r="U72">
        <v>0.12396600389131</v>
      </c>
      <c r="V72">
        <v>0.14177333366090999</v>
      </c>
      <c r="W72">
        <v>0.161055706906966</v>
      </c>
      <c r="X72">
        <v>0.17964818320328699</v>
      </c>
      <c r="Y72">
        <v>0.196544214840667</v>
      </c>
      <c r="Z72">
        <v>0.21243438127561601</v>
      </c>
      <c r="AA72">
        <v>0.225709950140906</v>
      </c>
      <c r="AB72">
        <v>0.237991500303561</v>
      </c>
      <c r="AC72">
        <v>0.247493103297281</v>
      </c>
      <c r="AD72">
        <v>0.25648991058645598</v>
      </c>
      <c r="AE72">
        <v>0.2652938221999</v>
      </c>
      <c r="AF72">
        <v>0.26911801658430401</v>
      </c>
      <c r="AG72">
        <v>0.27881373788453401</v>
      </c>
      <c r="AH72">
        <v>0.289591850412171</v>
      </c>
      <c r="AI72">
        <v>0.29355174206968299</v>
      </c>
      <c r="AJ72">
        <v>0.299717673630717</v>
      </c>
      <c r="AK72">
        <v>0.30456621004566198</v>
      </c>
      <c r="AL72">
        <v>0.31137479541734903</v>
      </c>
      <c r="AM72">
        <v>0.29957686882933698</v>
      </c>
      <c r="AN72">
        <v>0.29161747343565497</v>
      </c>
      <c r="AO72">
        <v>0.281015579919215</v>
      </c>
      <c r="AP72">
        <v>0.29336966394187097</v>
      </c>
      <c r="AQ72">
        <v>0.34195402298850602</v>
      </c>
      <c r="AR72">
        <v>0.342592592592593</v>
      </c>
      <c r="AS72">
        <v>0.29059829059829101</v>
      </c>
      <c r="AT72">
        <v>0.269503546099291</v>
      </c>
      <c r="AU72">
        <v>0.26</v>
      </c>
      <c r="AV72">
        <v>0.17777777777777801</v>
      </c>
      <c r="AW72">
        <v>0</v>
      </c>
      <c r="AX72">
        <v>0</v>
      </c>
      <c r="AY72">
        <v>0</v>
      </c>
      <c r="AZ72">
        <v>0</v>
      </c>
      <c r="BA72">
        <v>1990982</v>
      </c>
    </row>
    <row r="73" spans="1:53">
      <c r="A73" t="s">
        <v>118</v>
      </c>
      <c r="B73" t="s">
        <v>36</v>
      </c>
      <c r="C73">
        <v>1.8086801550560298E-2</v>
      </c>
      <c r="D73">
        <v>1.8086884799210501E-2</v>
      </c>
      <c r="E73">
        <v>1.8091847803066999E-2</v>
      </c>
      <c r="F73">
        <v>1.8089875637285199E-2</v>
      </c>
      <c r="G73">
        <v>1.8099109740883201E-2</v>
      </c>
      <c r="H73">
        <v>1.8116286387363501E-2</v>
      </c>
      <c r="I73">
        <v>1.8152562254484E-2</v>
      </c>
      <c r="J73">
        <v>1.82232112450024E-2</v>
      </c>
      <c r="K73">
        <v>1.83820426325308E-2</v>
      </c>
      <c r="L73">
        <v>1.86598589068354E-2</v>
      </c>
      <c r="M73">
        <v>1.92052053095302E-2</v>
      </c>
      <c r="N73">
        <v>2.0074817059164501E-2</v>
      </c>
      <c r="O73">
        <v>2.1267180497609301E-2</v>
      </c>
      <c r="P73">
        <v>2.2884809970968398E-2</v>
      </c>
      <c r="Q73">
        <v>2.56126694146428E-2</v>
      </c>
      <c r="R73">
        <v>2.9612095655377299E-2</v>
      </c>
      <c r="S73">
        <v>3.4766849938731997E-2</v>
      </c>
      <c r="T73">
        <v>4.0295930491608498E-2</v>
      </c>
      <c r="U73">
        <v>4.6543037335431699E-2</v>
      </c>
      <c r="V73">
        <v>5.2802004766233403E-2</v>
      </c>
      <c r="W73">
        <v>5.96084860886823E-2</v>
      </c>
      <c r="X73">
        <v>6.5292334210566794E-2</v>
      </c>
      <c r="Y73">
        <v>7.10366404518957E-2</v>
      </c>
      <c r="Z73">
        <v>7.5571631572148301E-2</v>
      </c>
      <c r="AA73">
        <v>7.9543319604017601E-2</v>
      </c>
      <c r="AB73">
        <v>8.1622084925538393E-2</v>
      </c>
      <c r="AC73">
        <v>8.2891798397337693E-2</v>
      </c>
      <c r="AD73">
        <v>8.5820794727032093E-2</v>
      </c>
      <c r="AE73">
        <v>8.9335342374016399E-2</v>
      </c>
      <c r="AF73">
        <v>9.3182008543429104E-2</v>
      </c>
      <c r="AG73">
        <v>9.3131057732827593E-2</v>
      </c>
      <c r="AH73">
        <v>9.6240198378124794E-2</v>
      </c>
      <c r="AI73">
        <v>0.10322412896515901</v>
      </c>
      <c r="AJ73">
        <v>0.107058159232072</v>
      </c>
      <c r="AK73">
        <v>0.116133942161339</v>
      </c>
      <c r="AL73">
        <v>0.119067103109656</v>
      </c>
      <c r="AM73">
        <v>0.122990126939351</v>
      </c>
      <c r="AN73">
        <v>0.12396694214876</v>
      </c>
      <c r="AO73">
        <v>0.122331217541835</v>
      </c>
      <c r="AP73">
        <v>0.102633969118983</v>
      </c>
      <c r="AQ73">
        <v>8.7643678160919503E-2</v>
      </c>
      <c r="AR73">
        <v>8.5648148148148195E-2</v>
      </c>
      <c r="AS73">
        <v>9.8290598290598302E-2</v>
      </c>
      <c r="AT73">
        <v>0.120567375886525</v>
      </c>
      <c r="AU73">
        <v>0.13</v>
      </c>
      <c r="AV73">
        <v>8.8888888888888906E-2</v>
      </c>
      <c r="AW73">
        <v>0</v>
      </c>
      <c r="AX73">
        <v>0</v>
      </c>
      <c r="AY73">
        <v>0</v>
      </c>
      <c r="AZ73">
        <v>0</v>
      </c>
      <c r="BA73">
        <v>857128</v>
      </c>
    </row>
  </sheetData>
  <sortState ref="A4:BA73">
    <sortCondition ref="A5:A73"/>
  </sortState>
  <phoneticPr fontId="19" type="noConversion"/>
  <pageMargins left="0.75" right="0.75" top="1" bottom="1" header="0.5" footer="0.5"/>
  <extLst>
    <ext xmlns:mx="http://schemas.microsoft.com/office/mac/excel/2008/main" uri="http://schemas.microsoft.com/office/mac/excel/2008/main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mv="urn:schemas-microsoft-com:mac:vml" mc:Ignorable="mv" mc:PreserveAttributes="mv:*">
  <dimension ref="A1:BA73"/>
  <sheetViews>
    <sheetView workbookViewId="0">
      <pane xSplit="2" ySplit="4" topLeftCell="C14" activePane="bottomRight" state="frozen"/>
      <selection pane="topRight" activeCell="C1" sqref="C1"/>
      <selection pane="bottomLeft" activeCell="A5" sqref="A5"/>
      <selection pane="bottomRight" activeCell="A5" sqref="A5:AZ73"/>
    </sheetView>
  </sheetViews>
  <sheetFormatPr baseColWidth="10" defaultColWidth="8.625" defaultRowHeight="15"/>
  <cols>
    <col min="1" max="1" width="22.75" customWidth="1"/>
    <col min="2" max="2" width="16.5" customWidth="1"/>
  </cols>
  <sheetData>
    <row r="1" spans="1:53">
      <c r="B1" s="3" t="s">
        <v>60</v>
      </c>
      <c r="C1">
        <f>-1.95536309524139+(0*((5.06534582371868--1.95536309524139)/50))</f>
        <v>-1.9553630952413901</v>
      </c>
      <c r="D1">
        <f>-1.95536309524139+(1*((5.06534582371868--1.95536309524139)/50))</f>
        <v>-1.8149489168621886</v>
      </c>
      <c r="E1">
        <f>-1.95536309524139+(2*((5.06534582371868--1.95536309524139)/50))</f>
        <v>-1.6745347384829872</v>
      </c>
      <c r="F1">
        <f>-1.95536309524139+(3*((5.06534582371868--1.95536309524139)/50))</f>
        <v>-1.5341205601037859</v>
      </c>
      <c r="G1">
        <f>-1.95536309524139+(4*((5.06534582371868--1.95536309524139)/50))</f>
        <v>-1.3937063817245845</v>
      </c>
      <c r="H1">
        <f>-1.95536309524139+(5*((5.06534582371868--1.95536309524139)/50))</f>
        <v>-1.253292203345383</v>
      </c>
      <c r="I1">
        <f>-1.95536309524139+(6*((5.06534582371868--1.95536309524139)/50))</f>
        <v>-1.1128780249661818</v>
      </c>
      <c r="J1">
        <f>-1.95536309524139+(7*((5.06534582371868--1.95536309524139)/50))</f>
        <v>-0.97246384658698037</v>
      </c>
      <c r="K1">
        <f>-1.95536309524139+(8*((5.06534582371868--1.95536309524139)/50))</f>
        <v>-0.83204966820777893</v>
      </c>
      <c r="L1">
        <f>-1.95536309524139+(9*((5.06534582371868--1.95536309524139)/50))</f>
        <v>-0.69163548982857748</v>
      </c>
      <c r="M1">
        <f>-1.95536309524139+(10*((5.06534582371868--1.95536309524139)/50))</f>
        <v>-0.55122131144937603</v>
      </c>
      <c r="N1">
        <f>-1.95536309524139+(11*((5.06534582371868--1.95536309524139)/50))</f>
        <v>-0.4108071330701748</v>
      </c>
      <c r="O1">
        <f>-1.95536309524139+(12*((5.06534582371868--1.95536309524139)/50))</f>
        <v>-0.27039295469097335</v>
      </c>
      <c r="P1">
        <f>-1.95536309524139+(13*((5.06534582371868--1.95536309524139)/50))</f>
        <v>-0.1299787763117719</v>
      </c>
      <c r="Q1">
        <f>-1.95536309524139+(14*((5.06534582371868--1.95536309524139)/50))</f>
        <v>1.0435402067429322E-2</v>
      </c>
      <c r="R1">
        <f>-1.95536309524139+(15*((5.06534582371868--1.95536309524139)/50))</f>
        <v>0.15084958044663077</v>
      </c>
      <c r="S1">
        <f>-1.95536309524139+(16*((5.06534582371868--1.95536309524139)/50))</f>
        <v>0.29126375882583222</v>
      </c>
      <c r="T1">
        <f>-1.95536309524139+(17*((5.06534582371868--1.95536309524139)/50))</f>
        <v>0.43167793720503367</v>
      </c>
      <c r="U1">
        <f>-1.95536309524139+(18*((5.06534582371868--1.95536309524139)/50))</f>
        <v>0.57209211558423512</v>
      </c>
      <c r="V1">
        <f>-1.95536309524139+(19*((5.06534582371868--1.95536309524139)/50))</f>
        <v>0.71250629396343657</v>
      </c>
      <c r="W1">
        <f>-1.95536309524139+(20*((5.06534582371868--1.95536309524139)/50))</f>
        <v>0.85292047234263801</v>
      </c>
      <c r="X1">
        <f>-1.95536309524139+(21*((5.06534582371868--1.95536309524139)/50))</f>
        <v>0.99333465072183902</v>
      </c>
      <c r="Y1">
        <f>-1.95536309524139+(22*((5.06534582371868--1.95536309524139)/50))</f>
        <v>1.1337488291010405</v>
      </c>
      <c r="Z1">
        <f>-1.95536309524139+(23*((5.06534582371868--1.95536309524139)/50))</f>
        <v>1.2741630074802419</v>
      </c>
      <c r="AA1">
        <f>-1.95536309524139+(24*((5.06534582371868--1.95536309524139)/50))</f>
        <v>1.4145771858594434</v>
      </c>
      <c r="AB1">
        <f>-1.95536309524139+(25*((5.06534582371868--1.95536309524139)/50))</f>
        <v>1.5549913642386448</v>
      </c>
      <c r="AC1">
        <f>-1.95536309524139+(26*((5.06534582371868--1.95536309524139)/50))</f>
        <v>1.6954055426178463</v>
      </c>
      <c r="AD1">
        <f>-1.95536309524139+(27*((5.06534582371868--1.95536309524139)/50))</f>
        <v>1.8358197209970477</v>
      </c>
      <c r="AE1">
        <f>-1.95536309524139+(28*((5.06534582371868--1.95536309524139)/50))</f>
        <v>1.9762338993762487</v>
      </c>
      <c r="AF1">
        <f>-1.95536309524139+(29*((5.06534582371868--1.95536309524139)/50))</f>
        <v>2.1166480777554506</v>
      </c>
      <c r="AG1">
        <f>-1.95536309524139+(30*((5.06534582371868--1.95536309524139)/50))</f>
        <v>2.2570622561346516</v>
      </c>
      <c r="AH1">
        <f>-1.95536309524139+(31*((5.06534582371868--1.95536309524139)/50))</f>
        <v>2.3974764345138535</v>
      </c>
      <c r="AI1">
        <f>-1.95536309524139+(32*((5.06534582371868--1.95536309524139)/50))</f>
        <v>2.5378906128930545</v>
      </c>
      <c r="AJ1">
        <f>-1.95536309524139+(33*((5.06534582371868--1.95536309524139)/50))</f>
        <v>2.6783047912722555</v>
      </c>
      <c r="AK1">
        <f>-1.95536309524139+(34*((5.06534582371868--1.95536309524139)/50))</f>
        <v>2.8187189696514574</v>
      </c>
      <c r="AL1">
        <f>-1.95536309524139+(35*((5.06534582371868--1.95536309524139)/50))</f>
        <v>2.9591331480306584</v>
      </c>
      <c r="AM1">
        <f>-1.95536309524139+(36*((5.06534582371868--1.95536309524139)/50))</f>
        <v>3.0995473264098603</v>
      </c>
      <c r="AN1">
        <f>-1.95536309524139+(37*((5.06534582371868--1.95536309524139)/50))</f>
        <v>3.2399615047890613</v>
      </c>
      <c r="AO1">
        <f>-1.95536309524139+(38*((5.06534582371868--1.95536309524139)/50))</f>
        <v>3.3803756831682632</v>
      </c>
      <c r="AP1">
        <f>-1.95536309524139+(39*((5.06534582371868--1.95536309524139)/50))</f>
        <v>3.5207898615474642</v>
      </c>
      <c r="AQ1">
        <f>-1.95536309524139+(40*((5.06534582371868--1.95536309524139)/50))</f>
        <v>3.6612040399266661</v>
      </c>
      <c r="AR1">
        <f>-1.95536309524139+(41*((5.06534582371868--1.95536309524139)/50))</f>
        <v>3.8016182183058671</v>
      </c>
      <c r="AS1">
        <f>-1.95536309524139+(42*((5.06534582371868--1.95536309524139)/50))</f>
        <v>3.9420323966850681</v>
      </c>
      <c r="AT1">
        <f>-1.95536309524139+(43*((5.06534582371868--1.95536309524139)/50))</f>
        <v>4.08244657506427</v>
      </c>
      <c r="AU1">
        <f>-1.95536309524139+(44*((5.06534582371868--1.95536309524139)/50))</f>
        <v>4.222860753443471</v>
      </c>
      <c r="AV1">
        <f>-1.95536309524139+(45*((5.06534582371868--1.95536309524139)/50))</f>
        <v>4.3632749318226729</v>
      </c>
      <c r="AW1">
        <f>-1.95536309524139+(46*((5.06534582371868--1.95536309524139)/50))</f>
        <v>4.5036891102018739</v>
      </c>
      <c r="AX1">
        <f>-1.95536309524139+(47*((5.06534582371868--1.95536309524139)/50))</f>
        <v>4.6441032885810758</v>
      </c>
      <c r="AY1">
        <f>-1.95536309524139+(48*((5.06534582371868--1.95536309524139)/50))</f>
        <v>4.7845174669602768</v>
      </c>
      <c r="AZ1">
        <f>-1.95536309524139+(49*((5.06534582371868--1.95536309524139)/50))</f>
        <v>4.9249316453394778</v>
      </c>
    </row>
    <row r="2" spans="1:53">
      <c r="B2" s="4" t="s">
        <v>61</v>
      </c>
      <c r="C2">
        <v>1248821</v>
      </c>
      <c r="D2">
        <v>1248820</v>
      </c>
      <c r="E2">
        <v>1248814</v>
      </c>
      <c r="F2">
        <v>1248805</v>
      </c>
      <c r="G2">
        <v>1248731</v>
      </c>
      <c r="H2">
        <v>1248380</v>
      </c>
      <c r="I2">
        <v>1247381</v>
      </c>
      <c r="J2">
        <v>1244742</v>
      </c>
      <c r="K2">
        <v>1238096</v>
      </c>
      <c r="L2">
        <v>1224664</v>
      </c>
      <c r="M2">
        <v>1199790</v>
      </c>
      <c r="N2">
        <v>1159347</v>
      </c>
      <c r="O2">
        <v>1099407</v>
      </c>
      <c r="P2">
        <v>1017972</v>
      </c>
      <c r="Q2">
        <v>916505</v>
      </c>
      <c r="R2">
        <v>779311</v>
      </c>
      <c r="S2">
        <v>638424</v>
      </c>
      <c r="T2">
        <v>507646</v>
      </c>
      <c r="U2">
        <v>399988</v>
      </c>
      <c r="V2">
        <v>314587</v>
      </c>
      <c r="W2">
        <v>249937</v>
      </c>
      <c r="X2">
        <v>200117</v>
      </c>
      <c r="Y2">
        <v>161418</v>
      </c>
      <c r="Z2">
        <v>130084</v>
      </c>
      <c r="AA2">
        <v>103797</v>
      </c>
      <c r="AB2">
        <v>82445</v>
      </c>
      <c r="AC2">
        <v>64976</v>
      </c>
      <c r="AD2">
        <v>50086</v>
      </c>
      <c r="AE2">
        <v>38434</v>
      </c>
      <c r="AF2">
        <v>29382</v>
      </c>
      <c r="AG2">
        <v>22267</v>
      </c>
      <c r="AH2">
        <v>16795</v>
      </c>
      <c r="AI2">
        <v>12619</v>
      </c>
      <c r="AJ2">
        <v>9394</v>
      </c>
      <c r="AK2">
        <v>6728</v>
      </c>
      <c r="AL2">
        <v>4840</v>
      </c>
      <c r="AM2">
        <v>3427</v>
      </c>
      <c r="AN2">
        <v>2459</v>
      </c>
      <c r="AO2">
        <v>1764</v>
      </c>
      <c r="AP2">
        <v>1232</v>
      </c>
      <c r="AQ2">
        <v>854</v>
      </c>
      <c r="AR2">
        <v>590</v>
      </c>
      <c r="AS2">
        <v>403</v>
      </c>
      <c r="AT2">
        <v>235</v>
      </c>
      <c r="AU2">
        <v>141</v>
      </c>
      <c r="AV2">
        <v>82</v>
      </c>
      <c r="AW2">
        <v>51</v>
      </c>
      <c r="AX2">
        <v>34</v>
      </c>
      <c r="AY2">
        <v>20</v>
      </c>
      <c r="AZ2">
        <v>12</v>
      </c>
    </row>
    <row r="4" spans="1:53">
      <c r="A4" s="2" t="s">
        <v>13</v>
      </c>
      <c r="C4" s="5" t="s">
        <v>57</v>
      </c>
      <c r="D4" s="5" t="s">
        <v>57</v>
      </c>
      <c r="E4" s="5" t="s">
        <v>57</v>
      </c>
      <c r="F4" s="5" t="s">
        <v>57</v>
      </c>
      <c r="G4" s="5" t="s">
        <v>57</v>
      </c>
      <c r="H4" s="5" t="s">
        <v>57</v>
      </c>
      <c r="I4" s="5" t="s">
        <v>57</v>
      </c>
      <c r="J4" s="5" t="s">
        <v>57</v>
      </c>
      <c r="K4" s="5" t="s">
        <v>57</v>
      </c>
      <c r="L4" s="5" t="s">
        <v>57</v>
      </c>
      <c r="M4" s="5" t="s">
        <v>57</v>
      </c>
      <c r="N4" s="5" t="s">
        <v>57</v>
      </c>
      <c r="O4" s="5" t="s">
        <v>57</v>
      </c>
      <c r="P4" s="5" t="s">
        <v>57</v>
      </c>
      <c r="Q4" s="5" t="s">
        <v>57</v>
      </c>
      <c r="R4" s="5" t="s">
        <v>57</v>
      </c>
      <c r="S4" s="5" t="s">
        <v>57</v>
      </c>
      <c r="T4" s="5" t="s">
        <v>57</v>
      </c>
      <c r="U4" s="5" t="s">
        <v>57</v>
      </c>
      <c r="V4" s="5" t="s">
        <v>57</v>
      </c>
      <c r="W4" s="5" t="s">
        <v>57</v>
      </c>
      <c r="X4" s="5" t="s">
        <v>57</v>
      </c>
      <c r="Y4" s="5" t="s">
        <v>57</v>
      </c>
      <c r="Z4" s="5" t="s">
        <v>57</v>
      </c>
      <c r="AA4" s="5" t="s">
        <v>57</v>
      </c>
      <c r="AB4" s="5" t="s">
        <v>57</v>
      </c>
      <c r="AC4" s="5" t="s">
        <v>57</v>
      </c>
      <c r="AD4" s="5" t="s">
        <v>57</v>
      </c>
      <c r="AE4" s="5" t="s">
        <v>57</v>
      </c>
      <c r="AF4" s="5" t="s">
        <v>57</v>
      </c>
      <c r="AG4" s="5" t="s">
        <v>57</v>
      </c>
      <c r="AH4" s="5" t="s">
        <v>57</v>
      </c>
      <c r="AI4" s="5" t="s">
        <v>57</v>
      </c>
      <c r="AJ4" s="5" t="s">
        <v>57</v>
      </c>
      <c r="AK4" s="5" t="s">
        <v>57</v>
      </c>
      <c r="AL4" s="5" t="s">
        <v>57</v>
      </c>
      <c r="AM4" s="5" t="s">
        <v>57</v>
      </c>
      <c r="AN4" s="5" t="s">
        <v>57</v>
      </c>
      <c r="AO4" s="5" t="s">
        <v>57</v>
      </c>
      <c r="AP4" s="5" t="s">
        <v>57</v>
      </c>
      <c r="AQ4" s="5" t="s">
        <v>57</v>
      </c>
      <c r="AR4" s="5" t="s">
        <v>57</v>
      </c>
      <c r="AS4" s="5" t="s">
        <v>57</v>
      </c>
      <c r="AT4" s="5" t="s">
        <v>57</v>
      </c>
      <c r="AU4" s="5" t="s">
        <v>57</v>
      </c>
      <c r="AV4" s="5" t="s">
        <v>57</v>
      </c>
      <c r="AW4" s="5" t="s">
        <v>57</v>
      </c>
      <c r="AX4" s="5" t="s">
        <v>57</v>
      </c>
      <c r="AY4" s="5" t="s">
        <v>57</v>
      </c>
      <c r="AZ4" s="5" t="s">
        <v>57</v>
      </c>
      <c r="BA4" t="s">
        <v>130</v>
      </c>
    </row>
    <row r="5" spans="1:53">
      <c r="A5" t="s">
        <v>14</v>
      </c>
      <c r="B5" t="s">
        <v>131</v>
      </c>
      <c r="C5">
        <v>9.9942265544861898E-3</v>
      </c>
      <c r="D5">
        <v>9.9942345574222102E-3</v>
      </c>
      <c r="E5">
        <v>9.9942825753074494E-3</v>
      </c>
      <c r="F5">
        <v>9.9943546030004694E-3</v>
      </c>
      <c r="G5">
        <v>9.9949468700624901E-3</v>
      </c>
      <c r="H5">
        <v>9.9977570931927794E-3</v>
      </c>
      <c r="I5">
        <v>1.00057640768939E-2</v>
      </c>
      <c r="J5">
        <v>1.0026977478063699E-2</v>
      </c>
      <c r="K5">
        <v>1.0079186105116201E-2</v>
      </c>
      <c r="L5">
        <v>1.01889171233906E-2</v>
      </c>
      <c r="M5">
        <v>1.03926520474416E-2</v>
      </c>
      <c r="N5">
        <v>1.07379412721127E-2</v>
      </c>
      <c r="O5">
        <v>1.12915417129416E-2</v>
      </c>
      <c r="P5">
        <v>1.2126070265193901E-2</v>
      </c>
      <c r="Q5">
        <v>1.3296163141499499E-2</v>
      </c>
      <c r="R5">
        <v>1.5271181851661301E-2</v>
      </c>
      <c r="S5">
        <v>1.8003709133741799E-2</v>
      </c>
      <c r="T5">
        <v>2.14066495156073E-2</v>
      </c>
      <c r="U5">
        <v>2.53607608228247E-2</v>
      </c>
      <c r="V5">
        <v>2.9473563751839699E-2</v>
      </c>
      <c r="W5">
        <v>3.3372409847281501E-2</v>
      </c>
      <c r="X5">
        <v>3.6993358885052202E-2</v>
      </c>
      <c r="Y5">
        <v>4.0441586440174003E-2</v>
      </c>
      <c r="Z5">
        <v>4.2964545985670802E-2</v>
      </c>
      <c r="AA5">
        <v>4.5781669990462202E-2</v>
      </c>
      <c r="AB5">
        <v>4.8965977318212103E-2</v>
      </c>
      <c r="AC5">
        <v>5.0403225806451603E-2</v>
      </c>
      <c r="AD5">
        <v>5.36676915704987E-2</v>
      </c>
      <c r="AE5">
        <v>5.6720611958161998E-2</v>
      </c>
      <c r="AF5">
        <v>5.9151861684024198E-2</v>
      </c>
      <c r="AG5">
        <v>6.0627834912651002E-2</v>
      </c>
      <c r="AH5">
        <v>6.6210181601667195E-2</v>
      </c>
      <c r="AI5">
        <v>6.4585149377922202E-2</v>
      </c>
      <c r="AJ5">
        <v>6.7915690866510503E-2</v>
      </c>
      <c r="AK5">
        <v>6.6736028537455402E-2</v>
      </c>
      <c r="AL5">
        <v>6.5909090909090903E-2</v>
      </c>
      <c r="AM5">
        <v>6.7989495185293305E-2</v>
      </c>
      <c r="AN5">
        <v>6.6693777958519704E-2</v>
      </c>
      <c r="AO5">
        <v>6.2358276643990899E-2</v>
      </c>
      <c r="AP5">
        <v>7.7922077922077906E-2</v>
      </c>
      <c r="AQ5">
        <v>7.0257611241217793E-2</v>
      </c>
      <c r="AR5">
        <v>8.1355932203389797E-2</v>
      </c>
      <c r="AS5">
        <v>8.4367245657568202E-2</v>
      </c>
      <c r="AT5">
        <v>6.3829787234042507E-2</v>
      </c>
      <c r="AU5">
        <v>5.6737588652482303E-2</v>
      </c>
      <c r="AV5">
        <v>8.5365853658536606E-2</v>
      </c>
      <c r="AW5">
        <v>0.11764705882352899</v>
      </c>
      <c r="AX5">
        <v>0.17647058823529399</v>
      </c>
      <c r="AY5">
        <v>0.3</v>
      </c>
      <c r="AZ5">
        <v>0.5</v>
      </c>
      <c r="BA5">
        <v>559369</v>
      </c>
    </row>
    <row r="6" spans="1:53">
      <c r="A6" t="s">
        <v>14</v>
      </c>
      <c r="B6" t="s">
        <v>132</v>
      </c>
      <c r="C6">
        <v>1.0266483347093E-2</v>
      </c>
      <c r="D6">
        <v>1.0266491568040201E-2</v>
      </c>
      <c r="E6">
        <v>1.02665408940002E-2</v>
      </c>
      <c r="F6">
        <v>1.0266614883828899E-2</v>
      </c>
      <c r="G6">
        <v>1.0267223285078999E-2</v>
      </c>
      <c r="H6">
        <v>1.02701100626412E-2</v>
      </c>
      <c r="I6">
        <v>1.02783351678437E-2</v>
      </c>
      <c r="J6">
        <v>1.0299323072572499E-2</v>
      </c>
      <c r="K6">
        <v>1.03546090125483E-2</v>
      </c>
      <c r="L6">
        <v>1.0467360843464E-2</v>
      </c>
      <c r="M6">
        <v>1.06785354103635E-2</v>
      </c>
      <c r="N6">
        <v>1.10372476920197E-2</v>
      </c>
      <c r="O6">
        <v>1.16044376650322E-2</v>
      </c>
      <c r="P6">
        <v>1.2448279520458299E-2</v>
      </c>
      <c r="Q6">
        <v>1.36474978314357E-2</v>
      </c>
      <c r="R6">
        <v>1.5668969127857799E-2</v>
      </c>
      <c r="S6">
        <v>1.8551934137814401E-2</v>
      </c>
      <c r="T6">
        <v>2.20823172052966E-2</v>
      </c>
      <c r="U6">
        <v>2.62407872236167E-2</v>
      </c>
      <c r="V6">
        <v>3.0376334686430102E-2</v>
      </c>
      <c r="W6">
        <v>3.4432677034612703E-2</v>
      </c>
      <c r="X6">
        <v>3.8122698221540401E-2</v>
      </c>
      <c r="Y6">
        <v>4.14080214102516E-2</v>
      </c>
      <c r="Z6">
        <v>4.4471264721257002E-2</v>
      </c>
      <c r="AA6">
        <v>4.7920460128905502E-2</v>
      </c>
      <c r="AB6">
        <v>5.1379707683910501E-2</v>
      </c>
      <c r="AC6">
        <v>5.3296601822211298E-2</v>
      </c>
      <c r="AD6">
        <v>5.6283192908197902E-2</v>
      </c>
      <c r="AE6">
        <v>5.8541916011864502E-2</v>
      </c>
      <c r="AF6">
        <v>6.1091824926825897E-2</v>
      </c>
      <c r="AG6">
        <v>6.2558943728387301E-2</v>
      </c>
      <c r="AH6">
        <v>6.6507889252753805E-2</v>
      </c>
      <c r="AI6">
        <v>6.3475711229098994E-2</v>
      </c>
      <c r="AJ6">
        <v>6.7596338088141403E-2</v>
      </c>
      <c r="AK6">
        <v>6.6884661117717001E-2</v>
      </c>
      <c r="AL6">
        <v>6.8181818181818205E-2</v>
      </c>
      <c r="AM6">
        <v>6.9448497227896103E-2</v>
      </c>
      <c r="AN6">
        <v>6.4253761691744599E-2</v>
      </c>
      <c r="AO6">
        <v>5.5555555555555601E-2</v>
      </c>
      <c r="AP6">
        <v>6.0064935064935099E-2</v>
      </c>
      <c r="AQ6">
        <v>5.5035128805620601E-2</v>
      </c>
      <c r="AR6">
        <v>4.5762711864406801E-2</v>
      </c>
      <c r="AS6">
        <v>4.7146401985111698E-2</v>
      </c>
      <c r="AT6">
        <v>2.5531914893616999E-2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568099</v>
      </c>
    </row>
    <row r="7" spans="1:53">
      <c r="A7" t="s">
        <v>100</v>
      </c>
      <c r="B7" t="s">
        <v>62</v>
      </c>
      <c r="C7">
        <v>7.8554092219781692E-3</v>
      </c>
      <c r="D7">
        <v>7.8554155122435593E-3</v>
      </c>
      <c r="E7">
        <v>7.8554532540474394E-3</v>
      </c>
      <c r="F7">
        <v>7.8555098674332694E-3</v>
      </c>
      <c r="G7">
        <v>7.8559753862120808E-3</v>
      </c>
      <c r="H7">
        <v>7.8581842067319205E-3</v>
      </c>
      <c r="I7">
        <v>7.8620726145419897E-3</v>
      </c>
      <c r="J7">
        <v>7.8771343780478197E-3</v>
      </c>
      <c r="K7">
        <v>7.9000335999793204E-3</v>
      </c>
      <c r="L7">
        <v>7.9662666657956804E-3</v>
      </c>
      <c r="M7">
        <v>8.0547429133431703E-3</v>
      </c>
      <c r="N7">
        <v>8.2477463606668196E-3</v>
      </c>
      <c r="O7">
        <v>8.5464254821008105E-3</v>
      </c>
      <c r="P7">
        <v>8.9138011654544495E-3</v>
      </c>
      <c r="Q7">
        <v>9.4729434100195905E-3</v>
      </c>
      <c r="R7">
        <v>1.0405345234444301E-2</v>
      </c>
      <c r="S7">
        <v>1.17382805157701E-2</v>
      </c>
      <c r="T7">
        <v>1.3558660956650899E-2</v>
      </c>
      <c r="U7">
        <v>1.5427962838885201E-2</v>
      </c>
      <c r="V7">
        <v>1.7689860038717399E-2</v>
      </c>
      <c r="W7">
        <v>1.9997039253891999E-2</v>
      </c>
      <c r="X7">
        <v>2.21370498258519E-2</v>
      </c>
      <c r="Y7">
        <v>2.4005996852891301E-2</v>
      </c>
      <c r="Z7">
        <v>2.5990898188862601E-2</v>
      </c>
      <c r="AA7">
        <v>2.8767690781043801E-2</v>
      </c>
      <c r="AB7">
        <v>3.1293589665837798E-2</v>
      </c>
      <c r="AC7">
        <v>3.4289583846343299E-2</v>
      </c>
      <c r="AD7">
        <v>3.6976400590983498E-2</v>
      </c>
      <c r="AE7">
        <v>4.0563043138887402E-2</v>
      </c>
      <c r="AF7">
        <v>4.2236743584507498E-2</v>
      </c>
      <c r="AG7">
        <v>4.36969506444514E-2</v>
      </c>
      <c r="AH7">
        <v>4.5727895206906802E-2</v>
      </c>
      <c r="AI7">
        <v>4.87360329661621E-2</v>
      </c>
      <c r="AJ7">
        <v>4.9606131573344703E-2</v>
      </c>
      <c r="AK7">
        <v>5.1575505350772897E-2</v>
      </c>
      <c r="AL7">
        <v>5.2272727272727297E-2</v>
      </c>
      <c r="AM7">
        <v>4.8147067405894403E-2</v>
      </c>
      <c r="AN7">
        <v>5.0427002846685602E-2</v>
      </c>
      <c r="AO7">
        <v>3.1179138321995498E-2</v>
      </c>
      <c r="AP7">
        <v>2.43506493506494E-2</v>
      </c>
      <c r="AQ7">
        <v>1.99063231850117E-2</v>
      </c>
      <c r="AR7">
        <v>2.0338983050847501E-2</v>
      </c>
      <c r="AS7">
        <v>1.4888337468982601E-2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527149</v>
      </c>
    </row>
    <row r="8" spans="1:53">
      <c r="A8" t="s">
        <v>101</v>
      </c>
      <c r="B8" t="s">
        <v>63</v>
      </c>
      <c r="C8">
        <v>6.3684066811816901E-3</v>
      </c>
      <c r="D8">
        <v>6.368411780721E-3</v>
      </c>
      <c r="E8">
        <v>6.36844237812837E-3</v>
      </c>
      <c r="F8">
        <v>6.3684882747907E-3</v>
      </c>
      <c r="G8">
        <v>6.3688656724306498E-3</v>
      </c>
      <c r="H8">
        <v>6.3706563706563699E-3</v>
      </c>
      <c r="I8">
        <v>6.3757584891865398E-3</v>
      </c>
      <c r="J8">
        <v>6.3892758499351698E-3</v>
      </c>
      <c r="K8">
        <v>6.42357297010894E-3</v>
      </c>
      <c r="L8">
        <v>6.4874937125611598E-3</v>
      </c>
      <c r="M8">
        <v>6.5994882437759904E-3</v>
      </c>
      <c r="N8">
        <v>6.7839913330521402E-3</v>
      </c>
      <c r="O8">
        <v>7.0337918532445204E-3</v>
      </c>
      <c r="P8">
        <v>7.4206363239853398E-3</v>
      </c>
      <c r="Q8">
        <v>7.9061216250866095E-3</v>
      </c>
      <c r="R8">
        <v>8.7256563810853404E-3</v>
      </c>
      <c r="S8">
        <v>9.8429883588336299E-3</v>
      </c>
      <c r="T8">
        <v>1.1281483553499901E-2</v>
      </c>
      <c r="U8">
        <v>1.31228936868106E-2</v>
      </c>
      <c r="V8">
        <v>1.50578377364608E-2</v>
      </c>
      <c r="W8">
        <v>1.6960273989045201E-2</v>
      </c>
      <c r="X8">
        <v>1.85291604411419E-2</v>
      </c>
      <c r="Y8">
        <v>2.0003964861415698E-2</v>
      </c>
      <c r="Z8">
        <v>2.11709357030842E-2</v>
      </c>
      <c r="AA8">
        <v>2.1358998814994701E-2</v>
      </c>
      <c r="AB8">
        <v>2.2378555400570099E-2</v>
      </c>
      <c r="AC8">
        <v>2.31623984240335E-2</v>
      </c>
      <c r="AD8">
        <v>2.4797348560475999E-2</v>
      </c>
      <c r="AE8">
        <v>2.6851225477441801E-2</v>
      </c>
      <c r="AF8">
        <v>2.7533864270641899E-2</v>
      </c>
      <c r="AG8">
        <v>2.8786994206673602E-2</v>
      </c>
      <c r="AH8">
        <v>2.9770765108663302E-2</v>
      </c>
      <c r="AI8">
        <v>2.8686900705285699E-2</v>
      </c>
      <c r="AJ8">
        <v>3.0125612092825198E-2</v>
      </c>
      <c r="AK8">
        <v>2.9131985731272299E-2</v>
      </c>
      <c r="AL8">
        <v>2.5826446280991702E-2</v>
      </c>
      <c r="AM8">
        <v>1.89670265538372E-2</v>
      </c>
      <c r="AN8">
        <v>1.3826758845059E-2</v>
      </c>
      <c r="AO8">
        <v>1.4172335600907001E-2</v>
      </c>
      <c r="AP8">
        <v>1.9480519480519501E-2</v>
      </c>
      <c r="AQ8">
        <v>1.75644028103044E-2</v>
      </c>
      <c r="AR8">
        <v>2.3728813559322E-2</v>
      </c>
      <c r="AS8">
        <v>2.2332506203473899E-2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395530</v>
      </c>
    </row>
    <row r="9" spans="1:53">
      <c r="A9" t="s">
        <v>15</v>
      </c>
      <c r="B9" t="s">
        <v>133</v>
      </c>
      <c r="C9">
        <v>1.5522640954948701E-2</v>
      </c>
      <c r="D9">
        <v>1.55226533847952E-2</v>
      </c>
      <c r="E9">
        <v>1.55227279642925E-2</v>
      </c>
      <c r="F9">
        <v>1.5522839834882099E-2</v>
      </c>
      <c r="G9">
        <v>1.5523759720868601E-2</v>
      </c>
      <c r="H9">
        <v>1.55281244492863E-2</v>
      </c>
      <c r="I9">
        <v>1.55405605825325E-2</v>
      </c>
      <c r="J9">
        <v>1.5573508405758E-2</v>
      </c>
      <c r="K9">
        <v>1.5654682674041399E-2</v>
      </c>
      <c r="L9">
        <v>1.5826381766754001E-2</v>
      </c>
      <c r="M9">
        <v>1.6151159786295902E-2</v>
      </c>
      <c r="N9">
        <v>1.6690430043809101E-2</v>
      </c>
      <c r="O9">
        <v>1.75640140548496E-2</v>
      </c>
      <c r="P9">
        <v>1.8891482280455601E-2</v>
      </c>
      <c r="Q9">
        <v>2.0784392883835899E-2</v>
      </c>
      <c r="R9">
        <v>2.3955776320365E-2</v>
      </c>
      <c r="S9">
        <v>2.8363595353558101E-2</v>
      </c>
      <c r="T9">
        <v>3.4143871910740899E-2</v>
      </c>
      <c r="U9">
        <v>4.0781223436703103E-2</v>
      </c>
      <c r="V9">
        <v>4.7894541096739497E-2</v>
      </c>
      <c r="W9">
        <v>5.5025866518362603E-2</v>
      </c>
      <c r="X9">
        <v>6.1793850597400501E-2</v>
      </c>
      <c r="Y9">
        <v>6.7582301849855697E-2</v>
      </c>
      <c r="Z9">
        <v>7.2614618246671397E-2</v>
      </c>
      <c r="AA9">
        <v>7.7815351118047701E-2</v>
      </c>
      <c r="AB9">
        <v>8.2746073139668905E-2</v>
      </c>
      <c r="AC9">
        <v>8.6555035705491307E-2</v>
      </c>
      <c r="AD9">
        <v>9.0284710298286899E-2</v>
      </c>
      <c r="AE9">
        <v>9.3458916584274299E-2</v>
      </c>
      <c r="AF9">
        <v>9.5534681097270396E-2</v>
      </c>
      <c r="AG9">
        <v>9.7453630933668697E-2</v>
      </c>
      <c r="AH9">
        <v>9.94343554629354E-2</v>
      </c>
      <c r="AI9">
        <v>9.7709802678500698E-2</v>
      </c>
      <c r="AJ9">
        <v>9.9744517777304698E-2</v>
      </c>
      <c r="AK9">
        <v>9.9435196195005904E-2</v>
      </c>
      <c r="AL9">
        <v>9.9586776859504095E-2</v>
      </c>
      <c r="AM9">
        <v>9.6877735628829897E-2</v>
      </c>
      <c r="AN9">
        <v>9.8413989426596196E-2</v>
      </c>
      <c r="AO9">
        <v>9.9773242630385506E-2</v>
      </c>
      <c r="AP9">
        <v>0.11282467532467499</v>
      </c>
      <c r="AQ9">
        <v>0.11826697892271699</v>
      </c>
      <c r="AR9">
        <v>0.12711864406779699</v>
      </c>
      <c r="AS9">
        <v>0.13399503722084399</v>
      </c>
      <c r="AT9">
        <v>0.114893617021277</v>
      </c>
      <c r="AU9">
        <v>9.9290780141844004E-2</v>
      </c>
      <c r="AV9">
        <v>0.15853658536585399</v>
      </c>
      <c r="AW9">
        <v>0.11764705882352899</v>
      </c>
      <c r="AX9">
        <v>0.17647058823529399</v>
      </c>
      <c r="AY9">
        <v>0.3</v>
      </c>
      <c r="AZ9">
        <v>0.5</v>
      </c>
      <c r="BA9">
        <v>806133</v>
      </c>
    </row>
    <row r="10" spans="1:53">
      <c r="A10" t="s">
        <v>15</v>
      </c>
      <c r="B10" t="s">
        <v>7</v>
      </c>
      <c r="C10">
        <v>1.2346845544717801E-2</v>
      </c>
      <c r="D10">
        <v>1.2346855431527399E-2</v>
      </c>
      <c r="E10">
        <v>1.2346914752717399E-2</v>
      </c>
      <c r="F10">
        <v>1.23470037355712E-2</v>
      </c>
      <c r="G10">
        <v>1.2347735420999401E-2</v>
      </c>
      <c r="H10">
        <v>1.2351207164485199E-2</v>
      </c>
      <c r="I10">
        <v>1.2359495615213E-2</v>
      </c>
      <c r="J10">
        <v>1.23856992051365E-2</v>
      </c>
      <c r="K10">
        <v>1.24513769529988E-2</v>
      </c>
      <c r="L10">
        <v>1.25830431857228E-2</v>
      </c>
      <c r="M10">
        <v>1.28347460805641E-2</v>
      </c>
      <c r="N10">
        <v>1.3263500919051799E-2</v>
      </c>
      <c r="O10">
        <v>1.39602531182719E-2</v>
      </c>
      <c r="P10">
        <v>1.5021041836121201E-2</v>
      </c>
      <c r="Q10">
        <v>1.6540007965041102E-2</v>
      </c>
      <c r="R10">
        <v>1.9095072442195701E-2</v>
      </c>
      <c r="S10">
        <v>2.2666754382667301E-2</v>
      </c>
      <c r="T10">
        <v>2.7172478459398901E-2</v>
      </c>
      <c r="U10">
        <v>3.2415972479174403E-2</v>
      </c>
      <c r="V10">
        <v>3.8135714444652802E-2</v>
      </c>
      <c r="W10">
        <v>4.3847049456462998E-2</v>
      </c>
      <c r="X10">
        <v>4.8666530079903299E-2</v>
      </c>
      <c r="Y10">
        <v>5.3302605657361599E-2</v>
      </c>
      <c r="Z10">
        <v>5.66864487561883E-2</v>
      </c>
      <c r="AA10">
        <v>5.9770513598658898E-2</v>
      </c>
      <c r="AB10">
        <v>6.3145127054399897E-2</v>
      </c>
      <c r="AC10">
        <v>6.6547648362472303E-2</v>
      </c>
      <c r="AD10">
        <v>6.9360699596693706E-2</v>
      </c>
      <c r="AE10">
        <v>7.0822709059686698E-2</v>
      </c>
      <c r="AF10">
        <v>7.2289156626505993E-2</v>
      </c>
      <c r="AG10">
        <v>7.4459963174204002E-2</v>
      </c>
      <c r="AH10">
        <v>7.6034534087526001E-2</v>
      </c>
      <c r="AI10">
        <v>7.3698391314684197E-2</v>
      </c>
      <c r="AJ10">
        <v>7.6431764956355105E-2</v>
      </c>
      <c r="AK10">
        <v>7.4910820451842997E-2</v>
      </c>
      <c r="AL10">
        <v>7.0041322314049595E-2</v>
      </c>
      <c r="AM10">
        <v>5.8068281295593799E-2</v>
      </c>
      <c r="AN10">
        <v>5.4493696624644199E-2</v>
      </c>
      <c r="AO10">
        <v>5.6122448979591802E-2</v>
      </c>
      <c r="AP10">
        <v>6.5746753246753206E-2</v>
      </c>
      <c r="AQ10">
        <v>8.0796252927400503E-2</v>
      </c>
      <c r="AR10">
        <v>0.101694915254237</v>
      </c>
      <c r="AS10">
        <v>0.109181141439206</v>
      </c>
      <c r="AT10">
        <v>0.157446808510638</v>
      </c>
      <c r="AU10">
        <v>0.14184397163120599</v>
      </c>
      <c r="AV10">
        <v>0.146341463414634</v>
      </c>
      <c r="AW10">
        <v>0.11764705882352899</v>
      </c>
      <c r="AX10">
        <v>0.17647058823529399</v>
      </c>
      <c r="AY10">
        <v>0.3</v>
      </c>
      <c r="AZ10">
        <v>0.5</v>
      </c>
      <c r="BA10">
        <v>622466</v>
      </c>
    </row>
    <row r="11" spans="1:53">
      <c r="A11" t="s">
        <v>15</v>
      </c>
      <c r="B11" t="s">
        <v>5</v>
      </c>
      <c r="C11">
        <v>1.26367189533168E-2</v>
      </c>
      <c r="D11">
        <v>1.26367290722442E-2</v>
      </c>
      <c r="E11">
        <v>1.26367897861491E-2</v>
      </c>
      <c r="F11">
        <v>1.2636880858100301E-2</v>
      </c>
      <c r="G11">
        <v>1.2637629721693499E-2</v>
      </c>
      <c r="H11">
        <v>1.26411829731332E-2</v>
      </c>
      <c r="I11">
        <v>1.2649703659106599E-2</v>
      </c>
      <c r="J11">
        <v>1.26725056276722E-2</v>
      </c>
      <c r="K11">
        <v>1.2733261394916101E-2</v>
      </c>
      <c r="L11">
        <v>1.2859853804798701E-2</v>
      </c>
      <c r="M11">
        <v>1.3096458546912401E-2</v>
      </c>
      <c r="N11">
        <v>1.34748267774877E-2</v>
      </c>
      <c r="O11">
        <v>1.4071222031513401E-2</v>
      </c>
      <c r="P11">
        <v>1.4910036818301499E-2</v>
      </c>
      <c r="Q11">
        <v>1.61308448944632E-2</v>
      </c>
      <c r="R11">
        <v>1.80839228497994E-2</v>
      </c>
      <c r="S11">
        <v>2.0613260153127099E-2</v>
      </c>
      <c r="T11">
        <v>2.3538056046930302E-2</v>
      </c>
      <c r="U11">
        <v>2.6973309199275999E-2</v>
      </c>
      <c r="V11">
        <v>3.0182429661747001E-2</v>
      </c>
      <c r="W11">
        <v>3.3276385649183601E-2</v>
      </c>
      <c r="X11">
        <v>3.5474247565174401E-2</v>
      </c>
      <c r="Y11">
        <v>3.6916576837775203E-2</v>
      </c>
      <c r="Z11">
        <v>3.8098459456966299E-2</v>
      </c>
      <c r="AA11">
        <v>3.8883590084491798E-2</v>
      </c>
      <c r="AB11">
        <v>4.0135848141185003E-2</v>
      </c>
      <c r="AC11">
        <v>4.1615365673479399E-2</v>
      </c>
      <c r="AD11">
        <v>4.2806373038374E-2</v>
      </c>
      <c r="AE11">
        <v>4.4283707134308202E-2</v>
      </c>
      <c r="AF11">
        <v>4.6320876727248002E-2</v>
      </c>
      <c r="AG11">
        <v>5.0343557731171697E-2</v>
      </c>
      <c r="AH11">
        <v>5.04912176242929E-2</v>
      </c>
      <c r="AI11">
        <v>5.3411522307631298E-2</v>
      </c>
      <c r="AJ11">
        <v>5.5460932510112797E-2</v>
      </c>
      <c r="AK11">
        <v>6.2128418549345997E-2</v>
      </c>
      <c r="AL11">
        <v>6.65289256198347E-2</v>
      </c>
      <c r="AM11">
        <v>6.4487890283046398E-2</v>
      </c>
      <c r="AN11">
        <v>6.18137454249695E-2</v>
      </c>
      <c r="AO11">
        <v>6.0090702947845798E-2</v>
      </c>
      <c r="AP11">
        <v>6.0876623376623397E-2</v>
      </c>
      <c r="AQ11">
        <v>6.0889929742388799E-2</v>
      </c>
      <c r="AR11">
        <v>7.2881355932203407E-2</v>
      </c>
      <c r="AS11">
        <v>6.6997518610421802E-2</v>
      </c>
      <c r="AT11">
        <v>5.1063829787233998E-2</v>
      </c>
      <c r="AU11">
        <v>4.2553191489361701E-2</v>
      </c>
      <c r="AV11">
        <v>2.4390243902439001E-2</v>
      </c>
      <c r="AW11">
        <v>0</v>
      </c>
      <c r="AX11">
        <v>0</v>
      </c>
      <c r="AY11">
        <v>0</v>
      </c>
      <c r="AZ11">
        <v>0</v>
      </c>
      <c r="BA11">
        <v>763144</v>
      </c>
    </row>
    <row r="12" spans="1:53">
      <c r="A12" t="s">
        <v>15</v>
      </c>
      <c r="B12" t="s">
        <v>6</v>
      </c>
      <c r="C12">
        <v>2.5383942134220999E-4</v>
      </c>
      <c r="D12">
        <v>2.5383962460562802E-4</v>
      </c>
      <c r="E12">
        <v>2.5384084419297E-4</v>
      </c>
      <c r="F12">
        <v>2.5384267359595798E-4</v>
      </c>
      <c r="G12">
        <v>2.5385771635364201E-4</v>
      </c>
      <c r="H12">
        <v>2.5392909210336602E-4</v>
      </c>
      <c r="I12">
        <v>2.5413245832668602E-4</v>
      </c>
      <c r="J12">
        <v>2.5467124914239301E-4</v>
      </c>
      <c r="K12">
        <v>2.56038303976428E-4</v>
      </c>
      <c r="L12">
        <v>2.5884650810344698E-4</v>
      </c>
      <c r="M12">
        <v>2.6171246634827802E-4</v>
      </c>
      <c r="N12">
        <v>2.7084212060754899E-4</v>
      </c>
      <c r="O12">
        <v>2.8560851440822199E-4</v>
      </c>
      <c r="P12">
        <v>3.0452704003646499E-4</v>
      </c>
      <c r="Q12">
        <v>3.3060376102694503E-4</v>
      </c>
      <c r="R12">
        <v>3.6185810286265698E-4</v>
      </c>
      <c r="S12">
        <v>4.0412014585917798E-4</v>
      </c>
      <c r="T12">
        <v>4.7474027176418198E-4</v>
      </c>
      <c r="U12">
        <v>5.6251687550626503E-4</v>
      </c>
      <c r="V12">
        <v>6.1350278301392001E-4</v>
      </c>
      <c r="W12">
        <v>6.64167370177285E-4</v>
      </c>
      <c r="X12">
        <v>6.9959073941744095E-4</v>
      </c>
      <c r="Y12">
        <v>7.2482622755826501E-4</v>
      </c>
      <c r="Z12">
        <v>7.6873404876848803E-4</v>
      </c>
      <c r="AA12">
        <v>7.5146680539899999E-4</v>
      </c>
      <c r="AB12">
        <v>7.7627509248590001E-4</v>
      </c>
      <c r="AC12">
        <v>8.46466387589264E-4</v>
      </c>
      <c r="AD12">
        <v>7.38729385457014E-4</v>
      </c>
      <c r="AE12">
        <v>8.5861476817401295E-4</v>
      </c>
      <c r="AF12">
        <v>9.5296439997277196E-4</v>
      </c>
      <c r="AG12">
        <v>1.07782817622491E-3</v>
      </c>
      <c r="AH12">
        <v>1.30991366478119E-3</v>
      </c>
      <c r="AI12">
        <v>1.5849116411759999E-3</v>
      </c>
      <c r="AJ12">
        <v>1.5967638918458599E-3</v>
      </c>
      <c r="AK12">
        <v>2.2294887039239E-3</v>
      </c>
      <c r="AL12">
        <v>3.0991735537190101E-3</v>
      </c>
      <c r="AM12">
        <v>3.7934053107674301E-3</v>
      </c>
      <c r="AN12">
        <v>4.0666937779585202E-3</v>
      </c>
      <c r="AO12">
        <v>5.66893424036281E-3</v>
      </c>
      <c r="AP12">
        <v>7.3051948051948102E-3</v>
      </c>
      <c r="AQ12">
        <v>1.0538641686182701E-2</v>
      </c>
      <c r="AR12">
        <v>1.3559322033898299E-2</v>
      </c>
      <c r="AS12">
        <v>4.96277915632754E-3</v>
      </c>
      <c r="AT12">
        <v>4.2553191489361703E-3</v>
      </c>
      <c r="AU12">
        <v>7.09219858156028E-3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98185</v>
      </c>
    </row>
    <row r="13" spans="1:53">
      <c r="A13" t="s">
        <v>15</v>
      </c>
      <c r="B13" t="s">
        <v>44</v>
      </c>
      <c r="C13">
        <v>3.1477689756978801E-3</v>
      </c>
      <c r="D13">
        <v>3.1477714962924999E-3</v>
      </c>
      <c r="E13">
        <v>3.1477866199449999E-3</v>
      </c>
      <c r="F13">
        <v>3.1478093056962501E-3</v>
      </c>
      <c r="G13">
        <v>3.1479958453822302E-3</v>
      </c>
      <c r="H13">
        <v>3.1488809497108301E-3</v>
      </c>
      <c r="I13">
        <v>3.1497994598282302E-3</v>
      </c>
      <c r="J13">
        <v>3.1548706478932999E-3</v>
      </c>
      <c r="K13">
        <v>3.1685749731846301E-3</v>
      </c>
      <c r="L13">
        <v>3.1829138441237799E-3</v>
      </c>
      <c r="M13">
        <v>3.1988931396327702E-3</v>
      </c>
      <c r="N13">
        <v>3.2647688742024599E-3</v>
      </c>
      <c r="O13">
        <v>3.3008703783039398E-3</v>
      </c>
      <c r="P13">
        <v>3.43133209950765E-3</v>
      </c>
      <c r="Q13">
        <v>3.59081510739167E-3</v>
      </c>
      <c r="R13">
        <v>3.7969437105340501E-3</v>
      </c>
      <c r="S13">
        <v>3.96444995802163E-3</v>
      </c>
      <c r="T13">
        <v>4.13280120398861E-3</v>
      </c>
      <c r="U13">
        <v>4.2501275038251103E-3</v>
      </c>
      <c r="V13">
        <v>4.3231284191654496E-3</v>
      </c>
      <c r="W13">
        <v>4.4611242032992302E-3</v>
      </c>
      <c r="X13">
        <v>4.5723251897639896E-3</v>
      </c>
      <c r="Y13">
        <v>4.6277366836412299E-3</v>
      </c>
      <c r="Z13">
        <v>4.5278435472464003E-3</v>
      </c>
      <c r="AA13">
        <v>4.1908725685713497E-3</v>
      </c>
      <c r="AB13">
        <v>4.1118321305112504E-3</v>
      </c>
      <c r="AC13">
        <v>4.0784289583846297E-3</v>
      </c>
      <c r="AD13">
        <v>4.0330631314139699E-3</v>
      </c>
      <c r="AE13">
        <v>3.9027944007909701E-3</v>
      </c>
      <c r="AF13">
        <v>3.9139609284596002E-3</v>
      </c>
      <c r="AG13">
        <v>3.3682130507028301E-3</v>
      </c>
      <c r="AH13">
        <v>3.3938672223876201E-3</v>
      </c>
      <c r="AI13">
        <v>3.56605119264601E-3</v>
      </c>
      <c r="AJ13">
        <v>3.2999787098147802E-3</v>
      </c>
      <c r="AK13">
        <v>3.8644470868014302E-3</v>
      </c>
      <c r="AL13">
        <v>4.3388429752066098E-3</v>
      </c>
      <c r="AM13">
        <v>3.7934053107674301E-3</v>
      </c>
      <c r="AN13">
        <v>2.44001626677511E-3</v>
      </c>
      <c r="AO13">
        <v>3.40136054421769E-3</v>
      </c>
      <c r="AP13">
        <v>4.0584415584415598E-3</v>
      </c>
      <c r="AQ13">
        <v>5.8548009367681503E-3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680909</v>
      </c>
    </row>
    <row r="14" spans="1:53">
      <c r="A14" t="s">
        <v>116</v>
      </c>
      <c r="B14" t="s">
        <v>48</v>
      </c>
      <c r="C14">
        <v>9.8492898501867008E-4</v>
      </c>
      <c r="D14">
        <v>9.8492977370637897E-4</v>
      </c>
      <c r="E14">
        <v>9.8493450585915906E-4</v>
      </c>
      <c r="F14">
        <v>9.8494160417359009E-4</v>
      </c>
      <c r="G14">
        <v>9.8499997197154499E-4</v>
      </c>
      <c r="H14">
        <v>9.8527691888687695E-4</v>
      </c>
      <c r="I14">
        <v>9.8606600549471304E-4</v>
      </c>
      <c r="J14">
        <v>9.8815658184587597E-4</v>
      </c>
      <c r="K14">
        <v>9.9184554347966501E-4</v>
      </c>
      <c r="L14">
        <v>9.9292540647883797E-4</v>
      </c>
      <c r="M14">
        <v>1.01101026012886E-3</v>
      </c>
      <c r="N14">
        <v>1.0342028745492101E-3</v>
      </c>
      <c r="O14">
        <v>1.0633004883541801E-3</v>
      </c>
      <c r="P14">
        <v>1.0913856176790701E-3</v>
      </c>
      <c r="Q14">
        <v>1.1249256687088499E-3</v>
      </c>
      <c r="R14">
        <v>1.1189371123979999E-3</v>
      </c>
      <c r="S14">
        <v>1.07608736513665E-3</v>
      </c>
      <c r="T14">
        <v>9.9675758304015004E-4</v>
      </c>
      <c r="U14">
        <v>8.8502655079652397E-4</v>
      </c>
      <c r="V14">
        <v>7.8197764052551403E-4</v>
      </c>
      <c r="W14">
        <v>7.8019660954560597E-4</v>
      </c>
      <c r="X14">
        <v>5.9964920521494904E-4</v>
      </c>
      <c r="Y14">
        <v>5.4516844465920796E-4</v>
      </c>
      <c r="Z14">
        <v>5.0736447218720205E-4</v>
      </c>
      <c r="AA14">
        <v>4.7207530082757701E-4</v>
      </c>
      <c r="AB14">
        <v>5.0943052944387205E-4</v>
      </c>
      <c r="AC14">
        <v>3.0780595912336902E-4</v>
      </c>
      <c r="AD14">
        <v>3.7934752226170999E-4</v>
      </c>
      <c r="AE14">
        <v>4.1629806941770298E-4</v>
      </c>
      <c r="AF14">
        <v>5.4455108569872698E-4</v>
      </c>
      <c r="AG14">
        <v>6.7364261014056699E-4</v>
      </c>
      <c r="AH14">
        <v>6.5495683239059205E-4</v>
      </c>
      <c r="AI14">
        <v>2.37736746176401E-4</v>
      </c>
      <c r="AJ14">
        <v>1.06450926123057E-4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1000995</v>
      </c>
    </row>
    <row r="15" spans="1:53">
      <c r="A15" t="s">
        <v>99</v>
      </c>
      <c r="B15" t="s">
        <v>3</v>
      </c>
      <c r="C15">
        <v>7.1099060633989996E-3</v>
      </c>
      <c r="D15">
        <v>7.1099117566983203E-3</v>
      </c>
      <c r="E15">
        <v>7.1099459166857502E-3</v>
      </c>
      <c r="F15">
        <v>7.1099971572823597E-3</v>
      </c>
      <c r="G15">
        <v>7.1096176838726698E-3</v>
      </c>
      <c r="H15">
        <v>7.11161665518512E-3</v>
      </c>
      <c r="I15">
        <v>7.11651051282647E-3</v>
      </c>
      <c r="J15">
        <v>7.1307949759869902E-3</v>
      </c>
      <c r="K15">
        <v>7.1529186751269703E-3</v>
      </c>
      <c r="L15">
        <v>7.2027919494653198E-3</v>
      </c>
      <c r="M15">
        <v>7.2879420565265599E-3</v>
      </c>
      <c r="N15">
        <v>7.4662719617163802E-3</v>
      </c>
      <c r="O15">
        <v>7.7569089518258498E-3</v>
      </c>
      <c r="P15">
        <v>8.1328366595544901E-3</v>
      </c>
      <c r="Q15">
        <v>8.6371596445191205E-3</v>
      </c>
      <c r="R15">
        <v>9.4134434134767794E-3</v>
      </c>
      <c r="S15">
        <v>1.0494592935102701E-2</v>
      </c>
      <c r="T15">
        <v>1.1846838150995E-2</v>
      </c>
      <c r="U15">
        <v>1.3582907487224599E-2</v>
      </c>
      <c r="V15">
        <v>1.54297539313449E-2</v>
      </c>
      <c r="W15">
        <v>1.7372377839215501E-2</v>
      </c>
      <c r="X15">
        <v>1.9148797953197402E-2</v>
      </c>
      <c r="Y15">
        <v>2.10881066547721E-2</v>
      </c>
      <c r="Z15">
        <v>2.3292641677685199E-2</v>
      </c>
      <c r="AA15">
        <v>2.56751158511325E-2</v>
      </c>
      <c r="AB15">
        <v>2.7606282976529801E-2</v>
      </c>
      <c r="AC15">
        <v>2.96878847574489E-2</v>
      </c>
      <c r="AD15">
        <v>3.2444195982909402E-2</v>
      </c>
      <c r="AE15">
        <v>3.6087838892647099E-2</v>
      </c>
      <c r="AF15">
        <v>3.8833299298890497E-2</v>
      </c>
      <c r="AG15">
        <v>4.1676022814029698E-2</v>
      </c>
      <c r="AH15">
        <v>4.35844001190831E-2</v>
      </c>
      <c r="AI15">
        <v>4.42190347888105E-2</v>
      </c>
      <c r="AJ15">
        <v>4.67319565680221E-2</v>
      </c>
      <c r="AK15">
        <v>4.8602853745540998E-2</v>
      </c>
      <c r="AL15">
        <v>4.9173553719008299E-2</v>
      </c>
      <c r="AM15">
        <v>4.8730668222935501E-2</v>
      </c>
      <c r="AN15">
        <v>5.24603497356649E-2</v>
      </c>
      <c r="AO15">
        <v>4.0249433106575999E-2</v>
      </c>
      <c r="AP15">
        <v>3.5714285714285698E-2</v>
      </c>
      <c r="AQ15">
        <v>3.8641686182669797E-2</v>
      </c>
      <c r="AR15">
        <v>4.5762711864406801E-2</v>
      </c>
      <c r="AS15">
        <v>6.4516129032258104E-2</v>
      </c>
      <c r="AT15">
        <v>5.1063829787233998E-2</v>
      </c>
      <c r="AU15">
        <v>4.9645390070922002E-2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495341</v>
      </c>
    </row>
    <row r="16" spans="1:53">
      <c r="A16" t="s">
        <v>99</v>
      </c>
      <c r="B16" t="s">
        <v>4</v>
      </c>
      <c r="C16">
        <v>7.09148869213442E-3</v>
      </c>
      <c r="D16">
        <v>7.0914943706859301E-3</v>
      </c>
      <c r="E16">
        <v>7.0915284421859499E-3</v>
      </c>
      <c r="F16">
        <v>7.0915795500498501E-3</v>
      </c>
      <c r="G16">
        <v>7.0911989852097904E-3</v>
      </c>
      <c r="H16">
        <v>7.0931927778400796E-3</v>
      </c>
      <c r="I16">
        <v>7.0988735598826701E-3</v>
      </c>
      <c r="J16">
        <v>7.1131206306206396E-3</v>
      </c>
      <c r="K16">
        <v>7.1327263798606896E-3</v>
      </c>
      <c r="L16">
        <v>7.1799285355003501E-3</v>
      </c>
      <c r="M16">
        <v>7.2562698472232604E-3</v>
      </c>
      <c r="N16">
        <v>7.4300446716988097E-3</v>
      </c>
      <c r="O16">
        <v>7.7214352828388396E-3</v>
      </c>
      <c r="P16">
        <v>8.0974722290986408E-3</v>
      </c>
      <c r="Q16">
        <v>8.6131554110452195E-3</v>
      </c>
      <c r="R16">
        <v>9.4121602287148502E-3</v>
      </c>
      <c r="S16">
        <v>1.0532185506810499E-2</v>
      </c>
      <c r="T16">
        <v>1.1917753710262701E-2</v>
      </c>
      <c r="U16">
        <v>1.3842915287458599E-2</v>
      </c>
      <c r="V16">
        <v>1.5788955042643198E-2</v>
      </c>
      <c r="W16">
        <v>1.7932518994786699E-2</v>
      </c>
      <c r="X16">
        <v>1.98483886926148E-2</v>
      </c>
      <c r="Y16">
        <v>2.2091712200622001E-2</v>
      </c>
      <c r="Z16">
        <v>2.4361182005473402E-2</v>
      </c>
      <c r="AA16">
        <v>2.6869755387920701E-2</v>
      </c>
      <c r="AB16">
        <v>2.86615319303778E-2</v>
      </c>
      <c r="AC16">
        <v>3.0919108593942399E-2</v>
      </c>
      <c r="AD16">
        <v>3.3861757776624202E-2</v>
      </c>
      <c r="AE16">
        <v>3.77790497996566E-2</v>
      </c>
      <c r="AF16">
        <v>4.0500986998842803E-2</v>
      </c>
      <c r="AG16">
        <v>4.3113127048996301E-2</v>
      </c>
      <c r="AH16">
        <v>4.5132479904733597E-2</v>
      </c>
      <c r="AI16">
        <v>4.5249227355574899E-2</v>
      </c>
      <c r="AJ16">
        <v>4.6625505641899101E-2</v>
      </c>
      <c r="AK16">
        <v>4.6670630202140302E-2</v>
      </c>
      <c r="AL16">
        <v>4.9793388429752103E-2</v>
      </c>
      <c r="AM16">
        <v>4.9022468631456102E-2</v>
      </c>
      <c r="AN16">
        <v>5.0020333468889802E-2</v>
      </c>
      <c r="AO16">
        <v>3.9682539682539701E-2</v>
      </c>
      <c r="AP16">
        <v>3.4090909090909102E-2</v>
      </c>
      <c r="AQ16">
        <v>3.5128805620608897E-2</v>
      </c>
      <c r="AR16">
        <v>3.55932203389831E-2</v>
      </c>
      <c r="AS16">
        <v>4.7146401985111698E-2</v>
      </c>
      <c r="AT16">
        <v>5.1063829787233998E-2</v>
      </c>
      <c r="AU16">
        <v>4.9645390070922002E-2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492159</v>
      </c>
    </row>
    <row r="17" spans="1:53">
      <c r="A17" t="s">
        <v>17</v>
      </c>
      <c r="B17" t="s">
        <v>134</v>
      </c>
      <c r="C17">
        <v>2.34004713245533E-2</v>
      </c>
      <c r="D17">
        <v>2.34004900626191E-2</v>
      </c>
      <c r="E17">
        <v>2.34006024916441E-2</v>
      </c>
      <c r="F17">
        <v>2.3400771137207201E-2</v>
      </c>
      <c r="G17">
        <v>2.34021578706703E-2</v>
      </c>
      <c r="H17">
        <v>2.3408737724090401E-2</v>
      </c>
      <c r="I17">
        <v>2.34274852671317E-2</v>
      </c>
      <c r="J17">
        <v>2.3473940784515999E-2</v>
      </c>
      <c r="K17">
        <v>2.35894470218788E-2</v>
      </c>
      <c r="L17">
        <v>2.3840008361477101E-2</v>
      </c>
      <c r="M17">
        <v>2.4320089348969402E-2</v>
      </c>
      <c r="N17">
        <v>2.51210379636123E-2</v>
      </c>
      <c r="O17">
        <v>2.6366941451164101E-2</v>
      </c>
      <c r="P17">
        <v>2.8261091660674399E-2</v>
      </c>
      <c r="Q17">
        <v>3.0939274744818598E-2</v>
      </c>
      <c r="R17">
        <v>3.5573731154827801E-2</v>
      </c>
      <c r="S17">
        <v>4.1940779168702903E-2</v>
      </c>
      <c r="T17">
        <v>4.99147043412142E-2</v>
      </c>
      <c r="U17">
        <v>5.9181775453263599E-2</v>
      </c>
      <c r="V17">
        <v>6.9491110567188097E-2</v>
      </c>
      <c r="W17">
        <v>7.8991905960302006E-2</v>
      </c>
      <c r="X17">
        <v>8.8553196380117605E-2</v>
      </c>
      <c r="Y17">
        <v>9.6587741144110298E-2</v>
      </c>
      <c r="Z17">
        <v>0.103579225731066</v>
      </c>
      <c r="AA17">
        <v>0.110908793125042</v>
      </c>
      <c r="AB17">
        <v>0.118200012129298</v>
      </c>
      <c r="AC17">
        <v>0.123922679143068</v>
      </c>
      <c r="AD17">
        <v>0.129716886954438</v>
      </c>
      <c r="AE17">
        <v>0.13129000364260801</v>
      </c>
      <c r="AF17">
        <v>0.13491253148186</v>
      </c>
      <c r="AG17">
        <v>0.13477343153545601</v>
      </c>
      <c r="AH17">
        <v>0.13575468889550499</v>
      </c>
      <c r="AI17">
        <v>0.133687296933196</v>
      </c>
      <c r="AJ17">
        <v>0.13285075580157499</v>
      </c>
      <c r="AK17">
        <v>0.13436385255648001</v>
      </c>
      <c r="AL17">
        <v>0.14256198347107399</v>
      </c>
      <c r="AM17">
        <v>0.14327400058360101</v>
      </c>
      <c r="AN17">
        <v>0.13623424156160999</v>
      </c>
      <c r="AO17">
        <v>0.120748299319728</v>
      </c>
      <c r="AP17">
        <v>0.111201298701299</v>
      </c>
      <c r="AQ17">
        <v>0.10772833723653399</v>
      </c>
      <c r="AR17">
        <v>9.3220338983050793E-2</v>
      </c>
      <c r="AS17">
        <v>3.7220843672456601E-2</v>
      </c>
      <c r="AT17">
        <v>8.5106382978723406E-3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1264958</v>
      </c>
    </row>
    <row r="18" spans="1:53">
      <c r="A18" t="s">
        <v>16</v>
      </c>
      <c r="B18" t="s">
        <v>136</v>
      </c>
      <c r="C18">
        <v>2.45063143557003E-2</v>
      </c>
      <c r="D18">
        <v>2.4506333979276401E-2</v>
      </c>
      <c r="E18">
        <v>2.4506451721393301E-2</v>
      </c>
      <c r="F18">
        <v>2.4506628336689901E-2</v>
      </c>
      <c r="G18">
        <v>2.45080806034286E-2</v>
      </c>
      <c r="H18">
        <v>2.45149714029382E-2</v>
      </c>
      <c r="I18">
        <v>2.45346049041953E-2</v>
      </c>
      <c r="J18">
        <v>2.4585817783926298E-2</v>
      </c>
      <c r="K18">
        <v>2.4717792481358501E-2</v>
      </c>
      <c r="L18">
        <v>2.4982362509226998E-2</v>
      </c>
      <c r="M18">
        <v>2.5477791946924001E-2</v>
      </c>
      <c r="N18">
        <v>2.6319988752289001E-2</v>
      </c>
      <c r="O18">
        <v>2.7670371391122699E-2</v>
      </c>
      <c r="P18">
        <v>2.9670757152456099E-2</v>
      </c>
      <c r="Q18">
        <v>3.26053867682118E-2</v>
      </c>
      <c r="R18">
        <v>3.7479260526285398E-2</v>
      </c>
      <c r="S18">
        <v>4.4331040186459197E-2</v>
      </c>
      <c r="T18">
        <v>5.2962103513078E-2</v>
      </c>
      <c r="U18">
        <v>6.2954388631658906E-2</v>
      </c>
      <c r="V18">
        <v>7.3750663568424593E-2</v>
      </c>
      <c r="W18">
        <v>8.4589316507759998E-2</v>
      </c>
      <c r="X18">
        <v>9.4624644582918999E-2</v>
      </c>
      <c r="Y18">
        <v>0.103829808323731</v>
      </c>
      <c r="Z18">
        <v>0.111212754835337</v>
      </c>
      <c r="AA18">
        <v>0.11963736909544601</v>
      </c>
      <c r="AB18">
        <v>0.12775789920553099</v>
      </c>
      <c r="AC18">
        <v>0.13371090864319099</v>
      </c>
      <c r="AD18">
        <v>0.14005909835083699</v>
      </c>
      <c r="AE18">
        <v>0.14487172815736099</v>
      </c>
      <c r="AF18">
        <v>0.14975154856715001</v>
      </c>
      <c r="AG18">
        <v>0.152692324965195</v>
      </c>
      <c r="AH18">
        <v>0.161178922298303</v>
      </c>
      <c r="AI18">
        <v>0.16776289721848001</v>
      </c>
      <c r="AJ18">
        <v>0.17298275494996801</v>
      </c>
      <c r="AK18">
        <v>0.17895362663495801</v>
      </c>
      <c r="AL18">
        <v>0.187809917355372</v>
      </c>
      <c r="AM18">
        <v>0.18675226145316601</v>
      </c>
      <c r="AN18">
        <v>0.18991459943066299</v>
      </c>
      <c r="AO18">
        <v>0.18990929705215401</v>
      </c>
      <c r="AP18">
        <v>0.19155844155844201</v>
      </c>
      <c r="AQ18">
        <v>0.200234192037471</v>
      </c>
      <c r="AR18">
        <v>0.223728813559322</v>
      </c>
      <c r="AS18">
        <v>0.22084367245657599</v>
      </c>
      <c r="AT18">
        <v>0.19148936170212799</v>
      </c>
      <c r="AU18">
        <v>0.170212765957447</v>
      </c>
      <c r="AV18">
        <v>0.15853658536585399</v>
      </c>
      <c r="AW18">
        <v>0.11764705882352899</v>
      </c>
      <c r="AX18">
        <v>0.17647058823529399</v>
      </c>
      <c r="AY18">
        <v>0.3</v>
      </c>
      <c r="AZ18">
        <v>0.5</v>
      </c>
      <c r="BA18">
        <v>1302264</v>
      </c>
    </row>
    <row r="19" spans="1:53">
      <c r="A19" t="s">
        <v>16</v>
      </c>
      <c r="B19" t="s">
        <v>64</v>
      </c>
      <c r="C19">
        <v>7.7705291631066402E-3</v>
      </c>
      <c r="D19">
        <v>7.7705353854038203E-3</v>
      </c>
      <c r="E19">
        <v>7.7705727193961597E-3</v>
      </c>
      <c r="F19">
        <v>7.7706287210573301E-3</v>
      </c>
      <c r="G19">
        <v>7.77108920976575E-3</v>
      </c>
      <c r="H19">
        <v>7.7732741633156598E-3</v>
      </c>
      <c r="I19">
        <v>7.7794996075778002E-3</v>
      </c>
      <c r="J19">
        <v>7.7959930652295797E-3</v>
      </c>
      <c r="K19">
        <v>7.8378413305591806E-3</v>
      </c>
      <c r="L19">
        <v>7.9238060398607296E-3</v>
      </c>
      <c r="M19">
        <v>8.0830812058776992E-3</v>
      </c>
      <c r="N19">
        <v>8.3598784488164504E-3</v>
      </c>
      <c r="O19">
        <v>8.8065657213388694E-3</v>
      </c>
      <c r="P19">
        <v>9.4874908150715306E-3</v>
      </c>
      <c r="Q19">
        <v>1.05083987539621E-2</v>
      </c>
      <c r="R19">
        <v>1.22839277259015E-2</v>
      </c>
      <c r="S19">
        <v>1.4861596681829001E-2</v>
      </c>
      <c r="T19">
        <v>1.8451834546120701E-2</v>
      </c>
      <c r="U19">
        <v>2.2940688220646599E-2</v>
      </c>
      <c r="V19">
        <v>2.8523111253802601E-2</v>
      </c>
      <c r="W19">
        <v>3.4912798025102297E-2</v>
      </c>
      <c r="X19">
        <v>4.2150342049900799E-2</v>
      </c>
      <c r="Y19">
        <v>4.9777596054962903E-2</v>
      </c>
      <c r="Z19">
        <v>5.8915777497616902E-2</v>
      </c>
      <c r="AA19">
        <v>6.97515342447277E-2</v>
      </c>
      <c r="AB19">
        <v>8.3025047001030999E-2</v>
      </c>
      <c r="AC19">
        <v>9.8236271854223095E-2</v>
      </c>
      <c r="AD19">
        <v>0.11753783492393099</v>
      </c>
      <c r="AE19">
        <v>0.13691002757974699</v>
      </c>
      <c r="AF19">
        <v>0.15798788373834299</v>
      </c>
      <c r="AG19">
        <v>0.18076076705438501</v>
      </c>
      <c r="AH19">
        <v>0.20250074426912801</v>
      </c>
      <c r="AI19">
        <v>0.22545368095728699</v>
      </c>
      <c r="AJ19">
        <v>0.24920161805407701</v>
      </c>
      <c r="AK19">
        <v>0.27809155766944099</v>
      </c>
      <c r="AL19">
        <v>0.29111570247933899</v>
      </c>
      <c r="AM19">
        <v>0.31747884447038199</v>
      </c>
      <c r="AN19">
        <v>0.32289548596990603</v>
      </c>
      <c r="AO19">
        <v>0.325963718820862</v>
      </c>
      <c r="AP19">
        <v>0.334415584415584</v>
      </c>
      <c r="AQ19">
        <v>0.32435597189695597</v>
      </c>
      <c r="AR19">
        <v>0.36101694915254201</v>
      </c>
      <c r="AS19">
        <v>0.349875930521092</v>
      </c>
      <c r="AT19">
        <v>0.42127659574468101</v>
      </c>
      <c r="AU19">
        <v>0.36170212765957399</v>
      </c>
      <c r="AV19">
        <v>0.25609756097560998</v>
      </c>
      <c r="AW19">
        <v>0.29411764705882398</v>
      </c>
      <c r="AX19">
        <v>0.17647058823529399</v>
      </c>
      <c r="AY19">
        <v>0.3</v>
      </c>
      <c r="AZ19">
        <v>0.5</v>
      </c>
      <c r="BA19">
        <v>384909</v>
      </c>
    </row>
    <row r="20" spans="1:53">
      <c r="A20" t="s">
        <v>16</v>
      </c>
      <c r="B20" t="s">
        <v>42</v>
      </c>
      <c r="C20">
        <v>1.6631687007185199E-3</v>
      </c>
      <c r="D20">
        <v>1.6631700325106899E-3</v>
      </c>
      <c r="E20">
        <v>1.66317802330852E-3</v>
      </c>
      <c r="F20">
        <v>1.6631900096492199E-3</v>
      </c>
      <c r="G20">
        <v>1.66328857055683E-3</v>
      </c>
      <c r="H20">
        <v>1.66375622807158E-3</v>
      </c>
      <c r="I20">
        <v>1.66508869383132E-3</v>
      </c>
      <c r="J20">
        <v>1.6686188784503101E-3</v>
      </c>
      <c r="K20">
        <v>1.67757589072253E-3</v>
      </c>
      <c r="L20">
        <v>1.6959753859017699E-3</v>
      </c>
      <c r="M20">
        <v>1.72696888622176E-3</v>
      </c>
      <c r="N20">
        <v>1.7777248744336299E-3</v>
      </c>
      <c r="O20">
        <v>1.8673703187263701E-3</v>
      </c>
      <c r="P20">
        <v>1.9892492131414201E-3</v>
      </c>
      <c r="Q20">
        <v>2.1494699974359101E-3</v>
      </c>
      <c r="R20">
        <v>2.4162369067034901E-3</v>
      </c>
      <c r="S20">
        <v>2.7787175920704699E-3</v>
      </c>
      <c r="T20">
        <v>3.2325675766183498E-3</v>
      </c>
      <c r="U20">
        <v>3.8751162534875999E-3</v>
      </c>
      <c r="V20">
        <v>4.4248490878516901E-3</v>
      </c>
      <c r="W20">
        <v>5.0012603176000396E-3</v>
      </c>
      <c r="X20">
        <v>5.6317054523103999E-3</v>
      </c>
      <c r="Y20">
        <v>6.1703155781883097E-3</v>
      </c>
      <c r="Z20">
        <v>6.3881799452661396E-3</v>
      </c>
      <c r="AA20">
        <v>6.71503029952696E-3</v>
      </c>
      <c r="AB20">
        <v>7.0471223239735601E-3</v>
      </c>
      <c r="AC20">
        <v>7.3257818271361703E-3</v>
      </c>
      <c r="AD20">
        <v>7.7466757177654397E-3</v>
      </c>
      <c r="AE20">
        <v>7.6234583962116898E-3</v>
      </c>
      <c r="AF20">
        <v>8.1682662854809102E-3</v>
      </c>
      <c r="AG20">
        <v>8.4429873804284395E-3</v>
      </c>
      <c r="AH20">
        <v>8.5144388210776998E-3</v>
      </c>
      <c r="AI20">
        <v>8.4000316982328193E-3</v>
      </c>
      <c r="AJ20">
        <v>9.4741324249520992E-3</v>
      </c>
      <c r="AK20">
        <v>9.21521997621879E-3</v>
      </c>
      <c r="AL20">
        <v>9.5041322314049596E-3</v>
      </c>
      <c r="AM20">
        <v>9.3376130726582993E-3</v>
      </c>
      <c r="AN20">
        <v>8.9467263115087393E-3</v>
      </c>
      <c r="AO20">
        <v>9.0702947845805008E-3</v>
      </c>
      <c r="AP20">
        <v>1.21753246753247E-2</v>
      </c>
      <c r="AQ20">
        <v>1.63934426229508E-2</v>
      </c>
      <c r="AR20">
        <v>2.20338983050847E-2</v>
      </c>
      <c r="AS20">
        <v>1.7369727047146399E-2</v>
      </c>
      <c r="AT20">
        <v>2.5531914893616999E-2</v>
      </c>
      <c r="AU20">
        <v>4.2553191489361701E-2</v>
      </c>
      <c r="AV20">
        <v>2.4390243902439001E-2</v>
      </c>
      <c r="AW20">
        <v>0</v>
      </c>
      <c r="AX20">
        <v>0</v>
      </c>
      <c r="AY20">
        <v>0</v>
      </c>
      <c r="AZ20">
        <v>0</v>
      </c>
      <c r="BA20">
        <v>88729</v>
      </c>
    </row>
    <row r="21" spans="1:53">
      <c r="A21" t="s">
        <v>110</v>
      </c>
      <c r="B21" t="s">
        <v>8</v>
      </c>
      <c r="C21">
        <v>1.6487551058158099E-3</v>
      </c>
      <c r="D21">
        <v>1.64875642606621E-3</v>
      </c>
      <c r="E21">
        <v>1.64876434761302E-3</v>
      </c>
      <c r="F21">
        <v>1.6487762300759501E-3</v>
      </c>
      <c r="G21">
        <v>1.64887393682066E-3</v>
      </c>
      <c r="H21">
        <v>1.64933754145372E-3</v>
      </c>
      <c r="I21">
        <v>1.6506584596045601E-3</v>
      </c>
      <c r="J21">
        <v>1.6541580504233001E-3</v>
      </c>
      <c r="K21">
        <v>1.6630374381308101E-3</v>
      </c>
      <c r="L21">
        <v>1.6812774769242799E-3</v>
      </c>
      <c r="M21">
        <v>1.71530017753107E-3</v>
      </c>
      <c r="N21">
        <v>1.77168699276403E-3</v>
      </c>
      <c r="O21">
        <v>1.8600936686777501E-3</v>
      </c>
      <c r="P21">
        <v>1.9882668678509801E-3</v>
      </c>
      <c r="Q21">
        <v>2.1691098248236501E-3</v>
      </c>
      <c r="R21">
        <v>2.4868120686093202E-3</v>
      </c>
      <c r="S21">
        <v>2.9087252358933899E-3</v>
      </c>
      <c r="T21">
        <v>3.51229006039642E-3</v>
      </c>
      <c r="U21">
        <v>4.2401272038161096E-3</v>
      </c>
      <c r="V21">
        <v>5.1559663940340802E-3</v>
      </c>
      <c r="W21">
        <v>6.0375214554067597E-3</v>
      </c>
      <c r="X21">
        <v>6.9959073941744101E-3</v>
      </c>
      <c r="Y21">
        <v>7.65713860907705E-3</v>
      </c>
      <c r="Z21">
        <v>8.4483871959656794E-3</v>
      </c>
      <c r="AA21">
        <v>9.3066273591722298E-3</v>
      </c>
      <c r="AB21">
        <v>1.03341621687185E-2</v>
      </c>
      <c r="AC21">
        <v>1.1142575720265901E-2</v>
      </c>
      <c r="AD21">
        <v>1.1560116599448901E-2</v>
      </c>
      <c r="AE21">
        <v>1.2801165634594399E-2</v>
      </c>
      <c r="AF21">
        <v>1.40562248995984E-2</v>
      </c>
      <c r="AG21">
        <v>1.4999775452463299E-2</v>
      </c>
      <c r="AH21">
        <v>1.5421256326287601E-2</v>
      </c>
      <c r="AI21">
        <v>1.7037800142642001E-2</v>
      </c>
      <c r="AJ21">
        <v>1.8628912071535001E-2</v>
      </c>
      <c r="AK21">
        <v>2.11058263971463E-2</v>
      </c>
      <c r="AL21">
        <v>2.5413223140495898E-2</v>
      </c>
      <c r="AM21">
        <v>2.59702363583309E-2</v>
      </c>
      <c r="AN21">
        <v>2.35868239121594E-2</v>
      </c>
      <c r="AO21">
        <v>2.32426303854875E-2</v>
      </c>
      <c r="AP21">
        <v>2.5974025974026E-2</v>
      </c>
      <c r="AQ21">
        <v>2.3419203747072601E-2</v>
      </c>
      <c r="AR21">
        <v>2.20338983050847E-2</v>
      </c>
      <c r="AS21">
        <v>1.7369727047146399E-2</v>
      </c>
      <c r="AT21">
        <v>2.5531914893616999E-2</v>
      </c>
      <c r="AU21">
        <v>4.2553191489361701E-2</v>
      </c>
      <c r="AV21">
        <v>2.4390243902439001E-2</v>
      </c>
      <c r="AW21">
        <v>0</v>
      </c>
      <c r="AX21">
        <v>0</v>
      </c>
      <c r="AY21">
        <v>0</v>
      </c>
      <c r="AZ21">
        <v>0</v>
      </c>
      <c r="BA21">
        <v>88963</v>
      </c>
    </row>
    <row r="22" spans="1:53">
      <c r="A22" t="s">
        <v>97</v>
      </c>
      <c r="B22" t="s">
        <v>55</v>
      </c>
      <c r="C22">
        <v>1.1330687104076601E-3</v>
      </c>
      <c r="D22">
        <v>1.13306961771913E-3</v>
      </c>
      <c r="E22">
        <v>1.13307506161846E-3</v>
      </c>
      <c r="F22">
        <v>1.13308322756555E-3</v>
      </c>
      <c r="G22">
        <v>1.1331503742599499E-3</v>
      </c>
      <c r="H22">
        <v>1.13346897579263E-3</v>
      </c>
      <c r="I22">
        <v>1.13437674615855E-3</v>
      </c>
      <c r="J22">
        <v>1.1367817587901699E-3</v>
      </c>
      <c r="K22">
        <v>1.14288391207144E-3</v>
      </c>
      <c r="L22">
        <v>1.1554189557299E-3</v>
      </c>
      <c r="M22">
        <v>1.1793730569516301E-3</v>
      </c>
      <c r="N22">
        <v>1.2205146517824299E-3</v>
      </c>
      <c r="O22">
        <v>1.2870574773491501E-3</v>
      </c>
      <c r="P22">
        <v>1.3900185859729E-3</v>
      </c>
      <c r="Q22">
        <v>1.5395442468944501E-3</v>
      </c>
      <c r="R22">
        <v>1.80287459050366E-3</v>
      </c>
      <c r="S22">
        <v>2.1991654449080899E-3</v>
      </c>
      <c r="T22">
        <v>2.7322189084519502E-3</v>
      </c>
      <c r="U22">
        <v>3.42260267808034E-3</v>
      </c>
      <c r="V22">
        <v>4.2086926668934198E-3</v>
      </c>
      <c r="W22">
        <v>5.1452966147469198E-3</v>
      </c>
      <c r="X22">
        <v>6.1114248164823599E-3</v>
      </c>
      <c r="Y22">
        <v>7.2606524675067202E-3</v>
      </c>
      <c r="Z22">
        <v>8.2715783647489306E-3</v>
      </c>
      <c r="AA22">
        <v>9.8268736090638496E-3</v>
      </c>
      <c r="AB22">
        <v>1.11225665595245E-2</v>
      </c>
      <c r="AC22">
        <v>1.25123122383649E-2</v>
      </c>
      <c r="AD22">
        <v>1.40558239827497E-2</v>
      </c>
      <c r="AE22">
        <v>1.54810844564708E-2</v>
      </c>
      <c r="AF22">
        <v>1.7765979170921001E-2</v>
      </c>
      <c r="AG22">
        <v>1.9445816679391E-2</v>
      </c>
      <c r="AH22">
        <v>2.1137243227150899E-2</v>
      </c>
      <c r="AI22">
        <v>2.3456692289404901E-2</v>
      </c>
      <c r="AJ22">
        <v>2.5441771343410701E-2</v>
      </c>
      <c r="AK22">
        <v>2.5713436385255702E-2</v>
      </c>
      <c r="AL22">
        <v>2.7272727272727299E-2</v>
      </c>
      <c r="AM22">
        <v>2.80128392179749E-2</v>
      </c>
      <c r="AN22">
        <v>1.99267995119967E-2</v>
      </c>
      <c r="AO22">
        <v>2.04081632653061E-2</v>
      </c>
      <c r="AP22">
        <v>1.37987012987013E-2</v>
      </c>
      <c r="AQ22">
        <v>1.1709601873536301E-2</v>
      </c>
      <c r="AR22">
        <v>1.3559322033898299E-2</v>
      </c>
      <c r="AS22">
        <v>1.9851116625310201E-2</v>
      </c>
      <c r="AT22">
        <v>3.4042553191489397E-2</v>
      </c>
      <c r="AU22">
        <v>4.9645390070922002E-2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58000</v>
      </c>
    </row>
    <row r="23" spans="1:53">
      <c r="A23" t="s">
        <v>18</v>
      </c>
      <c r="B23" t="s">
        <v>135</v>
      </c>
      <c r="C23">
        <v>3.6882787845495903E-2</v>
      </c>
      <c r="D23">
        <v>3.68828173796064E-2</v>
      </c>
      <c r="E23">
        <v>3.68829945852625E-2</v>
      </c>
      <c r="F23">
        <v>3.6883260396939503E-2</v>
      </c>
      <c r="G23">
        <v>3.68854461048857E-2</v>
      </c>
      <c r="H23">
        <v>3.6895816978804501E-2</v>
      </c>
      <c r="I23">
        <v>3.6923762667541001E-2</v>
      </c>
      <c r="J23">
        <v>3.6998831886447203E-2</v>
      </c>
      <c r="K23">
        <v>3.71877463460022E-2</v>
      </c>
      <c r="L23">
        <v>3.7575204300934799E-2</v>
      </c>
      <c r="M23">
        <v>3.8309204110719398E-2</v>
      </c>
      <c r="N23">
        <v>3.9535186617984101E-2</v>
      </c>
      <c r="O23">
        <v>4.1541485546299099E-2</v>
      </c>
      <c r="P23">
        <v>4.4475683024680399E-2</v>
      </c>
      <c r="Q23">
        <v>4.8628212612042497E-2</v>
      </c>
      <c r="R23">
        <v>5.5644024016086001E-2</v>
      </c>
      <c r="S23">
        <v>6.5326491485282495E-2</v>
      </c>
      <c r="T23">
        <v>7.7585561592133104E-2</v>
      </c>
      <c r="U23">
        <v>9.1735252057561695E-2</v>
      </c>
      <c r="V23">
        <v>0.107038752395999</v>
      </c>
      <c r="W23">
        <v>0.122806947350732</v>
      </c>
      <c r="X23">
        <v>0.138893747157913</v>
      </c>
      <c r="Y23">
        <v>0.15479066770744301</v>
      </c>
      <c r="Z23">
        <v>0.169582731158328</v>
      </c>
      <c r="AA23">
        <v>0.18646010963708001</v>
      </c>
      <c r="AB23">
        <v>0.20355388440778699</v>
      </c>
      <c r="AC23">
        <v>0.221512558483132</v>
      </c>
      <c r="AD23">
        <v>0.242203410134569</v>
      </c>
      <c r="AE23">
        <v>0.26192954155175102</v>
      </c>
      <c r="AF23">
        <v>0.28827173099176401</v>
      </c>
      <c r="AG23">
        <v>0.31036960524543</v>
      </c>
      <c r="AH23">
        <v>0.33116999106876999</v>
      </c>
      <c r="AI23">
        <v>0.35391076947460198</v>
      </c>
      <c r="AJ23">
        <v>0.37428145624866899</v>
      </c>
      <c r="AK23">
        <v>0.40026753864447101</v>
      </c>
      <c r="AL23">
        <v>0.42272727272727301</v>
      </c>
      <c r="AM23">
        <v>0.44995622993872197</v>
      </c>
      <c r="AN23">
        <v>0.45465636437576301</v>
      </c>
      <c r="AO23">
        <v>0.49886621315192697</v>
      </c>
      <c r="AP23">
        <v>0.54139610389610404</v>
      </c>
      <c r="AQ23">
        <v>0.55152224824356</v>
      </c>
      <c r="AR23">
        <v>0.57966101694915295</v>
      </c>
      <c r="AS23">
        <v>0.57320099255583101</v>
      </c>
      <c r="AT23">
        <v>0.55319148936170204</v>
      </c>
      <c r="AU23">
        <v>0.45390070921985798</v>
      </c>
      <c r="AV23">
        <v>0.439024390243902</v>
      </c>
      <c r="AW23">
        <v>0.49019607843137297</v>
      </c>
      <c r="AX23">
        <v>0.441176470588235</v>
      </c>
      <c r="AY23">
        <v>0.35</v>
      </c>
      <c r="AZ23">
        <v>0.5</v>
      </c>
      <c r="BA23">
        <v>2094847</v>
      </c>
    </row>
    <row r="24" spans="1:53">
      <c r="A24" t="s">
        <v>102</v>
      </c>
      <c r="B24" t="s">
        <v>65</v>
      </c>
      <c r="C24">
        <v>4.1959576272340102E-4</v>
      </c>
      <c r="D24">
        <v>4.1959609871718899E-4</v>
      </c>
      <c r="E24">
        <v>4.1959811469121901E-4</v>
      </c>
      <c r="F24">
        <v>4.1960113868858598E-4</v>
      </c>
      <c r="G24">
        <v>4.1962600431958498E-4</v>
      </c>
      <c r="H24">
        <v>4.1974398820871899E-4</v>
      </c>
      <c r="I24">
        <v>4.2008015193433298E-4</v>
      </c>
      <c r="J24">
        <v>4.2097077145304002E-4</v>
      </c>
      <c r="K24">
        <v>4.2323050878122502E-4</v>
      </c>
      <c r="L24">
        <v>4.2787246134449899E-4</v>
      </c>
      <c r="M24">
        <v>4.3674309670859102E-4</v>
      </c>
      <c r="N24">
        <v>4.5197857069540002E-4</v>
      </c>
      <c r="O24">
        <v>4.76620578184421E-4</v>
      </c>
      <c r="P24">
        <v>5.1278424160978899E-4</v>
      </c>
      <c r="Q24">
        <v>5.6737279120135705E-4</v>
      </c>
      <c r="R24">
        <v>6.6725607620064396E-4</v>
      </c>
      <c r="S24">
        <v>8.0980664887284905E-4</v>
      </c>
      <c r="T24">
        <v>1.01054671956442E-3</v>
      </c>
      <c r="U24">
        <v>1.2775383261497801E-3</v>
      </c>
      <c r="V24">
        <v>1.5925642191190401E-3</v>
      </c>
      <c r="W24">
        <v>1.86847085465537E-3</v>
      </c>
      <c r="X24">
        <v>2.2286962127155601E-3</v>
      </c>
      <c r="Y24">
        <v>2.6762814555997502E-3</v>
      </c>
      <c r="Z24">
        <v>3.1133728975123801E-3</v>
      </c>
      <c r="AA24">
        <v>3.5839186103644601E-3</v>
      </c>
      <c r="AB24">
        <v>4.2452544120322603E-3</v>
      </c>
      <c r="AC24">
        <v>4.8325535582368897E-3</v>
      </c>
      <c r="AD24">
        <v>5.77007547019127E-3</v>
      </c>
      <c r="AE24">
        <v>6.7388249986990697E-3</v>
      </c>
      <c r="AF24">
        <v>7.4535429855013303E-3</v>
      </c>
      <c r="AG24">
        <v>8.3082588584003202E-3</v>
      </c>
      <c r="AH24">
        <v>8.2167311699910695E-3</v>
      </c>
      <c r="AI24">
        <v>9.0339963547032293E-3</v>
      </c>
      <c r="AJ24">
        <v>8.6225250159676393E-3</v>
      </c>
      <c r="AK24">
        <v>1.0404280618311499E-2</v>
      </c>
      <c r="AL24">
        <v>1.2396694214876E-2</v>
      </c>
      <c r="AM24">
        <v>1.45900204260286E-2</v>
      </c>
      <c r="AN24">
        <v>1.5046766978446501E-2</v>
      </c>
      <c r="AO24">
        <v>1.6439909297052201E-2</v>
      </c>
      <c r="AP24">
        <v>2.3538961038961002E-2</v>
      </c>
      <c r="AQ24">
        <v>3.39578454332553E-2</v>
      </c>
      <c r="AR24">
        <v>3.8983050847457602E-2</v>
      </c>
      <c r="AS24">
        <v>4.4665012406947903E-2</v>
      </c>
      <c r="AT24">
        <v>6.8085106382978697E-2</v>
      </c>
      <c r="AU24">
        <v>9.2198581560283696E-2</v>
      </c>
      <c r="AV24">
        <v>0.15853658536585399</v>
      </c>
      <c r="AW24">
        <v>0.13725490196078399</v>
      </c>
      <c r="AX24">
        <v>0.17647058823529399</v>
      </c>
      <c r="AY24">
        <v>0</v>
      </c>
      <c r="AZ24">
        <v>0</v>
      </c>
      <c r="BA24">
        <v>23891</v>
      </c>
    </row>
    <row r="25" spans="1:53">
      <c r="A25" t="s">
        <v>103</v>
      </c>
      <c r="B25" t="s">
        <v>66</v>
      </c>
      <c r="C25">
        <v>1.56147278112716E-4</v>
      </c>
      <c r="D25">
        <v>1.5614740314857199E-4</v>
      </c>
      <c r="E25">
        <v>1.5614815336791499E-4</v>
      </c>
      <c r="F25">
        <v>1.5614927871044701E-4</v>
      </c>
      <c r="G25">
        <v>1.5615853214183E-4</v>
      </c>
      <c r="H25">
        <v>1.56202438360115E-4</v>
      </c>
      <c r="I25">
        <v>1.56327537456479E-4</v>
      </c>
      <c r="J25">
        <v>1.5665897029263899E-4</v>
      </c>
      <c r="K25">
        <v>1.5346144402372699E-4</v>
      </c>
      <c r="L25">
        <v>1.5432804426356901E-4</v>
      </c>
      <c r="M25">
        <v>1.4835929621017001E-4</v>
      </c>
      <c r="N25">
        <v>1.4835937816719201E-4</v>
      </c>
      <c r="O25">
        <v>1.31889282131185E-4</v>
      </c>
      <c r="P25">
        <v>1.17881434852825E-4</v>
      </c>
      <c r="Q25">
        <v>1.1238345671873E-4</v>
      </c>
      <c r="R25" s="1">
        <v>9.1106118096626396E-5</v>
      </c>
      <c r="S25" s="1">
        <v>7.2052429106675195E-5</v>
      </c>
      <c r="T25" s="1">
        <v>5.71264227434078E-5</v>
      </c>
      <c r="U25" s="1">
        <v>4.7501425042751298E-5</v>
      </c>
      <c r="V25" s="1">
        <v>5.40391052395681E-5</v>
      </c>
      <c r="W25" s="1">
        <v>4.0010082540800297E-5</v>
      </c>
      <c r="X25" s="1">
        <v>3.4979536970872001E-5</v>
      </c>
      <c r="Y25" s="1">
        <v>3.0975479810182302E-5</v>
      </c>
      <c r="Z25" s="1">
        <v>7.6873404876848804E-6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20735</v>
      </c>
    </row>
    <row r="26" spans="1:53">
      <c r="A26" t="s">
        <v>119</v>
      </c>
      <c r="B26" t="s">
        <v>73</v>
      </c>
      <c r="C26">
        <v>6.5822083389052597E-3</v>
      </c>
      <c r="D26">
        <v>6.5822136096475104E-3</v>
      </c>
      <c r="E26">
        <v>6.5822452342782804E-3</v>
      </c>
      <c r="F26">
        <v>6.58229267179424E-3</v>
      </c>
      <c r="G26">
        <v>6.5826827395171596E-3</v>
      </c>
      <c r="H26">
        <v>6.5845335554879101E-3</v>
      </c>
      <c r="I26">
        <v>6.5882036041914997E-3</v>
      </c>
      <c r="J26">
        <v>6.6021713736661904E-3</v>
      </c>
      <c r="K26">
        <v>6.6335728408782497E-3</v>
      </c>
      <c r="L26">
        <v>6.7063292462259004E-3</v>
      </c>
      <c r="M26">
        <v>6.8403637303194702E-3</v>
      </c>
      <c r="N26">
        <v>7.0634589989019697E-3</v>
      </c>
      <c r="O26">
        <v>7.4185447245651501E-3</v>
      </c>
      <c r="P26">
        <v>7.9697673413414109E-3</v>
      </c>
      <c r="Q26">
        <v>8.7735473347117596E-3</v>
      </c>
      <c r="R26">
        <v>1.01320268801544E-2</v>
      </c>
      <c r="S26">
        <v>1.20108266606519E-2</v>
      </c>
      <c r="T26">
        <v>1.45199607600572E-2</v>
      </c>
      <c r="U26">
        <v>1.7420522615678499E-2</v>
      </c>
      <c r="V26">
        <v>2.0604792950757699E-2</v>
      </c>
      <c r="W26">
        <v>2.37659890292354E-2</v>
      </c>
      <c r="X26">
        <v>2.68842727004702E-2</v>
      </c>
      <c r="Y26">
        <v>2.9389535243900901E-2</v>
      </c>
      <c r="Z26">
        <v>3.1610344085360197E-2</v>
      </c>
      <c r="AA26">
        <v>3.2948929159802298E-2</v>
      </c>
      <c r="AB26">
        <v>3.5211353023227601E-2</v>
      </c>
      <c r="AC26">
        <v>3.67982024131987E-2</v>
      </c>
      <c r="AD26">
        <v>3.8593618975362398E-2</v>
      </c>
      <c r="AE26">
        <v>3.9496279336004601E-2</v>
      </c>
      <c r="AF26">
        <v>3.84589204274726E-2</v>
      </c>
      <c r="AG26">
        <v>3.72748910944447E-2</v>
      </c>
      <c r="AH26">
        <v>3.75707055671331E-2</v>
      </c>
      <c r="AI26">
        <v>3.64529677470481E-2</v>
      </c>
      <c r="AJ26">
        <v>3.8641686182669797E-2</v>
      </c>
      <c r="AK26">
        <v>4.0428061831153397E-2</v>
      </c>
      <c r="AL26">
        <v>3.8016528925619797E-2</v>
      </c>
      <c r="AM26">
        <v>3.9976655967318399E-2</v>
      </c>
      <c r="AN26">
        <v>3.9446929646197601E-2</v>
      </c>
      <c r="AO26">
        <v>3.6848072562358301E-2</v>
      </c>
      <c r="AP26">
        <v>2.8409090909090901E-2</v>
      </c>
      <c r="AQ26">
        <v>3.2786885245901599E-2</v>
      </c>
      <c r="AR26">
        <v>3.55932203389831E-2</v>
      </c>
      <c r="AS26">
        <v>2.2332506203473899E-2</v>
      </c>
      <c r="AT26">
        <v>3.8297872340425497E-2</v>
      </c>
      <c r="AU26">
        <v>5.6737588652482303E-2</v>
      </c>
      <c r="AV26">
        <v>8.5365853658536606E-2</v>
      </c>
      <c r="AW26">
        <v>0.11764705882352899</v>
      </c>
      <c r="AX26">
        <v>0.17647058823529399</v>
      </c>
      <c r="AY26">
        <v>0.3</v>
      </c>
      <c r="AZ26">
        <v>0.5</v>
      </c>
      <c r="BA26">
        <v>399001</v>
      </c>
    </row>
    <row r="27" spans="1:53">
      <c r="A27" t="s">
        <v>117</v>
      </c>
      <c r="B27" t="s">
        <v>49</v>
      </c>
      <c r="C27">
        <v>1.03393520768789E-2</v>
      </c>
      <c r="D27">
        <v>1.03393603561762E-2</v>
      </c>
      <c r="E27">
        <v>1.0339410032238599E-2</v>
      </c>
      <c r="F27">
        <v>1.03394845472271E-2</v>
      </c>
      <c r="G27">
        <v>1.03400972667452E-2</v>
      </c>
      <c r="H27">
        <v>1.0343004533875899E-2</v>
      </c>
      <c r="I27">
        <v>1.03512880186567E-2</v>
      </c>
      <c r="J27">
        <v>1.03732339713772E-2</v>
      </c>
      <c r="K27">
        <v>1.0428108967317599E-2</v>
      </c>
      <c r="L27">
        <v>1.0540033837852699E-2</v>
      </c>
      <c r="M27">
        <v>1.07477141833154E-2</v>
      </c>
      <c r="N27">
        <v>1.10959013996672E-2</v>
      </c>
      <c r="O27">
        <v>1.16571933778846E-2</v>
      </c>
      <c r="P27">
        <v>1.2519990726660501E-2</v>
      </c>
      <c r="Q27">
        <v>1.37947965368438E-2</v>
      </c>
      <c r="R27">
        <v>1.5960252068814601E-2</v>
      </c>
      <c r="S27">
        <v>1.9114256356277299E-2</v>
      </c>
      <c r="T27">
        <v>2.34454718445531E-2</v>
      </c>
      <c r="U27">
        <v>2.8810864325929799E-2</v>
      </c>
      <c r="V27">
        <v>3.5115882093029897E-2</v>
      </c>
      <c r="W27">
        <v>4.1974577593553601E-2</v>
      </c>
      <c r="X27">
        <v>4.9216208518017002E-2</v>
      </c>
      <c r="Y27">
        <v>5.6895761315342797E-2</v>
      </c>
      <c r="Z27">
        <v>6.5611451062390497E-2</v>
      </c>
      <c r="AA27">
        <v>7.5638024220353206E-2</v>
      </c>
      <c r="AB27">
        <v>8.66031900054582E-2</v>
      </c>
      <c r="AC27">
        <v>0.10016005909874399</v>
      </c>
      <c r="AD27">
        <v>0.116299964061814</v>
      </c>
      <c r="AE27">
        <v>0.13246084196284499</v>
      </c>
      <c r="AF27">
        <v>0.15155537403852701</v>
      </c>
      <c r="AG27">
        <v>0.171599227556474</v>
      </c>
      <c r="AH27">
        <v>0.18791306936588301</v>
      </c>
      <c r="AI27">
        <v>0.20358190030905801</v>
      </c>
      <c r="AJ27">
        <v>0.220246966148606</v>
      </c>
      <c r="AK27">
        <v>0.23677170035671799</v>
      </c>
      <c r="AL27">
        <v>0.23657024793388401</v>
      </c>
      <c r="AM27">
        <v>0.24832214765100699</v>
      </c>
      <c r="AN27">
        <v>0.24115494103294</v>
      </c>
      <c r="AO27">
        <v>0.22562358276644001</v>
      </c>
      <c r="AP27">
        <v>0.21996753246753201</v>
      </c>
      <c r="AQ27">
        <v>0.213114754098361</v>
      </c>
      <c r="AR27">
        <v>0.22881355932203401</v>
      </c>
      <c r="AS27">
        <v>0.25310173697270499</v>
      </c>
      <c r="AT27">
        <v>0.365957446808511</v>
      </c>
      <c r="AU27">
        <v>0.36170212765957399</v>
      </c>
      <c r="AV27">
        <v>0.26829268292682901</v>
      </c>
      <c r="AW27">
        <v>0.31372549019607798</v>
      </c>
      <c r="AX27">
        <v>0.35294117647058798</v>
      </c>
      <c r="AY27">
        <v>0.3</v>
      </c>
      <c r="AZ27">
        <v>0.5</v>
      </c>
      <c r="BA27">
        <v>503734</v>
      </c>
    </row>
    <row r="28" spans="1:53">
      <c r="A28" t="s">
        <v>111</v>
      </c>
      <c r="B28" t="s">
        <v>38</v>
      </c>
      <c r="C28">
        <v>1.23636614054376E-3</v>
      </c>
      <c r="D28">
        <v>1.2363671305712599E-3</v>
      </c>
      <c r="E28">
        <v>1.23637307076955E-3</v>
      </c>
      <c r="F28">
        <v>1.2363819811740001E-3</v>
      </c>
      <c r="G28">
        <v>1.2364552493691601E-3</v>
      </c>
      <c r="H28">
        <v>1.23680289655393E-3</v>
      </c>
      <c r="I28">
        <v>1.23779342478361E-3</v>
      </c>
      <c r="J28">
        <v>1.2404176929837699E-3</v>
      </c>
      <c r="K28">
        <v>1.2470761556454401E-3</v>
      </c>
      <c r="L28">
        <v>1.26075397006852E-3</v>
      </c>
      <c r="M28">
        <v>1.2793905600146701E-3</v>
      </c>
      <c r="N28">
        <v>1.2964194499144801E-3</v>
      </c>
      <c r="O28">
        <v>1.3288982151287E-3</v>
      </c>
      <c r="P28">
        <v>1.3811774783589301E-3</v>
      </c>
      <c r="Q28">
        <v>1.43479850082651E-3</v>
      </c>
      <c r="R28">
        <v>1.5513703771664999E-3</v>
      </c>
      <c r="S28">
        <v>1.7151610841697701E-3</v>
      </c>
      <c r="T28">
        <v>1.9541176331538102E-3</v>
      </c>
      <c r="U28">
        <v>2.2025660769823098E-3</v>
      </c>
      <c r="V28">
        <v>2.4857988410201298E-3</v>
      </c>
      <c r="W28">
        <v>2.6206604064224199E-3</v>
      </c>
      <c r="X28">
        <v>2.8183512645102598E-3</v>
      </c>
      <c r="Y28">
        <v>2.8621343344608398E-3</v>
      </c>
      <c r="Z28">
        <v>2.95962608775868E-3</v>
      </c>
      <c r="AA28">
        <v>3.04440398084723E-3</v>
      </c>
      <c r="AB28">
        <v>3.49323791618655E-3</v>
      </c>
      <c r="AC28">
        <v>3.8475744890421101E-3</v>
      </c>
      <c r="AD28">
        <v>4.0530287904803697E-3</v>
      </c>
      <c r="AE28">
        <v>4.08492480616121E-3</v>
      </c>
      <c r="AF28">
        <v>3.87992648560343E-3</v>
      </c>
      <c r="AG28">
        <v>3.27839403601742E-3</v>
      </c>
      <c r="AH28">
        <v>3.5129502828222699E-3</v>
      </c>
      <c r="AI28">
        <v>4.1207702670576097E-3</v>
      </c>
      <c r="AJ28">
        <v>4.25803704492229E-3</v>
      </c>
      <c r="AK28">
        <v>4.4589774078478001E-3</v>
      </c>
      <c r="AL28">
        <v>3.9256198347107397E-3</v>
      </c>
      <c r="AM28">
        <v>4.3770061278085798E-3</v>
      </c>
      <c r="AN28">
        <v>5.69337128914193E-3</v>
      </c>
      <c r="AO28">
        <v>6.2358276643990898E-3</v>
      </c>
      <c r="AP28">
        <v>8.9285714285714298E-3</v>
      </c>
      <c r="AQ28">
        <v>1.1709601873536301E-2</v>
      </c>
      <c r="AR28">
        <v>1.6949152542372899E-2</v>
      </c>
      <c r="AS28">
        <v>1.7369727047146399E-2</v>
      </c>
      <c r="AT28">
        <v>2.5531914893616999E-2</v>
      </c>
      <c r="AU28">
        <v>4.2553191489361701E-2</v>
      </c>
      <c r="AV28">
        <v>2.4390243902439001E-2</v>
      </c>
      <c r="AW28">
        <v>0</v>
      </c>
      <c r="AX28">
        <v>0</v>
      </c>
      <c r="AY28">
        <v>0</v>
      </c>
      <c r="AZ28">
        <v>0</v>
      </c>
      <c r="BA28">
        <v>79522</v>
      </c>
    </row>
    <row r="29" spans="1:53">
      <c r="A29" t="s">
        <v>120</v>
      </c>
      <c r="B29" t="s">
        <v>74</v>
      </c>
      <c r="C29">
        <v>1.2790463965612399E-2</v>
      </c>
      <c r="D29">
        <v>1.2790474207651999E-2</v>
      </c>
      <c r="E29">
        <v>1.2790535660234401E-2</v>
      </c>
      <c r="F29">
        <v>1.27906278402152E-2</v>
      </c>
      <c r="G29">
        <v>1.27913858148793E-2</v>
      </c>
      <c r="H29">
        <v>1.2794982297057E-2</v>
      </c>
      <c r="I29">
        <v>1.2805229516883799E-2</v>
      </c>
      <c r="J29">
        <v>1.28323781153042E-2</v>
      </c>
      <c r="K29">
        <v>1.2901261291531499E-2</v>
      </c>
      <c r="L29">
        <v>1.30427611165185E-2</v>
      </c>
      <c r="M29">
        <v>1.3310662699305699E-2</v>
      </c>
      <c r="N29">
        <v>1.3753431888813301E-2</v>
      </c>
      <c r="O29">
        <v>1.4456884484090099E-2</v>
      </c>
      <c r="P29">
        <v>1.5526949660697901E-2</v>
      </c>
      <c r="Q29">
        <v>1.7057190086251599E-2</v>
      </c>
      <c r="R29">
        <v>1.9680204693633199E-2</v>
      </c>
      <c r="S29">
        <v>2.3313659887472901E-2</v>
      </c>
      <c r="T29">
        <v>2.8094380729878701E-2</v>
      </c>
      <c r="U29">
        <v>3.3416002480074397E-2</v>
      </c>
      <c r="V29">
        <v>3.9458083137573999E-2</v>
      </c>
      <c r="W29">
        <v>4.5275409403169597E-2</v>
      </c>
      <c r="X29">
        <v>5.0335553701084897E-2</v>
      </c>
      <c r="Y29">
        <v>5.4900940415567E-2</v>
      </c>
      <c r="Z29">
        <v>5.7678115679099702E-2</v>
      </c>
      <c r="AA29">
        <v>6.04738094549939E-2</v>
      </c>
      <c r="AB29">
        <v>6.2914670386318206E-2</v>
      </c>
      <c r="AC29">
        <v>6.46700320118197E-2</v>
      </c>
      <c r="AD29">
        <v>6.7144511440322602E-2</v>
      </c>
      <c r="AE29">
        <v>6.7570380392360893E-2</v>
      </c>
      <c r="AF29">
        <v>6.9260091212306807E-2</v>
      </c>
      <c r="AG29">
        <v>6.8981003278394001E-2</v>
      </c>
      <c r="AH29">
        <v>6.9663590354272095E-2</v>
      </c>
      <c r="AI29">
        <v>6.7041762421745005E-2</v>
      </c>
      <c r="AJ29">
        <v>6.4083457526080495E-2</v>
      </c>
      <c r="AK29">
        <v>6.1979785969084399E-2</v>
      </c>
      <c r="AL29">
        <v>5.5785123966942199E-2</v>
      </c>
      <c r="AM29">
        <v>4.9022468631456102E-2</v>
      </c>
      <c r="AN29">
        <v>3.8226921512810097E-2</v>
      </c>
      <c r="AO29">
        <v>2.60770975056689E-2</v>
      </c>
      <c r="AP29">
        <v>2.0292207792207799E-2</v>
      </c>
      <c r="AQ29">
        <v>1.87353629976581E-2</v>
      </c>
      <c r="AR29">
        <v>1.8644067796610202E-2</v>
      </c>
      <c r="AS29">
        <v>1.4888337468982601E-2</v>
      </c>
      <c r="AT29">
        <v>2.5531914893616999E-2</v>
      </c>
      <c r="AU29">
        <v>4.2553191489361701E-2</v>
      </c>
      <c r="AV29">
        <v>7.3170731707317097E-2</v>
      </c>
      <c r="AW29">
        <v>0</v>
      </c>
      <c r="AX29">
        <v>0</v>
      </c>
      <c r="AY29">
        <v>0</v>
      </c>
      <c r="AZ29">
        <v>0</v>
      </c>
      <c r="BA29">
        <v>662822</v>
      </c>
    </row>
    <row r="30" spans="1:53">
      <c r="A30" t="s">
        <v>112</v>
      </c>
      <c r="B30" t="s">
        <v>39</v>
      </c>
      <c r="C30">
        <v>1.5374501229559699E-3</v>
      </c>
      <c r="D30">
        <v>1.53745135407825E-3</v>
      </c>
      <c r="E30">
        <v>1.5374587408533201E-3</v>
      </c>
      <c r="F30">
        <v>1.5374698211490199E-3</v>
      </c>
      <c r="G30">
        <v>1.5375609318580201E-3</v>
      </c>
      <c r="H30">
        <v>1.53799323923805E-3</v>
      </c>
      <c r="I30">
        <v>1.5392249841868701E-3</v>
      </c>
      <c r="J30">
        <v>1.5424883228813699E-3</v>
      </c>
      <c r="K30">
        <v>1.54753750920769E-3</v>
      </c>
      <c r="L30">
        <v>1.5620611041069199E-3</v>
      </c>
      <c r="M30">
        <v>1.5919452570866599E-3</v>
      </c>
      <c r="N30">
        <v>1.64144125960562E-3</v>
      </c>
      <c r="O30">
        <v>1.71365108644933E-3</v>
      </c>
      <c r="P30">
        <v>1.81930347789527E-3</v>
      </c>
      <c r="Q30">
        <v>1.9705293479031802E-3</v>
      </c>
      <c r="R30">
        <v>2.2250423771767599E-3</v>
      </c>
      <c r="S30">
        <v>2.5735248048319001E-3</v>
      </c>
      <c r="T30">
        <v>3.0099715155836901E-3</v>
      </c>
      <c r="U30">
        <v>3.5476064281928501E-3</v>
      </c>
      <c r="V30">
        <v>4.07200551834628E-3</v>
      </c>
      <c r="W30">
        <v>4.5931574756838704E-3</v>
      </c>
      <c r="X30">
        <v>4.9471059430233298E-3</v>
      </c>
      <c r="Y30">
        <v>5.1976855121485801E-3</v>
      </c>
      <c r="Z30">
        <v>5.0967067433350796E-3</v>
      </c>
      <c r="AA30">
        <v>5.3566095359210801E-3</v>
      </c>
      <c r="AB30">
        <v>5.4096670507611097E-3</v>
      </c>
      <c r="AC30">
        <v>5.5866781580891402E-3</v>
      </c>
      <c r="AD30">
        <v>5.4705905841951801E-3</v>
      </c>
      <c r="AE30">
        <v>5.98428474787948E-3</v>
      </c>
      <c r="AF30">
        <v>6.3304063712477003E-3</v>
      </c>
      <c r="AG30">
        <v>5.7484169398661702E-3</v>
      </c>
      <c r="AH30">
        <v>5.7755284310806801E-3</v>
      </c>
      <c r="AI30">
        <v>5.4679451620572202E-3</v>
      </c>
      <c r="AJ30">
        <v>4.8967426016606301E-3</v>
      </c>
      <c r="AK30">
        <v>2.97265160523187E-3</v>
      </c>
      <c r="AL30">
        <v>2.8925619834710699E-3</v>
      </c>
      <c r="AM30">
        <v>2.0426028596440002E-3</v>
      </c>
      <c r="AN30">
        <v>2.8466856445709598E-3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91032</v>
      </c>
    </row>
    <row r="31" spans="1:53">
      <c r="A31" t="s">
        <v>112</v>
      </c>
      <c r="B31" t="s">
        <v>80</v>
      </c>
      <c r="C31">
        <v>1.1903227123823201E-2</v>
      </c>
      <c r="D31">
        <v>1.19032366554027E-2</v>
      </c>
      <c r="E31">
        <v>1.1903293845200299E-2</v>
      </c>
      <c r="F31">
        <v>1.19033796309272E-2</v>
      </c>
      <c r="G31">
        <v>1.1904085027119499E-2</v>
      </c>
      <c r="H31">
        <v>1.19074320319134E-2</v>
      </c>
      <c r="I31">
        <v>1.19169684322593E-2</v>
      </c>
      <c r="J31">
        <v>1.19398236743036E-2</v>
      </c>
      <c r="K31">
        <v>1.19990695390341E-2</v>
      </c>
      <c r="L31">
        <v>1.2123325254927099E-2</v>
      </c>
      <c r="M31">
        <v>1.23579959826303E-2</v>
      </c>
      <c r="N31">
        <v>1.27554563042816E-2</v>
      </c>
      <c r="O31">
        <v>1.3372663626846099E-2</v>
      </c>
      <c r="P31">
        <v>1.43235766799087E-2</v>
      </c>
      <c r="Q31">
        <v>1.56769466615021E-2</v>
      </c>
      <c r="R31">
        <v>1.7987683992655001E-2</v>
      </c>
      <c r="S31">
        <v>2.11160607997193E-2</v>
      </c>
      <c r="T31">
        <v>2.5182903046611201E-2</v>
      </c>
      <c r="U31">
        <v>2.9833395001850099E-2</v>
      </c>
      <c r="V31">
        <v>3.4476949142844403E-2</v>
      </c>
      <c r="W31">
        <v>3.8745763932511001E-2</v>
      </c>
      <c r="X31">
        <v>4.3079798317984003E-2</v>
      </c>
      <c r="Y31">
        <v>4.7014583255894603E-2</v>
      </c>
      <c r="Z31">
        <v>5.0067648596291599E-2</v>
      </c>
      <c r="AA31">
        <v>5.32385329055753E-2</v>
      </c>
      <c r="AB31">
        <v>5.5952453150585203E-2</v>
      </c>
      <c r="AC31">
        <v>5.8406180743659199E-2</v>
      </c>
      <c r="AD31">
        <v>6.1074951084135298E-2</v>
      </c>
      <c r="AE31">
        <v>6.22365613779466E-2</v>
      </c>
      <c r="AF31">
        <v>6.3678442583894906E-2</v>
      </c>
      <c r="AG31">
        <v>6.5343333183635E-2</v>
      </c>
      <c r="AH31">
        <v>6.5972015480797896E-2</v>
      </c>
      <c r="AI31">
        <v>6.4505903795863406E-2</v>
      </c>
      <c r="AJ31">
        <v>6.4509261230572698E-2</v>
      </c>
      <c r="AK31">
        <v>7.1343638525564801E-2</v>
      </c>
      <c r="AL31">
        <v>7.1694214876033099E-2</v>
      </c>
      <c r="AM31">
        <v>7.3241902538663597E-2</v>
      </c>
      <c r="AN31">
        <v>6.3847092313948806E-2</v>
      </c>
      <c r="AO31">
        <v>6.5192743764172306E-2</v>
      </c>
      <c r="AP31">
        <v>7.0616883116883106E-2</v>
      </c>
      <c r="AQ31">
        <v>7.4941451990632305E-2</v>
      </c>
      <c r="AR31">
        <v>8.9830508474576298E-2</v>
      </c>
      <c r="AS31">
        <v>8.6848635235731997E-2</v>
      </c>
      <c r="AT31">
        <v>0.102127659574468</v>
      </c>
      <c r="AU31">
        <v>9.2198581560283696E-2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670983</v>
      </c>
    </row>
    <row r="32" spans="1:53">
      <c r="A32" t="s">
        <v>112</v>
      </c>
      <c r="B32" t="s">
        <v>81</v>
      </c>
      <c r="C32">
        <v>1.3590418482712901E-2</v>
      </c>
      <c r="D32">
        <v>1.35904293653209E-2</v>
      </c>
      <c r="E32">
        <v>1.35904946613347E-2</v>
      </c>
      <c r="F32">
        <v>1.3590592606531801E-2</v>
      </c>
      <c r="G32">
        <v>1.35913979872366E-2</v>
      </c>
      <c r="H32">
        <v>1.3595219404348E-2</v>
      </c>
      <c r="I32">
        <v>1.3606107516468499E-2</v>
      </c>
      <c r="J32">
        <v>1.3632543932798899E-2</v>
      </c>
      <c r="K32">
        <v>1.3702491567697501E-2</v>
      </c>
      <c r="L32">
        <v>1.3845430256788799E-2</v>
      </c>
      <c r="M32">
        <v>1.4122471432500699E-2</v>
      </c>
      <c r="N32">
        <v>1.45883846682658E-2</v>
      </c>
      <c r="O32">
        <v>1.5320986677363301E-2</v>
      </c>
      <c r="P32">
        <v>1.6470983484810998E-2</v>
      </c>
      <c r="Q32">
        <v>1.8104647546930999E-2</v>
      </c>
      <c r="R32">
        <v>2.0908212510794801E-2</v>
      </c>
      <c r="S32">
        <v>2.4781336541232799E-2</v>
      </c>
      <c r="T32">
        <v>2.9861360081631701E-2</v>
      </c>
      <c r="U32">
        <v>3.58535756072682E-2</v>
      </c>
      <c r="V32">
        <v>4.2134608232380903E-2</v>
      </c>
      <c r="W32">
        <v>4.8724278518186601E-2</v>
      </c>
      <c r="X32">
        <v>5.5427574868701798E-2</v>
      </c>
      <c r="Y32">
        <v>6.1975740004212701E-2</v>
      </c>
      <c r="Z32">
        <v>6.7525598843824003E-2</v>
      </c>
      <c r="AA32">
        <v>7.3451063132845801E-2</v>
      </c>
      <c r="AB32">
        <v>7.9725877857965893E-2</v>
      </c>
      <c r="AC32">
        <v>8.6000984979069203E-2</v>
      </c>
      <c r="AD32">
        <v>9.2760452022521298E-2</v>
      </c>
      <c r="AE32">
        <v>9.8272363011916497E-2</v>
      </c>
      <c r="AF32">
        <v>0.104553808454156</v>
      </c>
      <c r="AG32">
        <v>0.109085193335429</v>
      </c>
      <c r="AH32">
        <v>0.114081571896398</v>
      </c>
      <c r="AI32">
        <v>0.11688723353673</v>
      </c>
      <c r="AJ32">
        <v>0.124441132637854</v>
      </c>
      <c r="AK32">
        <v>0.13228299643281799</v>
      </c>
      <c r="AL32">
        <v>0.13140495867768601</v>
      </c>
      <c r="AM32">
        <v>0.14123139772395699</v>
      </c>
      <c r="AN32">
        <v>0.132167547783652</v>
      </c>
      <c r="AO32">
        <v>0.13095238095238099</v>
      </c>
      <c r="AP32">
        <v>0.150162337662338</v>
      </c>
      <c r="AQ32">
        <v>0.15222482435597201</v>
      </c>
      <c r="AR32">
        <v>0.17118644067796601</v>
      </c>
      <c r="AS32">
        <v>0.166253101736973</v>
      </c>
      <c r="AT32">
        <v>0.19148936170212799</v>
      </c>
      <c r="AU32">
        <v>0.19148936170212799</v>
      </c>
      <c r="AV32">
        <v>0.109756097560976</v>
      </c>
      <c r="AW32">
        <v>0.11764705882352899</v>
      </c>
      <c r="AX32">
        <v>0.17647058823529399</v>
      </c>
      <c r="AY32">
        <v>0.3</v>
      </c>
      <c r="AZ32">
        <v>0.5</v>
      </c>
      <c r="BA32">
        <v>749529</v>
      </c>
    </row>
    <row r="33" spans="1:53">
      <c r="A33" t="s">
        <v>113</v>
      </c>
      <c r="B33" t="s">
        <v>40</v>
      </c>
      <c r="C33">
        <v>1.1290649340457901E-3</v>
      </c>
      <c r="D33">
        <v>1.12906583815121E-3</v>
      </c>
      <c r="E33">
        <v>1.1290712628141599E-3</v>
      </c>
      <c r="F33">
        <v>1.12907939990631E-3</v>
      </c>
      <c r="G33">
        <v>1.1291463093332399E-3</v>
      </c>
      <c r="H33">
        <v>1.12946378506544E-3</v>
      </c>
      <c r="I33">
        <v>1.1303683477622299E-3</v>
      </c>
      <c r="J33">
        <v>1.132764862116E-3</v>
      </c>
      <c r="K33">
        <v>1.1388454530181799E-3</v>
      </c>
      <c r="L33">
        <v>1.1505196527374E-3</v>
      </c>
      <c r="M33">
        <v>1.1668708690687501E-3</v>
      </c>
      <c r="N33">
        <v>1.1816996981921699E-3</v>
      </c>
      <c r="O33">
        <v>1.2133813956069E-3</v>
      </c>
      <c r="P33">
        <v>1.2623136982156699E-3</v>
      </c>
      <c r="Q33">
        <v>1.3420548714955199E-3</v>
      </c>
      <c r="R33">
        <v>1.4474324114506301E-3</v>
      </c>
      <c r="S33">
        <v>1.5945515832738099E-3</v>
      </c>
      <c r="T33">
        <v>1.8142563912647799E-3</v>
      </c>
      <c r="U33">
        <v>2.0625618768563099E-3</v>
      </c>
      <c r="V33">
        <v>2.4063295686090002E-3</v>
      </c>
      <c r="W33">
        <v>2.6726735137254602E-3</v>
      </c>
      <c r="X33">
        <v>2.8383395713507602E-3</v>
      </c>
      <c r="Y33">
        <v>2.9922313496636098E-3</v>
      </c>
      <c r="Z33">
        <v>3.18255896190154E-3</v>
      </c>
      <c r="AA33">
        <v>3.3141612956058501E-3</v>
      </c>
      <c r="AB33">
        <v>3.5902723027472902E-3</v>
      </c>
      <c r="AC33">
        <v>4.1245998522531401E-3</v>
      </c>
      <c r="AD33">
        <v>4.2926166992772402E-3</v>
      </c>
      <c r="AE33">
        <v>4.3711297288858801E-3</v>
      </c>
      <c r="AF33">
        <v>4.4244775713021597E-3</v>
      </c>
      <c r="AG33">
        <v>4.8053172856693796E-3</v>
      </c>
      <c r="AH33">
        <v>5.83506996129801E-3</v>
      </c>
      <c r="AI33">
        <v>5.78492749029242E-3</v>
      </c>
      <c r="AJ33">
        <v>5.4289972322759204E-3</v>
      </c>
      <c r="AK33">
        <v>4.6076099881093898E-3</v>
      </c>
      <c r="AL33">
        <v>4.7520661157024798E-3</v>
      </c>
      <c r="AM33">
        <v>5.5442077618908696E-3</v>
      </c>
      <c r="AN33">
        <v>4.4733631557543696E-3</v>
      </c>
      <c r="AO33">
        <v>5.1020408163265302E-3</v>
      </c>
      <c r="AP33">
        <v>7.3051948051948102E-3</v>
      </c>
      <c r="AQ33">
        <v>9.3676814988290398E-3</v>
      </c>
      <c r="AR33">
        <v>1.1864406779661E-2</v>
      </c>
      <c r="AS33">
        <v>1.7369727047146399E-2</v>
      </c>
      <c r="AT33">
        <v>2.5531914893616999E-2</v>
      </c>
      <c r="AU33">
        <v>4.2553191489361701E-2</v>
      </c>
      <c r="AV33">
        <v>2.4390243902439001E-2</v>
      </c>
      <c r="AW33">
        <v>0</v>
      </c>
      <c r="AX33">
        <v>0</v>
      </c>
      <c r="AY33">
        <v>0</v>
      </c>
      <c r="AZ33">
        <v>0</v>
      </c>
      <c r="BA33">
        <v>81839</v>
      </c>
    </row>
    <row r="34" spans="1:53">
      <c r="A34" t="s">
        <v>113</v>
      </c>
      <c r="B34" t="s">
        <v>77</v>
      </c>
      <c r="C34">
        <v>9.7716165887665307E-3</v>
      </c>
      <c r="D34">
        <v>9.7716244134462907E-3</v>
      </c>
      <c r="E34">
        <v>9.7716713617880605E-3</v>
      </c>
      <c r="F34">
        <v>9.7717417851465992E-3</v>
      </c>
      <c r="G34">
        <v>9.7723208601372107E-3</v>
      </c>
      <c r="H34">
        <v>9.7750684887614406E-3</v>
      </c>
      <c r="I34">
        <v>9.78289712605852E-3</v>
      </c>
      <c r="J34">
        <v>9.8028346436450295E-3</v>
      </c>
      <c r="K34">
        <v>9.8514170145126093E-3</v>
      </c>
      <c r="L34">
        <v>9.9504843777558603E-3</v>
      </c>
      <c r="M34">
        <v>1.0138440893823099E-2</v>
      </c>
      <c r="N34">
        <v>1.04731370331747E-2</v>
      </c>
      <c r="O34">
        <v>1.1005933198533401E-2</v>
      </c>
      <c r="P34">
        <v>1.1824490261028799E-2</v>
      </c>
      <c r="Q34">
        <v>1.2960103872864901E-2</v>
      </c>
      <c r="R34">
        <v>1.49208724116559E-2</v>
      </c>
      <c r="S34">
        <v>1.7616818916582101E-2</v>
      </c>
      <c r="T34">
        <v>2.1038282582744702E-2</v>
      </c>
      <c r="U34">
        <v>2.49332479974399E-2</v>
      </c>
      <c r="V34">
        <v>2.8980854262890699E-2</v>
      </c>
      <c r="W34">
        <v>3.2896289865046002E-2</v>
      </c>
      <c r="X34">
        <v>3.64486775236487E-2</v>
      </c>
      <c r="Y34">
        <v>3.9939783667248999E-2</v>
      </c>
      <c r="Z34">
        <v>4.2526367577872801E-2</v>
      </c>
      <c r="AA34">
        <v>4.53192288794474E-2</v>
      </c>
      <c r="AB34">
        <v>4.6988901692037101E-2</v>
      </c>
      <c r="AC34">
        <v>4.7602191578429001E-2</v>
      </c>
      <c r="AD34">
        <v>4.9055624326159002E-2</v>
      </c>
      <c r="AE34">
        <v>5.2245407711921703E-2</v>
      </c>
      <c r="AF34">
        <v>5.4727384112722099E-2</v>
      </c>
      <c r="AG34">
        <v>5.64961602371222E-2</v>
      </c>
      <c r="AH34">
        <v>5.8291158082762702E-2</v>
      </c>
      <c r="AI34">
        <v>5.9513432126158998E-2</v>
      </c>
      <c r="AJ34">
        <v>5.8015754737066202E-2</v>
      </c>
      <c r="AK34">
        <v>5.6777645659928697E-2</v>
      </c>
      <c r="AL34">
        <v>5.3925619834710697E-2</v>
      </c>
      <c r="AM34">
        <v>5.28158739422235E-2</v>
      </c>
      <c r="AN34">
        <v>5.1240341602277299E-2</v>
      </c>
      <c r="AO34">
        <v>5.3287981859410402E-2</v>
      </c>
      <c r="AP34">
        <v>5.1136363636363598E-2</v>
      </c>
      <c r="AQ34">
        <v>3.8641686182669797E-2</v>
      </c>
      <c r="AR34">
        <v>3.0508474576271202E-2</v>
      </c>
      <c r="AS34">
        <v>4.2183622828784101E-2</v>
      </c>
      <c r="AT34">
        <v>4.6808510638297898E-2</v>
      </c>
      <c r="AU34">
        <v>4.2553191489361701E-2</v>
      </c>
      <c r="AV34">
        <v>2.4390243902439001E-2</v>
      </c>
      <c r="AW34">
        <v>0</v>
      </c>
      <c r="AX34">
        <v>0</v>
      </c>
      <c r="AY34">
        <v>0</v>
      </c>
      <c r="AZ34">
        <v>0</v>
      </c>
      <c r="BA34">
        <v>529989</v>
      </c>
    </row>
    <row r="35" spans="1:53">
      <c r="A35" t="s">
        <v>113</v>
      </c>
      <c r="B35" t="s">
        <v>78</v>
      </c>
      <c r="C35">
        <v>8.3951182755575109E-3</v>
      </c>
      <c r="D35">
        <v>8.3951249979981098E-3</v>
      </c>
      <c r="E35">
        <v>8.3951653328678197E-3</v>
      </c>
      <c r="F35">
        <v>8.39522583589912E-3</v>
      </c>
      <c r="G35">
        <v>8.3957233383330793E-3</v>
      </c>
      <c r="H35">
        <v>8.3980839167561196E-3</v>
      </c>
      <c r="I35">
        <v>8.4048097574037101E-3</v>
      </c>
      <c r="J35">
        <v>8.4226289464001403E-3</v>
      </c>
      <c r="K35">
        <v>8.4646101756245106E-3</v>
      </c>
      <c r="L35">
        <v>8.5533664743962408E-3</v>
      </c>
      <c r="M35">
        <v>8.7165253919435897E-3</v>
      </c>
      <c r="N35">
        <v>9.0050692329388896E-3</v>
      </c>
      <c r="O35">
        <v>9.4596450632022499E-3</v>
      </c>
      <c r="P35">
        <v>1.01662914107657E-2</v>
      </c>
      <c r="Q35">
        <v>1.11608774638436E-2</v>
      </c>
      <c r="R35">
        <v>1.28703431621009E-2</v>
      </c>
      <c r="S35">
        <v>1.52202924702079E-2</v>
      </c>
      <c r="T35">
        <v>1.8246967374903E-2</v>
      </c>
      <c r="U35">
        <v>2.1680650419512601E-2</v>
      </c>
      <c r="V35">
        <v>2.5379306837218299E-2</v>
      </c>
      <c r="W35">
        <v>2.8811260437630298E-2</v>
      </c>
      <c r="X35">
        <v>3.2006276328347898E-2</v>
      </c>
      <c r="Y35">
        <v>3.4735903059138401E-2</v>
      </c>
      <c r="Z35">
        <v>3.7045293810153403E-2</v>
      </c>
      <c r="AA35">
        <v>3.95001782325115E-2</v>
      </c>
      <c r="AB35">
        <v>4.1130450603432601E-2</v>
      </c>
      <c r="AC35">
        <v>4.1430682098005399E-2</v>
      </c>
      <c r="AD35">
        <v>4.3245617537834902E-2</v>
      </c>
      <c r="AE35">
        <v>4.6313160222719502E-2</v>
      </c>
      <c r="AF35">
        <v>4.8839425498604601E-2</v>
      </c>
      <c r="AG35">
        <v>5.0927381326626803E-2</v>
      </c>
      <c r="AH35">
        <v>5.4540041679071199E-2</v>
      </c>
      <c r="AI35">
        <v>5.5075679530866201E-2</v>
      </c>
      <c r="AJ35">
        <v>5.2160953800298102E-2</v>
      </c>
      <c r="AK35">
        <v>4.9197384066587399E-2</v>
      </c>
      <c r="AL35">
        <v>4.3181818181818203E-2</v>
      </c>
      <c r="AM35">
        <v>4.0268456375838903E-2</v>
      </c>
      <c r="AN35">
        <v>3.9040260268401801E-2</v>
      </c>
      <c r="AO35">
        <v>4.2517006802721101E-2</v>
      </c>
      <c r="AP35">
        <v>3.5714285714285698E-2</v>
      </c>
      <c r="AQ35">
        <v>3.9812646370023401E-2</v>
      </c>
      <c r="AR35">
        <v>4.0677966101694898E-2</v>
      </c>
      <c r="AS35">
        <v>4.2183622828784101E-2</v>
      </c>
      <c r="AT35">
        <v>4.6808510638297898E-2</v>
      </c>
      <c r="AU35">
        <v>4.2553191489361701E-2</v>
      </c>
      <c r="AV35">
        <v>2.4390243902439001E-2</v>
      </c>
      <c r="AW35">
        <v>0</v>
      </c>
      <c r="AX35">
        <v>0</v>
      </c>
      <c r="AY35">
        <v>0</v>
      </c>
      <c r="AZ35">
        <v>0</v>
      </c>
      <c r="BA35">
        <v>453650</v>
      </c>
    </row>
    <row r="36" spans="1:53">
      <c r="A36" t="s">
        <v>113</v>
      </c>
      <c r="B36" t="s">
        <v>79</v>
      </c>
      <c r="C36">
        <v>8.7186234055961608E-3</v>
      </c>
      <c r="D36">
        <v>8.7186303870854104E-3</v>
      </c>
      <c r="E36">
        <v>8.7186722762557095E-3</v>
      </c>
      <c r="F36">
        <v>8.7187351107658895E-3</v>
      </c>
      <c r="G36">
        <v>8.7192517844115296E-3</v>
      </c>
      <c r="H36">
        <v>8.7217033275124606E-3</v>
      </c>
      <c r="I36">
        <v>8.7286883478263702E-3</v>
      </c>
      <c r="J36">
        <v>8.7471941976730895E-3</v>
      </c>
      <c r="K36">
        <v>8.7909176671275898E-3</v>
      </c>
      <c r="L36">
        <v>8.8832528758908593E-3</v>
      </c>
      <c r="M36">
        <v>9.0515840272047607E-3</v>
      </c>
      <c r="N36">
        <v>9.3544038152511694E-3</v>
      </c>
      <c r="O36">
        <v>9.8353021219621094E-3</v>
      </c>
      <c r="P36">
        <v>1.0566105943974899E-2</v>
      </c>
      <c r="Q36">
        <v>1.15918625648523E-2</v>
      </c>
      <c r="R36">
        <v>1.33810506973468E-2</v>
      </c>
      <c r="S36">
        <v>1.5821773617533199E-2</v>
      </c>
      <c r="T36">
        <v>1.8999460253798901E-2</v>
      </c>
      <c r="U36">
        <v>2.2630678920367599E-2</v>
      </c>
      <c r="V36">
        <v>2.6542736985317301E-2</v>
      </c>
      <c r="W36">
        <v>3.0375654664975601E-2</v>
      </c>
      <c r="X36">
        <v>3.3835206404253498E-2</v>
      </c>
      <c r="Y36">
        <v>3.7121015004522397E-2</v>
      </c>
      <c r="Z36">
        <v>3.96051781925525E-2</v>
      </c>
      <c r="AA36">
        <v>4.23615326069154E-2</v>
      </c>
      <c r="AB36">
        <v>4.3459275880890297E-2</v>
      </c>
      <c r="AC36">
        <v>4.4016252154641701E-2</v>
      </c>
      <c r="AD36">
        <v>4.4922732899413002E-2</v>
      </c>
      <c r="AE36">
        <v>4.6937607326846001E-2</v>
      </c>
      <c r="AF36">
        <v>4.8396977741474403E-2</v>
      </c>
      <c r="AG36">
        <v>4.9939372165087301E-2</v>
      </c>
      <c r="AH36">
        <v>5.1622506698422201E-2</v>
      </c>
      <c r="AI36">
        <v>5.2698312069102103E-2</v>
      </c>
      <c r="AJ36">
        <v>5.0883542686821402E-2</v>
      </c>
      <c r="AK36">
        <v>4.9346016646848997E-2</v>
      </c>
      <c r="AL36">
        <v>4.9793388429752103E-2</v>
      </c>
      <c r="AM36">
        <v>4.8147067405894403E-2</v>
      </c>
      <c r="AN36">
        <v>4.9206994713298098E-2</v>
      </c>
      <c r="AO36">
        <v>5.10204081632653E-2</v>
      </c>
      <c r="AP36">
        <v>4.7077922077922101E-2</v>
      </c>
      <c r="AQ36">
        <v>4.8009367681498799E-2</v>
      </c>
      <c r="AR36">
        <v>4.4067796610169498E-2</v>
      </c>
      <c r="AS36">
        <v>6.2034739454094302E-2</v>
      </c>
      <c r="AT36">
        <v>8.5106382978723402E-2</v>
      </c>
      <c r="AU36">
        <v>6.3829787234042507E-2</v>
      </c>
      <c r="AV36">
        <v>7.3170731707317097E-2</v>
      </c>
      <c r="AW36">
        <v>0</v>
      </c>
      <c r="AX36">
        <v>0</v>
      </c>
      <c r="AY36">
        <v>0</v>
      </c>
      <c r="AZ36">
        <v>0</v>
      </c>
      <c r="BA36">
        <v>466693</v>
      </c>
    </row>
    <row r="37" spans="1:53">
      <c r="A37" t="s">
        <v>121</v>
      </c>
      <c r="B37" t="s">
        <v>75</v>
      </c>
      <c r="C37">
        <v>1.6405874020376E-2</v>
      </c>
      <c r="D37">
        <v>1.6405887157476699E-2</v>
      </c>
      <c r="E37">
        <v>1.64059659805223E-2</v>
      </c>
      <c r="F37">
        <v>1.6406084216511001E-2</v>
      </c>
      <c r="G37">
        <v>1.6407056443701599E-2</v>
      </c>
      <c r="H37">
        <v>1.64116695237027E-2</v>
      </c>
      <c r="I37">
        <v>1.6424813268760701E-2</v>
      </c>
      <c r="J37">
        <v>1.64596358120799E-2</v>
      </c>
      <c r="K37">
        <v>1.6541528282136401E-2</v>
      </c>
      <c r="L37">
        <v>1.6718054911387899E-2</v>
      </c>
      <c r="M37">
        <v>1.7050483834671101E-2</v>
      </c>
      <c r="N37">
        <v>1.7616813602829899E-2</v>
      </c>
      <c r="O37">
        <v>1.8521803117498799E-2</v>
      </c>
      <c r="P37">
        <v>1.9896421512576E-2</v>
      </c>
      <c r="Q37">
        <v>2.1850399070381499E-2</v>
      </c>
      <c r="R37">
        <v>2.5192766430860099E-2</v>
      </c>
      <c r="S37">
        <v>2.9958146936831999E-2</v>
      </c>
      <c r="T37">
        <v>3.6235880909137499E-2</v>
      </c>
      <c r="U37">
        <v>4.3838815164454897E-2</v>
      </c>
      <c r="V37">
        <v>5.2640446045132197E-2</v>
      </c>
      <c r="W37">
        <v>6.1535506947750798E-2</v>
      </c>
      <c r="X37">
        <v>7.0868541902986706E-2</v>
      </c>
      <c r="Y37">
        <v>7.9929128102194297E-2</v>
      </c>
      <c r="Z37">
        <v>8.8627348482519006E-2</v>
      </c>
      <c r="AA37">
        <v>9.8268736090638506E-2</v>
      </c>
      <c r="AB37">
        <v>0.10678634241009199</v>
      </c>
      <c r="AC37">
        <v>0.11673540999753799</v>
      </c>
      <c r="AD37">
        <v>0.127580561434333</v>
      </c>
      <c r="AE37">
        <v>0.13605141281157301</v>
      </c>
      <c r="AF37">
        <v>0.143591314410183</v>
      </c>
      <c r="AG37">
        <v>0.14950374994386301</v>
      </c>
      <c r="AH37">
        <v>0.155522476927657</v>
      </c>
      <c r="AI37">
        <v>0.15532134083524801</v>
      </c>
      <c r="AJ37">
        <v>0.15978284011070901</v>
      </c>
      <c r="AK37">
        <v>0.169887039239001</v>
      </c>
      <c r="AL37">
        <v>0.163636363636364</v>
      </c>
      <c r="AM37">
        <v>0.165450831631164</v>
      </c>
      <c r="AN37">
        <v>0.158194387962586</v>
      </c>
      <c r="AO37">
        <v>0.159863945578231</v>
      </c>
      <c r="AP37">
        <v>0.16152597402597399</v>
      </c>
      <c r="AQ37">
        <v>0.166276346604215</v>
      </c>
      <c r="AR37">
        <v>0.149152542372881</v>
      </c>
      <c r="AS37">
        <v>0.146401985111663</v>
      </c>
      <c r="AT37">
        <v>0.14042553191489399</v>
      </c>
      <c r="AU37">
        <v>8.5106382978723402E-2</v>
      </c>
      <c r="AV37">
        <v>7.3170731707317097E-2</v>
      </c>
      <c r="AW37">
        <v>0</v>
      </c>
      <c r="AX37">
        <v>0</v>
      </c>
      <c r="AY37">
        <v>0</v>
      </c>
      <c r="AZ37">
        <v>0</v>
      </c>
      <c r="BA37">
        <v>848258</v>
      </c>
    </row>
    <row r="38" spans="1:53">
      <c r="A38" t="s">
        <v>121</v>
      </c>
      <c r="B38" t="s">
        <v>76</v>
      </c>
      <c r="C38">
        <v>1.4183778139541201E-2</v>
      </c>
      <c r="D38">
        <v>1.4183789497285401E-2</v>
      </c>
      <c r="E38">
        <v>1.41838576441328E-2</v>
      </c>
      <c r="F38">
        <v>1.41839598656315E-2</v>
      </c>
      <c r="G38">
        <v>1.41848004093756E-2</v>
      </c>
      <c r="H38">
        <v>1.41887886701165E-2</v>
      </c>
      <c r="I38">
        <v>1.42001521588031E-2</v>
      </c>
      <c r="J38">
        <v>1.4230258157915499E-2</v>
      </c>
      <c r="K38">
        <v>1.4303414274822001E-2</v>
      </c>
      <c r="L38">
        <v>1.44545769288556E-2</v>
      </c>
      <c r="M38">
        <v>1.47367455971462E-2</v>
      </c>
      <c r="N38">
        <v>1.5228400125242901E-2</v>
      </c>
      <c r="O38">
        <v>1.5985890575555699E-2</v>
      </c>
      <c r="P38">
        <v>1.7169430986313999E-2</v>
      </c>
      <c r="Q38">
        <v>1.8804043622238802E-2</v>
      </c>
      <c r="R38">
        <v>2.1646043748901299E-2</v>
      </c>
      <c r="S38">
        <v>2.5656930190594299E-2</v>
      </c>
      <c r="T38">
        <v>3.0946762113756399E-2</v>
      </c>
      <c r="U38">
        <v>3.7348620458613799E-2</v>
      </c>
      <c r="V38">
        <v>4.4798418243601902E-2</v>
      </c>
      <c r="W38">
        <v>5.2245165781777E-2</v>
      </c>
      <c r="X38">
        <v>5.9899958524263303E-2</v>
      </c>
      <c r="Y38">
        <v>6.7309717627526106E-2</v>
      </c>
      <c r="Z38">
        <v>7.3690845914947303E-2</v>
      </c>
      <c r="AA38">
        <v>8.1187317552530405E-2</v>
      </c>
      <c r="AB38">
        <v>8.8349808963551504E-2</v>
      </c>
      <c r="AC38">
        <v>9.5666092095542998E-2</v>
      </c>
      <c r="AD38">
        <v>0.103721598849978</v>
      </c>
      <c r="AE38">
        <v>0.110214913878337</v>
      </c>
      <c r="AF38">
        <v>0.114866244639575</v>
      </c>
      <c r="AG38">
        <v>0.118471280370054</v>
      </c>
      <c r="AH38">
        <v>0.122119678475737</v>
      </c>
      <c r="AI38">
        <v>0.12172121404231701</v>
      </c>
      <c r="AJ38">
        <v>0.12241856504151601</v>
      </c>
      <c r="AK38">
        <v>0.12931034482758599</v>
      </c>
      <c r="AL38">
        <v>0.12252066115702499</v>
      </c>
      <c r="AM38">
        <v>0.11467756054858499</v>
      </c>
      <c r="AN38">
        <v>0.10492069947133</v>
      </c>
      <c r="AO38">
        <v>9.6371882086167801E-2</v>
      </c>
      <c r="AP38">
        <v>0.102272727272727</v>
      </c>
      <c r="AQ38">
        <v>0.10772833723653399</v>
      </c>
      <c r="AR38">
        <v>9.8305084745762703E-2</v>
      </c>
      <c r="AS38">
        <v>0.10421836228287799</v>
      </c>
      <c r="AT38">
        <v>0.114893617021277</v>
      </c>
      <c r="AU38">
        <v>8.5106382978723402E-2</v>
      </c>
      <c r="AV38">
        <v>7.3170731707317097E-2</v>
      </c>
      <c r="AW38">
        <v>0</v>
      </c>
      <c r="AX38">
        <v>0</v>
      </c>
      <c r="AY38">
        <v>0</v>
      </c>
      <c r="AZ38">
        <v>0</v>
      </c>
      <c r="BA38">
        <v>754621</v>
      </c>
    </row>
    <row r="39" spans="1:53">
      <c r="A39" t="s">
        <v>98</v>
      </c>
      <c r="B39" t="s">
        <v>56</v>
      </c>
      <c r="C39">
        <v>3.8035875437712899E-3</v>
      </c>
      <c r="D39">
        <v>3.8035905895165002E-3</v>
      </c>
      <c r="E39">
        <v>3.8036088640902499E-3</v>
      </c>
      <c r="F39">
        <v>3.8036362762801199E-3</v>
      </c>
      <c r="G39">
        <v>3.8038616803779202E-3</v>
      </c>
      <c r="H39">
        <v>3.80493119082331E-3</v>
      </c>
      <c r="I39">
        <v>3.80797847650397E-3</v>
      </c>
      <c r="J39">
        <v>3.8128383231223798E-3</v>
      </c>
      <c r="K39">
        <v>3.8260361070546998E-3</v>
      </c>
      <c r="L39">
        <v>3.8573845560904898E-3</v>
      </c>
      <c r="M39">
        <v>3.90401653622717E-3</v>
      </c>
      <c r="N39">
        <v>3.9565376026332102E-3</v>
      </c>
      <c r="O39">
        <v>3.9939712954347199E-3</v>
      </c>
      <c r="P39">
        <v>4.0698565382937804E-3</v>
      </c>
      <c r="Q39">
        <v>4.1516412894637804E-3</v>
      </c>
      <c r="R39">
        <v>4.26017340958873E-3</v>
      </c>
      <c r="S39">
        <v>4.4641178903048803E-3</v>
      </c>
      <c r="T39">
        <v>4.7217943212395997E-3</v>
      </c>
      <c r="U39">
        <v>4.8026440793223803E-3</v>
      </c>
      <c r="V39">
        <v>4.9175585768006904E-3</v>
      </c>
      <c r="W39">
        <v>4.9572492268051497E-3</v>
      </c>
      <c r="X39">
        <v>5.2419334689206799E-3</v>
      </c>
      <c r="Y39">
        <v>5.2906119515791303E-3</v>
      </c>
      <c r="Z39">
        <v>5.3503889794286798E-3</v>
      </c>
      <c r="AA39">
        <v>5.7034403691821499E-3</v>
      </c>
      <c r="AB39">
        <v>5.8220631936442497E-3</v>
      </c>
      <c r="AC39">
        <v>6.15611918246737E-3</v>
      </c>
      <c r="AD39">
        <v>5.84993810645689E-3</v>
      </c>
      <c r="AE39">
        <v>5.8281729718478396E-3</v>
      </c>
      <c r="AF39">
        <v>5.8879586141174899E-3</v>
      </c>
      <c r="AG39">
        <v>5.9280549692369896E-3</v>
      </c>
      <c r="AH39">
        <v>6.2518606728192896E-3</v>
      </c>
      <c r="AI39">
        <v>6.3396465647040197E-3</v>
      </c>
      <c r="AJ39">
        <v>7.4515648286140098E-3</v>
      </c>
      <c r="AK39">
        <v>7.8775267538644493E-3</v>
      </c>
      <c r="AL39">
        <v>8.2644628099173608E-3</v>
      </c>
      <c r="AM39">
        <v>3.5016049022468599E-3</v>
      </c>
      <c r="AN39">
        <v>1.62667751118341E-3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396764</v>
      </c>
    </row>
    <row r="40" spans="1:53">
      <c r="A40" t="s">
        <v>98</v>
      </c>
      <c r="B40" t="s">
        <v>50</v>
      </c>
      <c r="C40" s="1">
        <v>7.0466463968815406E-5</v>
      </c>
      <c r="D40" s="1">
        <v>7.0466520395253093E-5</v>
      </c>
      <c r="E40" s="1">
        <v>7.0466858955777205E-5</v>
      </c>
      <c r="F40" s="1">
        <v>7.0467366802663304E-5</v>
      </c>
      <c r="G40" s="1">
        <v>7.0471542710159293E-5</v>
      </c>
      <c r="H40" s="1">
        <v>7.0491356798410695E-5</v>
      </c>
      <c r="I40" s="1">
        <v>7.0547811775231495E-5</v>
      </c>
      <c r="J40" s="1">
        <v>7.0697381465396005E-5</v>
      </c>
      <c r="K40" s="1">
        <v>7.1076879337305006E-5</v>
      </c>
      <c r="L40" s="1">
        <v>7.1856443889915897E-5</v>
      </c>
      <c r="M40" s="1">
        <v>7.3346168912893098E-5</v>
      </c>
      <c r="N40" s="1">
        <v>7.5904798132051901E-5</v>
      </c>
      <c r="O40" s="1">
        <v>8.0043150534788295E-5</v>
      </c>
      <c r="P40" s="1">
        <v>8.6446385558738397E-5</v>
      </c>
      <c r="Q40" s="1">
        <v>9.6016933895614294E-5</v>
      </c>
      <c r="R40">
        <v>1.1292025904934E-4</v>
      </c>
      <c r="S40">
        <v>1.37839429595379E-4</v>
      </c>
      <c r="T40">
        <v>1.7334914487654801E-4</v>
      </c>
      <c r="U40">
        <v>2.0500615018450601E-4</v>
      </c>
      <c r="V40">
        <v>2.4476535902627901E-4</v>
      </c>
      <c r="W40">
        <v>2.9607461080192202E-4</v>
      </c>
      <c r="X40">
        <v>3.4979536970871999E-4</v>
      </c>
      <c r="Y40">
        <v>4.1507142945644202E-4</v>
      </c>
      <c r="Z40">
        <v>4.8430245072414799E-4</v>
      </c>
      <c r="AA40">
        <v>5.3951462951723104E-4</v>
      </c>
      <c r="AB40">
        <v>6.5498210928497801E-4</v>
      </c>
      <c r="AC40">
        <v>8.0029549372075798E-4</v>
      </c>
      <c r="AD40">
        <v>9.3838597612107201E-4</v>
      </c>
      <c r="AE40">
        <v>1.2228755789144999E-3</v>
      </c>
      <c r="AF40">
        <v>1.46348104281533E-3</v>
      </c>
      <c r="AG40">
        <v>1.48201374230925E-3</v>
      </c>
      <c r="AH40">
        <v>1.9648704971717799E-3</v>
      </c>
      <c r="AI40">
        <v>1.82264838735241E-3</v>
      </c>
      <c r="AJ40">
        <v>1.91611667021503E-3</v>
      </c>
      <c r="AK40">
        <v>1.7835909631391199E-3</v>
      </c>
      <c r="AL40">
        <v>1.4462809917355399E-3</v>
      </c>
      <c r="AM40">
        <v>8.7540122556171605E-4</v>
      </c>
      <c r="AN40">
        <v>1.22000813338756E-3</v>
      </c>
      <c r="AO40">
        <v>1.70068027210884E-3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3278</v>
      </c>
    </row>
    <row r="41" spans="1:53">
      <c r="A41" t="s">
        <v>114</v>
      </c>
      <c r="B41" t="s">
        <v>41</v>
      </c>
      <c r="C41">
        <v>1.0001433351937499E-3</v>
      </c>
      <c r="D41">
        <v>1.00014413606444E-3</v>
      </c>
      <c r="E41">
        <v>1.0001489413155201E-3</v>
      </c>
      <c r="F41">
        <v>1.0001561492787099E-3</v>
      </c>
      <c r="G41">
        <v>1.0002154186930601E-3</v>
      </c>
      <c r="H41">
        <v>1.0004966436501701E-3</v>
      </c>
      <c r="I41">
        <v>1.00129791940073E-3</v>
      </c>
      <c r="J41">
        <v>1.0034207892077201E-3</v>
      </c>
      <c r="K41">
        <v>1.0088070715033399E-3</v>
      </c>
      <c r="L41">
        <v>1.0166053709425599E-3</v>
      </c>
      <c r="M41">
        <v>1.02851332316489E-3</v>
      </c>
      <c r="N41">
        <v>1.0626671738487299E-3</v>
      </c>
      <c r="O41">
        <v>1.1096891324141099E-3</v>
      </c>
      <c r="P41">
        <v>1.1650615144620899E-3</v>
      </c>
      <c r="Q41">
        <v>1.25585785129377E-3</v>
      </c>
      <c r="R41">
        <v>1.3819899885924899E-3</v>
      </c>
      <c r="S41">
        <v>1.54129544002105E-3</v>
      </c>
      <c r="T41">
        <v>1.7413709553507799E-3</v>
      </c>
      <c r="U41">
        <v>2.02006060181805E-3</v>
      </c>
      <c r="V41">
        <v>2.3077876708192E-3</v>
      </c>
      <c r="W41">
        <v>2.6126583899142601E-3</v>
      </c>
      <c r="X41">
        <v>2.9132957220026302E-3</v>
      </c>
      <c r="Y41">
        <v>3.25242538006914E-3</v>
      </c>
      <c r="Z41">
        <v>3.3286184311675502E-3</v>
      </c>
      <c r="AA41">
        <v>3.4008690039211199E-3</v>
      </c>
      <c r="AB41">
        <v>3.6145308993874698E-3</v>
      </c>
      <c r="AC41">
        <v>3.77062299926127E-3</v>
      </c>
      <c r="AD41">
        <v>3.4540590184881999E-3</v>
      </c>
      <c r="AE41">
        <v>3.4864963313732599E-3</v>
      </c>
      <c r="AF41">
        <v>3.87992648560343E-3</v>
      </c>
      <c r="AG41">
        <v>3.6376700947590599E-3</v>
      </c>
      <c r="AH41">
        <v>3.8106579339089001E-3</v>
      </c>
      <c r="AI41">
        <v>4.1207702670576097E-3</v>
      </c>
      <c r="AJ41">
        <v>3.83223334043006E-3</v>
      </c>
      <c r="AK41">
        <v>4.3103448275862103E-3</v>
      </c>
      <c r="AL41">
        <v>4.5454545454545496E-3</v>
      </c>
      <c r="AM41">
        <v>5.2524073533702902E-3</v>
      </c>
      <c r="AN41">
        <v>6.1000406669377803E-3</v>
      </c>
      <c r="AO41">
        <v>8.5034013605442202E-3</v>
      </c>
      <c r="AP41">
        <v>1.21753246753247E-2</v>
      </c>
      <c r="AQ41">
        <v>1.63934426229508E-2</v>
      </c>
      <c r="AR41">
        <v>1.1864406779661E-2</v>
      </c>
      <c r="AS41">
        <v>1.7369727047146399E-2</v>
      </c>
      <c r="AT41">
        <v>2.5531914893616999E-2</v>
      </c>
      <c r="AU41">
        <v>4.2553191489361701E-2</v>
      </c>
      <c r="AV41">
        <v>2.4390243902439001E-2</v>
      </c>
      <c r="AW41">
        <v>0</v>
      </c>
      <c r="AX41">
        <v>0</v>
      </c>
      <c r="AY41">
        <v>0</v>
      </c>
      <c r="AZ41">
        <v>0</v>
      </c>
      <c r="BA41">
        <v>85795</v>
      </c>
    </row>
    <row r="42" spans="1:53">
      <c r="A42" t="s">
        <v>122</v>
      </c>
      <c r="B42" t="s">
        <v>82</v>
      </c>
      <c r="C42">
        <v>8.6241342834561595E-4</v>
      </c>
      <c r="D42">
        <v>8.6241411892826799E-4</v>
      </c>
      <c r="E42">
        <v>8.6241826244741005E-4</v>
      </c>
      <c r="F42">
        <v>8.6242447780077798E-4</v>
      </c>
      <c r="G42">
        <v>8.6247558521410897E-4</v>
      </c>
      <c r="H42">
        <v>8.62718082635095E-4</v>
      </c>
      <c r="I42">
        <v>8.6340901456732097E-4</v>
      </c>
      <c r="J42">
        <v>8.6523954361626795E-4</v>
      </c>
      <c r="K42">
        <v>8.69884080071335E-4</v>
      </c>
      <c r="L42">
        <v>8.7942488715272104E-4</v>
      </c>
      <c r="M42">
        <v>8.9765708999074798E-4</v>
      </c>
      <c r="N42">
        <v>9.2897122259340801E-4</v>
      </c>
      <c r="O42">
        <v>9.7961901279508003E-4</v>
      </c>
      <c r="P42">
        <v>1.0579858778041E-3</v>
      </c>
      <c r="Q42">
        <v>1.17402523717819E-3</v>
      </c>
      <c r="R42">
        <v>1.3717245104970901E-3</v>
      </c>
      <c r="S42">
        <v>1.6634712980714999E-3</v>
      </c>
      <c r="T42">
        <v>2.01321393254354E-3</v>
      </c>
      <c r="U42">
        <v>2.4475734272028202E-3</v>
      </c>
      <c r="V42">
        <v>2.91811168293668E-3</v>
      </c>
      <c r="W42">
        <v>3.3848529829516999E-3</v>
      </c>
      <c r="X42">
        <v>3.5928981545795698E-3</v>
      </c>
      <c r="Y42">
        <v>4.0082270874375802E-3</v>
      </c>
      <c r="Z42">
        <v>4.20497524676363E-3</v>
      </c>
      <c r="AA42">
        <v>4.5955085407092698E-3</v>
      </c>
      <c r="AB42">
        <v>4.9851416095578896E-3</v>
      </c>
      <c r="AC42">
        <v>5.32504309283428E-3</v>
      </c>
      <c r="AD42">
        <v>6.0296290380545499E-3</v>
      </c>
      <c r="AE42">
        <v>6.9209554040693096E-3</v>
      </c>
      <c r="AF42">
        <v>7.6577496426383498E-3</v>
      </c>
      <c r="AG42">
        <v>8.7124444244846607E-3</v>
      </c>
      <c r="AH42">
        <v>1.00625186067282E-2</v>
      </c>
      <c r="AI42">
        <v>1.1094381488232E-2</v>
      </c>
      <c r="AJ42">
        <v>1.0432190760059599E-2</v>
      </c>
      <c r="AK42">
        <v>1.05529131985731E-2</v>
      </c>
      <c r="AL42">
        <v>8.0578512396694193E-3</v>
      </c>
      <c r="AM42">
        <v>2.0426028596440002E-3</v>
      </c>
      <c r="AN42">
        <v>1.22000813338756E-3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44117</v>
      </c>
    </row>
    <row r="43" spans="1:53">
      <c r="A43" t="s">
        <v>122</v>
      </c>
      <c r="B43" t="s">
        <v>83</v>
      </c>
      <c r="C43">
        <v>4.9975136548792796E-3</v>
      </c>
      <c r="D43">
        <v>4.9975176566678901E-3</v>
      </c>
      <c r="E43">
        <v>4.9975416675341602E-3</v>
      </c>
      <c r="F43">
        <v>4.9975776842661598E-3</v>
      </c>
      <c r="G43">
        <v>4.9978738415239104E-3</v>
      </c>
      <c r="H43">
        <v>4.9992790656691096E-3</v>
      </c>
      <c r="I43">
        <v>5.0032828782865897E-3</v>
      </c>
      <c r="J43">
        <v>5.0138904286992801E-3</v>
      </c>
      <c r="K43">
        <v>5.0408045902740999E-3</v>
      </c>
      <c r="L43">
        <v>5.0952751121940403E-3</v>
      </c>
      <c r="M43">
        <v>5.2000766800856801E-3</v>
      </c>
      <c r="N43">
        <v>5.3814776766576396E-3</v>
      </c>
      <c r="O43">
        <v>5.6748774566652803E-3</v>
      </c>
      <c r="P43">
        <v>6.1259052311851397E-3</v>
      </c>
      <c r="Q43">
        <v>6.7822870578992996E-3</v>
      </c>
      <c r="R43">
        <v>7.9121172420253301E-3</v>
      </c>
      <c r="S43">
        <v>9.55007957094345E-3</v>
      </c>
      <c r="T43">
        <v>1.17660732084957E-2</v>
      </c>
      <c r="U43">
        <v>1.4445433363000901E-2</v>
      </c>
      <c r="V43">
        <v>1.73815192617622E-2</v>
      </c>
      <c r="W43">
        <v>2.0557180409463201E-2</v>
      </c>
      <c r="X43">
        <v>2.3661158222439901E-2</v>
      </c>
      <c r="Y43">
        <v>2.6874326283314098E-2</v>
      </c>
      <c r="Z43">
        <v>2.9557824175148399E-2</v>
      </c>
      <c r="AA43">
        <v>3.2024046937772797E-2</v>
      </c>
      <c r="AB43">
        <v>3.4871732670264999E-2</v>
      </c>
      <c r="AC43">
        <v>3.7059837478453601E-2</v>
      </c>
      <c r="AD43">
        <v>3.9132691770155298E-2</v>
      </c>
      <c r="AE43">
        <v>4.0328875474840001E-2</v>
      </c>
      <c r="AF43">
        <v>4.0977469198829199E-2</v>
      </c>
      <c r="AG43">
        <v>4.0957470696546497E-2</v>
      </c>
      <c r="AH43">
        <v>4.3048526347127102E-2</v>
      </c>
      <c r="AI43">
        <v>4.2634123147634498E-2</v>
      </c>
      <c r="AJ43">
        <v>4.3219076005961303E-2</v>
      </c>
      <c r="AK43">
        <v>4.1617122473246101E-2</v>
      </c>
      <c r="AL43">
        <v>3.8429752066115701E-2</v>
      </c>
      <c r="AM43">
        <v>3.2681645754304101E-2</v>
      </c>
      <c r="AN43">
        <v>2.35868239121594E-2</v>
      </c>
      <c r="AO43">
        <v>1.8140589569161002E-2</v>
      </c>
      <c r="AP43">
        <v>1.8668831168831199E-2</v>
      </c>
      <c r="AQ43">
        <v>1.99063231850117E-2</v>
      </c>
      <c r="AR43">
        <v>2.3728813559322E-2</v>
      </c>
      <c r="AS43">
        <v>2.2332506203473899E-2</v>
      </c>
      <c r="AT43">
        <v>3.8297872340425497E-2</v>
      </c>
      <c r="AU43">
        <v>5.6737588652482303E-2</v>
      </c>
      <c r="AV43">
        <v>8.5365853658536606E-2</v>
      </c>
      <c r="AW43">
        <v>0.11764705882352899</v>
      </c>
      <c r="AX43">
        <v>0.17647058823529399</v>
      </c>
      <c r="AY43">
        <v>0.3</v>
      </c>
      <c r="AZ43">
        <v>0.5</v>
      </c>
      <c r="BA43">
        <v>248866</v>
      </c>
    </row>
    <row r="44" spans="1:53">
      <c r="A44" t="s">
        <v>104</v>
      </c>
      <c r="B44" t="s">
        <v>67</v>
      </c>
      <c r="C44">
        <v>5.4539441601318397E-3</v>
      </c>
      <c r="D44">
        <v>5.4539485274098702E-3</v>
      </c>
      <c r="E44">
        <v>5.4539747312249897E-3</v>
      </c>
      <c r="F44">
        <v>5.4540140374197696E-3</v>
      </c>
      <c r="G44">
        <v>5.4543372431692704E-3</v>
      </c>
      <c r="H44">
        <v>5.4534676941315899E-3</v>
      </c>
      <c r="I44">
        <v>5.4498184596366303E-3</v>
      </c>
      <c r="J44">
        <v>5.4557490628580098E-3</v>
      </c>
      <c r="K44">
        <v>5.4672658662979299E-3</v>
      </c>
      <c r="L44">
        <v>5.5019172605710598E-3</v>
      </c>
      <c r="M44">
        <v>5.5476375032297298E-3</v>
      </c>
      <c r="N44">
        <v>5.6566325698863204E-3</v>
      </c>
      <c r="O44">
        <v>5.8422404077834696E-3</v>
      </c>
      <c r="P44">
        <v>6.1583226257696704E-3</v>
      </c>
      <c r="Q44">
        <v>6.6808146163959796E-3</v>
      </c>
      <c r="R44">
        <v>7.6464979963069904E-3</v>
      </c>
      <c r="S44">
        <v>9.0065536383343997E-3</v>
      </c>
      <c r="T44">
        <v>1.09958514397828E-2</v>
      </c>
      <c r="U44">
        <v>1.3447903437103099E-2</v>
      </c>
      <c r="V44">
        <v>1.63102734696602E-2</v>
      </c>
      <c r="W44">
        <v>1.9428896081812599E-2</v>
      </c>
      <c r="X44">
        <v>2.25118305791112E-2</v>
      </c>
      <c r="Y44">
        <v>2.6155695151717898E-2</v>
      </c>
      <c r="Z44">
        <v>2.9550136834660699E-2</v>
      </c>
      <c r="AA44">
        <v>3.3652225016137301E-2</v>
      </c>
      <c r="AB44">
        <v>3.8013220935168901E-2</v>
      </c>
      <c r="AC44">
        <v>4.2800418616104403E-2</v>
      </c>
      <c r="AD44">
        <v>4.72587150101825E-2</v>
      </c>
      <c r="AE44">
        <v>5.1620960607795197E-2</v>
      </c>
      <c r="AF44">
        <v>5.8777482812606398E-2</v>
      </c>
      <c r="AG44">
        <v>6.61966138231464E-2</v>
      </c>
      <c r="AH44">
        <v>7.1866626972313205E-2</v>
      </c>
      <c r="AI44">
        <v>8.0434265789682199E-2</v>
      </c>
      <c r="AJ44">
        <v>8.7289759420906998E-2</v>
      </c>
      <c r="AK44">
        <v>0.101218787158145</v>
      </c>
      <c r="AL44">
        <v>0.107231404958678</v>
      </c>
      <c r="AM44">
        <v>0.123723373212723</v>
      </c>
      <c r="AN44">
        <v>0.13460756405042701</v>
      </c>
      <c r="AO44">
        <v>0.13945578231292499</v>
      </c>
      <c r="AP44">
        <v>0.15503246753246799</v>
      </c>
      <c r="AQ44">
        <v>0.17213114754098399</v>
      </c>
      <c r="AR44">
        <v>0.223728813559322</v>
      </c>
      <c r="AS44">
        <v>0.24069478908188599</v>
      </c>
      <c r="AT44">
        <v>0.27659574468085102</v>
      </c>
      <c r="AU44">
        <v>0.33333333333333298</v>
      </c>
      <c r="AV44">
        <v>0.34146341463414598</v>
      </c>
      <c r="AW44">
        <v>0.37254901960784298</v>
      </c>
      <c r="AX44">
        <v>0.52941176470588203</v>
      </c>
      <c r="AY44">
        <v>0.6</v>
      </c>
      <c r="AZ44">
        <v>1</v>
      </c>
      <c r="BA44">
        <v>305558</v>
      </c>
    </row>
    <row r="45" spans="1:53">
      <c r="A45" t="s">
        <v>109</v>
      </c>
      <c r="B45" t="s">
        <v>43</v>
      </c>
      <c r="C45">
        <v>7.5375093788461302E-3</v>
      </c>
      <c r="D45">
        <v>7.5375154145513401E-3</v>
      </c>
      <c r="E45">
        <v>7.5375516289855797E-3</v>
      </c>
      <c r="F45">
        <v>7.5376059512894302E-3</v>
      </c>
      <c r="G45">
        <v>7.5380526310310199E-3</v>
      </c>
      <c r="H45">
        <v>7.5401720629936402E-3</v>
      </c>
      <c r="I45">
        <v>7.54460746155345E-3</v>
      </c>
      <c r="J45">
        <v>7.5589961614535399E-3</v>
      </c>
      <c r="K45">
        <v>7.5979568627957796E-3</v>
      </c>
      <c r="L45">
        <v>7.6763912387397704E-3</v>
      </c>
      <c r="M45">
        <v>7.8113669892231098E-3</v>
      </c>
      <c r="N45">
        <v>8.0312451750856294E-3</v>
      </c>
      <c r="O45">
        <v>8.37997211223869E-3</v>
      </c>
      <c r="P45">
        <v>8.9354127618441401E-3</v>
      </c>
      <c r="Q45">
        <v>9.7020747295432103E-3</v>
      </c>
      <c r="R45">
        <v>1.08724244877847E-2</v>
      </c>
      <c r="S45">
        <v>1.2369522449030701E-2</v>
      </c>
      <c r="T45">
        <v>1.42008407433527E-2</v>
      </c>
      <c r="U45">
        <v>1.6082982489474699E-2</v>
      </c>
      <c r="V45">
        <v>1.81031002552553E-2</v>
      </c>
      <c r="W45">
        <v>2.0125071518022501E-2</v>
      </c>
      <c r="X45">
        <v>2.1927172604026601E-2</v>
      </c>
      <c r="Y45">
        <v>2.3597120519396799E-2</v>
      </c>
      <c r="Z45">
        <v>2.4799360413271399E-2</v>
      </c>
      <c r="AA45">
        <v>2.5569139763191601E-2</v>
      </c>
      <c r="AB45">
        <v>2.5980957001637502E-2</v>
      </c>
      <c r="AC45">
        <v>2.65636542723467E-2</v>
      </c>
      <c r="AD45">
        <v>2.8211476260831401E-2</v>
      </c>
      <c r="AE45">
        <v>3.03377218088151E-2</v>
      </c>
      <c r="AF45">
        <v>3.23327207133619E-2</v>
      </c>
      <c r="AG45">
        <v>3.2694121345488797E-2</v>
      </c>
      <c r="AH45">
        <v>3.2390592438225702E-2</v>
      </c>
      <c r="AI45">
        <v>3.0826531420873299E-2</v>
      </c>
      <c r="AJ45">
        <v>2.95933574622099E-2</v>
      </c>
      <c r="AK45">
        <v>3.12128418549346E-2</v>
      </c>
      <c r="AL45">
        <v>3.0371900826446301E-2</v>
      </c>
      <c r="AM45">
        <v>2.6553837175371998E-2</v>
      </c>
      <c r="AN45">
        <v>2.44001626677511E-2</v>
      </c>
      <c r="AO45">
        <v>2.4376417233560099E-2</v>
      </c>
      <c r="AP45">
        <v>1.5422077922077899E-2</v>
      </c>
      <c r="AQ45">
        <v>5.8548009367681503E-3</v>
      </c>
      <c r="AR45">
        <v>8.4745762711864406E-3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440299</v>
      </c>
    </row>
    <row r="46" spans="1:53">
      <c r="A46" t="s">
        <v>109</v>
      </c>
      <c r="B46" t="s">
        <v>84</v>
      </c>
      <c r="C46">
        <v>2.1956709568464999E-2</v>
      </c>
      <c r="D46">
        <v>2.1956727150430001E-2</v>
      </c>
      <c r="E46">
        <v>2.1956832642811501E-2</v>
      </c>
      <c r="F46">
        <v>2.19569908832844E-2</v>
      </c>
      <c r="G46">
        <v>2.1958292058097399E-2</v>
      </c>
      <c r="H46">
        <v>2.1964465947868401E-2</v>
      </c>
      <c r="I46">
        <v>2.19820568054187E-2</v>
      </c>
      <c r="J46">
        <v>2.20278579818147E-2</v>
      </c>
      <c r="K46">
        <v>2.2144486372623801E-2</v>
      </c>
      <c r="L46">
        <v>2.2385731923205102E-2</v>
      </c>
      <c r="M46">
        <v>2.2828995074137999E-2</v>
      </c>
      <c r="N46">
        <v>2.3575340256195901E-2</v>
      </c>
      <c r="O46">
        <v>2.47642592779562E-2</v>
      </c>
      <c r="P46">
        <v>2.6566546034665E-2</v>
      </c>
      <c r="Q46">
        <v>2.91073152901512E-2</v>
      </c>
      <c r="R46">
        <v>3.3356387886222597E-2</v>
      </c>
      <c r="S46">
        <v>3.9064947433053901E-2</v>
      </c>
      <c r="T46">
        <v>4.6191637479660999E-2</v>
      </c>
      <c r="U46">
        <v>5.4189125673770197E-2</v>
      </c>
      <c r="V46">
        <v>6.2771188892102994E-2</v>
      </c>
      <c r="W46">
        <v>7.0925873320076702E-2</v>
      </c>
      <c r="X46">
        <v>7.8119300209377504E-2</v>
      </c>
      <c r="Y46">
        <v>8.4222329603885607E-2</v>
      </c>
      <c r="Z46">
        <v>8.8304480182036196E-2</v>
      </c>
      <c r="AA46">
        <v>9.3210786438914395E-2</v>
      </c>
      <c r="AB46">
        <v>9.7980471829704693E-2</v>
      </c>
      <c r="AC46">
        <v>0.10046786505786801</v>
      </c>
      <c r="AD46">
        <v>0.102883041169189</v>
      </c>
      <c r="AE46">
        <v>0.10402248009574901</v>
      </c>
      <c r="AF46">
        <v>0.107106391668368</v>
      </c>
      <c r="AG46">
        <v>0.106929536982979</v>
      </c>
      <c r="AH46">
        <v>0.104793093182495</v>
      </c>
      <c r="AI46">
        <v>0.104841905063793</v>
      </c>
      <c r="AJ46">
        <v>0.10687672982755</v>
      </c>
      <c r="AK46">
        <v>0.116676575505351</v>
      </c>
      <c r="AL46">
        <v>0.11962809917355401</v>
      </c>
      <c r="AM46">
        <v>0.125474175663846</v>
      </c>
      <c r="AN46">
        <v>0.128507523383489</v>
      </c>
      <c r="AO46">
        <v>0.12981859410430799</v>
      </c>
      <c r="AP46">
        <v>0.13068181818181801</v>
      </c>
      <c r="AQ46">
        <v>0.13348946135831399</v>
      </c>
      <c r="AR46">
        <v>0.11694915254237299</v>
      </c>
      <c r="AS46">
        <v>9.9255583126550903E-2</v>
      </c>
      <c r="AT46">
        <v>9.3617021276595699E-2</v>
      </c>
      <c r="AU46">
        <v>0.11347517730496499</v>
      </c>
      <c r="AV46">
        <v>0.19512195121951201</v>
      </c>
      <c r="AW46">
        <v>0.17647058823529399</v>
      </c>
      <c r="AX46">
        <v>8.8235294117647106E-2</v>
      </c>
      <c r="AY46">
        <v>0.05</v>
      </c>
      <c r="AZ46">
        <v>0</v>
      </c>
      <c r="BA46">
        <v>1177547</v>
      </c>
    </row>
    <row r="47" spans="1:53">
      <c r="A47" t="s">
        <v>109</v>
      </c>
      <c r="B47" t="s">
        <v>85</v>
      </c>
      <c r="C47">
        <v>2.3923364517412799E-2</v>
      </c>
      <c r="D47">
        <v>2.3923383674188399E-2</v>
      </c>
      <c r="E47">
        <v>2.3923498615486399E-2</v>
      </c>
      <c r="F47">
        <v>2.3923671029504202E-2</v>
      </c>
      <c r="G47">
        <v>2.3925088750099101E-2</v>
      </c>
      <c r="H47">
        <v>2.3931815633060401E-2</v>
      </c>
      <c r="I47">
        <v>2.3950982097691101E-2</v>
      </c>
      <c r="J47">
        <v>2.4000957628167102E-2</v>
      </c>
      <c r="K47">
        <v>2.4129792843204399E-2</v>
      </c>
      <c r="L47">
        <v>2.4393629599628999E-2</v>
      </c>
      <c r="M47">
        <v>2.48768534493536E-2</v>
      </c>
      <c r="N47">
        <v>2.56903239496027E-2</v>
      </c>
      <c r="O47">
        <v>2.6967265080174999E-2</v>
      </c>
      <c r="P47">
        <v>2.8888810301265701E-2</v>
      </c>
      <c r="Q47">
        <v>3.1657219545992703E-2</v>
      </c>
      <c r="R47">
        <v>3.6221739459599597E-2</v>
      </c>
      <c r="S47">
        <v>4.2435748029522699E-2</v>
      </c>
      <c r="T47">
        <v>4.99265236010921E-2</v>
      </c>
      <c r="U47">
        <v>5.8656759702791099E-2</v>
      </c>
      <c r="V47">
        <v>6.8105166456338004E-2</v>
      </c>
      <c r="W47">
        <v>7.7087426031359901E-2</v>
      </c>
      <c r="X47">
        <v>8.5035254376189903E-2</v>
      </c>
      <c r="Y47">
        <v>9.2028150516051496E-2</v>
      </c>
      <c r="Z47">
        <v>9.6668306632637396E-2</v>
      </c>
      <c r="AA47">
        <v>0.102122412015762</v>
      </c>
      <c r="AB47">
        <v>0.107028928376493</v>
      </c>
      <c r="AC47">
        <v>0.110256094557991</v>
      </c>
      <c r="AD47">
        <v>0.11254642015732901</v>
      </c>
      <c r="AE47">
        <v>0.11351927980434</v>
      </c>
      <c r="AF47">
        <v>0.115649036825267</v>
      </c>
      <c r="AG47">
        <v>0.11326177751830099</v>
      </c>
      <c r="AH47">
        <v>0.10937779100922899</v>
      </c>
      <c r="AI47">
        <v>0.10610983437673301</v>
      </c>
      <c r="AJ47">
        <v>0.106770278901426</v>
      </c>
      <c r="AK47">
        <v>0.11563614744351999</v>
      </c>
      <c r="AL47">
        <v>0.113842975206612</v>
      </c>
      <c r="AM47">
        <v>0.115261161365626</v>
      </c>
      <c r="AN47">
        <v>0.11752745018300099</v>
      </c>
      <c r="AO47">
        <v>0.119047619047619</v>
      </c>
      <c r="AP47">
        <v>0.11769480519480501</v>
      </c>
      <c r="AQ47">
        <v>0.124121779859485</v>
      </c>
      <c r="AR47">
        <v>0.128813559322034</v>
      </c>
      <c r="AS47">
        <v>0.106699751861042</v>
      </c>
      <c r="AT47">
        <v>0.123404255319149</v>
      </c>
      <c r="AU47">
        <v>0.16312056737588701</v>
      </c>
      <c r="AV47">
        <v>0.19512195121951201</v>
      </c>
      <c r="AW47">
        <v>0.17647058823529399</v>
      </c>
      <c r="AX47">
        <v>8.8235294117647106E-2</v>
      </c>
      <c r="AY47">
        <v>0.05</v>
      </c>
      <c r="AZ47">
        <v>0</v>
      </c>
      <c r="BA47">
        <v>1278180</v>
      </c>
    </row>
    <row r="48" spans="1:53">
      <c r="A48" t="s">
        <v>123</v>
      </c>
      <c r="B48" t="s">
        <v>86</v>
      </c>
      <c r="C48">
        <v>2.3446114375078602E-3</v>
      </c>
      <c r="D48">
        <v>2.3446133149693299E-3</v>
      </c>
      <c r="E48">
        <v>2.3446245798013198E-3</v>
      </c>
      <c r="F48">
        <v>2.34464147725225E-3</v>
      </c>
      <c r="G48">
        <v>2.34478042108348E-3</v>
      </c>
      <c r="H48">
        <v>2.34543968983803E-3</v>
      </c>
      <c r="I48">
        <v>2.3473181008849698E-3</v>
      </c>
      <c r="J48">
        <v>2.35229469239409E-3</v>
      </c>
      <c r="K48">
        <v>2.36492162158669E-3</v>
      </c>
      <c r="L48">
        <v>2.3908598603371999E-3</v>
      </c>
      <c r="M48">
        <v>2.4404270747380801E-3</v>
      </c>
      <c r="N48">
        <v>2.5238345378907302E-3</v>
      </c>
      <c r="O48">
        <v>2.6605251740256298E-3</v>
      </c>
      <c r="P48">
        <v>2.8704129386662898E-3</v>
      </c>
      <c r="Q48">
        <v>3.17946983377068E-3</v>
      </c>
      <c r="R48">
        <v>3.7148198857708901E-3</v>
      </c>
      <c r="S48">
        <v>4.4876132476222696E-3</v>
      </c>
      <c r="T48">
        <v>5.5668714025127802E-3</v>
      </c>
      <c r="U48">
        <v>6.8852065561966899E-3</v>
      </c>
      <c r="V48">
        <v>8.4904970644050799E-3</v>
      </c>
      <c r="W48">
        <v>1.02785902047316E-2</v>
      </c>
      <c r="X48">
        <v>1.23077999370368E-2</v>
      </c>
      <c r="Y48">
        <v>1.42177452328737E-2</v>
      </c>
      <c r="Z48">
        <v>1.6081916300236799E-2</v>
      </c>
      <c r="AA48">
        <v>1.8304960644334602E-2</v>
      </c>
      <c r="AB48">
        <v>2.0595548547516499E-2</v>
      </c>
      <c r="AC48">
        <v>2.2962324550603298E-2</v>
      </c>
      <c r="AD48">
        <v>2.51167991055385E-2</v>
      </c>
      <c r="AE48">
        <v>2.78919706509861E-2</v>
      </c>
      <c r="AF48">
        <v>3.02906541419917E-2</v>
      </c>
      <c r="AG48">
        <v>3.1840840705977501E-2</v>
      </c>
      <c r="AH48">
        <v>3.3938672223876198E-2</v>
      </c>
      <c r="AI48">
        <v>3.5581266344401299E-2</v>
      </c>
      <c r="AJ48">
        <v>3.83223334043006E-2</v>
      </c>
      <c r="AK48">
        <v>4.5035671819262803E-2</v>
      </c>
      <c r="AL48">
        <v>4.6487603305785101E-2</v>
      </c>
      <c r="AM48">
        <v>5.3691275167785199E-2</v>
      </c>
      <c r="AN48">
        <v>5.3680357869052502E-2</v>
      </c>
      <c r="AO48">
        <v>5.10204081632653E-2</v>
      </c>
      <c r="AP48">
        <v>6.4123376623376596E-2</v>
      </c>
      <c r="AQ48">
        <v>7.3770491803278701E-2</v>
      </c>
      <c r="AR48">
        <v>8.8135593220338995E-2</v>
      </c>
      <c r="AS48">
        <v>6.9478908188585597E-2</v>
      </c>
      <c r="AT48">
        <v>3.4042553191489397E-2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201634</v>
      </c>
    </row>
    <row r="49" spans="1:53">
      <c r="A49" t="s">
        <v>124</v>
      </c>
      <c r="B49" t="s">
        <v>87</v>
      </c>
      <c r="C49">
        <v>2.2056803977511599E-2</v>
      </c>
      <c r="D49">
        <v>2.2056821639627799E-2</v>
      </c>
      <c r="E49">
        <v>2.2056927612919101E-2</v>
      </c>
      <c r="F49">
        <v>2.2057086574765499E-2</v>
      </c>
      <c r="G49">
        <v>2.20583936812652E-2</v>
      </c>
      <c r="H49">
        <v>2.2064595716048001E-2</v>
      </c>
      <c r="I49">
        <v>2.2082266765326701E-2</v>
      </c>
      <c r="J49">
        <v>2.2129083778003801E-2</v>
      </c>
      <c r="K49">
        <v>2.2247870924387101E-2</v>
      </c>
      <c r="L49">
        <v>2.2491066937543699E-2</v>
      </c>
      <c r="M49">
        <v>2.2954850432158998E-2</v>
      </c>
      <c r="N49">
        <v>2.3736637952226601E-2</v>
      </c>
      <c r="O49">
        <v>2.49898354294633E-2</v>
      </c>
      <c r="P49">
        <v>2.6875984801153701E-2</v>
      </c>
      <c r="Q49">
        <v>2.9645228340270901E-2</v>
      </c>
      <c r="R49">
        <v>3.4357272000523499E-2</v>
      </c>
      <c r="S49">
        <v>4.0969637732917299E-2</v>
      </c>
      <c r="T49">
        <v>4.9780752729264098E-2</v>
      </c>
      <c r="U49">
        <v>6.0164304929147899E-2</v>
      </c>
      <c r="V49">
        <v>7.1684462485735304E-2</v>
      </c>
      <c r="W49">
        <v>8.3296990841692106E-2</v>
      </c>
      <c r="X49">
        <v>9.5179320097742798E-2</v>
      </c>
      <c r="Y49">
        <v>0.106345017284318</v>
      </c>
      <c r="Z49">
        <v>0.116032717321116</v>
      </c>
      <c r="AA49">
        <v>0.126130813029278</v>
      </c>
      <c r="AB49">
        <v>0.13469585784462401</v>
      </c>
      <c r="AC49">
        <v>0.14180620536813601</v>
      </c>
      <c r="AD49">
        <v>0.15110010781455899</v>
      </c>
      <c r="AE49">
        <v>0.158349378154759</v>
      </c>
      <c r="AF49">
        <v>0.166530528895242</v>
      </c>
      <c r="AG49">
        <v>0.168949566623254</v>
      </c>
      <c r="AH49">
        <v>0.17189639773742199</v>
      </c>
      <c r="AI49">
        <v>0.17394405261906601</v>
      </c>
      <c r="AJ49">
        <v>0.17394081328507599</v>
      </c>
      <c r="AK49">
        <v>0.17702140309155801</v>
      </c>
      <c r="AL49">
        <v>0.17975206611570199</v>
      </c>
      <c r="AM49">
        <v>0.17303764225269899</v>
      </c>
      <c r="AN49">
        <v>0.16836112240748299</v>
      </c>
      <c r="AO49">
        <v>0.15306122448979601</v>
      </c>
      <c r="AP49">
        <v>0.16639610389610399</v>
      </c>
      <c r="AQ49">
        <v>0.15925058548009399</v>
      </c>
      <c r="AR49">
        <v>0.149152542372881</v>
      </c>
      <c r="AS49">
        <v>0.14888337468982599</v>
      </c>
      <c r="AT49">
        <v>0.14468085106383</v>
      </c>
      <c r="AU49">
        <v>0.14893617021276601</v>
      </c>
      <c r="AV49">
        <v>0.17073170731707299</v>
      </c>
      <c r="AW49">
        <v>0.13725490196078399</v>
      </c>
      <c r="AX49">
        <v>0.17647058823529399</v>
      </c>
      <c r="AY49">
        <v>0</v>
      </c>
      <c r="AZ49">
        <v>0</v>
      </c>
      <c r="BA49">
        <v>1143772</v>
      </c>
    </row>
    <row r="50" spans="1:53">
      <c r="A50" t="s">
        <v>125</v>
      </c>
      <c r="B50" t="s">
        <v>88</v>
      </c>
      <c r="C50">
        <v>1.18343621703991E-2</v>
      </c>
      <c r="D50">
        <v>1.18343716468346E-2</v>
      </c>
      <c r="E50">
        <v>1.18344285057663E-2</v>
      </c>
      <c r="F50">
        <v>1.18345137951882E-2</v>
      </c>
      <c r="G50">
        <v>1.1835215110380101E-2</v>
      </c>
      <c r="H50">
        <v>1.1838542751405799E-2</v>
      </c>
      <c r="I50">
        <v>1.18480239798426E-2</v>
      </c>
      <c r="J50">
        <v>1.1872339810177501E-2</v>
      </c>
      <c r="K50">
        <v>1.19304157351288E-2</v>
      </c>
      <c r="L50">
        <v>1.20547350130321E-2</v>
      </c>
      <c r="M50">
        <v>1.22954850432159E-2</v>
      </c>
      <c r="N50">
        <v>1.2685589387819199E-2</v>
      </c>
      <c r="O50">
        <v>1.3309902520176799E-2</v>
      </c>
      <c r="P50">
        <v>1.4272494724805801E-2</v>
      </c>
      <c r="Q50">
        <v>1.5606025062602001E-2</v>
      </c>
      <c r="R50">
        <v>1.7888878765986899E-2</v>
      </c>
      <c r="S50">
        <v>2.1067503727929999E-2</v>
      </c>
      <c r="T50">
        <v>2.4956367232283901E-2</v>
      </c>
      <c r="U50">
        <v>2.92858785763573E-2</v>
      </c>
      <c r="V50">
        <v>3.3660005022458001E-2</v>
      </c>
      <c r="W50">
        <v>3.7833534050580701E-2</v>
      </c>
      <c r="X50">
        <v>4.2145344973190703E-2</v>
      </c>
      <c r="Y50">
        <v>4.5323322058258703E-2</v>
      </c>
      <c r="Z50">
        <v>4.8276498262660998E-2</v>
      </c>
      <c r="AA50">
        <v>5.0194128924728097E-2</v>
      </c>
      <c r="AB50">
        <v>5.1949784704954802E-2</v>
      </c>
      <c r="AC50">
        <v>5.2896454075350902E-2</v>
      </c>
      <c r="AD50">
        <v>5.3967176456494799E-2</v>
      </c>
      <c r="AE50">
        <v>5.21933704532445E-2</v>
      </c>
      <c r="AF50">
        <v>5.0234837655707597E-2</v>
      </c>
      <c r="AG50">
        <v>4.83675394080927E-2</v>
      </c>
      <c r="AH50">
        <v>5.0431676094075603E-2</v>
      </c>
      <c r="AI50">
        <v>5.1351137174102501E-2</v>
      </c>
      <c r="AJ50">
        <v>5.1309346391313598E-2</v>
      </c>
      <c r="AK50">
        <v>5.3359096313912002E-2</v>
      </c>
      <c r="AL50">
        <v>5.1239669421487603E-2</v>
      </c>
      <c r="AM50">
        <v>5.0189670265538402E-2</v>
      </c>
      <c r="AN50">
        <v>4.5953639690931303E-2</v>
      </c>
      <c r="AO50">
        <v>4.1950113378684803E-2</v>
      </c>
      <c r="AP50">
        <v>4.0584415584415598E-2</v>
      </c>
      <c r="AQ50">
        <v>3.5128805620608897E-2</v>
      </c>
      <c r="AR50">
        <v>2.5423728813559299E-2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644490</v>
      </c>
    </row>
    <row r="51" spans="1:53">
      <c r="A51" t="s">
        <v>125</v>
      </c>
      <c r="B51" t="s">
        <v>89</v>
      </c>
      <c r="C51">
        <v>1.4071672401409E-2</v>
      </c>
      <c r="D51">
        <v>1.4071683669383901E-2</v>
      </c>
      <c r="E51">
        <v>1.4071751277612199E-2</v>
      </c>
      <c r="F51">
        <v>1.4071852691172801E-2</v>
      </c>
      <c r="G51">
        <v>1.4072686591427601E-2</v>
      </c>
      <c r="H51">
        <v>1.40766433297554E-2</v>
      </c>
      <c r="I51">
        <v>1.40879170037062E-2</v>
      </c>
      <c r="J51">
        <v>1.41145715336994E-2</v>
      </c>
      <c r="K51">
        <v>1.4183875886845601E-2</v>
      </c>
      <c r="L51">
        <v>1.4327195051050699E-2</v>
      </c>
      <c r="M51">
        <v>1.46050558847798E-2</v>
      </c>
      <c r="N51">
        <v>1.50489887842035E-2</v>
      </c>
      <c r="O51">
        <v>1.5781234792938401E-2</v>
      </c>
      <c r="P51">
        <v>1.6883568506795898E-2</v>
      </c>
      <c r="Q51">
        <v>1.84101559729625E-2</v>
      </c>
      <c r="R51">
        <v>2.0973654933652899E-2</v>
      </c>
      <c r="S51">
        <v>2.4532285753668399E-2</v>
      </c>
      <c r="T51">
        <v>2.8649885944142198E-2</v>
      </c>
      <c r="U51">
        <v>3.3378501355040703E-2</v>
      </c>
      <c r="V51">
        <v>3.8027636234173698E-2</v>
      </c>
      <c r="W51">
        <v>4.2378679427215703E-2</v>
      </c>
      <c r="X51">
        <v>4.6702678932824301E-2</v>
      </c>
      <c r="Y51">
        <v>4.9728035287266603E-2</v>
      </c>
      <c r="Z51">
        <v>5.2435349466498603E-2</v>
      </c>
      <c r="AA51">
        <v>5.3768413345279702E-2</v>
      </c>
      <c r="AB51">
        <v>5.5952453150585203E-2</v>
      </c>
      <c r="AC51">
        <v>5.7359640482639702E-2</v>
      </c>
      <c r="AD51">
        <v>5.9178213472826702E-2</v>
      </c>
      <c r="AE51">
        <v>5.8307748347816997E-2</v>
      </c>
      <c r="AF51">
        <v>5.7824518412633599E-2</v>
      </c>
      <c r="AG51">
        <v>5.8472178560201198E-2</v>
      </c>
      <c r="AH51">
        <v>6.0910985412325098E-2</v>
      </c>
      <c r="AI51">
        <v>6.2524764244393405E-2</v>
      </c>
      <c r="AJ51">
        <v>6.3657653821588306E-2</v>
      </c>
      <c r="AK51">
        <v>6.9114149821640894E-2</v>
      </c>
      <c r="AL51">
        <v>7.0041322314049595E-2</v>
      </c>
      <c r="AM51">
        <v>7.4409104172745794E-2</v>
      </c>
      <c r="AN51">
        <v>7.6453843025620194E-2</v>
      </c>
      <c r="AO51">
        <v>8.0498866213151901E-2</v>
      </c>
      <c r="AP51">
        <v>8.1980519480519501E-2</v>
      </c>
      <c r="AQ51">
        <v>7.6112412177986005E-2</v>
      </c>
      <c r="AR51">
        <v>5.93220338983051E-2</v>
      </c>
      <c r="AS51">
        <v>3.9702233250620299E-2</v>
      </c>
      <c r="AT51">
        <v>6.3829787234042507E-2</v>
      </c>
      <c r="AU51">
        <v>5.6737588652482303E-2</v>
      </c>
      <c r="AV51">
        <v>8.5365853658536606E-2</v>
      </c>
      <c r="AW51">
        <v>0.11764705882352899</v>
      </c>
      <c r="AX51">
        <v>0.17647058823529399</v>
      </c>
      <c r="AY51">
        <v>0.3</v>
      </c>
      <c r="AZ51">
        <v>0.5</v>
      </c>
      <c r="BA51">
        <v>787142</v>
      </c>
    </row>
    <row r="52" spans="1:53">
      <c r="A52" t="s">
        <v>105</v>
      </c>
      <c r="B52" t="s">
        <v>68</v>
      </c>
      <c r="C52">
        <v>4.7700991575253798E-3</v>
      </c>
      <c r="D52">
        <v>4.7701029772104896E-3</v>
      </c>
      <c r="E52">
        <v>4.7701258954495999E-3</v>
      </c>
      <c r="F52">
        <v>4.7701602732211999E-3</v>
      </c>
      <c r="G52">
        <v>4.77044295368658E-3</v>
      </c>
      <c r="H52">
        <v>4.77178423236515E-3</v>
      </c>
      <c r="I52">
        <v>4.7740024900170801E-3</v>
      </c>
      <c r="J52">
        <v>4.7833205596019097E-3</v>
      </c>
      <c r="K52">
        <v>4.8073816569958999E-3</v>
      </c>
      <c r="L52">
        <v>4.84622721007558E-3</v>
      </c>
      <c r="M52">
        <v>4.9358637761608296E-3</v>
      </c>
      <c r="N52">
        <v>5.09338446556553E-3</v>
      </c>
      <c r="O52">
        <v>5.3328749043802699E-3</v>
      </c>
      <c r="P52">
        <v>5.6867968863583704E-3</v>
      </c>
      <c r="Q52">
        <v>6.1930922362671203E-3</v>
      </c>
      <c r="R52">
        <v>7.0806135162983699E-3</v>
      </c>
      <c r="S52">
        <v>8.3471172762928699E-3</v>
      </c>
      <c r="T52">
        <v>1.00483407729008E-2</v>
      </c>
      <c r="U52">
        <v>1.20803624108723E-2</v>
      </c>
      <c r="V52">
        <v>1.42440723869709E-2</v>
      </c>
      <c r="W52">
        <v>1.6676202403005599E-2</v>
      </c>
      <c r="X52">
        <v>1.8604116591793798E-2</v>
      </c>
      <c r="Y52">
        <v>2.0357085331251801E-2</v>
      </c>
      <c r="Z52">
        <v>2.14707419821039E-2</v>
      </c>
      <c r="AA52">
        <v>2.2033392101891199E-2</v>
      </c>
      <c r="AB52">
        <v>2.2584753472011599E-2</v>
      </c>
      <c r="AC52">
        <v>2.2085077567101701E-2</v>
      </c>
      <c r="AD52">
        <v>2.1023838996925299E-2</v>
      </c>
      <c r="AE52">
        <v>2.04246240308061E-2</v>
      </c>
      <c r="AF52">
        <v>1.9195425770880101E-2</v>
      </c>
      <c r="AG52">
        <v>1.7873983922396398E-2</v>
      </c>
      <c r="AH52">
        <v>1.55403393867222E-2</v>
      </c>
      <c r="AI52">
        <v>1.32340122038196E-2</v>
      </c>
      <c r="AJ52">
        <v>1.2880562060889901E-2</v>
      </c>
      <c r="AK52">
        <v>1.0107015457788301E-2</v>
      </c>
      <c r="AL52">
        <v>5.7851239669421501E-3</v>
      </c>
      <c r="AM52">
        <v>3.20980449372629E-3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279062</v>
      </c>
    </row>
    <row r="53" spans="1:53">
      <c r="A53" t="s">
        <v>105</v>
      </c>
      <c r="B53" t="s">
        <v>90</v>
      </c>
      <c r="C53">
        <v>9.8621019345446603E-3</v>
      </c>
      <c r="D53">
        <v>9.8621098316811102E-3</v>
      </c>
      <c r="E53">
        <v>9.8621572147653703E-3</v>
      </c>
      <c r="F53">
        <v>9.8622282902454707E-3</v>
      </c>
      <c r="G53">
        <v>9.8628127274809404E-3</v>
      </c>
      <c r="H53">
        <v>9.8655857991957596E-3</v>
      </c>
      <c r="I53">
        <v>9.8734869298153505E-3</v>
      </c>
      <c r="J53">
        <v>9.8912063704767704E-3</v>
      </c>
      <c r="K53">
        <v>9.9394554218735897E-3</v>
      </c>
      <c r="L53">
        <v>1.00460207861095E-2</v>
      </c>
      <c r="M53">
        <v>1.0243459272039301E-2</v>
      </c>
      <c r="N53">
        <v>1.05723308034609E-2</v>
      </c>
      <c r="O53">
        <v>1.1101439230421501E-2</v>
      </c>
      <c r="P53">
        <v>1.1914866027749301E-2</v>
      </c>
      <c r="Q53">
        <v>1.30954004615359E-2</v>
      </c>
      <c r="R53">
        <v>1.51107837564207E-2</v>
      </c>
      <c r="S53">
        <v>1.7988045562196901E-2</v>
      </c>
      <c r="T53">
        <v>2.17651670652384E-2</v>
      </c>
      <c r="U53">
        <v>2.5978279348380501E-2</v>
      </c>
      <c r="V53">
        <v>3.0567060940216901E-2</v>
      </c>
      <c r="W53">
        <v>3.4688741562873798E-2</v>
      </c>
      <c r="X53">
        <v>3.8912236341740097E-2</v>
      </c>
      <c r="Y53">
        <v>4.2882454249216301E-2</v>
      </c>
      <c r="Z53">
        <v>4.64469112265921E-2</v>
      </c>
      <c r="AA53">
        <v>4.9471564688767497E-2</v>
      </c>
      <c r="AB53">
        <v>5.3126326642003799E-2</v>
      </c>
      <c r="AC53">
        <v>5.6189977837970903E-2</v>
      </c>
      <c r="AD53">
        <v>5.8918659904963498E-2</v>
      </c>
      <c r="AE53">
        <v>6.0311182806889699E-2</v>
      </c>
      <c r="AF53">
        <v>6.4052821455312797E-2</v>
      </c>
      <c r="AG53">
        <v>6.6960075447972306E-2</v>
      </c>
      <c r="AH53">
        <v>7.2462042274486493E-2</v>
      </c>
      <c r="AI53">
        <v>7.46493382993898E-2</v>
      </c>
      <c r="AJ53">
        <v>7.9518841813923796E-2</v>
      </c>
      <c r="AK53">
        <v>8.4869203329369799E-2</v>
      </c>
      <c r="AL53">
        <v>8.4297520661157005E-2</v>
      </c>
      <c r="AM53">
        <v>8.5789320105048195E-2</v>
      </c>
      <c r="AN53">
        <v>8.2553883692558006E-2</v>
      </c>
      <c r="AO53">
        <v>9.0136054421768697E-2</v>
      </c>
      <c r="AP53">
        <v>9.7402597402597393E-2</v>
      </c>
      <c r="AQ53">
        <v>0.108899297423888</v>
      </c>
      <c r="AR53">
        <v>0.13050847457627099</v>
      </c>
      <c r="AS53">
        <v>0.11166253101737</v>
      </c>
      <c r="AT53">
        <v>0.15319148936170199</v>
      </c>
      <c r="AU53">
        <v>0.170212765957447</v>
      </c>
      <c r="AV53">
        <v>0.23170731707317099</v>
      </c>
      <c r="AW53">
        <v>0.29411764705882398</v>
      </c>
      <c r="AX53">
        <v>0.26470588235294101</v>
      </c>
      <c r="AY53">
        <v>0.35</v>
      </c>
      <c r="AZ53">
        <v>0.5</v>
      </c>
      <c r="BA53">
        <v>527613</v>
      </c>
    </row>
    <row r="54" spans="1:53">
      <c r="A54" t="s">
        <v>105</v>
      </c>
      <c r="B54" t="s">
        <v>91</v>
      </c>
      <c r="C54">
        <v>3.7467339194328102E-3</v>
      </c>
      <c r="D54">
        <v>3.7467369196521501E-3</v>
      </c>
      <c r="E54">
        <v>3.74675492106911E-3</v>
      </c>
      <c r="F54">
        <v>3.7467819235188801E-3</v>
      </c>
      <c r="G54">
        <v>3.7470039584185902E-3</v>
      </c>
      <c r="H54">
        <v>3.7480574824973198E-3</v>
      </c>
      <c r="I54">
        <v>3.7510592192762301E-3</v>
      </c>
      <c r="J54">
        <v>3.7566017696840002E-3</v>
      </c>
      <c r="K54">
        <v>3.7767669066049799E-3</v>
      </c>
      <c r="L54">
        <v>3.8173735816517799E-3</v>
      </c>
      <c r="M54">
        <v>3.8965152234974498E-3</v>
      </c>
      <c r="N54">
        <v>4.0298547371925703E-3</v>
      </c>
      <c r="O54">
        <v>4.2331911657830096E-3</v>
      </c>
      <c r="P54">
        <v>4.5512057306094896E-3</v>
      </c>
      <c r="Q54">
        <v>4.9983360701796502E-3</v>
      </c>
      <c r="R54">
        <v>5.7794641677071197E-3</v>
      </c>
      <c r="S54">
        <v>6.8684761224515403E-3</v>
      </c>
      <c r="T54">
        <v>8.3168192007816496E-3</v>
      </c>
      <c r="U54">
        <v>9.9652989589687699E-3</v>
      </c>
      <c r="V54">
        <v>1.16406590227823E-2</v>
      </c>
      <c r="W54">
        <v>1.3291349420053901E-2</v>
      </c>
      <c r="X54">
        <v>1.4926268133142099E-2</v>
      </c>
      <c r="Y54">
        <v>1.6348858243814199E-2</v>
      </c>
      <c r="Z54">
        <v>1.7734694505089001E-2</v>
      </c>
      <c r="AA54">
        <v>1.8391668352649899E-2</v>
      </c>
      <c r="AB54">
        <v>1.94917824003881E-2</v>
      </c>
      <c r="AC54">
        <v>2.0915414922432901E-2</v>
      </c>
      <c r="AD54">
        <v>2.2181847222776802E-2</v>
      </c>
      <c r="AE54">
        <v>2.2740282041941999E-2</v>
      </c>
      <c r="AF54">
        <v>2.3756041113607001E-2</v>
      </c>
      <c r="AG54">
        <v>2.4116405443032299E-2</v>
      </c>
      <c r="AH54">
        <v>2.4888359630842499E-2</v>
      </c>
      <c r="AI54">
        <v>2.44076392741105E-2</v>
      </c>
      <c r="AJ54">
        <v>2.43772620821801E-2</v>
      </c>
      <c r="AK54">
        <v>2.3781212841854901E-2</v>
      </c>
      <c r="AL54">
        <v>1.9008264462809898E-2</v>
      </c>
      <c r="AM54">
        <v>1.6049022468631501E-2</v>
      </c>
      <c r="AN54">
        <v>1.3420089467263099E-2</v>
      </c>
      <c r="AO54">
        <v>1.1904761904761901E-2</v>
      </c>
      <c r="AP54">
        <v>1.7045454545454499E-2</v>
      </c>
      <c r="AQ54">
        <v>1.2880562060889901E-2</v>
      </c>
      <c r="AR54">
        <v>1.6949152542372899E-2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202218</v>
      </c>
    </row>
    <row r="55" spans="1:53">
      <c r="A55" t="s">
        <v>126</v>
      </c>
      <c r="B55" t="s">
        <v>92</v>
      </c>
      <c r="C55">
        <v>8.3654903304797093E-3</v>
      </c>
      <c r="D55">
        <v>8.3654970291955604E-3</v>
      </c>
      <c r="E55">
        <v>8.3655372217159608E-3</v>
      </c>
      <c r="F55">
        <v>8.3655975112207296E-3</v>
      </c>
      <c r="G55">
        <v>8.3660932578753892E-3</v>
      </c>
      <c r="H55">
        <v>8.3684455053749697E-3</v>
      </c>
      <c r="I55">
        <v>8.3751476092709404E-3</v>
      </c>
      <c r="J55">
        <v>8.3929039110112805E-3</v>
      </c>
      <c r="K55">
        <v>8.4379563458730194E-3</v>
      </c>
      <c r="L55">
        <v>8.5305030604312694E-3</v>
      </c>
      <c r="M55">
        <v>8.7073571208294807E-3</v>
      </c>
      <c r="N55">
        <v>9.0085194510358003E-3</v>
      </c>
      <c r="O55">
        <v>9.4942091509331809E-3</v>
      </c>
      <c r="P55">
        <v>1.0239967307548699E-2</v>
      </c>
      <c r="Q55">
        <v>1.1347455824027099E-2</v>
      </c>
      <c r="R55">
        <v>1.32668472535355E-2</v>
      </c>
      <c r="S55">
        <v>1.60598599050161E-2</v>
      </c>
      <c r="T55">
        <v>1.9838627705133099E-2</v>
      </c>
      <c r="U55">
        <v>2.4445733372001201E-2</v>
      </c>
      <c r="V55">
        <v>2.99026978228598E-2</v>
      </c>
      <c r="W55">
        <v>3.5604972453058201E-2</v>
      </c>
      <c r="X55">
        <v>4.1520710384425098E-2</v>
      </c>
      <c r="Y55">
        <v>4.7101314599363099E-2</v>
      </c>
      <c r="Z55">
        <v>5.1582054672365499E-2</v>
      </c>
      <c r="AA55">
        <v>5.6504523252117099E-2</v>
      </c>
      <c r="AB55">
        <v>6.0840560373582403E-2</v>
      </c>
      <c r="AC55">
        <v>6.5193302142329504E-2</v>
      </c>
      <c r="AD55">
        <v>6.87417641656351E-2</v>
      </c>
      <c r="AE55">
        <v>6.9079460894000105E-2</v>
      </c>
      <c r="AF55">
        <v>7.1676536655095005E-2</v>
      </c>
      <c r="AG55">
        <v>7.09121120941303E-2</v>
      </c>
      <c r="AH55">
        <v>7.1033045549270604E-2</v>
      </c>
      <c r="AI55">
        <v>7.0211585704096996E-2</v>
      </c>
      <c r="AJ55">
        <v>6.8873749201618095E-2</v>
      </c>
      <c r="AK55">
        <v>6.5695600475624297E-2</v>
      </c>
      <c r="AL55">
        <v>5.9297520661156997E-2</v>
      </c>
      <c r="AM55">
        <v>5.1356871899620703E-2</v>
      </c>
      <c r="AN55">
        <v>3.6600244001626703E-2</v>
      </c>
      <c r="AO55">
        <v>2.60770975056689E-2</v>
      </c>
      <c r="AP55">
        <v>2.0292207792207799E-2</v>
      </c>
      <c r="AQ55">
        <v>1.40515222482436E-2</v>
      </c>
      <c r="AR55">
        <v>1.5254237288135601E-2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408537</v>
      </c>
    </row>
    <row r="56" spans="1:53">
      <c r="A56" t="s">
        <v>126</v>
      </c>
      <c r="B56" t="s">
        <v>93</v>
      </c>
      <c r="C56">
        <v>2.9788096132272002E-3</v>
      </c>
      <c r="D56">
        <v>2.97881199852661E-3</v>
      </c>
      <c r="E56">
        <v>2.9788263104033102E-3</v>
      </c>
      <c r="F56">
        <v>2.9788477784762199E-3</v>
      </c>
      <c r="G56">
        <v>2.9790243054749199E-3</v>
      </c>
      <c r="H56">
        <v>2.9798619010237299E-3</v>
      </c>
      <c r="I56">
        <v>2.9822484068620599E-3</v>
      </c>
      <c r="J56">
        <v>2.9885711255826499E-3</v>
      </c>
      <c r="K56">
        <v>3.0046135356224398E-3</v>
      </c>
      <c r="L56">
        <v>3.03756785534645E-3</v>
      </c>
      <c r="M56">
        <v>3.1005425949541198E-3</v>
      </c>
      <c r="N56">
        <v>3.20697772107919E-3</v>
      </c>
      <c r="O56">
        <v>3.3809135288387299E-3</v>
      </c>
      <c r="P56">
        <v>3.6219070858530501E-3</v>
      </c>
      <c r="Q56">
        <v>3.9934315688403199E-3</v>
      </c>
      <c r="R56">
        <v>4.6425624686421696E-3</v>
      </c>
      <c r="S56">
        <v>5.5871959700763097E-3</v>
      </c>
      <c r="T56">
        <v>6.87486949567218E-3</v>
      </c>
      <c r="U56">
        <v>8.4252527575827303E-3</v>
      </c>
      <c r="V56">
        <v>1.0334184184343301E-2</v>
      </c>
      <c r="W56">
        <v>1.2315103406058301E-2</v>
      </c>
      <c r="X56">
        <v>1.44965195360714E-2</v>
      </c>
      <c r="Y56">
        <v>1.65966620822957E-2</v>
      </c>
      <c r="Z56">
        <v>1.86264260016605E-2</v>
      </c>
      <c r="AA56">
        <v>2.0838752565103001E-2</v>
      </c>
      <c r="AB56">
        <v>2.3069925404815301E-2</v>
      </c>
      <c r="AC56">
        <v>2.5778749076582098E-2</v>
      </c>
      <c r="AD56">
        <v>2.89701713053548E-2</v>
      </c>
      <c r="AE56">
        <v>3.2341156267887798E-2</v>
      </c>
      <c r="AF56">
        <v>3.6893336056088799E-2</v>
      </c>
      <c r="AG56">
        <v>4.1137108725917297E-2</v>
      </c>
      <c r="AH56">
        <v>4.4477523072342998E-2</v>
      </c>
      <c r="AI56">
        <v>4.9686979950867703E-2</v>
      </c>
      <c r="AJ56">
        <v>5.4396423248882303E-2</v>
      </c>
      <c r="AK56">
        <v>5.6926278240190198E-2</v>
      </c>
      <c r="AL56">
        <v>5.7644628099173603E-2</v>
      </c>
      <c r="AM56">
        <v>5.8943682521155498E-2</v>
      </c>
      <c r="AN56">
        <v>5.65270435136234E-2</v>
      </c>
      <c r="AO56">
        <v>6.1224489795918401E-2</v>
      </c>
      <c r="AP56">
        <v>6.6558441558441594E-2</v>
      </c>
      <c r="AQ56">
        <v>6.5573770491803296E-2</v>
      </c>
      <c r="AR56">
        <v>6.94915254237288E-2</v>
      </c>
      <c r="AS56">
        <v>2.9776674937965299E-2</v>
      </c>
      <c r="AT56">
        <v>2.5531914893616999E-2</v>
      </c>
      <c r="AU56">
        <v>4.2553191489361701E-2</v>
      </c>
      <c r="AV56">
        <v>7.3170731707317097E-2</v>
      </c>
      <c r="AW56">
        <v>0</v>
      </c>
      <c r="AX56">
        <v>0</v>
      </c>
      <c r="AY56">
        <v>0</v>
      </c>
      <c r="AZ56">
        <v>0</v>
      </c>
      <c r="BA56">
        <v>147695</v>
      </c>
    </row>
    <row r="57" spans="1:53">
      <c r="A57" t="s">
        <v>115</v>
      </c>
      <c r="B57" t="s">
        <v>46</v>
      </c>
      <c r="C57">
        <v>2.62327427229363E-3</v>
      </c>
      <c r="D57">
        <v>2.62327637289601E-3</v>
      </c>
      <c r="E57">
        <v>2.6232889765809798E-3</v>
      </c>
      <c r="F57">
        <v>2.6233078823355098E-3</v>
      </c>
      <c r="G57">
        <v>2.6234633399827502E-3</v>
      </c>
      <c r="H57">
        <v>2.6242009644499298E-3</v>
      </c>
      <c r="I57">
        <v>2.6263026292688398E-3</v>
      </c>
      <c r="J57">
        <v>2.6318707009163299E-3</v>
      </c>
      <c r="K57">
        <v>2.6459983716933099E-3</v>
      </c>
      <c r="L57">
        <v>2.6733863329043701E-3</v>
      </c>
      <c r="M57">
        <v>2.717975645738E-3</v>
      </c>
      <c r="N57">
        <v>2.7955392130224999E-3</v>
      </c>
      <c r="O57">
        <v>2.9024737881421501E-3</v>
      </c>
      <c r="P57">
        <v>3.0619702703021299E-3</v>
      </c>
      <c r="Q57">
        <v>3.2754867676663001E-3</v>
      </c>
      <c r="R57">
        <v>3.5903509638642301E-3</v>
      </c>
      <c r="S57">
        <v>4.0020425297294599E-3</v>
      </c>
      <c r="T57">
        <v>4.4991982602049499E-3</v>
      </c>
      <c r="U57">
        <v>5.1001530045901404E-3</v>
      </c>
      <c r="V57">
        <v>5.6772848210510903E-3</v>
      </c>
      <c r="W57">
        <v>6.3215930414464404E-3</v>
      </c>
      <c r="X57">
        <v>6.6411149477555598E-3</v>
      </c>
      <c r="Y57">
        <v>6.9385074774808301E-3</v>
      </c>
      <c r="Z57">
        <v>7.1492266535469404E-3</v>
      </c>
      <c r="AA57">
        <v>7.6399125215564998E-3</v>
      </c>
      <c r="AB57">
        <v>8.1023712778215806E-3</v>
      </c>
      <c r="AC57">
        <v>8.4184929820241301E-3</v>
      </c>
      <c r="AD57">
        <v>8.9246496026833804E-3</v>
      </c>
      <c r="AE57">
        <v>9.0284643804964294E-3</v>
      </c>
      <c r="AF57">
        <v>9.7338506568647506E-3</v>
      </c>
      <c r="AG57">
        <v>1.1092648313648E-2</v>
      </c>
      <c r="AH57">
        <v>1.07770169693361E-2</v>
      </c>
      <c r="AI57">
        <v>1.15698549805848E-2</v>
      </c>
      <c r="AJ57">
        <v>1.34128166915052E-2</v>
      </c>
      <c r="AK57">
        <v>1.33769322235434E-2</v>
      </c>
      <c r="AL57">
        <v>1.52892561983471E-2</v>
      </c>
      <c r="AM57">
        <v>1.51736212430697E-2</v>
      </c>
      <c r="AN57">
        <v>1.5046766978446501E-2</v>
      </c>
      <c r="AO57">
        <v>1.30385487528345E-2</v>
      </c>
      <c r="AP57">
        <v>1.2987012987013E-2</v>
      </c>
      <c r="AQ57">
        <v>1.2880562060889901E-2</v>
      </c>
      <c r="AR57">
        <v>1.6949152542372899E-2</v>
      </c>
      <c r="AS57">
        <v>2.4813895781637701E-2</v>
      </c>
      <c r="AT57">
        <v>2.97872340425532E-2</v>
      </c>
      <c r="AU57">
        <v>4.9645390070922002E-2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212953</v>
      </c>
    </row>
    <row r="58" spans="1:53">
      <c r="A58" t="s">
        <v>115</v>
      </c>
      <c r="B58" t="s">
        <v>47</v>
      </c>
      <c r="C58">
        <v>1.92741794060158E-3</v>
      </c>
      <c r="D58">
        <v>1.9274194839928899E-3</v>
      </c>
      <c r="E58">
        <v>1.92742874439268E-3</v>
      </c>
      <c r="F58">
        <v>1.9274426351592101E-3</v>
      </c>
      <c r="G58">
        <v>1.92755685571993E-3</v>
      </c>
      <c r="H58">
        <v>1.9280988160656201E-3</v>
      </c>
      <c r="I58">
        <v>1.92884130830917E-3</v>
      </c>
      <c r="J58">
        <v>1.93212730027588E-3</v>
      </c>
      <c r="K58">
        <v>1.94249880461612E-3</v>
      </c>
      <c r="L58">
        <v>1.9580880960002101E-3</v>
      </c>
      <c r="M58">
        <v>1.9853474358012698E-3</v>
      </c>
      <c r="N58">
        <v>2.0295907955081602E-3</v>
      </c>
      <c r="O58">
        <v>2.0956752140017299E-3</v>
      </c>
      <c r="P58">
        <v>2.1847359259390201E-3</v>
      </c>
      <c r="Q58">
        <v>2.29131319523625E-3</v>
      </c>
      <c r="R58">
        <v>2.4521660800373699E-3</v>
      </c>
      <c r="S58">
        <v>2.60641830507625E-3</v>
      </c>
      <c r="T58">
        <v>2.8405621239998E-3</v>
      </c>
      <c r="U58">
        <v>3.0550916527495799E-3</v>
      </c>
      <c r="V58">
        <v>3.3758546920247801E-3</v>
      </c>
      <c r="W58">
        <v>3.67692658549955E-3</v>
      </c>
      <c r="X58">
        <v>3.8177666065351799E-3</v>
      </c>
      <c r="Y58">
        <v>4.0020319914755497E-3</v>
      </c>
      <c r="Z58">
        <v>3.9820423726207701E-3</v>
      </c>
      <c r="AA58">
        <v>4.2872144666994197E-3</v>
      </c>
      <c r="AB58">
        <v>4.4150645885135502E-3</v>
      </c>
      <c r="AC58">
        <v>4.4324058113765098E-3</v>
      </c>
      <c r="AD58">
        <v>4.3325480174100503E-3</v>
      </c>
      <c r="AE58">
        <v>3.77270125409793E-3</v>
      </c>
      <c r="AF58">
        <v>3.2332720713361901E-3</v>
      </c>
      <c r="AG58">
        <v>3.0089369919612001E-3</v>
      </c>
      <c r="AH58">
        <v>2.14349508782376E-3</v>
      </c>
      <c r="AI58">
        <v>2.3773674617640099E-3</v>
      </c>
      <c r="AJ58">
        <v>2.5548222269533702E-3</v>
      </c>
      <c r="AK58">
        <v>1.3376932223543401E-3</v>
      </c>
      <c r="AL58">
        <v>1.6528925619834699E-3</v>
      </c>
      <c r="AM58">
        <v>1.16720163408229E-3</v>
      </c>
      <c r="AN58">
        <v>4.0666937779585202E-4</v>
      </c>
      <c r="AO58">
        <v>5.6689342403628098E-4</v>
      </c>
      <c r="AP58">
        <v>8.1168831168831196E-4</v>
      </c>
      <c r="AQ58">
        <v>1.17096018735363E-3</v>
      </c>
      <c r="AR58">
        <v>1.69491525423729E-3</v>
      </c>
      <c r="AS58">
        <v>2.48138957816377E-3</v>
      </c>
      <c r="AT58">
        <v>4.2553191489361703E-3</v>
      </c>
      <c r="AU58">
        <v>7.09219858156028E-3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131375</v>
      </c>
    </row>
    <row r="59" spans="1:53">
      <c r="A59" t="s">
        <v>115</v>
      </c>
      <c r="B59" t="s">
        <v>45</v>
      </c>
      <c r="C59">
        <v>6.6142385498001697E-4</v>
      </c>
      <c r="D59">
        <v>6.6142438461908005E-4</v>
      </c>
      <c r="E59">
        <v>6.6142756247127303E-4</v>
      </c>
      <c r="F59">
        <v>6.6143232930681705E-4</v>
      </c>
      <c r="G59">
        <v>6.6147152589308695E-4</v>
      </c>
      <c r="H59">
        <v>6.6165750813053695E-4</v>
      </c>
      <c r="I59">
        <v>6.6218741507205903E-4</v>
      </c>
      <c r="J59">
        <v>6.6359133057292195E-4</v>
      </c>
      <c r="K59">
        <v>6.6715343559788597E-4</v>
      </c>
      <c r="L59">
        <v>6.7447071196671099E-4</v>
      </c>
      <c r="M59">
        <v>6.8845381275056499E-4</v>
      </c>
      <c r="N59">
        <v>7.0729470986684805E-4</v>
      </c>
      <c r="O59">
        <v>7.3857997993463805E-4</v>
      </c>
      <c r="P59">
        <v>7.80964505899966E-4</v>
      </c>
      <c r="Q59">
        <v>8.3360156245737896E-4</v>
      </c>
      <c r="R59">
        <v>8.9822933334702095E-4</v>
      </c>
      <c r="S59">
        <v>9.8837136448504397E-4</v>
      </c>
      <c r="T59">
        <v>1.10707067523432E-3</v>
      </c>
      <c r="U59">
        <v>1.21503645109353E-3</v>
      </c>
      <c r="V59">
        <v>1.34144131829987E-3</v>
      </c>
      <c r="W59">
        <v>1.4883750705177699E-3</v>
      </c>
      <c r="X59">
        <v>1.54909378013862E-3</v>
      </c>
      <c r="Y59">
        <v>1.6169200460915099E-3</v>
      </c>
      <c r="Z59">
        <v>1.6758402263153001E-3</v>
      </c>
      <c r="AA59">
        <v>1.8112276848078501E-3</v>
      </c>
      <c r="AB59">
        <v>2.0134635211352999E-3</v>
      </c>
      <c r="AC59">
        <v>2.2777640975129299E-3</v>
      </c>
      <c r="AD59">
        <v>2.4957073833007199E-3</v>
      </c>
      <c r="AE59">
        <v>2.3937138991517899E-3</v>
      </c>
      <c r="AF59">
        <v>2.2803076713634198E-3</v>
      </c>
      <c r="AG59">
        <v>2.3802038891633402E-3</v>
      </c>
      <c r="AH59">
        <v>2.5007442691277202E-3</v>
      </c>
      <c r="AI59">
        <v>2.21887629764641E-3</v>
      </c>
      <c r="AJ59">
        <v>1.91611667021503E-3</v>
      </c>
      <c r="AK59">
        <v>7.4316290130796697E-4</v>
      </c>
      <c r="AL59">
        <v>1.0330578512396701E-3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94514</v>
      </c>
    </row>
    <row r="60" spans="1:53">
      <c r="A60" t="s">
        <v>127</v>
      </c>
      <c r="B60" t="s">
        <v>94</v>
      </c>
      <c r="C60">
        <v>1.07909780504972E-2</v>
      </c>
      <c r="D60">
        <v>1.07909866914367E-2</v>
      </c>
      <c r="E60">
        <v>1.07910385373643E-2</v>
      </c>
      <c r="F60">
        <v>1.0791116307189701E-2</v>
      </c>
      <c r="G60">
        <v>1.07917557904785E-2</v>
      </c>
      <c r="H60">
        <v>1.0794790047902099E-2</v>
      </c>
      <c r="I60">
        <v>1.08034353577616E-2</v>
      </c>
      <c r="J60">
        <v>1.08247331575539E-2</v>
      </c>
      <c r="K60">
        <v>1.08747625386077E-2</v>
      </c>
      <c r="L60">
        <v>1.0988320061665899E-2</v>
      </c>
      <c r="M60">
        <v>1.11869577176006E-2</v>
      </c>
      <c r="N60">
        <v>1.15306288798781E-2</v>
      </c>
      <c r="O60">
        <v>1.20837869869848E-2</v>
      </c>
      <c r="P60">
        <v>1.29001583540608E-2</v>
      </c>
      <c r="Q60">
        <v>1.40424765822336E-2</v>
      </c>
      <c r="R60">
        <v>1.5966667992624299E-2</v>
      </c>
      <c r="S60">
        <v>1.8580128566595199E-2</v>
      </c>
      <c r="T60">
        <v>2.18971488005421E-2</v>
      </c>
      <c r="U60">
        <v>2.57382721481644E-2</v>
      </c>
      <c r="V60">
        <v>2.96515749220406E-2</v>
      </c>
      <c r="W60">
        <v>3.3160356409815302E-2</v>
      </c>
      <c r="X60">
        <v>3.6053908463548799E-2</v>
      </c>
      <c r="Y60">
        <v>3.8576862555600999E-2</v>
      </c>
      <c r="Z60">
        <v>4.0312413517419501E-2</v>
      </c>
      <c r="AA60">
        <v>4.1860554736649402E-2</v>
      </c>
      <c r="AB60">
        <v>4.3568439565771097E-2</v>
      </c>
      <c r="AC60">
        <v>4.6217064762373798E-2</v>
      </c>
      <c r="AD60">
        <v>4.8696242462963703E-2</v>
      </c>
      <c r="AE60">
        <v>4.9357339855336399E-2</v>
      </c>
      <c r="AF60">
        <v>5.00986998842829E-2</v>
      </c>
      <c r="AG60">
        <v>5.2005209502851799E-2</v>
      </c>
      <c r="AH60">
        <v>4.85263471271212E-2</v>
      </c>
      <c r="AI60">
        <v>4.9132260876456099E-2</v>
      </c>
      <c r="AJ60">
        <v>4.7264211198637399E-2</v>
      </c>
      <c r="AK60">
        <v>5.0386444708680103E-2</v>
      </c>
      <c r="AL60">
        <v>4.8760330578512402E-2</v>
      </c>
      <c r="AM60">
        <v>4.96060694484972E-2</v>
      </c>
      <c r="AN60">
        <v>4.8800325335502201E-2</v>
      </c>
      <c r="AO60">
        <v>5.2721088435374201E-2</v>
      </c>
      <c r="AP60">
        <v>3.49025974025974E-2</v>
      </c>
      <c r="AQ60">
        <v>3.9812646370023401E-2</v>
      </c>
      <c r="AR60">
        <v>4.7457627118644097E-2</v>
      </c>
      <c r="AS60">
        <v>3.2258064516128997E-2</v>
      </c>
      <c r="AT60">
        <v>2.5531914893616999E-2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605897</v>
      </c>
    </row>
    <row r="61" spans="1:53">
      <c r="A61" t="s">
        <v>128</v>
      </c>
      <c r="B61" t="s">
        <v>95</v>
      </c>
      <c r="C61">
        <v>9.2150916744673603E-3</v>
      </c>
      <c r="D61">
        <v>9.2150990535065092E-3</v>
      </c>
      <c r="E61">
        <v>9.2151433279895993E-3</v>
      </c>
      <c r="F61">
        <v>9.2152097405119298E-3</v>
      </c>
      <c r="G61">
        <v>9.2157558353240208E-3</v>
      </c>
      <c r="H61">
        <v>9.2183469776830809E-3</v>
      </c>
      <c r="I61">
        <v>9.2257297489700407E-3</v>
      </c>
      <c r="J61">
        <v>9.2436826266005297E-3</v>
      </c>
      <c r="K61">
        <v>9.2933019733526297E-3</v>
      </c>
      <c r="L61">
        <v>9.3952300386065096E-3</v>
      </c>
      <c r="M61">
        <v>9.5875111477841998E-3</v>
      </c>
      <c r="N61">
        <v>9.9124765924266008E-3</v>
      </c>
      <c r="O61">
        <v>1.04338065884609E-2</v>
      </c>
      <c r="P61">
        <v>1.12341007414742E-2</v>
      </c>
      <c r="Q61">
        <v>1.24047331984004E-2</v>
      </c>
      <c r="R61">
        <v>1.43960498440289E-2</v>
      </c>
      <c r="S61">
        <v>1.72596894853577E-2</v>
      </c>
      <c r="T61">
        <v>2.1111168018658699E-2</v>
      </c>
      <c r="U61">
        <v>2.5790773723211698E-2</v>
      </c>
      <c r="V61">
        <v>3.1231424057573901E-2</v>
      </c>
      <c r="W61">
        <v>3.6809275937536301E-2</v>
      </c>
      <c r="X61">
        <v>4.2280266044364002E-2</v>
      </c>
      <c r="Y61">
        <v>4.7503995836895498E-2</v>
      </c>
      <c r="Z61">
        <v>5.1943359675286703E-2</v>
      </c>
      <c r="AA61">
        <v>5.6899525034442199E-2</v>
      </c>
      <c r="AB61">
        <v>6.1143792831584699E-2</v>
      </c>
      <c r="AC61">
        <v>6.4177542477222405E-2</v>
      </c>
      <c r="AD61">
        <v>6.6705266940861693E-2</v>
      </c>
      <c r="AE61">
        <v>6.8663162824582402E-2</v>
      </c>
      <c r="AF61">
        <v>7.3071948812197904E-2</v>
      </c>
      <c r="AG61">
        <v>7.3382134997979104E-2</v>
      </c>
      <c r="AH61">
        <v>7.5498660315570107E-2</v>
      </c>
      <c r="AI61">
        <v>7.7343688089389004E-2</v>
      </c>
      <c r="AJ61">
        <v>7.6431764956355105E-2</v>
      </c>
      <c r="AK61">
        <v>7.5505350772889404E-2</v>
      </c>
      <c r="AL61">
        <v>7.5413223140495894E-2</v>
      </c>
      <c r="AM61">
        <v>6.8281295593813796E-2</v>
      </c>
      <c r="AN61">
        <v>5.3680357869052502E-2</v>
      </c>
      <c r="AO61">
        <v>4.5351473922902501E-2</v>
      </c>
      <c r="AP61">
        <v>4.2207792207792201E-2</v>
      </c>
      <c r="AQ61">
        <v>3.5128805620608897E-2</v>
      </c>
      <c r="AR61">
        <v>3.3898305084745797E-2</v>
      </c>
      <c r="AS61">
        <v>1.4888337468982601E-2</v>
      </c>
      <c r="AT61">
        <v>2.5531914893616999E-2</v>
      </c>
      <c r="AU61">
        <v>4.2553191489361701E-2</v>
      </c>
      <c r="AV61">
        <v>7.3170731707317097E-2</v>
      </c>
      <c r="AW61">
        <v>0</v>
      </c>
      <c r="AX61">
        <v>0</v>
      </c>
      <c r="AY61">
        <v>0</v>
      </c>
      <c r="AZ61">
        <v>0</v>
      </c>
      <c r="BA61">
        <v>486675</v>
      </c>
    </row>
    <row r="62" spans="1:53">
      <c r="A62" t="s">
        <v>128</v>
      </c>
      <c r="B62" t="s">
        <v>96</v>
      </c>
      <c r="C62">
        <v>1.4322308801661699E-2</v>
      </c>
      <c r="D62">
        <v>1.43223202703352E-2</v>
      </c>
      <c r="E62">
        <v>1.43223890827617E-2</v>
      </c>
      <c r="F62">
        <v>1.43224923026413E-2</v>
      </c>
      <c r="G62">
        <v>1.43233410558399E-2</v>
      </c>
      <c r="H62">
        <v>1.4327368269277E-2</v>
      </c>
      <c r="I62">
        <v>1.43388427433158E-2</v>
      </c>
      <c r="J62">
        <v>1.43684394035069E-2</v>
      </c>
      <c r="K62">
        <v>1.4444760341685899E-2</v>
      </c>
      <c r="L62">
        <v>1.4602372569129199E-2</v>
      </c>
      <c r="M62">
        <v>1.48992740396236E-2</v>
      </c>
      <c r="N62">
        <v>1.5398323366515801E-2</v>
      </c>
      <c r="O62">
        <v>1.61869080331488E-2</v>
      </c>
      <c r="P62">
        <v>1.7396352748405699E-2</v>
      </c>
      <c r="Q62">
        <v>1.91717448349982E-2</v>
      </c>
      <c r="R62">
        <v>2.21503353603375E-2</v>
      </c>
      <c r="S62">
        <v>2.63492600528802E-2</v>
      </c>
      <c r="T62">
        <v>3.18351764812487E-2</v>
      </c>
      <c r="U62">
        <v>3.8331149934498002E-2</v>
      </c>
      <c r="V62">
        <v>4.5462781360959E-2</v>
      </c>
      <c r="W62">
        <v>5.2505231318292198E-2</v>
      </c>
      <c r="X62">
        <v>5.9290315165628098E-2</v>
      </c>
      <c r="Y62">
        <v>6.5686602485472506E-2</v>
      </c>
      <c r="Z62">
        <v>7.0623597060361004E-2</v>
      </c>
      <c r="AA62">
        <v>7.5830708016609294E-2</v>
      </c>
      <c r="AB62">
        <v>8.0490023652131704E-2</v>
      </c>
      <c r="AC62">
        <v>8.4261881310022199E-2</v>
      </c>
      <c r="AD62">
        <v>8.7329792756458899E-2</v>
      </c>
      <c r="AE62">
        <v>8.9295935890097294E-2</v>
      </c>
      <c r="AF62">
        <v>9.4105234497311299E-2</v>
      </c>
      <c r="AG62">
        <v>9.4983608029819894E-2</v>
      </c>
      <c r="AH62">
        <v>9.5861863649895795E-2</v>
      </c>
      <c r="AI62">
        <v>9.81852761708535E-2</v>
      </c>
      <c r="AJ62">
        <v>9.6763891845859096E-2</v>
      </c>
      <c r="AK62">
        <v>9.5273483947681301E-2</v>
      </c>
      <c r="AL62">
        <v>9.3595041322314096E-2</v>
      </c>
      <c r="AM62">
        <v>8.8999124598774404E-2</v>
      </c>
      <c r="AN62">
        <v>7.8893859292395299E-2</v>
      </c>
      <c r="AO62">
        <v>7.3696145124716506E-2</v>
      </c>
      <c r="AP62">
        <v>7.7110389610389601E-2</v>
      </c>
      <c r="AQ62">
        <v>6.3231850117096006E-2</v>
      </c>
      <c r="AR62">
        <v>5.4237288135593198E-2</v>
      </c>
      <c r="AS62">
        <v>1.4888337468982601E-2</v>
      </c>
      <c r="AT62">
        <v>2.5531914893616999E-2</v>
      </c>
      <c r="AU62">
        <v>4.2553191489361701E-2</v>
      </c>
      <c r="AV62">
        <v>7.3170731707317097E-2</v>
      </c>
      <c r="AW62">
        <v>0</v>
      </c>
      <c r="AX62">
        <v>0</v>
      </c>
      <c r="AY62">
        <v>0</v>
      </c>
      <c r="AZ62">
        <v>0</v>
      </c>
      <c r="BA62">
        <v>768308</v>
      </c>
    </row>
    <row r="63" spans="1:53">
      <c r="A63" t="s">
        <v>106</v>
      </c>
      <c r="B63" t="s">
        <v>0</v>
      </c>
      <c r="C63">
        <v>2.0018881809322599E-3</v>
      </c>
      <c r="D63">
        <v>2.00188978395605E-3</v>
      </c>
      <c r="E63">
        <v>2.00189940215276E-3</v>
      </c>
      <c r="F63">
        <v>2.0019138296211202E-3</v>
      </c>
      <c r="G63">
        <v>2.0020324633567999E-3</v>
      </c>
      <c r="H63">
        <v>2.0025953635912099E-3</v>
      </c>
      <c r="I63">
        <v>2.0041991981599801E-3</v>
      </c>
      <c r="J63">
        <v>2.0084483370851102E-3</v>
      </c>
      <c r="K63">
        <v>2.0192295266279799E-3</v>
      </c>
      <c r="L63">
        <v>2.0413762468726102E-3</v>
      </c>
      <c r="M63">
        <v>2.0836979804799202E-3</v>
      </c>
      <c r="N63">
        <v>2.1537986469969701E-3</v>
      </c>
      <c r="O63">
        <v>2.2657669088881598E-3</v>
      </c>
      <c r="P63">
        <v>2.4411280467439198E-3</v>
      </c>
      <c r="Q63">
        <v>2.7102961795080201E-3</v>
      </c>
      <c r="R63">
        <v>3.17459910100076E-3</v>
      </c>
      <c r="S63">
        <v>3.8438404571256701E-3</v>
      </c>
      <c r="T63">
        <v>4.7690713607513903E-3</v>
      </c>
      <c r="U63">
        <v>5.9251777553326604E-3</v>
      </c>
      <c r="V63">
        <v>7.3175306036168102E-3</v>
      </c>
      <c r="W63">
        <v>8.8262242085005403E-3</v>
      </c>
      <c r="X63">
        <v>1.04239020173199E-2</v>
      </c>
      <c r="Y63">
        <v>1.2018486166350701E-2</v>
      </c>
      <c r="Z63">
        <v>1.36757787275914E-2</v>
      </c>
      <c r="AA63">
        <v>1.5722997774502201E-2</v>
      </c>
      <c r="AB63">
        <v>1.8303111165019099E-2</v>
      </c>
      <c r="AC63">
        <v>2.0484486579660201E-2</v>
      </c>
      <c r="AD63">
        <v>2.3259992812362702E-2</v>
      </c>
      <c r="AE63">
        <v>2.65390019253786E-2</v>
      </c>
      <c r="AF63">
        <v>2.8691035327751701E-2</v>
      </c>
      <c r="AG63">
        <v>3.1706112183949302E-2</v>
      </c>
      <c r="AH63">
        <v>3.6201250372134598E-2</v>
      </c>
      <c r="AI63">
        <v>3.8671844044694502E-2</v>
      </c>
      <c r="AJ63">
        <v>3.9386842665531198E-2</v>
      </c>
      <c r="AK63">
        <v>4.2211652794292502E-2</v>
      </c>
      <c r="AL63">
        <v>4.0082644628099198E-2</v>
      </c>
      <c r="AM63">
        <v>4.0560256784359497E-2</v>
      </c>
      <c r="AN63">
        <v>3.6193574623830799E-2</v>
      </c>
      <c r="AO63">
        <v>3.2879818594104299E-2</v>
      </c>
      <c r="AP63">
        <v>3.0844155844155799E-2</v>
      </c>
      <c r="AQ63">
        <v>2.9274004683840799E-2</v>
      </c>
      <c r="AR63">
        <v>3.8983050847457602E-2</v>
      </c>
      <c r="AS63">
        <v>5.4590570719603E-2</v>
      </c>
      <c r="AT63">
        <v>2.5531914893616999E-2</v>
      </c>
      <c r="AU63">
        <v>4.2553191489361701E-2</v>
      </c>
      <c r="AV63">
        <v>2.4390243902439001E-2</v>
      </c>
      <c r="AW63">
        <v>0</v>
      </c>
      <c r="AX63">
        <v>0</v>
      </c>
      <c r="AY63">
        <v>0</v>
      </c>
      <c r="AZ63">
        <v>0</v>
      </c>
      <c r="BA63">
        <v>102220</v>
      </c>
    </row>
    <row r="64" spans="1:53">
      <c r="A64" t="s">
        <v>129</v>
      </c>
      <c r="B64" t="s">
        <v>9</v>
      </c>
      <c r="C64">
        <v>9.4048706740197403E-3</v>
      </c>
      <c r="D64">
        <v>9.4048782050255401E-3</v>
      </c>
      <c r="E64">
        <v>9.4049233913136802E-3</v>
      </c>
      <c r="F64">
        <v>9.4049911715600107E-3</v>
      </c>
      <c r="G64">
        <v>9.4055485128502498E-3</v>
      </c>
      <c r="H64">
        <v>9.4081930181515207E-3</v>
      </c>
      <c r="I64">
        <v>9.4157278329556095E-3</v>
      </c>
      <c r="J64">
        <v>9.4348869082910396E-3</v>
      </c>
      <c r="K64">
        <v>9.4831095488556606E-3</v>
      </c>
      <c r="L64">
        <v>9.5822201028200396E-3</v>
      </c>
      <c r="M64">
        <v>9.7708765700664293E-3</v>
      </c>
      <c r="N64">
        <v>1.0100513478708301E-2</v>
      </c>
      <c r="O64">
        <v>1.0630276139773499E-2</v>
      </c>
      <c r="P64">
        <v>1.1443340288338001E-2</v>
      </c>
      <c r="Q64">
        <v>1.26076780814071E-2</v>
      </c>
      <c r="R64">
        <v>1.46000762211749E-2</v>
      </c>
      <c r="S64">
        <v>1.7338007343082301E-2</v>
      </c>
      <c r="T64">
        <v>2.0898421340855601E-2</v>
      </c>
      <c r="U64">
        <v>2.5030750922527701E-2</v>
      </c>
      <c r="V64">
        <v>2.9553033024250799E-2</v>
      </c>
      <c r="W64">
        <v>3.4256632671433203E-2</v>
      </c>
      <c r="X64">
        <v>3.84175257474378E-2</v>
      </c>
      <c r="Y64">
        <v>4.2244359365126598E-2</v>
      </c>
      <c r="Z64">
        <v>4.5186187386611697E-2</v>
      </c>
      <c r="AA64">
        <v>4.7660337003959601E-2</v>
      </c>
      <c r="AB64">
        <v>5.0809630662866201E-2</v>
      </c>
      <c r="AC64">
        <v>5.2773331691701598E-2</v>
      </c>
      <c r="AD64">
        <v>5.4805734137283901E-2</v>
      </c>
      <c r="AE64">
        <v>5.66165374408076E-2</v>
      </c>
      <c r="AF64">
        <v>5.7994690626914397E-2</v>
      </c>
      <c r="AG64">
        <v>5.8157812008802302E-2</v>
      </c>
      <c r="AH64">
        <v>5.79934504316761E-2</v>
      </c>
      <c r="AI64">
        <v>5.5788889769395403E-2</v>
      </c>
      <c r="AJ64">
        <v>5.35448158398978E-2</v>
      </c>
      <c r="AK64">
        <v>5.2170035671819298E-2</v>
      </c>
      <c r="AL64">
        <v>4.8140495867768598E-2</v>
      </c>
      <c r="AM64">
        <v>3.8225853516194903E-2</v>
      </c>
      <c r="AN64">
        <v>3.1720211468076499E-2</v>
      </c>
      <c r="AO64">
        <v>3.0045351473922899E-2</v>
      </c>
      <c r="AP64">
        <v>3.7337662337662302E-2</v>
      </c>
      <c r="AQ64">
        <v>2.6932084309133499E-2</v>
      </c>
      <c r="AR64">
        <v>3.7288135593220299E-2</v>
      </c>
      <c r="AS64">
        <v>3.2258064516128997E-2</v>
      </c>
      <c r="AT64">
        <v>2.5531914893616999E-2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490268</v>
      </c>
    </row>
    <row r="65" spans="1:53">
      <c r="A65" t="s">
        <v>107</v>
      </c>
      <c r="B65" t="s">
        <v>1</v>
      </c>
      <c r="C65">
        <v>4.7468772546265603E-3</v>
      </c>
      <c r="D65">
        <v>4.7468810557166003E-3</v>
      </c>
      <c r="E65">
        <v>4.7469038623846301E-3</v>
      </c>
      <c r="F65">
        <v>4.74693807279759E-3</v>
      </c>
      <c r="G65">
        <v>4.7472193771116401E-3</v>
      </c>
      <c r="H65">
        <v>4.7485541261474903E-3</v>
      </c>
      <c r="I65">
        <v>4.7515554589976899E-3</v>
      </c>
      <c r="J65">
        <v>4.7616293175613902E-3</v>
      </c>
      <c r="K65">
        <v>4.77507398456986E-3</v>
      </c>
      <c r="L65">
        <v>4.8176479426193597E-3</v>
      </c>
      <c r="M65">
        <v>4.8941898165512296E-3</v>
      </c>
      <c r="N65">
        <v>5.0286928762484397E-3</v>
      </c>
      <c r="O65">
        <v>5.2319113849557102E-3</v>
      </c>
      <c r="P65">
        <v>5.5089923887886904E-3</v>
      </c>
      <c r="Q65">
        <v>5.96177871370042E-3</v>
      </c>
      <c r="R65">
        <v>6.7251713372453396E-3</v>
      </c>
      <c r="S65">
        <v>7.8082904151473001E-3</v>
      </c>
      <c r="T65">
        <v>9.2052335682739506E-3</v>
      </c>
      <c r="U65">
        <v>1.0665319959598799E-2</v>
      </c>
      <c r="V65">
        <v>1.19521785706339E-2</v>
      </c>
      <c r="W65">
        <v>1.3335360510848699E-2</v>
      </c>
      <c r="X65">
        <v>1.4596461070273899E-2</v>
      </c>
      <c r="Y65">
        <v>1.54939350010532E-2</v>
      </c>
      <c r="Z65">
        <v>1.5320869591956001E-2</v>
      </c>
      <c r="AA65">
        <v>1.5655558445812501E-2</v>
      </c>
      <c r="AB65">
        <v>1.6156225362362799E-2</v>
      </c>
      <c r="AC65">
        <v>1.6683082984486598E-2</v>
      </c>
      <c r="AD65">
        <v>1.8048955796030799E-2</v>
      </c>
      <c r="AE65">
        <v>2.0216474996097199E-2</v>
      </c>
      <c r="AF65">
        <v>2.2224491185079302E-2</v>
      </c>
      <c r="AG65">
        <v>2.5373871648628001E-2</v>
      </c>
      <c r="AH65">
        <v>2.7091396248883601E-2</v>
      </c>
      <c r="AI65">
        <v>2.80529360488153E-2</v>
      </c>
      <c r="AJ65">
        <v>2.9806259314456001E-2</v>
      </c>
      <c r="AK65">
        <v>3.3293697978596902E-2</v>
      </c>
      <c r="AL65">
        <v>3.5123966942148803E-2</v>
      </c>
      <c r="AM65">
        <v>4.1143857601400602E-2</v>
      </c>
      <c r="AN65">
        <v>4.8800325335502201E-2</v>
      </c>
      <c r="AO65">
        <v>4.2517006802721101E-2</v>
      </c>
      <c r="AP65">
        <v>5.8441558441558399E-2</v>
      </c>
      <c r="AQ65">
        <v>6.4402810304449706E-2</v>
      </c>
      <c r="AR65">
        <v>6.6101694915254194E-2</v>
      </c>
      <c r="AS65">
        <v>9.1811414392059601E-2</v>
      </c>
      <c r="AT65">
        <v>6.8085106382978697E-2</v>
      </c>
      <c r="AU65">
        <v>9.2198581560283696E-2</v>
      </c>
      <c r="AV65">
        <v>0.15853658536585399</v>
      </c>
      <c r="AW65">
        <v>0.13725490196078399</v>
      </c>
      <c r="AX65">
        <v>0.17647058823529399</v>
      </c>
      <c r="AY65">
        <v>0</v>
      </c>
      <c r="AZ65">
        <v>0</v>
      </c>
      <c r="BA65">
        <v>291353</v>
      </c>
    </row>
    <row r="66" spans="1:53">
      <c r="A66" t="s">
        <v>58</v>
      </c>
      <c r="B66" t="s">
        <v>10</v>
      </c>
      <c r="C66">
        <v>2.40106468421015E-2</v>
      </c>
      <c r="D66">
        <v>2.40106660687689E-2</v>
      </c>
      <c r="E66">
        <v>2.4010781429420199E-2</v>
      </c>
      <c r="F66">
        <v>2.4010954472475698E-2</v>
      </c>
      <c r="G66">
        <v>2.4012377365501499E-2</v>
      </c>
      <c r="H66">
        <v>2.4019128790912999E-2</v>
      </c>
      <c r="I66">
        <v>2.4038365182730899E-2</v>
      </c>
      <c r="J66">
        <v>2.4088525975664001E-2</v>
      </c>
      <c r="K66">
        <v>2.42129850997015E-2</v>
      </c>
      <c r="L66">
        <v>2.4475284649503899E-2</v>
      </c>
      <c r="M66">
        <v>2.4961868326957199E-2</v>
      </c>
      <c r="N66">
        <v>2.5774854292977E-2</v>
      </c>
      <c r="O66">
        <v>2.7065499855831399E-2</v>
      </c>
      <c r="P66">
        <v>2.9009638771989799E-2</v>
      </c>
      <c r="Q66">
        <v>3.1765238596625202E-2</v>
      </c>
      <c r="R66">
        <v>3.6560500236747603E-2</v>
      </c>
      <c r="S66">
        <v>4.28289036753004E-2</v>
      </c>
      <c r="T66">
        <v>5.1011925633216798E-2</v>
      </c>
      <c r="U66">
        <v>6.0401812054361598E-2</v>
      </c>
      <c r="V66">
        <v>7.0683149653354996E-2</v>
      </c>
      <c r="W66">
        <v>8.0364251791451402E-2</v>
      </c>
      <c r="X66">
        <v>8.9617573719374205E-2</v>
      </c>
      <c r="Y66">
        <v>9.7566566306112101E-2</v>
      </c>
      <c r="Z66">
        <v>0.103563851050091</v>
      </c>
      <c r="AA66">
        <v>0.110561962291781</v>
      </c>
      <c r="AB66">
        <v>0.117751228091455</v>
      </c>
      <c r="AC66">
        <v>0.123091603053435</v>
      </c>
      <c r="AD66">
        <v>0.12855887872858701</v>
      </c>
      <c r="AE66">
        <v>0.13175833897070299</v>
      </c>
      <c r="AF66">
        <v>0.135763392553264</v>
      </c>
      <c r="AG66">
        <v>0.13558180266762501</v>
      </c>
      <c r="AH66">
        <v>0.13664781184876501</v>
      </c>
      <c r="AI66">
        <v>0.135034471828196</v>
      </c>
      <c r="AJ66">
        <v>0.13327655950606801</v>
      </c>
      <c r="AK66">
        <v>0.13822829964328201</v>
      </c>
      <c r="AL66">
        <v>0.135950413223141</v>
      </c>
      <c r="AM66">
        <v>0.13539538955354499</v>
      </c>
      <c r="AN66">
        <v>0.12606750711671399</v>
      </c>
      <c r="AO66">
        <v>0.12641723356009099</v>
      </c>
      <c r="AP66">
        <v>0.140422077922078</v>
      </c>
      <c r="AQ66">
        <v>0.137002341920375</v>
      </c>
      <c r="AR66">
        <v>0.140677966101695</v>
      </c>
      <c r="AS66">
        <v>0.13399503722084399</v>
      </c>
      <c r="AT66">
        <v>0.123404255319149</v>
      </c>
      <c r="AU66">
        <v>9.2198581560283696E-2</v>
      </c>
      <c r="AV66">
        <v>0.15853658536585399</v>
      </c>
      <c r="AW66">
        <v>0.13725490196078399</v>
      </c>
      <c r="AX66">
        <v>0.17647058823529399</v>
      </c>
      <c r="AY66">
        <v>0</v>
      </c>
      <c r="AZ66">
        <v>0</v>
      </c>
      <c r="BA66">
        <v>1317761</v>
      </c>
    </row>
    <row r="67" spans="1:53">
      <c r="A67" t="s">
        <v>58</v>
      </c>
      <c r="B67" t="s">
        <v>11</v>
      </c>
      <c r="C67">
        <v>2.5026004527470301E-2</v>
      </c>
      <c r="D67">
        <v>2.5026024567191399E-2</v>
      </c>
      <c r="E67">
        <v>2.5026144806192099E-2</v>
      </c>
      <c r="F67">
        <v>2.50263251668595E-2</v>
      </c>
      <c r="G67">
        <v>2.5027808230916E-2</v>
      </c>
      <c r="H67">
        <v>2.50348451593265E-2</v>
      </c>
      <c r="I67">
        <v>2.5054895016037599E-2</v>
      </c>
      <c r="J67">
        <v>2.5107210972233601E-2</v>
      </c>
      <c r="K67">
        <v>2.5235522931985901E-2</v>
      </c>
      <c r="L67">
        <v>2.5508221030421399E-2</v>
      </c>
      <c r="M67">
        <v>2.60120521091191E-2</v>
      </c>
      <c r="N67">
        <v>2.6865123211600998E-2</v>
      </c>
      <c r="O67">
        <v>2.82124818197446E-2</v>
      </c>
      <c r="P67">
        <v>3.0247393837944499E-2</v>
      </c>
      <c r="Q67">
        <v>3.31553019350685E-2</v>
      </c>
      <c r="R67">
        <v>3.8192711253915303E-2</v>
      </c>
      <c r="S67">
        <v>4.4777451975489602E-2</v>
      </c>
      <c r="T67">
        <v>5.3159091177710401E-2</v>
      </c>
      <c r="U67">
        <v>6.2719381581447506E-2</v>
      </c>
      <c r="V67">
        <v>7.3375568602644103E-2</v>
      </c>
      <c r="W67">
        <v>8.3629074526780797E-2</v>
      </c>
      <c r="X67">
        <v>9.3275433871185406E-2</v>
      </c>
      <c r="Y67">
        <v>0.101865962903765</v>
      </c>
      <c r="Z67">
        <v>0.10837612619538101</v>
      </c>
      <c r="AA67">
        <v>0.115398325577811</v>
      </c>
      <c r="AB67">
        <v>0.123476256898538</v>
      </c>
      <c r="AC67">
        <v>0.12857054912583099</v>
      </c>
      <c r="AD67">
        <v>0.13504771792516901</v>
      </c>
      <c r="AE67">
        <v>0.13990216995368701</v>
      </c>
      <c r="AF67">
        <v>0.14498672656728601</v>
      </c>
      <c r="AG67">
        <v>0.14402479004805299</v>
      </c>
      <c r="AH67">
        <v>0.145698124441798</v>
      </c>
      <c r="AI67">
        <v>0.143672240272605</v>
      </c>
      <c r="AJ67">
        <v>0.14147328081754301</v>
      </c>
      <c r="AK67">
        <v>0.14759215219976199</v>
      </c>
      <c r="AL67">
        <v>0.14772727272727301</v>
      </c>
      <c r="AM67">
        <v>0.148818208345492</v>
      </c>
      <c r="AN67">
        <v>0.14192761285075201</v>
      </c>
      <c r="AO67">
        <v>0.143424036281179</v>
      </c>
      <c r="AP67">
        <v>0.14935064935064901</v>
      </c>
      <c r="AQ67">
        <v>0.14285714285714299</v>
      </c>
      <c r="AR67">
        <v>0.13898305084745799</v>
      </c>
      <c r="AS67">
        <v>0.11414392059553299</v>
      </c>
      <c r="AT67">
        <v>9.7872340425531903E-2</v>
      </c>
      <c r="AU67">
        <v>9.2198581560283696E-2</v>
      </c>
      <c r="AV67">
        <v>0.15853658536585399</v>
      </c>
      <c r="AW67">
        <v>0.13725490196078399</v>
      </c>
      <c r="AX67">
        <v>0.17647058823529399</v>
      </c>
      <c r="AY67">
        <v>0</v>
      </c>
      <c r="AZ67">
        <v>0</v>
      </c>
      <c r="BA67">
        <v>1370434</v>
      </c>
    </row>
    <row r="68" spans="1:53">
      <c r="A68" t="s">
        <v>108</v>
      </c>
      <c r="B68" t="s">
        <v>2</v>
      </c>
      <c r="C68">
        <v>7.2340231306168004E-3</v>
      </c>
      <c r="D68">
        <v>7.2340289233036002E-3</v>
      </c>
      <c r="E68">
        <v>7.2340636796192201E-3</v>
      </c>
      <c r="F68">
        <v>7.2341158147188698E-3</v>
      </c>
      <c r="G68">
        <v>7.2345445095861301E-3</v>
      </c>
      <c r="H68">
        <v>7.2365786058732097E-3</v>
      </c>
      <c r="I68">
        <v>7.2423742224709204E-3</v>
      </c>
      <c r="J68">
        <v>7.2577289108907697E-3</v>
      </c>
      <c r="K68">
        <v>7.2966878174228799E-3</v>
      </c>
      <c r="L68">
        <v>7.3726344532051196E-3</v>
      </c>
      <c r="M68">
        <v>7.5196492719559298E-3</v>
      </c>
      <c r="N68">
        <v>7.76040305447808E-3</v>
      </c>
      <c r="O68">
        <v>8.1680396795727108E-3</v>
      </c>
      <c r="P68">
        <v>8.7723434436310609E-3</v>
      </c>
      <c r="Q68">
        <v>9.6889815112847204E-3</v>
      </c>
      <c r="R68">
        <v>1.12047693411231E-2</v>
      </c>
      <c r="S68">
        <v>1.34597070285578E-2</v>
      </c>
      <c r="T68">
        <v>1.6436650736930899E-2</v>
      </c>
      <c r="U68">
        <v>2.0008100243007299E-2</v>
      </c>
      <c r="V68">
        <v>2.38979995994749E-2</v>
      </c>
      <c r="W68">
        <v>2.7618959977914401E-2</v>
      </c>
      <c r="X68">
        <v>3.0657065616614299E-2</v>
      </c>
      <c r="Y68">
        <v>3.3366786851528302E-2</v>
      </c>
      <c r="Z68">
        <v>3.4323975277512998E-2</v>
      </c>
      <c r="AA68">
        <v>3.3575151497634799E-2</v>
      </c>
      <c r="AB68">
        <v>3.2834010552489502E-2</v>
      </c>
      <c r="AC68">
        <v>3.1334646638758901E-2</v>
      </c>
      <c r="AD68">
        <v>2.8391167192429002E-2</v>
      </c>
      <c r="AE68">
        <v>2.6356871520008301E-2</v>
      </c>
      <c r="AF68">
        <v>2.33816622421891E-2</v>
      </c>
      <c r="AG68">
        <v>1.9131450127992101E-2</v>
      </c>
      <c r="AH68">
        <v>1.5242631735635601E-2</v>
      </c>
      <c r="AI68">
        <v>1.3471748949996001E-2</v>
      </c>
      <c r="AJ68">
        <v>9.8999361294443301E-3</v>
      </c>
      <c r="AK68">
        <v>8.3234244946492307E-3</v>
      </c>
      <c r="AL68">
        <v>9.0909090909090905E-3</v>
      </c>
      <c r="AM68">
        <v>8.7540122556171596E-3</v>
      </c>
      <c r="AN68">
        <v>1.0980073200487999E-2</v>
      </c>
      <c r="AO68">
        <v>1.47392290249433E-2</v>
      </c>
      <c r="AP68">
        <v>2.0292207792207799E-2</v>
      </c>
      <c r="AQ68">
        <v>2.5761124121779898E-2</v>
      </c>
      <c r="AR68">
        <v>3.3898305084745797E-2</v>
      </c>
      <c r="AS68">
        <v>4.4665012406947903E-2</v>
      </c>
      <c r="AT68">
        <v>7.2340425531914901E-2</v>
      </c>
      <c r="AU68">
        <v>5.6737588652482303E-2</v>
      </c>
      <c r="AV68">
        <v>8.5365853658536606E-2</v>
      </c>
      <c r="AW68">
        <v>0.11764705882352899</v>
      </c>
      <c r="AX68">
        <v>0.17647058823529399</v>
      </c>
      <c r="AY68">
        <v>0.3</v>
      </c>
      <c r="AZ68">
        <v>0.5</v>
      </c>
      <c r="BA68">
        <v>377383</v>
      </c>
    </row>
    <row r="69" spans="1:53">
      <c r="A69" t="s">
        <v>108</v>
      </c>
      <c r="B69" t="s">
        <v>52</v>
      </c>
      <c r="C69" s="1">
        <v>7.6071750875425704E-5</v>
      </c>
      <c r="D69" s="1">
        <v>7.6071811790330104E-5</v>
      </c>
      <c r="E69" s="1">
        <v>7.6072177281804999E-5</v>
      </c>
      <c r="F69" s="1">
        <v>7.60727255256025E-5</v>
      </c>
      <c r="G69" s="1">
        <v>7.6077233607558397E-5</v>
      </c>
      <c r="H69" s="1">
        <v>7.6098623816466096E-5</v>
      </c>
      <c r="I69" s="1">
        <v>7.6159569530079402E-5</v>
      </c>
      <c r="J69" s="1">
        <v>7.6321036809234402E-5</v>
      </c>
      <c r="K69" s="1">
        <v>7.6730722011863402E-5</v>
      </c>
      <c r="L69" s="1">
        <v>7.7572297381159203E-5</v>
      </c>
      <c r="M69" s="1">
        <v>7.9180523258236894E-5</v>
      </c>
      <c r="N69" s="1">
        <v>8.1942679801647004E-5</v>
      </c>
      <c r="O69" s="1">
        <v>8.6410219327328307E-5</v>
      </c>
      <c r="P69" s="1">
        <v>9.3322802591819798E-5</v>
      </c>
      <c r="Q69">
        <v>1.03654644546402E-4</v>
      </c>
      <c r="R69">
        <v>1.2190255238281E-4</v>
      </c>
      <c r="S69">
        <v>1.47237572522336E-4</v>
      </c>
      <c r="T69">
        <v>1.8122865146184499E-4</v>
      </c>
      <c r="U69">
        <v>2.25006750202506E-4</v>
      </c>
      <c r="V69">
        <v>2.6383798440495003E-4</v>
      </c>
      <c r="W69">
        <v>3.2808267683456202E-4</v>
      </c>
      <c r="X69">
        <v>3.7977782996946802E-4</v>
      </c>
      <c r="Y69">
        <v>4.5224200522866098E-4</v>
      </c>
      <c r="Z69">
        <v>4.9198979121183202E-4</v>
      </c>
      <c r="AA69">
        <v>5.4914881933003801E-4</v>
      </c>
      <c r="AB69">
        <v>5.2155982776396403E-4</v>
      </c>
      <c r="AC69">
        <v>4.4631864072888501E-4</v>
      </c>
      <c r="AD69">
        <v>3.7934752226170999E-4</v>
      </c>
      <c r="AE69">
        <v>1.56111776031639E-4</v>
      </c>
      <c r="AF69" s="1">
        <v>3.4034442856170402E-5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5388</v>
      </c>
    </row>
    <row r="70" spans="1:53">
      <c r="A70" t="s">
        <v>108</v>
      </c>
      <c r="B70" t="s">
        <v>53</v>
      </c>
      <c r="C70">
        <v>1.9538428645898801E-3</v>
      </c>
      <c r="D70">
        <v>1.95384442914111E-3</v>
      </c>
      <c r="E70">
        <v>1.9538538165011E-3</v>
      </c>
      <c r="F70">
        <v>1.9538678977102102E-3</v>
      </c>
      <c r="G70">
        <v>1.95398368423624E-3</v>
      </c>
      <c r="H70">
        <v>1.95453307486503E-3</v>
      </c>
      <c r="I70">
        <v>1.9560984174041502E-3</v>
      </c>
      <c r="J70">
        <v>1.96024557699507E-3</v>
      </c>
      <c r="K70">
        <v>1.9707680179889102E-3</v>
      </c>
      <c r="L70">
        <v>1.9915666664489201E-3</v>
      </c>
      <c r="M70">
        <v>2.0328557497562099E-3</v>
      </c>
      <c r="N70">
        <v>2.1020453755432999E-3</v>
      </c>
      <c r="O70">
        <v>2.2002770584505999E-3</v>
      </c>
      <c r="P70">
        <v>2.3635227687991401E-3</v>
      </c>
      <c r="Q70">
        <v>2.56954408322922E-3</v>
      </c>
      <c r="R70">
        <v>2.8935816381393301E-3</v>
      </c>
      <c r="S70">
        <v>3.3175444532160402E-3</v>
      </c>
      <c r="T70">
        <v>3.88262686990541E-3</v>
      </c>
      <c r="U70">
        <v>4.3551306539196203E-3</v>
      </c>
      <c r="V70">
        <v>4.7077596976353104E-3</v>
      </c>
      <c r="W70">
        <v>4.9972593093459599E-3</v>
      </c>
      <c r="X70">
        <v>5.2169480853700599E-3</v>
      </c>
      <c r="Y70">
        <v>5.1667100323383999E-3</v>
      </c>
      <c r="Z70">
        <v>5.0582700408966499E-3</v>
      </c>
      <c r="AA70">
        <v>4.8363632860294603E-3</v>
      </c>
      <c r="AB70">
        <v>4.0633149372308799E-3</v>
      </c>
      <c r="AC70">
        <v>3.3089140605762099E-3</v>
      </c>
      <c r="AD70">
        <v>2.19622249730464E-3</v>
      </c>
      <c r="AE70">
        <v>1.7692667950252399E-3</v>
      </c>
      <c r="AF70">
        <v>1.4975154856715E-3</v>
      </c>
      <c r="AG70">
        <v>1.1676471909103201E-3</v>
      </c>
      <c r="AH70">
        <v>1.19083060434653E-3</v>
      </c>
      <c r="AI70">
        <v>1.5849116411759999E-3</v>
      </c>
      <c r="AJ70">
        <v>1.91611667021503E-3</v>
      </c>
      <c r="AK70">
        <v>2.0808561236623098E-3</v>
      </c>
      <c r="AL70">
        <v>2.6859504132231401E-3</v>
      </c>
      <c r="AM70">
        <v>3.20980449372629E-3</v>
      </c>
      <c r="AN70">
        <v>4.4733631557543696E-3</v>
      </c>
      <c r="AO70">
        <v>5.1020408163265302E-3</v>
      </c>
      <c r="AP70">
        <v>4.87012987012987E-3</v>
      </c>
      <c r="AQ70">
        <v>5.8548009367681503E-3</v>
      </c>
      <c r="AR70">
        <v>8.4745762711864406E-3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137102</v>
      </c>
    </row>
    <row r="71" spans="1:53">
      <c r="A71" t="s">
        <v>108</v>
      </c>
      <c r="B71" t="s">
        <v>54</v>
      </c>
      <c r="C71">
        <v>6.46369655859407E-3</v>
      </c>
      <c r="D71">
        <v>6.4637017344373101E-3</v>
      </c>
      <c r="E71">
        <v>6.4637327896708398E-3</v>
      </c>
      <c r="F71">
        <v>6.4637793730806699E-3</v>
      </c>
      <c r="G71">
        <v>6.46416241768644E-3</v>
      </c>
      <c r="H71">
        <v>6.4659799099633097E-3</v>
      </c>
      <c r="I71">
        <v>6.4711583710189598E-3</v>
      </c>
      <c r="J71">
        <v>6.4848779907804204E-3</v>
      </c>
      <c r="K71">
        <v>6.5196882955764297E-3</v>
      </c>
      <c r="L71">
        <v>6.5854797724110396E-3</v>
      </c>
      <c r="M71">
        <v>6.72034272664383E-3</v>
      </c>
      <c r="N71">
        <v>6.95218946527657E-3</v>
      </c>
      <c r="O71">
        <v>7.3284961802135198E-3</v>
      </c>
      <c r="P71">
        <v>7.8892150275253203E-3</v>
      </c>
      <c r="Q71">
        <v>8.7440875936301496E-3</v>
      </c>
      <c r="R71">
        <v>1.0200035672536399E-2</v>
      </c>
      <c r="S71">
        <v>1.2338195305940901E-2</v>
      </c>
      <c r="T71">
        <v>1.5181839313222201E-2</v>
      </c>
      <c r="U71">
        <v>1.8645559366781E-2</v>
      </c>
      <c r="V71">
        <v>2.2505697946831899E-2</v>
      </c>
      <c r="W71">
        <v>2.67107311042383E-2</v>
      </c>
      <c r="X71">
        <v>3.0132372562051198E-2</v>
      </c>
      <c r="Y71">
        <v>3.3478298578845003E-2</v>
      </c>
      <c r="Z71">
        <v>3.5646197841394799E-2</v>
      </c>
      <c r="AA71">
        <v>3.7322851334816998E-2</v>
      </c>
      <c r="AB71">
        <v>3.7673600582206299E-2</v>
      </c>
      <c r="AC71">
        <v>3.72599113518838E-2</v>
      </c>
      <c r="AD71">
        <v>3.4081380026354698E-2</v>
      </c>
      <c r="AE71">
        <v>3.0910131654264501E-2</v>
      </c>
      <c r="AF71">
        <v>2.8622966442039301E-2</v>
      </c>
      <c r="AG71">
        <v>2.4340952979745801E-2</v>
      </c>
      <c r="AH71">
        <v>2.2208990771062798E-2</v>
      </c>
      <c r="AI71">
        <v>2.10793248276409E-2</v>
      </c>
      <c r="AJ71">
        <v>1.7883755588673601E-2</v>
      </c>
      <c r="AK71">
        <v>1.53091557669441E-2</v>
      </c>
      <c r="AL71">
        <v>1.3016528925619801E-2</v>
      </c>
      <c r="AM71">
        <v>1.40064196089875E-2</v>
      </c>
      <c r="AN71">
        <v>1.7893452623017499E-2</v>
      </c>
      <c r="AO71">
        <v>2.2675736961451198E-2</v>
      </c>
      <c r="AP71">
        <v>2.5162337662337698E-2</v>
      </c>
      <c r="AQ71">
        <v>2.8103044496487099E-2</v>
      </c>
      <c r="AR71">
        <v>3.7288135593220299E-2</v>
      </c>
      <c r="AS71">
        <v>3.9702233250620299E-2</v>
      </c>
      <c r="AT71">
        <v>6.3829787234042507E-2</v>
      </c>
      <c r="AU71">
        <v>9.9290780141844004E-2</v>
      </c>
      <c r="AV71">
        <v>0.109756097560976</v>
      </c>
      <c r="AW71">
        <v>0.11764705882352899</v>
      </c>
      <c r="AX71">
        <v>0.17647058823529399</v>
      </c>
      <c r="AY71">
        <v>0.3</v>
      </c>
      <c r="AZ71">
        <v>0.5</v>
      </c>
      <c r="BA71">
        <v>331937</v>
      </c>
    </row>
    <row r="72" spans="1:53">
      <c r="A72" t="s">
        <v>59</v>
      </c>
      <c r="B72" t="s">
        <v>12</v>
      </c>
      <c r="C72">
        <v>1.2904171214289301E-2</v>
      </c>
      <c r="D72">
        <v>1.29041815473807E-2</v>
      </c>
      <c r="E72">
        <v>1.29042435462767E-2</v>
      </c>
      <c r="F72">
        <v>1.29043365457377E-2</v>
      </c>
      <c r="G72">
        <v>1.29051012587979E-2</v>
      </c>
      <c r="H72">
        <v>1.2908729713709001E-2</v>
      </c>
      <c r="I72">
        <v>1.29190680313393E-2</v>
      </c>
      <c r="J72">
        <v>1.2941637704841601E-2</v>
      </c>
      <c r="K72">
        <v>1.29925304661351E-2</v>
      </c>
      <c r="L72">
        <v>1.3108901706917199E-2</v>
      </c>
      <c r="M72">
        <v>1.3345668825377801E-2</v>
      </c>
      <c r="N72">
        <v>1.3742218679998299E-2</v>
      </c>
      <c r="O72">
        <v>1.43386389208E-2</v>
      </c>
      <c r="P72">
        <v>1.52892221004114E-2</v>
      </c>
      <c r="Q72">
        <v>1.65727410106873E-2</v>
      </c>
      <c r="R72">
        <v>1.8690869242189601E-2</v>
      </c>
      <c r="S72">
        <v>2.1592233374685198E-2</v>
      </c>
      <c r="T72">
        <v>2.5458685777096601E-2</v>
      </c>
      <c r="U72">
        <v>2.9803394101823099E-2</v>
      </c>
      <c r="V72">
        <v>3.4766217294420899E-2</v>
      </c>
      <c r="W72">
        <v>4.0058094639849197E-2</v>
      </c>
      <c r="X72">
        <v>4.5353468221090702E-2</v>
      </c>
      <c r="Y72">
        <v>5.1270614181813702E-2</v>
      </c>
      <c r="Z72">
        <v>5.6886319608868099E-2</v>
      </c>
      <c r="AA72">
        <v>6.32484561210825E-2</v>
      </c>
      <c r="AB72">
        <v>7.11504639456607E-2</v>
      </c>
      <c r="AC72">
        <v>7.9229253878355096E-2</v>
      </c>
      <c r="AD72">
        <v>8.9166633390568198E-2</v>
      </c>
      <c r="AE72">
        <v>0.100535983764375</v>
      </c>
      <c r="AF72">
        <v>0.114083452453883</v>
      </c>
      <c r="AG72">
        <v>0.12668972021376901</v>
      </c>
      <c r="AH72">
        <v>0.13914855611789201</v>
      </c>
      <c r="AI72">
        <v>0.15127981615024999</v>
      </c>
      <c r="AJ72">
        <v>0.16318926974664699</v>
      </c>
      <c r="AK72">
        <v>0.17954815695600501</v>
      </c>
      <c r="AL72">
        <v>0.198760330578512</v>
      </c>
      <c r="AM72">
        <v>0.204843886781442</v>
      </c>
      <c r="AN72">
        <v>0.21106140707604701</v>
      </c>
      <c r="AO72">
        <v>0.23129251700680301</v>
      </c>
      <c r="AP72">
        <v>0.25162337662337703</v>
      </c>
      <c r="AQ72">
        <v>0.27634660421545698</v>
      </c>
      <c r="AR72">
        <v>0.33389830508474599</v>
      </c>
      <c r="AS72">
        <v>0.35235732009925602</v>
      </c>
      <c r="AT72">
        <v>0.41702127659574501</v>
      </c>
      <c r="AU72">
        <v>0.46099290780141799</v>
      </c>
      <c r="AV72">
        <v>0.439024390243902</v>
      </c>
      <c r="AW72">
        <v>0.29411764705882398</v>
      </c>
      <c r="AX72">
        <v>0.17647058823529399</v>
      </c>
      <c r="AY72">
        <v>0.3</v>
      </c>
      <c r="AZ72">
        <v>0.5</v>
      </c>
      <c r="BA72">
        <v>755727</v>
      </c>
    </row>
    <row r="73" spans="1:53">
      <c r="A73" t="s">
        <v>118</v>
      </c>
      <c r="B73" t="s">
        <v>51</v>
      </c>
      <c r="C73">
        <v>7.0786766077764497E-3</v>
      </c>
      <c r="D73">
        <v>7.07868227606861E-3</v>
      </c>
      <c r="E73">
        <v>7.0787162860121702E-3</v>
      </c>
      <c r="F73">
        <v>7.0787673015402699E-3</v>
      </c>
      <c r="G73">
        <v>7.0791867904296396E-3</v>
      </c>
      <c r="H73">
        <v>7.0803761675130999E-3</v>
      </c>
      <c r="I73">
        <v>7.0844433256559104E-3</v>
      </c>
      <c r="J73">
        <v>7.0946429059194601E-3</v>
      </c>
      <c r="K73">
        <v>7.1254571535648301E-3</v>
      </c>
      <c r="L73">
        <v>7.1889105909865901E-3</v>
      </c>
      <c r="M73">
        <v>7.2904424941031302E-3</v>
      </c>
      <c r="N73">
        <v>7.4800728341040297E-3</v>
      </c>
      <c r="O73">
        <v>7.8233083835194794E-3</v>
      </c>
      <c r="P73">
        <v>8.3342174440947294E-3</v>
      </c>
      <c r="Q73">
        <v>9.0626892379201407E-3</v>
      </c>
      <c r="R73">
        <v>1.03399028115861E-2</v>
      </c>
      <c r="S73">
        <v>1.2195656804882E-2</v>
      </c>
      <c r="T73">
        <v>1.4768165217494101E-2</v>
      </c>
      <c r="U73">
        <v>1.7990539716191498E-2</v>
      </c>
      <c r="V73">
        <v>2.1542530365208999E-2</v>
      </c>
      <c r="W73">
        <v>2.5770494164529499E-2</v>
      </c>
      <c r="X73">
        <v>2.99174982635158E-2</v>
      </c>
      <c r="Y73">
        <v>3.4475709028732898E-2</v>
      </c>
      <c r="Z73">
        <v>3.9351495956458898E-2</v>
      </c>
      <c r="AA73">
        <v>4.53192288794474E-2</v>
      </c>
      <c r="AB73">
        <v>5.1719328036873097E-2</v>
      </c>
      <c r="AC73">
        <v>5.8467741935483902E-2</v>
      </c>
      <c r="AD73">
        <v>6.5667052669408602E-2</v>
      </c>
      <c r="AE73">
        <v>7.5532080969974505E-2</v>
      </c>
      <c r="AF73">
        <v>8.3282281669049094E-2</v>
      </c>
      <c r="AG73">
        <v>9.0043562222122397E-2</v>
      </c>
      <c r="AH73">
        <v>9.7588568026198294E-2</v>
      </c>
      <c r="AI73">
        <v>0.103732466914969</v>
      </c>
      <c r="AJ73">
        <v>0.11294443261656401</v>
      </c>
      <c r="AK73">
        <v>0.12128418549346</v>
      </c>
      <c r="AL73">
        <v>0.12933884297520701</v>
      </c>
      <c r="AM73">
        <v>0.138313393638751</v>
      </c>
      <c r="AN73">
        <v>0.14192761285075201</v>
      </c>
      <c r="AO73">
        <v>0.13718820861677999</v>
      </c>
      <c r="AP73">
        <v>0.13311688311688299</v>
      </c>
      <c r="AQ73">
        <v>0.137002341920375</v>
      </c>
      <c r="AR73">
        <v>0.13559322033898299</v>
      </c>
      <c r="AS73">
        <v>0.158808933002481</v>
      </c>
      <c r="AT73">
        <v>0.195744680851064</v>
      </c>
      <c r="AU73">
        <v>0.26241134751772999</v>
      </c>
      <c r="AV73">
        <v>0.18292682926829301</v>
      </c>
      <c r="AW73">
        <v>0.25490196078431399</v>
      </c>
      <c r="AX73">
        <v>0.38235294117647101</v>
      </c>
      <c r="AY73">
        <v>0.65</v>
      </c>
      <c r="AZ73">
        <v>0.5</v>
      </c>
      <c r="BA73">
        <v>386725</v>
      </c>
    </row>
  </sheetData>
  <sortState ref="A4:BA73">
    <sortCondition ref="A5:A73"/>
  </sortState>
  <phoneticPr fontId="19" type="noConversion"/>
  <pageMargins left="0.75" right="0.75" top="1" bottom="1" header="0.5" footer="0.5"/>
  <drawing r:id="rId1"/>
  <extLst>
    <ext xmlns:mx="http://schemas.microsoft.com/office/mac/excel/2008/main" uri="http://schemas.microsoft.com/office/mac/excel/2008/main">
      <mx:PLV Mode="0" OnePage="0" WScale="0"/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mv="urn:schemas-microsoft-com:mac:vml" mc:Ignorable="mv" mc:PreserveAttributes="mv:*">
  <dimension ref="A1:BA73"/>
  <sheetViews>
    <sheetView workbookViewId="0">
      <pane xSplit="2" ySplit="4" topLeftCell="C5" activePane="bottomRight" state="frozen"/>
      <selection pane="topRight" activeCell="C1" sqref="C1"/>
      <selection pane="bottomLeft" activeCell="A5" sqref="A5"/>
      <selection pane="bottomRight" activeCell="C4" sqref="C4:AZ4"/>
    </sheetView>
  </sheetViews>
  <sheetFormatPr baseColWidth="10" defaultColWidth="8.625" defaultRowHeight="15"/>
  <cols>
    <col min="1" max="1" width="22.75" customWidth="1"/>
    <col min="2" max="2" width="21" customWidth="1"/>
  </cols>
  <sheetData>
    <row r="1" spans="1:53">
      <c r="B1" s="3" t="s">
        <v>60</v>
      </c>
      <c r="C1">
        <f>-1.8240070434831+(0*((5.11073564785347--1.8240070434831)/50))</f>
        <v>-1.8240070434830999</v>
      </c>
      <c r="D1">
        <f>-1.8240070434831+(1*((5.11073564785347--1.8240070434831)/50))</f>
        <v>-1.6853121896563685</v>
      </c>
      <c r="E1">
        <f>-1.8240070434831+(2*((5.11073564785347--1.8240070434831)/50))</f>
        <v>-1.5466173358296371</v>
      </c>
      <c r="F1">
        <f>-1.8240070434831+(3*((5.11073564785347--1.8240070434831)/50))</f>
        <v>-1.4079224820029057</v>
      </c>
      <c r="G1">
        <f>-1.8240070434831+(4*((5.11073564785347--1.8240070434831)/50))</f>
        <v>-1.2692276281761745</v>
      </c>
      <c r="H1">
        <f>-1.8240070434831+(5*((5.11073564785347--1.8240070434831)/50))</f>
        <v>-1.1305327743494429</v>
      </c>
      <c r="I1">
        <f>-1.8240070434831+(6*((5.11073564785347--1.8240070434831)/50))</f>
        <v>-0.99183792052271169</v>
      </c>
      <c r="J1">
        <f>-1.8240070434831+(7*((5.11073564785347--1.8240070434831)/50))</f>
        <v>-0.85314306669598028</v>
      </c>
      <c r="K1">
        <f>-1.8240070434831+(8*((5.11073564785347--1.8240070434831)/50))</f>
        <v>-0.71444821286924887</v>
      </c>
      <c r="L1">
        <f>-1.8240070434831+(9*((5.11073564785347--1.8240070434831)/50))</f>
        <v>-0.57575335904251745</v>
      </c>
      <c r="M1">
        <f>-1.8240070434831+(10*((5.11073564785347--1.8240070434831)/50))</f>
        <v>-0.43705850521578604</v>
      </c>
      <c r="N1">
        <f>-1.8240070434831+(11*((5.11073564785347--1.8240070434831)/50))</f>
        <v>-0.29836365138905463</v>
      </c>
      <c r="O1">
        <f>-1.8240070434831+(12*((5.11073564785347--1.8240070434831)/50))</f>
        <v>-0.15966879756232344</v>
      </c>
      <c r="P1">
        <f>-1.8240070434831+(13*((5.11073564785347--1.8240070434831)/50))</f>
        <v>-2.0973943735592027E-2</v>
      </c>
      <c r="Q1">
        <f>-1.8240070434831+(14*((5.11073564785347--1.8240070434831)/50))</f>
        <v>0.11772091009113939</v>
      </c>
      <c r="R1">
        <f>-1.8240070434831+(15*((5.11073564785347--1.8240070434831)/50))</f>
        <v>0.25641576391787102</v>
      </c>
      <c r="S1">
        <f>-1.8240070434831+(16*((5.11073564785347--1.8240070434831)/50))</f>
        <v>0.39511061774460221</v>
      </c>
      <c r="T1">
        <f>-1.8240070434831+(17*((5.11073564785347--1.8240070434831)/50))</f>
        <v>0.5338054715713334</v>
      </c>
      <c r="U1">
        <f>-1.8240070434831+(18*((5.11073564785347--1.8240070434831)/50))</f>
        <v>0.67250032539806504</v>
      </c>
      <c r="V1">
        <f>-1.8240070434831+(19*((5.11073564785347--1.8240070434831)/50))</f>
        <v>0.81119517922479623</v>
      </c>
      <c r="W1">
        <f>-1.8240070434831+(20*((5.11073564785347--1.8240070434831)/50))</f>
        <v>0.94989003305152786</v>
      </c>
      <c r="X1">
        <f>-1.8240070434831+(21*((5.11073564785347--1.8240070434831)/50))</f>
        <v>1.0885848868782591</v>
      </c>
      <c r="Y1">
        <f>-1.8240070434831+(22*((5.11073564785347--1.8240070434831)/50))</f>
        <v>1.2272797407049907</v>
      </c>
      <c r="Z1">
        <f>-1.8240070434831+(23*((5.11073564785347--1.8240070434831)/50))</f>
        <v>1.3659745945317219</v>
      </c>
      <c r="AA1">
        <f>-1.8240070434831+(24*((5.11073564785347--1.8240070434831)/50))</f>
        <v>1.5046694483584531</v>
      </c>
      <c r="AB1">
        <f>-1.8240070434831+(25*((5.11073564785347--1.8240070434831)/50))</f>
        <v>1.6433643021851847</v>
      </c>
      <c r="AC1">
        <f>-1.8240070434831+(26*((5.11073564785347--1.8240070434831)/50))</f>
        <v>1.7820591560119159</v>
      </c>
      <c r="AD1">
        <f>-1.8240070434831+(27*((5.11073564785347--1.8240070434831)/50))</f>
        <v>1.9207540098386475</v>
      </c>
      <c r="AE1">
        <f>-1.8240070434831+(28*((5.11073564785347--1.8240070434831)/50))</f>
        <v>2.0594488636653789</v>
      </c>
      <c r="AF1">
        <f>-1.8240070434831+(29*((5.11073564785347--1.8240070434831)/50))</f>
        <v>2.1981437174921101</v>
      </c>
      <c r="AG1">
        <f>-1.8240070434831+(30*((5.11073564785347--1.8240070434831)/50))</f>
        <v>2.3368385713188422</v>
      </c>
      <c r="AH1">
        <f>-1.8240070434831+(31*((5.11073564785347--1.8240070434831)/50))</f>
        <v>2.4755334251455734</v>
      </c>
      <c r="AI1">
        <f>-1.8240070434831+(32*((5.11073564785347--1.8240070434831)/50))</f>
        <v>2.6142282789723046</v>
      </c>
      <c r="AJ1">
        <f>-1.8240070434831+(33*((5.11073564785347--1.8240070434831)/50))</f>
        <v>2.7529231327990358</v>
      </c>
      <c r="AK1">
        <f>-1.8240070434831+(34*((5.11073564785347--1.8240070434831)/50))</f>
        <v>2.891617986625767</v>
      </c>
      <c r="AL1">
        <f>-1.8240070434831+(35*((5.11073564785347--1.8240070434831)/50))</f>
        <v>3.030312840452499</v>
      </c>
      <c r="AM1">
        <f>-1.8240070434831+(36*((5.11073564785347--1.8240070434831)/50))</f>
        <v>3.1690076942792302</v>
      </c>
      <c r="AN1">
        <f>-1.8240070434831+(37*((5.11073564785347--1.8240070434831)/50))</f>
        <v>3.3077025481059614</v>
      </c>
      <c r="AO1">
        <f>-1.8240070434831+(38*((5.11073564785347--1.8240070434831)/50))</f>
        <v>3.4463974019326926</v>
      </c>
      <c r="AP1">
        <f>-1.8240070434831+(39*((5.11073564785347--1.8240070434831)/50))</f>
        <v>3.5850922557594247</v>
      </c>
      <c r="AQ1">
        <f>-1.8240070434831+(40*((5.11073564785347--1.8240070434831)/50))</f>
        <v>3.7237871095861559</v>
      </c>
      <c r="AR1">
        <f>-1.8240070434831+(41*((5.11073564785347--1.8240070434831)/50))</f>
        <v>3.8624819634128871</v>
      </c>
      <c r="AS1">
        <f>-1.8240070434831+(42*((5.11073564785347--1.8240070434831)/50))</f>
        <v>4.0011768172396183</v>
      </c>
      <c r="AT1">
        <f>-1.8240070434831+(43*((5.11073564785347--1.8240070434831)/50))</f>
        <v>4.1398716710663495</v>
      </c>
      <c r="AU1">
        <f>-1.8240070434831+(44*((5.11073564785347--1.8240070434831)/50))</f>
        <v>4.2785665248930815</v>
      </c>
      <c r="AV1">
        <f>-1.8240070434831+(45*((5.11073564785347--1.8240070434831)/50))</f>
        <v>4.4172613787198127</v>
      </c>
      <c r="AW1">
        <f>-1.8240070434831+(46*((5.11073564785347--1.8240070434831)/50))</f>
        <v>4.5559562325465439</v>
      </c>
      <c r="AX1">
        <f>-1.8240070434831+(47*((5.11073564785347--1.8240070434831)/50))</f>
        <v>4.6946510863732751</v>
      </c>
      <c r="AY1">
        <f>-1.8240070434831+(48*((5.11073564785347--1.8240070434831)/50))</f>
        <v>4.8333459402000063</v>
      </c>
      <c r="AZ1">
        <f>-1.8240070434831+(49*((5.11073564785347--1.8240070434831)/50))</f>
        <v>4.9720407940267384</v>
      </c>
    </row>
    <row r="2" spans="1:53">
      <c r="B2" s="4" t="s">
        <v>61</v>
      </c>
      <c r="C2">
        <v>1086317</v>
      </c>
      <c r="D2">
        <v>1086312</v>
      </c>
      <c r="E2">
        <v>1086014</v>
      </c>
      <c r="F2">
        <v>1085856</v>
      </c>
      <c r="G2">
        <v>1085302</v>
      </c>
      <c r="H2">
        <v>1083721</v>
      </c>
      <c r="I2">
        <v>1080123</v>
      </c>
      <c r="J2">
        <v>1071765</v>
      </c>
      <c r="K2">
        <v>1054453</v>
      </c>
      <c r="L2">
        <v>1024713</v>
      </c>
      <c r="M2">
        <v>978693</v>
      </c>
      <c r="N2">
        <v>914230</v>
      </c>
      <c r="O2">
        <v>833867</v>
      </c>
      <c r="P2">
        <v>740229</v>
      </c>
      <c r="Q2">
        <v>626643</v>
      </c>
      <c r="R2">
        <v>510332</v>
      </c>
      <c r="S2">
        <v>407227</v>
      </c>
      <c r="T2">
        <v>323184</v>
      </c>
      <c r="U2">
        <v>255441</v>
      </c>
      <c r="V2">
        <v>203515</v>
      </c>
      <c r="W2">
        <v>162242</v>
      </c>
      <c r="X2">
        <v>129954</v>
      </c>
      <c r="Y2">
        <v>105157</v>
      </c>
      <c r="Z2">
        <v>85151</v>
      </c>
      <c r="AA2">
        <v>69195</v>
      </c>
      <c r="AB2">
        <v>56002</v>
      </c>
      <c r="AC2">
        <v>45674</v>
      </c>
      <c r="AD2">
        <v>37019</v>
      </c>
      <c r="AE2">
        <v>29865</v>
      </c>
      <c r="AF2">
        <v>23878</v>
      </c>
      <c r="AG2">
        <v>18984</v>
      </c>
      <c r="AH2">
        <v>14921</v>
      </c>
      <c r="AI2">
        <v>11538</v>
      </c>
      <c r="AJ2">
        <v>8855</v>
      </c>
      <c r="AK2">
        <v>6570</v>
      </c>
      <c r="AL2">
        <v>4888</v>
      </c>
      <c r="AM2">
        <v>3545</v>
      </c>
      <c r="AN2">
        <v>2541</v>
      </c>
      <c r="AO2">
        <v>1733</v>
      </c>
      <c r="AP2">
        <v>1101</v>
      </c>
      <c r="AQ2">
        <v>696</v>
      </c>
      <c r="AR2">
        <v>432</v>
      </c>
      <c r="AS2">
        <v>234</v>
      </c>
      <c r="AT2">
        <v>141</v>
      </c>
      <c r="AU2">
        <v>100</v>
      </c>
      <c r="AV2">
        <v>45</v>
      </c>
      <c r="AW2">
        <v>23</v>
      </c>
      <c r="AX2">
        <v>12</v>
      </c>
      <c r="AY2">
        <v>5</v>
      </c>
      <c r="AZ2">
        <v>5</v>
      </c>
    </row>
    <row r="4" spans="1:53">
      <c r="A4" s="2" t="s">
        <v>13</v>
      </c>
      <c r="C4" s="5" t="s">
        <v>57</v>
      </c>
      <c r="D4" s="5" t="s">
        <v>57</v>
      </c>
      <c r="E4" s="5" t="s">
        <v>57</v>
      </c>
      <c r="F4" s="5" t="s">
        <v>57</v>
      </c>
      <c r="G4" s="5" t="s">
        <v>57</v>
      </c>
      <c r="H4" s="5" t="s">
        <v>57</v>
      </c>
      <c r="I4" s="5" t="s">
        <v>57</v>
      </c>
      <c r="J4" s="5" t="s">
        <v>57</v>
      </c>
      <c r="K4" s="5" t="s">
        <v>57</v>
      </c>
      <c r="L4" s="5" t="s">
        <v>57</v>
      </c>
      <c r="M4" s="5" t="s">
        <v>57</v>
      </c>
      <c r="N4" s="5" t="s">
        <v>57</v>
      </c>
      <c r="O4" s="5" t="s">
        <v>57</v>
      </c>
      <c r="P4" s="5" t="s">
        <v>57</v>
      </c>
      <c r="Q4" s="5" t="s">
        <v>57</v>
      </c>
      <c r="R4" s="5" t="s">
        <v>57</v>
      </c>
      <c r="S4" s="5" t="s">
        <v>57</v>
      </c>
      <c r="T4" s="5" t="s">
        <v>57</v>
      </c>
      <c r="U4" s="5" t="s">
        <v>57</v>
      </c>
      <c r="V4" s="5" t="s">
        <v>57</v>
      </c>
      <c r="W4" s="5" t="s">
        <v>57</v>
      </c>
      <c r="X4" s="5" t="s">
        <v>57</v>
      </c>
      <c r="Y4" s="5" t="s">
        <v>57</v>
      </c>
      <c r="Z4" s="5" t="s">
        <v>57</v>
      </c>
      <c r="AA4" s="5" t="s">
        <v>57</v>
      </c>
      <c r="AB4" s="5" t="s">
        <v>57</v>
      </c>
      <c r="AC4" s="5" t="s">
        <v>57</v>
      </c>
      <c r="AD4" s="5" t="s">
        <v>57</v>
      </c>
      <c r="AE4" s="5" t="s">
        <v>57</v>
      </c>
      <c r="AF4" s="5" t="s">
        <v>57</v>
      </c>
      <c r="AG4" s="5" t="s">
        <v>57</v>
      </c>
      <c r="AH4" s="5" t="s">
        <v>57</v>
      </c>
      <c r="AI4" s="5" t="s">
        <v>57</v>
      </c>
      <c r="AJ4" s="5" t="s">
        <v>57</v>
      </c>
      <c r="AK4" s="5" t="s">
        <v>57</v>
      </c>
      <c r="AL4" s="5" t="s">
        <v>57</v>
      </c>
      <c r="AM4" s="5" t="s">
        <v>57</v>
      </c>
      <c r="AN4" s="5" t="s">
        <v>57</v>
      </c>
      <c r="AO4" s="5" t="s">
        <v>57</v>
      </c>
      <c r="AP4" s="5" t="s">
        <v>57</v>
      </c>
      <c r="AQ4" s="5" t="s">
        <v>57</v>
      </c>
      <c r="AR4" s="5" t="s">
        <v>57</v>
      </c>
      <c r="AS4" s="5" t="s">
        <v>57</v>
      </c>
      <c r="AT4" s="5" t="s">
        <v>57</v>
      </c>
      <c r="AU4" s="5" t="s">
        <v>57</v>
      </c>
      <c r="AV4" s="5" t="s">
        <v>57</v>
      </c>
      <c r="AW4" s="5" t="s">
        <v>57</v>
      </c>
      <c r="AX4" s="5" t="s">
        <v>57</v>
      </c>
      <c r="AY4" s="5" t="s">
        <v>57</v>
      </c>
      <c r="AZ4" s="5" t="s">
        <v>57</v>
      </c>
      <c r="BA4" t="s">
        <v>130</v>
      </c>
    </row>
    <row r="5" spans="1:53">
      <c r="A5" t="s">
        <v>14</v>
      </c>
      <c r="B5" t="s">
        <v>131</v>
      </c>
      <c r="C5">
        <v>1.22643758681858E-2</v>
      </c>
      <c r="D5">
        <v>1.22644323177872E-2</v>
      </c>
      <c r="E5">
        <v>1.2267797652700601E-2</v>
      </c>
      <c r="F5">
        <v>1.22695827070993E-2</v>
      </c>
      <c r="G5">
        <v>1.22758458014451E-2</v>
      </c>
      <c r="H5">
        <v>1.2293754573363401E-2</v>
      </c>
      <c r="I5">
        <v>1.2334706325113E-2</v>
      </c>
      <c r="J5">
        <v>1.2430896698436699E-2</v>
      </c>
      <c r="K5">
        <v>1.26340386911508E-2</v>
      </c>
      <c r="L5">
        <v>1.29929063064487E-2</v>
      </c>
      <c r="M5">
        <v>1.35895525971883E-2</v>
      </c>
      <c r="N5">
        <v>1.4486507771567301E-2</v>
      </c>
      <c r="O5">
        <v>1.5826264859983698E-2</v>
      </c>
      <c r="P5">
        <v>1.7716139194762701E-2</v>
      </c>
      <c r="Q5">
        <v>2.0664078271041102E-2</v>
      </c>
      <c r="R5">
        <v>2.4764271101949301E-2</v>
      </c>
      <c r="S5">
        <v>2.9966087710294301E-2</v>
      </c>
      <c r="T5">
        <v>3.6066141888212298E-2</v>
      </c>
      <c r="U5">
        <v>4.3203714360654698E-2</v>
      </c>
      <c r="V5">
        <v>5.1205070879296398E-2</v>
      </c>
      <c r="W5">
        <v>5.9830376844466897E-2</v>
      </c>
      <c r="X5">
        <v>6.9547686104313805E-2</v>
      </c>
      <c r="Y5">
        <v>7.9367041661515605E-2</v>
      </c>
      <c r="Z5">
        <v>8.9417622811241201E-2</v>
      </c>
      <c r="AA5">
        <v>0.100296264180938</v>
      </c>
      <c r="AB5">
        <v>0.112299560729974</v>
      </c>
      <c r="AC5">
        <v>0.124709900599904</v>
      </c>
      <c r="AD5">
        <v>0.13709176368891701</v>
      </c>
      <c r="AE5">
        <v>0.149405658797924</v>
      </c>
      <c r="AF5">
        <v>0.162157634642767</v>
      </c>
      <c r="AG5">
        <v>0.17825537294563801</v>
      </c>
      <c r="AH5">
        <v>0.19455800549561</v>
      </c>
      <c r="AI5">
        <v>0.209221702201421</v>
      </c>
      <c r="AJ5">
        <v>0.21501976284585</v>
      </c>
      <c r="AK5">
        <v>0.22663622526636201</v>
      </c>
      <c r="AL5">
        <v>0.24856792144026199</v>
      </c>
      <c r="AM5">
        <v>0.25895627644569802</v>
      </c>
      <c r="AN5">
        <v>0.28374655647382901</v>
      </c>
      <c r="AO5">
        <v>0.26601269474898998</v>
      </c>
      <c r="AP5">
        <v>0.26158038147139001</v>
      </c>
      <c r="AQ5">
        <v>0.25143678160919503</v>
      </c>
      <c r="AR5">
        <v>0.226851851851852</v>
      </c>
      <c r="AS5">
        <v>0.21794871794871801</v>
      </c>
      <c r="AT5">
        <v>0.184397163120567</v>
      </c>
      <c r="AU5">
        <v>0.18</v>
      </c>
      <c r="AV5">
        <v>0</v>
      </c>
      <c r="AW5">
        <v>0</v>
      </c>
      <c r="AX5">
        <v>0</v>
      </c>
      <c r="AY5">
        <v>0</v>
      </c>
      <c r="AZ5">
        <v>0</v>
      </c>
      <c r="BA5">
        <v>559369</v>
      </c>
    </row>
    <row r="6" spans="1:53">
      <c r="A6" t="s">
        <v>14</v>
      </c>
      <c r="B6" t="s">
        <v>132</v>
      </c>
      <c r="C6">
        <v>1.2514763186068201E-2</v>
      </c>
      <c r="D6">
        <v>1.25148207881345E-2</v>
      </c>
      <c r="E6">
        <v>1.25182548291274E-2</v>
      </c>
      <c r="F6">
        <v>1.25200763268794E-2</v>
      </c>
      <c r="G6">
        <v>1.2526467287446301E-2</v>
      </c>
      <c r="H6">
        <v>1.2544741681669001E-2</v>
      </c>
      <c r="I6">
        <v>1.25865294971036E-2</v>
      </c>
      <c r="J6">
        <v>1.26846836759924E-2</v>
      </c>
      <c r="K6">
        <v>1.28919923410527E-2</v>
      </c>
      <c r="L6">
        <v>1.3263225898373501E-2</v>
      </c>
      <c r="M6">
        <v>1.38787137539555E-2</v>
      </c>
      <c r="N6">
        <v>1.48135589512486E-2</v>
      </c>
      <c r="O6">
        <v>1.61788390714586E-2</v>
      </c>
      <c r="P6">
        <v>1.8105207982934999E-2</v>
      </c>
      <c r="Q6">
        <v>2.1085370777300601E-2</v>
      </c>
      <c r="R6">
        <v>2.5220836631839699E-2</v>
      </c>
      <c r="S6">
        <v>3.0567717759382398E-2</v>
      </c>
      <c r="T6">
        <v>3.6737586019109897E-2</v>
      </c>
      <c r="U6">
        <v>4.4080629186387499E-2</v>
      </c>
      <c r="V6">
        <v>5.2197626710561898E-2</v>
      </c>
      <c r="W6">
        <v>6.1001466944441002E-2</v>
      </c>
      <c r="X6">
        <v>7.0624990381211797E-2</v>
      </c>
      <c r="Y6">
        <v>8.0432115788773004E-2</v>
      </c>
      <c r="Z6">
        <v>9.0603750983546893E-2</v>
      </c>
      <c r="AA6">
        <v>0.101625840017342</v>
      </c>
      <c r="AB6">
        <v>0.11442448483982701</v>
      </c>
      <c r="AC6">
        <v>0.12722774444979601</v>
      </c>
      <c r="AD6">
        <v>0.140009184472838</v>
      </c>
      <c r="AE6">
        <v>0.15171605558345899</v>
      </c>
      <c r="AF6">
        <v>0.164502889689254</v>
      </c>
      <c r="AG6">
        <v>0.18178466076696201</v>
      </c>
      <c r="AH6">
        <v>0.19878024261108501</v>
      </c>
      <c r="AI6">
        <v>0.21260183740683</v>
      </c>
      <c r="AJ6">
        <v>0.21705251270468701</v>
      </c>
      <c r="AK6">
        <v>0.23363774733637699</v>
      </c>
      <c r="AL6">
        <v>0.256546644844517</v>
      </c>
      <c r="AM6">
        <v>0.27334273624823702</v>
      </c>
      <c r="AN6">
        <v>0.29909484454939</v>
      </c>
      <c r="AO6">
        <v>0.28274668205424103</v>
      </c>
      <c r="AP6">
        <v>0.27974568574023601</v>
      </c>
      <c r="AQ6">
        <v>0.27298850574712602</v>
      </c>
      <c r="AR6">
        <v>0.27777777777777801</v>
      </c>
      <c r="AS6">
        <v>0.31196581196581202</v>
      </c>
      <c r="AT6">
        <v>0.36879432624113501</v>
      </c>
      <c r="AU6">
        <v>0.33</v>
      </c>
      <c r="AV6">
        <v>0.2</v>
      </c>
      <c r="AW6">
        <v>0</v>
      </c>
      <c r="AX6">
        <v>0</v>
      </c>
      <c r="AY6">
        <v>0</v>
      </c>
      <c r="AZ6">
        <v>0</v>
      </c>
      <c r="BA6">
        <v>568099</v>
      </c>
    </row>
    <row r="7" spans="1:53">
      <c r="A7" t="s">
        <v>100</v>
      </c>
      <c r="B7" t="s">
        <v>62</v>
      </c>
      <c r="C7">
        <v>8.3216961531486708E-3</v>
      </c>
      <c r="D7">
        <v>8.3217344556628294E-3</v>
      </c>
      <c r="E7">
        <v>8.3240179224208892E-3</v>
      </c>
      <c r="F7">
        <v>8.3252291279875008E-3</v>
      </c>
      <c r="G7">
        <v>8.3294787994493708E-3</v>
      </c>
      <c r="H7">
        <v>8.3388621241075895E-3</v>
      </c>
      <c r="I7">
        <v>8.3573815204379502E-3</v>
      </c>
      <c r="J7">
        <v>8.3880328243598201E-3</v>
      </c>
      <c r="K7">
        <v>8.4678975734338094E-3</v>
      </c>
      <c r="L7">
        <v>8.6063122064421894E-3</v>
      </c>
      <c r="M7">
        <v>8.8168608542208808E-3</v>
      </c>
      <c r="N7">
        <v>9.1213370814784006E-3</v>
      </c>
      <c r="O7">
        <v>9.4811282854460003E-3</v>
      </c>
      <c r="P7">
        <v>9.9253068982706697E-3</v>
      </c>
      <c r="Q7">
        <v>1.06504022226371E-2</v>
      </c>
      <c r="R7">
        <v>1.1443530877938301E-2</v>
      </c>
      <c r="S7">
        <v>1.26170416008762E-2</v>
      </c>
      <c r="T7">
        <v>1.358978167236E-2</v>
      </c>
      <c r="U7">
        <v>1.44456058346154E-2</v>
      </c>
      <c r="V7">
        <v>1.5310910743679801E-2</v>
      </c>
      <c r="W7">
        <v>1.5852861774386402E-2</v>
      </c>
      <c r="X7">
        <v>1.60287486341321E-2</v>
      </c>
      <c r="Y7">
        <v>1.5776410509999301E-2</v>
      </c>
      <c r="Z7">
        <v>1.48089863888856E-2</v>
      </c>
      <c r="AA7">
        <v>1.42206806850206E-2</v>
      </c>
      <c r="AB7">
        <v>1.3660226420485E-2</v>
      </c>
      <c r="AC7">
        <v>1.39904540876648E-2</v>
      </c>
      <c r="AD7">
        <v>1.4181906588508601E-2</v>
      </c>
      <c r="AE7">
        <v>1.2656956303365101E-2</v>
      </c>
      <c r="AF7">
        <v>1.26057458748639E-2</v>
      </c>
      <c r="AG7">
        <v>1.1378002528444999E-2</v>
      </c>
      <c r="AH7">
        <v>1.13263186113531E-2</v>
      </c>
      <c r="AI7">
        <v>1.14404576183047E-2</v>
      </c>
      <c r="AJ7">
        <v>1.05025409373235E-2</v>
      </c>
      <c r="AK7">
        <v>9.4368340943683394E-3</v>
      </c>
      <c r="AL7">
        <v>1.1252045826513899E-2</v>
      </c>
      <c r="AM7">
        <v>9.3088857545839208E-3</v>
      </c>
      <c r="AN7">
        <v>1.10192837465565E-2</v>
      </c>
      <c r="AO7">
        <v>9.2325447201384893E-3</v>
      </c>
      <c r="AP7">
        <v>5.4495912806539499E-3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527149</v>
      </c>
    </row>
    <row r="8" spans="1:53">
      <c r="A8" t="s">
        <v>101</v>
      </c>
      <c r="B8" t="s">
        <v>63</v>
      </c>
      <c r="C8">
        <v>6.7484905418952303E-3</v>
      </c>
      <c r="D8">
        <v>6.7485216033699299E-3</v>
      </c>
      <c r="E8">
        <v>6.7503733837685296E-3</v>
      </c>
      <c r="F8">
        <v>6.7513556125305702E-3</v>
      </c>
      <c r="G8">
        <v>6.7548018892437302E-3</v>
      </c>
      <c r="H8">
        <v>6.7637334701459101E-3</v>
      </c>
      <c r="I8">
        <v>6.7853383364672396E-3</v>
      </c>
      <c r="J8">
        <v>6.8270563043204401E-3</v>
      </c>
      <c r="K8">
        <v>6.9106920839525302E-3</v>
      </c>
      <c r="L8">
        <v>7.0478270501106201E-3</v>
      </c>
      <c r="M8">
        <v>7.2821610045233796E-3</v>
      </c>
      <c r="N8">
        <v>7.6534351312033096E-3</v>
      </c>
      <c r="O8">
        <v>8.0972145438061496E-3</v>
      </c>
      <c r="P8">
        <v>8.7162216016935298E-3</v>
      </c>
      <c r="Q8">
        <v>9.6067457866759898E-3</v>
      </c>
      <c r="R8">
        <v>1.0785135950714401E-2</v>
      </c>
      <c r="S8">
        <v>1.21553826244331E-2</v>
      </c>
      <c r="T8">
        <v>1.3670231199564301E-2</v>
      </c>
      <c r="U8">
        <v>1.49506148190776E-2</v>
      </c>
      <c r="V8">
        <v>1.5900547871164301E-2</v>
      </c>
      <c r="W8">
        <v>1.7079424563306699E-2</v>
      </c>
      <c r="X8">
        <v>1.75061944995922E-2</v>
      </c>
      <c r="Y8">
        <v>1.7478627195526699E-2</v>
      </c>
      <c r="Z8">
        <v>1.76627403083933E-2</v>
      </c>
      <c r="AA8">
        <v>1.77469470337452E-2</v>
      </c>
      <c r="AB8">
        <v>1.8927895432306E-2</v>
      </c>
      <c r="AC8">
        <v>2.0230327976529301E-2</v>
      </c>
      <c r="AD8">
        <v>2.0989221750992701E-2</v>
      </c>
      <c r="AE8">
        <v>2.24008036162732E-2</v>
      </c>
      <c r="AF8">
        <v>2.4164502889689299E-2</v>
      </c>
      <c r="AG8">
        <v>2.54951538137379E-2</v>
      </c>
      <c r="AH8">
        <v>2.8148247436498901E-2</v>
      </c>
      <c r="AI8">
        <v>2.9381175247009901E-2</v>
      </c>
      <c r="AJ8">
        <v>3.1055900621118002E-2</v>
      </c>
      <c r="AK8">
        <v>3.4550989345509903E-2</v>
      </c>
      <c r="AL8">
        <v>3.7438625204582701E-2</v>
      </c>
      <c r="AM8">
        <v>4.0056417489421701E-2</v>
      </c>
      <c r="AN8">
        <v>4.0928768201495498E-2</v>
      </c>
      <c r="AO8">
        <v>3.6353144835545297E-2</v>
      </c>
      <c r="AP8">
        <v>1.8165304268846501E-2</v>
      </c>
      <c r="AQ8">
        <v>1.5804597701149399E-2</v>
      </c>
      <c r="AR8">
        <v>1.85185185185185E-2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395530</v>
      </c>
    </row>
    <row r="9" spans="1:53">
      <c r="A9" t="s">
        <v>15</v>
      </c>
      <c r="B9" t="s">
        <v>133</v>
      </c>
      <c r="C9">
        <v>1.8823234838449599E-2</v>
      </c>
      <c r="D9">
        <v>1.8823321476702799E-2</v>
      </c>
      <c r="E9">
        <v>1.8828486557263501E-2</v>
      </c>
      <c r="F9">
        <v>1.8831226239943401E-2</v>
      </c>
      <c r="G9">
        <v>1.8840838771143901E-2</v>
      </c>
      <c r="H9">
        <v>1.8866479472115099E-2</v>
      </c>
      <c r="I9">
        <v>1.8927474000646202E-2</v>
      </c>
      <c r="J9">
        <v>1.90704118906663E-2</v>
      </c>
      <c r="K9">
        <v>1.9380664666893602E-2</v>
      </c>
      <c r="L9">
        <v>1.9933386226192101E-2</v>
      </c>
      <c r="M9">
        <v>2.0839016933808699E-2</v>
      </c>
      <c r="N9">
        <v>2.2277763801231601E-2</v>
      </c>
      <c r="O9">
        <v>2.4333616751832099E-2</v>
      </c>
      <c r="P9">
        <v>2.73023618366749E-2</v>
      </c>
      <c r="Q9">
        <v>3.1935248618431902E-2</v>
      </c>
      <c r="R9">
        <v>3.86297547478896E-2</v>
      </c>
      <c r="S9">
        <v>4.7231642302695998E-2</v>
      </c>
      <c r="T9">
        <v>5.7629709391553999E-2</v>
      </c>
      <c r="U9">
        <v>6.9871320578920398E-2</v>
      </c>
      <c r="V9">
        <v>8.3428739896322102E-2</v>
      </c>
      <c r="W9">
        <v>9.8174332170461398E-2</v>
      </c>
      <c r="X9">
        <v>0.114086522923496</v>
      </c>
      <c r="Y9">
        <v>0.13011021615299001</v>
      </c>
      <c r="Z9">
        <v>0.147901962396214</v>
      </c>
      <c r="AA9">
        <v>0.16535876869716001</v>
      </c>
      <c r="AB9">
        <v>0.18070783186314801</v>
      </c>
      <c r="AC9">
        <v>0.197968209484608</v>
      </c>
      <c r="AD9">
        <v>0.215186795969637</v>
      </c>
      <c r="AE9">
        <v>0.23013561024610699</v>
      </c>
      <c r="AF9">
        <v>0.24662869587067601</v>
      </c>
      <c r="AG9">
        <v>0.26827855035819598</v>
      </c>
      <c r="AH9">
        <v>0.28818443804034599</v>
      </c>
      <c r="AI9">
        <v>0.31010573756283599</v>
      </c>
      <c r="AJ9">
        <v>0.32354601919819298</v>
      </c>
      <c r="AK9">
        <v>0.33820395738204001</v>
      </c>
      <c r="AL9">
        <v>0.35904255319148898</v>
      </c>
      <c r="AM9">
        <v>0.38166431593794098</v>
      </c>
      <c r="AN9">
        <v>0.40456513183785903</v>
      </c>
      <c r="AO9">
        <v>0.40046162723600698</v>
      </c>
      <c r="AP9">
        <v>0.37511353315168</v>
      </c>
      <c r="AQ9">
        <v>0.377873563218391</v>
      </c>
      <c r="AR9">
        <v>0.40972222222222199</v>
      </c>
      <c r="AS9">
        <v>0.44444444444444398</v>
      </c>
      <c r="AT9">
        <v>0.54609929078014197</v>
      </c>
      <c r="AU9">
        <v>0.54</v>
      </c>
      <c r="AV9">
        <v>0.73333333333333295</v>
      </c>
      <c r="AW9">
        <v>1</v>
      </c>
      <c r="AX9">
        <v>1</v>
      </c>
      <c r="AY9">
        <v>1</v>
      </c>
      <c r="AZ9">
        <v>1</v>
      </c>
      <c r="BA9">
        <v>806133</v>
      </c>
    </row>
    <row r="10" spans="1:53">
      <c r="A10" t="s">
        <v>15</v>
      </c>
      <c r="B10" t="s">
        <v>7</v>
      </c>
      <c r="C10">
        <v>1.45160206459072E-2</v>
      </c>
      <c r="D10">
        <v>1.45160874592198E-2</v>
      </c>
      <c r="E10">
        <v>1.4520070643656499E-2</v>
      </c>
      <c r="F10">
        <v>1.45221834202694E-2</v>
      </c>
      <c r="G10">
        <v>1.4529596370411201E-2</v>
      </c>
      <c r="H10">
        <v>1.4548947561226599E-2</v>
      </c>
      <c r="I10">
        <v>1.4596485770602101E-2</v>
      </c>
      <c r="J10">
        <v>1.47084482139275E-2</v>
      </c>
      <c r="K10">
        <v>1.49470863092049E-2</v>
      </c>
      <c r="L10">
        <v>1.5366253770568E-2</v>
      </c>
      <c r="M10">
        <v>1.6049976856889799E-2</v>
      </c>
      <c r="N10">
        <v>1.7118230642179801E-2</v>
      </c>
      <c r="O10">
        <v>1.8663647799948901E-2</v>
      </c>
      <c r="P10">
        <v>2.0897587098046701E-2</v>
      </c>
      <c r="Q10">
        <v>2.4320067406801E-2</v>
      </c>
      <c r="R10">
        <v>2.9216274895558201E-2</v>
      </c>
      <c r="S10">
        <v>3.5434782074862399E-2</v>
      </c>
      <c r="T10">
        <v>4.2941482251596601E-2</v>
      </c>
      <c r="U10">
        <v>5.1773207903194902E-2</v>
      </c>
      <c r="V10">
        <v>6.1076579121931998E-2</v>
      </c>
      <c r="W10">
        <v>7.1436496098420899E-2</v>
      </c>
      <c r="X10">
        <v>8.2790833679609696E-2</v>
      </c>
      <c r="Y10">
        <v>9.3688484836958102E-2</v>
      </c>
      <c r="Z10">
        <v>0.105541919648624</v>
      </c>
      <c r="AA10">
        <v>0.117465134764073</v>
      </c>
      <c r="AB10">
        <v>0.129959644298418</v>
      </c>
      <c r="AC10">
        <v>0.142947847790866</v>
      </c>
      <c r="AD10">
        <v>0.154623301547854</v>
      </c>
      <c r="AE10">
        <v>0.16567888833082201</v>
      </c>
      <c r="AF10">
        <v>0.17698299690091299</v>
      </c>
      <c r="AG10">
        <v>0.188632532659081</v>
      </c>
      <c r="AH10">
        <v>0.19743984987601401</v>
      </c>
      <c r="AI10">
        <v>0.20341480325879699</v>
      </c>
      <c r="AJ10">
        <v>0.208921513269339</v>
      </c>
      <c r="AK10">
        <v>0.21461187214611899</v>
      </c>
      <c r="AL10">
        <v>0.22360883797053999</v>
      </c>
      <c r="AM10">
        <v>0.22284908321579699</v>
      </c>
      <c r="AN10">
        <v>0.22274695001967701</v>
      </c>
      <c r="AO10">
        <v>0.207155222158107</v>
      </c>
      <c r="AP10">
        <v>0.14713896457765699</v>
      </c>
      <c r="AQ10">
        <v>0.126436781609195</v>
      </c>
      <c r="AR10">
        <v>7.8703703703703706E-2</v>
      </c>
      <c r="AS10">
        <v>7.69230769230769E-2</v>
      </c>
      <c r="AT10">
        <v>9.9290780141844004E-2</v>
      </c>
      <c r="AU10">
        <v>0.14000000000000001</v>
      </c>
      <c r="AV10">
        <v>0.133333333333333</v>
      </c>
      <c r="AW10">
        <v>0.26086956521739102</v>
      </c>
      <c r="AX10">
        <v>0.25</v>
      </c>
      <c r="AY10">
        <v>0</v>
      </c>
      <c r="AZ10">
        <v>0</v>
      </c>
      <c r="BA10">
        <v>622466</v>
      </c>
    </row>
    <row r="11" spans="1:53">
      <c r="A11" t="s">
        <v>15</v>
      </c>
      <c r="B11" t="s">
        <v>5</v>
      </c>
      <c r="C11">
        <v>1.44092378191633E-2</v>
      </c>
      <c r="D11">
        <v>1.44093041409834E-2</v>
      </c>
      <c r="E11">
        <v>1.4413258024297999E-2</v>
      </c>
      <c r="F11">
        <v>1.4415355258892501E-2</v>
      </c>
      <c r="G11">
        <v>1.44217922753298E-2</v>
      </c>
      <c r="H11">
        <v>1.4441908941508E-2</v>
      </c>
      <c r="I11">
        <v>1.4486313132856201E-2</v>
      </c>
      <c r="J11">
        <v>1.45890190480189E-2</v>
      </c>
      <c r="K11">
        <v>1.4784916919009201E-2</v>
      </c>
      <c r="L11">
        <v>1.51525353928368E-2</v>
      </c>
      <c r="M11">
        <v>1.57495762205309E-2</v>
      </c>
      <c r="N11">
        <v>1.66905483302889E-2</v>
      </c>
      <c r="O11">
        <v>1.7945307824869E-2</v>
      </c>
      <c r="P11">
        <v>1.9614200470394999E-2</v>
      </c>
      <c r="Q11">
        <v>2.2176901361700401E-2</v>
      </c>
      <c r="R11">
        <v>2.55402365518917E-2</v>
      </c>
      <c r="S11">
        <v>2.9413570318274601E-2</v>
      </c>
      <c r="T11">
        <v>3.3866156740432703E-2</v>
      </c>
      <c r="U11">
        <v>3.8286727659224598E-2</v>
      </c>
      <c r="V11">
        <v>4.2753605385352403E-2</v>
      </c>
      <c r="W11">
        <v>4.6578567818444098E-2</v>
      </c>
      <c r="X11">
        <v>5.06794711975007E-2</v>
      </c>
      <c r="Y11">
        <v>5.3985944825356402E-2</v>
      </c>
      <c r="Z11">
        <v>5.7462625218729101E-2</v>
      </c>
      <c r="AA11">
        <v>6.0278921887419602E-2</v>
      </c>
      <c r="AB11">
        <v>6.4408413985214796E-2</v>
      </c>
      <c r="AC11">
        <v>6.7937995358409595E-2</v>
      </c>
      <c r="AD11">
        <v>6.9396796239768799E-2</v>
      </c>
      <c r="AE11">
        <v>7.2995144818349206E-2</v>
      </c>
      <c r="AF11">
        <v>7.2744785995476999E-2</v>
      </c>
      <c r="AG11">
        <v>7.6538137378845406E-2</v>
      </c>
      <c r="AH11">
        <v>7.56651698947792E-2</v>
      </c>
      <c r="AI11">
        <v>7.6616397989252905E-2</v>
      </c>
      <c r="AJ11">
        <v>7.6228119706380604E-2</v>
      </c>
      <c r="AK11">
        <v>7.4124809741248104E-2</v>
      </c>
      <c r="AL11">
        <v>7.6309328968903398E-2</v>
      </c>
      <c r="AM11">
        <v>7.6445698166431597E-2</v>
      </c>
      <c r="AN11">
        <v>7.5560802833530102E-2</v>
      </c>
      <c r="AO11">
        <v>8.4246970571263693E-2</v>
      </c>
      <c r="AP11">
        <v>7.6294277929155302E-2</v>
      </c>
      <c r="AQ11">
        <v>7.9022988505747099E-2</v>
      </c>
      <c r="AR11">
        <v>8.3333333333333301E-2</v>
      </c>
      <c r="AS11">
        <v>8.9743589743589702E-2</v>
      </c>
      <c r="AT11">
        <v>8.5106382978723402E-2</v>
      </c>
      <c r="AU11">
        <v>0.08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763144</v>
      </c>
    </row>
    <row r="12" spans="1:53">
      <c r="A12" t="s">
        <v>15</v>
      </c>
      <c r="B12" t="s">
        <v>6</v>
      </c>
      <c r="C12">
        <v>2.4486406822318E-4</v>
      </c>
      <c r="D12">
        <v>2.4486519526618498E-4</v>
      </c>
      <c r="E12">
        <v>2.4493238577034899E-4</v>
      </c>
      <c r="F12">
        <v>2.4496802522618098E-4</v>
      </c>
      <c r="G12">
        <v>2.45093070868754E-4</v>
      </c>
      <c r="H12">
        <v>2.4545062797528102E-4</v>
      </c>
      <c r="I12">
        <v>2.4626824907904001E-4</v>
      </c>
      <c r="J12">
        <v>2.4818873540374998E-4</v>
      </c>
      <c r="K12">
        <v>2.5226349585993901E-4</v>
      </c>
      <c r="L12">
        <v>2.58608995884701E-4</v>
      </c>
      <c r="M12">
        <v>2.6770396845589002E-4</v>
      </c>
      <c r="N12">
        <v>2.8220469684871402E-4</v>
      </c>
      <c r="O12">
        <v>3.0340569899036702E-4</v>
      </c>
      <c r="P12">
        <v>3.4178612294303499E-4</v>
      </c>
      <c r="Q12">
        <v>3.7980157761277199E-4</v>
      </c>
      <c r="R12">
        <v>4.3109191663466101E-4</v>
      </c>
      <c r="S12">
        <v>4.96037836391006E-4</v>
      </c>
      <c r="T12">
        <v>5.6005247784543803E-4</v>
      </c>
      <c r="U12">
        <v>6.2636773266625196E-4</v>
      </c>
      <c r="V12">
        <v>7.6161462300076196E-4</v>
      </c>
      <c r="W12">
        <v>8.6907212682289401E-4</v>
      </c>
      <c r="X12">
        <v>1.03113409360235E-3</v>
      </c>
      <c r="Y12">
        <v>1.23624675485227E-3</v>
      </c>
      <c r="Z12">
        <v>1.4797242545595501E-3</v>
      </c>
      <c r="AA12">
        <v>1.7775850856275701E-3</v>
      </c>
      <c r="AB12">
        <v>2.0713545944787701E-3</v>
      </c>
      <c r="AC12">
        <v>2.3864780838113598E-3</v>
      </c>
      <c r="AD12">
        <v>2.4311839866014802E-3</v>
      </c>
      <c r="AE12">
        <v>2.6452368993805501E-3</v>
      </c>
      <c r="AF12">
        <v>3.05720747131251E-3</v>
      </c>
      <c r="AG12">
        <v>3.5819637589549098E-3</v>
      </c>
      <c r="AH12">
        <v>4.1552174787212702E-3</v>
      </c>
      <c r="AI12">
        <v>4.3335066736002797E-3</v>
      </c>
      <c r="AJ12">
        <v>4.7430830039525704E-3</v>
      </c>
      <c r="AK12">
        <v>4.10958904109589E-3</v>
      </c>
      <c r="AL12">
        <v>3.4779050736497498E-3</v>
      </c>
      <c r="AM12">
        <v>3.1029619181946401E-3</v>
      </c>
      <c r="AN12">
        <v>4.3290043290043299E-3</v>
      </c>
      <c r="AO12">
        <v>6.3473744950952099E-3</v>
      </c>
      <c r="AP12">
        <v>3.6330608537693001E-3</v>
      </c>
      <c r="AQ12">
        <v>5.74712643678161E-3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98185</v>
      </c>
    </row>
    <row r="13" spans="1:53">
      <c r="A13" t="s">
        <v>15</v>
      </c>
      <c r="B13" t="s">
        <v>44</v>
      </c>
      <c r="C13">
        <v>3.3139497955016802E-3</v>
      </c>
      <c r="D13">
        <v>3.3139650487152899E-3</v>
      </c>
      <c r="E13">
        <v>3.3148743938844201E-3</v>
      </c>
      <c r="F13">
        <v>3.3153567323843999E-3</v>
      </c>
      <c r="G13">
        <v>3.3170490794267398E-3</v>
      </c>
      <c r="H13">
        <v>3.3191199579965698E-3</v>
      </c>
      <c r="I13">
        <v>3.3283246445080798E-3</v>
      </c>
      <c r="J13">
        <v>3.34215056472268E-3</v>
      </c>
      <c r="K13">
        <v>3.3685711928364802E-3</v>
      </c>
      <c r="L13">
        <v>3.4097352136647002E-3</v>
      </c>
      <c r="M13">
        <v>3.4954781530061002E-3</v>
      </c>
      <c r="N13">
        <v>3.6216269428918299E-3</v>
      </c>
      <c r="O13">
        <v>3.7619908210781801E-3</v>
      </c>
      <c r="P13">
        <v>3.9352686803678302E-3</v>
      </c>
      <c r="Q13">
        <v>4.1299432053019001E-3</v>
      </c>
      <c r="R13">
        <v>4.3422713057382299E-3</v>
      </c>
      <c r="S13">
        <v>4.6288679286982399E-3</v>
      </c>
      <c r="T13">
        <v>4.7681815931481797E-3</v>
      </c>
      <c r="U13">
        <v>4.7095023899843798E-3</v>
      </c>
      <c r="V13">
        <v>4.8055425889983504E-3</v>
      </c>
      <c r="W13">
        <v>4.8261239383143697E-3</v>
      </c>
      <c r="X13">
        <v>4.6862736045062102E-3</v>
      </c>
      <c r="Y13">
        <v>4.8023431630799703E-3</v>
      </c>
      <c r="Z13">
        <v>5.16729104766826E-3</v>
      </c>
      <c r="AA13">
        <v>5.3905629019437799E-3</v>
      </c>
      <c r="AB13">
        <v>5.9997857219385E-3</v>
      </c>
      <c r="AC13">
        <v>6.5682883040679603E-3</v>
      </c>
      <c r="AD13">
        <v>7.0774467165509603E-3</v>
      </c>
      <c r="AE13">
        <v>7.4334505273731801E-3</v>
      </c>
      <c r="AF13">
        <v>8.1665131083005302E-3</v>
      </c>
      <c r="AG13">
        <v>9.1656131479140295E-3</v>
      </c>
      <c r="AH13">
        <v>9.9859258762817499E-3</v>
      </c>
      <c r="AI13">
        <v>1.10937770844167E-2</v>
      </c>
      <c r="AJ13">
        <v>1.1180124223602501E-2</v>
      </c>
      <c r="AK13">
        <v>1.15677321156773E-2</v>
      </c>
      <c r="AL13">
        <v>1.2070376432078599E-2</v>
      </c>
      <c r="AM13">
        <v>1.4668547249647401E-2</v>
      </c>
      <c r="AN13">
        <v>1.41676505312869E-2</v>
      </c>
      <c r="AO13">
        <v>1.7888055395268301E-2</v>
      </c>
      <c r="AP13">
        <v>9.0826521344232504E-3</v>
      </c>
      <c r="AQ13">
        <v>5.74712643678161E-3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680909</v>
      </c>
    </row>
    <row r="14" spans="1:53">
      <c r="A14" t="s">
        <v>116</v>
      </c>
      <c r="B14" t="s">
        <v>48</v>
      </c>
      <c r="C14">
        <v>9.46316774937702E-4</v>
      </c>
      <c r="D14">
        <v>9.4632113057758701E-4</v>
      </c>
      <c r="E14">
        <v>9.4658079914255295E-4</v>
      </c>
      <c r="F14">
        <v>9.4671853358088004E-4</v>
      </c>
      <c r="G14">
        <v>9.4720179268074705E-4</v>
      </c>
      <c r="H14">
        <v>9.4673813647608599E-4</v>
      </c>
      <c r="I14">
        <v>9.4711435642051895E-4</v>
      </c>
      <c r="J14">
        <v>9.5076812547526695E-4</v>
      </c>
      <c r="K14">
        <v>9.4835900699225103E-4</v>
      </c>
      <c r="L14">
        <v>9.6124475828841805E-4</v>
      </c>
      <c r="M14">
        <v>9.849871205781591E-4</v>
      </c>
      <c r="N14">
        <v>1.01396803867736E-3</v>
      </c>
      <c r="O14">
        <v>1.0661172585076501E-3</v>
      </c>
      <c r="P14">
        <v>1.1239764991644501E-3</v>
      </c>
      <c r="Q14">
        <v>1.1170634635669799E-3</v>
      </c>
      <c r="R14">
        <v>1.1463125965058001E-3</v>
      </c>
      <c r="S14">
        <v>1.0927566197722601E-3</v>
      </c>
      <c r="T14">
        <v>1.11701074310609E-3</v>
      </c>
      <c r="U14">
        <v>1.1000583304950999E-3</v>
      </c>
      <c r="V14">
        <v>1.1547060413237399E-3</v>
      </c>
      <c r="W14">
        <v>1.2697082136561399E-3</v>
      </c>
      <c r="X14">
        <v>1.43897071271373E-3</v>
      </c>
      <c r="Y14">
        <v>1.4834961058227201E-3</v>
      </c>
      <c r="Z14">
        <v>1.5501873143004799E-3</v>
      </c>
      <c r="AA14">
        <v>1.66196979550546E-3</v>
      </c>
      <c r="AB14">
        <v>1.49994643048463E-3</v>
      </c>
      <c r="AC14">
        <v>1.42312913254806E-3</v>
      </c>
      <c r="AD14">
        <v>1.4046840811475199E-3</v>
      </c>
      <c r="AE14">
        <v>1.43981248953625E-3</v>
      </c>
      <c r="AF14">
        <v>1.0888684144400699E-3</v>
      </c>
      <c r="AG14">
        <v>6.3211125158027797E-4</v>
      </c>
      <c r="AH14">
        <v>6.7019636753568805E-4</v>
      </c>
      <c r="AI14">
        <v>6.0669093430403898E-4</v>
      </c>
      <c r="AJ14">
        <v>7.9051383399209496E-4</v>
      </c>
      <c r="AK14">
        <v>9.1324200913241995E-4</v>
      </c>
      <c r="AL14">
        <v>1.22749590834697E-3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1000995</v>
      </c>
    </row>
    <row r="15" spans="1:53">
      <c r="A15" t="s">
        <v>99</v>
      </c>
      <c r="B15" t="s">
        <v>3</v>
      </c>
      <c r="C15">
        <v>7.5346330767170197E-3</v>
      </c>
      <c r="D15">
        <v>7.5346677565929498E-3</v>
      </c>
      <c r="E15">
        <v>7.53673525387334E-3</v>
      </c>
      <c r="F15">
        <v>7.5378319040462103E-3</v>
      </c>
      <c r="G15">
        <v>7.5416796430855196E-3</v>
      </c>
      <c r="H15">
        <v>7.5526819172093201E-3</v>
      </c>
      <c r="I15">
        <v>7.5695082874820702E-3</v>
      </c>
      <c r="J15">
        <v>7.5986806809328501E-3</v>
      </c>
      <c r="K15">
        <v>7.6646374945113704E-3</v>
      </c>
      <c r="L15">
        <v>7.7641251745610698E-3</v>
      </c>
      <c r="M15">
        <v>7.9340508208396304E-3</v>
      </c>
      <c r="N15">
        <v>8.2156568915918299E-3</v>
      </c>
      <c r="O15">
        <v>8.5061526598366397E-3</v>
      </c>
      <c r="P15">
        <v>8.9566877277166904E-3</v>
      </c>
      <c r="Q15">
        <v>9.5524884184455903E-3</v>
      </c>
      <c r="R15">
        <v>1.03991127344552E-2</v>
      </c>
      <c r="S15">
        <v>1.13401125170973E-2</v>
      </c>
      <c r="T15">
        <v>1.2169538095945299E-2</v>
      </c>
      <c r="U15">
        <v>1.2785731343049901E-2</v>
      </c>
      <c r="V15">
        <v>1.3139080657445399E-2</v>
      </c>
      <c r="W15">
        <v>1.3264136290233101E-2</v>
      </c>
      <c r="X15">
        <v>1.3681764316604301E-2</v>
      </c>
      <c r="Y15">
        <v>1.36462622554847E-2</v>
      </c>
      <c r="Z15">
        <v>1.3317518291035901E-2</v>
      </c>
      <c r="AA15">
        <v>1.31656911626563E-2</v>
      </c>
      <c r="AB15">
        <v>1.2928109710367499E-2</v>
      </c>
      <c r="AC15">
        <v>1.21732276568726E-2</v>
      </c>
      <c r="AD15">
        <v>1.1561630514060299E-2</v>
      </c>
      <c r="AE15">
        <v>1.1116691779675201E-2</v>
      </c>
      <c r="AF15">
        <v>1.07211659267945E-2</v>
      </c>
      <c r="AG15">
        <v>1.0587863463969701E-2</v>
      </c>
      <c r="AH15">
        <v>9.1146705984853603E-3</v>
      </c>
      <c r="AI15">
        <v>9.1003640145605798E-3</v>
      </c>
      <c r="AJ15">
        <v>8.8085827216262003E-3</v>
      </c>
      <c r="AK15">
        <v>8.9802130898021301E-3</v>
      </c>
      <c r="AL15">
        <v>1.0842880523731601E-2</v>
      </c>
      <c r="AM15">
        <v>7.6163610719322998E-3</v>
      </c>
      <c r="AN15">
        <v>5.5096418732782397E-3</v>
      </c>
      <c r="AO15">
        <v>7.5014425851125197E-3</v>
      </c>
      <c r="AP15">
        <v>7.2661217075386001E-3</v>
      </c>
      <c r="AQ15">
        <v>1.1494252873563199E-2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495341</v>
      </c>
    </row>
    <row r="16" spans="1:53">
      <c r="A16" t="s">
        <v>99</v>
      </c>
      <c r="B16" t="s">
        <v>4</v>
      </c>
      <c r="C16">
        <v>7.6193229048242802E-3</v>
      </c>
      <c r="D16">
        <v>7.6193579745045597E-3</v>
      </c>
      <c r="E16">
        <v>7.6214487106059398E-3</v>
      </c>
      <c r="F16">
        <v>7.6225576872071396E-3</v>
      </c>
      <c r="G16">
        <v>7.6264486751153101E-3</v>
      </c>
      <c r="H16">
        <v>7.6375746156067802E-3</v>
      </c>
      <c r="I16">
        <v>7.6500546696996602E-3</v>
      </c>
      <c r="J16">
        <v>7.6789221517776802E-3</v>
      </c>
      <c r="K16">
        <v>7.7442996510987197E-3</v>
      </c>
      <c r="L16">
        <v>7.8460993468415108E-3</v>
      </c>
      <c r="M16">
        <v>8.0464456167562304E-3</v>
      </c>
      <c r="N16">
        <v>8.3480087067805703E-3</v>
      </c>
      <c r="O16">
        <v>8.6680489814322907E-3</v>
      </c>
      <c r="P16">
        <v>9.1782407876481505E-3</v>
      </c>
      <c r="Q16">
        <v>9.7886675507426104E-3</v>
      </c>
      <c r="R16">
        <v>1.06773629715558E-2</v>
      </c>
      <c r="S16">
        <v>1.1669167319455701E-2</v>
      </c>
      <c r="T16">
        <v>1.259963364523E-2</v>
      </c>
      <c r="U16">
        <v>1.32789959325245E-2</v>
      </c>
      <c r="V16">
        <v>1.3679581357639499E-2</v>
      </c>
      <c r="W16">
        <v>1.3744899594433001E-2</v>
      </c>
      <c r="X16">
        <v>1.4174246271757699E-2</v>
      </c>
      <c r="Y16">
        <v>1.40171362819403E-2</v>
      </c>
      <c r="Z16">
        <v>1.3411469037357199E-2</v>
      </c>
      <c r="AA16">
        <v>1.30067201387383E-2</v>
      </c>
      <c r="AB16">
        <v>1.2945966215492301E-2</v>
      </c>
      <c r="AC16">
        <v>1.2107544773831899E-2</v>
      </c>
      <c r="AD16">
        <v>1.1507604203247E-2</v>
      </c>
      <c r="AE16">
        <v>1.0982755734136899E-2</v>
      </c>
      <c r="AF16">
        <v>1.0469888600385301E-2</v>
      </c>
      <c r="AG16">
        <v>1.0429835651074601E-2</v>
      </c>
      <c r="AH16">
        <v>8.9806313249782208E-3</v>
      </c>
      <c r="AI16">
        <v>9.5337146819206107E-3</v>
      </c>
      <c r="AJ16">
        <v>8.6956521739130401E-3</v>
      </c>
      <c r="AK16">
        <v>8.9802130898021301E-3</v>
      </c>
      <c r="AL16">
        <v>1.0842880523731601E-2</v>
      </c>
      <c r="AM16">
        <v>7.6163610719322998E-3</v>
      </c>
      <c r="AN16">
        <v>5.5096418732782397E-3</v>
      </c>
      <c r="AO16">
        <v>7.5014425851125197E-3</v>
      </c>
      <c r="AP16">
        <v>7.2661217075386001E-3</v>
      </c>
      <c r="AQ16">
        <v>1.1494252873563199E-2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492159</v>
      </c>
    </row>
    <row r="17" spans="1:53">
      <c r="A17" t="s">
        <v>17</v>
      </c>
      <c r="B17" t="s">
        <v>134</v>
      </c>
      <c r="C17">
        <v>2.6982915668262601E-2</v>
      </c>
      <c r="D17">
        <v>2.6983039863317401E-2</v>
      </c>
      <c r="E17">
        <v>2.6990443953761201E-2</v>
      </c>
      <c r="F17">
        <v>2.6994371261014401E-2</v>
      </c>
      <c r="G17">
        <v>2.7008150726710201E-2</v>
      </c>
      <c r="H17">
        <v>2.70457064133665E-2</v>
      </c>
      <c r="I17">
        <v>2.7133020961501601E-2</v>
      </c>
      <c r="J17">
        <v>2.73408816298349E-2</v>
      </c>
      <c r="K17">
        <v>2.7769848442747099E-2</v>
      </c>
      <c r="L17">
        <v>2.8550433145671E-2</v>
      </c>
      <c r="M17">
        <v>2.98122087314408E-2</v>
      </c>
      <c r="N17">
        <v>3.1787405795040601E-2</v>
      </c>
      <c r="O17">
        <v>3.45594681166181E-2</v>
      </c>
      <c r="P17">
        <v>3.8375962033370799E-2</v>
      </c>
      <c r="Q17">
        <v>4.4396889456995499E-2</v>
      </c>
      <c r="R17">
        <v>5.2714703369571202E-2</v>
      </c>
      <c r="S17">
        <v>6.3220267811318995E-2</v>
      </c>
      <c r="T17">
        <v>7.5412149116292904E-2</v>
      </c>
      <c r="U17">
        <v>8.9159531946711806E-2</v>
      </c>
      <c r="V17">
        <v>0.103864580006388</v>
      </c>
      <c r="W17">
        <v>0.12018466241787</v>
      </c>
      <c r="X17">
        <v>0.13682533819659301</v>
      </c>
      <c r="Y17">
        <v>0.15337067432505699</v>
      </c>
      <c r="Z17">
        <v>0.17073199375227499</v>
      </c>
      <c r="AA17">
        <v>0.186386299588121</v>
      </c>
      <c r="AB17">
        <v>0.20172493839505701</v>
      </c>
      <c r="AC17">
        <v>0.22163594167360001</v>
      </c>
      <c r="AD17">
        <v>0.23763472811259101</v>
      </c>
      <c r="AE17">
        <v>0.25350745019253301</v>
      </c>
      <c r="AF17">
        <v>0.271923946729207</v>
      </c>
      <c r="AG17">
        <v>0.29345764854614398</v>
      </c>
      <c r="AH17">
        <v>0.30627973996380897</v>
      </c>
      <c r="AI17">
        <v>0.32267290691627698</v>
      </c>
      <c r="AJ17">
        <v>0.33924336533032201</v>
      </c>
      <c r="AK17">
        <v>0.354185692541857</v>
      </c>
      <c r="AL17">
        <v>0.37765957446808501</v>
      </c>
      <c r="AM17">
        <v>0.40169252468265199</v>
      </c>
      <c r="AN17">
        <v>0.43093270365997599</v>
      </c>
      <c r="AO17">
        <v>0.44316214656664699</v>
      </c>
      <c r="AP17">
        <v>0.452316076294278</v>
      </c>
      <c r="AQ17">
        <v>0.50718390804597702</v>
      </c>
      <c r="AR17">
        <v>0.55555555555555602</v>
      </c>
      <c r="AS17">
        <v>0.64102564102564097</v>
      </c>
      <c r="AT17">
        <v>0.72340425531914898</v>
      </c>
      <c r="AU17">
        <v>0.77</v>
      </c>
      <c r="AV17">
        <v>0.73333333333333295</v>
      </c>
      <c r="AW17">
        <v>0.60869565217391297</v>
      </c>
      <c r="AX17">
        <v>0.58333333333333304</v>
      </c>
      <c r="AY17">
        <v>1</v>
      </c>
      <c r="AZ17">
        <v>1</v>
      </c>
      <c r="BA17">
        <v>1264958</v>
      </c>
    </row>
    <row r="18" spans="1:53">
      <c r="A18" t="s">
        <v>16</v>
      </c>
      <c r="B18" t="s">
        <v>136</v>
      </c>
      <c r="C18">
        <v>2.89335433395593E-2</v>
      </c>
      <c r="D18">
        <v>2.8933676512825E-2</v>
      </c>
      <c r="E18">
        <v>2.8941615853939302E-2</v>
      </c>
      <c r="F18">
        <v>2.8945827070992799E-2</v>
      </c>
      <c r="G18">
        <v>2.8960602670961601E-2</v>
      </c>
      <c r="H18">
        <v>2.89954702363431E-2</v>
      </c>
      <c r="I18">
        <v>2.9090205467340299E-2</v>
      </c>
      <c r="J18">
        <v>2.9315195028760999E-2</v>
      </c>
      <c r="K18">
        <v>2.9783214614591599E-2</v>
      </c>
      <c r="L18">
        <v>3.0628088059778701E-2</v>
      </c>
      <c r="M18">
        <v>3.2030473294485599E-2</v>
      </c>
      <c r="N18">
        <v>3.4191614801527E-2</v>
      </c>
      <c r="O18">
        <v>3.7284123247472302E-2</v>
      </c>
      <c r="P18">
        <v>4.1618201934806698E-2</v>
      </c>
      <c r="Q18">
        <v>4.8395976656565198E-2</v>
      </c>
      <c r="R18">
        <v>5.7778073881316498E-2</v>
      </c>
      <c r="S18">
        <v>6.9725239240030698E-2</v>
      </c>
      <c r="T18">
        <v>8.4113074904698298E-2</v>
      </c>
      <c r="U18">
        <v>0.100856949354254</v>
      </c>
      <c r="V18">
        <v>0.118615335478957</v>
      </c>
      <c r="W18">
        <v>0.13736886872696299</v>
      </c>
      <c r="X18">
        <v>0.15812518275697601</v>
      </c>
      <c r="Y18">
        <v>0.17870422320910601</v>
      </c>
      <c r="Z18">
        <v>0.20057309955256</v>
      </c>
      <c r="AA18">
        <v>0.221793482188019</v>
      </c>
      <c r="AB18">
        <v>0.24165208385414799</v>
      </c>
      <c r="AC18">
        <v>0.26384814117441002</v>
      </c>
      <c r="AD18">
        <v>0.28461060536481297</v>
      </c>
      <c r="AE18">
        <v>0.30708186840783502</v>
      </c>
      <c r="AF18">
        <v>0.329550213585727</v>
      </c>
      <c r="AG18">
        <v>0.35313948588284899</v>
      </c>
      <c r="AH18">
        <v>0.37296427853361003</v>
      </c>
      <c r="AI18">
        <v>0.393655746229849</v>
      </c>
      <c r="AJ18">
        <v>0.41581027667984199</v>
      </c>
      <c r="AK18">
        <v>0.439573820395738</v>
      </c>
      <c r="AL18">
        <v>0.46194762684124402</v>
      </c>
      <c r="AM18">
        <v>0.480677009873061</v>
      </c>
      <c r="AN18">
        <v>0.51121605667060199</v>
      </c>
      <c r="AO18">
        <v>0.53202538949797995</v>
      </c>
      <c r="AP18">
        <v>0.538601271571299</v>
      </c>
      <c r="AQ18">
        <v>0.58189655172413801</v>
      </c>
      <c r="AR18">
        <v>0.68518518518518501</v>
      </c>
      <c r="AS18">
        <v>0.829059829059829</v>
      </c>
      <c r="AT18">
        <v>0.88652482269503496</v>
      </c>
      <c r="AU18">
        <v>0.93</v>
      </c>
      <c r="AV18">
        <v>0.95555555555555605</v>
      </c>
      <c r="AW18">
        <v>1</v>
      </c>
      <c r="AX18">
        <v>1</v>
      </c>
      <c r="AY18">
        <v>1</v>
      </c>
      <c r="AZ18">
        <v>1</v>
      </c>
      <c r="BA18">
        <v>1302264</v>
      </c>
    </row>
    <row r="19" spans="1:53">
      <c r="A19" t="s">
        <v>16</v>
      </c>
      <c r="B19" t="s">
        <v>64</v>
      </c>
      <c r="C19">
        <v>8.4653006442870701E-3</v>
      </c>
      <c r="D19">
        <v>8.4653396077738197E-3</v>
      </c>
      <c r="E19">
        <v>8.4676624794892096E-3</v>
      </c>
      <c r="F19">
        <v>8.4688945863908294E-3</v>
      </c>
      <c r="G19">
        <v>8.4732175928911996E-3</v>
      </c>
      <c r="H19">
        <v>8.4855788528597296E-3</v>
      </c>
      <c r="I19">
        <v>8.5138451824468102E-3</v>
      </c>
      <c r="J19">
        <v>8.5802391382439197E-3</v>
      </c>
      <c r="K19">
        <v>8.7192127102867605E-3</v>
      </c>
      <c r="L19">
        <v>8.9556783216373798E-3</v>
      </c>
      <c r="M19">
        <v>9.35942118723645E-3</v>
      </c>
      <c r="N19">
        <v>9.9799831552235194E-3</v>
      </c>
      <c r="O19">
        <v>1.08770343472041E-2</v>
      </c>
      <c r="P19">
        <v>1.21421884308775E-2</v>
      </c>
      <c r="Q19">
        <v>1.41547898883415E-2</v>
      </c>
      <c r="R19">
        <v>1.7024211689645199E-2</v>
      </c>
      <c r="S19">
        <v>2.07525532442593E-2</v>
      </c>
      <c r="T19">
        <v>2.5165230952027301E-2</v>
      </c>
      <c r="U19">
        <v>3.0562830555783901E-2</v>
      </c>
      <c r="V19">
        <v>3.6459229049455803E-2</v>
      </c>
      <c r="W19">
        <v>4.3207061056939597E-2</v>
      </c>
      <c r="X19">
        <v>5.0310109731135602E-2</v>
      </c>
      <c r="Y19">
        <v>5.7770761813288697E-2</v>
      </c>
      <c r="Z19">
        <v>6.5824241641319503E-2</v>
      </c>
      <c r="AA19">
        <v>7.3935978033094901E-2</v>
      </c>
      <c r="AB19">
        <v>8.2443484161280001E-2</v>
      </c>
      <c r="AC19">
        <v>9.0270175592240695E-2</v>
      </c>
      <c r="AD19">
        <v>9.6463977957265204E-2</v>
      </c>
      <c r="AE19">
        <v>0.102762430939227</v>
      </c>
      <c r="AF19">
        <v>0.104866404221459</v>
      </c>
      <c r="AG19">
        <v>0.112357774968394</v>
      </c>
      <c r="AH19">
        <v>0.11567589303666</v>
      </c>
      <c r="AI19">
        <v>0.118131391922344</v>
      </c>
      <c r="AJ19">
        <v>0.12004517221908501</v>
      </c>
      <c r="AK19">
        <v>0.119482496194825</v>
      </c>
      <c r="AL19">
        <v>0.116407528641571</v>
      </c>
      <c r="AM19">
        <v>0.105782792665726</v>
      </c>
      <c r="AN19">
        <v>8.9334907516725695E-2</v>
      </c>
      <c r="AO19">
        <v>8.4246970571263693E-2</v>
      </c>
      <c r="AP19">
        <v>8.9009990917347903E-2</v>
      </c>
      <c r="AQ19">
        <v>9.3390804597701105E-2</v>
      </c>
      <c r="AR19">
        <v>0.12731481481481499</v>
      </c>
      <c r="AS19">
        <v>6.8376068376068397E-2</v>
      </c>
      <c r="AT19">
        <v>4.2553191489361701E-2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384909</v>
      </c>
    </row>
    <row r="20" spans="1:53">
      <c r="A20" t="s">
        <v>16</v>
      </c>
      <c r="B20" t="s">
        <v>42</v>
      </c>
      <c r="C20">
        <v>1.81346697142731E-3</v>
      </c>
      <c r="D20">
        <v>1.81347531832475E-3</v>
      </c>
      <c r="E20">
        <v>1.81397293220898E-3</v>
      </c>
      <c r="F20">
        <v>1.8142368785548E-3</v>
      </c>
      <c r="G20">
        <v>1.8151629684640799E-3</v>
      </c>
      <c r="H20">
        <v>1.8178110417718201E-3</v>
      </c>
      <c r="I20">
        <v>1.8238663559613101E-3</v>
      </c>
      <c r="J20">
        <v>1.8371564662029501E-3</v>
      </c>
      <c r="K20">
        <v>1.86447380774677E-3</v>
      </c>
      <c r="L20">
        <v>1.90980303753344E-3</v>
      </c>
      <c r="M20">
        <v>1.98530080423585E-3</v>
      </c>
      <c r="N20">
        <v>2.0968465265852102E-3</v>
      </c>
      <c r="O20">
        <v>2.2509584861854499E-3</v>
      </c>
      <c r="P20">
        <v>2.4303289927846698E-3</v>
      </c>
      <c r="Q20">
        <v>2.7384012906870401E-3</v>
      </c>
      <c r="R20">
        <v>3.1371734478731501E-3</v>
      </c>
      <c r="S20">
        <v>3.6048690288217602E-3</v>
      </c>
      <c r="T20">
        <v>4.1245853755136402E-3</v>
      </c>
      <c r="U20">
        <v>4.6703544066927401E-3</v>
      </c>
      <c r="V20">
        <v>5.2625113627988102E-3</v>
      </c>
      <c r="W20">
        <v>5.8739413961859397E-3</v>
      </c>
      <c r="X20">
        <v>6.3176200809517196E-3</v>
      </c>
      <c r="Y20">
        <v>6.5806365719828404E-3</v>
      </c>
      <c r="Z20">
        <v>6.7996852649998196E-3</v>
      </c>
      <c r="AA20">
        <v>7.1681479875713603E-3</v>
      </c>
      <c r="AB20">
        <v>7.6961537087961102E-3</v>
      </c>
      <c r="AC20">
        <v>8.4293033235538807E-3</v>
      </c>
      <c r="AD20">
        <v>8.4010913314784292E-3</v>
      </c>
      <c r="AE20">
        <v>8.9402310396785502E-3</v>
      </c>
      <c r="AF20">
        <v>8.8365859787251904E-3</v>
      </c>
      <c r="AG20">
        <v>9.3763168984407896E-3</v>
      </c>
      <c r="AH20">
        <v>1.0522082970310299E-2</v>
      </c>
      <c r="AI20">
        <v>1.08337666840007E-2</v>
      </c>
      <c r="AJ20">
        <v>1.0841332580462999E-2</v>
      </c>
      <c r="AK20">
        <v>9.1324200913242004E-3</v>
      </c>
      <c r="AL20">
        <v>1.04337152209493E-2</v>
      </c>
      <c r="AM20">
        <v>1.04372355430183E-2</v>
      </c>
      <c r="AN20">
        <v>1.18063754427391E-2</v>
      </c>
      <c r="AO20">
        <v>1.2694748990190401E-2</v>
      </c>
      <c r="AP20">
        <v>1.18074477747502E-2</v>
      </c>
      <c r="AQ20">
        <v>5.74712643678161E-3</v>
      </c>
      <c r="AR20">
        <v>9.2592592592592605E-3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88729</v>
      </c>
    </row>
    <row r="21" spans="1:53">
      <c r="A21" t="s">
        <v>110</v>
      </c>
      <c r="B21" t="s">
        <v>8</v>
      </c>
      <c r="C21">
        <v>1.8466064693823301E-3</v>
      </c>
      <c r="D21">
        <v>1.8466149688119099E-3</v>
      </c>
      <c r="E21">
        <v>1.84712167614782E-3</v>
      </c>
      <c r="F21">
        <v>1.84739044587864E-3</v>
      </c>
      <c r="G21">
        <v>1.8483334592583401E-3</v>
      </c>
      <c r="H21">
        <v>1.85102992375344E-3</v>
      </c>
      <c r="I21">
        <v>1.85719589343066E-3</v>
      </c>
      <c r="J21">
        <v>1.86794679803875E-3</v>
      </c>
      <c r="K21">
        <v>1.8986147319984901E-3</v>
      </c>
      <c r="L21">
        <v>1.9449348256536201E-3</v>
      </c>
      <c r="M21">
        <v>2.0282151808585498E-3</v>
      </c>
      <c r="N21">
        <v>2.1581002592345501E-3</v>
      </c>
      <c r="O21">
        <v>2.3540924392019399E-3</v>
      </c>
      <c r="P21">
        <v>2.5924409878564599E-3</v>
      </c>
      <c r="Q21">
        <v>2.9666013982443001E-3</v>
      </c>
      <c r="R21">
        <v>3.5036015770126099E-3</v>
      </c>
      <c r="S21">
        <v>4.1524751551346101E-3</v>
      </c>
      <c r="T21">
        <v>4.88266745878509E-3</v>
      </c>
      <c r="U21">
        <v>5.8173903171378103E-3</v>
      </c>
      <c r="V21">
        <v>6.7267768960518901E-3</v>
      </c>
      <c r="W21">
        <v>7.4826493756240701E-3</v>
      </c>
      <c r="X21">
        <v>8.4645336041984098E-3</v>
      </c>
      <c r="Y21">
        <v>9.39547533687724E-3</v>
      </c>
      <c r="Z21">
        <v>1.0463764371528199E-2</v>
      </c>
      <c r="AA21">
        <v>1.09979044728665E-2</v>
      </c>
      <c r="AB21">
        <v>1.2106710474625901E-2</v>
      </c>
      <c r="AC21">
        <v>1.30489994307483E-2</v>
      </c>
      <c r="AD21">
        <v>1.3722682946595E-2</v>
      </c>
      <c r="AE21">
        <v>1.41637368156705E-2</v>
      </c>
      <c r="AF21">
        <v>1.5034760030153299E-2</v>
      </c>
      <c r="AG21">
        <v>1.4801938474504801E-2</v>
      </c>
      <c r="AH21">
        <v>1.5012398632799399E-2</v>
      </c>
      <c r="AI21">
        <v>1.4733922690240899E-2</v>
      </c>
      <c r="AJ21">
        <v>1.52456239412761E-2</v>
      </c>
      <c r="AK21">
        <v>1.23287671232877E-2</v>
      </c>
      <c r="AL21">
        <v>1.4729950900163701E-2</v>
      </c>
      <c r="AM21">
        <v>1.2693935119887201E-2</v>
      </c>
      <c r="AN21">
        <v>8.2644628099173608E-3</v>
      </c>
      <c r="AO21">
        <v>9.2325447201384893E-3</v>
      </c>
      <c r="AP21">
        <v>8.1743869209809292E-3</v>
      </c>
      <c r="AQ21">
        <v>5.74712643678161E-3</v>
      </c>
      <c r="AR21">
        <v>9.2592592592592605E-3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88963</v>
      </c>
    </row>
    <row r="22" spans="1:53">
      <c r="A22" t="s">
        <v>97</v>
      </c>
      <c r="B22" t="s">
        <v>55</v>
      </c>
      <c r="C22">
        <v>1.1847370518918499E-3</v>
      </c>
      <c r="D22">
        <v>1.1847425049157101E-3</v>
      </c>
      <c r="E22">
        <v>1.18506759581368E-3</v>
      </c>
      <c r="F22">
        <v>1.18524003182742E-3</v>
      </c>
      <c r="G22">
        <v>1.1858450458950599E-3</v>
      </c>
      <c r="H22">
        <v>1.18757503084281E-3</v>
      </c>
      <c r="I22">
        <v>1.1915309645290401E-3</v>
      </c>
      <c r="J22">
        <v>1.20082294159634E-3</v>
      </c>
      <c r="K22">
        <v>1.2205380419990301E-3</v>
      </c>
      <c r="L22">
        <v>1.25498554229331E-3</v>
      </c>
      <c r="M22">
        <v>1.31093202873628E-3</v>
      </c>
      <c r="N22">
        <v>1.4022729510079501E-3</v>
      </c>
      <c r="O22">
        <v>1.5266223510463899E-3</v>
      </c>
      <c r="P22">
        <v>1.7035268815461201E-3</v>
      </c>
      <c r="Q22">
        <v>1.95645686619016E-3</v>
      </c>
      <c r="R22">
        <v>2.3572889805068102E-3</v>
      </c>
      <c r="S22">
        <v>2.7969658200463102E-3</v>
      </c>
      <c r="T22">
        <v>3.34484380414872E-3</v>
      </c>
      <c r="U22">
        <v>3.96177590911404E-3</v>
      </c>
      <c r="V22">
        <v>4.5647740952755303E-3</v>
      </c>
      <c r="W22">
        <v>5.0418510619938102E-3</v>
      </c>
      <c r="X22">
        <v>5.7558828508549199E-3</v>
      </c>
      <c r="Y22">
        <v>6.3904447635440304E-3</v>
      </c>
      <c r="Z22">
        <v>7.1402567204143204E-3</v>
      </c>
      <c r="AA22">
        <v>7.6884167931208901E-3</v>
      </c>
      <c r="AB22">
        <v>8.3032748830398906E-3</v>
      </c>
      <c r="AC22">
        <v>9.2612865087358196E-3</v>
      </c>
      <c r="AD22">
        <v>1.01299332775061E-2</v>
      </c>
      <c r="AE22">
        <v>1.08823036999833E-2</v>
      </c>
      <c r="AF22">
        <v>1.14331183516207E-2</v>
      </c>
      <c r="AG22">
        <v>1.24315212810788E-2</v>
      </c>
      <c r="AH22">
        <v>1.2063534615642401E-2</v>
      </c>
      <c r="AI22">
        <v>1.14404576183047E-2</v>
      </c>
      <c r="AJ22">
        <v>9.7120271033314508E-3</v>
      </c>
      <c r="AK22">
        <v>9.4368340943683394E-3</v>
      </c>
      <c r="AL22">
        <v>7.9787234042553203E-3</v>
      </c>
      <c r="AM22">
        <v>7.3342736248237003E-3</v>
      </c>
      <c r="AN22">
        <v>6.6902794175521503E-3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58000</v>
      </c>
    </row>
    <row r="23" spans="1:53">
      <c r="A23" t="s">
        <v>18</v>
      </c>
      <c r="B23" t="s">
        <v>135</v>
      </c>
      <c r="C23">
        <v>4.2374371385148199E-2</v>
      </c>
      <c r="D23">
        <v>4.2374566422906101E-2</v>
      </c>
      <c r="E23">
        <v>4.2386193916468799E-2</v>
      </c>
      <c r="F23">
        <v>4.2392361418088602E-2</v>
      </c>
      <c r="G23">
        <v>4.24140008956033E-2</v>
      </c>
      <c r="H23">
        <v>4.2469417866775702E-2</v>
      </c>
      <c r="I23">
        <v>4.2605332911159199E-2</v>
      </c>
      <c r="J23">
        <v>4.2926387780903498E-2</v>
      </c>
      <c r="K23">
        <v>4.3597960269447802E-2</v>
      </c>
      <c r="L23">
        <v>4.4807668098286998E-2</v>
      </c>
      <c r="M23">
        <v>4.67562351013035E-2</v>
      </c>
      <c r="N23">
        <v>4.9813504260415899E-2</v>
      </c>
      <c r="O23">
        <v>5.4066176020876197E-2</v>
      </c>
      <c r="P23">
        <v>5.98801181796444E-2</v>
      </c>
      <c r="Q23">
        <v>6.8737702328119807E-2</v>
      </c>
      <c r="R23">
        <v>8.0849329456118793E-2</v>
      </c>
      <c r="S23">
        <v>9.5745124954877706E-2</v>
      </c>
      <c r="T23">
        <v>0.112700504975494</v>
      </c>
      <c r="U23">
        <v>0.13195610728113299</v>
      </c>
      <c r="V23">
        <v>0.15137950519617699</v>
      </c>
      <c r="W23">
        <v>0.17188520851567399</v>
      </c>
      <c r="X23">
        <v>0.19227572833464099</v>
      </c>
      <c r="Y23">
        <v>0.213290603573704</v>
      </c>
      <c r="Z23">
        <v>0.234771171213491</v>
      </c>
      <c r="AA23">
        <v>0.25861695209191399</v>
      </c>
      <c r="AB23">
        <v>0.28077568658262197</v>
      </c>
      <c r="AC23">
        <v>0.302075579104086</v>
      </c>
      <c r="AD23">
        <v>0.31972770739350098</v>
      </c>
      <c r="AE23">
        <v>0.33681567051732803</v>
      </c>
      <c r="AF23">
        <v>0.35425915068263703</v>
      </c>
      <c r="AG23">
        <v>0.37210282343025702</v>
      </c>
      <c r="AH23">
        <v>0.39079150191006001</v>
      </c>
      <c r="AI23">
        <v>0.40743629745189802</v>
      </c>
      <c r="AJ23">
        <v>0.428458498023715</v>
      </c>
      <c r="AK23">
        <v>0.44916286149162898</v>
      </c>
      <c r="AL23">
        <v>0.46644844517184902</v>
      </c>
      <c r="AM23">
        <v>0.46995768688293399</v>
      </c>
      <c r="AN23">
        <v>0.49508067689885898</v>
      </c>
      <c r="AO23">
        <v>0.52740911713791105</v>
      </c>
      <c r="AP23">
        <v>0.53405994550408697</v>
      </c>
      <c r="AQ23">
        <v>0.61350574712643702</v>
      </c>
      <c r="AR23">
        <v>0.65277777777777801</v>
      </c>
      <c r="AS23">
        <v>0.74358974358974395</v>
      </c>
      <c r="AT23">
        <v>0.92198581560283699</v>
      </c>
      <c r="AU23">
        <v>1</v>
      </c>
      <c r="AV23">
        <v>1</v>
      </c>
      <c r="AW23">
        <v>1</v>
      </c>
      <c r="AX23">
        <v>1</v>
      </c>
      <c r="AY23">
        <v>1</v>
      </c>
      <c r="AZ23">
        <v>1</v>
      </c>
      <c r="BA23">
        <v>2094847</v>
      </c>
    </row>
    <row r="24" spans="1:53">
      <c r="A24" t="s">
        <v>102</v>
      </c>
      <c r="B24" t="s">
        <v>65</v>
      </c>
      <c r="C24">
        <v>4.4001888951383398E-4</v>
      </c>
      <c r="D24">
        <v>4.4002091480164102E-4</v>
      </c>
      <c r="E24">
        <v>4.4014165563243198E-4</v>
      </c>
      <c r="F24">
        <v>4.4020569946659602E-4</v>
      </c>
      <c r="G24">
        <v>4.4043040554610598E-4</v>
      </c>
      <c r="H24">
        <v>4.41072932978137E-4</v>
      </c>
      <c r="I24">
        <v>4.4254219195406401E-4</v>
      </c>
      <c r="J24">
        <v>4.45993291439821E-4</v>
      </c>
      <c r="K24">
        <v>4.5331560534229602E-4</v>
      </c>
      <c r="L24">
        <v>4.61592660579108E-4</v>
      </c>
      <c r="M24">
        <v>4.83297622441358E-4</v>
      </c>
      <c r="N24">
        <v>5.1518764424707101E-4</v>
      </c>
      <c r="O24">
        <v>5.5764288549612804E-4</v>
      </c>
      <c r="P24">
        <v>6.2142931444188199E-4</v>
      </c>
      <c r="Q24">
        <v>7.1970803152672297E-4</v>
      </c>
      <c r="R24">
        <v>8.7785990296512903E-4</v>
      </c>
      <c r="S24">
        <v>1.0731115569449E-3</v>
      </c>
      <c r="T24">
        <v>1.2314966087430101E-3</v>
      </c>
      <c r="U24">
        <v>1.4602197767781999E-3</v>
      </c>
      <c r="V24">
        <v>1.6902930987887899E-3</v>
      </c>
      <c r="W24">
        <v>1.9045623204842199E-3</v>
      </c>
      <c r="X24">
        <v>2.20847376764086E-3</v>
      </c>
      <c r="Y24">
        <v>2.5105318713923002E-3</v>
      </c>
      <c r="Z24">
        <v>2.7598031731864599E-3</v>
      </c>
      <c r="AA24">
        <v>3.1505166558277301E-3</v>
      </c>
      <c r="AB24">
        <v>3.5713010249633901E-3</v>
      </c>
      <c r="AC24">
        <v>3.8752900994001001E-3</v>
      </c>
      <c r="AD24">
        <v>4.1600259326291904E-3</v>
      </c>
      <c r="AE24">
        <v>4.2859534572241799E-3</v>
      </c>
      <c r="AF24">
        <v>4.9836669737833997E-3</v>
      </c>
      <c r="AG24">
        <v>5.9523809523809503E-3</v>
      </c>
      <c r="AH24">
        <v>6.1658065813283303E-3</v>
      </c>
      <c r="AI24">
        <v>6.2402496099843996E-3</v>
      </c>
      <c r="AJ24">
        <v>6.3241106719367597E-3</v>
      </c>
      <c r="AK24">
        <v>5.1750380517503799E-3</v>
      </c>
      <c r="AL24">
        <v>6.1374795417348596E-3</v>
      </c>
      <c r="AM24">
        <v>5.3596614950634702E-3</v>
      </c>
      <c r="AN24">
        <v>7.0838252656434501E-3</v>
      </c>
      <c r="AO24">
        <v>7.5014425851125197E-3</v>
      </c>
      <c r="AP24">
        <v>7.2661217075386001E-3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23891</v>
      </c>
    </row>
    <row r="25" spans="1:53">
      <c r="A25" t="s">
        <v>103</v>
      </c>
      <c r="B25" t="s">
        <v>66</v>
      </c>
      <c r="C25">
        <v>1.7214128104411501E-4</v>
      </c>
      <c r="D25">
        <v>1.7214207336382201E-4</v>
      </c>
      <c r="E25">
        <v>1.7218930879344101E-4</v>
      </c>
      <c r="F25">
        <v>1.7221436359885701E-4</v>
      </c>
      <c r="G25">
        <v>1.7230227162577801E-4</v>
      </c>
      <c r="H25">
        <v>1.72553636960066E-4</v>
      </c>
      <c r="I25">
        <v>1.7312843074353599E-4</v>
      </c>
      <c r="J25">
        <v>1.72612466352232E-4</v>
      </c>
      <c r="K25">
        <v>1.6785954423762799E-4</v>
      </c>
      <c r="L25">
        <v>1.5906892954417501E-4</v>
      </c>
      <c r="M25">
        <v>1.5837448515520201E-4</v>
      </c>
      <c r="N25">
        <v>1.4657143169661901E-4</v>
      </c>
      <c r="O25">
        <v>1.283178252647E-4</v>
      </c>
      <c r="P25">
        <v>1.13478396550257E-4</v>
      </c>
      <c r="Q25">
        <v>1.03727321616933E-4</v>
      </c>
      <c r="R25" s="1">
        <v>9.4056418174835195E-5</v>
      </c>
      <c r="S25" s="1">
        <v>8.5947149869728697E-5</v>
      </c>
      <c r="T25" s="1">
        <v>8.9732164958661301E-5</v>
      </c>
      <c r="U25" s="1">
        <v>8.2210764912445504E-5</v>
      </c>
      <c r="V25" s="1">
        <v>5.8963712748446097E-5</v>
      </c>
      <c r="W25" s="1">
        <v>3.0818160525634501E-5</v>
      </c>
      <c r="X25" s="1">
        <v>3.0780122197085099E-5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20735</v>
      </c>
    </row>
    <row r="26" spans="1:53">
      <c r="A26" t="s">
        <v>119</v>
      </c>
      <c r="B26" t="s">
        <v>73</v>
      </c>
      <c r="C26">
        <v>7.7629273959626899E-3</v>
      </c>
      <c r="D26">
        <v>7.7629631266155604E-3</v>
      </c>
      <c r="E26">
        <v>7.7650932676742697E-3</v>
      </c>
      <c r="F26">
        <v>7.7662231456104699E-3</v>
      </c>
      <c r="G26">
        <v>7.7701874685571397E-3</v>
      </c>
      <c r="H26">
        <v>7.7815231041937901E-3</v>
      </c>
      <c r="I26">
        <v>7.8074441521937803E-3</v>
      </c>
      <c r="J26">
        <v>7.8608650217165104E-3</v>
      </c>
      <c r="K26">
        <v>7.9823377618537805E-3</v>
      </c>
      <c r="L26">
        <v>8.2003448770533796E-3</v>
      </c>
      <c r="M26">
        <v>8.5655052197164995E-3</v>
      </c>
      <c r="N26">
        <v>9.1388381479496402E-3</v>
      </c>
      <c r="O26">
        <v>9.9608210901738492E-3</v>
      </c>
      <c r="P26">
        <v>1.1092513262787601E-2</v>
      </c>
      <c r="Q26">
        <v>1.28972955893547E-2</v>
      </c>
      <c r="R26">
        <v>1.55584991730873E-2</v>
      </c>
      <c r="S26">
        <v>1.8893639174219799E-2</v>
      </c>
      <c r="T26">
        <v>2.2810535175008698E-2</v>
      </c>
      <c r="U26">
        <v>2.7552350640656701E-2</v>
      </c>
      <c r="V26">
        <v>3.2508660295309903E-2</v>
      </c>
      <c r="W26">
        <v>3.8374773486520103E-2</v>
      </c>
      <c r="X26">
        <v>4.4738907613463198E-2</v>
      </c>
      <c r="Y26">
        <v>5.1903344522951401E-2</v>
      </c>
      <c r="Z26">
        <v>5.9423847048185E-2</v>
      </c>
      <c r="AA26">
        <v>6.6738926222993003E-2</v>
      </c>
      <c r="AB26">
        <v>7.3908074711617394E-2</v>
      </c>
      <c r="AC26">
        <v>8.12497263213207E-2</v>
      </c>
      <c r="AD26">
        <v>8.9251465463680804E-2</v>
      </c>
      <c r="AE26">
        <v>9.6333500753390297E-2</v>
      </c>
      <c r="AF26">
        <v>0.105368958874278</v>
      </c>
      <c r="AG26">
        <v>0.116150442477876</v>
      </c>
      <c r="AH26">
        <v>0.120032169425642</v>
      </c>
      <c r="AI26">
        <v>0.12584503380135201</v>
      </c>
      <c r="AJ26">
        <v>0.12636928289102201</v>
      </c>
      <c r="AK26">
        <v>0.12922374429223701</v>
      </c>
      <c r="AL26">
        <v>0.13625204582651401</v>
      </c>
      <c r="AM26">
        <v>0.15232722143864599</v>
      </c>
      <c r="AN26">
        <v>0.17473435655253799</v>
      </c>
      <c r="AO26">
        <v>0.17368724754760501</v>
      </c>
      <c r="AP26">
        <v>0.17166212534059899</v>
      </c>
      <c r="AQ26">
        <v>0.193965517241379</v>
      </c>
      <c r="AR26">
        <v>0.233796296296296</v>
      </c>
      <c r="AS26">
        <v>0.33333333333333298</v>
      </c>
      <c r="AT26">
        <v>0.46099290780141799</v>
      </c>
      <c r="AU26">
        <v>0.51</v>
      </c>
      <c r="AV26">
        <v>0.64444444444444404</v>
      </c>
      <c r="AW26">
        <v>0.60869565217391297</v>
      </c>
      <c r="AX26">
        <v>0.58333333333333304</v>
      </c>
      <c r="AY26">
        <v>1</v>
      </c>
      <c r="AZ26">
        <v>1</v>
      </c>
      <c r="BA26">
        <v>399001</v>
      </c>
    </row>
    <row r="27" spans="1:53">
      <c r="A27" t="s">
        <v>117</v>
      </c>
      <c r="B27" t="s">
        <v>49</v>
      </c>
      <c r="C27">
        <v>1.1361324548911599E-2</v>
      </c>
      <c r="D27">
        <v>1.1361376842012201E-2</v>
      </c>
      <c r="E27">
        <v>1.13644943803671E-2</v>
      </c>
      <c r="F27">
        <v>1.1366147997524501E-2</v>
      </c>
      <c r="G27">
        <v>1.1371949927301299E-2</v>
      </c>
      <c r="H27">
        <v>1.13885400393644E-2</v>
      </c>
      <c r="I27">
        <v>1.14255506085881E-2</v>
      </c>
      <c r="J27">
        <v>1.15127849855145E-2</v>
      </c>
      <c r="K27">
        <v>1.16904214791935E-2</v>
      </c>
      <c r="L27">
        <v>1.1996529760040099E-2</v>
      </c>
      <c r="M27">
        <v>1.25156714107488E-2</v>
      </c>
      <c r="N27">
        <v>1.3325968301193401E-2</v>
      </c>
      <c r="O27">
        <v>1.4486722702781099E-2</v>
      </c>
      <c r="P27">
        <v>1.6034227245892801E-2</v>
      </c>
      <c r="Q27">
        <v>1.84969751517212E-2</v>
      </c>
      <c r="R27">
        <v>2.1991566274503702E-2</v>
      </c>
      <c r="S27">
        <v>2.6407875705687499E-2</v>
      </c>
      <c r="T27">
        <v>3.1301054507648897E-2</v>
      </c>
      <c r="U27">
        <v>3.7120117757133697E-2</v>
      </c>
      <c r="V27">
        <v>4.3456256295604699E-2</v>
      </c>
      <c r="W27">
        <v>5.0061019957840798E-2</v>
      </c>
      <c r="X27">
        <v>5.72048571032827E-2</v>
      </c>
      <c r="Y27">
        <v>6.4617666917085897E-2</v>
      </c>
      <c r="Z27">
        <v>7.2717877652640595E-2</v>
      </c>
      <c r="AA27">
        <v>8.0208107522219796E-2</v>
      </c>
      <c r="AB27">
        <v>8.6068354701617805E-2</v>
      </c>
      <c r="AC27">
        <v>9.1758987607829398E-2</v>
      </c>
      <c r="AD27">
        <v>9.5356438585591202E-2</v>
      </c>
      <c r="AE27">
        <v>9.7873765277080194E-2</v>
      </c>
      <c r="AF27">
        <v>9.4731552056286097E-2</v>
      </c>
      <c r="AG27">
        <v>9.4289928360724806E-2</v>
      </c>
      <c r="AH27">
        <v>9.2755177266939201E-2</v>
      </c>
      <c r="AI27">
        <v>9.0136938810885803E-2</v>
      </c>
      <c r="AJ27">
        <v>8.4472049689440998E-2</v>
      </c>
      <c r="AK27">
        <v>8.1582952815829501E-2</v>
      </c>
      <c r="AL27">
        <v>8.2037643207856004E-2</v>
      </c>
      <c r="AM27">
        <v>7.8984485190409001E-2</v>
      </c>
      <c r="AN27">
        <v>7.0051160960251893E-2</v>
      </c>
      <c r="AO27">
        <v>6.11656087709175E-2</v>
      </c>
      <c r="AP27">
        <v>6.4486830154405095E-2</v>
      </c>
      <c r="AQ27">
        <v>6.0344827586206899E-2</v>
      </c>
      <c r="AR27">
        <v>7.8703703703703706E-2</v>
      </c>
      <c r="AS27">
        <v>8.11965811965812E-2</v>
      </c>
      <c r="AT27">
        <v>9.2198581560283696E-2</v>
      </c>
      <c r="AU27">
        <v>7.0000000000000007E-2</v>
      </c>
      <c r="AV27">
        <v>4.4444444444444398E-2</v>
      </c>
      <c r="AW27">
        <v>0</v>
      </c>
      <c r="AX27">
        <v>0</v>
      </c>
      <c r="AY27">
        <v>0</v>
      </c>
      <c r="AZ27">
        <v>0</v>
      </c>
      <c r="BA27">
        <v>503734</v>
      </c>
    </row>
    <row r="28" spans="1:53">
      <c r="A28" t="s">
        <v>111</v>
      </c>
      <c r="B28" t="s">
        <v>38</v>
      </c>
      <c r="C28">
        <v>1.3292620846401201E-3</v>
      </c>
      <c r="D28">
        <v>1.3292682028735799E-3</v>
      </c>
      <c r="E28">
        <v>1.32963295132475E-3</v>
      </c>
      <c r="F28">
        <v>1.32982642265641E-3</v>
      </c>
      <c r="G28">
        <v>1.33050524185895E-3</v>
      </c>
      <c r="H28">
        <v>1.3278325325429699E-3</v>
      </c>
      <c r="I28">
        <v>1.3322556782884899E-3</v>
      </c>
      <c r="J28">
        <v>1.33424771288482E-3</v>
      </c>
      <c r="K28">
        <v>1.34477307191501E-3</v>
      </c>
      <c r="L28">
        <v>1.3681879706805701E-3</v>
      </c>
      <c r="M28">
        <v>1.40493494895744E-3</v>
      </c>
      <c r="N28">
        <v>1.424149284097E-3</v>
      </c>
      <c r="O28">
        <v>1.4966415507508999E-3</v>
      </c>
      <c r="P28">
        <v>1.5684335523196201E-3</v>
      </c>
      <c r="Q28">
        <v>1.65963714587093E-3</v>
      </c>
      <c r="R28">
        <v>1.7518007885063099E-3</v>
      </c>
      <c r="S28">
        <v>1.9227605242284999E-3</v>
      </c>
      <c r="T28">
        <v>2.0916877073122401E-3</v>
      </c>
      <c r="U28">
        <v>2.17271307268606E-3</v>
      </c>
      <c r="V28">
        <v>2.32415301083458E-3</v>
      </c>
      <c r="W28">
        <v>2.2682166146867E-3</v>
      </c>
      <c r="X28">
        <v>2.3469843175277401E-3</v>
      </c>
      <c r="Y28">
        <v>2.34886883421931E-3</v>
      </c>
      <c r="Z28">
        <v>2.4662070909325798E-3</v>
      </c>
      <c r="AA28">
        <v>2.35566153623817E-3</v>
      </c>
      <c r="AB28">
        <v>2.6427627584729098E-3</v>
      </c>
      <c r="AC28">
        <v>2.93383544248369E-3</v>
      </c>
      <c r="AD28">
        <v>3.1335260271752301E-3</v>
      </c>
      <c r="AE28">
        <v>3.3149171270718202E-3</v>
      </c>
      <c r="AF28">
        <v>3.3503643521232899E-3</v>
      </c>
      <c r="AG28">
        <v>3.16055625790139E-3</v>
      </c>
      <c r="AH28">
        <v>3.4180014744320101E-3</v>
      </c>
      <c r="AI28">
        <v>2.7734442711041798E-3</v>
      </c>
      <c r="AJ28">
        <v>2.9361942405420698E-3</v>
      </c>
      <c r="AK28">
        <v>1.9786910197869098E-3</v>
      </c>
      <c r="AL28">
        <v>1.84124386252046E-3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79522</v>
      </c>
    </row>
    <row r="29" spans="1:53">
      <c r="A29" t="s">
        <v>120</v>
      </c>
      <c r="B29" t="s">
        <v>74</v>
      </c>
      <c r="C29">
        <v>1.54043432994236E-2</v>
      </c>
      <c r="D29">
        <v>1.5404414201444901E-2</v>
      </c>
      <c r="E29">
        <v>1.54086411409061E-2</v>
      </c>
      <c r="F29">
        <v>1.54108832110335E-2</v>
      </c>
      <c r="G29">
        <v>1.5418749804202001E-2</v>
      </c>
      <c r="H29">
        <v>1.54393981476782E-2</v>
      </c>
      <c r="I29">
        <v>1.54889767183923E-2</v>
      </c>
      <c r="J29">
        <v>1.56078991196764E-2</v>
      </c>
      <c r="K29">
        <v>1.5860356032938401E-2</v>
      </c>
      <c r="L29">
        <v>1.6314812049812999E-2</v>
      </c>
      <c r="M29">
        <v>1.7056421165779299E-2</v>
      </c>
      <c r="N29">
        <v>1.8226266913139999E-2</v>
      </c>
      <c r="O29">
        <v>1.99096498602295E-2</v>
      </c>
      <c r="P29">
        <v>2.2295803055540901E-2</v>
      </c>
      <c r="Q29">
        <v>2.60882192891327E-2</v>
      </c>
      <c r="R29">
        <v>3.1477547949178203E-2</v>
      </c>
      <c r="S29">
        <v>3.8492044977371298E-2</v>
      </c>
      <c r="T29">
        <v>4.70567849893559E-2</v>
      </c>
      <c r="U29">
        <v>5.6948571294349798E-2</v>
      </c>
      <c r="V29">
        <v>6.7479055597867502E-2</v>
      </c>
      <c r="W29">
        <v>7.9196508918775693E-2</v>
      </c>
      <c r="X29">
        <v>9.2032565369284502E-2</v>
      </c>
      <c r="Y29">
        <v>0.10487176317315999</v>
      </c>
      <c r="Z29">
        <v>0.11880071872320901</v>
      </c>
      <c r="AA29">
        <v>0.133087650841824</v>
      </c>
      <c r="AB29">
        <v>0.148351844576979</v>
      </c>
      <c r="AC29">
        <v>0.16309059859000699</v>
      </c>
      <c r="AD29">
        <v>0.178502930927362</v>
      </c>
      <c r="AE29">
        <v>0.192198225347397</v>
      </c>
      <c r="AF29">
        <v>0.20759695116844001</v>
      </c>
      <c r="AG29">
        <v>0.22297724399494301</v>
      </c>
      <c r="AH29">
        <v>0.23550700355204099</v>
      </c>
      <c r="AI29">
        <v>0.24934997399896</v>
      </c>
      <c r="AJ29">
        <v>0.25138339920948599</v>
      </c>
      <c r="AK29">
        <v>0.261643835616438</v>
      </c>
      <c r="AL29">
        <v>0.27332242225859199</v>
      </c>
      <c r="AM29">
        <v>0.28913963328631898</v>
      </c>
      <c r="AN29">
        <v>0.30539157811885098</v>
      </c>
      <c r="AO29">
        <v>0.30929024812463901</v>
      </c>
      <c r="AP29">
        <v>0.28247048138056302</v>
      </c>
      <c r="AQ29">
        <v>0.306034482758621</v>
      </c>
      <c r="AR29">
        <v>0.27083333333333298</v>
      </c>
      <c r="AS29">
        <v>0.35042735042735002</v>
      </c>
      <c r="AT29">
        <v>0.42553191489361702</v>
      </c>
      <c r="AU29">
        <v>0.42</v>
      </c>
      <c r="AV29">
        <v>0.51111111111111096</v>
      </c>
      <c r="AW29">
        <v>0.60869565217391297</v>
      </c>
      <c r="AX29">
        <v>0.58333333333333304</v>
      </c>
      <c r="AY29">
        <v>1</v>
      </c>
      <c r="AZ29">
        <v>1</v>
      </c>
      <c r="BA29">
        <v>662822</v>
      </c>
    </row>
    <row r="30" spans="1:53">
      <c r="A30" t="s">
        <v>112</v>
      </c>
      <c r="B30" t="s">
        <v>39</v>
      </c>
      <c r="C30">
        <v>1.6661803138494601E-3</v>
      </c>
      <c r="D30">
        <v>1.6661879828262999E-3</v>
      </c>
      <c r="E30">
        <v>1.66664518136967E-3</v>
      </c>
      <c r="F30">
        <v>1.66688769044883E-3</v>
      </c>
      <c r="G30">
        <v>1.667738564934E-3</v>
      </c>
      <c r="H30">
        <v>1.6701715662979699E-3</v>
      </c>
      <c r="I30">
        <v>1.67480925783452E-3</v>
      </c>
      <c r="J30">
        <v>1.6841378473825899E-3</v>
      </c>
      <c r="K30">
        <v>1.70799457159304E-3</v>
      </c>
      <c r="L30">
        <v>1.7517099909926E-3</v>
      </c>
      <c r="M30">
        <v>1.8115997560011201E-3</v>
      </c>
      <c r="N30">
        <v>1.9087100620193999E-3</v>
      </c>
      <c r="O30">
        <v>2.0410928841170101E-3</v>
      </c>
      <c r="P30">
        <v>2.2155305993145401E-3</v>
      </c>
      <c r="Q30">
        <v>2.4814766940666399E-3</v>
      </c>
      <c r="R30">
        <v>2.8745992804684001E-3</v>
      </c>
      <c r="S30">
        <v>3.32001561782495E-3</v>
      </c>
      <c r="T30">
        <v>3.7130551017377101E-3</v>
      </c>
      <c r="U30">
        <v>4.1105382456222798E-3</v>
      </c>
      <c r="V30">
        <v>4.5058103825270897E-3</v>
      </c>
      <c r="W30">
        <v>4.6843603998964504E-3</v>
      </c>
      <c r="X30">
        <v>4.8247841543930898E-3</v>
      </c>
      <c r="Y30">
        <v>4.8403815247677296E-3</v>
      </c>
      <c r="Z30">
        <v>4.7562565325128302E-3</v>
      </c>
      <c r="AA30">
        <v>4.5812558710889503E-3</v>
      </c>
      <c r="AB30">
        <v>4.8391128888254E-3</v>
      </c>
      <c r="AC30">
        <v>5.0356876997854402E-3</v>
      </c>
      <c r="AD30">
        <v>5.2675653043031999E-3</v>
      </c>
      <c r="AE30">
        <v>4.8216976393772003E-3</v>
      </c>
      <c r="AF30">
        <v>4.1879554401541199E-3</v>
      </c>
      <c r="AG30">
        <v>4.0033712600084301E-3</v>
      </c>
      <c r="AH30">
        <v>3.95415856846056E-3</v>
      </c>
      <c r="AI30">
        <v>3.2934650719362098E-3</v>
      </c>
      <c r="AJ30">
        <v>3.3879164313946899E-3</v>
      </c>
      <c r="AK30">
        <v>3.0441400304414001E-3</v>
      </c>
      <c r="AL30">
        <v>3.27332242225859E-3</v>
      </c>
      <c r="AM30">
        <v>3.6671368124118501E-3</v>
      </c>
      <c r="AN30">
        <v>3.1483667847304201E-3</v>
      </c>
      <c r="AO30">
        <v>4.0392383150605901E-3</v>
      </c>
      <c r="AP30">
        <v>4.5413260672116304E-3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91032</v>
      </c>
    </row>
    <row r="31" spans="1:53">
      <c r="A31" t="s">
        <v>112</v>
      </c>
      <c r="B31" t="s">
        <v>80</v>
      </c>
      <c r="C31">
        <v>1.42021159569444E-2</v>
      </c>
      <c r="D31">
        <v>1.42021813254387E-2</v>
      </c>
      <c r="E31">
        <v>1.4206078374680299E-2</v>
      </c>
      <c r="F31">
        <v>1.42081454631185E-2</v>
      </c>
      <c r="G31">
        <v>1.42153981103877E-2</v>
      </c>
      <c r="H31">
        <v>1.42342909291229E-2</v>
      </c>
      <c r="I31">
        <v>1.4278929344158E-2</v>
      </c>
      <c r="J31">
        <v>1.4385616249830899E-2</v>
      </c>
      <c r="K31">
        <v>1.46151606567576E-2</v>
      </c>
      <c r="L31">
        <v>1.5013960006362801E-2</v>
      </c>
      <c r="M31">
        <v>1.5678052259493001E-2</v>
      </c>
      <c r="N31">
        <v>1.6721175196613501E-2</v>
      </c>
      <c r="O31">
        <v>1.82103380994811E-2</v>
      </c>
      <c r="P31">
        <v>2.0261297517389899E-2</v>
      </c>
      <c r="Q31">
        <v>2.3400883756780198E-2</v>
      </c>
      <c r="R31">
        <v>2.78367807623273E-2</v>
      </c>
      <c r="S31">
        <v>3.3340127250894497E-2</v>
      </c>
      <c r="T31">
        <v>3.96739937620674E-2</v>
      </c>
      <c r="U31">
        <v>4.72946786146312E-2</v>
      </c>
      <c r="V31">
        <v>5.5553644694494302E-2</v>
      </c>
      <c r="W31">
        <v>6.3849064977009706E-2</v>
      </c>
      <c r="X31">
        <v>7.3364421256752396E-2</v>
      </c>
      <c r="Y31">
        <v>8.2134332474300298E-2</v>
      </c>
      <c r="Z31">
        <v>9.1214430834634902E-2</v>
      </c>
      <c r="AA31">
        <v>0.101351253703302</v>
      </c>
      <c r="AB31">
        <v>0.11122817042248501</v>
      </c>
      <c r="AC31">
        <v>0.12217016245566401</v>
      </c>
      <c r="AD31">
        <v>0.130338474837246</v>
      </c>
      <c r="AE31">
        <v>0.13838941905240201</v>
      </c>
      <c r="AF31">
        <v>0.145322053773348</v>
      </c>
      <c r="AG31">
        <v>0.15307627475769101</v>
      </c>
      <c r="AH31">
        <v>0.15669191072984401</v>
      </c>
      <c r="AI31">
        <v>0.163546541861674</v>
      </c>
      <c r="AJ31">
        <v>0.162281197063806</v>
      </c>
      <c r="AK31">
        <v>0.16118721461187199</v>
      </c>
      <c r="AL31">
        <v>0.16673486088379699</v>
      </c>
      <c r="AM31">
        <v>0.17630465444287699</v>
      </c>
      <c r="AN31">
        <v>0.19598583234946901</v>
      </c>
      <c r="AO31">
        <v>0.190421234852856</v>
      </c>
      <c r="AP31">
        <v>0.15531335149863801</v>
      </c>
      <c r="AQ31">
        <v>0.14798850574712599</v>
      </c>
      <c r="AR31">
        <v>0.16203703703703701</v>
      </c>
      <c r="AS31">
        <v>0.20512820512820501</v>
      </c>
      <c r="AT31">
        <v>0.24113475177304999</v>
      </c>
      <c r="AU31">
        <v>0.23</v>
      </c>
      <c r="AV31">
        <v>0.2</v>
      </c>
      <c r="AW31">
        <v>0</v>
      </c>
      <c r="AX31">
        <v>0</v>
      </c>
      <c r="AY31">
        <v>0</v>
      </c>
      <c r="AZ31">
        <v>0</v>
      </c>
      <c r="BA31">
        <v>670983</v>
      </c>
    </row>
    <row r="32" spans="1:53">
      <c r="A32" t="s">
        <v>112</v>
      </c>
      <c r="B32" t="s">
        <v>81</v>
      </c>
      <c r="C32">
        <v>1.6099352214869099E-2</v>
      </c>
      <c r="D32">
        <v>1.60994263158282E-2</v>
      </c>
      <c r="E32">
        <v>1.6103843965179099E-2</v>
      </c>
      <c r="F32">
        <v>1.61061871924086E-2</v>
      </c>
      <c r="G32">
        <v>1.61144087083595E-2</v>
      </c>
      <c r="H32">
        <v>1.6136071922570501E-2</v>
      </c>
      <c r="I32">
        <v>1.6187045364278001E-2</v>
      </c>
      <c r="J32">
        <v>1.63095454693893E-2</v>
      </c>
      <c r="K32">
        <v>1.6573522006196599E-2</v>
      </c>
      <c r="L32">
        <v>1.7042820770303502E-2</v>
      </c>
      <c r="M32">
        <v>1.7806400985804501E-2</v>
      </c>
      <c r="N32">
        <v>1.90083458210735E-2</v>
      </c>
      <c r="O32">
        <v>2.07335222523496E-2</v>
      </c>
      <c r="P32">
        <v>2.3118521430530298E-2</v>
      </c>
      <c r="Q32">
        <v>2.67919692711799E-2</v>
      </c>
      <c r="R32">
        <v>3.2120266806706203E-2</v>
      </c>
      <c r="S32">
        <v>3.8867756803944699E-2</v>
      </c>
      <c r="T32">
        <v>4.6651443140749503E-2</v>
      </c>
      <c r="U32">
        <v>5.6102974855250301E-2</v>
      </c>
      <c r="V32">
        <v>6.6000049136427305E-2</v>
      </c>
      <c r="W32">
        <v>7.6712565180409503E-2</v>
      </c>
      <c r="X32">
        <v>8.9223879218800498E-2</v>
      </c>
      <c r="Y32">
        <v>0.101334195536198</v>
      </c>
      <c r="Z32">
        <v>0.114232363683339</v>
      </c>
      <c r="AA32">
        <v>0.12748030927090101</v>
      </c>
      <c r="AB32">
        <v>0.14081639941430699</v>
      </c>
      <c r="AC32">
        <v>0.155996847221614</v>
      </c>
      <c r="AD32">
        <v>0.16864312920392199</v>
      </c>
      <c r="AE32">
        <v>0.181717729784028</v>
      </c>
      <c r="AF32">
        <v>0.19473992796716599</v>
      </c>
      <c r="AG32">
        <v>0.210176991150442</v>
      </c>
      <c r="AH32">
        <v>0.221566919107298</v>
      </c>
      <c r="AI32">
        <v>0.23816952678107101</v>
      </c>
      <c r="AJ32">
        <v>0.247882552230378</v>
      </c>
      <c r="AK32">
        <v>0.256164383561644</v>
      </c>
      <c r="AL32">
        <v>0.27004909983633402</v>
      </c>
      <c r="AM32">
        <v>0.27729196050775701</v>
      </c>
      <c r="AN32">
        <v>0.30578512396694202</v>
      </c>
      <c r="AO32">
        <v>0.30698211194460501</v>
      </c>
      <c r="AP32">
        <v>0.30517711171662099</v>
      </c>
      <c r="AQ32">
        <v>0.32614942528735602</v>
      </c>
      <c r="AR32">
        <v>0.38425925925925902</v>
      </c>
      <c r="AS32">
        <v>0.39316239316239299</v>
      </c>
      <c r="AT32">
        <v>0.43262411347517699</v>
      </c>
      <c r="AU32">
        <v>0.46</v>
      </c>
      <c r="AV32">
        <v>0.422222222222222</v>
      </c>
      <c r="AW32">
        <v>0.39130434782608697</v>
      </c>
      <c r="AX32">
        <v>0.41666666666666702</v>
      </c>
      <c r="AY32">
        <v>0</v>
      </c>
      <c r="AZ32">
        <v>0</v>
      </c>
      <c r="BA32">
        <v>749529</v>
      </c>
    </row>
    <row r="33" spans="1:53">
      <c r="A33" t="s">
        <v>113</v>
      </c>
      <c r="B33" t="s">
        <v>40</v>
      </c>
      <c r="C33">
        <v>1.2233997995060399E-3</v>
      </c>
      <c r="D33">
        <v>1.22340543048406E-3</v>
      </c>
      <c r="E33">
        <v>1.223741130409E-3</v>
      </c>
      <c r="F33">
        <v>1.22391919370524E-3</v>
      </c>
      <c r="G33">
        <v>1.22454395182171E-3</v>
      </c>
      <c r="H33">
        <v>1.2263303931547001E-3</v>
      </c>
      <c r="I33">
        <v>1.23041542490994E-3</v>
      </c>
      <c r="J33">
        <v>1.2362784752254501E-3</v>
      </c>
      <c r="K33">
        <v>1.25278224823676E-3</v>
      </c>
      <c r="L33">
        <v>1.2862137984001401E-3</v>
      </c>
      <c r="M33">
        <v>1.3088884869923499E-3</v>
      </c>
      <c r="N33">
        <v>1.36945845137438E-3</v>
      </c>
      <c r="O33">
        <v>1.4606645903963099E-3</v>
      </c>
      <c r="P33">
        <v>1.5751882187809399E-3</v>
      </c>
      <c r="Q33">
        <v>1.6787868052463701E-3</v>
      </c>
      <c r="R33">
        <v>1.8086265411536E-3</v>
      </c>
      <c r="S33">
        <v>2.0455421668995402E-3</v>
      </c>
      <c r="T33">
        <v>2.2835288875686899E-3</v>
      </c>
      <c r="U33">
        <v>2.4858969390191901E-3</v>
      </c>
      <c r="V33">
        <v>2.7123307864285202E-3</v>
      </c>
      <c r="W33">
        <v>2.9708706746711701E-3</v>
      </c>
      <c r="X33">
        <v>3.2626929528910202E-3</v>
      </c>
      <c r="Y33">
        <v>3.3473758285230701E-3</v>
      </c>
      <c r="Z33">
        <v>3.47617761388592E-3</v>
      </c>
      <c r="AA33">
        <v>3.4540067923982901E-3</v>
      </c>
      <c r="AB33">
        <v>3.83914860183565E-3</v>
      </c>
      <c r="AC33">
        <v>4.0066558654814604E-3</v>
      </c>
      <c r="AD33">
        <v>3.9439206893757302E-3</v>
      </c>
      <c r="AE33">
        <v>4.1185334003013604E-3</v>
      </c>
      <c r="AF33">
        <v>4.0204372225479497E-3</v>
      </c>
      <c r="AG33">
        <v>3.9506953223767396E-3</v>
      </c>
      <c r="AH33">
        <v>4.2222371154748304E-3</v>
      </c>
      <c r="AI33">
        <v>4.3335066736002797E-3</v>
      </c>
      <c r="AJ33">
        <v>4.7430830039525704E-3</v>
      </c>
      <c r="AK33">
        <v>5.3272450532724502E-3</v>
      </c>
      <c r="AL33">
        <v>6.3420621931260203E-3</v>
      </c>
      <c r="AM33">
        <v>7.3342736248237003E-3</v>
      </c>
      <c r="AN33">
        <v>7.8709169618260497E-3</v>
      </c>
      <c r="AO33">
        <v>9.2325447201384893E-3</v>
      </c>
      <c r="AP33">
        <v>1.18074477747502E-2</v>
      </c>
      <c r="AQ33">
        <v>7.1839080459770097E-3</v>
      </c>
      <c r="AR33">
        <v>1.1574074074074099E-2</v>
      </c>
      <c r="AS33">
        <v>4.2735042735042696E-3</v>
      </c>
      <c r="AT33">
        <v>7.09219858156028E-3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81839</v>
      </c>
    </row>
    <row r="34" spans="1:53">
      <c r="A34" t="s">
        <v>113</v>
      </c>
      <c r="B34" t="s">
        <v>77</v>
      </c>
      <c r="C34">
        <v>1.1328185050956599E-2</v>
      </c>
      <c r="D34">
        <v>1.1328237191525099E-2</v>
      </c>
      <c r="E34">
        <v>1.13313456364283E-2</v>
      </c>
      <c r="F34">
        <v>1.13329944302007E-2</v>
      </c>
      <c r="G34">
        <v>1.13387794365071E-2</v>
      </c>
      <c r="H34">
        <v>1.1355321157382799E-2</v>
      </c>
      <c r="I34">
        <v>1.1393146891604001E-2</v>
      </c>
      <c r="J34">
        <v>1.14791955326028E-2</v>
      </c>
      <c r="K34">
        <v>1.16610223499767E-2</v>
      </c>
      <c r="L34">
        <v>1.19916503450234E-2</v>
      </c>
      <c r="M34">
        <v>1.2537128599060201E-2</v>
      </c>
      <c r="N34">
        <v>1.3364251884099201E-2</v>
      </c>
      <c r="O34">
        <v>1.4549082767395799E-2</v>
      </c>
      <c r="P34">
        <v>1.6194988307672398E-2</v>
      </c>
      <c r="Q34">
        <v>1.8670917891048001E-2</v>
      </c>
      <c r="R34">
        <v>2.2340358825235301E-2</v>
      </c>
      <c r="S34">
        <v>2.6798321329381401E-2</v>
      </c>
      <c r="T34">
        <v>3.21148324174464E-2</v>
      </c>
      <c r="U34">
        <v>3.8294557255883002E-2</v>
      </c>
      <c r="V34">
        <v>4.48664717588384E-2</v>
      </c>
      <c r="W34">
        <v>5.1990236806745499E-2</v>
      </c>
      <c r="X34">
        <v>5.9944287978823299E-2</v>
      </c>
      <c r="Y34">
        <v>6.7632207080841E-2</v>
      </c>
      <c r="Z34">
        <v>7.5090133997251896E-2</v>
      </c>
      <c r="AA34">
        <v>8.2838355372497993E-2</v>
      </c>
      <c r="AB34">
        <v>9.0746759044319905E-2</v>
      </c>
      <c r="AC34">
        <v>9.8677584621447698E-2</v>
      </c>
      <c r="AD34">
        <v>0.10605364812663801</v>
      </c>
      <c r="AE34">
        <v>0.112874602377365</v>
      </c>
      <c r="AF34">
        <v>0.12119943043806</v>
      </c>
      <c r="AG34">
        <v>0.12816055625790099</v>
      </c>
      <c r="AH34">
        <v>0.13584880369948399</v>
      </c>
      <c r="AI34">
        <v>0.14534581383255299</v>
      </c>
      <c r="AJ34">
        <v>0.151891586674195</v>
      </c>
      <c r="AK34">
        <v>0.16103500761035</v>
      </c>
      <c r="AL34">
        <v>0.176759410801964</v>
      </c>
      <c r="AM34">
        <v>0.187306064880113</v>
      </c>
      <c r="AN34">
        <v>0.201495474222747</v>
      </c>
      <c r="AO34">
        <v>0.21407963069821101</v>
      </c>
      <c r="AP34">
        <v>0.221616712079927</v>
      </c>
      <c r="AQ34">
        <v>0.248563218390805</v>
      </c>
      <c r="AR34">
        <v>0.30324074074074098</v>
      </c>
      <c r="AS34">
        <v>0.36324786324786301</v>
      </c>
      <c r="AT34">
        <v>0.44680851063829802</v>
      </c>
      <c r="AU34">
        <v>0.45</v>
      </c>
      <c r="AV34">
        <v>0.51111111111111096</v>
      </c>
      <c r="AW34">
        <v>0.60869565217391297</v>
      </c>
      <c r="AX34">
        <v>0.58333333333333304</v>
      </c>
      <c r="AY34">
        <v>1</v>
      </c>
      <c r="AZ34">
        <v>1</v>
      </c>
      <c r="BA34">
        <v>529989</v>
      </c>
    </row>
    <row r="35" spans="1:53">
      <c r="A35" t="s">
        <v>113</v>
      </c>
      <c r="B35" t="s">
        <v>78</v>
      </c>
      <c r="C35">
        <v>9.6896209854029705E-3</v>
      </c>
      <c r="D35">
        <v>9.6896655841047508E-3</v>
      </c>
      <c r="E35">
        <v>9.6923244083409604E-3</v>
      </c>
      <c r="F35">
        <v>9.6937347125217298E-3</v>
      </c>
      <c r="G35">
        <v>9.6986829472349607E-3</v>
      </c>
      <c r="H35">
        <v>9.7128319927361397E-3</v>
      </c>
      <c r="I35">
        <v>9.7451864278420095E-3</v>
      </c>
      <c r="J35">
        <v>9.8202497749040104E-3</v>
      </c>
      <c r="K35">
        <v>9.9729433175305103E-3</v>
      </c>
      <c r="L35">
        <v>1.02428680030409E-2</v>
      </c>
      <c r="M35">
        <v>1.06846580081803E-2</v>
      </c>
      <c r="N35">
        <v>1.1393194272776E-2</v>
      </c>
      <c r="O35">
        <v>1.23892659141086E-2</v>
      </c>
      <c r="P35">
        <v>1.376601024818E-2</v>
      </c>
      <c r="Q35">
        <v>1.58591095727551E-2</v>
      </c>
      <c r="R35">
        <v>1.8893583000870001E-2</v>
      </c>
      <c r="S35">
        <v>2.2653213072807099E-2</v>
      </c>
      <c r="T35">
        <v>2.72105054705679E-2</v>
      </c>
      <c r="U35">
        <v>3.2535888913682601E-2</v>
      </c>
      <c r="V35">
        <v>3.8021767437289598E-2</v>
      </c>
      <c r="W35">
        <v>4.3928206013239497E-2</v>
      </c>
      <c r="X35">
        <v>5.0848761869584598E-2</v>
      </c>
      <c r="Y35">
        <v>5.7456945329364698E-2</v>
      </c>
      <c r="Z35">
        <v>6.4074408991086407E-2</v>
      </c>
      <c r="AA35">
        <v>7.0640942264614495E-2</v>
      </c>
      <c r="AB35">
        <v>7.7372236705831904E-2</v>
      </c>
      <c r="AC35">
        <v>8.4468187590314006E-2</v>
      </c>
      <c r="AD35">
        <v>9.2168886247602597E-2</v>
      </c>
      <c r="AE35">
        <v>9.8710865561694297E-2</v>
      </c>
      <c r="AF35">
        <v>0.106583465951922</v>
      </c>
      <c r="AG35">
        <v>0.111462284028656</v>
      </c>
      <c r="AH35">
        <v>0.117485423229006</v>
      </c>
      <c r="AI35">
        <v>0.124284971398856</v>
      </c>
      <c r="AJ35">
        <v>0.126595143986448</v>
      </c>
      <c r="AK35">
        <v>0.13470319634703201</v>
      </c>
      <c r="AL35">
        <v>0.14934533551554799</v>
      </c>
      <c r="AM35">
        <v>0.15486600846262299</v>
      </c>
      <c r="AN35">
        <v>0.172373081463991</v>
      </c>
      <c r="AO35">
        <v>0.18061165608770899</v>
      </c>
      <c r="AP35">
        <v>0.18437783832879201</v>
      </c>
      <c r="AQ35">
        <v>0.20114942528735599</v>
      </c>
      <c r="AR35">
        <v>0.23842592592592601</v>
      </c>
      <c r="AS35">
        <v>0.28205128205128199</v>
      </c>
      <c r="AT35">
        <v>0.38297872340425498</v>
      </c>
      <c r="AU35">
        <v>0.38</v>
      </c>
      <c r="AV35">
        <v>0.51111111111111096</v>
      </c>
      <c r="AW35">
        <v>0.60869565217391297</v>
      </c>
      <c r="AX35">
        <v>0.58333333333333304</v>
      </c>
      <c r="AY35">
        <v>1</v>
      </c>
      <c r="AZ35">
        <v>1</v>
      </c>
      <c r="BA35">
        <v>453650</v>
      </c>
    </row>
    <row r="36" spans="1:53">
      <c r="A36" t="s">
        <v>113</v>
      </c>
      <c r="B36" t="s">
        <v>79</v>
      </c>
      <c r="C36">
        <v>1.02566746170777E-2</v>
      </c>
      <c r="D36">
        <v>1.02567218257738E-2</v>
      </c>
      <c r="E36">
        <v>1.0259536249072301E-2</v>
      </c>
      <c r="F36">
        <v>1.0261029086729699E-2</v>
      </c>
      <c r="G36">
        <v>1.0266266900825801E-2</v>
      </c>
      <c r="H36">
        <v>1.0281243973310501E-2</v>
      </c>
      <c r="I36">
        <v>1.03154918467619E-2</v>
      </c>
      <c r="J36">
        <v>1.03894043936871E-2</v>
      </c>
      <c r="K36">
        <v>1.05514423117958E-2</v>
      </c>
      <c r="L36">
        <v>1.08479154651107E-2</v>
      </c>
      <c r="M36">
        <v>1.13406349079844E-2</v>
      </c>
      <c r="N36">
        <v>1.21173008980235E-2</v>
      </c>
      <c r="O36">
        <v>1.3220333698299599E-2</v>
      </c>
      <c r="P36">
        <v>1.47548934181179E-2</v>
      </c>
      <c r="Q36">
        <v>1.71213912865858E-2</v>
      </c>
      <c r="R36">
        <v>2.05415298276416E-2</v>
      </c>
      <c r="S36">
        <v>2.4897661500833699E-2</v>
      </c>
      <c r="T36">
        <v>3.0143819000940601E-2</v>
      </c>
      <c r="U36">
        <v>3.6243202931401E-2</v>
      </c>
      <c r="V36">
        <v>4.2616023388939397E-2</v>
      </c>
      <c r="W36">
        <v>4.9463147643643401E-2</v>
      </c>
      <c r="X36">
        <v>5.7012481339550898E-2</v>
      </c>
      <c r="Y36">
        <v>6.4161206576832705E-2</v>
      </c>
      <c r="Z36">
        <v>7.1343847987692499E-2</v>
      </c>
      <c r="AA36">
        <v>7.8864079774550205E-2</v>
      </c>
      <c r="AB36">
        <v>8.6443341309239002E-2</v>
      </c>
      <c r="AC36">
        <v>9.3532425449927806E-2</v>
      </c>
      <c r="AD36">
        <v>0.10127231961965499</v>
      </c>
      <c r="AE36">
        <v>0.10711535241922</v>
      </c>
      <c r="AF36">
        <v>0.116090124801072</v>
      </c>
      <c r="AG36">
        <v>0.12378845343447099</v>
      </c>
      <c r="AH36">
        <v>0.13028617384893801</v>
      </c>
      <c r="AI36">
        <v>0.140925637025481</v>
      </c>
      <c r="AJ36">
        <v>0.147713156408809</v>
      </c>
      <c r="AK36">
        <v>0.15905631659056299</v>
      </c>
      <c r="AL36">
        <v>0.176554828150573</v>
      </c>
      <c r="AM36">
        <v>0.186741889985896</v>
      </c>
      <c r="AN36">
        <v>0.203069657615112</v>
      </c>
      <c r="AO36">
        <v>0.21754183496826299</v>
      </c>
      <c r="AP36">
        <v>0.22888283378746599</v>
      </c>
      <c r="AQ36">
        <v>0.25862068965517199</v>
      </c>
      <c r="AR36">
        <v>0.29166666666666702</v>
      </c>
      <c r="AS36">
        <v>0.341880341880342</v>
      </c>
      <c r="AT36">
        <v>0.44680851063829802</v>
      </c>
      <c r="AU36">
        <v>0.45</v>
      </c>
      <c r="AV36">
        <v>0.51111111111111096</v>
      </c>
      <c r="AW36">
        <v>0.60869565217391297</v>
      </c>
      <c r="AX36">
        <v>0.58333333333333304</v>
      </c>
      <c r="AY36">
        <v>1</v>
      </c>
      <c r="AZ36">
        <v>1</v>
      </c>
      <c r="BA36">
        <v>466693</v>
      </c>
    </row>
    <row r="37" spans="1:53">
      <c r="A37" t="s">
        <v>121</v>
      </c>
      <c r="B37" t="s">
        <v>75</v>
      </c>
      <c r="C37">
        <v>1.9384765220465099E-2</v>
      </c>
      <c r="D37">
        <v>1.9384854443290699E-2</v>
      </c>
      <c r="E37">
        <v>1.9390173607338398E-2</v>
      </c>
      <c r="F37">
        <v>1.93929950195974E-2</v>
      </c>
      <c r="G37">
        <v>1.9401972907080199E-2</v>
      </c>
      <c r="H37">
        <v>1.9430277719080801E-2</v>
      </c>
      <c r="I37">
        <v>1.9495001958110301E-2</v>
      </c>
      <c r="J37">
        <v>1.9647030832318699E-2</v>
      </c>
      <c r="K37">
        <v>1.9960112020165899E-2</v>
      </c>
      <c r="L37">
        <v>2.05150124961819E-2</v>
      </c>
      <c r="M37">
        <v>2.1431644039550699E-2</v>
      </c>
      <c r="N37">
        <v>2.2871706244599301E-2</v>
      </c>
      <c r="O37">
        <v>2.4946424309872001E-2</v>
      </c>
      <c r="P37">
        <v>2.7891368752102401E-2</v>
      </c>
      <c r="Q37">
        <v>3.2538462888758002E-2</v>
      </c>
      <c r="R37">
        <v>3.91686196436829E-2</v>
      </c>
      <c r="S37">
        <v>4.7793982226129399E-2</v>
      </c>
      <c r="T37">
        <v>5.8236175058171198E-2</v>
      </c>
      <c r="U37">
        <v>7.0341096378420107E-2</v>
      </c>
      <c r="V37">
        <v>8.3576149178193296E-2</v>
      </c>
      <c r="W37">
        <v>9.8001750471517907E-2</v>
      </c>
      <c r="X37">
        <v>0.11362482109054001</v>
      </c>
      <c r="Y37">
        <v>0.12920680506290599</v>
      </c>
      <c r="Z37">
        <v>0.14672757806719799</v>
      </c>
      <c r="AA37">
        <v>0.16467952886769299</v>
      </c>
      <c r="AB37">
        <v>0.18063640584264801</v>
      </c>
      <c r="AC37">
        <v>0.19696107194465101</v>
      </c>
      <c r="AD37">
        <v>0.21364704611145599</v>
      </c>
      <c r="AE37">
        <v>0.22980077013226199</v>
      </c>
      <c r="AF37">
        <v>0.24729876874110099</v>
      </c>
      <c r="AG37">
        <v>0.26517067003792699</v>
      </c>
      <c r="AH37">
        <v>0.28483345620266698</v>
      </c>
      <c r="AI37">
        <v>0.304038828219795</v>
      </c>
      <c r="AJ37">
        <v>0.31507622811970598</v>
      </c>
      <c r="AK37">
        <v>0.33226788432267901</v>
      </c>
      <c r="AL37">
        <v>0.36354337152209498</v>
      </c>
      <c r="AM37">
        <v>0.38899858956276401</v>
      </c>
      <c r="AN37">
        <v>0.42581660763478901</v>
      </c>
      <c r="AO37">
        <v>0.42931332948644002</v>
      </c>
      <c r="AP37">
        <v>0.43142597638510399</v>
      </c>
      <c r="AQ37">
        <v>0.48275862068965503</v>
      </c>
      <c r="AR37">
        <v>0.5625</v>
      </c>
      <c r="AS37">
        <v>0.670940170940171</v>
      </c>
      <c r="AT37">
        <v>0.780141843971631</v>
      </c>
      <c r="AU37">
        <v>0.83</v>
      </c>
      <c r="AV37">
        <v>0.73333333333333295</v>
      </c>
      <c r="AW37">
        <v>0.60869565217391297</v>
      </c>
      <c r="AX37">
        <v>0.58333333333333304</v>
      </c>
      <c r="AY37">
        <v>1</v>
      </c>
      <c r="AZ37">
        <v>1</v>
      </c>
      <c r="BA37">
        <v>848258</v>
      </c>
    </row>
    <row r="38" spans="1:53">
      <c r="A38" t="s">
        <v>121</v>
      </c>
      <c r="B38" t="s">
        <v>76</v>
      </c>
      <c r="C38">
        <v>1.6705068594158101E-2</v>
      </c>
      <c r="D38">
        <v>1.6705145483065599E-2</v>
      </c>
      <c r="E38">
        <v>1.67097293405057E-2</v>
      </c>
      <c r="F38">
        <v>1.67121607284944E-2</v>
      </c>
      <c r="G38">
        <v>1.6719770165354898E-2</v>
      </c>
      <c r="H38">
        <v>1.6744162012178401E-2</v>
      </c>
      <c r="I38">
        <v>1.6799938525519802E-2</v>
      </c>
      <c r="J38">
        <v>1.6929084267540001E-2</v>
      </c>
      <c r="K38">
        <v>1.7193748796769499E-2</v>
      </c>
      <c r="L38">
        <v>1.7668361775443502E-2</v>
      </c>
      <c r="M38">
        <v>1.84490948642731E-2</v>
      </c>
      <c r="N38">
        <v>1.9687605963488401E-2</v>
      </c>
      <c r="O38">
        <v>2.1447065299382301E-2</v>
      </c>
      <c r="P38">
        <v>2.3949345405273201E-2</v>
      </c>
      <c r="Q38">
        <v>2.7886691465475601E-2</v>
      </c>
      <c r="R38">
        <v>3.3507598974785002E-2</v>
      </c>
      <c r="S38">
        <v>4.0770872265345898E-2</v>
      </c>
      <c r="T38">
        <v>4.9581662458537602E-2</v>
      </c>
      <c r="U38">
        <v>5.9614548956510499E-2</v>
      </c>
      <c r="V38">
        <v>7.0491118590767302E-2</v>
      </c>
      <c r="W38">
        <v>8.2586506576595498E-2</v>
      </c>
      <c r="X38">
        <v>9.5025932252951001E-2</v>
      </c>
      <c r="Y38">
        <v>0.106821229209658</v>
      </c>
      <c r="Z38">
        <v>0.11883595025308</v>
      </c>
      <c r="AA38">
        <v>0.131570200158971</v>
      </c>
      <c r="AB38">
        <v>0.14376272275990101</v>
      </c>
      <c r="AC38">
        <v>0.15628147304812401</v>
      </c>
      <c r="AD38">
        <v>0.169453523866123</v>
      </c>
      <c r="AE38">
        <v>0.182655282102796</v>
      </c>
      <c r="AF38">
        <v>0.19620571237122</v>
      </c>
      <c r="AG38">
        <v>0.210967130214918</v>
      </c>
      <c r="AH38">
        <v>0.22726358823135201</v>
      </c>
      <c r="AI38">
        <v>0.24371641532328001</v>
      </c>
      <c r="AJ38">
        <v>0.248898927159797</v>
      </c>
      <c r="AK38">
        <v>0.25601217656012198</v>
      </c>
      <c r="AL38">
        <v>0.27884615384615402</v>
      </c>
      <c r="AM38">
        <v>0.29760225669957702</v>
      </c>
      <c r="AN38">
        <v>0.31877213695395501</v>
      </c>
      <c r="AO38">
        <v>0.31102135025966499</v>
      </c>
      <c r="AP38">
        <v>0.30336058128973697</v>
      </c>
      <c r="AQ38">
        <v>0.32614942528735602</v>
      </c>
      <c r="AR38">
        <v>0.391203703703704</v>
      </c>
      <c r="AS38">
        <v>0.50854700854700896</v>
      </c>
      <c r="AT38">
        <v>0.54609929078014197</v>
      </c>
      <c r="AU38">
        <v>0.54</v>
      </c>
      <c r="AV38">
        <v>0.51111111111111096</v>
      </c>
      <c r="AW38">
        <v>0.60869565217391297</v>
      </c>
      <c r="AX38">
        <v>0.58333333333333304</v>
      </c>
      <c r="AY38">
        <v>1</v>
      </c>
      <c r="AZ38">
        <v>1</v>
      </c>
      <c r="BA38">
        <v>754621</v>
      </c>
    </row>
    <row r="39" spans="1:53">
      <c r="A39" t="s">
        <v>98</v>
      </c>
      <c r="B39" t="s">
        <v>56</v>
      </c>
      <c r="C39">
        <v>3.83129418024389E-3</v>
      </c>
      <c r="D39">
        <v>3.8313118146536202E-3</v>
      </c>
      <c r="E39">
        <v>3.8323631187074901E-3</v>
      </c>
      <c r="F39">
        <v>3.8329207556066398E-3</v>
      </c>
      <c r="G39">
        <v>3.83487729682614E-3</v>
      </c>
      <c r="H39">
        <v>3.8367808688767702E-3</v>
      </c>
      <c r="I39">
        <v>3.8440066547976502E-3</v>
      </c>
      <c r="J39">
        <v>3.8627870848553601E-3</v>
      </c>
      <c r="K39">
        <v>3.8835301336332699E-3</v>
      </c>
      <c r="L39">
        <v>3.9220737904174102E-3</v>
      </c>
      <c r="M39">
        <v>3.9951241093989596E-3</v>
      </c>
      <c r="N39">
        <v>4.09743718757862E-3</v>
      </c>
      <c r="O39">
        <v>4.1361512087659102E-3</v>
      </c>
      <c r="P39">
        <v>4.1973497390672297E-3</v>
      </c>
      <c r="Q39">
        <v>4.2623950159819896E-3</v>
      </c>
      <c r="R39">
        <v>4.5009915114082597E-3</v>
      </c>
      <c r="S39">
        <v>4.7221819771282401E-3</v>
      </c>
      <c r="T39">
        <v>4.97549383632853E-3</v>
      </c>
      <c r="U39">
        <v>5.3045517360173202E-3</v>
      </c>
      <c r="V39">
        <v>5.4737980001474101E-3</v>
      </c>
      <c r="W39">
        <v>5.8061414430295496E-3</v>
      </c>
      <c r="X39">
        <v>6.01751388953014E-3</v>
      </c>
      <c r="Y39">
        <v>6.3619159922782102E-3</v>
      </c>
      <c r="Z39">
        <v>6.6705029888081196E-3</v>
      </c>
      <c r="AA39">
        <v>7.02362887491871E-3</v>
      </c>
      <c r="AB39">
        <v>7.0711760294275196E-3</v>
      </c>
      <c r="AC39">
        <v>7.0937513683933997E-3</v>
      </c>
      <c r="AD39">
        <v>6.5371836084173003E-3</v>
      </c>
      <c r="AE39">
        <v>6.5628662313745199E-3</v>
      </c>
      <c r="AF39">
        <v>7.2032833570650802E-3</v>
      </c>
      <c r="AG39">
        <v>7.9013906447534792E-3</v>
      </c>
      <c r="AH39">
        <v>8.7125527779639399E-3</v>
      </c>
      <c r="AI39">
        <v>1.04870861501127E-2</v>
      </c>
      <c r="AJ39">
        <v>1.2196499153020899E-2</v>
      </c>
      <c r="AK39">
        <v>1.47640791476408E-2</v>
      </c>
      <c r="AL39">
        <v>1.9230769230769201E-2</v>
      </c>
      <c r="AM39">
        <v>2.48236953455571E-2</v>
      </c>
      <c r="AN39">
        <v>2.6761117670208601E-2</v>
      </c>
      <c r="AO39">
        <v>1.96191575302943E-2</v>
      </c>
      <c r="AP39">
        <v>5.4495912806539499E-3</v>
      </c>
      <c r="AQ39">
        <v>8.6206896551724102E-3</v>
      </c>
      <c r="AR39">
        <v>9.2592592592592605E-3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396764</v>
      </c>
    </row>
    <row r="40" spans="1:53">
      <c r="A40" t="s">
        <v>98</v>
      </c>
      <c r="B40" t="s">
        <v>50</v>
      </c>
      <c r="C40" s="1">
        <v>6.9961162349479905E-5</v>
      </c>
      <c r="D40" s="1">
        <v>6.9961484361767196E-5</v>
      </c>
      <c r="E40" s="1">
        <v>6.9980681648671201E-5</v>
      </c>
      <c r="F40" s="1">
        <v>6.9990864350337397E-5</v>
      </c>
      <c r="G40" s="1">
        <v>7.0026591676786704E-5</v>
      </c>
      <c r="H40" s="1">
        <v>7.0128750850080397E-5</v>
      </c>
      <c r="I40" s="1">
        <v>7.0362356879725697E-5</v>
      </c>
      <c r="J40" s="1">
        <v>7.0911067258214297E-5</v>
      </c>
      <c r="K40" s="1">
        <v>7.2075284531411104E-5</v>
      </c>
      <c r="L40" s="1">
        <v>7.4167108253725696E-5</v>
      </c>
      <c r="M40" s="1">
        <v>7.7654586269647398E-5</v>
      </c>
      <c r="N40" s="1">
        <v>8.3130065738380897E-5</v>
      </c>
      <c r="O40" s="1">
        <v>9.1141632898291894E-5</v>
      </c>
      <c r="P40">
        <v>1.02670930212137E-4</v>
      </c>
      <c r="Q40">
        <v>1.21281176044414E-4</v>
      </c>
      <c r="R40">
        <v>1.4892266211015599E-4</v>
      </c>
      <c r="S40">
        <v>1.7189429973945699E-4</v>
      </c>
      <c r="T40">
        <v>1.8565275508688499E-4</v>
      </c>
      <c r="U40">
        <v>1.9573991645820401E-4</v>
      </c>
      <c r="V40">
        <v>2.3585485099378401E-4</v>
      </c>
      <c r="W40">
        <v>2.9585434104609199E-4</v>
      </c>
      <c r="X40">
        <v>3.6166643581574999E-4</v>
      </c>
      <c r="Y40">
        <v>4.2793156898732399E-4</v>
      </c>
      <c r="Z40">
        <v>4.9324141818651596E-4</v>
      </c>
      <c r="AA40">
        <v>5.7807645061059296E-4</v>
      </c>
      <c r="AB40">
        <v>6.0712117424377703E-4</v>
      </c>
      <c r="AC40">
        <v>3.2841441520339799E-4</v>
      </c>
      <c r="AD40">
        <v>1.3506577703341501E-4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3278</v>
      </c>
    </row>
    <row r="41" spans="1:53">
      <c r="A41" t="s">
        <v>114</v>
      </c>
      <c r="B41" t="s">
        <v>41</v>
      </c>
      <c r="C41">
        <v>1.0963650573451401E-3</v>
      </c>
      <c r="D41">
        <v>1.0963701036166399E-3</v>
      </c>
      <c r="E41">
        <v>1.0966709453101001E-3</v>
      </c>
      <c r="F41">
        <v>1.09683051896384E-3</v>
      </c>
      <c r="G41">
        <v>1.09739040377701E-3</v>
      </c>
      <c r="H41">
        <v>1.0989913455584999E-3</v>
      </c>
      <c r="I41">
        <v>1.1026521979441201E-3</v>
      </c>
      <c r="J41">
        <v>1.1112510671649101E-3</v>
      </c>
      <c r="K41">
        <v>1.1257021412997999E-3</v>
      </c>
      <c r="L41">
        <v>1.1534937099461E-3</v>
      </c>
      <c r="M41">
        <v>1.1944501493318101E-3</v>
      </c>
      <c r="N41">
        <v>1.2567953359657899E-3</v>
      </c>
      <c r="O41">
        <v>1.32155367702523E-3</v>
      </c>
      <c r="P41">
        <v>1.422532756755E-3</v>
      </c>
      <c r="Q41">
        <v>1.5638888489937701E-3</v>
      </c>
      <c r="R41">
        <v>1.7772744017619899E-3</v>
      </c>
      <c r="S41">
        <v>1.9792400798571801E-3</v>
      </c>
      <c r="T41">
        <v>2.16904302193178E-3</v>
      </c>
      <c r="U41">
        <v>2.3606233924859401E-3</v>
      </c>
      <c r="V41">
        <v>2.5649215045574002E-3</v>
      </c>
      <c r="W41">
        <v>2.7058344941507102E-3</v>
      </c>
      <c r="X41">
        <v>2.8317712421318301E-3</v>
      </c>
      <c r="Y41">
        <v>2.8814058978479801E-3</v>
      </c>
      <c r="Z41">
        <v>2.9829361956994001E-3</v>
      </c>
      <c r="AA41">
        <v>3.0204494544403501E-3</v>
      </c>
      <c r="AB41">
        <v>3.2677404378415099E-3</v>
      </c>
      <c r="AC41">
        <v>3.7439243333187398E-3</v>
      </c>
      <c r="AD41">
        <v>4.0249601555957804E-3</v>
      </c>
      <c r="AE41">
        <v>3.64975724091746E-3</v>
      </c>
      <c r="AF41">
        <v>3.6016416785325401E-3</v>
      </c>
      <c r="AG41">
        <v>3.2659081331647701E-3</v>
      </c>
      <c r="AH41">
        <v>3.4850211111855799E-3</v>
      </c>
      <c r="AI41">
        <v>3.2934650719362098E-3</v>
      </c>
      <c r="AJ41">
        <v>4.1784302653867901E-3</v>
      </c>
      <c r="AK41">
        <v>3.34855403348554E-3</v>
      </c>
      <c r="AL41">
        <v>3.4779050736497498E-3</v>
      </c>
      <c r="AM41">
        <v>3.1029619181946401E-3</v>
      </c>
      <c r="AN41">
        <v>3.5419126328217199E-3</v>
      </c>
      <c r="AO41">
        <v>4.6162723600692403E-3</v>
      </c>
      <c r="AP41">
        <v>4.5413260672116304E-3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85795</v>
      </c>
    </row>
    <row r="42" spans="1:53">
      <c r="A42" t="s">
        <v>122</v>
      </c>
      <c r="B42" t="s">
        <v>82</v>
      </c>
      <c r="C42">
        <v>1.0632255593901201E-3</v>
      </c>
      <c r="D42">
        <v>1.06323045312949E-3</v>
      </c>
      <c r="E42">
        <v>1.0635222013712501E-3</v>
      </c>
      <c r="F42">
        <v>1.06367695164E-3</v>
      </c>
      <c r="G42">
        <v>1.0642199129827501E-3</v>
      </c>
      <c r="H42">
        <v>1.06577246357688E-3</v>
      </c>
      <c r="I42">
        <v>1.0693226604747801E-3</v>
      </c>
      <c r="J42">
        <v>1.0776616142531201E-3</v>
      </c>
      <c r="K42">
        <v>1.09535465307605E-3</v>
      </c>
      <c r="L42">
        <v>1.1271448688559599E-3</v>
      </c>
      <c r="M42">
        <v>1.1801453571242499E-3</v>
      </c>
      <c r="N42">
        <v>1.26226441923805E-3</v>
      </c>
      <c r="O42">
        <v>1.3839137416398501E-3</v>
      </c>
      <c r="P42">
        <v>1.5589770192737701E-3</v>
      </c>
      <c r="Q42">
        <v>1.8399631049895999E-3</v>
      </c>
      <c r="R42">
        <v>2.2416779665002402E-3</v>
      </c>
      <c r="S42">
        <v>2.7871432886326301E-3</v>
      </c>
      <c r="T42">
        <v>3.4686123075399799E-3</v>
      </c>
      <c r="U42">
        <v>4.3415113470429596E-3</v>
      </c>
      <c r="V42">
        <v>5.3607842173795496E-3</v>
      </c>
      <c r="W42">
        <v>6.5211227672242701E-3</v>
      </c>
      <c r="X42">
        <v>7.9104914046508792E-3</v>
      </c>
      <c r="Y42">
        <v>9.3003794326578394E-3</v>
      </c>
      <c r="Z42">
        <v>1.0663409707460899E-2</v>
      </c>
      <c r="AA42">
        <v>1.2110701640291901E-2</v>
      </c>
      <c r="AB42">
        <v>1.3428091853862401E-2</v>
      </c>
      <c r="AC42">
        <v>1.51070630993563E-2</v>
      </c>
      <c r="AD42">
        <v>1.7045301061616999E-2</v>
      </c>
      <c r="AE42">
        <v>1.8382722250125601E-2</v>
      </c>
      <c r="AF42">
        <v>2.0395342993550499E-2</v>
      </c>
      <c r="AG42">
        <v>2.1491782553729501E-2</v>
      </c>
      <c r="AH42">
        <v>2.3926010321024101E-2</v>
      </c>
      <c r="AI42">
        <v>2.6347720575489699E-2</v>
      </c>
      <c r="AJ42">
        <v>2.9926595143986399E-2</v>
      </c>
      <c r="AK42">
        <v>3.54642313546423E-2</v>
      </c>
      <c r="AL42">
        <v>4.1121112929623602E-2</v>
      </c>
      <c r="AM42">
        <v>4.4005641748942198E-2</v>
      </c>
      <c r="AN42">
        <v>5.1948051948052E-2</v>
      </c>
      <c r="AO42">
        <v>4.6739757645701097E-2</v>
      </c>
      <c r="AP42">
        <v>3.4514078110808401E-2</v>
      </c>
      <c r="AQ42">
        <v>3.1609195402298902E-2</v>
      </c>
      <c r="AR42">
        <v>3.9351851851851902E-2</v>
      </c>
      <c r="AS42">
        <v>4.7008547008547001E-2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44117</v>
      </c>
    </row>
    <row r="43" spans="1:53">
      <c r="A43" t="s">
        <v>122</v>
      </c>
      <c r="B43" t="s">
        <v>83</v>
      </c>
      <c r="C43">
        <v>6.0507200016201501E-3</v>
      </c>
      <c r="D43">
        <v>6.0507478514459897E-3</v>
      </c>
      <c r="E43">
        <v>6.0524081641673104E-3</v>
      </c>
      <c r="F43">
        <v>6.05328883387853E-3</v>
      </c>
      <c r="G43">
        <v>6.0563787775199896E-3</v>
      </c>
      <c r="H43">
        <v>6.0652142018102397E-3</v>
      </c>
      <c r="I43">
        <v>6.0854180496110197E-3</v>
      </c>
      <c r="J43">
        <v>6.1328742774768696E-3</v>
      </c>
      <c r="K43">
        <v>6.2335637529600703E-3</v>
      </c>
      <c r="L43">
        <v>6.4144789809439298E-3</v>
      </c>
      <c r="M43">
        <v>6.7160999414525302E-3</v>
      </c>
      <c r="N43">
        <v>7.1874692364065898E-3</v>
      </c>
      <c r="O43">
        <v>7.8777550856431507E-3</v>
      </c>
      <c r="P43">
        <v>8.8675261304272095E-3</v>
      </c>
      <c r="Q43">
        <v>1.04413517744553E-2</v>
      </c>
      <c r="R43">
        <v>1.27054544884507E-2</v>
      </c>
      <c r="S43">
        <v>1.5782352348935599E-2</v>
      </c>
      <c r="T43">
        <v>1.96080251497599E-2</v>
      </c>
      <c r="U43">
        <v>2.43148124224381E-2</v>
      </c>
      <c r="V43">
        <v>2.9870034149816999E-2</v>
      </c>
      <c r="W43">
        <v>3.6365429420248799E-2</v>
      </c>
      <c r="X43">
        <v>4.3938624436339002E-2</v>
      </c>
      <c r="Y43">
        <v>5.2169613054765702E-2</v>
      </c>
      <c r="Z43">
        <v>6.1338093504480301E-2</v>
      </c>
      <c r="AA43">
        <v>7.1117855336368205E-2</v>
      </c>
      <c r="AB43">
        <v>8.08006856897968E-2</v>
      </c>
      <c r="AC43">
        <v>9.1255418837850905E-2</v>
      </c>
      <c r="AD43">
        <v>0.102866095788649</v>
      </c>
      <c r="AE43">
        <v>0.114716223003516</v>
      </c>
      <c r="AF43">
        <v>0.12798391825111</v>
      </c>
      <c r="AG43">
        <v>0.141066160977665</v>
      </c>
      <c r="AH43">
        <v>0.156356812546076</v>
      </c>
      <c r="AI43">
        <v>0.172560235742763</v>
      </c>
      <c r="AJ43">
        <v>0.180463015245624</v>
      </c>
      <c r="AK43">
        <v>0.19817351598173499</v>
      </c>
      <c r="AL43">
        <v>0.21706219312602301</v>
      </c>
      <c r="AM43">
        <v>0.23497884344146699</v>
      </c>
      <c r="AN43">
        <v>0.257378984651712</v>
      </c>
      <c r="AO43">
        <v>0.27005193306405101</v>
      </c>
      <c r="AP43">
        <v>0.24613987284287001</v>
      </c>
      <c r="AQ43">
        <v>0.22270114942528699</v>
      </c>
      <c r="AR43">
        <v>0.26157407407407401</v>
      </c>
      <c r="AS43">
        <v>0.29487179487179499</v>
      </c>
      <c r="AT43">
        <v>0.31205673758865199</v>
      </c>
      <c r="AU43">
        <v>0.28999999999999998</v>
      </c>
      <c r="AV43">
        <v>0.24444444444444399</v>
      </c>
      <c r="AW43">
        <v>0</v>
      </c>
      <c r="AX43">
        <v>0</v>
      </c>
      <c r="AY43">
        <v>0</v>
      </c>
      <c r="AZ43">
        <v>0</v>
      </c>
      <c r="BA43">
        <v>248866</v>
      </c>
    </row>
    <row r="44" spans="1:53">
      <c r="A44" t="s">
        <v>104</v>
      </c>
      <c r="B44" t="s">
        <v>67</v>
      </c>
      <c r="C44">
        <v>6.1823574518303599E-3</v>
      </c>
      <c r="D44">
        <v>6.1823859075477404E-3</v>
      </c>
      <c r="E44">
        <v>6.1840823414799403E-3</v>
      </c>
      <c r="F44">
        <v>6.1849821707482397E-3</v>
      </c>
      <c r="G44">
        <v>6.1872179356529302E-3</v>
      </c>
      <c r="H44">
        <v>6.1888622625195996E-3</v>
      </c>
      <c r="I44">
        <v>6.19281322590112E-3</v>
      </c>
      <c r="J44">
        <v>6.2177809501149997E-3</v>
      </c>
      <c r="K44">
        <v>6.2733948312537402E-3</v>
      </c>
      <c r="L44">
        <v>6.3930095548704897E-3</v>
      </c>
      <c r="M44">
        <v>6.5945092076882096E-3</v>
      </c>
      <c r="N44">
        <v>6.8844820231232801E-3</v>
      </c>
      <c r="O44">
        <v>7.3333037522770404E-3</v>
      </c>
      <c r="P44">
        <v>7.9624008246096806E-3</v>
      </c>
      <c r="Q44">
        <v>9.0482140548924991E-3</v>
      </c>
      <c r="R44">
        <v>1.05029666961899E-2</v>
      </c>
      <c r="S44">
        <v>1.23100874941986E-2</v>
      </c>
      <c r="T44">
        <v>1.42828852913511E-2</v>
      </c>
      <c r="U44">
        <v>1.6477386167451601E-2</v>
      </c>
      <c r="V44">
        <v>1.8352455592953801E-2</v>
      </c>
      <c r="W44">
        <v>2.04694222211265E-2</v>
      </c>
      <c r="X44">
        <v>2.1684596087846501E-2</v>
      </c>
      <c r="Y44">
        <v>2.2556748480842902E-2</v>
      </c>
      <c r="Z44">
        <v>2.3276297401087501E-2</v>
      </c>
      <c r="AA44">
        <v>2.5233037069152399E-2</v>
      </c>
      <c r="AB44">
        <v>2.6766901182100601E-2</v>
      </c>
      <c r="AC44">
        <v>2.7564916582738502E-2</v>
      </c>
      <c r="AD44">
        <v>2.9174207839217699E-2</v>
      </c>
      <c r="AE44">
        <v>3.0035158211953801E-2</v>
      </c>
      <c r="AF44">
        <v>3.2959209314012902E-2</v>
      </c>
      <c r="AG44">
        <v>3.6293721028234298E-2</v>
      </c>
      <c r="AH44">
        <v>3.8469271496548503E-2</v>
      </c>
      <c r="AI44">
        <v>4.0648292598370599E-2</v>
      </c>
      <c r="AJ44">
        <v>4.5285149632975703E-2</v>
      </c>
      <c r="AK44">
        <v>4.8858447488584499E-2</v>
      </c>
      <c r="AL44">
        <v>5.0327332242225901E-2</v>
      </c>
      <c r="AM44">
        <v>4.7672778561353997E-2</v>
      </c>
      <c r="AN44">
        <v>4.3683589138134603E-2</v>
      </c>
      <c r="AO44">
        <v>4.5008655510675101E-2</v>
      </c>
      <c r="AP44">
        <v>4.5413260672116297E-2</v>
      </c>
      <c r="AQ44">
        <v>2.2988505747126398E-2</v>
      </c>
      <c r="AR44">
        <v>2.0833333333333301E-2</v>
      </c>
      <c r="AS44">
        <v>1.7094017094017099E-2</v>
      </c>
      <c r="AT44">
        <v>2.8368794326241099E-2</v>
      </c>
      <c r="AU44">
        <v>0.04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305558</v>
      </c>
    </row>
    <row r="45" spans="1:53">
      <c r="A45" t="s">
        <v>109</v>
      </c>
      <c r="B45" t="s">
        <v>43</v>
      </c>
      <c r="C45">
        <v>8.5398645146858593E-3</v>
      </c>
      <c r="D45">
        <v>8.5399038213699197E-3</v>
      </c>
      <c r="E45">
        <v>8.5422471533516103E-3</v>
      </c>
      <c r="F45">
        <v>8.5434901128694802E-3</v>
      </c>
      <c r="G45">
        <v>8.5478511971783001E-3</v>
      </c>
      <c r="H45">
        <v>8.5593985905966594E-3</v>
      </c>
      <c r="I45">
        <v>8.5869850007823205E-3</v>
      </c>
      <c r="J45">
        <v>8.6436858826328504E-3</v>
      </c>
      <c r="K45">
        <v>8.7656823016293798E-3</v>
      </c>
      <c r="L45">
        <v>8.9917859927608999E-3</v>
      </c>
      <c r="M45">
        <v>9.3451163950288799E-3</v>
      </c>
      <c r="N45">
        <v>9.9318552224276196E-3</v>
      </c>
      <c r="O45">
        <v>1.06767626012302E-2</v>
      </c>
      <c r="P45">
        <v>1.16896257779687E-2</v>
      </c>
      <c r="Q45">
        <v>1.3294651021395E-2</v>
      </c>
      <c r="R45">
        <v>1.53860624064335E-2</v>
      </c>
      <c r="S45">
        <v>1.7768959327353E-2</v>
      </c>
      <c r="T45">
        <v>2.0446556760235698E-2</v>
      </c>
      <c r="U45">
        <v>2.3359601630122E-2</v>
      </c>
      <c r="V45">
        <v>2.6401002383116701E-2</v>
      </c>
      <c r="W45">
        <v>2.9529961415663001E-2</v>
      </c>
      <c r="X45">
        <v>3.2449943826277E-2</v>
      </c>
      <c r="Y45">
        <v>3.5841646300293802E-2</v>
      </c>
      <c r="Z45">
        <v>3.8425855245387601E-2</v>
      </c>
      <c r="AA45">
        <v>4.1722667822819602E-2</v>
      </c>
      <c r="AB45">
        <v>4.4712688832541703E-2</v>
      </c>
      <c r="AC45">
        <v>4.8846170687918702E-2</v>
      </c>
      <c r="AD45">
        <v>5.1973311002458202E-2</v>
      </c>
      <c r="AE45">
        <v>5.3708354260840398E-2</v>
      </c>
      <c r="AF45">
        <v>5.5532289136443598E-2</v>
      </c>
      <c r="AG45">
        <v>5.8680994521702501E-2</v>
      </c>
      <c r="AH45">
        <v>5.9982574894444099E-2</v>
      </c>
      <c r="AI45">
        <v>6.3962558502340103E-2</v>
      </c>
      <c r="AJ45">
        <v>6.6403162055336001E-2</v>
      </c>
      <c r="AK45">
        <v>6.8949771689497702E-2</v>
      </c>
      <c r="AL45">
        <v>7.1808510638297907E-2</v>
      </c>
      <c r="AM45">
        <v>7.1932299012693907E-2</v>
      </c>
      <c r="AN45">
        <v>7.5167256985438802E-2</v>
      </c>
      <c r="AO45">
        <v>5.7703404500865599E-2</v>
      </c>
      <c r="AP45">
        <v>3.7238873751135299E-2</v>
      </c>
      <c r="AQ45">
        <v>1.86781609195402E-2</v>
      </c>
      <c r="AR45">
        <v>2.0833333333333301E-2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440299</v>
      </c>
    </row>
    <row r="46" spans="1:53">
      <c r="A46" t="s">
        <v>109</v>
      </c>
      <c r="B46" t="s">
        <v>84</v>
      </c>
      <c r="C46">
        <v>2.6194932050221099E-2</v>
      </c>
      <c r="D46">
        <v>2.6195052618400601E-2</v>
      </c>
      <c r="E46">
        <v>2.62022404867709E-2</v>
      </c>
      <c r="F46">
        <v>2.6206053104647398E-2</v>
      </c>
      <c r="G46">
        <v>2.6219430167824301E-2</v>
      </c>
      <c r="H46">
        <v>2.62558352195814E-2</v>
      </c>
      <c r="I46">
        <v>2.63414444466047E-2</v>
      </c>
      <c r="J46">
        <v>2.6543132123180001E-2</v>
      </c>
      <c r="K46">
        <v>2.6960898209782699E-2</v>
      </c>
      <c r="L46">
        <v>2.7712149645803302E-2</v>
      </c>
      <c r="M46">
        <v>2.8947790573754999E-2</v>
      </c>
      <c r="N46">
        <v>3.08882885050808E-2</v>
      </c>
      <c r="O46">
        <v>3.3619270219351502E-2</v>
      </c>
      <c r="P46">
        <v>3.7480293260599103E-2</v>
      </c>
      <c r="Q46">
        <v>4.3493663856454201E-2</v>
      </c>
      <c r="R46">
        <v>5.1870155114709597E-2</v>
      </c>
      <c r="S46">
        <v>6.2260115365631502E-2</v>
      </c>
      <c r="T46">
        <v>7.4443660577256293E-2</v>
      </c>
      <c r="U46">
        <v>8.8717159735516193E-2</v>
      </c>
      <c r="V46">
        <v>0.104041471144633</v>
      </c>
      <c r="W46">
        <v>0.120394225909444</v>
      </c>
      <c r="X46">
        <v>0.13745633070163299</v>
      </c>
      <c r="Y46">
        <v>0.15431212377682901</v>
      </c>
      <c r="Z46">
        <v>0.172810654014633</v>
      </c>
      <c r="AA46">
        <v>0.18984030638051899</v>
      </c>
      <c r="AB46">
        <v>0.20624263419163599</v>
      </c>
      <c r="AC46">
        <v>0.224350834172615</v>
      </c>
      <c r="AD46">
        <v>0.24192981982225301</v>
      </c>
      <c r="AE46">
        <v>0.25946760421898502</v>
      </c>
      <c r="AF46">
        <v>0.27720077058380099</v>
      </c>
      <c r="AG46">
        <v>0.29930467762326202</v>
      </c>
      <c r="AH46">
        <v>0.317606058575163</v>
      </c>
      <c r="AI46">
        <v>0.33619344773790899</v>
      </c>
      <c r="AJ46">
        <v>0.346132128740824</v>
      </c>
      <c r="AK46">
        <v>0.36453576864535803</v>
      </c>
      <c r="AL46">
        <v>0.38707037643207898</v>
      </c>
      <c r="AM46">
        <v>0.40677009873060599</v>
      </c>
      <c r="AN46">
        <v>0.42621015348288099</v>
      </c>
      <c r="AO46">
        <v>0.43796884016157001</v>
      </c>
      <c r="AP46">
        <v>0.43142597638510399</v>
      </c>
      <c r="AQ46">
        <v>0.431034482758621</v>
      </c>
      <c r="AR46">
        <v>0.47916666666666702</v>
      </c>
      <c r="AS46">
        <v>0.59401709401709402</v>
      </c>
      <c r="AT46">
        <v>0.63120567375886505</v>
      </c>
      <c r="AU46">
        <v>0.67</v>
      </c>
      <c r="AV46">
        <v>0.91111111111111098</v>
      </c>
      <c r="AW46">
        <v>1</v>
      </c>
      <c r="AX46">
        <v>1</v>
      </c>
      <c r="AY46">
        <v>1</v>
      </c>
      <c r="AZ46">
        <v>1</v>
      </c>
      <c r="BA46">
        <v>1177547</v>
      </c>
    </row>
    <row r="47" spans="1:53">
      <c r="A47" t="s">
        <v>109</v>
      </c>
      <c r="B47" t="s">
        <v>85</v>
      </c>
      <c r="C47">
        <v>2.8519299615121601E-2</v>
      </c>
      <c r="D47">
        <v>2.85194308817356E-2</v>
      </c>
      <c r="E47">
        <v>2.85272565547037E-2</v>
      </c>
      <c r="F47">
        <v>2.8531407479444802E-2</v>
      </c>
      <c r="G47">
        <v>2.8545971536033301E-2</v>
      </c>
      <c r="H47">
        <v>2.8585770691903201E-2</v>
      </c>
      <c r="I47">
        <v>2.8679141171885102E-2</v>
      </c>
      <c r="J47">
        <v>2.8898125988439601E-2</v>
      </c>
      <c r="K47">
        <v>2.93545563434311E-2</v>
      </c>
      <c r="L47">
        <v>3.0174302463226301E-2</v>
      </c>
      <c r="M47">
        <v>3.1537979734196503E-2</v>
      </c>
      <c r="N47">
        <v>3.3646894107609703E-2</v>
      </c>
      <c r="O47">
        <v>3.6587369448605099E-2</v>
      </c>
      <c r="P47">
        <v>4.0796834493109599E-2</v>
      </c>
      <c r="Q47">
        <v>4.7368278270083601E-2</v>
      </c>
      <c r="R47">
        <v>5.6582773567011302E-2</v>
      </c>
      <c r="S47">
        <v>6.7939994155593805E-2</v>
      </c>
      <c r="T47">
        <v>8.1365414129412394E-2</v>
      </c>
      <c r="U47">
        <v>9.7040020983319E-2</v>
      </c>
      <c r="V47">
        <v>0.113706606392649</v>
      </c>
      <c r="W47">
        <v>0.131445618273936</v>
      </c>
      <c r="X47">
        <v>0.15023008141342301</v>
      </c>
      <c r="Y47">
        <v>0.168329260058769</v>
      </c>
      <c r="Z47">
        <v>0.18794846801564299</v>
      </c>
      <c r="AA47">
        <v>0.20644555242430801</v>
      </c>
      <c r="AB47">
        <v>0.22565265526231201</v>
      </c>
      <c r="AC47">
        <v>0.244493584971756</v>
      </c>
      <c r="AD47">
        <v>0.26294605472865301</v>
      </c>
      <c r="AE47">
        <v>0.28139963167587501</v>
      </c>
      <c r="AF47">
        <v>0.30174218946310399</v>
      </c>
      <c r="AG47">
        <v>0.325537294563843</v>
      </c>
      <c r="AH47">
        <v>0.34280544199450402</v>
      </c>
      <c r="AI47">
        <v>0.36410123071589501</v>
      </c>
      <c r="AJ47">
        <v>0.37617165443252398</v>
      </c>
      <c r="AK47">
        <v>0.39512937595129399</v>
      </c>
      <c r="AL47">
        <v>0.42246317512275</v>
      </c>
      <c r="AM47">
        <v>0.436953455571227</v>
      </c>
      <c r="AN47">
        <v>0.46713892168437599</v>
      </c>
      <c r="AO47">
        <v>0.48182342758222702</v>
      </c>
      <c r="AP47">
        <v>0.46957311534968199</v>
      </c>
      <c r="AQ47">
        <v>0.47557471264367801</v>
      </c>
      <c r="AR47">
        <v>0.530092592592593</v>
      </c>
      <c r="AS47">
        <v>0.63675213675213704</v>
      </c>
      <c r="AT47">
        <v>0.70212765957446799</v>
      </c>
      <c r="AU47">
        <v>0.73</v>
      </c>
      <c r="AV47">
        <v>0.91111111111111098</v>
      </c>
      <c r="AW47">
        <v>1</v>
      </c>
      <c r="AX47">
        <v>1</v>
      </c>
      <c r="AY47">
        <v>1</v>
      </c>
      <c r="AZ47">
        <v>1</v>
      </c>
      <c r="BA47">
        <v>1278180</v>
      </c>
    </row>
    <row r="48" spans="1:53">
      <c r="A48" t="s">
        <v>123</v>
      </c>
      <c r="B48" t="s">
        <v>86</v>
      </c>
      <c r="C48">
        <v>2.7432139973874998E-3</v>
      </c>
      <c r="D48">
        <v>2.7432266236587601E-3</v>
      </c>
      <c r="E48">
        <v>2.7439793593821101E-3</v>
      </c>
      <c r="F48">
        <v>2.74437862847376E-3</v>
      </c>
      <c r="G48">
        <v>2.7457795157476901E-3</v>
      </c>
      <c r="H48">
        <v>2.7497852307005201E-3</v>
      </c>
      <c r="I48">
        <v>2.7589450460734602E-3</v>
      </c>
      <c r="J48">
        <v>2.7804602688089302E-3</v>
      </c>
      <c r="K48">
        <v>2.8261098408369099E-3</v>
      </c>
      <c r="L48">
        <v>2.9081313499487202E-3</v>
      </c>
      <c r="M48">
        <v>3.0448771984677501E-3</v>
      </c>
      <c r="N48">
        <v>3.2573859969591899E-3</v>
      </c>
      <c r="O48">
        <v>3.5713129311988599E-3</v>
      </c>
      <c r="P48">
        <v>4.0136228113191999E-3</v>
      </c>
      <c r="Q48">
        <v>4.7235826459403503E-3</v>
      </c>
      <c r="R48">
        <v>5.7687936480565602E-3</v>
      </c>
      <c r="S48">
        <v>7.1729035648422099E-3</v>
      </c>
      <c r="T48">
        <v>8.8772959057379103E-3</v>
      </c>
      <c r="U48">
        <v>1.09966685066219E-2</v>
      </c>
      <c r="V48">
        <v>1.34142446502715E-2</v>
      </c>
      <c r="W48">
        <v>1.6117897954906899E-2</v>
      </c>
      <c r="X48">
        <v>1.9329916739769502E-2</v>
      </c>
      <c r="Y48">
        <v>2.2927622507298601E-2</v>
      </c>
      <c r="Z48">
        <v>2.6775962701553701E-2</v>
      </c>
      <c r="AA48">
        <v>3.09704458414625E-2</v>
      </c>
      <c r="AB48">
        <v>3.5588014713760198E-2</v>
      </c>
      <c r="AC48">
        <v>4.07233874852213E-2</v>
      </c>
      <c r="AD48">
        <v>4.6624706231935001E-2</v>
      </c>
      <c r="AE48">
        <v>5.1565377532228403E-2</v>
      </c>
      <c r="AF48">
        <v>5.8086941954937597E-2</v>
      </c>
      <c r="AG48">
        <v>6.6635061104087706E-2</v>
      </c>
      <c r="AH48">
        <v>7.4927953890489896E-2</v>
      </c>
      <c r="AI48">
        <v>8.4850060669093397E-2</v>
      </c>
      <c r="AJ48">
        <v>9.1812535290796193E-2</v>
      </c>
      <c r="AK48">
        <v>0.100608828006088</v>
      </c>
      <c r="AL48">
        <v>0.10270049099836299</v>
      </c>
      <c r="AM48">
        <v>0.105218617771509</v>
      </c>
      <c r="AN48">
        <v>0.11452184179456899</v>
      </c>
      <c r="AO48">
        <v>0.11886901327178299</v>
      </c>
      <c r="AP48">
        <v>0.10535876475931</v>
      </c>
      <c r="AQ48">
        <v>9.6264367816091906E-2</v>
      </c>
      <c r="AR48">
        <v>7.17592592592593E-2</v>
      </c>
      <c r="AS48">
        <v>7.2649572649572697E-2</v>
      </c>
      <c r="AT48">
        <v>5.6737588652482303E-2</v>
      </c>
      <c r="AU48">
        <v>0.08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201634</v>
      </c>
    </row>
    <row r="49" spans="1:53">
      <c r="A49" t="s">
        <v>124</v>
      </c>
      <c r="B49" t="s">
        <v>87</v>
      </c>
      <c r="C49">
        <v>2.6026472935616399E-2</v>
      </c>
      <c r="D49">
        <v>2.6026592728424201E-2</v>
      </c>
      <c r="E49">
        <v>2.6033734371748399E-2</v>
      </c>
      <c r="F49">
        <v>2.6037522470751199E-2</v>
      </c>
      <c r="G49">
        <v>2.6050813506286699E-2</v>
      </c>
      <c r="H49">
        <v>2.6088818062951599E-2</v>
      </c>
      <c r="I49">
        <v>2.61757225797432E-2</v>
      </c>
      <c r="J49">
        <v>2.6379850060414399E-2</v>
      </c>
      <c r="K49">
        <v>2.6811057486677899E-2</v>
      </c>
      <c r="L49">
        <v>2.75872366213759E-2</v>
      </c>
      <c r="M49">
        <v>2.8867070674869402E-2</v>
      </c>
      <c r="N49">
        <v>3.08653183553373E-2</v>
      </c>
      <c r="O49">
        <v>3.3731998028462599E-2</v>
      </c>
      <c r="P49">
        <v>3.77977625842814E-2</v>
      </c>
      <c r="Q49">
        <v>4.4227734132512499E-2</v>
      </c>
      <c r="R49">
        <v>5.33946528926268E-2</v>
      </c>
      <c r="S49">
        <v>6.5101282577039302E-2</v>
      </c>
      <c r="T49">
        <v>7.9261349571760994E-2</v>
      </c>
      <c r="U49">
        <v>9.5791200316315703E-2</v>
      </c>
      <c r="V49">
        <v>0.114099697810972</v>
      </c>
      <c r="W49">
        <v>0.13382478026651501</v>
      </c>
      <c r="X49">
        <v>0.15508564569001301</v>
      </c>
      <c r="Y49">
        <v>0.17770571621480299</v>
      </c>
      <c r="Z49">
        <v>0.201477375485902</v>
      </c>
      <c r="AA49">
        <v>0.22542091191560101</v>
      </c>
      <c r="AB49">
        <v>0.25029463233455901</v>
      </c>
      <c r="AC49">
        <v>0.27628410036344497</v>
      </c>
      <c r="AD49">
        <v>0.30500553769685801</v>
      </c>
      <c r="AE49">
        <v>0.33319939728779502</v>
      </c>
      <c r="AF49">
        <v>0.36673925789429601</v>
      </c>
      <c r="AG49">
        <v>0.40218078381795203</v>
      </c>
      <c r="AH49">
        <v>0.43582869780845801</v>
      </c>
      <c r="AI49">
        <v>0.46697867914716601</v>
      </c>
      <c r="AJ49">
        <v>0.49836250705815899</v>
      </c>
      <c r="AK49">
        <v>0.53120243531202405</v>
      </c>
      <c r="AL49">
        <v>0.56117021276595702</v>
      </c>
      <c r="AM49">
        <v>0.58871650211565596</v>
      </c>
      <c r="AN49">
        <v>0.62258953168044096</v>
      </c>
      <c r="AO49">
        <v>0.63127524523946899</v>
      </c>
      <c r="AP49">
        <v>0.64759309718437796</v>
      </c>
      <c r="AQ49">
        <v>0.64080459770114895</v>
      </c>
      <c r="AR49">
        <v>0.69675925925925897</v>
      </c>
      <c r="AS49">
        <v>0.77777777777777801</v>
      </c>
      <c r="AT49">
        <v>0.84397163120567398</v>
      </c>
      <c r="AU49">
        <v>0.85</v>
      </c>
      <c r="AV49">
        <v>0.91111111111111098</v>
      </c>
      <c r="AW49">
        <v>1</v>
      </c>
      <c r="AX49">
        <v>1</v>
      </c>
      <c r="AY49">
        <v>1</v>
      </c>
      <c r="AZ49">
        <v>1</v>
      </c>
      <c r="BA49">
        <v>1143772</v>
      </c>
    </row>
    <row r="50" spans="1:53">
      <c r="A50" t="s">
        <v>125</v>
      </c>
      <c r="B50" t="s">
        <v>88</v>
      </c>
      <c r="C50">
        <v>1.38734826022238E-2</v>
      </c>
      <c r="D50">
        <v>1.38735464581078E-2</v>
      </c>
      <c r="E50">
        <v>1.387735333062E-2</v>
      </c>
      <c r="F50">
        <v>1.3879372587156999E-2</v>
      </c>
      <c r="G50">
        <v>1.38864574100112E-2</v>
      </c>
      <c r="H50">
        <v>1.39067158429153E-2</v>
      </c>
      <c r="I50">
        <v>1.39511888923761E-2</v>
      </c>
      <c r="J50">
        <v>1.4058119083941001E-2</v>
      </c>
      <c r="K50">
        <v>1.42803899272893E-2</v>
      </c>
      <c r="L50">
        <v>1.4672400955194301E-2</v>
      </c>
      <c r="M50">
        <v>1.5306127662096301E-2</v>
      </c>
      <c r="N50">
        <v>1.6293492884722701E-2</v>
      </c>
      <c r="O50">
        <v>1.7676679854221399E-2</v>
      </c>
      <c r="P50">
        <v>1.9603393004056901E-2</v>
      </c>
      <c r="Q50">
        <v>2.2647663821346399E-2</v>
      </c>
      <c r="R50">
        <v>2.67668890055885E-2</v>
      </c>
      <c r="S50">
        <v>3.2053375635702E-2</v>
      </c>
      <c r="T50">
        <v>3.80711916431506E-2</v>
      </c>
      <c r="U50">
        <v>4.49888623987535E-2</v>
      </c>
      <c r="V50">
        <v>5.2413826990639498E-2</v>
      </c>
      <c r="W50">
        <v>6.0206358402879599E-2</v>
      </c>
      <c r="X50">
        <v>6.8716622804992494E-2</v>
      </c>
      <c r="Y50">
        <v>7.7141797502781606E-2</v>
      </c>
      <c r="Z50">
        <v>8.6458174302122104E-2</v>
      </c>
      <c r="AA50">
        <v>9.4703374521280401E-2</v>
      </c>
      <c r="AB50">
        <v>0.103657012249563</v>
      </c>
      <c r="AC50">
        <v>0.112580461531725</v>
      </c>
      <c r="AD50">
        <v>0.12193738350576699</v>
      </c>
      <c r="AE50">
        <v>0.131357776661644</v>
      </c>
      <c r="AF50">
        <v>0.14130161655080001</v>
      </c>
      <c r="AG50">
        <v>0.15397176569742901</v>
      </c>
      <c r="AH50">
        <v>0.16165136384960799</v>
      </c>
      <c r="AI50">
        <v>0.16276651066042599</v>
      </c>
      <c r="AJ50">
        <v>0.164426877470356</v>
      </c>
      <c r="AK50">
        <v>0.167123287671233</v>
      </c>
      <c r="AL50">
        <v>0.173486088379705</v>
      </c>
      <c r="AM50">
        <v>0.19012693935119901</v>
      </c>
      <c r="AN50">
        <v>0.21605667060212499</v>
      </c>
      <c r="AO50">
        <v>0.207732256203116</v>
      </c>
      <c r="AP50">
        <v>0.18165304268846499</v>
      </c>
      <c r="AQ50">
        <v>0.18821839080459801</v>
      </c>
      <c r="AR50">
        <v>0.1875</v>
      </c>
      <c r="AS50">
        <v>0.17521367521367501</v>
      </c>
      <c r="AT50">
        <v>0.184397163120567</v>
      </c>
      <c r="AU50">
        <v>0.21</v>
      </c>
      <c r="AV50">
        <v>0.44444444444444398</v>
      </c>
      <c r="AW50">
        <v>0.60869565217391297</v>
      </c>
      <c r="AX50">
        <v>0.58333333333333304</v>
      </c>
      <c r="AY50">
        <v>1</v>
      </c>
      <c r="AZ50">
        <v>1</v>
      </c>
      <c r="BA50">
        <v>644490</v>
      </c>
    </row>
    <row r="51" spans="1:53">
      <c r="A51" t="s">
        <v>125</v>
      </c>
      <c r="B51" t="s">
        <v>89</v>
      </c>
      <c r="C51">
        <v>1.6464807233984202E-2</v>
      </c>
      <c r="D51">
        <v>1.6464883017033801E-2</v>
      </c>
      <c r="E51">
        <v>1.6469400946949101E-2</v>
      </c>
      <c r="F51">
        <v>1.6471797365396501E-2</v>
      </c>
      <c r="G51">
        <v>1.6480205509618501E-2</v>
      </c>
      <c r="H51">
        <v>1.6502402371089998E-2</v>
      </c>
      <c r="I51">
        <v>1.65555219174113E-2</v>
      </c>
      <c r="J51">
        <v>1.6681828572494901E-2</v>
      </c>
      <c r="K51">
        <v>1.6941485300909599E-2</v>
      </c>
      <c r="L51">
        <v>1.74029215985354E-2</v>
      </c>
      <c r="M51">
        <v>1.8143585373554299E-2</v>
      </c>
      <c r="N51">
        <v>1.9290550517922202E-2</v>
      </c>
      <c r="O51">
        <v>2.08894224138861E-2</v>
      </c>
      <c r="P51">
        <v>2.3111766764069001E-2</v>
      </c>
      <c r="Q51">
        <v>2.6603664287321499E-2</v>
      </c>
      <c r="R51">
        <v>3.1281597077980602E-2</v>
      </c>
      <c r="S51">
        <v>3.7193015197911697E-2</v>
      </c>
      <c r="T51">
        <v>4.3817144413089801E-2</v>
      </c>
      <c r="U51">
        <v>5.1299517305365999E-2</v>
      </c>
      <c r="V51">
        <v>5.9047244674839697E-2</v>
      </c>
      <c r="W51">
        <v>6.7202080842198697E-2</v>
      </c>
      <c r="X51">
        <v>7.5911476368561201E-2</v>
      </c>
      <c r="Y51">
        <v>8.3960173835312901E-2</v>
      </c>
      <c r="Z51">
        <v>9.2999495014738504E-2</v>
      </c>
      <c r="AA51">
        <v>0.101943782065178</v>
      </c>
      <c r="AB51">
        <v>0.110192493125246</v>
      </c>
      <c r="AC51">
        <v>0.11853570959408</v>
      </c>
      <c r="AD51">
        <v>0.12731300143169699</v>
      </c>
      <c r="AE51">
        <v>0.135543278084715</v>
      </c>
      <c r="AF51">
        <v>0.14557333109975701</v>
      </c>
      <c r="AG51">
        <v>0.15760640539401599</v>
      </c>
      <c r="AH51">
        <v>0.16198646203337599</v>
      </c>
      <c r="AI51">
        <v>0.16337320159473001</v>
      </c>
      <c r="AJ51">
        <v>0.16318464144551101</v>
      </c>
      <c r="AK51">
        <v>0.16453576864535799</v>
      </c>
      <c r="AL51">
        <v>0.16878068739770899</v>
      </c>
      <c r="AM51">
        <v>0.179689703808181</v>
      </c>
      <c r="AN51">
        <v>0.20228256591893001</v>
      </c>
      <c r="AO51">
        <v>0.19619157530294301</v>
      </c>
      <c r="AP51">
        <v>0.17166212534059899</v>
      </c>
      <c r="AQ51">
        <v>0.179597701149425</v>
      </c>
      <c r="AR51">
        <v>0.178240740740741</v>
      </c>
      <c r="AS51">
        <v>0.16239316239316201</v>
      </c>
      <c r="AT51">
        <v>0.184397163120567</v>
      </c>
      <c r="AU51">
        <v>0.21</v>
      </c>
      <c r="AV51">
        <v>0.44444444444444398</v>
      </c>
      <c r="AW51">
        <v>0.60869565217391297</v>
      </c>
      <c r="AX51">
        <v>0.58333333333333304</v>
      </c>
      <c r="AY51">
        <v>1</v>
      </c>
      <c r="AZ51">
        <v>1</v>
      </c>
      <c r="BA51">
        <v>787142</v>
      </c>
    </row>
    <row r="52" spans="1:53">
      <c r="A52" t="s">
        <v>105</v>
      </c>
      <c r="B52" t="s">
        <v>68</v>
      </c>
      <c r="C52">
        <v>4.9902560670596202E-3</v>
      </c>
      <c r="D52">
        <v>4.9902790358570997E-3</v>
      </c>
      <c r="E52">
        <v>4.9916483581242998E-3</v>
      </c>
      <c r="F52">
        <v>4.9923746795155202E-3</v>
      </c>
      <c r="G52">
        <v>4.9949230721034301E-3</v>
      </c>
      <c r="H52">
        <v>5.0022099783984999E-3</v>
      </c>
      <c r="I52">
        <v>5.0151695686509803E-3</v>
      </c>
      <c r="J52">
        <v>5.0477483403544602E-3</v>
      </c>
      <c r="K52">
        <v>5.1211386377581604E-3</v>
      </c>
      <c r="L52">
        <v>5.2287811318876597E-3</v>
      </c>
      <c r="M52">
        <v>5.4347992680033501E-3</v>
      </c>
      <c r="N52">
        <v>5.7305054526760203E-3</v>
      </c>
      <c r="O52">
        <v>6.1532594526465204E-3</v>
      </c>
      <c r="P52">
        <v>6.69252352988062E-3</v>
      </c>
      <c r="Q52">
        <v>7.5082622801180303E-3</v>
      </c>
      <c r="R52">
        <v>8.5121058448225893E-3</v>
      </c>
      <c r="S52">
        <v>9.7267617323998704E-3</v>
      </c>
      <c r="T52">
        <v>1.09658894004654E-2</v>
      </c>
      <c r="U52">
        <v>1.21476192153961E-2</v>
      </c>
      <c r="V52">
        <v>1.2932707662825799E-2</v>
      </c>
      <c r="W52">
        <v>1.34613725175972E-2</v>
      </c>
      <c r="X52">
        <v>1.33739630946335E-2</v>
      </c>
      <c r="Y52">
        <v>1.2752360755822201E-2</v>
      </c>
      <c r="Z52">
        <v>1.17790748200256E-2</v>
      </c>
      <c r="AA52">
        <v>1.0087434063154901E-2</v>
      </c>
      <c r="AB52">
        <v>8.8746830470340307E-3</v>
      </c>
      <c r="AC52">
        <v>7.9038402592284396E-3</v>
      </c>
      <c r="AD52">
        <v>7.0774467165509603E-3</v>
      </c>
      <c r="AE52">
        <v>6.8977063452201597E-3</v>
      </c>
      <c r="AF52">
        <v>6.2400536058296301E-3</v>
      </c>
      <c r="AG52">
        <v>5.1095659502739203E-3</v>
      </c>
      <c r="AH52">
        <v>5.0934923932712296E-3</v>
      </c>
      <c r="AI52">
        <v>5.5468885422083596E-3</v>
      </c>
      <c r="AJ52">
        <v>4.8560135516657298E-3</v>
      </c>
      <c r="AK52">
        <v>6.0882800608828003E-3</v>
      </c>
      <c r="AL52">
        <v>5.1145662847790502E-3</v>
      </c>
      <c r="AM52">
        <v>5.9238363892806798E-3</v>
      </c>
      <c r="AN52">
        <v>5.1160960251869303E-3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279062</v>
      </c>
    </row>
    <row r="53" spans="1:53">
      <c r="A53" t="s">
        <v>105</v>
      </c>
      <c r="B53" t="s">
        <v>90</v>
      </c>
      <c r="C53">
        <v>1.1616314574843301E-2</v>
      </c>
      <c r="D53">
        <v>1.16163680415939E-2</v>
      </c>
      <c r="E53">
        <v>1.1619555549007701E-2</v>
      </c>
      <c r="F53">
        <v>1.1621246279432999E-2</v>
      </c>
      <c r="G53">
        <v>1.16271784259128E-2</v>
      </c>
      <c r="H53">
        <v>1.16422953878351E-2</v>
      </c>
      <c r="I53">
        <v>1.16792254215492E-2</v>
      </c>
      <c r="J53">
        <v>1.1769371084146199E-2</v>
      </c>
      <c r="K53">
        <v>1.19569103601583E-2</v>
      </c>
      <c r="L53">
        <v>1.22883187780383E-2</v>
      </c>
      <c r="M53">
        <v>1.28262897558274E-2</v>
      </c>
      <c r="N53">
        <v>1.3690209247126E-2</v>
      </c>
      <c r="O53">
        <v>1.49376339392253E-2</v>
      </c>
      <c r="P53">
        <v>1.6693482692518101E-2</v>
      </c>
      <c r="Q53">
        <v>1.9440095875961301E-2</v>
      </c>
      <c r="R53">
        <v>2.3355384338038802E-2</v>
      </c>
      <c r="S53">
        <v>2.8288890471407799E-2</v>
      </c>
      <c r="T53">
        <v>3.4286969651962998E-2</v>
      </c>
      <c r="U53">
        <v>4.0960534918043703E-2</v>
      </c>
      <c r="V53">
        <v>4.8330589882809603E-2</v>
      </c>
      <c r="W53">
        <v>5.60828885245497E-2</v>
      </c>
      <c r="X53">
        <v>6.5477014943749301E-2</v>
      </c>
      <c r="Y53">
        <v>7.4545679317591804E-2</v>
      </c>
      <c r="Z53">
        <v>8.4414745569635102E-2</v>
      </c>
      <c r="AA53">
        <v>9.4674470698749902E-2</v>
      </c>
      <c r="AB53">
        <v>0.106049783936288</v>
      </c>
      <c r="AC53">
        <v>0.11770372640889799</v>
      </c>
      <c r="AD53">
        <v>0.12974418541829899</v>
      </c>
      <c r="AE53">
        <v>0.13942742340532399</v>
      </c>
      <c r="AF53">
        <v>0.14875617723427401</v>
      </c>
      <c r="AG53">
        <v>0.15960809102401999</v>
      </c>
      <c r="AH53">
        <v>0.167213993700154</v>
      </c>
      <c r="AI53">
        <v>0.170393482405963</v>
      </c>
      <c r="AJ53">
        <v>0.17459062676454001</v>
      </c>
      <c r="AK53">
        <v>0.18097412480974101</v>
      </c>
      <c r="AL53">
        <v>0.18289689034369899</v>
      </c>
      <c r="AM53">
        <v>0.193794076163611</v>
      </c>
      <c r="AN53">
        <v>0.21054702872884701</v>
      </c>
      <c r="AO53">
        <v>0.19965377957299499</v>
      </c>
      <c r="AP53">
        <v>0.15985467756584901</v>
      </c>
      <c r="AQ53">
        <v>0.15229885057471301</v>
      </c>
      <c r="AR53">
        <v>0.13888888888888901</v>
      </c>
      <c r="AS53">
        <v>0.123931623931624</v>
      </c>
      <c r="AT53">
        <v>8.5106382978723402E-2</v>
      </c>
      <c r="AU53">
        <v>0.06</v>
      </c>
      <c r="AV53">
        <v>8.8888888888888906E-2</v>
      </c>
      <c r="AW53">
        <v>0</v>
      </c>
      <c r="AX53">
        <v>0</v>
      </c>
      <c r="AY53">
        <v>0</v>
      </c>
      <c r="AZ53">
        <v>0</v>
      </c>
      <c r="BA53">
        <v>527613</v>
      </c>
    </row>
    <row r="54" spans="1:53">
      <c r="A54" t="s">
        <v>105</v>
      </c>
      <c r="B54" t="s">
        <v>91</v>
      </c>
      <c r="C54">
        <v>4.3854602293805604E-3</v>
      </c>
      <c r="D54">
        <v>4.3854804144665598E-3</v>
      </c>
      <c r="E54">
        <v>4.3866837812403898E-3</v>
      </c>
      <c r="F54">
        <v>4.3873220758553601E-3</v>
      </c>
      <c r="G54">
        <v>4.3895616151080497E-3</v>
      </c>
      <c r="H54">
        <v>4.3959653822339901E-3</v>
      </c>
      <c r="I54">
        <v>4.4096829712912296E-3</v>
      </c>
      <c r="J54">
        <v>4.4431381879423198E-3</v>
      </c>
      <c r="K54">
        <v>4.5151372322901097E-3</v>
      </c>
      <c r="L54">
        <v>4.6432513298845599E-3</v>
      </c>
      <c r="M54">
        <v>4.8503463292370501E-3</v>
      </c>
      <c r="N54">
        <v>5.1671898756330504E-3</v>
      </c>
      <c r="O54">
        <v>5.6507812396941002E-3</v>
      </c>
      <c r="P54">
        <v>6.3237187410922803E-3</v>
      </c>
      <c r="Q54">
        <v>7.3885769090215603E-3</v>
      </c>
      <c r="R54">
        <v>8.9353597266093408E-3</v>
      </c>
      <c r="S54">
        <v>1.0885820439214501E-2</v>
      </c>
      <c r="T54">
        <v>1.31999108866776E-2</v>
      </c>
      <c r="U54">
        <v>1.5831444443139501E-2</v>
      </c>
      <c r="V54">
        <v>1.87995970812962E-2</v>
      </c>
      <c r="W54">
        <v>2.1905548501620999E-2</v>
      </c>
      <c r="X54">
        <v>2.53551256598489E-2</v>
      </c>
      <c r="Y54">
        <v>2.9070817919872202E-2</v>
      </c>
      <c r="Z54">
        <v>3.2765322779532799E-2</v>
      </c>
      <c r="AA54">
        <v>3.63754606546716E-2</v>
      </c>
      <c r="AB54">
        <v>4.0569979643584199E-2</v>
      </c>
      <c r="AC54">
        <v>4.4598677584621403E-2</v>
      </c>
      <c r="AD54">
        <v>4.8056403468489203E-2</v>
      </c>
      <c r="AE54">
        <v>5.1096601372844497E-2</v>
      </c>
      <c r="AF54">
        <v>5.5448530027640497E-2</v>
      </c>
      <c r="AG54">
        <v>6.0103244837758099E-2</v>
      </c>
      <c r="AH54">
        <v>6.2127203270558297E-2</v>
      </c>
      <c r="AI54">
        <v>6.5522620904836196E-2</v>
      </c>
      <c r="AJ54">
        <v>6.70807453416149E-2</v>
      </c>
      <c r="AK54">
        <v>6.9254185692541895E-2</v>
      </c>
      <c r="AL54">
        <v>6.64893617021277E-2</v>
      </c>
      <c r="AM54">
        <v>6.6290550070521898E-2</v>
      </c>
      <c r="AN54">
        <v>6.9657615112160606E-2</v>
      </c>
      <c r="AO54">
        <v>6.5204847085978096E-2</v>
      </c>
      <c r="AP54">
        <v>3.99636693914623E-2</v>
      </c>
      <c r="AQ54">
        <v>3.0172413793103502E-2</v>
      </c>
      <c r="AR54">
        <v>2.0833333333333301E-2</v>
      </c>
      <c r="AS54">
        <v>4.2735042735042696E-3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202218</v>
      </c>
    </row>
    <row r="55" spans="1:53">
      <c r="A55" t="s">
        <v>126</v>
      </c>
      <c r="B55" t="s">
        <v>92</v>
      </c>
      <c r="C55">
        <v>9.79364218731733E-3</v>
      </c>
      <c r="D55">
        <v>9.7936872648005397E-3</v>
      </c>
      <c r="E55">
        <v>9.7963746323712197E-3</v>
      </c>
      <c r="F55">
        <v>9.7978000766215795E-3</v>
      </c>
      <c r="G55">
        <v>9.8028014322280796E-3</v>
      </c>
      <c r="H55">
        <v>9.8171023722895493E-3</v>
      </c>
      <c r="I55">
        <v>9.8498041426763397E-3</v>
      </c>
      <c r="J55">
        <v>9.9266163757913296E-3</v>
      </c>
      <c r="K55">
        <v>1.00886431163836E-2</v>
      </c>
      <c r="L55">
        <v>1.0379491623508199E-2</v>
      </c>
      <c r="M55">
        <v>1.08624461399029E-2</v>
      </c>
      <c r="N55">
        <v>1.16152390536298E-2</v>
      </c>
      <c r="O55">
        <v>1.2707062397240799E-2</v>
      </c>
      <c r="P55">
        <v>1.4261802766441199E-2</v>
      </c>
      <c r="Q55">
        <v>1.6743185513921E-2</v>
      </c>
      <c r="R55">
        <v>2.0322064851900301E-2</v>
      </c>
      <c r="S55">
        <v>2.5118668457641598E-2</v>
      </c>
      <c r="T55">
        <v>3.11370612406555E-2</v>
      </c>
      <c r="U55">
        <v>3.8556848743937E-2</v>
      </c>
      <c r="V55">
        <v>4.7200452055131098E-2</v>
      </c>
      <c r="W55">
        <v>5.7309451313469997E-2</v>
      </c>
      <c r="X55">
        <v>6.9109069363005399E-2</v>
      </c>
      <c r="Y55">
        <v>8.1696891314891107E-2</v>
      </c>
      <c r="Z55">
        <v>9.6052894270178907E-2</v>
      </c>
      <c r="AA55">
        <v>0.11201676421706799</v>
      </c>
      <c r="AB55">
        <v>0.129531088175422</v>
      </c>
      <c r="AC55">
        <v>0.14855278714367001</v>
      </c>
      <c r="AD55">
        <v>0.167913774007942</v>
      </c>
      <c r="AE55">
        <v>0.188448016072325</v>
      </c>
      <c r="AF55">
        <v>0.20977468799731999</v>
      </c>
      <c r="AG55">
        <v>0.23309102402022799</v>
      </c>
      <c r="AH55">
        <v>0.253602305475504</v>
      </c>
      <c r="AI55">
        <v>0.27613104524180998</v>
      </c>
      <c r="AJ55">
        <v>0.28503670242800699</v>
      </c>
      <c r="AK55">
        <v>0.31126331811263303</v>
      </c>
      <c r="AL55">
        <v>0.338175122749591</v>
      </c>
      <c r="AM55">
        <v>0.36473906911142501</v>
      </c>
      <c r="AN55">
        <v>0.38606847697756802</v>
      </c>
      <c r="AO55">
        <v>0.395268320830929</v>
      </c>
      <c r="AP55">
        <v>0.37329700272479599</v>
      </c>
      <c r="AQ55">
        <v>0.38505747126436801</v>
      </c>
      <c r="AR55">
        <v>0.421296296296296</v>
      </c>
      <c r="AS55">
        <v>0.47863247863247899</v>
      </c>
      <c r="AT55">
        <v>0.53900709219858201</v>
      </c>
      <c r="AU55">
        <v>0.57999999999999996</v>
      </c>
      <c r="AV55">
        <v>0.64444444444444404</v>
      </c>
      <c r="AW55">
        <v>0.60869565217391297</v>
      </c>
      <c r="AX55">
        <v>0.58333333333333304</v>
      </c>
      <c r="AY55">
        <v>1</v>
      </c>
      <c r="AZ55">
        <v>1</v>
      </c>
      <c r="BA55">
        <v>408537</v>
      </c>
    </row>
    <row r="56" spans="1:53">
      <c r="A56" t="s">
        <v>126</v>
      </c>
      <c r="B56" t="s">
        <v>93</v>
      </c>
      <c r="C56">
        <v>3.4060039564878402E-3</v>
      </c>
      <c r="D56">
        <v>3.4060196334018199E-3</v>
      </c>
      <c r="E56">
        <v>3.4069542381589902E-3</v>
      </c>
      <c r="F56">
        <v>3.4074499749506401E-3</v>
      </c>
      <c r="G56">
        <v>3.40918933163304E-3</v>
      </c>
      <c r="H56">
        <v>3.4141628703328601E-3</v>
      </c>
      <c r="I56">
        <v>3.4255357954603299E-3</v>
      </c>
      <c r="J56">
        <v>3.4522493270446402E-3</v>
      </c>
      <c r="K56">
        <v>3.5089283258713301E-3</v>
      </c>
      <c r="L56">
        <v>3.6000323993157098E-3</v>
      </c>
      <c r="M56">
        <v>3.7631821214619901E-3</v>
      </c>
      <c r="N56">
        <v>4.0164947551491401E-3</v>
      </c>
      <c r="O56">
        <v>4.3867906992362104E-3</v>
      </c>
      <c r="P56">
        <v>4.9011859843372798E-3</v>
      </c>
      <c r="Q56">
        <v>5.6858530295558997E-3</v>
      </c>
      <c r="R56">
        <v>6.8406449135072897E-3</v>
      </c>
      <c r="S56">
        <v>8.4031756244060396E-3</v>
      </c>
      <c r="T56">
        <v>1.03501410960939E-2</v>
      </c>
      <c r="U56">
        <v>1.27035205781374E-2</v>
      </c>
      <c r="V56">
        <v>1.53944426700735E-2</v>
      </c>
      <c r="W56">
        <v>1.8392278201698701E-2</v>
      </c>
      <c r="X56">
        <v>2.1769241423888499E-2</v>
      </c>
      <c r="Y56">
        <v>2.5476192740378701E-2</v>
      </c>
      <c r="Z56">
        <v>2.9958544233185801E-2</v>
      </c>
      <c r="AA56">
        <v>3.4496712190187198E-2</v>
      </c>
      <c r="AB56">
        <v>3.9695010892468102E-2</v>
      </c>
      <c r="AC56">
        <v>4.6196961071944702E-2</v>
      </c>
      <c r="AD56">
        <v>5.2486560955185203E-2</v>
      </c>
      <c r="AE56">
        <v>6.0137284446676702E-2</v>
      </c>
      <c r="AF56">
        <v>6.8054275902504402E-2</v>
      </c>
      <c r="AG56">
        <v>7.8065739570164397E-2</v>
      </c>
      <c r="AH56">
        <v>8.65893706856109E-2</v>
      </c>
      <c r="AI56">
        <v>9.9757323626278399E-2</v>
      </c>
      <c r="AJ56">
        <v>0.109316770186335</v>
      </c>
      <c r="AK56">
        <v>0.12770167427701701</v>
      </c>
      <c r="AL56">
        <v>0.13645662847790499</v>
      </c>
      <c r="AM56">
        <v>0.14978843441466899</v>
      </c>
      <c r="AN56">
        <v>0.16450216450216501</v>
      </c>
      <c r="AO56">
        <v>0.17772648586266601</v>
      </c>
      <c r="AP56">
        <v>0.158946412352407</v>
      </c>
      <c r="AQ56">
        <v>0.17097701149425301</v>
      </c>
      <c r="AR56">
        <v>0.23611111111111099</v>
      </c>
      <c r="AS56">
        <v>0.31196581196581202</v>
      </c>
      <c r="AT56">
        <v>0.45390070921985798</v>
      </c>
      <c r="AU56">
        <v>0.49</v>
      </c>
      <c r="AV56">
        <v>0.46666666666666701</v>
      </c>
      <c r="AW56">
        <v>0.60869565217391297</v>
      </c>
      <c r="AX56">
        <v>0.58333333333333304</v>
      </c>
      <c r="AY56">
        <v>1</v>
      </c>
      <c r="AZ56">
        <v>1</v>
      </c>
      <c r="BA56">
        <v>147695</v>
      </c>
    </row>
    <row r="57" spans="1:53">
      <c r="A57" t="s">
        <v>115</v>
      </c>
      <c r="B57" t="s">
        <v>46</v>
      </c>
      <c r="C57">
        <v>2.9043087791132799E-3</v>
      </c>
      <c r="D57">
        <v>2.9043221468602002E-3</v>
      </c>
      <c r="E57">
        <v>2.9051190868625999E-3</v>
      </c>
      <c r="F57">
        <v>2.9055418029646702E-3</v>
      </c>
      <c r="G57">
        <v>2.9070249571087098E-3</v>
      </c>
      <c r="H57">
        <v>2.9112659070000498E-3</v>
      </c>
      <c r="I57">
        <v>2.9209636309938799E-3</v>
      </c>
      <c r="J57">
        <v>2.94374233157455E-3</v>
      </c>
      <c r="K57">
        <v>2.98733087202559E-3</v>
      </c>
      <c r="L57">
        <v>3.0632967474795401E-3</v>
      </c>
      <c r="M57">
        <v>3.1817944953115998E-3</v>
      </c>
      <c r="N57">
        <v>3.3602047624777102E-3</v>
      </c>
      <c r="O57">
        <v>3.6252783717307399E-3</v>
      </c>
      <c r="P57">
        <v>3.9082500145225301E-3</v>
      </c>
      <c r="Q57">
        <v>4.2671824308258503E-3</v>
      </c>
      <c r="R57">
        <v>4.9262049019069901E-3</v>
      </c>
      <c r="S57">
        <v>5.5570971472913098E-3</v>
      </c>
      <c r="T57">
        <v>6.2534036338432603E-3</v>
      </c>
      <c r="U57">
        <v>6.7334531261622104E-3</v>
      </c>
      <c r="V57">
        <v>7.3016730953492396E-3</v>
      </c>
      <c r="W57">
        <v>7.9387581514034598E-3</v>
      </c>
      <c r="X57">
        <v>8.7261646428736309E-3</v>
      </c>
      <c r="Y57">
        <v>9.1387163954848496E-3</v>
      </c>
      <c r="Z57">
        <v>9.8883160503106197E-3</v>
      </c>
      <c r="AA57">
        <v>1.02464050870728E-2</v>
      </c>
      <c r="AB57">
        <v>1.13388807542588E-2</v>
      </c>
      <c r="AC57">
        <v>1.2151333362525701E-2</v>
      </c>
      <c r="AD57">
        <v>1.2615143574921E-2</v>
      </c>
      <c r="AE57">
        <v>1.3427088565210099E-2</v>
      </c>
      <c r="AF57">
        <v>1.3610855180500901E-2</v>
      </c>
      <c r="AG57">
        <v>1.38537715971344E-2</v>
      </c>
      <c r="AH57">
        <v>1.5079418269553E-2</v>
      </c>
      <c r="AI57">
        <v>1.6900676027041098E-2</v>
      </c>
      <c r="AJ57">
        <v>1.6939582156973498E-2</v>
      </c>
      <c r="AK57">
        <v>1.5981735159817399E-2</v>
      </c>
      <c r="AL57">
        <v>1.7184942716857599E-2</v>
      </c>
      <c r="AM57">
        <v>1.8053596614950599E-2</v>
      </c>
      <c r="AN57">
        <v>2.00708382526564E-2</v>
      </c>
      <c r="AO57">
        <v>2.3658395845354899E-2</v>
      </c>
      <c r="AP57">
        <v>2.27066303360581E-2</v>
      </c>
      <c r="AQ57">
        <v>2.0114942528735601E-2</v>
      </c>
      <c r="AR57">
        <v>1.38888888888889E-2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212953</v>
      </c>
    </row>
    <row r="58" spans="1:53">
      <c r="A58" t="s">
        <v>115</v>
      </c>
      <c r="B58" t="s">
        <v>47</v>
      </c>
      <c r="C58">
        <v>2.0923910792153698E-3</v>
      </c>
      <c r="D58">
        <v>2.0924007099249599E-3</v>
      </c>
      <c r="E58">
        <v>2.0929748603609201E-3</v>
      </c>
      <c r="F58">
        <v>2.0932794035304898E-3</v>
      </c>
      <c r="G58">
        <v>2.09434793264916E-3</v>
      </c>
      <c r="H58">
        <v>2.09740329845043E-3</v>
      </c>
      <c r="I58">
        <v>2.1043899629949602E-3</v>
      </c>
      <c r="J58">
        <v>2.1198676948771399E-3</v>
      </c>
      <c r="K58">
        <v>2.1470847918304602E-3</v>
      </c>
      <c r="L58">
        <v>2.2025679385349801E-3</v>
      </c>
      <c r="M58">
        <v>2.2581136270515899E-3</v>
      </c>
      <c r="N58">
        <v>2.3396738238736399E-3</v>
      </c>
      <c r="O58">
        <v>2.4620233202657001E-3</v>
      </c>
      <c r="P58">
        <v>2.5721769884724899E-3</v>
      </c>
      <c r="Q58">
        <v>2.7352096807911402E-3</v>
      </c>
      <c r="R58">
        <v>3.0783881865138799E-3</v>
      </c>
      <c r="S58">
        <v>3.4378859947891498E-3</v>
      </c>
      <c r="T58">
        <v>3.79350462894203E-3</v>
      </c>
      <c r="U58">
        <v>4.0009238924056797E-3</v>
      </c>
      <c r="V58">
        <v>4.2306463897010104E-3</v>
      </c>
      <c r="W58">
        <v>4.7028512962118303E-3</v>
      </c>
      <c r="X58">
        <v>5.24801083460301E-3</v>
      </c>
      <c r="Y58">
        <v>5.5631103968352101E-3</v>
      </c>
      <c r="Z58">
        <v>6.14203004075114E-3</v>
      </c>
      <c r="AA58">
        <v>6.4166486017775796E-3</v>
      </c>
      <c r="AB58">
        <v>7.23188457555087E-3</v>
      </c>
      <c r="AC58">
        <v>7.8381573761877703E-3</v>
      </c>
      <c r="AD58">
        <v>7.9418676895648202E-3</v>
      </c>
      <c r="AE58">
        <v>8.3375188347563998E-3</v>
      </c>
      <c r="AF58">
        <v>8.1246335538989901E-3</v>
      </c>
      <c r="AG58">
        <v>7.69068689422672E-3</v>
      </c>
      <c r="AH58">
        <v>8.1763956839353905E-3</v>
      </c>
      <c r="AI58">
        <v>9.2737042815045894E-3</v>
      </c>
      <c r="AJ58">
        <v>9.7120271033314508E-3</v>
      </c>
      <c r="AK58">
        <v>8.9802130898021301E-3</v>
      </c>
      <c r="AL58">
        <v>8.5924713584287996E-3</v>
      </c>
      <c r="AM58">
        <v>1.01551480959097E-2</v>
      </c>
      <c r="AN58">
        <v>1.21999212908304E-2</v>
      </c>
      <c r="AO58">
        <v>1.09636468551645E-2</v>
      </c>
      <c r="AP58">
        <v>1.36239782016349E-2</v>
      </c>
      <c r="AQ58">
        <v>8.6206896551724102E-3</v>
      </c>
      <c r="AR58">
        <v>1.38888888888889E-2</v>
      </c>
      <c r="AS58">
        <v>8.5470085470085496E-3</v>
      </c>
      <c r="AT58">
        <v>1.41843971631206E-2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131375</v>
      </c>
    </row>
    <row r="59" spans="1:53">
      <c r="A59" t="s">
        <v>115</v>
      </c>
      <c r="B59" t="s">
        <v>45</v>
      </c>
      <c r="C59">
        <v>7.0329378993424596E-4</v>
      </c>
      <c r="D59">
        <v>7.0329702700513302E-4</v>
      </c>
      <c r="E59">
        <v>7.0349001025769495E-4</v>
      </c>
      <c r="F59">
        <v>7.0359237320602398E-4</v>
      </c>
      <c r="G59">
        <v>7.0395152685611903E-4</v>
      </c>
      <c r="H59">
        <v>7.0497849538765005E-4</v>
      </c>
      <c r="I59">
        <v>7.0732685073829598E-4</v>
      </c>
      <c r="J59">
        <v>7.1284283401678499E-4</v>
      </c>
      <c r="K59">
        <v>7.2454628134208002E-4</v>
      </c>
      <c r="L59">
        <v>7.4264696554059498E-4</v>
      </c>
      <c r="M59">
        <v>7.6734992484875201E-4</v>
      </c>
      <c r="N59">
        <v>8.1708104087592796E-4</v>
      </c>
      <c r="O59">
        <v>8.8023629667560905E-4</v>
      </c>
      <c r="P59">
        <v>9.4565330458547302E-4</v>
      </c>
      <c r="Q59">
        <v>1.0564228755447699E-3</v>
      </c>
      <c r="R59">
        <v>1.1953003143052E-3</v>
      </c>
      <c r="S59">
        <v>1.3039410451664601E-3</v>
      </c>
      <c r="T59">
        <v>1.37383038764295E-3</v>
      </c>
      <c r="U59">
        <v>1.4054126001699001E-3</v>
      </c>
      <c r="V59">
        <v>1.44952460506597E-3</v>
      </c>
      <c r="W59">
        <v>1.4792717052304601E-3</v>
      </c>
      <c r="X59">
        <v>1.51592101820644E-3</v>
      </c>
      <c r="Y59">
        <v>1.5500632387763101E-3</v>
      </c>
      <c r="Z59">
        <v>1.62065037404141E-3</v>
      </c>
      <c r="AA59">
        <v>1.6764217067707201E-3</v>
      </c>
      <c r="AB59">
        <v>1.9106460483554199E-3</v>
      </c>
      <c r="AC59">
        <v>2.0799579629548499E-3</v>
      </c>
      <c r="AD59">
        <v>2.3771576757881099E-3</v>
      </c>
      <c r="AE59">
        <v>1.97555667168927E-3</v>
      </c>
      <c r="AF59">
        <v>2.3452550464863101E-3</v>
      </c>
      <c r="AG59">
        <v>2.4230931310577301E-3</v>
      </c>
      <c r="AH59">
        <v>2.4797265598820498E-3</v>
      </c>
      <c r="AI59">
        <v>2.1667533368001399E-3</v>
      </c>
      <c r="AJ59">
        <v>2.82326369282891E-3</v>
      </c>
      <c r="AK59">
        <v>3.6529680365296798E-3</v>
      </c>
      <c r="AL59">
        <v>3.8870703764320798E-3</v>
      </c>
      <c r="AM59">
        <v>4.2313117066290597E-3</v>
      </c>
      <c r="AN59">
        <v>4.7225501770956297E-3</v>
      </c>
      <c r="AO59">
        <v>6.3473744950952099E-3</v>
      </c>
      <c r="AP59">
        <v>4.5413260672116304E-3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94514</v>
      </c>
    </row>
    <row r="60" spans="1:53">
      <c r="A60" t="s">
        <v>127</v>
      </c>
      <c r="B60" t="s">
        <v>94</v>
      </c>
      <c r="C60">
        <v>1.22459650359886E-2</v>
      </c>
      <c r="D60">
        <v>1.2246021400849801E-2</v>
      </c>
      <c r="E60">
        <v>1.2249381683845701E-2</v>
      </c>
      <c r="F60">
        <v>1.2251164058586001E-2</v>
      </c>
      <c r="G60">
        <v>1.2257417751003899E-2</v>
      </c>
      <c r="H60">
        <v>1.2269763158598899E-2</v>
      </c>
      <c r="I60">
        <v>1.23069317105552E-2</v>
      </c>
      <c r="J60">
        <v>1.2398240285883599E-2</v>
      </c>
      <c r="K60">
        <v>1.2590414176829099E-2</v>
      </c>
      <c r="L60">
        <v>1.29324015602417E-2</v>
      </c>
      <c r="M60">
        <v>1.3492484364351199E-2</v>
      </c>
      <c r="N60">
        <v>1.43716570228498E-2</v>
      </c>
      <c r="O60">
        <v>1.55636330493952E-2</v>
      </c>
      <c r="P60">
        <v>1.72189957432092E-2</v>
      </c>
      <c r="Q60">
        <v>1.97049994973214E-2</v>
      </c>
      <c r="R60">
        <v>2.3135919362297499E-2</v>
      </c>
      <c r="S60">
        <v>2.74809872626324E-2</v>
      </c>
      <c r="T60">
        <v>3.2467572652111497E-2</v>
      </c>
      <c r="U60">
        <v>3.7793463069749997E-2</v>
      </c>
      <c r="V60">
        <v>4.36577156474953E-2</v>
      </c>
      <c r="W60">
        <v>4.9438493115222901E-2</v>
      </c>
      <c r="X60">
        <v>5.5896701909906601E-2</v>
      </c>
      <c r="Y60">
        <v>6.2040567912739999E-2</v>
      </c>
      <c r="Z60">
        <v>6.7397916642200295E-2</v>
      </c>
      <c r="AA60">
        <v>7.4297275814726504E-2</v>
      </c>
      <c r="AB60">
        <v>8.0318560051426693E-2</v>
      </c>
      <c r="AC60">
        <v>8.7292551561063206E-2</v>
      </c>
      <c r="AD60">
        <v>9.2141873092195903E-2</v>
      </c>
      <c r="AE60">
        <v>9.5931692616775505E-2</v>
      </c>
      <c r="AF60">
        <v>9.9966496356478807E-2</v>
      </c>
      <c r="AG60">
        <v>0.104719764011799</v>
      </c>
      <c r="AH60">
        <v>0.108973929361303</v>
      </c>
      <c r="AI60">
        <v>0.112671173513607</v>
      </c>
      <c r="AJ60">
        <v>0.11157538114059901</v>
      </c>
      <c r="AK60">
        <v>0.112024353120244</v>
      </c>
      <c r="AL60">
        <v>0.119476268412439</v>
      </c>
      <c r="AM60">
        <v>0.13427362482369501</v>
      </c>
      <c r="AN60">
        <v>0.145611963793782</v>
      </c>
      <c r="AO60">
        <v>0.13848817080207701</v>
      </c>
      <c r="AP60">
        <v>0.112624886466848</v>
      </c>
      <c r="AQ60">
        <v>0.10344827586206901</v>
      </c>
      <c r="AR60">
        <v>0.12268518518518499</v>
      </c>
      <c r="AS60">
        <v>0.145299145299145</v>
      </c>
      <c r="AT60">
        <v>0.184397163120567</v>
      </c>
      <c r="AU60">
        <v>0.12</v>
      </c>
      <c r="AV60">
        <v>0.155555555555556</v>
      </c>
      <c r="AW60">
        <v>0</v>
      </c>
      <c r="AX60">
        <v>0</v>
      </c>
      <c r="AY60">
        <v>0</v>
      </c>
      <c r="AZ60">
        <v>0</v>
      </c>
      <c r="BA60">
        <v>605897</v>
      </c>
    </row>
    <row r="61" spans="1:53">
      <c r="A61" t="s">
        <v>128</v>
      </c>
      <c r="B61" t="s">
        <v>95</v>
      </c>
      <c r="C61">
        <v>1.07896682091876E-2</v>
      </c>
      <c r="D61">
        <v>1.0789717871108899E-2</v>
      </c>
      <c r="E61">
        <v>1.0792678547422E-2</v>
      </c>
      <c r="F61">
        <v>1.07942489611882E-2</v>
      </c>
      <c r="G61">
        <v>1.0799758961100201E-2</v>
      </c>
      <c r="H61">
        <v>1.08155143251815E-2</v>
      </c>
      <c r="I61">
        <v>1.08515419077272E-2</v>
      </c>
      <c r="J61">
        <v>1.0935233003503599E-2</v>
      </c>
      <c r="K61">
        <v>1.11138192029422E-2</v>
      </c>
      <c r="L61">
        <v>1.1431493501107099E-2</v>
      </c>
      <c r="M61">
        <v>1.1958806285525699E-2</v>
      </c>
      <c r="N61">
        <v>1.2769215624077099E-2</v>
      </c>
      <c r="O61">
        <v>1.39686544736751E-2</v>
      </c>
      <c r="P61">
        <v>1.56208416584597E-2</v>
      </c>
      <c r="Q61">
        <v>1.8275158263955701E-2</v>
      </c>
      <c r="R61">
        <v>2.2066027605558699E-2</v>
      </c>
      <c r="S61">
        <v>2.7041428981870098E-2</v>
      </c>
      <c r="T61">
        <v>3.3040001980296101E-2</v>
      </c>
      <c r="U61">
        <v>4.0298934000415003E-2</v>
      </c>
      <c r="V61">
        <v>4.8310935311893503E-2</v>
      </c>
      <c r="W61">
        <v>5.74265603234674E-2</v>
      </c>
      <c r="X61">
        <v>6.7316127245025198E-2</v>
      </c>
      <c r="Y61">
        <v>7.7607767433456598E-2</v>
      </c>
      <c r="Z61">
        <v>8.9417622811241201E-2</v>
      </c>
      <c r="AA61">
        <v>0.100614206228774</v>
      </c>
      <c r="AB61">
        <v>0.113156672975965</v>
      </c>
      <c r="AC61">
        <v>0.126986907211981</v>
      </c>
      <c r="AD61">
        <v>0.14168400010805299</v>
      </c>
      <c r="AE61">
        <v>0.15747530554160399</v>
      </c>
      <c r="AF61">
        <v>0.17354887343998701</v>
      </c>
      <c r="AG61">
        <v>0.19168773704171899</v>
      </c>
      <c r="AH61">
        <v>0.20970444340191699</v>
      </c>
      <c r="AI61">
        <v>0.226295718495406</v>
      </c>
      <c r="AJ61">
        <v>0.24178430265386799</v>
      </c>
      <c r="AK61">
        <v>0.26940639269406402</v>
      </c>
      <c r="AL61">
        <v>0.28641571194762699</v>
      </c>
      <c r="AM61">
        <v>0.32214386459802502</v>
      </c>
      <c r="AN61">
        <v>0.34828807556080299</v>
      </c>
      <c r="AO61">
        <v>0.35314483554529702</v>
      </c>
      <c r="AP61">
        <v>0.36330608537692999</v>
      </c>
      <c r="AQ61">
        <v>0.35057471264367801</v>
      </c>
      <c r="AR61">
        <v>0.407407407407407</v>
      </c>
      <c r="AS61">
        <v>0.47435897435897401</v>
      </c>
      <c r="AT61">
        <v>0.54609929078014197</v>
      </c>
      <c r="AU61">
        <v>0.6</v>
      </c>
      <c r="AV61">
        <v>0.86666666666666703</v>
      </c>
      <c r="AW61">
        <v>1</v>
      </c>
      <c r="AX61">
        <v>1</v>
      </c>
      <c r="AY61">
        <v>1</v>
      </c>
      <c r="AZ61">
        <v>1</v>
      </c>
      <c r="BA61">
        <v>486675</v>
      </c>
    </row>
    <row r="62" spans="1:53">
      <c r="A62" t="s">
        <v>128</v>
      </c>
      <c r="B62" t="s">
        <v>96</v>
      </c>
      <c r="C62">
        <v>1.68293417114894E-2</v>
      </c>
      <c r="D62">
        <v>1.6829419172392501E-2</v>
      </c>
      <c r="E62">
        <v>1.68340371302764E-2</v>
      </c>
      <c r="F62">
        <v>1.6836486605958802E-2</v>
      </c>
      <c r="G62">
        <v>1.68450809083555E-2</v>
      </c>
      <c r="H62">
        <v>1.68678100728878E-2</v>
      </c>
      <c r="I62">
        <v>1.6922146829573999E-2</v>
      </c>
      <c r="J62">
        <v>1.7053178635241899E-2</v>
      </c>
      <c r="K62">
        <v>1.7330312493776399E-2</v>
      </c>
      <c r="L62">
        <v>1.7819623640960899E-2</v>
      </c>
      <c r="M62">
        <v>1.8625861225123701E-2</v>
      </c>
      <c r="N62">
        <v>1.9870273344781898E-2</v>
      </c>
      <c r="O62">
        <v>2.1672520917604399E-2</v>
      </c>
      <c r="P62">
        <v>2.41736003317892E-2</v>
      </c>
      <c r="Q62">
        <v>2.81515950868357E-2</v>
      </c>
      <c r="R62">
        <v>3.3770173142189802E-2</v>
      </c>
      <c r="S62">
        <v>4.08911982751635E-2</v>
      </c>
      <c r="T62">
        <v>4.9460988167731097E-2</v>
      </c>
      <c r="U62">
        <v>5.9559741779902198E-2</v>
      </c>
      <c r="V62">
        <v>7.0736800727219107E-2</v>
      </c>
      <c r="W62">
        <v>8.2882360917641507E-2</v>
      </c>
      <c r="X62">
        <v>9.5510719177555103E-2</v>
      </c>
      <c r="Y62">
        <v>0.108685108932358</v>
      </c>
      <c r="Z62">
        <v>0.124108935890359</v>
      </c>
      <c r="AA62">
        <v>0.138405954187441</v>
      </c>
      <c r="AB62">
        <v>0.152280275704439</v>
      </c>
      <c r="AC62">
        <v>0.168739326531506</v>
      </c>
      <c r="AD62">
        <v>0.185985574975013</v>
      </c>
      <c r="AE62">
        <v>0.20354930520676401</v>
      </c>
      <c r="AF62">
        <v>0.223259904514616</v>
      </c>
      <c r="AG62">
        <v>0.24262536873156301</v>
      </c>
      <c r="AH62">
        <v>0.26244889752697498</v>
      </c>
      <c r="AI62">
        <v>0.28150459351707402</v>
      </c>
      <c r="AJ62">
        <v>0.295313382269904</v>
      </c>
      <c r="AK62">
        <v>0.31430745814307498</v>
      </c>
      <c r="AL62">
        <v>0.331833060556465</v>
      </c>
      <c r="AM62">
        <v>0.35994358251057801</v>
      </c>
      <c r="AN62">
        <v>0.38921684376229798</v>
      </c>
      <c r="AO62">
        <v>0.39815349105597198</v>
      </c>
      <c r="AP62">
        <v>0.40962761126248898</v>
      </c>
      <c r="AQ62">
        <v>0.40517241379310298</v>
      </c>
      <c r="AR62">
        <v>0.47685185185185203</v>
      </c>
      <c r="AS62">
        <v>0.55982905982905995</v>
      </c>
      <c r="AT62">
        <v>0.61702127659574502</v>
      </c>
      <c r="AU62">
        <v>0.67</v>
      </c>
      <c r="AV62">
        <v>0.86666666666666703</v>
      </c>
      <c r="AW62">
        <v>1</v>
      </c>
      <c r="AX62">
        <v>1</v>
      </c>
      <c r="AY62">
        <v>1</v>
      </c>
      <c r="AZ62">
        <v>1</v>
      </c>
      <c r="BA62">
        <v>768308</v>
      </c>
    </row>
    <row r="63" spans="1:53">
      <c r="A63" t="s">
        <v>106</v>
      </c>
      <c r="B63" t="s">
        <v>0</v>
      </c>
      <c r="C63">
        <v>2.2866253588961602E-3</v>
      </c>
      <c r="D63">
        <v>2.2866358836135499E-3</v>
      </c>
      <c r="E63">
        <v>2.2872633317802499E-3</v>
      </c>
      <c r="F63">
        <v>2.28759614534524E-3</v>
      </c>
      <c r="G63">
        <v>2.2887638648044499E-3</v>
      </c>
      <c r="H63">
        <v>2.2921028567315801E-3</v>
      </c>
      <c r="I63">
        <v>2.2997380853847201E-3</v>
      </c>
      <c r="J63">
        <v>2.3176722509132101E-3</v>
      </c>
      <c r="K63">
        <v>2.3557237733687498E-3</v>
      </c>
      <c r="L63">
        <v>2.4240933802928198E-3</v>
      </c>
      <c r="M63">
        <v>2.53807884597111E-3</v>
      </c>
      <c r="N63">
        <v>2.7039147698062899E-3</v>
      </c>
      <c r="O63">
        <v>2.9561069091353898E-3</v>
      </c>
      <c r="P63">
        <v>3.3124884326336899E-3</v>
      </c>
      <c r="Q63">
        <v>3.86025216909788E-3</v>
      </c>
      <c r="R63">
        <v>4.6675497519262001E-3</v>
      </c>
      <c r="S63">
        <v>5.7142576499102501E-3</v>
      </c>
      <c r="T63">
        <v>6.9217535521560502E-3</v>
      </c>
      <c r="U63">
        <v>8.3933276177277708E-3</v>
      </c>
      <c r="V63">
        <v>9.9550401690293097E-3</v>
      </c>
      <c r="W63">
        <v>1.1661591942900101E-2</v>
      </c>
      <c r="X63">
        <v>1.3812579835942E-2</v>
      </c>
      <c r="Y63">
        <v>1.5757391329155501E-2</v>
      </c>
      <c r="Z63">
        <v>1.8202957099740499E-2</v>
      </c>
      <c r="AA63">
        <v>2.0666233109328701E-2</v>
      </c>
      <c r="AB63">
        <v>2.3677725795507299E-2</v>
      </c>
      <c r="AC63">
        <v>2.6623461925822101E-2</v>
      </c>
      <c r="AD63">
        <v>2.9471352548691199E-2</v>
      </c>
      <c r="AE63">
        <v>3.3082203247949103E-2</v>
      </c>
      <c r="AF63">
        <v>3.6937766982159302E-2</v>
      </c>
      <c r="AG63">
        <v>4.1561314791403299E-2</v>
      </c>
      <c r="AH63">
        <v>4.7114804637758897E-2</v>
      </c>
      <c r="AI63">
        <v>5.3995493153059501E-2</v>
      </c>
      <c r="AJ63">
        <v>5.7142857142857099E-2</v>
      </c>
      <c r="AK63">
        <v>6.7275494672754899E-2</v>
      </c>
      <c r="AL63">
        <v>7.5286415711947594E-2</v>
      </c>
      <c r="AM63">
        <v>8.1523272214386502E-2</v>
      </c>
      <c r="AN63">
        <v>9.1302636757182198E-2</v>
      </c>
      <c r="AO63">
        <v>9.3479515291402193E-2</v>
      </c>
      <c r="AP63">
        <v>8.9009990917347903E-2</v>
      </c>
      <c r="AQ63">
        <v>0.10344827586206901</v>
      </c>
      <c r="AR63">
        <v>0.13657407407407399</v>
      </c>
      <c r="AS63">
        <v>0.170940170940171</v>
      </c>
      <c r="AT63">
        <v>0.24822695035461001</v>
      </c>
      <c r="AU63">
        <v>0.21</v>
      </c>
      <c r="AV63">
        <v>0.17777777777777801</v>
      </c>
      <c r="AW63">
        <v>0</v>
      </c>
      <c r="AX63">
        <v>0</v>
      </c>
      <c r="AY63">
        <v>0</v>
      </c>
      <c r="AZ63">
        <v>0</v>
      </c>
      <c r="BA63">
        <v>102220</v>
      </c>
    </row>
    <row r="64" spans="1:53">
      <c r="A64" t="s">
        <v>129</v>
      </c>
      <c r="B64" t="s">
        <v>9</v>
      </c>
      <c r="C64">
        <v>1.13953845884765E-2</v>
      </c>
      <c r="D64">
        <v>1.13954370383463E-2</v>
      </c>
      <c r="E64">
        <v>1.1398563922748701E-2</v>
      </c>
      <c r="F64">
        <v>1.1400222497274E-2</v>
      </c>
      <c r="G64">
        <v>1.1406041820617699E-2</v>
      </c>
      <c r="H64">
        <v>1.14208361746243E-2</v>
      </c>
      <c r="I64">
        <v>1.14570285050869E-2</v>
      </c>
      <c r="J64">
        <v>1.15454413980677E-2</v>
      </c>
      <c r="K64">
        <v>1.17340459935151E-2</v>
      </c>
      <c r="L64">
        <v>1.20648415702738E-2</v>
      </c>
      <c r="M64">
        <v>1.26198920396897E-2</v>
      </c>
      <c r="N64">
        <v>1.34878531660523E-2</v>
      </c>
      <c r="O64">
        <v>1.4762546065499701E-2</v>
      </c>
      <c r="P64">
        <v>1.6597566428767301E-2</v>
      </c>
      <c r="Q64">
        <v>1.9473607779868299E-2</v>
      </c>
      <c r="R64">
        <v>2.35434971743884E-2</v>
      </c>
      <c r="S64">
        <v>2.8870875457668602E-2</v>
      </c>
      <c r="T64">
        <v>3.5298777167186497E-2</v>
      </c>
      <c r="U64">
        <v>4.2820064124396602E-2</v>
      </c>
      <c r="V64">
        <v>5.1367221089354598E-2</v>
      </c>
      <c r="W64">
        <v>6.0939830623389799E-2</v>
      </c>
      <c r="X64">
        <v>7.1686904597011297E-2</v>
      </c>
      <c r="Y64">
        <v>8.2714417490038702E-2</v>
      </c>
      <c r="Z64">
        <v>9.5042923747225505E-2</v>
      </c>
      <c r="AA64">
        <v>0.10799913288532401</v>
      </c>
      <c r="AB64">
        <v>0.120584979107889</v>
      </c>
      <c r="AC64">
        <v>0.134190130052108</v>
      </c>
      <c r="AD64">
        <v>0.14846430211513001</v>
      </c>
      <c r="AE64">
        <v>0.16159383894190499</v>
      </c>
      <c r="AF64">
        <v>0.17421894631041099</v>
      </c>
      <c r="AG64">
        <v>0.18873788453434501</v>
      </c>
      <c r="AH64">
        <v>0.20427585282487801</v>
      </c>
      <c r="AI64">
        <v>0.22256890275610999</v>
      </c>
      <c r="AJ64">
        <v>0.231959345002823</v>
      </c>
      <c r="AK64">
        <v>0.25388127853881298</v>
      </c>
      <c r="AL64">
        <v>0.27332242225859199</v>
      </c>
      <c r="AM64">
        <v>0.29196050775740501</v>
      </c>
      <c r="AN64">
        <v>0.30814639905549002</v>
      </c>
      <c r="AO64">
        <v>0.31217541834968299</v>
      </c>
      <c r="AP64">
        <v>0.27611262488646698</v>
      </c>
      <c r="AQ64">
        <v>0.25862068965517199</v>
      </c>
      <c r="AR64">
        <v>0.28472222222222199</v>
      </c>
      <c r="AS64">
        <v>0.23504273504273501</v>
      </c>
      <c r="AT64">
        <v>0.26241134751772999</v>
      </c>
      <c r="AU64">
        <v>0.22</v>
      </c>
      <c r="AV64">
        <v>0.2</v>
      </c>
      <c r="AW64">
        <v>0</v>
      </c>
      <c r="AX64">
        <v>0</v>
      </c>
      <c r="AY64">
        <v>0</v>
      </c>
      <c r="AZ64">
        <v>0</v>
      </c>
      <c r="BA64">
        <v>490268</v>
      </c>
    </row>
    <row r="65" spans="1:53">
      <c r="A65" t="s">
        <v>107</v>
      </c>
      <c r="B65" t="s">
        <v>1</v>
      </c>
      <c r="C65">
        <v>5.03996531399214E-3</v>
      </c>
      <c r="D65">
        <v>5.0399885115878298E-3</v>
      </c>
      <c r="E65">
        <v>5.04137147403256E-3</v>
      </c>
      <c r="F65">
        <v>5.0421050305012802E-3</v>
      </c>
      <c r="G65">
        <v>5.0446788082948299E-3</v>
      </c>
      <c r="H65">
        <v>5.0520383013709204E-3</v>
      </c>
      <c r="I65">
        <v>5.0605347724287002E-3</v>
      </c>
      <c r="J65">
        <v>5.0971994793634796E-3</v>
      </c>
      <c r="K65">
        <v>5.16191807505882E-3</v>
      </c>
      <c r="L65">
        <v>5.2707441010312198E-3</v>
      </c>
      <c r="M65">
        <v>5.4470605184669804E-3</v>
      </c>
      <c r="N65">
        <v>5.6976909530424497E-3</v>
      </c>
      <c r="O65">
        <v>6.0297385554291E-3</v>
      </c>
      <c r="P65">
        <v>6.5047438022557899E-3</v>
      </c>
      <c r="Q65">
        <v>7.1316523124011601E-3</v>
      </c>
      <c r="R65">
        <v>7.9967550535729702E-3</v>
      </c>
      <c r="S65">
        <v>8.9090359922107294E-3</v>
      </c>
      <c r="T65">
        <v>9.5765879498985098E-3</v>
      </c>
      <c r="U65">
        <v>9.8339734028601508E-3</v>
      </c>
      <c r="V65">
        <v>9.8665945999066394E-3</v>
      </c>
      <c r="W65">
        <v>9.6769024050492505E-3</v>
      </c>
      <c r="X65">
        <v>8.8646751927605096E-3</v>
      </c>
      <c r="Y65">
        <v>7.9880559544300393E-3</v>
      </c>
      <c r="Z65">
        <v>7.0815375039635503E-3</v>
      </c>
      <c r="AA65">
        <v>7.0091769636534398E-3</v>
      </c>
      <c r="AB65">
        <v>6.0533552373129504E-3</v>
      </c>
      <c r="AC65">
        <v>5.4078907036826203E-3</v>
      </c>
      <c r="AD65">
        <v>5.5647100137767103E-3</v>
      </c>
      <c r="AE65">
        <v>5.8262179809141102E-3</v>
      </c>
      <c r="AF65">
        <v>5.4443420722003503E-3</v>
      </c>
      <c r="AG65">
        <v>6.1630847029077104E-3</v>
      </c>
      <c r="AH65">
        <v>6.5009047650961696E-3</v>
      </c>
      <c r="AI65">
        <v>6.06690934304039E-3</v>
      </c>
      <c r="AJ65">
        <v>6.88876341050254E-3</v>
      </c>
      <c r="AK65">
        <v>8.5235920852359207E-3</v>
      </c>
      <c r="AL65">
        <v>9.4108019639934492E-3</v>
      </c>
      <c r="AM65">
        <v>9.5909732016925195E-3</v>
      </c>
      <c r="AN65">
        <v>9.4451003541912593E-3</v>
      </c>
      <c r="AO65">
        <v>8.0784766301211803E-3</v>
      </c>
      <c r="AP65">
        <v>8.1743869209809292E-3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291353</v>
      </c>
    </row>
    <row r="66" spans="1:53">
      <c r="A66" t="s">
        <v>58</v>
      </c>
      <c r="B66" t="s">
        <v>10</v>
      </c>
      <c r="C66">
        <v>2.6955299419966699E-2</v>
      </c>
      <c r="D66">
        <v>2.6955423487911401E-2</v>
      </c>
      <c r="E66">
        <v>2.6962820000478799E-2</v>
      </c>
      <c r="F66">
        <v>2.6966743288244499E-2</v>
      </c>
      <c r="G66">
        <v>2.69777444434821E-2</v>
      </c>
      <c r="H66">
        <v>2.7017101264993501E-2</v>
      </c>
      <c r="I66">
        <v>2.7107097987914299E-2</v>
      </c>
      <c r="J66">
        <v>2.7317555620868399E-2</v>
      </c>
      <c r="K66">
        <v>2.7730965723460399E-2</v>
      </c>
      <c r="L66">
        <v>2.8483097218440698E-2</v>
      </c>
      <c r="M66">
        <v>2.9689596226804501E-2</v>
      </c>
      <c r="N66">
        <v>3.1579580630694701E-2</v>
      </c>
      <c r="O66">
        <v>3.4259660113663201E-2</v>
      </c>
      <c r="P66">
        <v>3.7928803113631102E-2</v>
      </c>
      <c r="Q66">
        <v>4.3710693329375702E-2</v>
      </c>
      <c r="R66">
        <v>5.1693799330631798E-2</v>
      </c>
      <c r="S66">
        <v>6.1619195190888598E-2</v>
      </c>
      <c r="T66">
        <v>7.30574533392742E-2</v>
      </c>
      <c r="U66">
        <v>8.6004204493405498E-2</v>
      </c>
      <c r="V66">
        <v>9.9570056261209294E-2</v>
      </c>
      <c r="W66">
        <v>0.11411348479432</v>
      </c>
      <c r="X66">
        <v>0.12992289579389599</v>
      </c>
      <c r="Y66">
        <v>0.14479302376446601</v>
      </c>
      <c r="Z66">
        <v>0.160808446172094</v>
      </c>
      <c r="AA66">
        <v>0.174506828528073</v>
      </c>
      <c r="AB66">
        <v>0.18888611121031401</v>
      </c>
      <c r="AC66">
        <v>0.20514953803038899</v>
      </c>
      <c r="AD66">
        <v>0.22010319025365399</v>
      </c>
      <c r="AE66">
        <v>0.23455549974886999</v>
      </c>
      <c r="AF66">
        <v>0.24830387804673801</v>
      </c>
      <c r="AG66">
        <v>0.26980615254951501</v>
      </c>
      <c r="AH66">
        <v>0.28590577039072401</v>
      </c>
      <c r="AI66">
        <v>0.30135205408216298</v>
      </c>
      <c r="AJ66">
        <v>0.31722190852625598</v>
      </c>
      <c r="AK66">
        <v>0.33637747336377499</v>
      </c>
      <c r="AL66">
        <v>0.35801963993453401</v>
      </c>
      <c r="AM66">
        <v>0.378279266572638</v>
      </c>
      <c r="AN66">
        <v>0.40062967335694599</v>
      </c>
      <c r="AO66">
        <v>0.40680900173110202</v>
      </c>
      <c r="AP66">
        <v>0.39691189827429602</v>
      </c>
      <c r="AQ66">
        <v>0.40229885057471299</v>
      </c>
      <c r="AR66">
        <v>0.45833333333333298</v>
      </c>
      <c r="AS66">
        <v>0.41880341880341898</v>
      </c>
      <c r="AT66">
        <v>0.49645390070922002</v>
      </c>
      <c r="AU66">
        <v>0.51</v>
      </c>
      <c r="AV66">
        <v>0.37777777777777799</v>
      </c>
      <c r="AW66">
        <v>0</v>
      </c>
      <c r="AX66">
        <v>0</v>
      </c>
      <c r="AY66">
        <v>0</v>
      </c>
      <c r="AZ66">
        <v>0</v>
      </c>
      <c r="BA66">
        <v>1317761</v>
      </c>
    </row>
    <row r="67" spans="1:53">
      <c r="A67" t="s">
        <v>58</v>
      </c>
      <c r="B67" t="s">
        <v>11</v>
      </c>
      <c r="C67">
        <v>2.8223805758356001E-2</v>
      </c>
      <c r="D67">
        <v>2.8223935664891901E-2</v>
      </c>
      <c r="E67">
        <v>2.8231680254582399E-2</v>
      </c>
      <c r="F67">
        <v>2.8235788170807199E-2</v>
      </c>
      <c r="G67">
        <v>2.8250201326451101E-2</v>
      </c>
      <c r="H67">
        <v>2.8291414487677202E-2</v>
      </c>
      <c r="I67">
        <v>2.8385656078057799E-2</v>
      </c>
      <c r="J67">
        <v>2.8603285235102801E-2</v>
      </c>
      <c r="K67">
        <v>2.90397011531097E-2</v>
      </c>
      <c r="L67">
        <v>2.9827863997041099E-2</v>
      </c>
      <c r="M67">
        <v>3.1119053676689198E-2</v>
      </c>
      <c r="N67">
        <v>3.3105454863655799E-2</v>
      </c>
      <c r="O67">
        <v>3.5931389538139798E-2</v>
      </c>
      <c r="P67">
        <v>3.9810653189756101E-2</v>
      </c>
      <c r="Q67">
        <v>4.5898541913019099E-2</v>
      </c>
      <c r="R67">
        <v>5.4323460022103302E-2</v>
      </c>
      <c r="S67">
        <v>6.47501270790002E-2</v>
      </c>
      <c r="T67">
        <v>7.6621986236942399E-2</v>
      </c>
      <c r="U67">
        <v>9.0236101487231907E-2</v>
      </c>
      <c r="V67">
        <v>0.104306807852001</v>
      </c>
      <c r="W67">
        <v>0.119278608498416</v>
      </c>
      <c r="X67">
        <v>0.13566338858365301</v>
      </c>
      <c r="Y67">
        <v>0.15163041927784199</v>
      </c>
      <c r="Z67">
        <v>0.16777254524315599</v>
      </c>
      <c r="AA67">
        <v>0.18190620709588801</v>
      </c>
      <c r="AB67">
        <v>0.19702867754723</v>
      </c>
      <c r="AC67">
        <v>0.21390725576914699</v>
      </c>
      <c r="AD67">
        <v>0.23034117615278599</v>
      </c>
      <c r="AE67">
        <v>0.24436631508454701</v>
      </c>
      <c r="AF67">
        <v>0.258396850657509</v>
      </c>
      <c r="AG67">
        <v>0.28113147914032899</v>
      </c>
      <c r="AH67">
        <v>0.29750016754909198</v>
      </c>
      <c r="AI67">
        <v>0.315999306638932</v>
      </c>
      <c r="AJ67">
        <v>0.33291925465838501</v>
      </c>
      <c r="AK67">
        <v>0.35114155251141599</v>
      </c>
      <c r="AL67">
        <v>0.36968085106382997</v>
      </c>
      <c r="AM67">
        <v>0.38730606488011299</v>
      </c>
      <c r="AN67">
        <v>0.412042502951594</v>
      </c>
      <c r="AO67">
        <v>0.414310444316215</v>
      </c>
      <c r="AP67">
        <v>0.41780199818347002</v>
      </c>
      <c r="AQ67">
        <v>0.43678160919540199</v>
      </c>
      <c r="AR67">
        <v>0.49074074074074098</v>
      </c>
      <c r="AS67">
        <v>0.5</v>
      </c>
      <c r="AT67">
        <v>0.56737588652482296</v>
      </c>
      <c r="AU67">
        <v>0.56999999999999995</v>
      </c>
      <c r="AV67">
        <v>0.422222222222222</v>
      </c>
      <c r="AW67">
        <v>0</v>
      </c>
      <c r="AX67">
        <v>0</v>
      </c>
      <c r="AY67">
        <v>0</v>
      </c>
      <c r="AZ67">
        <v>0</v>
      </c>
      <c r="BA67">
        <v>1370434</v>
      </c>
    </row>
    <row r="68" spans="1:53">
      <c r="A68" t="s">
        <v>108</v>
      </c>
      <c r="B68" t="s">
        <v>2</v>
      </c>
      <c r="C68">
        <v>7.8135571845050697E-3</v>
      </c>
      <c r="D68">
        <v>7.8135931481931493E-3</v>
      </c>
      <c r="E68">
        <v>7.8157371820252799E-3</v>
      </c>
      <c r="F68">
        <v>7.8168744290218993E-3</v>
      </c>
      <c r="G68">
        <v>7.8208646072706004E-3</v>
      </c>
      <c r="H68">
        <v>7.8322741738879303E-3</v>
      </c>
      <c r="I68">
        <v>7.8537351764567595E-3</v>
      </c>
      <c r="J68">
        <v>7.9149813625188394E-3</v>
      </c>
      <c r="K68">
        <v>8.0420843792942901E-3</v>
      </c>
      <c r="L68">
        <v>8.2618255062637102E-3</v>
      </c>
      <c r="M68">
        <v>8.6411162642422105E-3</v>
      </c>
      <c r="N68">
        <v>9.1749340975465707E-3</v>
      </c>
      <c r="O68">
        <v>9.9440318420083804E-3</v>
      </c>
      <c r="P68">
        <v>1.1027668464758901E-2</v>
      </c>
      <c r="Q68">
        <v>1.2662712262005601E-2</v>
      </c>
      <c r="R68">
        <v>1.4747262566329401E-2</v>
      </c>
      <c r="S68">
        <v>1.7054370167007601E-2</v>
      </c>
      <c r="T68">
        <v>1.9116045348779601E-2</v>
      </c>
      <c r="U68">
        <v>2.06662203796571E-2</v>
      </c>
      <c r="V68">
        <v>2.1354691300395499E-2</v>
      </c>
      <c r="W68">
        <v>2.1326167083739099E-2</v>
      </c>
      <c r="X68">
        <v>1.9714668267233001E-2</v>
      </c>
      <c r="Y68">
        <v>1.7193339482868501E-2</v>
      </c>
      <c r="Z68">
        <v>1.41395873213468E-2</v>
      </c>
      <c r="AA68">
        <v>1.15904328347424E-2</v>
      </c>
      <c r="AB68">
        <v>9.4282347059033607E-3</v>
      </c>
      <c r="AC68">
        <v>7.1375399570871804E-3</v>
      </c>
      <c r="AD68">
        <v>6.0509468110970001E-3</v>
      </c>
      <c r="AE68">
        <v>4.2859534572241799E-3</v>
      </c>
      <c r="AF68">
        <v>2.9315688081078799E-3</v>
      </c>
      <c r="AG68">
        <v>3.2659081331647701E-3</v>
      </c>
      <c r="AH68">
        <v>3.0158836539106002E-3</v>
      </c>
      <c r="AI68">
        <v>2.7734442711041798E-3</v>
      </c>
      <c r="AJ68">
        <v>2.5974025974026E-3</v>
      </c>
      <c r="AK68">
        <v>3.1963470319634701E-3</v>
      </c>
      <c r="AL68">
        <v>3.8870703764320798E-3</v>
      </c>
      <c r="AM68">
        <v>2.8208744710860401E-3</v>
      </c>
      <c r="AN68">
        <v>3.93545848091303E-4</v>
      </c>
      <c r="AO68">
        <v>5.7703404500865504E-4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377383</v>
      </c>
    </row>
    <row r="69" spans="1:53">
      <c r="A69" t="s">
        <v>108</v>
      </c>
      <c r="B69" t="s">
        <v>52</v>
      </c>
      <c r="C69" s="1">
        <v>7.8246036838234106E-5</v>
      </c>
      <c r="D69" s="1">
        <v>7.8246396983555399E-5</v>
      </c>
      <c r="E69" s="1">
        <v>7.8267867633382296E-5</v>
      </c>
      <c r="F69" s="1">
        <v>7.8279256181298397E-5</v>
      </c>
      <c r="G69" s="1">
        <v>7.8319214375353603E-5</v>
      </c>
      <c r="H69" s="1">
        <v>7.8433471345484696E-5</v>
      </c>
      <c r="I69" s="1">
        <v>7.8694741247061699E-5</v>
      </c>
      <c r="J69" s="1">
        <v>7.9308430486160696E-5</v>
      </c>
      <c r="K69" s="1">
        <v>8.0610515594341299E-5</v>
      </c>
      <c r="L69" s="1">
        <v>8.2950055283772105E-5</v>
      </c>
      <c r="M69" s="1">
        <v>8.6850524117368806E-5</v>
      </c>
      <c r="N69" s="1">
        <v>9.2974415628452399E-5</v>
      </c>
      <c r="O69">
        <v>1.01934721004669E-4</v>
      </c>
      <c r="P69">
        <v>1.13478396550257E-4</v>
      </c>
      <c r="Q69">
        <v>1.2926020078417899E-4</v>
      </c>
      <c r="R69">
        <v>1.43044135974229E-4</v>
      </c>
      <c r="S69">
        <v>1.62071768325774E-4</v>
      </c>
      <c r="T69">
        <v>1.8255854250210401E-4</v>
      </c>
      <c r="U69">
        <v>2.07484311445696E-4</v>
      </c>
      <c r="V69">
        <v>2.1128663734859801E-4</v>
      </c>
      <c r="W69">
        <v>2.34218019994823E-4</v>
      </c>
      <c r="X69">
        <v>2.0007079428105301E-4</v>
      </c>
      <c r="Y69">
        <v>1.9019180843881099E-4</v>
      </c>
      <c r="Z69">
        <v>1.6441380606217201E-4</v>
      </c>
      <c r="AA69">
        <v>1.73422935183178E-4</v>
      </c>
      <c r="AB69" s="1">
        <v>3.57130102496339E-5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5388</v>
      </c>
    </row>
    <row r="70" spans="1:53">
      <c r="A70" t="s">
        <v>108</v>
      </c>
      <c r="B70" t="s">
        <v>53</v>
      </c>
      <c r="C70">
        <v>1.9312962974895899E-3</v>
      </c>
      <c r="D70">
        <v>1.93130518672352E-3</v>
      </c>
      <c r="E70">
        <v>1.93183513288042E-3</v>
      </c>
      <c r="F70">
        <v>1.9321162290395801E-3</v>
      </c>
      <c r="G70">
        <v>1.9331024912881401E-3</v>
      </c>
      <c r="H70">
        <v>1.9359226221509001E-3</v>
      </c>
      <c r="I70">
        <v>1.94237137807453E-3</v>
      </c>
      <c r="J70">
        <v>1.9565856321115201E-3</v>
      </c>
      <c r="K70">
        <v>1.98870883766275E-3</v>
      </c>
      <c r="L70">
        <v>2.0386195939741201E-3</v>
      </c>
      <c r="M70">
        <v>2.1293704971834899E-3</v>
      </c>
      <c r="N70">
        <v>2.2652942913708798E-3</v>
      </c>
      <c r="O70">
        <v>2.4296440559465702E-3</v>
      </c>
      <c r="P70">
        <v>2.65728578588518E-3</v>
      </c>
      <c r="Q70">
        <v>2.92511046959752E-3</v>
      </c>
      <c r="R70">
        <v>3.2527844618797201E-3</v>
      </c>
      <c r="S70">
        <v>3.4648979561767799E-3</v>
      </c>
      <c r="T70">
        <v>3.5830981731768902E-3</v>
      </c>
      <c r="U70">
        <v>3.5350628912351602E-3</v>
      </c>
      <c r="V70">
        <v>3.2282632729774201E-3</v>
      </c>
      <c r="W70">
        <v>2.8599252967788898E-3</v>
      </c>
      <c r="X70">
        <v>2.3238992258799301E-3</v>
      </c>
      <c r="Y70">
        <v>1.7212358663712399E-3</v>
      </c>
      <c r="Z70">
        <v>1.3270542917875299E-3</v>
      </c>
      <c r="AA70">
        <v>9.9718187730327298E-4</v>
      </c>
      <c r="AB70">
        <v>9.9996428698974999E-4</v>
      </c>
      <c r="AC70">
        <v>6.7872312475368904E-4</v>
      </c>
      <c r="AD70">
        <v>6.7532888516707603E-4</v>
      </c>
      <c r="AE70">
        <v>6.6968022769127705E-4</v>
      </c>
      <c r="AF70">
        <v>7.5383197922774105E-4</v>
      </c>
      <c r="AG70">
        <v>7.9013906447534805E-4</v>
      </c>
      <c r="AH70">
        <v>1.0052945513035301E-3</v>
      </c>
      <c r="AI70">
        <v>1.2133818686080799E-3</v>
      </c>
      <c r="AJ70">
        <v>1.3551665725578799E-3</v>
      </c>
      <c r="AK70">
        <v>1.5220700152207001E-3</v>
      </c>
      <c r="AL70">
        <v>1.22749590834697E-3</v>
      </c>
      <c r="AM70">
        <v>1.6925246826516201E-3</v>
      </c>
      <c r="AN70">
        <v>1.18063754427391E-3</v>
      </c>
      <c r="AO70">
        <v>1.73110213502597E-3</v>
      </c>
      <c r="AP70">
        <v>9.0826521344232502E-4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137102</v>
      </c>
    </row>
    <row r="71" spans="1:53">
      <c r="A71" t="s">
        <v>108</v>
      </c>
      <c r="B71" t="s">
        <v>54</v>
      </c>
      <c r="C71">
        <v>6.9178701981097599E-3</v>
      </c>
      <c r="D71">
        <v>6.9179020391931601E-3</v>
      </c>
      <c r="E71">
        <v>6.9198002972337396E-3</v>
      </c>
      <c r="F71">
        <v>6.92080717885244E-3</v>
      </c>
      <c r="G71">
        <v>6.9243399533033198E-3</v>
      </c>
      <c r="H71">
        <v>6.9344416136625604E-3</v>
      </c>
      <c r="I71">
        <v>6.9575409467255104E-3</v>
      </c>
      <c r="J71">
        <v>7.0117982953352602E-3</v>
      </c>
      <c r="K71">
        <v>7.1269179375467702E-3</v>
      </c>
      <c r="L71">
        <v>7.3210742910453999E-3</v>
      </c>
      <c r="M71">
        <v>7.65204206017617E-3</v>
      </c>
      <c r="N71">
        <v>8.1697165921048292E-3</v>
      </c>
      <c r="O71">
        <v>8.9210869359262306E-3</v>
      </c>
      <c r="P71">
        <v>9.9455708976546407E-3</v>
      </c>
      <c r="Q71">
        <v>1.1497774650000099E-2</v>
      </c>
      <c r="R71">
        <v>1.3600949969823599E-2</v>
      </c>
      <c r="S71">
        <v>1.6045105064251601E-2</v>
      </c>
      <c r="T71">
        <v>1.8497202831823399E-2</v>
      </c>
      <c r="U71">
        <v>2.0490054454844801E-2</v>
      </c>
      <c r="V71">
        <v>2.14677050831634E-2</v>
      </c>
      <c r="W71">
        <v>2.1961021190567202E-2</v>
      </c>
      <c r="X71">
        <v>2.0930483094017901E-2</v>
      </c>
      <c r="Y71">
        <v>1.9418583641602601E-2</v>
      </c>
      <c r="Z71">
        <v>1.6664513628730102E-2</v>
      </c>
      <c r="AA71">
        <v>1.3844930992123699E-2</v>
      </c>
      <c r="AB71">
        <v>1.1035320167136899E-2</v>
      </c>
      <c r="AC71">
        <v>8.7139291500634899E-3</v>
      </c>
      <c r="AD71">
        <v>6.9693940949242302E-3</v>
      </c>
      <c r="AE71">
        <v>5.8931860036832403E-3</v>
      </c>
      <c r="AF71">
        <v>5.6118602898065197E-3</v>
      </c>
      <c r="AG71">
        <v>5.5836493889591197E-3</v>
      </c>
      <c r="AH71">
        <v>6.0317673078211899E-3</v>
      </c>
      <c r="AI71">
        <v>5.5468885422083596E-3</v>
      </c>
      <c r="AJ71">
        <v>4.9689440993788796E-3</v>
      </c>
      <c r="AK71">
        <v>4.87062404870624E-3</v>
      </c>
      <c r="AL71">
        <v>3.68248772504092E-3</v>
      </c>
      <c r="AM71">
        <v>1.9746121297602301E-3</v>
      </c>
      <c r="AN71">
        <v>1.57418339236521E-3</v>
      </c>
      <c r="AO71">
        <v>2.3081361800346202E-3</v>
      </c>
      <c r="AP71">
        <v>9.0826521344232502E-4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331937</v>
      </c>
    </row>
    <row r="72" spans="1:53">
      <c r="A72" t="s">
        <v>59</v>
      </c>
      <c r="B72" t="s">
        <v>12</v>
      </c>
      <c r="C72">
        <v>1.37289575694756E-2</v>
      </c>
      <c r="D72">
        <v>1.3729020760149899E-2</v>
      </c>
      <c r="E72">
        <v>1.3732787975109E-2</v>
      </c>
      <c r="F72">
        <v>1.37347861963281E-2</v>
      </c>
      <c r="G72">
        <v>1.3741797214047301E-2</v>
      </c>
      <c r="H72">
        <v>1.37581536207197E-2</v>
      </c>
      <c r="I72">
        <v>1.37975026918231E-2</v>
      </c>
      <c r="J72">
        <v>1.3878042294719501E-2</v>
      </c>
      <c r="K72">
        <v>1.4064164073695099E-2</v>
      </c>
      <c r="L72">
        <v>1.4391346650232799E-2</v>
      </c>
      <c r="M72">
        <v>1.49352248355715E-2</v>
      </c>
      <c r="N72">
        <v>1.5755335090732101E-2</v>
      </c>
      <c r="O72">
        <v>1.6918765222751399E-2</v>
      </c>
      <c r="P72">
        <v>1.8430782906370902E-2</v>
      </c>
      <c r="Q72">
        <v>2.0869937109327E-2</v>
      </c>
      <c r="R72">
        <v>2.4174458979644601E-2</v>
      </c>
      <c r="S72">
        <v>2.82938017371147E-2</v>
      </c>
      <c r="T72">
        <v>3.3015248279617798E-2</v>
      </c>
      <c r="U72">
        <v>3.8368938424137099E-2</v>
      </c>
      <c r="V72">
        <v>4.3692111146598503E-2</v>
      </c>
      <c r="W72">
        <v>4.9728183824163899E-2</v>
      </c>
      <c r="X72">
        <v>5.58890068793573E-2</v>
      </c>
      <c r="Y72">
        <v>6.2592124157212506E-2</v>
      </c>
      <c r="Z72">
        <v>6.9852379889842706E-2</v>
      </c>
      <c r="AA72">
        <v>7.5944793698966701E-2</v>
      </c>
      <c r="AB72">
        <v>8.2675618727902606E-2</v>
      </c>
      <c r="AC72">
        <v>8.8540526338836106E-2</v>
      </c>
      <c r="AD72">
        <v>9.2195899403009304E-2</v>
      </c>
      <c r="AE72">
        <v>9.7471957140465401E-2</v>
      </c>
      <c r="AF72">
        <v>9.9924616802077204E-2</v>
      </c>
      <c r="AG72">
        <v>0.10387694900969199</v>
      </c>
      <c r="AH72">
        <v>0.10656122243817399</v>
      </c>
      <c r="AI72">
        <v>0.108597677240423</v>
      </c>
      <c r="AJ72">
        <v>0.10886504799548299</v>
      </c>
      <c r="AK72">
        <v>0.105022831050228</v>
      </c>
      <c r="AL72">
        <v>0.104132569558101</v>
      </c>
      <c r="AM72">
        <v>0.10296191819464</v>
      </c>
      <c r="AN72">
        <v>9.8780007870916994E-2</v>
      </c>
      <c r="AO72">
        <v>8.9440276976341604E-2</v>
      </c>
      <c r="AP72">
        <v>9.5367847411444107E-2</v>
      </c>
      <c r="AQ72">
        <v>0.113505747126437</v>
      </c>
      <c r="AR72">
        <v>0.106481481481481</v>
      </c>
      <c r="AS72">
        <v>9.4017094017094002E-2</v>
      </c>
      <c r="AT72">
        <v>9.9290780141844004E-2</v>
      </c>
      <c r="AU72">
        <v>0.1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755727</v>
      </c>
    </row>
    <row r="73" spans="1:53">
      <c r="A73" t="s">
        <v>118</v>
      </c>
      <c r="B73" t="s">
        <v>51</v>
      </c>
      <c r="C73">
        <v>7.9184989280293005E-3</v>
      </c>
      <c r="D73">
        <v>7.9185353747358005E-3</v>
      </c>
      <c r="E73">
        <v>7.9207082044982797E-3</v>
      </c>
      <c r="F73">
        <v>7.9218607255473993E-3</v>
      </c>
      <c r="G73">
        <v>7.9259044947857793E-3</v>
      </c>
      <c r="H73">
        <v>7.9374673001630508E-3</v>
      </c>
      <c r="I73">
        <v>7.9555754298353092E-3</v>
      </c>
      <c r="J73">
        <v>8.0008210755156198E-3</v>
      </c>
      <c r="K73">
        <v>8.0951924836858494E-3</v>
      </c>
      <c r="L73">
        <v>8.2676808042837398E-3</v>
      </c>
      <c r="M73">
        <v>8.5695923032043791E-3</v>
      </c>
      <c r="N73">
        <v>9.0393008323944694E-3</v>
      </c>
      <c r="O73">
        <v>9.6933923515380802E-3</v>
      </c>
      <c r="P73">
        <v>1.06021244776954E-2</v>
      </c>
      <c r="Q73">
        <v>1.20180070630327E-2</v>
      </c>
      <c r="R73">
        <v>1.3990892203506701E-2</v>
      </c>
      <c r="S73">
        <v>1.66295456833658E-2</v>
      </c>
      <c r="T73">
        <v>1.9354299717807801E-2</v>
      </c>
      <c r="U73">
        <v>2.24161352327935E-2</v>
      </c>
      <c r="V73">
        <v>2.5541114905535199E-2</v>
      </c>
      <c r="W73">
        <v>2.8895107308834999E-2</v>
      </c>
      <c r="X73">
        <v>3.1695830832448403E-2</v>
      </c>
      <c r="Y73">
        <v>3.4148939205188397E-2</v>
      </c>
      <c r="Z73">
        <v>3.6147549647097502E-2</v>
      </c>
      <c r="AA73">
        <v>3.8326468675482298E-2</v>
      </c>
      <c r="AB73">
        <v>3.90878897182243E-2</v>
      </c>
      <c r="AC73">
        <v>4.02198187152428E-2</v>
      </c>
      <c r="AD73">
        <v>4.0843890974904803E-2</v>
      </c>
      <c r="AE73">
        <v>4.2792566549472603E-2</v>
      </c>
      <c r="AF73">
        <v>4.4769243655247502E-2</v>
      </c>
      <c r="AG73">
        <v>4.3826380109566E-2</v>
      </c>
      <c r="AH73">
        <v>4.6846726090744598E-2</v>
      </c>
      <c r="AI73">
        <v>5.1308719015427301E-2</v>
      </c>
      <c r="AJ73">
        <v>5.7029926595143998E-2</v>
      </c>
      <c r="AK73">
        <v>6.5753424657534199E-2</v>
      </c>
      <c r="AL73">
        <v>6.64893617021277E-2</v>
      </c>
      <c r="AM73">
        <v>6.8547249647390701E-2</v>
      </c>
      <c r="AN73">
        <v>7.2018890200708396E-2</v>
      </c>
      <c r="AO73">
        <v>7.6168493941142501E-2</v>
      </c>
      <c r="AP73">
        <v>6.9936421435059001E-2</v>
      </c>
      <c r="AQ73">
        <v>6.3218390804597693E-2</v>
      </c>
      <c r="AR73">
        <v>7.6388888888888895E-2</v>
      </c>
      <c r="AS73">
        <v>9.8290598290598302E-2</v>
      </c>
      <c r="AT73">
        <v>0.120567375886525</v>
      </c>
      <c r="AU73">
        <v>0.13</v>
      </c>
      <c r="AV73">
        <v>8.8888888888888906E-2</v>
      </c>
      <c r="AW73">
        <v>0</v>
      </c>
      <c r="AX73">
        <v>0</v>
      </c>
      <c r="AY73">
        <v>0</v>
      </c>
      <c r="AZ73">
        <v>0</v>
      </c>
      <c r="BA73">
        <v>386725</v>
      </c>
    </row>
  </sheetData>
  <sheetCalcPr fullCalcOnLoad="1"/>
  <sortState ref="A4:BA73">
    <sortCondition ref="A5:A73"/>
  </sortState>
  <phoneticPr fontId="19" type="noConversion"/>
  <pageMargins left="0.75" right="0.75" top="1" bottom="1" header="0.5" footer="0.5"/>
  <extLst>
    <ext xmlns:mx="http://schemas.microsoft.com/office/mac/excel/2008/main" uri="http://schemas.microsoft.com/office/mac/excel/2008/main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wt_CBP_RawData_vs_TF_all</vt:lpstr>
      <vt:lpstr>gd7_CBP_RawData_vs_TF_all</vt:lpstr>
      <vt:lpstr>wt_CBP_RawData_vs_top300TF</vt:lpstr>
      <vt:lpstr>gd7_CBP_RawData_vs_top300TF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Mattias</cp:lastModifiedBy>
  <dcterms:created xsi:type="dcterms:W3CDTF">2011-12-23T13:55:20Z</dcterms:created>
  <dcterms:modified xsi:type="dcterms:W3CDTF">2012-01-19T13:29:01Z</dcterms:modified>
</cp:coreProperties>
</file>