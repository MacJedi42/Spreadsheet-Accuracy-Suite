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299"/>
  </bookViews>
  <sheets>
    <sheet name="Totals" sheetId="1" r:id="rId1"/>
  </sheets>
  <externalReferences>
    <externalReference r:id="rId2"/>
  </externalReferences>
  <calcPr calcId="145621"/>
</workbook>
</file>

<file path=xl/calcChain.xml><?xml version="1.0" encoding="utf-8"?>
<calcChain xmlns="http://schemas.openxmlformats.org/spreadsheetml/2006/main">
  <c r="R14" i="1" l="1"/>
  <c r="S14" i="1"/>
  <c r="T14" i="1"/>
  <c r="U14" i="1"/>
  <c r="Q14" i="1"/>
  <c r="P14" i="1" l="1"/>
  <c r="P7" i="1"/>
  <c r="P8" i="1"/>
  <c r="P24" i="1" s="1"/>
  <c r="P9" i="1"/>
  <c r="P25" i="1" s="1"/>
  <c r="P10" i="1"/>
  <c r="P26" i="1" s="1"/>
  <c r="P11" i="1"/>
  <c r="P27" i="1" s="1"/>
  <c r="P12" i="1"/>
  <c r="P28" i="1" s="1"/>
  <c r="P13" i="1"/>
  <c r="P29" i="1" s="1"/>
  <c r="P6" i="1"/>
  <c r="P22" i="1" s="1"/>
  <c r="P5" i="1"/>
  <c r="P21" i="1" s="1"/>
  <c r="P23" i="1" l="1"/>
  <c r="B18" i="1"/>
  <c r="B32" i="1" s="1"/>
  <c r="O14" i="1" l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O13" i="1"/>
  <c r="O29" i="1" s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O12" i="1"/>
  <c r="O28" i="1" s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O11" i="1"/>
  <c r="O27" i="1" s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O10" i="1"/>
  <c r="O26" i="1" s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O9" i="1"/>
  <c r="O25" i="1" s="1"/>
  <c r="N9" i="1"/>
  <c r="M9" i="1"/>
  <c r="L9" i="1"/>
  <c r="K9" i="1"/>
  <c r="J9" i="1"/>
  <c r="I9" i="1"/>
  <c r="H9" i="1"/>
  <c r="G9" i="1"/>
  <c r="F9" i="1"/>
  <c r="E9" i="1"/>
  <c r="D9" i="1"/>
  <c r="C9" i="1"/>
  <c r="B9" i="1"/>
  <c r="O8" i="1"/>
  <c r="O24" i="1" s="1"/>
  <c r="N8" i="1"/>
  <c r="M8" i="1"/>
  <c r="L8" i="1"/>
  <c r="K8" i="1"/>
  <c r="J8" i="1"/>
  <c r="I8" i="1"/>
  <c r="H8" i="1"/>
  <c r="G8" i="1"/>
  <c r="F8" i="1"/>
  <c r="E8" i="1"/>
  <c r="D8" i="1"/>
  <c r="C8" i="1"/>
  <c r="B8" i="1"/>
  <c r="O7" i="1"/>
  <c r="O23" i="1" s="1"/>
  <c r="N7" i="1"/>
  <c r="M7" i="1"/>
  <c r="L7" i="1"/>
  <c r="K7" i="1"/>
  <c r="J7" i="1"/>
  <c r="I7" i="1"/>
  <c r="H7" i="1"/>
  <c r="G7" i="1"/>
  <c r="F7" i="1"/>
  <c r="E7" i="1"/>
  <c r="D7" i="1"/>
  <c r="C7" i="1"/>
  <c r="B7" i="1"/>
  <c r="O6" i="1"/>
  <c r="O22" i="1" s="1"/>
  <c r="N6" i="1"/>
  <c r="M6" i="1"/>
  <c r="L6" i="1"/>
  <c r="K6" i="1"/>
  <c r="J6" i="1"/>
  <c r="I6" i="1"/>
  <c r="H6" i="1"/>
  <c r="G6" i="1"/>
  <c r="F6" i="1"/>
  <c r="E6" i="1"/>
  <c r="D6" i="1"/>
  <c r="C6" i="1"/>
  <c r="B6" i="1"/>
  <c r="O5" i="1"/>
  <c r="O21" i="1" s="1"/>
  <c r="N5" i="1"/>
  <c r="M5" i="1"/>
  <c r="L5" i="1"/>
  <c r="K5" i="1"/>
  <c r="J5" i="1"/>
  <c r="I5" i="1"/>
  <c r="H5" i="1"/>
  <c r="G5" i="1"/>
  <c r="F5" i="1"/>
  <c r="E5" i="1"/>
  <c r="D5" i="1"/>
  <c r="C5" i="1"/>
  <c r="B5" i="1"/>
  <c r="N29" i="1" l="1"/>
  <c r="M29" i="1"/>
  <c r="L29" i="1"/>
  <c r="K29" i="1"/>
  <c r="J29" i="1"/>
  <c r="I29" i="1"/>
  <c r="H29" i="1"/>
  <c r="G29" i="1"/>
  <c r="F29" i="1"/>
  <c r="E29" i="1"/>
  <c r="D29" i="1"/>
  <c r="C29" i="1"/>
  <c r="B29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</calcChain>
</file>

<file path=xl/sharedStrings.xml><?xml version="1.0" encoding="utf-8"?>
<sst xmlns="http://schemas.openxmlformats.org/spreadsheetml/2006/main" count="125" uniqueCount="49">
  <si>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</si>
  <si>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</si>
  <si>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</si>
  <si>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</si>
  <si>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</si>
  <si>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</si>
  <si>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</si>
  <si>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</si>
  <si>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</si>
  <si>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</si>
  <si>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</si>
  <si>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</si>
  <si>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</si>
  <si>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</si>
  <si>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</si>
  <si>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</si>
  <si>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</si>
  <si>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</si>
  <si>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</si>
  <si>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</si>
  <si>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</si>
  <si>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</si>
  <si>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</si>
  <si>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</si>
  <si>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</si>
  <si>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</si>
  <si>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</si>
  <si>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</si>
  <si>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</si>
  <si>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</si>
  <si>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</si>
  <si>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</si>
  <si>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</si>
  <si>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</si>
  <si>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</si>
  <si>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</si>
  <si>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</si>
  <si>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</si>
  <si>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</si>
  <si>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</si>
  <si>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Online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</si>
  <si>
    <t>AY12-13</t>
  </si>
  <si>
    <t>AY13-14</t>
  </si>
  <si>
    <t>SU12</t>
  </si>
  <si>
    <t>FA12</t>
  </si>
  <si>
    <t>SP13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</si>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</sst>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6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0" fillId="0" borderId="0" xfId="0"/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8" fillId="0" borderId="0" xfId="0" applyFont="1" applyAlignment="1">
      <alignment vertical="center"/>
    </xf>
    <xf numFmtId="0" fontId="31" fillId="0" borderId="0" xfId="58" applyFont="1"/>
    <xf numFmtId="9" fontId="24" fillId="0" borderId="28" xfId="1" applyNumberFormat="1" applyFont="1" applyBorder="1" applyAlignment="1" applyProtection="1">
      <alignment horizontal="center" vertical="center"/>
    </xf>
    <xf numFmtId="9" fontId="24" fillId="0" borderId="68" xfId="1" applyNumberFormat="1" applyFont="1" applyBorder="1" applyAlignment="1" applyProtection="1">
      <alignment horizontal="center" vertical="center"/>
    </xf>
    <xf numFmtId="9" fontId="24" fillId="0" borderId="66" xfId="1" applyNumberFormat="1" applyFont="1" applyBorder="1" applyAlignment="1" applyProtection="1">
      <alignment horizontal="center" vertical="center"/>
    </xf>
    <xf numFmtId="9" fontId="24" fillId="0" borderId="65" xfId="1" applyNumberFormat="1" applyFont="1" applyBorder="1" applyAlignment="1" applyProtection="1">
      <alignment horizontal="center" vertical="center"/>
    </xf>
    <xf numFmtId="9" fontId="24" fillId="0" borderId="64" xfId="1" applyNumberFormat="1" applyFont="1" applyBorder="1" applyAlignment="1" applyProtection="1">
      <alignment horizontal="center" vertical="center"/>
    </xf>
    <xf numFmtId="9" fontId="24" fillId="0" borderId="40" xfId="1" applyNumberFormat="1" applyFont="1" applyBorder="1" applyAlignment="1" applyProtection="1">
      <alignment horizontal="center" vertical="center"/>
    </xf>
    <xf numFmtId="165" fontId="24" fillId="0" borderId="61" xfId="1" applyNumberFormat="1" applyFont="1" applyBorder="1" applyAlignment="1" applyProtection="1">
      <alignment horizontal="center" vertical="center"/>
    </xf>
    <xf numFmtId="9" fontId="24" fillId="0" borderId="67" xfId="1" applyNumberFormat="1" applyFont="1" applyBorder="1" applyAlignment="1" applyProtection="1">
      <alignment horizontal="center" vertical="center"/>
    </xf>
    <xf numFmtId="164" fontId="24" fillId="0" borderId="18" xfId="1" applyNumberFormat="1" applyFont="1" applyBorder="1" applyAlignment="1" applyProtection="1">
      <alignment horizontal="center" vertical="center"/>
    </xf>
    <xf numFmtId="164" fontId="24" fillId="0" borderId="23" xfId="1" applyNumberFormat="1" applyFont="1" applyBorder="1" applyAlignment="1" applyProtection="1">
      <alignment horizontal="center" vertical="center"/>
    </xf>
    <xf numFmtId="0" fontId="17" fillId="0" borderId="34" xfId="45" applyFont="1" applyBorder="1" applyAlignment="1">
      <alignment horizontal="center" vertical="center"/>
    </xf>
    <xf numFmtId="0" fontId="26" fillId="0" borderId="27" xfId="47" applyFont="1" applyBorder="1" applyAlignment="1" applyProtection="1"/>
    <xf numFmtId="0" fontId="26" fillId="0" borderId="36" xfId="47" applyFont="1" applyBorder="1" applyAlignment="1" applyProtection="1"/>
    <xf numFmtId="0" fontId="26" fillId="0" borderId="40" xfId="47" applyFont="1" applyBorder="1" applyAlignment="1" applyProtection="1"/>
    <xf numFmtId="0" fontId="26" fillId="0" borderId="25" xfId="47" applyFont="1" applyBorder="1" applyAlignment="1" applyProtection="1"/>
    <xf numFmtId="0" fontId="30" fillId="0" borderId="25" xfId="47" applyFont="1" applyBorder="1" applyAlignment="1" applyProtection="1">
      <alignment horizontal="center" vertical="center"/>
    </xf>
    <xf numFmtId="164" fontId="24" fillId="0" borderId="39" xfId="1" applyNumberFormat="1" applyFont="1" applyBorder="1" applyAlignment="1" applyProtection="1">
      <alignment horizontal="center" vertical="center"/>
    </xf>
    <xf numFmtId="164" fontId="24" fillId="0" borderId="16" xfId="1" applyNumberFormat="1" applyFont="1" applyBorder="1" applyAlignment="1" applyProtection="1">
      <alignment horizontal="center" vertical="center"/>
    </xf>
    <xf numFmtId="164" fontId="24" fillId="0" borderId="17" xfId="1" applyNumberFormat="1" applyFont="1" applyBorder="1" applyAlignment="1" applyProtection="1">
      <alignment horizontal="center" vertical="center"/>
    </xf>
    <xf numFmtId="164" fontId="24" fillId="0" borderId="22" xfId="1" applyNumberFormat="1" applyFont="1" applyBorder="1" applyAlignment="1" applyProtection="1">
      <alignment horizontal="center" vertical="center"/>
    </xf>
    <xf numFmtId="164" fontId="24" fillId="0" borderId="21" xfId="1" applyNumberFormat="1" applyFont="1" applyBorder="1" applyAlignment="1" applyProtection="1">
      <alignment horizontal="center" vertical="center"/>
    </xf>
    <xf numFmtId="164" fontId="24" fillId="0" borderId="42" xfId="1" applyNumberFormat="1" applyFont="1" applyBorder="1" applyAlignment="1" applyProtection="1">
      <alignment horizontal="center" vertical="center"/>
    </xf>
    <xf numFmtId="164" fontId="24" fillId="0" borderId="15" xfId="1" applyNumberFormat="1" applyFont="1" applyBorder="1" applyAlignment="1" applyProtection="1">
      <alignment horizontal="center" vertical="center"/>
    </xf>
    <xf numFmtId="164" fontId="24" fillId="0" borderId="44" xfId="1" applyNumberFormat="1" applyFont="1" applyBorder="1" applyAlignment="1" applyProtection="1">
      <alignment horizontal="center" vertical="center"/>
    </xf>
    <xf numFmtId="164" fontId="24" fillId="0" borderId="29" xfId="1" applyNumberFormat="1" applyFont="1" applyBorder="1" applyAlignment="1" applyProtection="1">
      <alignment horizontal="center" vertical="center"/>
    </xf>
    <xf numFmtId="164" fontId="24" fillId="0" borderId="30" xfId="1" applyNumberFormat="1" applyFont="1" applyBorder="1" applyAlignment="1" applyProtection="1">
      <alignment horizontal="center" vertical="center"/>
    </xf>
    <xf numFmtId="164" fontId="24" fillId="0" borderId="33" xfId="1" applyNumberFormat="1" applyFont="1" applyBorder="1" applyAlignment="1" applyProtection="1">
      <alignment horizontal="center" vertical="center"/>
    </xf>
    <xf numFmtId="164" fontId="24" fillId="0" borderId="31" xfId="1" applyNumberFormat="1" applyFont="1" applyBorder="1" applyAlignment="1" applyProtection="1">
      <alignment horizontal="center" vertical="center"/>
    </xf>
    <xf numFmtId="164" fontId="24" fillId="0" borderId="32" xfId="1" applyNumberFormat="1" applyFont="1" applyBorder="1" applyAlignment="1" applyProtection="1">
      <alignment horizontal="center" vertical="center"/>
    </xf>
    <xf numFmtId="164" fontId="26" fillId="0" borderId="55" xfId="1" applyNumberFormat="1" applyFont="1" applyBorder="1" applyAlignment="1" applyProtection="1">
      <alignment horizontal="center" vertical="center"/>
    </xf>
    <xf numFmtId="164" fontId="26" fillId="0" borderId="52" xfId="1" applyNumberFormat="1" applyFont="1" applyBorder="1" applyAlignment="1" applyProtection="1">
      <alignment horizontal="center" vertical="center"/>
    </xf>
    <xf numFmtId="164" fontId="26" fillId="0" borderId="53" xfId="1" applyNumberFormat="1" applyFont="1" applyBorder="1" applyAlignment="1" applyProtection="1">
      <alignment horizontal="center" vertical="center"/>
    </xf>
    <xf numFmtId="164" fontId="26" fillId="0" borderId="54" xfId="1" applyNumberFormat="1" applyFont="1" applyBorder="1" applyAlignment="1" applyProtection="1">
      <alignment horizontal="center" vertical="center"/>
    </xf>
    <xf numFmtId="164" fontId="26" fillId="0" borderId="56" xfId="1" applyNumberFormat="1" applyFont="1" applyBorder="1" applyAlignment="1" applyProtection="1">
      <alignment horizontal="center" vertical="center"/>
    </xf>
    <xf numFmtId="0" fontId="23" fillId="35" borderId="38" xfId="45" applyFont="1" applyFill="1" applyBorder="1" applyAlignment="1">
      <alignment horizontal="center" vertical="center"/>
    </xf>
    <xf numFmtId="0" fontId="23" fillId="35" borderId="50" xfId="45" applyFont="1" applyFill="1" applyBorder="1" applyAlignment="1">
      <alignment horizontal="center" vertical="center"/>
    </xf>
    <xf numFmtId="0" fontId="23" fillId="35" borderId="37" xfId="45" applyFont="1" applyFill="1" applyBorder="1" applyAlignment="1">
      <alignment horizontal="center" vertical="center"/>
    </xf>
    <xf numFmtId="0" fontId="23" fillId="0" borderId="38" xfId="45" applyFont="1" applyFill="1" applyBorder="1" applyAlignment="1">
      <alignment horizontal="center" vertical="center"/>
    </xf>
    <xf numFmtId="0" fontId="23" fillId="0" borderId="50" xfId="45" applyFont="1" applyFill="1" applyBorder="1" applyAlignment="1">
      <alignment horizontal="center" vertical="center"/>
    </xf>
    <xf numFmtId="0" fontId="23" fillId="0" borderId="37" xfId="45" applyFont="1" applyFill="1" applyBorder="1" applyAlignment="1">
      <alignment horizontal="center" vertical="center"/>
    </xf>
    <xf numFmtId="164" fontId="24" fillId="0" borderId="60" xfId="1" applyNumberFormat="1" applyFont="1" applyBorder="1" applyAlignment="1" applyProtection="1">
      <alignment horizontal="center" vertical="center"/>
    </xf>
    <xf numFmtId="164" fontId="24" fillId="0" borderId="61" xfId="1" applyNumberFormat="1" applyFont="1" applyBorder="1" applyAlignment="1" applyProtection="1">
      <alignment horizontal="center" vertical="center"/>
    </xf>
    <xf numFmtId="164" fontId="24" fillId="0" borderId="19" xfId="1" applyNumberFormat="1" applyFont="1" applyBorder="1" applyAlignment="1" applyProtection="1">
      <alignment horizontal="center" vertical="center"/>
    </xf>
    <xf numFmtId="164" fontId="24" fillId="0" borderId="41" xfId="1" applyNumberFormat="1" applyFont="1" applyBorder="1" applyAlignment="1" applyProtection="1">
      <alignment horizontal="center" vertical="center"/>
    </xf>
    <xf numFmtId="164" fontId="24" fillId="0" borderId="20" xfId="1" applyNumberFormat="1" applyFont="1" applyBorder="1" applyAlignment="1" applyProtection="1">
      <alignment horizontal="center" vertical="center"/>
    </xf>
    <xf numFmtId="0" fontId="23" fillId="35" borderId="51" xfId="45" applyFont="1" applyFill="1" applyBorder="1" applyAlignment="1">
      <alignment horizontal="center" vertical="center"/>
    </xf>
    <xf numFmtId="165" fontId="24" fillId="0" borderId="18" xfId="1" applyNumberFormat="1" applyFont="1" applyBorder="1" applyAlignment="1" applyProtection="1">
      <alignment horizontal="center" vertical="center"/>
    </xf>
    <xf numFmtId="165" fontId="24" fillId="0" borderId="17" xfId="1" applyNumberFormat="1" applyFont="1" applyBorder="1" applyAlignment="1" applyProtection="1">
      <alignment horizontal="center" vertical="center"/>
    </xf>
    <xf numFmtId="165" fontId="24" fillId="0" borderId="23" xfId="1" applyNumberFormat="1" applyFont="1" applyBorder="1" applyAlignment="1" applyProtection="1">
      <alignment horizontal="center" vertical="center"/>
    </xf>
    <xf numFmtId="0" fontId="26" fillId="0" borderId="26" xfId="47" applyFont="1" applyBorder="1" applyAlignment="1" applyProtection="1"/>
    <xf numFmtId="165" fontId="24" fillId="0" borderId="16" xfId="1" applyNumberFormat="1" applyFont="1" applyBorder="1" applyAlignment="1" applyProtection="1">
      <alignment horizontal="center" vertical="center"/>
    </xf>
    <xf numFmtId="165" fontId="24" fillId="0" borderId="39" xfId="1" applyNumberFormat="1" applyFont="1" applyBorder="1" applyAlignment="1" applyProtection="1">
      <alignment horizontal="center" vertical="center"/>
    </xf>
    <xf numFmtId="165" fontId="24" fillId="0" borderId="20" xfId="1" applyNumberFormat="1" applyFont="1" applyBorder="1" applyAlignment="1" applyProtection="1">
      <alignment horizontal="center" vertical="center"/>
    </xf>
    <xf numFmtId="165" fontId="24" fillId="0" borderId="19" xfId="1" applyNumberFormat="1" applyFont="1" applyBorder="1" applyAlignment="1" applyProtection="1">
      <alignment horizontal="center" vertical="center"/>
    </xf>
    <xf numFmtId="165" fontId="24" fillId="0" borderId="41" xfId="1" applyNumberFormat="1" applyFont="1" applyBorder="1" applyAlignment="1" applyProtection="1">
      <alignment horizontal="center" vertical="center"/>
    </xf>
    <xf numFmtId="165" fontId="24" fillId="0" borderId="22" xfId="1" applyNumberFormat="1" applyFont="1" applyBorder="1" applyAlignment="1" applyProtection="1">
      <alignment horizontal="center" vertical="center"/>
    </xf>
    <xf numFmtId="165" fontId="24" fillId="0" borderId="21" xfId="1" applyNumberFormat="1" applyFont="1" applyBorder="1" applyAlignment="1" applyProtection="1">
      <alignment horizontal="center" vertical="center"/>
    </xf>
    <xf numFmtId="165" fontId="24" fillId="0" borderId="42" xfId="1" applyNumberFormat="1" applyFont="1" applyBorder="1" applyAlignment="1" applyProtection="1">
      <alignment horizontal="center" vertical="center"/>
    </xf>
    <xf numFmtId="165" fontId="24" fillId="0" borderId="43" xfId="1" applyNumberFormat="1" applyFont="1" applyBorder="1" applyAlignment="1" applyProtection="1">
      <alignment horizontal="center" vertical="center"/>
    </xf>
    <xf numFmtId="165" fontId="24" fillId="0" borderId="15" xfId="1" applyNumberFormat="1" applyFont="1" applyBorder="1" applyAlignment="1" applyProtection="1">
      <alignment horizontal="center" vertical="center"/>
    </xf>
    <xf numFmtId="165" fontId="24" fillId="0" borderId="44" xfId="1" applyNumberFormat="1" applyFont="1" applyBorder="1" applyAlignment="1" applyProtection="1">
      <alignment horizontal="center" vertical="center"/>
    </xf>
    <xf numFmtId="165" fontId="24" fillId="0" borderId="45" xfId="1" applyNumberFormat="1" applyFont="1" applyBorder="1" applyAlignment="1" applyProtection="1">
      <alignment horizontal="center" vertical="center"/>
    </xf>
    <xf numFmtId="165" fontId="24" fillId="0" borderId="60" xfId="1" applyNumberFormat="1" applyFont="1" applyBorder="1" applyAlignment="1" applyProtection="1">
      <alignment horizontal="center" vertical="center"/>
    </xf>
    <xf numFmtId="9" fontId="24" fillId="0" borderId="27" xfId="1" applyNumberFormat="1" applyFont="1" applyBorder="1" applyAlignment="1" applyProtection="1">
      <alignment horizontal="center" vertical="center"/>
    </xf>
    <xf numFmtId="9" fontId="24" fillId="0" borderId="63" xfId="1" applyNumberFormat="1" applyFont="1" applyBorder="1" applyAlignment="1" applyProtection="1">
      <alignment horizontal="center" vertical="center"/>
    </xf>
    <xf numFmtId="0" fontId="17" fillId="0" borderId="25" xfId="45" applyFont="1" applyBorder="1" applyAlignment="1">
      <alignment horizontal="center" vertical="center"/>
    </xf>
    <xf numFmtId="0" fontId="26" fillId="0" borderId="12" xfId="47" applyFont="1" applyFill="1" applyBorder="1" applyAlignment="1" applyProtection="1"/>
    <xf numFmtId="9" fontId="24" fillId="0" borderId="22" xfId="1" applyNumberFormat="1" applyFont="1" applyBorder="1" applyAlignment="1" applyProtection="1">
      <alignment horizontal="center" vertical="center"/>
    </xf>
    <xf numFmtId="9" fontId="26" fillId="0" borderId="46" xfId="1" applyNumberFormat="1" applyFont="1" applyBorder="1" applyAlignment="1" applyProtection="1">
      <alignment horizontal="center" vertical="center"/>
    </xf>
    <xf numFmtId="9" fontId="24" fillId="0" borderId="58" xfId="1" applyNumberFormat="1" applyFont="1" applyBorder="1" applyAlignment="1" applyProtection="1">
      <alignment horizontal="center" vertical="center"/>
    </xf>
    <xf numFmtId="164" fontId="26" fillId="0" borderId="62" xfId="1" applyNumberFormat="1" applyFont="1" applyBorder="1" applyAlignment="1" applyProtection="1">
      <alignment horizontal="center" vertical="center"/>
    </xf>
    <xf numFmtId="164" fontId="26" fillId="0" borderId="38" xfId="1" applyNumberFormat="1" applyFont="1" applyBorder="1" applyAlignment="1" applyProtection="1">
      <alignment horizontal="center" vertical="center"/>
    </xf>
    <xf numFmtId="164" fontId="26" fillId="0" borderId="34" xfId="1" applyNumberFormat="1" applyFont="1" applyBorder="1" applyAlignment="1" applyProtection="1">
      <alignment horizontal="center" vertical="center"/>
    </xf>
    <xf numFmtId="0" fontId="23" fillId="0" borderId="59" xfId="45" applyFont="1" applyFill="1" applyBorder="1" applyAlignment="1">
      <alignment horizontal="center" vertical="center"/>
    </xf>
    <xf numFmtId="0" fontId="23" fillId="0" borderId="57" xfId="45" applyFont="1" applyFill="1" applyBorder="1" applyAlignment="1">
      <alignment horizontal="center" vertical="center"/>
    </xf>
    <xf numFmtId="0" fontId="23" fillId="0" borderId="61" xfId="45" applyFont="1" applyFill="1" applyBorder="1" applyAlignment="1">
      <alignment horizontal="center" vertical="center"/>
    </xf>
    <xf numFmtId="0" fontId="23" fillId="35" borderId="59" xfId="45" applyFont="1" applyFill="1" applyBorder="1" applyAlignment="1">
      <alignment horizontal="center" vertical="center"/>
    </xf>
    <xf numFmtId="0" fontId="23" fillId="35" borderId="57" xfId="45" applyFont="1" applyFill="1" applyBorder="1" applyAlignment="1">
      <alignment horizontal="center" vertical="center"/>
    </xf>
    <xf numFmtId="0" fontId="23" fillId="35" borderId="60" xfId="45" applyFont="1" applyFill="1" applyBorder="1" applyAlignment="1">
      <alignment horizontal="center" vertical="center"/>
    </xf>
    <xf numFmtId="0" fontId="20" fillId="34" borderId="24" xfId="45" applyFont="1" applyFill="1" applyBorder="1" applyAlignment="1">
      <alignment horizontal="center"/>
    </xf>
    <xf numFmtId="0" fontId="20" fillId="34" borderId="0" xfId="45" applyFont="1" applyFill="1" applyBorder="1" applyAlignment="1">
      <alignment horizontal="center"/>
    </xf>
    <xf numFmtId="0" fontId="20" fillId="34" borderId="12" xfId="45" applyFont="1" applyFill="1" applyBorder="1" applyAlignment="1">
      <alignment horizontal="center"/>
    </xf>
    <xf numFmtId="0" fontId="20" fillId="34" borderId="13" xfId="45" applyFont="1" applyFill="1" applyBorder="1" applyAlignment="1">
      <alignment horizontal="center"/>
    </xf>
    <xf numFmtId="3" fontId="30" fillId="0" borderId="46" xfId="1" applyNumberFormat="1" applyFont="1" applyFill="1" applyBorder="1" applyAlignment="1" applyProtection="1">
      <alignment horizontal="center" vertical="center"/>
    </xf>
    <xf numFmtId="3" fontId="30" fillId="0" borderId="47" xfId="1" applyNumberFormat="1" applyFont="1" applyFill="1" applyBorder="1" applyAlignment="1" applyProtection="1">
      <alignment horizontal="center" vertical="center"/>
    </xf>
    <xf numFmtId="3" fontId="30" fillId="0" borderId="35" xfId="1" applyNumberFormat="1" applyFont="1" applyFill="1" applyBorder="1" applyAlignment="1" applyProtection="1">
      <alignment horizontal="center" vertical="center"/>
    </xf>
    <xf numFmtId="3" fontId="30" fillId="0" borderId="48" xfId="1" applyNumberFormat="1" applyFont="1" applyFill="1" applyBorder="1" applyAlignment="1" applyProtection="1">
      <alignment horizontal="center" vertical="center"/>
    </xf>
    <xf numFmtId="0" fontId="23" fillId="33" borderId="10" xfId="10" applyFont="1" applyFill="1" applyBorder="1" applyAlignment="1">
      <alignment horizontal="center" vertical="center" wrapText="1"/>
    </xf>
    <xf numFmtId="0" fontId="23" fillId="33" borderId="11" xfId="10" applyFont="1" applyFill="1" applyBorder="1" applyAlignment="1">
      <alignment horizontal="center" vertical="center" wrapText="1"/>
    </xf>
    <xf numFmtId="0" fontId="23" fillId="33" borderId="12" xfId="10" applyFont="1" applyFill="1" applyBorder="1" applyAlignment="1">
      <alignment horizontal="center" vertical="center" wrapText="1"/>
    </xf>
    <xf numFmtId="0" fontId="27" fillId="33" borderId="10" xfId="10" applyFont="1" applyFill="1" applyBorder="1" applyAlignment="1">
      <alignment horizontal="center" vertical="center" wrapText="1"/>
    </xf>
    <xf numFmtId="0" fontId="27" fillId="33" borderId="11" xfId="10" applyFont="1" applyFill="1" applyBorder="1" applyAlignment="1">
      <alignment horizontal="center" vertical="center" wrapText="1"/>
    </xf>
    <xf numFmtId="0" fontId="27" fillId="33" borderId="12" xfId="10" applyFont="1" applyFill="1" applyBorder="1" applyAlignment="1">
      <alignment horizontal="center" vertical="center" wrapText="1"/>
    </xf>
    <xf numFmtId="3" fontId="30" fillId="0" borderId="49" xfId="1" applyNumberFormat="1" applyFont="1" applyFill="1" applyBorder="1" applyAlignment="1" applyProtection="1">
      <alignment horizontal="center" vertical="center"/>
    </xf>
    <xf numFmtId="9" fontId="33" fillId="0" borderId="14" xfId="1" applyNumberFormat="1" applyFont="1" applyFill="1" applyBorder="1" applyAlignment="1" applyProtection="1">
      <alignment horizontal="center" vertic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ik%20Mesaris\_Master%20Data%20Program\Online%20Virtual%20Service%20Area\Demographics\All%20Students\Unduplicated%20Headcount\edit\sort.ethnic.headcount.demographic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1285</v>
          </cell>
          <cell r="C4">
            <v>1814</v>
          </cell>
          <cell r="D4">
            <v>1976</v>
          </cell>
          <cell r="E4">
            <v>1332</v>
          </cell>
          <cell r="F4">
            <v>2032</v>
          </cell>
          <cell r="G4">
            <v>2193</v>
          </cell>
          <cell r="H4">
            <v>474</v>
          </cell>
          <cell r="I4">
            <v>2270</v>
          </cell>
          <cell r="J4">
            <v>2212</v>
          </cell>
          <cell r="K4">
            <v>238</v>
          </cell>
          <cell r="L4">
            <v>2077</v>
          </cell>
          <cell r="M4">
            <v>1985</v>
          </cell>
          <cell r="N4">
            <v>0</v>
          </cell>
          <cell r="O4">
            <v>1800</v>
          </cell>
          <cell r="P4">
            <v>1909</v>
          </cell>
        </row>
        <row r="5">
          <cell r="A5" t="str">
            <v>Hispanic</v>
          </cell>
          <cell r="B5">
            <v>504</v>
          </cell>
          <cell r="C5">
            <v>648</v>
          </cell>
          <cell r="D5">
            <v>803</v>
          </cell>
          <cell r="E5">
            <v>581</v>
          </cell>
          <cell r="F5">
            <v>939</v>
          </cell>
          <cell r="G5">
            <v>922</v>
          </cell>
          <cell r="H5">
            <v>243</v>
          </cell>
          <cell r="I5">
            <v>991</v>
          </cell>
          <cell r="J5">
            <v>1065</v>
          </cell>
          <cell r="K5">
            <v>137</v>
          </cell>
          <cell r="L5">
            <v>1054</v>
          </cell>
          <cell r="M5">
            <v>1087</v>
          </cell>
          <cell r="N5">
            <v>0</v>
          </cell>
          <cell r="O5">
            <v>1104</v>
          </cell>
          <cell r="P5">
            <v>1257</v>
          </cell>
        </row>
        <row r="6">
          <cell r="A6" t="str">
            <v>African American</v>
          </cell>
          <cell r="B6">
            <v>161</v>
          </cell>
          <cell r="C6">
            <v>231</v>
          </cell>
          <cell r="D6">
            <v>252</v>
          </cell>
          <cell r="E6">
            <v>181</v>
          </cell>
          <cell r="F6">
            <v>290</v>
          </cell>
          <cell r="G6">
            <v>305</v>
          </cell>
          <cell r="H6">
            <v>88</v>
          </cell>
          <cell r="I6">
            <v>319</v>
          </cell>
          <cell r="J6">
            <v>377</v>
          </cell>
          <cell r="K6">
            <v>50</v>
          </cell>
          <cell r="L6">
            <v>312</v>
          </cell>
          <cell r="M6">
            <v>311</v>
          </cell>
          <cell r="N6">
            <v>0</v>
          </cell>
          <cell r="O6">
            <v>282</v>
          </cell>
          <cell r="P6">
            <v>340</v>
          </cell>
        </row>
        <row r="7">
          <cell r="A7" t="str">
            <v>Asian</v>
          </cell>
          <cell r="B7">
            <v>64</v>
          </cell>
          <cell r="C7">
            <v>74</v>
          </cell>
          <cell r="D7">
            <v>92</v>
          </cell>
          <cell r="E7">
            <v>81</v>
          </cell>
          <cell r="F7">
            <v>87</v>
          </cell>
          <cell r="G7">
            <v>102</v>
          </cell>
          <cell r="H7">
            <v>29</v>
          </cell>
          <cell r="I7">
            <v>100</v>
          </cell>
          <cell r="J7">
            <v>120</v>
          </cell>
          <cell r="K7">
            <v>18</v>
          </cell>
          <cell r="L7">
            <v>111</v>
          </cell>
          <cell r="M7">
            <v>119</v>
          </cell>
          <cell r="N7">
            <v>0</v>
          </cell>
          <cell r="O7">
            <v>93</v>
          </cell>
          <cell r="P7">
            <v>108</v>
          </cell>
        </row>
        <row r="8">
          <cell r="A8" t="str">
            <v>Native American</v>
          </cell>
          <cell r="B8">
            <v>20</v>
          </cell>
          <cell r="C8">
            <v>26</v>
          </cell>
          <cell r="D8">
            <v>44</v>
          </cell>
          <cell r="E8">
            <v>16</v>
          </cell>
          <cell r="F8">
            <v>50</v>
          </cell>
          <cell r="G8">
            <v>57</v>
          </cell>
          <cell r="H8">
            <v>20</v>
          </cell>
          <cell r="I8">
            <v>44</v>
          </cell>
          <cell r="J8">
            <v>49</v>
          </cell>
          <cell r="K8">
            <v>7</v>
          </cell>
          <cell r="L8">
            <v>44</v>
          </cell>
          <cell r="M8">
            <v>50</v>
          </cell>
          <cell r="N8">
            <v>0</v>
          </cell>
          <cell r="O8">
            <v>30</v>
          </cell>
          <cell r="P8">
            <v>37</v>
          </cell>
        </row>
        <row r="9">
          <cell r="A9" t="str">
            <v>Filipino</v>
          </cell>
          <cell r="B9">
            <v>76</v>
          </cell>
          <cell r="C9">
            <v>119</v>
          </cell>
          <cell r="D9">
            <v>129</v>
          </cell>
          <cell r="E9">
            <v>101</v>
          </cell>
          <cell r="F9">
            <v>125</v>
          </cell>
          <cell r="G9">
            <v>170</v>
          </cell>
          <cell r="H9">
            <v>34</v>
          </cell>
          <cell r="I9">
            <v>146</v>
          </cell>
          <cell r="J9">
            <v>151</v>
          </cell>
          <cell r="K9">
            <v>11</v>
          </cell>
          <cell r="L9">
            <v>127</v>
          </cell>
          <cell r="M9">
            <v>144</v>
          </cell>
          <cell r="N9">
            <v>0</v>
          </cell>
          <cell r="O9">
            <v>116</v>
          </cell>
          <cell r="P9">
            <v>120</v>
          </cell>
        </row>
        <row r="10">
          <cell r="A10" t="str">
            <v>Pacific Islander</v>
          </cell>
          <cell r="B10">
            <v>15</v>
          </cell>
          <cell r="C10">
            <v>18</v>
          </cell>
          <cell r="D10">
            <v>26</v>
          </cell>
          <cell r="E10">
            <v>15</v>
          </cell>
          <cell r="F10">
            <v>31</v>
          </cell>
          <cell r="G10">
            <v>26</v>
          </cell>
          <cell r="H10">
            <v>2</v>
          </cell>
          <cell r="I10">
            <v>32</v>
          </cell>
          <cell r="J10">
            <v>37</v>
          </cell>
          <cell r="K10">
            <v>4</v>
          </cell>
          <cell r="L10">
            <v>28</v>
          </cell>
          <cell r="M10">
            <v>26</v>
          </cell>
          <cell r="N10">
            <v>0</v>
          </cell>
          <cell r="O10">
            <v>20</v>
          </cell>
          <cell r="P10">
            <v>27</v>
          </cell>
        </row>
        <row r="11">
          <cell r="A11" t="str">
            <v>Multi-Race</v>
          </cell>
          <cell r="B11">
            <v>37</v>
          </cell>
          <cell r="C11">
            <v>63</v>
          </cell>
          <cell r="D11">
            <v>60</v>
          </cell>
          <cell r="E11">
            <v>36</v>
          </cell>
          <cell r="F11">
            <v>65</v>
          </cell>
          <cell r="G11">
            <v>51</v>
          </cell>
          <cell r="H11">
            <v>12</v>
          </cell>
          <cell r="I11">
            <v>74</v>
          </cell>
          <cell r="J11">
            <v>98</v>
          </cell>
          <cell r="K11">
            <v>16</v>
          </cell>
          <cell r="L11">
            <v>140</v>
          </cell>
          <cell r="M11">
            <v>148</v>
          </cell>
          <cell r="N11">
            <v>0</v>
          </cell>
          <cell r="O11">
            <v>150</v>
          </cell>
          <cell r="P11">
            <v>190</v>
          </cell>
        </row>
        <row r="12">
          <cell r="A12" t="str">
            <v>Unknown</v>
          </cell>
          <cell r="B12">
            <v>173</v>
          </cell>
          <cell r="C12">
            <v>239</v>
          </cell>
          <cell r="D12">
            <v>275</v>
          </cell>
          <cell r="E12">
            <v>210</v>
          </cell>
          <cell r="F12">
            <v>305</v>
          </cell>
          <cell r="G12">
            <v>351</v>
          </cell>
          <cell r="H12">
            <v>87</v>
          </cell>
          <cell r="I12">
            <v>351</v>
          </cell>
          <cell r="J12">
            <v>344</v>
          </cell>
          <cell r="K12">
            <v>37</v>
          </cell>
          <cell r="L12">
            <v>265</v>
          </cell>
          <cell r="M12">
            <v>255</v>
          </cell>
          <cell r="N12">
            <v>0</v>
          </cell>
          <cell r="O12">
            <v>194</v>
          </cell>
          <cell r="P12">
            <v>171</v>
          </cell>
        </row>
        <row r="13">
          <cell r="A13" t="str">
            <v>Term Total</v>
          </cell>
          <cell r="B13">
            <v>2335</v>
          </cell>
          <cell r="C13">
            <v>3232</v>
          </cell>
          <cell r="D13">
            <v>3657</v>
          </cell>
          <cell r="E13">
            <v>2553</v>
          </cell>
          <cell r="F13">
            <v>3924</v>
          </cell>
          <cell r="G13">
            <v>4177</v>
          </cell>
          <cell r="H13">
            <v>989</v>
          </cell>
          <cell r="I13">
            <v>4327</v>
          </cell>
          <cell r="J13">
            <v>4453</v>
          </cell>
          <cell r="K13">
            <v>518</v>
          </cell>
          <cell r="L13">
            <v>4158</v>
          </cell>
          <cell r="M13">
            <v>4125</v>
          </cell>
          <cell r="N13">
            <v>0</v>
          </cell>
          <cell r="O13">
            <v>3789</v>
          </cell>
          <cell r="P13">
            <v>4159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7"/>
  <sheetViews>
    <sheetView tabSelected="1" zoomScaleNormal="100" workbookViewId="0">
      <selection activeCell="T16" sqref="T16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5" width="7.5703125" bestFit="1" customWidth="1"/>
    <col min="16" max="16" width="6.5703125" bestFit="1" customWidth="1"/>
  </cols>
  <sheetData>
    <row r="1" spans="1:22" ht="15.75" x14ac:dyDescent="0.25">
      <c r="A1" s="94"/>
      <c r="B1" s="86" t="s">
        <v>35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</row>
    <row r="2" spans="1:22" ht="16.5" thickBot="1" x14ac:dyDescent="0.3">
      <c r="A2" s="95"/>
      <c r="B2" s="88" t="s">
        <v>40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</row>
    <row r="3" spans="1:22" ht="15.75" thickBot="1" x14ac:dyDescent="0.3">
      <c r="A3" s="96"/>
      <c r="B3" s="83" t="s">
        <v>0</v>
      </c>
      <c r="C3" s="84"/>
      <c r="D3" s="85"/>
      <c r="E3" s="80" t="s">
        <v>1</v>
      </c>
      <c r="F3" s="81"/>
      <c r="G3" s="82"/>
      <c r="H3" s="83" t="s">
        <v>2</v>
      </c>
      <c r="I3" s="84"/>
      <c r="J3" s="85"/>
      <c r="K3" s="80" t="s">
        <v>3</v>
      </c>
      <c r="L3" s="81"/>
      <c r="M3" s="82"/>
      <c r="N3" s="83" t="s">
        <v>4</v>
      </c>
      <c r="O3" s="84"/>
      <c r="P3" s="85"/>
      <c r="Q3" s="80" t="s">
        <v>41</v>
      </c>
      <c r="R3" s="81"/>
      <c r="S3" s="82"/>
      <c r="T3" s="83" t="s">
        <v>42</v>
      </c>
      <c r="U3" s="84"/>
      <c r="V3" s="85"/>
    </row>
    <row r="4" spans="1:22" ht="15.75" thickBot="1" x14ac:dyDescent="0.3">
      <c r="A4" s="17" t="s">
        <v>37</v>
      </c>
      <c r="B4" s="41" t="s">
        <v>6</v>
      </c>
      <c r="C4" s="42" t="s">
        <v>7</v>
      </c>
      <c r="D4" s="43" t="s">
        <v>8</v>
      </c>
      <c r="E4" s="44" t="s">
        <v>9</v>
      </c>
      <c r="F4" s="45" t="s">
        <v>10</v>
      </c>
      <c r="G4" s="46" t="s">
        <v>11</v>
      </c>
      <c r="H4" s="41" t="s">
        <v>12</v>
      </c>
      <c r="I4" s="42" t="s">
        <v>13</v>
      </c>
      <c r="J4" s="43" t="s">
        <v>14</v>
      </c>
      <c r="K4" s="44" t="s">
        <v>15</v>
      </c>
      <c r="L4" s="45" t="s">
        <v>16</v>
      </c>
      <c r="M4" s="46" t="s">
        <v>17</v>
      </c>
      <c r="N4" s="41" t="s">
        <v>18</v>
      </c>
      <c r="O4" s="42" t="s">
        <v>19</v>
      </c>
      <c r="P4" s="52" t="s">
        <v>20</v>
      </c>
      <c r="Q4" s="44" t="s">
        <v>43</v>
      </c>
      <c r="R4" s="45" t="s">
        <v>44</v>
      </c>
      <c r="S4" s="46" t="s">
        <v>45</v>
      </c>
      <c r="T4" s="41" t="s">
        <v>46</v>
      </c>
      <c r="U4" s="42" t="s">
        <v>47</v>
      </c>
      <c r="V4" s="52" t="s">
        <v>48</v>
      </c>
    </row>
    <row r="5" spans="1:22" x14ac:dyDescent="0.25">
      <c r="A5" s="20" t="s">
        <v>21</v>
      </c>
      <c r="B5" s="15">
        <f>VLOOKUP($A5,'[1]credit ethnic graded seats'!$A:$P,HLOOKUP(B$4,'[1]credit ethnic graded seats'!$1:$2,2,FALSE),FALSE)</f>
        <v>1285</v>
      </c>
      <c r="C5" s="24">
        <f>VLOOKUP($A5,'[1]credit ethnic graded seats'!$A:$P,HLOOKUP(C$4,'[1]credit ethnic graded seats'!$1:$2,2,FALSE),FALSE)</f>
        <v>1814</v>
      </c>
      <c r="D5" s="27">
        <f>VLOOKUP($A5,'[1]credit ethnic graded seats'!$A:$P,HLOOKUP(D$4,'[1]credit ethnic graded seats'!$1:$2,2,FALSE),FALSE)</f>
        <v>1976</v>
      </c>
      <c r="E5" s="15">
        <f>VLOOKUP($A5,'[1]credit ethnic graded seats'!$A:$P,HLOOKUP(E$4,'[1]credit ethnic graded seats'!$1:$2,2,FALSE),FALSE)</f>
        <v>1332</v>
      </c>
      <c r="F5" s="24">
        <f>VLOOKUP($A5,'[1]credit ethnic graded seats'!$A:$P,HLOOKUP(F$4,'[1]credit ethnic graded seats'!$1:$2,2,FALSE),FALSE)</f>
        <v>2032</v>
      </c>
      <c r="G5" s="25">
        <f>VLOOKUP($A5,'[1]credit ethnic graded seats'!$A:$P,HLOOKUP(G$4,'[1]credit ethnic graded seats'!$1:$2,2,FALSE),FALSE)</f>
        <v>2193</v>
      </c>
      <c r="H5" s="29">
        <f>VLOOKUP($A5,'[1]credit ethnic graded seats'!$A:$P,HLOOKUP(H$4,'[1]credit ethnic graded seats'!$1:$2,2,FALSE),FALSE)</f>
        <v>474</v>
      </c>
      <c r="I5" s="24">
        <f>VLOOKUP($A5,'[1]credit ethnic graded seats'!$A:$P,HLOOKUP(I$4,'[1]credit ethnic graded seats'!$1:$2,2,FALSE),FALSE)</f>
        <v>2270</v>
      </c>
      <c r="J5" s="25">
        <f>VLOOKUP($A5,'[1]credit ethnic graded seats'!$A:$P,HLOOKUP(J$4,'[1]credit ethnic graded seats'!$1:$2,2,FALSE),FALSE)</f>
        <v>2212</v>
      </c>
      <c r="K5" s="15">
        <f>VLOOKUP($A5,'[1]credit ethnic graded seats'!$A:$P,HLOOKUP(K$4,'[1]credit ethnic graded seats'!$1:$2,2,FALSE),FALSE)</f>
        <v>238</v>
      </c>
      <c r="L5" s="24">
        <f>VLOOKUP($A5,'[1]credit ethnic graded seats'!$A:$P,HLOOKUP(L$4,'[1]credit ethnic graded seats'!$1:$2,2,FALSE),FALSE)</f>
        <v>2077</v>
      </c>
      <c r="M5" s="25">
        <f>VLOOKUP($A5,'[1]credit ethnic graded seats'!$A:$P,HLOOKUP(M$4,'[1]credit ethnic graded seats'!$1:$2,2,FALSE),FALSE)</f>
        <v>1985</v>
      </c>
      <c r="N5" s="29">
        <f>VLOOKUP($A5,'[1]credit ethnic graded seats'!$A:$P,HLOOKUP(N$4,'[1]credit ethnic graded seats'!$1:$2,2,FALSE),FALSE)</f>
        <v>0</v>
      </c>
      <c r="O5" s="24">
        <f>VLOOKUP($A5,'[1]credit ethnic graded seats'!$A:$P,HLOOKUP(O$4,'[1]credit ethnic graded seats'!$1:$2,2,FALSE),FALSE)</f>
        <v>1800</v>
      </c>
      <c r="P5" s="47">
        <f>VLOOKUP($A5,'[1]credit ethnic graded seats'!$A:$P,HLOOKUP(P$4,'[1]credit ethnic graded seats'!$1:$2,2,FALSE),FALSE)</f>
        <v>1909</v>
      </c>
      <c r="Q5" s="15">
        <v>93</v>
      </c>
      <c r="R5" s="24">
        <v>1700</v>
      </c>
      <c r="S5" s="48">
        <v>1507</v>
      </c>
      <c r="T5" s="15">
        <v>0</v>
      </c>
      <c r="U5" s="24">
        <v>1452</v>
      </c>
      <c r="V5" s="48">
        <v>1446</v>
      </c>
    </row>
    <row r="6" spans="1:22" x14ac:dyDescent="0.25">
      <c r="A6" s="18" t="s">
        <v>22</v>
      </c>
      <c r="B6" s="26">
        <f>VLOOKUP($A6,'[1]credit ethnic graded seats'!$A:$P,HLOOKUP(B$4,'[1]credit ethnic graded seats'!$1:$2,2,FALSE),FALSE)</f>
        <v>504</v>
      </c>
      <c r="C6" s="23">
        <f>VLOOKUP($A6,'[1]credit ethnic graded seats'!$A:$P,HLOOKUP(C$4,'[1]credit ethnic graded seats'!$1:$2,2,FALSE),FALSE)</f>
        <v>648</v>
      </c>
      <c r="D6" s="28">
        <f>VLOOKUP($A6,'[1]credit ethnic graded seats'!$A:$P,HLOOKUP(D$4,'[1]credit ethnic graded seats'!$1:$2,2,FALSE),FALSE)</f>
        <v>803</v>
      </c>
      <c r="E6" s="26">
        <f>VLOOKUP($A6,'[1]credit ethnic graded seats'!$A:$P,HLOOKUP(E$4,'[1]credit ethnic graded seats'!$1:$2,2,FALSE),FALSE)</f>
        <v>581</v>
      </c>
      <c r="F6" s="23">
        <f>VLOOKUP($A6,'[1]credit ethnic graded seats'!$A:$P,HLOOKUP(F$4,'[1]credit ethnic graded seats'!$1:$2,2,FALSE),FALSE)</f>
        <v>939</v>
      </c>
      <c r="G6" s="16">
        <f>VLOOKUP($A6,'[1]credit ethnic graded seats'!$A:$P,HLOOKUP(G$4,'[1]credit ethnic graded seats'!$1:$2,2,FALSE),FALSE)</f>
        <v>922</v>
      </c>
      <c r="H6" s="30">
        <f>VLOOKUP($A6,'[1]credit ethnic graded seats'!$A:$P,HLOOKUP(H$4,'[1]credit ethnic graded seats'!$1:$2,2,FALSE),FALSE)</f>
        <v>243</v>
      </c>
      <c r="I6" s="23">
        <f>VLOOKUP($A6,'[1]credit ethnic graded seats'!$A:$P,HLOOKUP(I$4,'[1]credit ethnic graded seats'!$1:$2,2,FALSE),FALSE)</f>
        <v>991</v>
      </c>
      <c r="J6" s="16">
        <f>VLOOKUP($A6,'[1]credit ethnic graded seats'!$A:$P,HLOOKUP(J$4,'[1]credit ethnic graded seats'!$1:$2,2,FALSE),FALSE)</f>
        <v>1065</v>
      </c>
      <c r="K6" s="26">
        <f>VLOOKUP($A6,'[1]credit ethnic graded seats'!$A:$P,HLOOKUP(K$4,'[1]credit ethnic graded seats'!$1:$2,2,FALSE),FALSE)</f>
        <v>137</v>
      </c>
      <c r="L6" s="23">
        <f>VLOOKUP($A6,'[1]credit ethnic graded seats'!$A:$P,HLOOKUP(L$4,'[1]credit ethnic graded seats'!$1:$2,2,FALSE),FALSE)</f>
        <v>1054</v>
      </c>
      <c r="M6" s="16">
        <f>VLOOKUP($A6,'[1]credit ethnic graded seats'!$A:$P,HLOOKUP(M$4,'[1]credit ethnic graded seats'!$1:$2,2,FALSE),FALSE)</f>
        <v>1087</v>
      </c>
      <c r="N6" s="30">
        <f>VLOOKUP($A6,'[1]credit ethnic graded seats'!$A:$P,HLOOKUP(N$4,'[1]credit ethnic graded seats'!$1:$2,2,FALSE),FALSE)</f>
        <v>0</v>
      </c>
      <c r="O6" s="23">
        <f>VLOOKUP($A6,'[1]credit ethnic graded seats'!$A:$P,HLOOKUP(O$4,'[1]credit ethnic graded seats'!$1:$2,2,FALSE),FALSE)</f>
        <v>1104</v>
      </c>
      <c r="P6" s="28">
        <f>VLOOKUP($A6,'[1]credit ethnic graded seats'!$A:$P,HLOOKUP(P$4,'[1]credit ethnic graded seats'!$1:$2,2,FALSE),FALSE)</f>
        <v>1257</v>
      </c>
      <c r="Q6" s="26">
        <v>70</v>
      </c>
      <c r="R6" s="23">
        <v>1276</v>
      </c>
      <c r="S6" s="16">
        <v>1172</v>
      </c>
      <c r="T6" s="26">
        <v>0</v>
      </c>
      <c r="U6" s="23">
        <v>1225</v>
      </c>
      <c r="V6" s="16">
        <v>1258</v>
      </c>
    </row>
    <row r="7" spans="1:22" x14ac:dyDescent="0.25">
      <c r="A7" s="18" t="s">
        <v>23</v>
      </c>
      <c r="B7" s="26">
        <f>VLOOKUP($A7,'[1]credit ethnic graded seats'!$A:$P,HLOOKUP(B$4,'[1]credit ethnic graded seats'!$1:$2,2,FALSE),FALSE)</f>
        <v>161</v>
      </c>
      <c r="C7" s="23">
        <f>VLOOKUP($A7,'[1]credit ethnic graded seats'!$A:$P,HLOOKUP(C$4,'[1]credit ethnic graded seats'!$1:$2,2,FALSE),FALSE)</f>
        <v>231</v>
      </c>
      <c r="D7" s="28">
        <f>VLOOKUP($A7,'[1]credit ethnic graded seats'!$A:$P,HLOOKUP(D$4,'[1]credit ethnic graded seats'!$1:$2,2,FALSE),FALSE)</f>
        <v>252</v>
      </c>
      <c r="E7" s="26">
        <f>VLOOKUP($A7,'[1]credit ethnic graded seats'!$A:$P,HLOOKUP(E$4,'[1]credit ethnic graded seats'!$1:$2,2,FALSE),FALSE)</f>
        <v>181</v>
      </c>
      <c r="F7" s="23">
        <f>VLOOKUP($A7,'[1]credit ethnic graded seats'!$A:$P,HLOOKUP(F$4,'[1]credit ethnic graded seats'!$1:$2,2,FALSE),FALSE)</f>
        <v>290</v>
      </c>
      <c r="G7" s="16">
        <f>VLOOKUP($A7,'[1]credit ethnic graded seats'!$A:$P,HLOOKUP(G$4,'[1]credit ethnic graded seats'!$1:$2,2,FALSE),FALSE)</f>
        <v>305</v>
      </c>
      <c r="H7" s="30">
        <f>VLOOKUP($A7,'[1]credit ethnic graded seats'!$A:$P,HLOOKUP(H$4,'[1]credit ethnic graded seats'!$1:$2,2,FALSE),FALSE)</f>
        <v>88</v>
      </c>
      <c r="I7" s="23">
        <f>VLOOKUP($A7,'[1]credit ethnic graded seats'!$A:$P,HLOOKUP(I$4,'[1]credit ethnic graded seats'!$1:$2,2,FALSE),FALSE)</f>
        <v>319</v>
      </c>
      <c r="J7" s="16">
        <f>VLOOKUP($A7,'[1]credit ethnic graded seats'!$A:$P,HLOOKUP(J$4,'[1]credit ethnic graded seats'!$1:$2,2,FALSE),FALSE)</f>
        <v>377</v>
      </c>
      <c r="K7" s="26">
        <f>VLOOKUP($A7,'[1]credit ethnic graded seats'!$A:$P,HLOOKUP(K$4,'[1]credit ethnic graded seats'!$1:$2,2,FALSE),FALSE)</f>
        <v>50</v>
      </c>
      <c r="L7" s="23">
        <f>VLOOKUP($A7,'[1]credit ethnic graded seats'!$A:$P,HLOOKUP(L$4,'[1]credit ethnic graded seats'!$1:$2,2,FALSE),FALSE)</f>
        <v>312</v>
      </c>
      <c r="M7" s="16">
        <f>VLOOKUP($A7,'[1]credit ethnic graded seats'!$A:$P,HLOOKUP(M$4,'[1]credit ethnic graded seats'!$1:$2,2,FALSE),FALSE)</f>
        <v>311</v>
      </c>
      <c r="N7" s="30">
        <f>VLOOKUP($A7,'[1]credit ethnic graded seats'!$A:$P,HLOOKUP(N$4,'[1]credit ethnic graded seats'!$1:$2,2,FALSE),FALSE)</f>
        <v>0</v>
      </c>
      <c r="O7" s="23">
        <f>VLOOKUP($A7,'[1]credit ethnic graded seats'!$A:$P,HLOOKUP(O$4,'[1]credit ethnic graded seats'!$1:$2,2,FALSE),FALSE)</f>
        <v>282</v>
      </c>
      <c r="P7" s="28">
        <f>VLOOKUP($A7,'[1]credit ethnic graded seats'!$A:$P,HLOOKUP(P$4,'[1]credit ethnic graded seats'!$1:$2,2,FALSE),FALSE)</f>
        <v>340</v>
      </c>
      <c r="Q7" s="26">
        <v>17</v>
      </c>
      <c r="R7" s="23">
        <v>295</v>
      </c>
      <c r="S7" s="16">
        <v>278</v>
      </c>
      <c r="T7" s="26">
        <v>0</v>
      </c>
      <c r="U7" s="23">
        <v>284</v>
      </c>
      <c r="V7" s="16">
        <v>279</v>
      </c>
    </row>
    <row r="8" spans="1:22" x14ac:dyDescent="0.25">
      <c r="A8" s="18" t="s">
        <v>24</v>
      </c>
      <c r="B8" s="26">
        <f>VLOOKUP($A8,'[1]credit ethnic graded seats'!$A:$P,HLOOKUP(B$4,'[1]credit ethnic graded seats'!$1:$2,2,FALSE),FALSE)</f>
        <v>64</v>
      </c>
      <c r="C8" s="23">
        <f>VLOOKUP($A8,'[1]credit ethnic graded seats'!$A:$P,HLOOKUP(C$4,'[1]credit ethnic graded seats'!$1:$2,2,FALSE),FALSE)</f>
        <v>74</v>
      </c>
      <c r="D8" s="28">
        <f>VLOOKUP($A8,'[1]credit ethnic graded seats'!$A:$P,HLOOKUP(D$4,'[1]credit ethnic graded seats'!$1:$2,2,FALSE),FALSE)</f>
        <v>92</v>
      </c>
      <c r="E8" s="26">
        <f>VLOOKUP($A8,'[1]credit ethnic graded seats'!$A:$P,HLOOKUP(E$4,'[1]credit ethnic graded seats'!$1:$2,2,FALSE),FALSE)</f>
        <v>81</v>
      </c>
      <c r="F8" s="23">
        <f>VLOOKUP($A8,'[1]credit ethnic graded seats'!$A:$P,HLOOKUP(F$4,'[1]credit ethnic graded seats'!$1:$2,2,FALSE),FALSE)</f>
        <v>87</v>
      </c>
      <c r="G8" s="16">
        <f>VLOOKUP($A8,'[1]credit ethnic graded seats'!$A:$P,HLOOKUP(G$4,'[1]credit ethnic graded seats'!$1:$2,2,FALSE),FALSE)</f>
        <v>102</v>
      </c>
      <c r="H8" s="30">
        <f>VLOOKUP($A8,'[1]credit ethnic graded seats'!$A:$P,HLOOKUP(H$4,'[1]credit ethnic graded seats'!$1:$2,2,FALSE),FALSE)</f>
        <v>29</v>
      </c>
      <c r="I8" s="23">
        <f>VLOOKUP($A8,'[1]credit ethnic graded seats'!$A:$P,HLOOKUP(I$4,'[1]credit ethnic graded seats'!$1:$2,2,FALSE),FALSE)</f>
        <v>100</v>
      </c>
      <c r="J8" s="16">
        <f>VLOOKUP($A8,'[1]credit ethnic graded seats'!$A:$P,HLOOKUP(J$4,'[1]credit ethnic graded seats'!$1:$2,2,FALSE),FALSE)</f>
        <v>120</v>
      </c>
      <c r="K8" s="26">
        <f>VLOOKUP($A8,'[1]credit ethnic graded seats'!$A:$P,HLOOKUP(K$4,'[1]credit ethnic graded seats'!$1:$2,2,FALSE),FALSE)</f>
        <v>18</v>
      </c>
      <c r="L8" s="23">
        <f>VLOOKUP($A8,'[1]credit ethnic graded seats'!$A:$P,HLOOKUP(L$4,'[1]credit ethnic graded seats'!$1:$2,2,FALSE),FALSE)</f>
        <v>111</v>
      </c>
      <c r="M8" s="16">
        <f>VLOOKUP($A8,'[1]credit ethnic graded seats'!$A:$P,HLOOKUP(M$4,'[1]credit ethnic graded seats'!$1:$2,2,FALSE),FALSE)</f>
        <v>119</v>
      </c>
      <c r="N8" s="30">
        <f>VLOOKUP($A8,'[1]credit ethnic graded seats'!$A:$P,HLOOKUP(N$4,'[1]credit ethnic graded seats'!$1:$2,2,FALSE),FALSE)</f>
        <v>0</v>
      </c>
      <c r="O8" s="23">
        <f>VLOOKUP($A8,'[1]credit ethnic graded seats'!$A:$P,HLOOKUP(O$4,'[1]credit ethnic graded seats'!$1:$2,2,FALSE),FALSE)</f>
        <v>93</v>
      </c>
      <c r="P8" s="28">
        <f>VLOOKUP($A8,'[1]credit ethnic graded seats'!$A:$P,HLOOKUP(P$4,'[1]credit ethnic graded seats'!$1:$2,2,FALSE),FALSE)</f>
        <v>108</v>
      </c>
      <c r="Q8" s="26">
        <v>4</v>
      </c>
      <c r="R8" s="23">
        <v>78</v>
      </c>
      <c r="S8" s="16">
        <v>80</v>
      </c>
      <c r="T8" s="26">
        <v>0</v>
      </c>
      <c r="U8" s="23">
        <v>70</v>
      </c>
      <c r="V8" s="16">
        <v>93</v>
      </c>
    </row>
    <row r="9" spans="1:22" x14ac:dyDescent="0.25">
      <c r="A9" s="18" t="s">
        <v>25</v>
      </c>
      <c r="B9" s="26">
        <f>VLOOKUP($A9,'[1]credit ethnic graded seats'!$A:$P,HLOOKUP(B$4,'[1]credit ethnic graded seats'!$1:$2,2,FALSE),FALSE)</f>
        <v>20</v>
      </c>
      <c r="C9" s="23">
        <f>VLOOKUP($A9,'[1]credit ethnic graded seats'!$A:$P,HLOOKUP(C$4,'[1]credit ethnic graded seats'!$1:$2,2,FALSE),FALSE)</f>
        <v>26</v>
      </c>
      <c r="D9" s="28">
        <f>VLOOKUP($A9,'[1]credit ethnic graded seats'!$A:$P,HLOOKUP(D$4,'[1]credit ethnic graded seats'!$1:$2,2,FALSE),FALSE)</f>
        <v>44</v>
      </c>
      <c r="E9" s="26">
        <f>VLOOKUP($A9,'[1]credit ethnic graded seats'!$A:$P,HLOOKUP(E$4,'[1]credit ethnic graded seats'!$1:$2,2,FALSE),FALSE)</f>
        <v>16</v>
      </c>
      <c r="F9" s="23">
        <f>VLOOKUP($A9,'[1]credit ethnic graded seats'!$A:$P,HLOOKUP(F$4,'[1]credit ethnic graded seats'!$1:$2,2,FALSE),FALSE)</f>
        <v>50</v>
      </c>
      <c r="G9" s="16">
        <f>VLOOKUP($A9,'[1]credit ethnic graded seats'!$A:$P,HLOOKUP(G$4,'[1]credit ethnic graded seats'!$1:$2,2,FALSE),FALSE)</f>
        <v>57</v>
      </c>
      <c r="H9" s="30">
        <f>VLOOKUP($A9,'[1]credit ethnic graded seats'!$A:$P,HLOOKUP(H$4,'[1]credit ethnic graded seats'!$1:$2,2,FALSE),FALSE)</f>
        <v>20</v>
      </c>
      <c r="I9" s="23">
        <f>VLOOKUP($A9,'[1]credit ethnic graded seats'!$A:$P,HLOOKUP(I$4,'[1]credit ethnic graded seats'!$1:$2,2,FALSE),FALSE)</f>
        <v>44</v>
      </c>
      <c r="J9" s="16">
        <f>VLOOKUP($A9,'[1]credit ethnic graded seats'!$A:$P,HLOOKUP(J$4,'[1]credit ethnic graded seats'!$1:$2,2,FALSE),FALSE)</f>
        <v>49</v>
      </c>
      <c r="K9" s="26">
        <f>VLOOKUP($A9,'[1]credit ethnic graded seats'!$A:$P,HLOOKUP(K$4,'[1]credit ethnic graded seats'!$1:$2,2,FALSE),FALSE)</f>
        <v>7</v>
      </c>
      <c r="L9" s="23">
        <f>VLOOKUP($A9,'[1]credit ethnic graded seats'!$A:$P,HLOOKUP(L$4,'[1]credit ethnic graded seats'!$1:$2,2,FALSE),FALSE)</f>
        <v>44</v>
      </c>
      <c r="M9" s="16">
        <f>VLOOKUP($A9,'[1]credit ethnic graded seats'!$A:$P,HLOOKUP(M$4,'[1]credit ethnic graded seats'!$1:$2,2,FALSE),FALSE)</f>
        <v>50</v>
      </c>
      <c r="N9" s="30">
        <f>VLOOKUP($A9,'[1]credit ethnic graded seats'!$A:$P,HLOOKUP(N$4,'[1]credit ethnic graded seats'!$1:$2,2,FALSE),FALSE)</f>
        <v>0</v>
      </c>
      <c r="O9" s="23">
        <f>VLOOKUP($A9,'[1]credit ethnic graded seats'!$A:$P,HLOOKUP(O$4,'[1]credit ethnic graded seats'!$1:$2,2,FALSE),FALSE)</f>
        <v>30</v>
      </c>
      <c r="P9" s="28">
        <f>VLOOKUP($A9,'[1]credit ethnic graded seats'!$A:$P,HLOOKUP(P$4,'[1]credit ethnic graded seats'!$1:$2,2,FALSE),FALSE)</f>
        <v>37</v>
      </c>
      <c r="Q9" s="26">
        <v>1</v>
      </c>
      <c r="R9" s="23">
        <v>30</v>
      </c>
      <c r="S9" s="16">
        <v>26</v>
      </c>
      <c r="T9" s="26">
        <v>0</v>
      </c>
      <c r="U9" s="23">
        <v>16</v>
      </c>
      <c r="V9" s="16">
        <v>17</v>
      </c>
    </row>
    <row r="10" spans="1:22" x14ac:dyDescent="0.25">
      <c r="A10" s="18" t="s">
        <v>26</v>
      </c>
      <c r="B10" s="26">
        <f>VLOOKUP($A10,'[1]credit ethnic graded seats'!$A:$P,HLOOKUP(B$4,'[1]credit ethnic graded seats'!$1:$2,2,FALSE),FALSE)</f>
        <v>76</v>
      </c>
      <c r="C10" s="23">
        <f>VLOOKUP($A10,'[1]credit ethnic graded seats'!$A:$P,HLOOKUP(C$4,'[1]credit ethnic graded seats'!$1:$2,2,FALSE),FALSE)</f>
        <v>119</v>
      </c>
      <c r="D10" s="28">
        <f>VLOOKUP($A10,'[1]credit ethnic graded seats'!$A:$P,HLOOKUP(D$4,'[1]credit ethnic graded seats'!$1:$2,2,FALSE),FALSE)</f>
        <v>129</v>
      </c>
      <c r="E10" s="26">
        <f>VLOOKUP($A10,'[1]credit ethnic graded seats'!$A:$P,HLOOKUP(E$4,'[1]credit ethnic graded seats'!$1:$2,2,FALSE),FALSE)</f>
        <v>101</v>
      </c>
      <c r="F10" s="23">
        <f>VLOOKUP($A10,'[1]credit ethnic graded seats'!$A:$P,HLOOKUP(F$4,'[1]credit ethnic graded seats'!$1:$2,2,FALSE),FALSE)</f>
        <v>125</v>
      </c>
      <c r="G10" s="16">
        <f>VLOOKUP($A10,'[1]credit ethnic graded seats'!$A:$P,HLOOKUP(G$4,'[1]credit ethnic graded seats'!$1:$2,2,FALSE),FALSE)</f>
        <v>170</v>
      </c>
      <c r="H10" s="30">
        <f>VLOOKUP($A10,'[1]credit ethnic graded seats'!$A:$P,HLOOKUP(H$4,'[1]credit ethnic graded seats'!$1:$2,2,FALSE),FALSE)</f>
        <v>34</v>
      </c>
      <c r="I10" s="23">
        <f>VLOOKUP($A10,'[1]credit ethnic graded seats'!$A:$P,HLOOKUP(I$4,'[1]credit ethnic graded seats'!$1:$2,2,FALSE),FALSE)</f>
        <v>146</v>
      </c>
      <c r="J10" s="16">
        <f>VLOOKUP($A10,'[1]credit ethnic graded seats'!$A:$P,HLOOKUP(J$4,'[1]credit ethnic graded seats'!$1:$2,2,FALSE),FALSE)</f>
        <v>151</v>
      </c>
      <c r="K10" s="26">
        <f>VLOOKUP($A10,'[1]credit ethnic graded seats'!$A:$P,HLOOKUP(K$4,'[1]credit ethnic graded seats'!$1:$2,2,FALSE),FALSE)</f>
        <v>11</v>
      </c>
      <c r="L10" s="23">
        <f>VLOOKUP($A10,'[1]credit ethnic graded seats'!$A:$P,HLOOKUP(L$4,'[1]credit ethnic graded seats'!$1:$2,2,FALSE),FALSE)</f>
        <v>127</v>
      </c>
      <c r="M10" s="16">
        <f>VLOOKUP($A10,'[1]credit ethnic graded seats'!$A:$P,HLOOKUP(M$4,'[1]credit ethnic graded seats'!$1:$2,2,FALSE),FALSE)</f>
        <v>144</v>
      </c>
      <c r="N10" s="30">
        <f>VLOOKUP($A10,'[1]credit ethnic graded seats'!$A:$P,HLOOKUP(N$4,'[1]credit ethnic graded seats'!$1:$2,2,FALSE),FALSE)</f>
        <v>0</v>
      </c>
      <c r="O10" s="23">
        <f>VLOOKUP($A10,'[1]credit ethnic graded seats'!$A:$P,HLOOKUP(O$4,'[1]credit ethnic graded seats'!$1:$2,2,FALSE),FALSE)</f>
        <v>116</v>
      </c>
      <c r="P10" s="28">
        <f>VLOOKUP($A10,'[1]credit ethnic graded seats'!$A:$P,HLOOKUP(P$4,'[1]credit ethnic graded seats'!$1:$2,2,FALSE),FALSE)</f>
        <v>120</v>
      </c>
      <c r="Q10" s="26">
        <v>8</v>
      </c>
      <c r="R10" s="23">
        <v>102</v>
      </c>
      <c r="S10" s="16">
        <v>108</v>
      </c>
      <c r="T10" s="26">
        <v>0</v>
      </c>
      <c r="U10" s="23">
        <v>107</v>
      </c>
      <c r="V10" s="16">
        <v>111</v>
      </c>
    </row>
    <row r="11" spans="1:22" x14ac:dyDescent="0.25">
      <c r="A11" s="18" t="s">
        <v>27</v>
      </c>
      <c r="B11" s="26">
        <f>VLOOKUP($A11,'[1]credit ethnic graded seats'!$A:$P,HLOOKUP(B$4,'[1]credit ethnic graded seats'!$1:$2,2,FALSE),FALSE)</f>
        <v>15</v>
      </c>
      <c r="C11" s="23">
        <f>VLOOKUP($A11,'[1]credit ethnic graded seats'!$A:$P,HLOOKUP(C$4,'[1]credit ethnic graded seats'!$1:$2,2,FALSE),FALSE)</f>
        <v>18</v>
      </c>
      <c r="D11" s="28">
        <f>VLOOKUP($A11,'[1]credit ethnic graded seats'!$A:$P,HLOOKUP(D$4,'[1]credit ethnic graded seats'!$1:$2,2,FALSE),FALSE)</f>
        <v>26</v>
      </c>
      <c r="E11" s="26">
        <f>VLOOKUP($A11,'[1]credit ethnic graded seats'!$A:$P,HLOOKUP(E$4,'[1]credit ethnic graded seats'!$1:$2,2,FALSE),FALSE)</f>
        <v>15</v>
      </c>
      <c r="F11" s="23">
        <f>VLOOKUP($A11,'[1]credit ethnic graded seats'!$A:$P,HLOOKUP(F$4,'[1]credit ethnic graded seats'!$1:$2,2,FALSE),FALSE)</f>
        <v>31</v>
      </c>
      <c r="G11" s="16">
        <f>VLOOKUP($A11,'[1]credit ethnic graded seats'!$A:$P,HLOOKUP(G$4,'[1]credit ethnic graded seats'!$1:$2,2,FALSE),FALSE)</f>
        <v>26</v>
      </c>
      <c r="H11" s="30">
        <f>VLOOKUP($A11,'[1]credit ethnic graded seats'!$A:$P,HLOOKUP(H$4,'[1]credit ethnic graded seats'!$1:$2,2,FALSE),FALSE)</f>
        <v>2</v>
      </c>
      <c r="I11" s="23">
        <f>VLOOKUP($A11,'[1]credit ethnic graded seats'!$A:$P,HLOOKUP(I$4,'[1]credit ethnic graded seats'!$1:$2,2,FALSE),FALSE)</f>
        <v>32</v>
      </c>
      <c r="J11" s="16">
        <f>VLOOKUP($A11,'[1]credit ethnic graded seats'!$A:$P,HLOOKUP(J$4,'[1]credit ethnic graded seats'!$1:$2,2,FALSE),FALSE)</f>
        <v>37</v>
      </c>
      <c r="K11" s="26">
        <f>VLOOKUP($A11,'[1]credit ethnic graded seats'!$A:$P,HLOOKUP(K$4,'[1]credit ethnic graded seats'!$1:$2,2,FALSE),FALSE)</f>
        <v>4</v>
      </c>
      <c r="L11" s="23">
        <f>VLOOKUP($A11,'[1]credit ethnic graded seats'!$A:$P,HLOOKUP(L$4,'[1]credit ethnic graded seats'!$1:$2,2,FALSE),FALSE)</f>
        <v>28</v>
      </c>
      <c r="M11" s="16">
        <f>VLOOKUP($A11,'[1]credit ethnic graded seats'!$A:$P,HLOOKUP(M$4,'[1]credit ethnic graded seats'!$1:$2,2,FALSE),FALSE)</f>
        <v>26</v>
      </c>
      <c r="N11" s="30">
        <f>VLOOKUP($A11,'[1]credit ethnic graded seats'!$A:$P,HLOOKUP(N$4,'[1]credit ethnic graded seats'!$1:$2,2,FALSE),FALSE)</f>
        <v>0</v>
      </c>
      <c r="O11" s="23">
        <f>VLOOKUP($A11,'[1]credit ethnic graded seats'!$A:$P,HLOOKUP(O$4,'[1]credit ethnic graded seats'!$1:$2,2,FALSE),FALSE)</f>
        <v>20</v>
      </c>
      <c r="P11" s="28">
        <f>VLOOKUP($A11,'[1]credit ethnic graded seats'!$A:$P,HLOOKUP(P$4,'[1]credit ethnic graded seats'!$1:$2,2,FALSE),FALSE)</f>
        <v>27</v>
      </c>
      <c r="Q11" s="26">
        <v>2</v>
      </c>
      <c r="R11" s="23">
        <v>19</v>
      </c>
      <c r="S11" s="16">
        <v>19</v>
      </c>
      <c r="T11" s="26">
        <v>0</v>
      </c>
      <c r="U11" s="23">
        <v>20</v>
      </c>
      <c r="V11" s="16">
        <v>18</v>
      </c>
    </row>
    <row r="12" spans="1:22" x14ac:dyDescent="0.25">
      <c r="A12" s="18" t="s">
        <v>28</v>
      </c>
      <c r="B12" s="26">
        <f>VLOOKUP($A12,'[1]credit ethnic graded seats'!$A:$P,HLOOKUP(B$4,'[1]credit ethnic graded seats'!$1:$2,2,FALSE),FALSE)</f>
        <v>37</v>
      </c>
      <c r="C12" s="23">
        <f>VLOOKUP($A12,'[1]credit ethnic graded seats'!$A:$P,HLOOKUP(C$4,'[1]credit ethnic graded seats'!$1:$2,2,FALSE),FALSE)</f>
        <v>63</v>
      </c>
      <c r="D12" s="28">
        <f>VLOOKUP($A12,'[1]credit ethnic graded seats'!$A:$P,HLOOKUP(D$4,'[1]credit ethnic graded seats'!$1:$2,2,FALSE),FALSE)</f>
        <v>60</v>
      </c>
      <c r="E12" s="26">
        <f>VLOOKUP($A12,'[1]credit ethnic graded seats'!$A:$P,HLOOKUP(E$4,'[1]credit ethnic graded seats'!$1:$2,2,FALSE),FALSE)</f>
        <v>36</v>
      </c>
      <c r="F12" s="23">
        <f>VLOOKUP($A12,'[1]credit ethnic graded seats'!$A:$P,HLOOKUP(F$4,'[1]credit ethnic graded seats'!$1:$2,2,FALSE),FALSE)</f>
        <v>65</v>
      </c>
      <c r="G12" s="16">
        <f>VLOOKUP($A12,'[1]credit ethnic graded seats'!$A:$P,HLOOKUP(G$4,'[1]credit ethnic graded seats'!$1:$2,2,FALSE),FALSE)</f>
        <v>51</v>
      </c>
      <c r="H12" s="30">
        <f>VLOOKUP($A12,'[1]credit ethnic graded seats'!$A:$P,HLOOKUP(H$4,'[1]credit ethnic graded seats'!$1:$2,2,FALSE),FALSE)</f>
        <v>12</v>
      </c>
      <c r="I12" s="23">
        <f>VLOOKUP($A12,'[1]credit ethnic graded seats'!$A:$P,HLOOKUP(I$4,'[1]credit ethnic graded seats'!$1:$2,2,FALSE),FALSE)</f>
        <v>74</v>
      </c>
      <c r="J12" s="16">
        <f>VLOOKUP($A12,'[1]credit ethnic graded seats'!$A:$P,HLOOKUP(J$4,'[1]credit ethnic graded seats'!$1:$2,2,FALSE),FALSE)</f>
        <v>98</v>
      </c>
      <c r="K12" s="26">
        <f>VLOOKUP($A12,'[1]credit ethnic graded seats'!$A:$P,HLOOKUP(K$4,'[1]credit ethnic graded seats'!$1:$2,2,FALSE),FALSE)</f>
        <v>16</v>
      </c>
      <c r="L12" s="23">
        <f>VLOOKUP($A12,'[1]credit ethnic graded seats'!$A:$P,HLOOKUP(L$4,'[1]credit ethnic graded seats'!$1:$2,2,FALSE),FALSE)</f>
        <v>140</v>
      </c>
      <c r="M12" s="16">
        <f>VLOOKUP($A12,'[1]credit ethnic graded seats'!$A:$P,HLOOKUP(M$4,'[1]credit ethnic graded seats'!$1:$2,2,FALSE),FALSE)</f>
        <v>148</v>
      </c>
      <c r="N12" s="30">
        <f>VLOOKUP($A12,'[1]credit ethnic graded seats'!$A:$P,HLOOKUP(N$4,'[1]credit ethnic graded seats'!$1:$2,2,FALSE),FALSE)</f>
        <v>0</v>
      </c>
      <c r="O12" s="23">
        <f>VLOOKUP($A12,'[1]credit ethnic graded seats'!$A:$P,HLOOKUP(O$4,'[1]credit ethnic graded seats'!$1:$2,2,FALSE),FALSE)</f>
        <v>150</v>
      </c>
      <c r="P12" s="28">
        <f>VLOOKUP($A12,'[1]credit ethnic graded seats'!$A:$P,HLOOKUP(P$4,'[1]credit ethnic graded seats'!$1:$2,2,FALSE),FALSE)</f>
        <v>190</v>
      </c>
      <c r="Q12" s="26">
        <v>10</v>
      </c>
      <c r="R12" s="23">
        <v>175</v>
      </c>
      <c r="S12" s="16">
        <v>180</v>
      </c>
      <c r="T12" s="26">
        <v>0</v>
      </c>
      <c r="U12" s="23">
        <v>193</v>
      </c>
      <c r="V12" s="16">
        <v>191</v>
      </c>
    </row>
    <row r="13" spans="1:22" ht="15.75" thickBot="1" x14ac:dyDescent="0.3">
      <c r="A13" s="19" t="s">
        <v>29</v>
      </c>
      <c r="B13" s="31">
        <f>VLOOKUP($A13,'[1]credit ethnic graded seats'!$A:$P,HLOOKUP(B$4,'[1]credit ethnic graded seats'!$1:$2,2,FALSE),FALSE)</f>
        <v>173</v>
      </c>
      <c r="C13" s="32">
        <f>VLOOKUP($A13,'[1]credit ethnic graded seats'!$A:$P,HLOOKUP(C$4,'[1]credit ethnic graded seats'!$1:$2,2,FALSE),FALSE)</f>
        <v>239</v>
      </c>
      <c r="D13" s="33">
        <f>VLOOKUP($A13,'[1]credit ethnic graded seats'!$A:$P,HLOOKUP(D$4,'[1]credit ethnic graded seats'!$1:$2,2,FALSE),FALSE)</f>
        <v>275</v>
      </c>
      <c r="E13" s="49">
        <f>VLOOKUP($A13,'[1]credit ethnic graded seats'!$A:$P,HLOOKUP(E$4,'[1]credit ethnic graded seats'!$1:$2,2,FALSE),FALSE)</f>
        <v>210</v>
      </c>
      <c r="F13" s="50">
        <f>VLOOKUP($A13,'[1]credit ethnic graded seats'!$A:$P,HLOOKUP(F$4,'[1]credit ethnic graded seats'!$1:$2,2,FALSE),FALSE)</f>
        <v>305</v>
      </c>
      <c r="G13" s="51">
        <f>VLOOKUP($A13,'[1]credit ethnic graded seats'!$A:$P,HLOOKUP(G$4,'[1]credit ethnic graded seats'!$1:$2,2,FALSE),FALSE)</f>
        <v>351</v>
      </c>
      <c r="H13" s="35">
        <f>VLOOKUP($A13,'[1]credit ethnic graded seats'!$A:$P,HLOOKUP(H$4,'[1]credit ethnic graded seats'!$1:$2,2,FALSE),FALSE)</f>
        <v>87</v>
      </c>
      <c r="I13" s="32">
        <f>VLOOKUP($A13,'[1]credit ethnic graded seats'!$A:$P,HLOOKUP(I$4,'[1]credit ethnic graded seats'!$1:$2,2,FALSE),FALSE)</f>
        <v>351</v>
      </c>
      <c r="J13" s="34">
        <f>VLOOKUP($A13,'[1]credit ethnic graded seats'!$A:$P,HLOOKUP(J$4,'[1]credit ethnic graded seats'!$1:$2,2,FALSE),FALSE)</f>
        <v>344</v>
      </c>
      <c r="K13" s="31">
        <f>VLOOKUP($A13,'[1]credit ethnic graded seats'!$A:$P,HLOOKUP(K$4,'[1]credit ethnic graded seats'!$1:$2,2,FALSE),FALSE)</f>
        <v>37</v>
      </c>
      <c r="L13" s="32">
        <f>VLOOKUP($A13,'[1]credit ethnic graded seats'!$A:$P,HLOOKUP(L$4,'[1]credit ethnic graded seats'!$1:$2,2,FALSE),FALSE)</f>
        <v>265</v>
      </c>
      <c r="M13" s="34">
        <f>VLOOKUP($A13,'[1]credit ethnic graded seats'!$A:$P,HLOOKUP(M$4,'[1]credit ethnic graded seats'!$1:$2,2,FALSE),FALSE)</f>
        <v>255</v>
      </c>
      <c r="N13" s="35">
        <f>VLOOKUP($A13,'[1]credit ethnic graded seats'!$A:$P,HLOOKUP(N$4,'[1]credit ethnic graded seats'!$1:$2,2,FALSE),FALSE)</f>
        <v>0</v>
      </c>
      <c r="O13" s="32">
        <f>VLOOKUP($A13,'[1]credit ethnic graded seats'!$A:$P,HLOOKUP(O$4,'[1]credit ethnic graded seats'!$1:$2,2,FALSE),FALSE)</f>
        <v>194</v>
      </c>
      <c r="P13" s="28">
        <f>VLOOKUP($A13,'[1]credit ethnic graded seats'!$A:$P,HLOOKUP(P$4,'[1]credit ethnic graded seats'!$1:$2,2,FALSE),FALSE)</f>
        <v>171</v>
      </c>
      <c r="Q13" s="49">
        <v>8</v>
      </c>
      <c r="R13" s="50">
        <v>106</v>
      </c>
      <c r="S13" s="51">
        <v>93</v>
      </c>
      <c r="T13" s="49">
        <v>0</v>
      </c>
      <c r="U13" s="50">
        <v>90</v>
      </c>
      <c r="V13" s="51">
        <v>65</v>
      </c>
    </row>
    <row r="14" spans="1:22" ht="15.75" thickBot="1" x14ac:dyDescent="0.3">
      <c r="A14" s="21" t="s">
        <v>30</v>
      </c>
      <c r="B14" s="37">
        <f>VLOOKUP($A14,'[1]credit ethnic graded seats'!$A:$P,HLOOKUP(B$4,'[1]credit ethnic graded seats'!$1:$2,2,FALSE),FALSE)</f>
        <v>2335</v>
      </c>
      <c r="C14" s="38">
        <f>VLOOKUP($A14,'[1]credit ethnic graded seats'!$A:$P,HLOOKUP(C$4,'[1]credit ethnic graded seats'!$1:$2,2,FALSE),FALSE)</f>
        <v>3232</v>
      </c>
      <c r="D14" s="39">
        <f>VLOOKUP($A14,'[1]credit ethnic graded seats'!$A:$P,HLOOKUP(D$4,'[1]credit ethnic graded seats'!$1:$2,2,FALSE),FALSE)</f>
        <v>3657</v>
      </c>
      <c r="E14" s="37">
        <f>VLOOKUP($A14,'[1]credit ethnic graded seats'!$A:$P,HLOOKUP(E$4,'[1]credit ethnic graded seats'!$1:$2,2,FALSE),FALSE)</f>
        <v>2553</v>
      </c>
      <c r="F14" s="38">
        <f>VLOOKUP($A14,'[1]credit ethnic graded seats'!$A:$P,HLOOKUP(F$4,'[1]credit ethnic graded seats'!$1:$2,2,FALSE),FALSE)</f>
        <v>3924</v>
      </c>
      <c r="G14" s="38">
        <f>VLOOKUP($A14,'[1]credit ethnic graded seats'!$A:$P,HLOOKUP(G$4,'[1]credit ethnic graded seats'!$1:$2,2,FALSE),FALSE)</f>
        <v>4177</v>
      </c>
      <c r="H14" s="38">
        <f>VLOOKUP($A14,'[1]credit ethnic graded seats'!$A:$P,HLOOKUP(H$4,'[1]credit ethnic graded seats'!$1:$2,2,FALSE),FALSE)</f>
        <v>989</v>
      </c>
      <c r="I14" s="38">
        <f>VLOOKUP($A14,'[1]credit ethnic graded seats'!$A:$P,HLOOKUP(I$4,'[1]credit ethnic graded seats'!$1:$2,2,FALSE),FALSE)</f>
        <v>4327</v>
      </c>
      <c r="J14" s="36">
        <f>VLOOKUP($A14,'[1]credit ethnic graded seats'!$A:$P,HLOOKUP(J$4,'[1]credit ethnic graded seats'!$1:$2,2,FALSE),FALSE)</f>
        <v>4453</v>
      </c>
      <c r="K14" s="37">
        <f>VLOOKUP($A14,'[1]credit ethnic graded seats'!$A:$P,HLOOKUP(K$4,'[1]credit ethnic graded seats'!$1:$2,2,FALSE),FALSE)</f>
        <v>518</v>
      </c>
      <c r="L14" s="38">
        <f>VLOOKUP($A14,'[1]credit ethnic graded seats'!$A:$P,HLOOKUP(L$4,'[1]credit ethnic graded seats'!$1:$2,2,FALSE),FALSE)</f>
        <v>4158</v>
      </c>
      <c r="M14" s="36">
        <f>VLOOKUP($A14,'[1]credit ethnic graded seats'!$A:$P,HLOOKUP(M$4,'[1]credit ethnic graded seats'!$1:$2,2,FALSE),FALSE)</f>
        <v>4125</v>
      </c>
      <c r="N14" s="40">
        <f>VLOOKUP($A14,'[1]credit ethnic graded seats'!$A:$P,HLOOKUP(N$4,'[1]credit ethnic graded seats'!$1:$2,2,FALSE),FALSE)</f>
        <v>0</v>
      </c>
      <c r="O14" s="38">
        <f>VLOOKUP($A14,'[1]credit ethnic graded seats'!$A:$P,HLOOKUP(O$4,'[1]credit ethnic graded seats'!$1:$2,2,FALSE),FALSE)</f>
        <v>3789</v>
      </c>
      <c r="P14" s="39">
        <f>VLOOKUP($A14,'[1]credit ethnic graded seats'!$A:$P,HLOOKUP(P$4,'[1]credit ethnic graded seats'!$1:$2,2,FALSE),FALSE)</f>
        <v>4159</v>
      </c>
      <c r="Q14" s="77">
        <f>SUM(Q5:Q13)</f>
        <v>213</v>
      </c>
      <c r="R14" s="77">
        <f t="shared" ref="R14:U14" si="0">SUM(R5:R13)</f>
        <v>3781</v>
      </c>
      <c r="S14" s="77">
        <f t="shared" si="0"/>
        <v>3463</v>
      </c>
      <c r="T14" s="78">
        <f t="shared" si="0"/>
        <v>0</v>
      </c>
      <c r="U14" s="78">
        <f t="shared" si="0"/>
        <v>3457</v>
      </c>
      <c r="V14" s="79">
        <v>3478</v>
      </c>
    </row>
    <row r="15" spans="1:22" ht="15.75" thickBot="1" x14ac:dyDescent="0.3">
      <c r="A15" s="22" t="s">
        <v>5</v>
      </c>
      <c r="B15" s="90">
        <v>6576</v>
      </c>
      <c r="C15" s="91"/>
      <c r="D15" s="92"/>
      <c r="E15" s="100">
        <v>7552</v>
      </c>
      <c r="F15" s="91"/>
      <c r="G15" s="93"/>
      <c r="H15" s="90">
        <v>7119</v>
      </c>
      <c r="I15" s="91"/>
      <c r="J15" s="92"/>
      <c r="K15" s="100">
        <v>6510</v>
      </c>
      <c r="L15" s="91"/>
      <c r="M15" s="93"/>
      <c r="N15" s="90">
        <v>6120</v>
      </c>
      <c r="O15" s="91"/>
      <c r="P15" s="93"/>
      <c r="Q15" s="90">
        <v>5571</v>
      </c>
      <c r="R15" s="91"/>
      <c r="S15" s="92"/>
      <c r="T15" s="90">
        <v>5312</v>
      </c>
      <c r="U15" s="91"/>
      <c r="V15" s="93"/>
    </row>
    <row r="16" spans="1:22" ht="15.75" thickBot="1" x14ac:dyDescent="0.3">
      <c r="A16" s="1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2" ht="15.75" x14ac:dyDescent="0.25">
      <c r="A17" s="97" t="s">
        <v>31</v>
      </c>
      <c r="B17" s="86" t="s">
        <v>32</v>
      </c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</row>
    <row r="18" spans="1:22" ht="16.5" thickBot="1" x14ac:dyDescent="0.3">
      <c r="A18" s="98"/>
      <c r="B18" s="88" t="str">
        <f>B2</f>
        <v>MSJC Online Total by Ethnic Groups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</row>
    <row r="19" spans="1:22" ht="15.75" thickBot="1" x14ac:dyDescent="0.3">
      <c r="A19" s="99"/>
      <c r="B19" s="83" t="s">
        <v>0</v>
      </c>
      <c r="C19" s="84"/>
      <c r="D19" s="85"/>
      <c r="E19" s="80" t="s">
        <v>1</v>
      </c>
      <c r="F19" s="81"/>
      <c r="G19" s="82"/>
      <c r="H19" s="83" t="s">
        <v>2</v>
      </c>
      <c r="I19" s="84"/>
      <c r="J19" s="85"/>
      <c r="K19" s="80" t="s">
        <v>3</v>
      </c>
      <c r="L19" s="81"/>
      <c r="M19" s="82"/>
      <c r="N19" s="83" t="s">
        <v>4</v>
      </c>
      <c r="O19" s="84"/>
      <c r="P19" s="85"/>
      <c r="Q19" s="80" t="s">
        <v>41</v>
      </c>
      <c r="R19" s="81"/>
      <c r="S19" s="82"/>
      <c r="T19" s="83" t="s">
        <v>42</v>
      </c>
      <c r="U19" s="84"/>
      <c r="V19" s="85"/>
    </row>
    <row r="20" spans="1:22" ht="15.75" thickBot="1" x14ac:dyDescent="0.3">
      <c r="A20" s="17" t="s">
        <v>38</v>
      </c>
      <c r="B20" s="41" t="s">
        <v>6</v>
      </c>
      <c r="C20" s="42" t="s">
        <v>7</v>
      </c>
      <c r="D20" s="43" t="s">
        <v>8</v>
      </c>
      <c r="E20" s="44" t="s">
        <v>9</v>
      </c>
      <c r="F20" s="45" t="s">
        <v>10</v>
      </c>
      <c r="G20" s="46" t="s">
        <v>11</v>
      </c>
      <c r="H20" s="41" t="s">
        <v>12</v>
      </c>
      <c r="I20" s="42" t="s">
        <v>13</v>
      </c>
      <c r="J20" s="43" t="s">
        <v>14</v>
      </c>
      <c r="K20" s="44" t="s">
        <v>15</v>
      </c>
      <c r="L20" s="45" t="s">
        <v>16</v>
      </c>
      <c r="M20" s="46" t="s">
        <v>17</v>
      </c>
      <c r="N20" s="41" t="s">
        <v>18</v>
      </c>
      <c r="O20" s="42" t="s">
        <v>19</v>
      </c>
      <c r="P20" s="43" t="s">
        <v>20</v>
      </c>
      <c r="Q20" s="44" t="s">
        <v>43</v>
      </c>
      <c r="R20" s="45" t="s">
        <v>44</v>
      </c>
      <c r="S20" s="46" t="s">
        <v>45</v>
      </c>
      <c r="T20" s="41" t="s">
        <v>46</v>
      </c>
      <c r="U20" s="42" t="s">
        <v>47</v>
      </c>
      <c r="V20" s="52" t="s">
        <v>48</v>
      </c>
    </row>
    <row r="21" spans="1:22" x14ac:dyDescent="0.25">
      <c r="A21" s="56" t="s">
        <v>21</v>
      </c>
      <c r="B21" s="53">
        <f t="shared" ref="B21:M21" si="1">IFERROR((B5/B$14),"")</f>
        <v>0.550321199143469</v>
      </c>
      <c r="C21" s="57">
        <f t="shared" si="1"/>
        <v>0.56126237623762376</v>
      </c>
      <c r="D21" s="63">
        <f t="shared" si="1"/>
        <v>0.54033360678151487</v>
      </c>
      <c r="E21" s="53">
        <f t="shared" si="1"/>
        <v>0.52173913043478259</v>
      </c>
      <c r="F21" s="57">
        <f t="shared" si="1"/>
        <v>0.51783893985728846</v>
      </c>
      <c r="G21" s="54">
        <f t="shared" si="1"/>
        <v>0.52501795547043328</v>
      </c>
      <c r="H21" s="66">
        <f t="shared" si="1"/>
        <v>0.47927199191102121</v>
      </c>
      <c r="I21" s="57">
        <f t="shared" si="1"/>
        <v>0.52461289577074188</v>
      </c>
      <c r="J21" s="63">
        <f t="shared" si="1"/>
        <v>0.4967437682461262</v>
      </c>
      <c r="K21" s="53">
        <f t="shared" si="1"/>
        <v>0.45945945945945948</v>
      </c>
      <c r="L21" s="57">
        <f t="shared" si="1"/>
        <v>0.49951899951899953</v>
      </c>
      <c r="M21" s="54">
        <f t="shared" si="1"/>
        <v>0.4812121212121212</v>
      </c>
      <c r="N21" s="66" t="str">
        <f>IFERROR((N5/N$14),"")</f>
        <v/>
      </c>
      <c r="O21" s="57">
        <f t="shared" ref="O21:P21" si="2">IFERROR((O5/O$14),"")</f>
        <v>0.47505938242280282</v>
      </c>
      <c r="P21" s="69">
        <f t="shared" si="2"/>
        <v>0.45900456840586679</v>
      </c>
      <c r="Q21" s="53">
        <v>0.43659999999999999</v>
      </c>
      <c r="R21" s="57">
        <v>0.44879999999999998</v>
      </c>
      <c r="S21" s="13">
        <v>0.43530000000000002</v>
      </c>
      <c r="T21" s="53"/>
      <c r="U21" s="57">
        <v>0.42</v>
      </c>
      <c r="V21" s="13">
        <v>0.4158</v>
      </c>
    </row>
    <row r="22" spans="1:22" x14ac:dyDescent="0.25">
      <c r="A22" s="18" t="s">
        <v>22</v>
      </c>
      <c r="B22" s="62">
        <f t="shared" ref="B22:N22" si="3">IFERROR((B6/B$14),"")</f>
        <v>0.2158458244111349</v>
      </c>
      <c r="C22" s="58">
        <f t="shared" si="3"/>
        <v>0.20049504950495051</v>
      </c>
      <c r="D22" s="64">
        <f t="shared" si="3"/>
        <v>0.21957888980038281</v>
      </c>
      <c r="E22" s="62">
        <f t="shared" si="3"/>
        <v>0.22757540148844496</v>
      </c>
      <c r="F22" s="58">
        <f t="shared" si="3"/>
        <v>0.2392966360856269</v>
      </c>
      <c r="G22" s="55">
        <f t="shared" si="3"/>
        <v>0.22073258319367967</v>
      </c>
      <c r="H22" s="67">
        <f t="shared" si="3"/>
        <v>0.24570273003033366</v>
      </c>
      <c r="I22" s="58">
        <f t="shared" si="3"/>
        <v>0.22902703951929743</v>
      </c>
      <c r="J22" s="64">
        <f t="shared" si="3"/>
        <v>0.239164608129351</v>
      </c>
      <c r="K22" s="62">
        <f t="shared" si="3"/>
        <v>0.26447876447876451</v>
      </c>
      <c r="L22" s="58">
        <f t="shared" si="3"/>
        <v>0.25348725348725348</v>
      </c>
      <c r="M22" s="55">
        <f t="shared" si="3"/>
        <v>0.26351515151515154</v>
      </c>
      <c r="N22" s="67" t="str">
        <f t="shared" si="3"/>
        <v/>
      </c>
      <c r="O22" s="58">
        <f t="shared" ref="O22:P22" si="4">IFERROR((O6/O$14),"")</f>
        <v>0.2913697545526524</v>
      </c>
      <c r="P22" s="64">
        <f t="shared" si="4"/>
        <v>0.30223611445058907</v>
      </c>
      <c r="Q22" s="62">
        <v>0.3286</v>
      </c>
      <c r="R22" s="58">
        <v>0.33810000000000001</v>
      </c>
      <c r="S22" s="55">
        <v>0.33800000000000002</v>
      </c>
      <c r="T22" s="62"/>
      <c r="U22" s="58">
        <v>0.35439999999999999</v>
      </c>
      <c r="V22" s="55">
        <v>0.36170000000000002</v>
      </c>
    </row>
    <row r="23" spans="1:22" x14ac:dyDescent="0.25">
      <c r="A23" s="18" t="s">
        <v>23</v>
      </c>
      <c r="B23" s="62">
        <f t="shared" ref="B23:N23" si="5">IFERROR((B7/B$14),"")</f>
        <v>6.8950749464668087E-2</v>
      </c>
      <c r="C23" s="58">
        <f t="shared" si="5"/>
        <v>7.1472772277227717E-2</v>
      </c>
      <c r="D23" s="64">
        <f t="shared" si="5"/>
        <v>6.8908941755537328E-2</v>
      </c>
      <c r="E23" s="62">
        <f t="shared" si="5"/>
        <v>7.0896983940462205E-2</v>
      </c>
      <c r="F23" s="58">
        <f t="shared" si="5"/>
        <v>7.3904179408766563E-2</v>
      </c>
      <c r="G23" s="55">
        <f t="shared" si="5"/>
        <v>7.3018913095523108E-2</v>
      </c>
      <c r="H23" s="67">
        <f t="shared" si="5"/>
        <v>8.8978766430738113E-2</v>
      </c>
      <c r="I23" s="58">
        <f t="shared" si="5"/>
        <v>7.3723133810954466E-2</v>
      </c>
      <c r="J23" s="64">
        <f t="shared" si="5"/>
        <v>8.4662025600718616E-2</v>
      </c>
      <c r="K23" s="62">
        <f t="shared" si="5"/>
        <v>9.6525096525096526E-2</v>
      </c>
      <c r="L23" s="58">
        <f t="shared" si="5"/>
        <v>7.5036075036075039E-2</v>
      </c>
      <c r="M23" s="55">
        <f t="shared" si="5"/>
        <v>7.5393939393939388E-2</v>
      </c>
      <c r="N23" s="67" t="str">
        <f t="shared" si="5"/>
        <v/>
      </c>
      <c r="O23" s="58">
        <f t="shared" ref="O23:P23" si="6">IFERROR((O7/O$14),"")</f>
        <v>7.4425969912905773E-2</v>
      </c>
      <c r="P23" s="64">
        <f t="shared" si="6"/>
        <v>8.1750420774224578E-2</v>
      </c>
      <c r="Q23" s="62">
        <v>7.9799999999999996E-2</v>
      </c>
      <c r="R23" s="58">
        <v>7.8299999999999995E-2</v>
      </c>
      <c r="S23" s="55">
        <v>8.0600000000000005E-2</v>
      </c>
      <c r="T23" s="62"/>
      <c r="U23" s="58">
        <v>8.2199999999999995E-2</v>
      </c>
      <c r="V23" s="55">
        <v>8.0199999999999994E-2</v>
      </c>
    </row>
    <row r="24" spans="1:22" x14ac:dyDescent="0.25">
      <c r="A24" s="18" t="s">
        <v>24</v>
      </c>
      <c r="B24" s="62">
        <f t="shared" ref="B24:N24" si="7">IFERROR((B8/B$14),"")</f>
        <v>2.7408993576017129E-2</v>
      </c>
      <c r="C24" s="58">
        <f t="shared" si="7"/>
        <v>2.2896039603960396E-2</v>
      </c>
      <c r="D24" s="64">
        <f t="shared" si="7"/>
        <v>2.5157232704402517E-2</v>
      </c>
      <c r="E24" s="62">
        <f t="shared" si="7"/>
        <v>3.1727379553466509E-2</v>
      </c>
      <c r="F24" s="58">
        <f t="shared" si="7"/>
        <v>2.2171253822629969E-2</v>
      </c>
      <c r="G24" s="55">
        <f t="shared" si="7"/>
        <v>2.441943978932248E-2</v>
      </c>
      <c r="H24" s="67">
        <f t="shared" si="7"/>
        <v>2.9322548028311426E-2</v>
      </c>
      <c r="I24" s="58">
        <f t="shared" si="7"/>
        <v>2.3110700254217704E-2</v>
      </c>
      <c r="J24" s="64">
        <f t="shared" si="7"/>
        <v>2.6948124859645182E-2</v>
      </c>
      <c r="K24" s="62">
        <f t="shared" si="7"/>
        <v>3.4749034749034749E-2</v>
      </c>
      <c r="L24" s="58">
        <f t="shared" si="7"/>
        <v>2.6695526695526696E-2</v>
      </c>
      <c r="M24" s="55">
        <f t="shared" si="7"/>
        <v>2.8848484848484849E-2</v>
      </c>
      <c r="N24" s="67" t="str">
        <f t="shared" si="7"/>
        <v/>
      </c>
      <c r="O24" s="58">
        <f t="shared" ref="O24:P24" si="8">IFERROR((O8/O$14),"")</f>
        <v>2.4544734758511481E-2</v>
      </c>
      <c r="P24" s="64">
        <f t="shared" si="8"/>
        <v>2.5967780716518393E-2</v>
      </c>
      <c r="Q24" s="62">
        <v>1.8800000000000001E-2</v>
      </c>
      <c r="R24" s="58">
        <v>2.0799999999999999E-2</v>
      </c>
      <c r="S24" s="55">
        <v>2.3E-2</v>
      </c>
      <c r="T24" s="62"/>
      <c r="U24" s="58">
        <v>2.0199999999999999E-2</v>
      </c>
      <c r="V24" s="55">
        <v>2.6700000000000002E-2</v>
      </c>
    </row>
    <row r="25" spans="1:22" x14ac:dyDescent="0.25">
      <c r="A25" s="18" t="s">
        <v>25</v>
      </c>
      <c r="B25" s="62">
        <f t="shared" ref="B25:N25" si="9">IFERROR((B9/B$14),"")</f>
        <v>8.5653104925053538E-3</v>
      </c>
      <c r="C25" s="58">
        <f t="shared" si="9"/>
        <v>8.0445544554455448E-3</v>
      </c>
      <c r="D25" s="64">
        <f t="shared" si="9"/>
        <v>1.2031719989062073E-2</v>
      </c>
      <c r="E25" s="62">
        <f t="shared" si="9"/>
        <v>6.2671367019193104E-3</v>
      </c>
      <c r="F25" s="58">
        <f t="shared" si="9"/>
        <v>1.27420998980632E-2</v>
      </c>
      <c r="G25" s="55">
        <f t="shared" si="9"/>
        <v>1.3646157529327269E-2</v>
      </c>
      <c r="H25" s="67">
        <f t="shared" si="9"/>
        <v>2.0222446916076844E-2</v>
      </c>
      <c r="I25" s="58">
        <f t="shared" si="9"/>
        <v>1.0168708111855789E-2</v>
      </c>
      <c r="J25" s="64">
        <f t="shared" si="9"/>
        <v>1.1003817651021782E-2</v>
      </c>
      <c r="K25" s="62">
        <f t="shared" si="9"/>
        <v>1.3513513513513514E-2</v>
      </c>
      <c r="L25" s="58">
        <f t="shared" si="9"/>
        <v>1.0582010582010581E-2</v>
      </c>
      <c r="M25" s="55">
        <f t="shared" si="9"/>
        <v>1.2121212121212121E-2</v>
      </c>
      <c r="N25" s="67" t="str">
        <f t="shared" si="9"/>
        <v/>
      </c>
      <c r="O25" s="58">
        <f t="shared" ref="O25:P25" si="10">IFERROR((O9/O$14),"")</f>
        <v>7.91765637371338E-3</v>
      </c>
      <c r="P25" s="64">
        <f t="shared" si="10"/>
        <v>8.8963693195479674E-3</v>
      </c>
      <c r="Q25" s="62">
        <v>4.7000000000000002E-3</v>
      </c>
      <c r="R25" s="58">
        <v>7.9000000000000008E-3</v>
      </c>
      <c r="S25" s="55">
        <v>7.4999999999999997E-3</v>
      </c>
      <c r="T25" s="62"/>
      <c r="U25" s="58">
        <v>4.5999999999999999E-3</v>
      </c>
      <c r="V25" s="55">
        <v>4.8999999999999998E-3</v>
      </c>
    </row>
    <row r="26" spans="1:22" x14ac:dyDescent="0.25">
      <c r="A26" s="18" t="s">
        <v>26</v>
      </c>
      <c r="B26" s="62">
        <f t="shared" ref="B26:N26" si="11">IFERROR((B10/B$14),"")</f>
        <v>3.2548179871520345E-2</v>
      </c>
      <c r="C26" s="58">
        <f t="shared" si="11"/>
        <v>3.6819306930693067E-2</v>
      </c>
      <c r="D26" s="64">
        <f t="shared" si="11"/>
        <v>3.5274815422477443E-2</v>
      </c>
      <c r="E26" s="62">
        <f t="shared" si="11"/>
        <v>3.9561300430865649E-2</v>
      </c>
      <c r="F26" s="58">
        <f t="shared" si="11"/>
        <v>3.1855249745158E-2</v>
      </c>
      <c r="G26" s="55">
        <f t="shared" si="11"/>
        <v>4.069906631553747E-2</v>
      </c>
      <c r="H26" s="67">
        <f t="shared" si="11"/>
        <v>3.4378159757330634E-2</v>
      </c>
      <c r="I26" s="58">
        <f t="shared" si="11"/>
        <v>3.3741622371157846E-2</v>
      </c>
      <c r="J26" s="64">
        <f t="shared" si="11"/>
        <v>3.3909723781720191E-2</v>
      </c>
      <c r="K26" s="62">
        <f t="shared" si="11"/>
        <v>2.1235521235521235E-2</v>
      </c>
      <c r="L26" s="58">
        <f t="shared" si="11"/>
        <v>3.0543530543530543E-2</v>
      </c>
      <c r="M26" s="55">
        <f t="shared" si="11"/>
        <v>3.490909090909091E-2</v>
      </c>
      <c r="N26" s="67" t="str">
        <f t="shared" si="11"/>
        <v/>
      </c>
      <c r="O26" s="58">
        <f t="shared" ref="O26:P26" si="12">IFERROR((O10/O$14),"")</f>
        <v>3.0614937978358406E-2</v>
      </c>
      <c r="P26" s="64">
        <f t="shared" si="12"/>
        <v>2.8853089685020438E-2</v>
      </c>
      <c r="Q26" s="62">
        <v>3.7600000000000001E-2</v>
      </c>
      <c r="R26" s="58">
        <v>2.69E-2</v>
      </c>
      <c r="S26" s="55">
        <v>3.1399999999999997E-2</v>
      </c>
      <c r="T26" s="62"/>
      <c r="U26" s="58">
        <v>3.1E-2</v>
      </c>
      <c r="V26" s="55">
        <v>3.1899999999999998E-2</v>
      </c>
    </row>
    <row r="27" spans="1:22" x14ac:dyDescent="0.25">
      <c r="A27" s="18" t="s">
        <v>27</v>
      </c>
      <c r="B27" s="62">
        <f t="shared" ref="B27:N27" si="13">IFERROR((B11/B$14),"")</f>
        <v>6.4239828693790149E-3</v>
      </c>
      <c r="C27" s="58">
        <f t="shared" si="13"/>
        <v>5.569306930693069E-3</v>
      </c>
      <c r="D27" s="64">
        <f t="shared" si="13"/>
        <v>7.1096527208094062E-3</v>
      </c>
      <c r="E27" s="62">
        <f t="shared" si="13"/>
        <v>5.8754406580493537E-3</v>
      </c>
      <c r="F27" s="58">
        <f t="shared" si="13"/>
        <v>7.9001019367991848E-3</v>
      </c>
      <c r="G27" s="55">
        <f t="shared" si="13"/>
        <v>6.2245630835527895E-3</v>
      </c>
      <c r="H27" s="67">
        <f t="shared" si="13"/>
        <v>2.0222446916076846E-3</v>
      </c>
      <c r="I27" s="58">
        <f t="shared" si="13"/>
        <v>7.3954240813496651E-3</v>
      </c>
      <c r="J27" s="64">
        <f t="shared" si="13"/>
        <v>8.3090051650572642E-3</v>
      </c>
      <c r="K27" s="62">
        <f t="shared" si="13"/>
        <v>7.7220077220077222E-3</v>
      </c>
      <c r="L27" s="58">
        <f t="shared" si="13"/>
        <v>6.7340067340067337E-3</v>
      </c>
      <c r="M27" s="55">
        <f t="shared" si="13"/>
        <v>6.3030303030303034E-3</v>
      </c>
      <c r="N27" s="67" t="str">
        <f t="shared" si="13"/>
        <v/>
      </c>
      <c r="O27" s="58">
        <f t="shared" ref="O27:P27" si="14">IFERROR((O11/O$14),"")</f>
        <v>5.2784375824755873E-3</v>
      </c>
      <c r="P27" s="64">
        <f t="shared" si="14"/>
        <v>6.4919451791295981E-3</v>
      </c>
      <c r="Q27" s="62">
        <v>9.4000000000000004E-3</v>
      </c>
      <c r="R27" s="58">
        <v>5.0000000000000001E-3</v>
      </c>
      <c r="S27" s="55">
        <v>5.4999999999999997E-3</v>
      </c>
      <c r="T27" s="62"/>
      <c r="U27" s="58">
        <v>5.7999999999999996E-3</v>
      </c>
      <c r="V27" s="55">
        <v>5.1999999999999998E-3</v>
      </c>
    </row>
    <row r="28" spans="1:22" x14ac:dyDescent="0.25">
      <c r="A28" s="18" t="s">
        <v>28</v>
      </c>
      <c r="B28" s="62">
        <f t="shared" ref="B28:N28" si="15">IFERROR((B12/B$14),"")</f>
        <v>1.5845824411134905E-2</v>
      </c>
      <c r="C28" s="58">
        <f t="shared" si="15"/>
        <v>1.9492574257425743E-2</v>
      </c>
      <c r="D28" s="64">
        <f t="shared" si="15"/>
        <v>1.6406890894175553E-2</v>
      </c>
      <c r="E28" s="62">
        <f t="shared" si="15"/>
        <v>1.4101057579318449E-2</v>
      </c>
      <c r="F28" s="58">
        <f t="shared" si="15"/>
        <v>1.6564729867482163E-2</v>
      </c>
      <c r="G28" s="55">
        <f t="shared" si="15"/>
        <v>1.220971989466124E-2</v>
      </c>
      <c r="H28" s="67">
        <f t="shared" si="15"/>
        <v>1.2133468149646108E-2</v>
      </c>
      <c r="I28" s="58">
        <f t="shared" si="15"/>
        <v>1.7101918188121099E-2</v>
      </c>
      <c r="J28" s="64">
        <f t="shared" si="15"/>
        <v>2.2007635302043565E-2</v>
      </c>
      <c r="K28" s="62">
        <f t="shared" si="15"/>
        <v>3.0888030888030889E-2</v>
      </c>
      <c r="L28" s="58">
        <f t="shared" si="15"/>
        <v>3.3670033670033669E-2</v>
      </c>
      <c r="M28" s="55">
        <f t="shared" si="15"/>
        <v>3.5878787878787878E-2</v>
      </c>
      <c r="N28" s="67" t="str">
        <f t="shared" si="15"/>
        <v/>
      </c>
      <c r="O28" s="58">
        <f t="shared" ref="O28:P28" si="16">IFERROR((O12/O$14),"")</f>
        <v>3.9588281868566902E-2</v>
      </c>
      <c r="P28" s="64">
        <f t="shared" si="16"/>
        <v>4.5684058667949029E-2</v>
      </c>
      <c r="Q28" s="62">
        <v>4.6899999999999997E-2</v>
      </c>
      <c r="R28" s="58">
        <v>4.6100000000000002E-2</v>
      </c>
      <c r="S28" s="55">
        <v>5.21E-2</v>
      </c>
      <c r="T28" s="62"/>
      <c r="U28" s="58">
        <v>5.5800000000000002E-2</v>
      </c>
      <c r="V28" s="55">
        <v>5.4899999999999997E-2</v>
      </c>
    </row>
    <row r="29" spans="1:22" ht="15.75" thickBot="1" x14ac:dyDescent="0.3">
      <c r="A29" s="19" t="s">
        <v>29</v>
      </c>
      <c r="B29" s="60">
        <f t="shared" ref="B29:N29" si="17">IFERROR((B13/B$14),"")</f>
        <v>7.408993576017131E-2</v>
      </c>
      <c r="C29" s="61">
        <f t="shared" si="17"/>
        <v>7.3948019801980194E-2</v>
      </c>
      <c r="D29" s="65">
        <f t="shared" si="17"/>
        <v>7.5198249931637956E-2</v>
      </c>
      <c r="E29" s="60">
        <f t="shared" si="17"/>
        <v>8.2256169212690952E-2</v>
      </c>
      <c r="F29" s="61">
        <f t="shared" si="17"/>
        <v>7.7726809378185518E-2</v>
      </c>
      <c r="G29" s="59">
        <f t="shared" si="17"/>
        <v>8.4031601627962652E-2</v>
      </c>
      <c r="H29" s="68">
        <f t="shared" si="17"/>
        <v>8.7967644084934279E-2</v>
      </c>
      <c r="I29" s="61">
        <f t="shared" si="17"/>
        <v>8.1118557892304141E-2</v>
      </c>
      <c r="J29" s="65">
        <f t="shared" si="17"/>
        <v>7.7251291264316194E-2</v>
      </c>
      <c r="K29" s="60">
        <f t="shared" si="17"/>
        <v>7.1428571428571425E-2</v>
      </c>
      <c r="L29" s="61">
        <f t="shared" si="17"/>
        <v>6.3732563732563738E-2</v>
      </c>
      <c r="M29" s="59">
        <f t="shared" si="17"/>
        <v>6.1818181818181821E-2</v>
      </c>
      <c r="N29" s="68" t="str">
        <f t="shared" si="17"/>
        <v/>
      </c>
      <c r="O29" s="61">
        <f t="shared" ref="O29:P29" si="18">IFERROR((O13/O$14),"")</f>
        <v>5.1200844550013197E-2</v>
      </c>
      <c r="P29" s="65">
        <f t="shared" si="18"/>
        <v>4.1115652801154125E-2</v>
      </c>
      <c r="Q29" s="60">
        <v>3.7600000000000001E-2</v>
      </c>
      <c r="R29" s="61">
        <v>2.8000000000000001E-2</v>
      </c>
      <c r="S29" s="59">
        <v>2.6800000000000001E-2</v>
      </c>
      <c r="T29" s="60"/>
      <c r="U29" s="61">
        <v>2.5999999999999999E-2</v>
      </c>
      <c r="V29" s="59">
        <v>1.8700000000000001E-2</v>
      </c>
    </row>
    <row r="30" spans="1:22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22" ht="15.75" x14ac:dyDescent="0.25">
      <c r="A31" s="97" t="s">
        <v>33</v>
      </c>
      <c r="B31" s="86" t="s">
        <v>33</v>
      </c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7"/>
      <c r="R31" s="87"/>
      <c r="S31" s="87"/>
      <c r="T31" s="87"/>
      <c r="U31" s="87"/>
      <c r="V31" s="87"/>
    </row>
    <row r="32" spans="1:22" ht="16.5" thickBot="1" x14ac:dyDescent="0.3">
      <c r="A32" s="98"/>
      <c r="B32" s="88" t="str">
        <f>B18</f>
        <v>MSJC Online Total by Ethnic Groups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</row>
    <row r="33" spans="1:22" ht="15.75" thickBot="1" x14ac:dyDescent="0.3">
      <c r="A33" s="99"/>
      <c r="B33" s="83" t="s">
        <v>0</v>
      </c>
      <c r="C33" s="84"/>
      <c r="D33" s="85"/>
      <c r="E33" s="80" t="s">
        <v>1</v>
      </c>
      <c r="F33" s="81"/>
      <c r="G33" s="82"/>
      <c r="H33" s="83" t="s">
        <v>2</v>
      </c>
      <c r="I33" s="84"/>
      <c r="J33" s="85"/>
      <c r="K33" s="80" t="s">
        <v>3</v>
      </c>
      <c r="L33" s="81"/>
      <c r="M33" s="82"/>
      <c r="N33" s="83" t="s">
        <v>4</v>
      </c>
      <c r="O33" s="84"/>
      <c r="P33" s="85"/>
      <c r="Q33" s="80" t="s">
        <v>41</v>
      </c>
      <c r="R33" s="81"/>
      <c r="S33" s="82"/>
      <c r="T33" s="83" t="s">
        <v>42</v>
      </c>
      <c r="U33" s="84"/>
      <c r="V33" s="85"/>
    </row>
    <row r="34" spans="1:22" ht="15.75" thickBot="1" x14ac:dyDescent="0.3">
      <c r="A34" s="72" t="s">
        <v>37</v>
      </c>
      <c r="B34" s="41" t="s">
        <v>6</v>
      </c>
      <c r="C34" s="42" t="s">
        <v>7</v>
      </c>
      <c r="D34" s="43" t="s">
        <v>8</v>
      </c>
      <c r="E34" s="44" t="s">
        <v>9</v>
      </c>
      <c r="F34" s="45" t="s">
        <v>10</v>
      </c>
      <c r="G34" s="46" t="s">
        <v>11</v>
      </c>
      <c r="H34" s="41" t="s">
        <v>12</v>
      </c>
      <c r="I34" s="42" t="s">
        <v>13</v>
      </c>
      <c r="J34" s="43" t="s">
        <v>14</v>
      </c>
      <c r="K34" s="44" t="s">
        <v>15</v>
      </c>
      <c r="L34" s="45" t="s">
        <v>16</v>
      </c>
      <c r="M34" s="46" t="s">
        <v>17</v>
      </c>
      <c r="N34" s="41" t="s">
        <v>18</v>
      </c>
      <c r="O34" s="42" t="s">
        <v>19</v>
      </c>
      <c r="P34" s="43" t="s">
        <v>20</v>
      </c>
      <c r="Q34" s="44" t="s">
        <v>43</v>
      </c>
      <c r="R34" s="45" t="s">
        <v>44</v>
      </c>
      <c r="S34" s="46" t="s">
        <v>45</v>
      </c>
      <c r="T34" s="41" t="s">
        <v>46</v>
      </c>
      <c r="U34" s="42" t="s">
        <v>47</v>
      </c>
      <c r="V34" s="52" t="s">
        <v>48</v>
      </c>
    </row>
    <row r="35" spans="1:22" x14ac:dyDescent="0.25">
      <c r="A35" s="56" t="s">
        <v>21</v>
      </c>
      <c r="B35" s="74">
        <v>0.74</v>
      </c>
      <c r="C35" s="74">
        <v>0.62</v>
      </c>
      <c r="D35" s="74">
        <v>0.65</v>
      </c>
      <c r="E35" s="74">
        <v>0.8</v>
      </c>
      <c r="F35" s="74">
        <v>0.66</v>
      </c>
      <c r="G35" s="74">
        <v>0.68</v>
      </c>
      <c r="H35" s="74">
        <v>0.76</v>
      </c>
      <c r="I35" s="74">
        <v>0.66</v>
      </c>
      <c r="J35" s="74">
        <v>0.65</v>
      </c>
      <c r="K35" s="74">
        <v>0.81</v>
      </c>
      <c r="L35" s="74">
        <v>0.68</v>
      </c>
      <c r="M35" s="74">
        <v>0.67</v>
      </c>
      <c r="N35" s="74"/>
      <c r="O35" s="74">
        <v>0.68</v>
      </c>
      <c r="P35" s="74">
        <v>0.65</v>
      </c>
      <c r="Q35" s="74">
        <v>0.75</v>
      </c>
      <c r="R35" s="74">
        <v>0.67</v>
      </c>
      <c r="S35" s="12">
        <v>0.71</v>
      </c>
      <c r="T35" s="11"/>
      <c r="U35" s="11">
        <v>0.68</v>
      </c>
      <c r="V35" s="7">
        <v>0.69</v>
      </c>
    </row>
    <row r="36" spans="1:22" x14ac:dyDescent="0.25">
      <c r="A36" s="18" t="s">
        <v>22</v>
      </c>
      <c r="B36" s="74">
        <v>0.68</v>
      </c>
      <c r="C36" s="74">
        <v>0.54</v>
      </c>
      <c r="D36" s="74">
        <v>0.55000000000000004</v>
      </c>
      <c r="E36" s="74">
        <v>0.69</v>
      </c>
      <c r="F36" s="74">
        <v>0.56999999999999995</v>
      </c>
      <c r="G36" s="74">
        <v>0.6</v>
      </c>
      <c r="H36" s="74">
        <v>0.67</v>
      </c>
      <c r="I36" s="74">
        <v>0.6</v>
      </c>
      <c r="J36" s="74">
        <v>0.57999999999999996</v>
      </c>
      <c r="K36" s="74">
        <v>0.78</v>
      </c>
      <c r="L36" s="74">
        <v>0.61</v>
      </c>
      <c r="M36" s="74">
        <v>0.63</v>
      </c>
      <c r="N36" s="74"/>
      <c r="O36" s="74">
        <v>0.63</v>
      </c>
      <c r="P36" s="74">
        <v>0.59</v>
      </c>
      <c r="Q36" s="74">
        <v>0.63</v>
      </c>
      <c r="R36" s="74">
        <v>0.6</v>
      </c>
      <c r="S36" s="70">
        <v>0.62</v>
      </c>
      <c r="T36" s="10"/>
      <c r="U36" s="10">
        <v>0.61</v>
      </c>
      <c r="V36" s="14">
        <v>0.62</v>
      </c>
    </row>
    <row r="37" spans="1:22" x14ac:dyDescent="0.25">
      <c r="A37" s="18" t="s">
        <v>23</v>
      </c>
      <c r="B37" s="74">
        <v>0.52</v>
      </c>
      <c r="C37" s="74">
        <v>0.43</v>
      </c>
      <c r="D37" s="74">
        <v>0.43</v>
      </c>
      <c r="E37" s="74">
        <v>0.62</v>
      </c>
      <c r="F37" s="74">
        <v>0.44</v>
      </c>
      <c r="G37" s="74">
        <v>0.42</v>
      </c>
      <c r="H37" s="74">
        <v>0.74</v>
      </c>
      <c r="I37" s="74">
        <v>0.52</v>
      </c>
      <c r="J37" s="74">
        <v>0.45</v>
      </c>
      <c r="K37" s="74">
        <v>0.69</v>
      </c>
      <c r="L37" s="74">
        <v>0.5</v>
      </c>
      <c r="M37" s="74">
        <v>0.5</v>
      </c>
      <c r="N37" s="74"/>
      <c r="O37" s="74">
        <v>0.48</v>
      </c>
      <c r="P37" s="74">
        <v>0.43</v>
      </c>
      <c r="Q37" s="74">
        <v>0.53</v>
      </c>
      <c r="R37" s="74">
        <v>0.46</v>
      </c>
      <c r="S37" s="70">
        <v>0.51</v>
      </c>
      <c r="T37" s="10"/>
      <c r="U37" s="10">
        <v>0.5</v>
      </c>
      <c r="V37" s="14">
        <v>0.47</v>
      </c>
    </row>
    <row r="38" spans="1:22" x14ac:dyDescent="0.25">
      <c r="A38" s="18" t="s">
        <v>24</v>
      </c>
      <c r="B38" s="74">
        <v>0.83</v>
      </c>
      <c r="C38" s="74">
        <v>0.69</v>
      </c>
      <c r="D38" s="74">
        <v>0.68</v>
      </c>
      <c r="E38" s="74">
        <v>0.81</v>
      </c>
      <c r="F38" s="74">
        <v>0.72</v>
      </c>
      <c r="G38" s="74">
        <v>0.7</v>
      </c>
      <c r="H38" s="74">
        <v>0.82</v>
      </c>
      <c r="I38" s="74">
        <v>0.73</v>
      </c>
      <c r="J38" s="74">
        <v>0.64</v>
      </c>
      <c r="K38" s="74">
        <v>0.91</v>
      </c>
      <c r="L38" s="74">
        <v>0.74</v>
      </c>
      <c r="M38" s="74">
        <v>0.8</v>
      </c>
      <c r="N38" s="74"/>
      <c r="O38" s="74">
        <v>0.71</v>
      </c>
      <c r="P38" s="74">
        <v>0.68</v>
      </c>
      <c r="Q38" s="74">
        <v>1</v>
      </c>
      <c r="R38" s="74">
        <v>0.75</v>
      </c>
      <c r="S38" s="70">
        <v>0.77</v>
      </c>
      <c r="T38" s="10"/>
      <c r="U38" s="10">
        <v>0.69</v>
      </c>
      <c r="V38" s="14">
        <v>0.74</v>
      </c>
    </row>
    <row r="39" spans="1:22" x14ac:dyDescent="0.25">
      <c r="A39" s="18" t="s">
        <v>25</v>
      </c>
      <c r="B39" s="74">
        <v>0.42</v>
      </c>
      <c r="C39" s="74">
        <v>0.61</v>
      </c>
      <c r="D39" s="74">
        <v>0.61</v>
      </c>
      <c r="E39" s="74">
        <v>0.74</v>
      </c>
      <c r="F39" s="74">
        <v>0.67</v>
      </c>
      <c r="G39" s="74">
        <v>0.63</v>
      </c>
      <c r="H39" s="74">
        <v>0.74</v>
      </c>
      <c r="I39" s="74">
        <v>0.57999999999999996</v>
      </c>
      <c r="J39" s="74">
        <v>0.65</v>
      </c>
      <c r="K39" s="74">
        <v>0.78</v>
      </c>
      <c r="L39" s="74">
        <v>0.62</v>
      </c>
      <c r="M39" s="74">
        <v>0.59</v>
      </c>
      <c r="N39" s="74"/>
      <c r="O39" s="74">
        <v>0.57999999999999996</v>
      </c>
      <c r="P39" s="74">
        <v>0.43</v>
      </c>
      <c r="Q39" s="74">
        <v>1</v>
      </c>
      <c r="R39" s="74">
        <v>0.63</v>
      </c>
      <c r="S39" s="70">
        <v>0.53</v>
      </c>
      <c r="T39" s="10"/>
      <c r="U39" s="10">
        <v>0.68</v>
      </c>
      <c r="V39" s="14">
        <v>0.54</v>
      </c>
    </row>
    <row r="40" spans="1:22" x14ac:dyDescent="0.25">
      <c r="A40" s="18" t="s">
        <v>26</v>
      </c>
      <c r="B40" s="74">
        <v>0.73</v>
      </c>
      <c r="C40" s="74">
        <v>0.56000000000000005</v>
      </c>
      <c r="D40" s="74">
        <v>0.66</v>
      </c>
      <c r="E40" s="74">
        <v>0.79</v>
      </c>
      <c r="F40" s="74">
        <v>0.65</v>
      </c>
      <c r="G40" s="74">
        <v>0.71</v>
      </c>
      <c r="H40" s="74">
        <v>0.78</v>
      </c>
      <c r="I40" s="74">
        <v>0.61</v>
      </c>
      <c r="J40" s="74">
        <v>0.63</v>
      </c>
      <c r="K40" s="74">
        <v>0.92</v>
      </c>
      <c r="L40" s="74">
        <v>0.7</v>
      </c>
      <c r="M40" s="74">
        <v>0.61</v>
      </c>
      <c r="N40" s="74"/>
      <c r="O40" s="74">
        <v>0.61</v>
      </c>
      <c r="P40" s="74">
        <v>0.57999999999999996</v>
      </c>
      <c r="Q40" s="74">
        <v>0.75</v>
      </c>
      <c r="R40" s="74">
        <v>0.69</v>
      </c>
      <c r="S40" s="70">
        <v>0.69</v>
      </c>
      <c r="T40" s="10"/>
      <c r="U40" s="10">
        <v>0.68</v>
      </c>
      <c r="V40" s="14">
        <v>0.67</v>
      </c>
    </row>
    <row r="41" spans="1:22" x14ac:dyDescent="0.25">
      <c r="A41" s="18" t="s">
        <v>27</v>
      </c>
      <c r="B41" s="74">
        <v>0.76</v>
      </c>
      <c r="C41" s="74">
        <v>0.61</v>
      </c>
      <c r="D41" s="74">
        <v>0.71</v>
      </c>
      <c r="E41" s="74">
        <v>0.52</v>
      </c>
      <c r="F41" s="74">
        <v>0.43</v>
      </c>
      <c r="G41" s="74">
        <v>0.47</v>
      </c>
      <c r="H41" s="74">
        <v>1</v>
      </c>
      <c r="I41" s="74">
        <v>0.61</v>
      </c>
      <c r="J41" s="74">
        <v>0.53</v>
      </c>
      <c r="K41" s="74">
        <v>0.5</v>
      </c>
      <c r="L41" s="74">
        <v>0.56000000000000005</v>
      </c>
      <c r="M41" s="74">
        <v>0.55000000000000004</v>
      </c>
      <c r="N41" s="74"/>
      <c r="O41" s="74">
        <v>0.67</v>
      </c>
      <c r="P41" s="74">
        <v>0.6</v>
      </c>
      <c r="Q41" s="74">
        <v>0.5</v>
      </c>
      <c r="R41" s="74">
        <v>0.66</v>
      </c>
      <c r="S41" s="70">
        <v>0.71</v>
      </c>
      <c r="T41" s="10"/>
      <c r="U41" s="10">
        <v>0.7</v>
      </c>
      <c r="V41" s="14">
        <v>0.5</v>
      </c>
    </row>
    <row r="42" spans="1:22" x14ac:dyDescent="0.25">
      <c r="A42" s="18" t="s">
        <v>28</v>
      </c>
      <c r="B42" s="74">
        <v>0.64</v>
      </c>
      <c r="C42" s="74">
        <v>0.63</v>
      </c>
      <c r="D42" s="74">
        <v>0.51</v>
      </c>
      <c r="E42" s="74">
        <v>0.71</v>
      </c>
      <c r="F42" s="74">
        <v>0.46</v>
      </c>
      <c r="G42" s="74">
        <v>0.54</v>
      </c>
      <c r="H42" s="74">
        <v>0.56000000000000005</v>
      </c>
      <c r="I42" s="74">
        <v>0.53</v>
      </c>
      <c r="J42" s="74">
        <v>0.54</v>
      </c>
      <c r="K42" s="74">
        <v>0.61</v>
      </c>
      <c r="L42" s="74">
        <v>0.53</v>
      </c>
      <c r="M42" s="74">
        <v>0.52</v>
      </c>
      <c r="N42" s="74"/>
      <c r="O42" s="74">
        <v>0.61</v>
      </c>
      <c r="P42" s="74">
        <v>0.55000000000000004</v>
      </c>
      <c r="Q42" s="74">
        <v>0.8</v>
      </c>
      <c r="R42" s="74">
        <v>0.62</v>
      </c>
      <c r="S42" s="70">
        <v>0.56999999999999995</v>
      </c>
      <c r="T42" s="10"/>
      <c r="U42" s="10">
        <v>0.6</v>
      </c>
      <c r="V42" s="14">
        <v>0.6</v>
      </c>
    </row>
    <row r="43" spans="1:22" ht="15.75" thickBot="1" x14ac:dyDescent="0.3">
      <c r="A43" s="19" t="s">
        <v>29</v>
      </c>
      <c r="B43" s="76">
        <v>0.74</v>
      </c>
      <c r="C43" s="76">
        <v>0.62</v>
      </c>
      <c r="D43" s="76">
        <v>0.66</v>
      </c>
      <c r="E43" s="76">
        <v>0.74</v>
      </c>
      <c r="F43" s="76">
        <v>0.67</v>
      </c>
      <c r="G43" s="76">
        <v>0.67</v>
      </c>
      <c r="H43" s="76">
        <v>0.69</v>
      </c>
      <c r="I43" s="76">
        <v>0.71</v>
      </c>
      <c r="J43" s="76">
        <v>0.63</v>
      </c>
      <c r="K43" s="76">
        <v>0.66</v>
      </c>
      <c r="L43" s="76">
        <v>0.67</v>
      </c>
      <c r="M43" s="76">
        <v>0.65</v>
      </c>
      <c r="N43" s="76"/>
      <c r="O43" s="76">
        <v>0.69</v>
      </c>
      <c r="P43" s="76">
        <v>0.69</v>
      </c>
      <c r="Q43" s="76">
        <v>0.75</v>
      </c>
      <c r="R43" s="76">
        <v>0.68</v>
      </c>
      <c r="S43" s="71">
        <v>0.65</v>
      </c>
      <c r="T43" s="9"/>
      <c r="U43" s="9">
        <v>0.65</v>
      </c>
      <c r="V43" s="8">
        <v>0.7</v>
      </c>
    </row>
    <row r="44" spans="1:22" ht="15.75" thickBot="1" x14ac:dyDescent="0.3">
      <c r="A44" s="73" t="s">
        <v>34</v>
      </c>
      <c r="B44" s="75">
        <v>0.71</v>
      </c>
      <c r="C44" s="75">
        <v>0.59</v>
      </c>
      <c r="D44" s="75">
        <v>0.61</v>
      </c>
      <c r="E44" s="75">
        <v>0.75</v>
      </c>
      <c r="F44" s="75">
        <v>0.62</v>
      </c>
      <c r="G44" s="75">
        <v>0.63</v>
      </c>
      <c r="H44" s="75">
        <v>0.73</v>
      </c>
      <c r="I44" s="75">
        <v>0.64</v>
      </c>
      <c r="J44" s="75">
        <v>0.61</v>
      </c>
      <c r="K44" s="75">
        <v>0.78</v>
      </c>
      <c r="L44" s="75">
        <v>0.64</v>
      </c>
      <c r="M44" s="75">
        <v>0.64</v>
      </c>
      <c r="N44" s="75"/>
      <c r="O44" s="75">
        <v>0.65</v>
      </c>
      <c r="P44" s="75">
        <v>0.6</v>
      </c>
      <c r="Q44" s="75">
        <v>0.7</v>
      </c>
      <c r="R44" s="75">
        <v>0.63</v>
      </c>
      <c r="S44" s="75">
        <v>0.65</v>
      </c>
      <c r="T44" s="75"/>
      <c r="U44" s="75">
        <v>0.64</v>
      </c>
      <c r="V44" s="101">
        <v>0.64</v>
      </c>
    </row>
    <row r="45" spans="1:22" x14ac:dyDescent="0.25">
      <c r="A45" s="5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22" x14ac:dyDescent="0.25">
      <c r="A46" s="6" t="s">
        <v>39</v>
      </c>
    </row>
    <row r="52" spans="1:16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2"/>
      <c r="P52" s="1"/>
    </row>
    <row r="53" spans="1:16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25">
      <c r="A54" s="1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1"/>
    </row>
    <row r="56" spans="1:16" x14ac:dyDescent="0.25">
      <c r="A56" s="1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1"/>
    </row>
    <row r="57" spans="1:16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1"/>
    </row>
  </sheetData>
  <mergeCells count="37">
    <mergeCell ref="N15:P15"/>
    <mergeCell ref="N19:P19"/>
    <mergeCell ref="A31:A33"/>
    <mergeCell ref="B33:D33"/>
    <mergeCell ref="E33:G33"/>
    <mergeCell ref="H33:J33"/>
    <mergeCell ref="K33:M33"/>
    <mergeCell ref="N33:P33"/>
    <mergeCell ref="A1:A3"/>
    <mergeCell ref="K3:M3"/>
    <mergeCell ref="E3:G3"/>
    <mergeCell ref="H3:J3"/>
    <mergeCell ref="A17:A19"/>
    <mergeCell ref="B19:D19"/>
    <mergeCell ref="E19:G19"/>
    <mergeCell ref="H19:J19"/>
    <mergeCell ref="K19:M19"/>
    <mergeCell ref="B15:D15"/>
    <mergeCell ref="E15:G15"/>
    <mergeCell ref="H15:J15"/>
    <mergeCell ref="K15:M15"/>
    <mergeCell ref="Q33:S33"/>
    <mergeCell ref="T33:V33"/>
    <mergeCell ref="B1:V1"/>
    <mergeCell ref="B2:V2"/>
    <mergeCell ref="B17:V17"/>
    <mergeCell ref="B18:V18"/>
    <mergeCell ref="B31:V31"/>
    <mergeCell ref="B32:V32"/>
    <mergeCell ref="Q3:S3"/>
    <mergeCell ref="T3:V3"/>
    <mergeCell ref="Q15:S15"/>
    <mergeCell ref="T15:V15"/>
    <mergeCell ref="Q19:S19"/>
    <mergeCell ref="T19:V19"/>
    <mergeCell ref="B3:D3"/>
    <mergeCell ref="N3:P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8F9BEB5-2A2F-486A-9C4F-ED24AB709E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CC1BAC-9003-4465-8C2B-4C9E8D3B9F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480D22F-485C-417D-8806-CA918E765ED1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LIVE.online.ethnicity</dc:title>
  <dc:creator>nmesaris</dc:creator>
  <cp:lastModifiedBy>Wesley Klein</cp:lastModifiedBy>
  <dcterms:created xsi:type="dcterms:W3CDTF">2012-03-22T20:23:25Z</dcterms:created>
  <dcterms:modified xsi:type="dcterms:W3CDTF">2014-07-22T16:45:19Z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