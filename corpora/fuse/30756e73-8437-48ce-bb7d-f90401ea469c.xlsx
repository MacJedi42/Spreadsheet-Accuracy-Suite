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600" yWindow="120" windowWidth="14115" windowHeight="8670"/>
  </bookViews>
  <sheets>
    <sheet name="Summary" sheetId="1" r:id="rId1"/>
    <sheet name="ABC-CLIO" sheetId="2" r:id="rId2"/>
    <sheet name="Alexander Street" sheetId="3" r:id="rId3"/>
    <sheet name="ARTstor" sheetId="4" r:id="rId4"/>
    <sheet name="CIAO" sheetId="5" r:id="rId5"/>
    <sheet name="ClassificationWeb" sheetId="6" r:id="rId6"/>
    <sheet name="Cochrane" sheetId="7" r:id="rId7"/>
    <sheet name="CollegeSource" sheetId="8" r:id="rId8"/>
    <sheet name="Compendex(EI)" sheetId="9" r:id="rId9"/>
    <sheet name="CSA" sheetId="10" r:id="rId10"/>
    <sheet name="EBSCOhost" sheetId="11" r:id="rId11"/>
    <sheet name="Elsevier" sheetId="12" r:id="rId12"/>
    <sheet name="FirstSearch" sheetId="13" r:id="rId13"/>
    <sheet name="FSTA" sheetId="14" r:id="rId14"/>
    <sheet name="InfoTrac" sheetId="15" r:id="rId15"/>
    <sheet name="KCDL" sheetId="16" r:id="rId16"/>
    <sheet name="LexisNexis" sheetId="17" r:id="rId17"/>
    <sheet name="MathSciNet" sheetId="18" r:id="rId18"/>
    <sheet name="Mergent" sheetId="19" r:id="rId19"/>
    <sheet name="MetaPress" sheetId="20" r:id="rId20"/>
    <sheet name="MINABS" sheetId="21" r:id="rId21"/>
    <sheet name="MusicIndex" sheetId="22" r:id="rId22"/>
    <sheet name="netLibrary" sheetId="23" r:id="rId23"/>
    <sheet name="Newsbank" sheetId="24" r:id="rId24"/>
    <sheet name="OVID" sheetId="25" r:id="rId25"/>
    <sheet name="Oxford" sheetId="26" r:id="rId26"/>
    <sheet name="ProQuest" sheetId="27" r:id="rId27"/>
    <sheet name="ReferenceUSA" sheetId="28" r:id="rId28"/>
    <sheet name="RefWorks" sheetId="29" r:id="rId29"/>
    <sheet name="SciFinderScholar" sheetId="30" r:id="rId30"/>
    <sheet name="Turfgrass InfoCtr" sheetId="31" r:id="rId31"/>
    <sheet name="WebofScience" sheetId="32" r:id="rId32"/>
    <sheet name="WebSpirs" sheetId="33" r:id="rId33"/>
    <sheet name="WilsonWeb" sheetId="34" r:id="rId34"/>
  </sheets>
  <calcPr calcId="125725"/>
</workbook>
</file>

<file path=xl/calcChain.xml><?xml version="1.0" encoding="utf-8"?>
<calcChain xmlns="http://schemas.openxmlformats.org/spreadsheetml/2006/main">
  <c r="H6" i="1"/>
  <c r="H8"/>
  <c r="H11"/>
  <c r="H15"/>
  <c r="H16"/>
  <c r="H24"/>
  <c r="H25"/>
  <c r="H26"/>
  <c r="H29"/>
  <c r="H32"/>
  <c r="H33"/>
  <c r="H34"/>
  <c r="H35"/>
  <c r="H36"/>
  <c r="H37"/>
  <c r="H39"/>
  <c r="H40"/>
  <c r="H41"/>
  <c r="H42"/>
  <c r="H46"/>
  <c r="H48"/>
  <c r="H49"/>
  <c r="H52"/>
  <c r="H55"/>
  <c r="H57"/>
  <c r="H58"/>
  <c r="H59"/>
  <c r="H61"/>
  <c r="H62"/>
  <c r="H63"/>
  <c r="H64"/>
  <c r="H65"/>
  <c r="H66"/>
  <c r="H69"/>
  <c r="H73"/>
  <c r="H74"/>
  <c r="H78"/>
  <c r="H79"/>
  <c r="H80"/>
  <c r="H86"/>
  <c r="H87"/>
  <c r="H89"/>
  <c r="H91"/>
  <c r="H92"/>
  <c r="H97"/>
  <c r="H99"/>
  <c r="H100"/>
  <c r="H101"/>
  <c r="H102"/>
  <c r="H104"/>
  <c r="H106"/>
  <c r="H108"/>
  <c r="H110"/>
  <c r="H114"/>
  <c r="H115"/>
  <c r="N6" i="2"/>
  <c r="N7"/>
  <c r="P7"/>
  <c r="N12"/>
  <c r="N13"/>
  <c r="P13" s="1"/>
  <c r="N18"/>
  <c r="N19"/>
  <c r="K24"/>
  <c r="L24"/>
  <c r="N24" s="1"/>
  <c r="N25"/>
  <c r="O25"/>
  <c r="P25" s="1"/>
  <c r="N6" i="3"/>
  <c r="N7"/>
  <c r="P7"/>
  <c r="N6" i="4"/>
  <c r="N7"/>
  <c r="N8"/>
  <c r="N9"/>
  <c r="N10"/>
  <c r="N6" i="5"/>
  <c r="N7"/>
  <c r="N8"/>
  <c r="N9"/>
  <c r="N10"/>
  <c r="N15"/>
  <c r="P15"/>
  <c r="N6" i="6"/>
  <c r="P6"/>
  <c r="N8"/>
  <c r="P8"/>
  <c r="N9"/>
  <c r="N6" i="7"/>
  <c r="N7"/>
  <c r="P7"/>
  <c r="N8"/>
  <c r="P8"/>
  <c r="N6" i="8"/>
  <c r="P6"/>
  <c r="N8"/>
  <c r="N9"/>
  <c r="N6" i="9"/>
  <c r="N7"/>
  <c r="P7" s="1"/>
  <c r="B6" i="10"/>
  <c r="C6"/>
  <c r="D6"/>
  <c r="N6" s="1"/>
  <c r="P6" s="1"/>
  <c r="E6"/>
  <c r="F6"/>
  <c r="G6"/>
  <c r="H6"/>
  <c r="I6"/>
  <c r="J6"/>
  <c r="K6"/>
  <c r="L6"/>
  <c r="B11"/>
  <c r="C11"/>
  <c r="D11"/>
  <c r="E11"/>
  <c r="F11"/>
  <c r="G11"/>
  <c r="H11"/>
  <c r="I11"/>
  <c r="J11"/>
  <c r="K11"/>
  <c r="L11"/>
  <c r="N11"/>
  <c r="N16"/>
  <c r="B21"/>
  <c r="C21"/>
  <c r="D21"/>
  <c r="E21"/>
  <c r="F21"/>
  <c r="N21" s="1"/>
  <c r="G21"/>
  <c r="H21"/>
  <c r="I21"/>
  <c r="J21"/>
  <c r="K21"/>
  <c r="L21"/>
  <c r="B26"/>
  <c r="C26"/>
  <c r="D26"/>
  <c r="E26"/>
  <c r="F26"/>
  <c r="N26" s="1"/>
  <c r="G26"/>
  <c r="H26"/>
  <c r="I26"/>
  <c r="J26"/>
  <c r="K26"/>
  <c r="L26"/>
  <c r="B31"/>
  <c r="C31"/>
  <c r="D31"/>
  <c r="E31"/>
  <c r="F31"/>
  <c r="N31" s="1"/>
  <c r="G31"/>
  <c r="H31"/>
  <c r="I31"/>
  <c r="J31"/>
  <c r="K31"/>
  <c r="L31"/>
  <c r="N36"/>
  <c r="P36" s="1"/>
  <c r="N41"/>
  <c r="P41" s="1"/>
  <c r="N46"/>
  <c r="B51"/>
  <c r="C51"/>
  <c r="D51"/>
  <c r="E51"/>
  <c r="F51"/>
  <c r="G51"/>
  <c r="H51"/>
  <c r="I51"/>
  <c r="J51"/>
  <c r="K51"/>
  <c r="L51"/>
  <c r="N51"/>
  <c r="P51" s="1"/>
  <c r="B56"/>
  <c r="N56" s="1"/>
  <c r="C56"/>
  <c r="D56"/>
  <c r="E56"/>
  <c r="F56"/>
  <c r="G56"/>
  <c r="H56"/>
  <c r="I56"/>
  <c r="J56"/>
  <c r="K56"/>
  <c r="L56"/>
  <c r="B61"/>
  <c r="N61" s="1"/>
  <c r="P61" s="1"/>
  <c r="C61"/>
  <c r="D61"/>
  <c r="E61"/>
  <c r="F61"/>
  <c r="G61"/>
  <c r="H61"/>
  <c r="I61"/>
  <c r="J61"/>
  <c r="K61"/>
  <c r="L61"/>
  <c r="E66"/>
  <c r="N66"/>
  <c r="P66" s="1"/>
  <c r="E71"/>
  <c r="N71" s="1"/>
  <c r="B76"/>
  <c r="N76" s="1"/>
  <c r="P76" s="1"/>
  <c r="C76"/>
  <c r="D76"/>
  <c r="E76"/>
  <c r="F76"/>
  <c r="G76"/>
  <c r="H76"/>
  <c r="I76"/>
  <c r="J76"/>
  <c r="K76"/>
  <c r="L76"/>
  <c r="B81"/>
  <c r="C81"/>
  <c r="D81"/>
  <c r="E81"/>
  <c r="F81"/>
  <c r="G81"/>
  <c r="H81"/>
  <c r="I81"/>
  <c r="J81"/>
  <c r="K81"/>
  <c r="L81"/>
  <c r="N81"/>
  <c r="N86"/>
  <c r="P86"/>
  <c r="N91"/>
  <c r="E96"/>
  <c r="N96" s="1"/>
  <c r="P96" s="1"/>
  <c r="B101"/>
  <c r="C101"/>
  <c r="D101"/>
  <c r="E101"/>
  <c r="F101"/>
  <c r="G101"/>
  <c r="H101"/>
  <c r="I101"/>
  <c r="J101"/>
  <c r="K101"/>
  <c r="L101"/>
  <c r="N101"/>
  <c r="P101" s="1"/>
  <c r="N107"/>
  <c r="N113"/>
  <c r="P113"/>
  <c r="N118"/>
  <c r="N123"/>
  <c r="P123" s="1"/>
  <c r="B128"/>
  <c r="C128"/>
  <c r="D128"/>
  <c r="E128"/>
  <c r="F128"/>
  <c r="G128"/>
  <c r="H128"/>
  <c r="I128"/>
  <c r="J128"/>
  <c r="K128"/>
  <c r="L128"/>
  <c r="M128"/>
  <c r="N128"/>
  <c r="O128"/>
  <c r="P128" s="1"/>
  <c r="N6" i="11"/>
  <c r="N7"/>
  <c r="P7"/>
  <c r="N12"/>
  <c r="N13"/>
  <c r="N18"/>
  <c r="N19"/>
  <c r="P19" s="1"/>
  <c r="N24"/>
  <c r="N25"/>
  <c r="N30"/>
  <c r="N31"/>
  <c r="N36"/>
  <c r="N37"/>
  <c r="N42"/>
  <c r="N43"/>
  <c r="N48"/>
  <c r="N49"/>
  <c r="P49"/>
  <c r="N54"/>
  <c r="N55"/>
  <c r="N60"/>
  <c r="N61"/>
  <c r="N66"/>
  <c r="N67"/>
  <c r="N72"/>
  <c r="N73"/>
  <c r="N78"/>
  <c r="N79"/>
  <c r="N84"/>
  <c r="N85"/>
  <c r="N90"/>
  <c r="N91"/>
  <c r="P91" s="1"/>
  <c r="N96"/>
  <c r="N97"/>
  <c r="P97"/>
  <c r="B102"/>
  <c r="C102"/>
  <c r="D102"/>
  <c r="E102"/>
  <c r="F102"/>
  <c r="G102"/>
  <c r="H102"/>
  <c r="I102"/>
  <c r="J102"/>
  <c r="K102"/>
  <c r="L102"/>
  <c r="M102"/>
  <c r="N102" s="1"/>
  <c r="B103"/>
  <c r="C103"/>
  <c r="D103"/>
  <c r="E103"/>
  <c r="F103"/>
  <c r="G103"/>
  <c r="H103"/>
  <c r="I103"/>
  <c r="J103"/>
  <c r="K103"/>
  <c r="L103"/>
  <c r="M103"/>
  <c r="N103"/>
  <c r="P103" s="1"/>
  <c r="N104"/>
  <c r="O104"/>
  <c r="P104"/>
  <c r="N6" i="12"/>
  <c r="N7"/>
  <c r="P7" s="1"/>
  <c r="N10"/>
  <c r="P10" s="1"/>
  <c r="N6" i="13"/>
  <c r="N11"/>
  <c r="N16"/>
  <c r="N17"/>
  <c r="N19"/>
  <c r="N24"/>
  <c r="N25"/>
  <c r="N27"/>
  <c r="N32"/>
  <c r="N33"/>
  <c r="N35"/>
  <c r="N40"/>
  <c r="N45"/>
  <c r="N46"/>
  <c r="N48"/>
  <c r="N53"/>
  <c r="N54"/>
  <c r="N56"/>
  <c r="N61"/>
  <c r="N62"/>
  <c r="N64"/>
  <c r="N69"/>
  <c r="N70"/>
  <c r="N72"/>
  <c r="N77"/>
  <c r="N78"/>
  <c r="N80"/>
  <c r="N85"/>
  <c r="N86"/>
  <c r="N88"/>
  <c r="N93"/>
  <c r="N94"/>
  <c r="N96"/>
  <c r="N101"/>
  <c r="N102"/>
  <c r="P102" s="1"/>
  <c r="N104"/>
  <c r="N109"/>
  <c r="N110"/>
  <c r="N112"/>
  <c r="N118"/>
  <c r="N119"/>
  <c r="P119"/>
  <c r="N121"/>
  <c r="N126"/>
  <c r="N6" i="14"/>
  <c r="P6"/>
  <c r="N6" i="15"/>
  <c r="N7"/>
  <c r="P7" s="1"/>
  <c r="N8"/>
  <c r="N9"/>
  <c r="P9"/>
  <c r="N6" i="16"/>
  <c r="P6"/>
  <c r="N7"/>
  <c r="N6" i="17"/>
  <c r="P6" s="1"/>
  <c r="N7"/>
  <c r="P7" s="1"/>
  <c r="N10"/>
  <c r="P10" s="1"/>
  <c r="N11"/>
  <c r="O11"/>
  <c r="P11"/>
  <c r="N14"/>
  <c r="P14"/>
  <c r="N15"/>
  <c r="P15"/>
  <c r="N6" i="18"/>
  <c r="N7"/>
  <c r="P7" s="1"/>
  <c r="N6" i="19"/>
  <c r="N7"/>
  <c r="P7"/>
  <c r="N8"/>
  <c r="P8"/>
  <c r="N6" i="20"/>
  <c r="N6" i="21"/>
  <c r="N7" i="22"/>
  <c r="P7"/>
  <c r="N6" i="23"/>
  <c r="N7"/>
  <c r="N6" i="24"/>
  <c r="N7"/>
  <c r="N12"/>
  <c r="N13"/>
  <c r="N18"/>
  <c r="N19"/>
  <c r="N24"/>
  <c r="N25"/>
  <c r="N31"/>
  <c r="N6" i="25"/>
  <c r="N7"/>
  <c r="N8"/>
  <c r="N13"/>
  <c r="N14"/>
  <c r="N15"/>
  <c r="N20"/>
  <c r="N21"/>
  <c r="N22"/>
  <c r="N27"/>
  <c r="N28"/>
  <c r="N29"/>
  <c r="N34"/>
  <c r="N35"/>
  <c r="P35" s="1"/>
  <c r="N36"/>
  <c r="N42"/>
  <c r="N43"/>
  <c r="O43"/>
  <c r="P43" s="1"/>
  <c r="N44"/>
  <c r="N6" i="26"/>
  <c r="N7"/>
  <c r="P7" s="1"/>
  <c r="N8"/>
  <c r="N11"/>
  <c r="N12"/>
  <c r="P12" s="1"/>
  <c r="N13"/>
  <c r="N16"/>
  <c r="P16"/>
  <c r="N17"/>
  <c r="N18"/>
  <c r="N6" i="27"/>
  <c r="N11"/>
  <c r="P11" s="1"/>
  <c r="N16"/>
  <c r="N21"/>
  <c r="P21"/>
  <c r="N26"/>
  <c r="P26" s="1"/>
  <c r="N31"/>
  <c r="N36"/>
  <c r="P36"/>
  <c r="N41"/>
  <c r="N46"/>
  <c r="N52"/>
  <c r="N53"/>
  <c r="O53"/>
  <c r="P53" s="1"/>
  <c r="N54"/>
  <c r="N5" i="28"/>
  <c r="N6"/>
  <c r="P6" s="1"/>
  <c r="N7"/>
  <c r="N8"/>
  <c r="N9"/>
  <c r="N10"/>
  <c r="N11"/>
  <c r="N12"/>
  <c r="N5" i="29"/>
  <c r="P5" s="1"/>
  <c r="N6"/>
  <c r="P6" s="1"/>
  <c r="N7"/>
  <c r="P7" s="1"/>
  <c r="N8"/>
  <c r="P8" s="1"/>
  <c r="N9"/>
  <c r="P9" s="1"/>
  <c r="N10"/>
  <c r="P10" s="1"/>
  <c r="N11"/>
  <c r="P11" s="1"/>
  <c r="N5" i="30"/>
  <c r="N6"/>
  <c r="P6"/>
  <c r="N7"/>
  <c r="N5" i="31"/>
  <c r="N5" i="32"/>
  <c r="N6"/>
  <c r="P6" s="1"/>
  <c r="N8"/>
  <c r="N6" i="33"/>
  <c r="N7"/>
  <c r="P7" s="1"/>
  <c r="N8"/>
  <c r="N6" i="34"/>
  <c r="N7"/>
  <c r="P7" s="1"/>
  <c r="N8"/>
  <c r="N14"/>
  <c r="N15"/>
  <c r="P15" s="1"/>
  <c r="N16"/>
  <c r="N22"/>
  <c r="N23"/>
  <c r="P23" s="1"/>
  <c r="N24"/>
  <c r="N30"/>
  <c r="N31"/>
  <c r="P31" s="1"/>
  <c r="N32"/>
  <c r="N38"/>
  <c r="N39"/>
  <c r="P39" s="1"/>
  <c r="N40"/>
  <c r="N46"/>
  <c r="N47"/>
  <c r="P47" s="1"/>
  <c r="N48"/>
  <c r="O54" i="27" l="1"/>
  <c r="P54" s="1"/>
</calcChain>
</file>

<file path=xl/sharedStrings.xml><?xml version="1.0" encoding="utf-8"?>
<sst xmlns="http://schemas.openxmlformats.org/spreadsheetml/2006/main" count="1861" uniqueCount="337">
  <si>
    <t>2007/08 Price</t>
  </si>
  <si>
    <t>World Almanacs*</t>
  </si>
  <si>
    <t>ASFA 2</t>
  </si>
  <si>
    <t>ASFA 1</t>
  </si>
  <si>
    <t>U.S. Congressional Serial Set 1817-1980</t>
  </si>
  <si>
    <t>PAIS Archive</t>
  </si>
  <si>
    <t>Environmental</t>
  </si>
  <si>
    <t>Total records</t>
  </si>
  <si>
    <t>AHL Database</t>
  </si>
  <si>
    <t>Full-Text Articles Downloaded</t>
  </si>
  <si>
    <t xml:space="preserve">
</t>
  </si>
  <si>
    <t>Biological Abstracts</t>
  </si>
  <si>
    <t>OVID</t>
  </si>
  <si>
    <t>MergentOnline</t>
  </si>
  <si>
    <t>MLA Directory of Periodicals</t>
  </si>
  <si>
    <t>EBSCO Animals</t>
  </si>
  <si>
    <t>Successful full-text article requests</t>
  </si>
  <si>
    <t>Textile Technology Index</t>
  </si>
  <si>
    <t>FirstSearch (“per-search” block searches)</t>
  </si>
  <si>
    <t>* usage constrained by limitations on concurrent users</t>
  </si>
  <si>
    <t>Queries</t>
  </si>
  <si>
    <t>Historical Abstracts</t>
  </si>
  <si>
    <t>ARTstor</t>
  </si>
  <si>
    <t>ERIC*</t>
  </si>
  <si>
    <t>Total Monthly Users</t>
  </si>
  <si>
    <t>Theatre in Video with Shakespeare</t>
  </si>
  <si>
    <t xml:space="preserve"> </t>
  </si>
  <si>
    <t>Clase and Periodica</t>
  </si>
  <si>
    <t>Academic Search Premier</t>
  </si>
  <si>
    <t>Turnaways</t>
  </si>
  <si>
    <t>College Source</t>
  </si>
  <si>
    <t>COUNTER-Compliant?:</t>
  </si>
  <si>
    <t>23</t>
  </si>
  <si>
    <t>24</t>
  </si>
  <si>
    <t>N/A</t>
  </si>
  <si>
    <t>166</t>
  </si>
  <si>
    <t>OCLC Electronic Books</t>
  </si>
  <si>
    <t>WilsonWeb</t>
  </si>
  <si>
    <t>29</t>
  </si>
  <si>
    <t>Requests for full text chapters</t>
  </si>
  <si>
    <t>3</t>
  </si>
  <si>
    <t>ProceedingsFirst*</t>
  </si>
  <si>
    <t xml:space="preserve">Total minutes used by all sessions.
</t>
  </si>
  <si>
    <t>0</t>
  </si>
  <si>
    <t>ProQuest Historical Newspapers The New York Times (1851-2002)</t>
  </si>
  <si>
    <t>0:01:41</t>
  </si>
  <si>
    <t>6</t>
  </si>
  <si>
    <t>ERIC</t>
  </si>
  <si>
    <t xml:space="preserve">Users:
</t>
  </si>
  <si>
    <t>Thus these numbers mean nothing. They do NOT mean that the resource was not used.</t>
  </si>
  <si>
    <t>32</t>
  </si>
  <si>
    <t>4</t>
  </si>
  <si>
    <t>Repeat Users</t>
  </si>
  <si>
    <t>ASFA: Aquatic Science &amp; Fisheries Abstracts</t>
  </si>
  <si>
    <t>8</t>
  </si>
  <si>
    <t>User Limit</t>
  </si>
  <si>
    <t>EI</t>
  </si>
  <si>
    <t>0:00:13</t>
  </si>
  <si>
    <t>Funk &amp; Wagnall's New World Encyclopedia</t>
  </si>
  <si>
    <t>WorldCat Dissertations &amp; Theses*</t>
  </si>
  <si>
    <t>19</t>
  </si>
  <si>
    <t xml:space="preserve">Number of unique users who logged in during the time period. All users who did not log in are counted as one additional users. The numbers of monthly users are not additive, i.e. the sum of monthly users is not equal to the total number of unique users for all time.
</t>
  </si>
  <si>
    <t>Database Name</t>
  </si>
  <si>
    <t>Archive of Americana</t>
  </si>
  <si>
    <t>16</t>
  </si>
  <si>
    <t>13</t>
  </si>
  <si>
    <t>ASFA 1 (Biosciences...)</t>
  </si>
  <si>
    <t>Next/prev records</t>
  </si>
  <si>
    <t>Philosopher's Index</t>
  </si>
  <si>
    <t>Web Pages Delivered</t>
  </si>
  <si>
    <t>Successful full-text downloads</t>
  </si>
  <si>
    <t>11</t>
  </si>
  <si>
    <t xml:space="preserve"> N/A</t>
  </si>
  <si>
    <t>CSA (all databases)</t>
  </si>
  <si>
    <t>INSPEC Current</t>
  </si>
  <si>
    <t>—</t>
  </si>
  <si>
    <t>ABI/INFORM Global</t>
  </si>
  <si>
    <t>Displayed result sets (i.e. searches)</t>
  </si>
  <si>
    <t>Journals@Ovid/Full Text</t>
  </si>
  <si>
    <t>Readers Guide Retrospective</t>
  </si>
  <si>
    <t>EBSCOhost</t>
  </si>
  <si>
    <t>OVID (all databases)</t>
  </si>
  <si>
    <t>Turfgrass Information Center</t>
  </si>
  <si>
    <t>Library, Info Sci &amp; Tech Abstracts with Full-Text</t>
  </si>
  <si>
    <t>MAS Ultra – School edition</t>
  </si>
  <si>
    <t>National Newspapers (5)</t>
  </si>
  <si>
    <t xml:space="preserve">Number of events.
</t>
  </si>
  <si>
    <t>CollegeSource</t>
  </si>
  <si>
    <t>n/a</t>
  </si>
  <si>
    <t>Sessions</t>
  </si>
  <si>
    <t>GPO Monthly Catalog</t>
  </si>
  <si>
    <t>2007-2008 price</t>
  </si>
  <si>
    <t>InfoTRAC</t>
  </si>
  <si>
    <t>U.S. Congressional Serial Set Maps</t>
  </si>
  <si>
    <t>America History &amp; Life</t>
  </si>
  <si>
    <t>MinABS</t>
  </si>
  <si>
    <t>ASFA 3</t>
  </si>
  <si>
    <t>Alexander Street Press</t>
  </si>
  <si>
    <t>ABC-CLIO databases (all)</t>
  </si>
  <si>
    <t>Biological Abstracts / BIOSIS</t>
  </si>
  <si>
    <t>per session</t>
  </si>
  <si>
    <t>ProQuest</t>
  </si>
  <si>
    <t>World Almanacs</t>
  </si>
  <si>
    <t>MetaPress</t>
  </si>
  <si>
    <t>Sessions (no. days used)</t>
  </si>
  <si>
    <t>Grove Music Online</t>
  </si>
  <si>
    <t>ReferenceUSA</t>
  </si>
  <si>
    <t>WorldCat Dissertations &amp; Theses</t>
  </si>
  <si>
    <t>ProQuest Historical Newspapers — The New York Times (1851-2002)</t>
  </si>
  <si>
    <t>Mergent Online</t>
  </si>
  <si>
    <t>TOTAL</t>
  </si>
  <si>
    <t>per reference added</t>
  </si>
  <si>
    <t>IFIS</t>
  </si>
  <si>
    <t>All OVID Databases</t>
  </si>
  <si>
    <t>119</t>
  </si>
  <si>
    <t>GPO Monthly Catalog*</t>
  </si>
  <si>
    <t>FirstSearch (all databases)</t>
  </si>
  <si>
    <t>Ovid OLDMEDLINE</t>
  </si>
  <si>
    <t>ASFA Marine Biotechnology Abstracts</t>
  </si>
  <si>
    <t>MAS Ultra - School Edition</t>
  </si>
  <si>
    <t>Cost per Search</t>
  </si>
  <si>
    <t>per user</t>
  </si>
  <si>
    <t>OCLC Electronic Books*</t>
  </si>
  <si>
    <t>Web of Science*</t>
  </si>
  <si>
    <t>Simultaneous users</t>
  </si>
  <si>
    <t>Successful Full-Text Article Requests</t>
  </si>
  <si>
    <t># of Print/Detail Views</t>
  </si>
  <si>
    <t>No of Searches</t>
  </si>
  <si>
    <t>Not avail.</t>
  </si>
  <si>
    <t>OCLC Electronic Collections Online</t>
  </si>
  <si>
    <t>2007-2008</t>
  </si>
  <si>
    <t>Compendex (Engineering Index)</t>
  </si>
  <si>
    <t>ASFA (all)</t>
  </si>
  <si>
    <t>WebSPIRS (OVID)</t>
  </si>
  <si>
    <t>ASFA Aquaculture Abstracts</t>
  </si>
  <si>
    <t>New Users</t>
  </si>
  <si>
    <t>Note: We have 4,478 shared titles</t>
  </si>
  <si>
    <t>NetLibrary</t>
  </si>
  <si>
    <t>Pre-CINAHL</t>
  </si>
  <si>
    <t>EMBASE.com</t>
  </si>
  <si>
    <t>Service Errors</t>
  </si>
  <si>
    <t xml:space="preserve">Registrations:
</t>
  </si>
  <si>
    <t>Clase and Periodica*</t>
  </si>
  <si>
    <t>Newsbank</t>
  </si>
  <si>
    <t>FSTA Direct (IFIS)</t>
  </si>
  <si>
    <t>Humanities &amp; Social Sciences Retrospective</t>
  </si>
  <si>
    <t>TOTAL FirstSearch Block Use</t>
  </si>
  <si>
    <t>InfoTrac</t>
  </si>
  <si>
    <t>Oxford</t>
  </si>
  <si>
    <t>Oceanic Abstracts</t>
  </si>
  <si>
    <t>Michigan State Univ.</t>
  </si>
  <si>
    <t>Dissertations &amp; Theses</t>
  </si>
  <si>
    <t>Note: if the stats turn out to have data on full-text records retrieved, please add lines for it. 4/2008 ajr</t>
  </si>
  <si>
    <t>Theatre in Video w/ Shakespeare</t>
  </si>
  <si>
    <t>Price per search</t>
  </si>
  <si>
    <t>MEDLINE</t>
  </si>
  <si>
    <t>PsycINFO</t>
  </si>
  <si>
    <t xml:space="preserve">  0:03:27</t>
  </si>
  <si>
    <t>Encyclopedia of Ocean Science</t>
  </si>
  <si>
    <t>63</t>
  </si>
  <si>
    <t>MINABS Online</t>
  </si>
  <si>
    <t>Maximum Contractual Users</t>
  </si>
  <si>
    <t>U.S. Congressional Serial Set, 1817-1980, etc.(All Newsbank databases)</t>
  </si>
  <si>
    <t>WorldCat</t>
  </si>
  <si>
    <t>Primary Search</t>
  </si>
  <si>
    <t>47</t>
  </si>
  <si>
    <t>Film &amp; Television Literature Index</t>
  </si>
  <si>
    <t>Maximum users</t>
  </si>
  <si>
    <t>Compendex</t>
  </si>
  <si>
    <t>Full-text article requests</t>
  </si>
  <si>
    <t>Events</t>
  </si>
  <si>
    <t>Max Ports in Use</t>
  </si>
  <si>
    <t>0:13:51</t>
  </si>
  <si>
    <t>Sociological Abstracts, CSA</t>
  </si>
  <si>
    <t>Average Visit Duration</t>
  </si>
  <si>
    <t>netLibrary</t>
  </si>
  <si>
    <t>Residential Searches</t>
  </si>
  <si>
    <t>Total Records Downloaded</t>
  </si>
  <si>
    <t>OCLC Electronic Collections Online*</t>
  </si>
  <si>
    <t>Wall Street Journal</t>
  </si>
  <si>
    <t>MathSciNet</t>
  </si>
  <si>
    <t>Library, Info Sci &amp; Tech Abstracts w/ full text</t>
  </si>
  <si>
    <t>Art Index Retrospective*</t>
  </si>
  <si>
    <t>Average References added per user</t>
  </si>
  <si>
    <t>MEDLINE*</t>
  </si>
  <si>
    <t>ProceedingsFirst</t>
  </si>
  <si>
    <t>ABI/INFORM Trade &amp; Industry</t>
  </si>
  <si>
    <t>Women's Studies International</t>
  </si>
  <si>
    <t>Cochrane Library</t>
  </si>
  <si>
    <t>XDB (XDB = Combined AHL and HA Database Activity)</t>
  </si>
  <si>
    <t>Users</t>
  </si>
  <si>
    <t>Or whatever info they offer...</t>
  </si>
  <si>
    <t>Classification Web*</t>
  </si>
  <si>
    <t>OLDMEDLINE</t>
  </si>
  <si>
    <t xml:space="preserve">Sessions:
</t>
  </si>
  <si>
    <t>ArticleFirst*</t>
  </si>
  <si>
    <t>Treaties &amp; International Agreements Online (Oceana)</t>
  </si>
  <si>
    <t>2007-2008 Price</t>
  </si>
  <si>
    <t>ArticleFirst</t>
  </si>
  <si>
    <t>PILOTS</t>
  </si>
  <si>
    <t>Note: This subscription allows users to search a database, yet MetaPress usage statistics only measure "article requests," not searches.</t>
  </si>
  <si>
    <t>0:03:43</t>
  </si>
  <si>
    <t>Number of sessions.</t>
  </si>
  <si>
    <t>BIOSIS Previews</t>
  </si>
  <si>
    <t>GeoRef in Process</t>
  </si>
  <si>
    <t>CIAO</t>
  </si>
  <si>
    <t>Logins</t>
  </si>
  <si>
    <t>Communication Abstracts</t>
  </si>
  <si>
    <t>Art Abstracts</t>
  </si>
  <si>
    <t>No of Visits</t>
  </si>
  <si>
    <t>Social Services Abstracts</t>
  </si>
  <si>
    <t xml:space="preserve">Events:
</t>
  </si>
  <si>
    <t>Teacher Reference Center</t>
  </si>
  <si>
    <t xml:space="preserve">Minutes:
</t>
  </si>
  <si>
    <t>Web of Science</t>
  </si>
  <si>
    <t>Journals@Ovid Full Text</t>
  </si>
  <si>
    <t>Unique Visitors (compilation)</t>
  </si>
  <si>
    <t>International Pharmaceutical Abstracts</t>
  </si>
  <si>
    <t>Ovid MEDLINE In-Process</t>
  </si>
  <si>
    <t>URI does not subscribe to full text</t>
  </si>
  <si>
    <t>GEOBASE</t>
  </si>
  <si>
    <t>Biological &amp; Agricultural Index Plus</t>
  </si>
  <si>
    <t>0:03:55</t>
  </si>
  <si>
    <t>Meteorological &amp; Geoastrophysical Abstracts</t>
  </si>
  <si>
    <t>Music Index</t>
  </si>
  <si>
    <t>ClassificationWeb</t>
  </si>
  <si>
    <t>Companies Viewed</t>
  </si>
  <si>
    <t>Simultaneous Users</t>
  </si>
  <si>
    <t>Academic</t>
  </si>
  <si>
    <t>Art Index Retrospective</t>
  </si>
  <si>
    <t xml:space="preserve">SciFinder Scholar </t>
  </si>
  <si>
    <t>Note: We purchased Art Index Retrospective, Humanities &amp; Social Sciences Retrospective, and Education Index Retrospective in April 2008. Annual access fees will start next year.</t>
  </si>
  <si>
    <t>Alternative Press Index</t>
  </si>
  <si>
    <t>Average Sessions Per User</t>
  </si>
  <si>
    <t># of Downloads</t>
  </si>
  <si>
    <t>American State Papers, 1789-1838</t>
  </si>
  <si>
    <t>Note: We purchased ARTstor in April 2008.</t>
  </si>
  <si>
    <t>GeoRef</t>
  </si>
  <si>
    <t>Harmonie Park Press</t>
  </si>
  <si>
    <t>Alternative Press Index Archive</t>
  </si>
  <si>
    <t>93</t>
  </si>
  <si>
    <t>91</t>
  </si>
  <si>
    <t>Number of new registrations.</t>
  </si>
  <si>
    <t>LexisNexis</t>
  </si>
  <si>
    <t>Humanities &amp; Socieal Sciences Index Retrospective*</t>
  </si>
  <si>
    <t>EBSCOhost (all databases)</t>
  </si>
  <si>
    <t>CSA Databases total</t>
  </si>
  <si>
    <t>No</t>
  </si>
  <si>
    <t>PapersFirst</t>
  </si>
  <si>
    <t>Ovid</t>
  </si>
  <si>
    <t>CSA Databases</t>
  </si>
  <si>
    <t>RefUSA</t>
  </si>
  <si>
    <t>RefWorks</t>
  </si>
  <si>
    <t>FirstSearch</t>
  </si>
  <si>
    <t>Business Searches</t>
  </si>
  <si>
    <t>SciFinder Scholar*</t>
  </si>
  <si>
    <t>Total Sessions per month</t>
  </si>
  <si>
    <t>HA Database</t>
  </si>
  <si>
    <t>Total</t>
  </si>
  <si>
    <t>NOTE: CSA Databases totals do not equal the sum of the totals given for each database above because the CSA databases total includes searches of CSA's "Web Resources" databases and other "extras."</t>
  </si>
  <si>
    <t>All databases</t>
  </si>
  <si>
    <t>Providence Journal-Bulletin</t>
  </si>
  <si>
    <t>EBSCOhost databases (all)</t>
  </si>
  <si>
    <t>Mergent</t>
  </si>
  <si>
    <t>MEDLINE In Process</t>
  </si>
  <si>
    <t>ASFA 2 (Ocean Technology…)</t>
  </si>
  <si>
    <t>Ovid WEBSPIRS</t>
  </si>
  <si>
    <t>Military &amp; Government Collection</t>
  </si>
  <si>
    <t>Education Index Retrospective</t>
  </si>
  <si>
    <t>COUNTER com</t>
  </si>
  <si>
    <t>Social Services Abstracts, CSA</t>
  </si>
  <si>
    <t>Literature Resource Center</t>
  </si>
  <si>
    <t>Ovid MEDLINE</t>
  </si>
  <si>
    <t>EBSCOhost Databases</t>
  </si>
  <si>
    <t>LexisNexis Environmental</t>
  </si>
  <si>
    <t>EMASE.COM</t>
  </si>
  <si>
    <t>Registrations</t>
  </si>
  <si>
    <t>CSA</t>
  </si>
  <si>
    <t>Note: We purchased these backfiles in April 2008. The annual access fee does not begin until the second year.</t>
  </si>
  <si>
    <t>KCDL Online</t>
  </si>
  <si>
    <t>Abstracts in Anthropology</t>
  </si>
  <si>
    <t>Thomson ISI</t>
  </si>
  <si>
    <t>Counter-Compliant?:</t>
  </si>
  <si>
    <t>TOTAL FirstSearch</t>
  </si>
  <si>
    <t>Price per unit</t>
  </si>
  <si>
    <t xml:space="preserve">N/A
</t>
  </si>
  <si>
    <t>Abstracts viewed</t>
  </si>
  <si>
    <t>Elsevier</t>
  </si>
  <si>
    <t>Newsbank (Readex)</t>
  </si>
  <si>
    <t>00.07.00</t>
  </si>
  <si>
    <t>LexisNexis Academic</t>
  </si>
  <si>
    <t>FSTA Direct</t>
  </si>
  <si>
    <t>COUNTER-Compliant?</t>
  </si>
  <si>
    <t>Articles Viewed</t>
  </si>
  <si>
    <t>ABI/INFORM Dateline</t>
  </si>
  <si>
    <t>ASFA 3 (Aquatic Pollution…)</t>
  </si>
  <si>
    <t>LexisNexis Congressional</t>
  </si>
  <si>
    <t>Los Angeles Times</t>
  </si>
  <si>
    <t>Note: Data through April 2008 is not correct, because ARTstor was not tracking URI IP addresses separately.</t>
  </si>
  <si>
    <t>0:04:13</t>
  </si>
  <si>
    <t>0:11:21</t>
  </si>
  <si>
    <t>Total Subscriber References added</t>
  </si>
  <si>
    <t>ABC-CLIO</t>
  </si>
  <si>
    <t>Reference Database Statistics Summary</t>
  </si>
  <si>
    <t>Wiley InterScience</t>
  </si>
  <si>
    <t>MINABS</t>
  </si>
  <si>
    <t>Accesses</t>
  </si>
  <si>
    <t>ProQuest (all databases)</t>
  </si>
  <si>
    <t>2006-2007 price</t>
  </si>
  <si>
    <t>PapersFirst*</t>
  </si>
  <si>
    <t>Yes</t>
  </si>
  <si>
    <t>Unique Visitors</t>
  </si>
  <si>
    <t>ProQuest databases</t>
  </si>
  <si>
    <t>Education Index Retrospective*</t>
  </si>
  <si>
    <t>Physical Education Index</t>
  </si>
  <si>
    <t>Sociological Abstracts</t>
  </si>
  <si>
    <t>Number of Successful Article Requests</t>
  </si>
  <si>
    <t>Documents Retrieved</t>
  </si>
  <si>
    <t>0:04:42</t>
  </si>
  <si>
    <t>No of Views</t>
  </si>
  <si>
    <t>EconLit</t>
  </si>
  <si>
    <t>MLA International Bibliography</t>
  </si>
  <si>
    <t>Price per access</t>
  </si>
  <si>
    <t>Readers Guide Retrospective*</t>
  </si>
  <si>
    <t>Oxford English Dictionary</t>
  </si>
  <si>
    <t>American Mathematical Society</t>
  </si>
  <si>
    <t>PAIS International</t>
  </si>
  <si>
    <t>0:02:31</t>
  </si>
  <si>
    <t>Searches</t>
  </si>
  <si>
    <t>Library of Congress</t>
  </si>
  <si>
    <t>Vendor</t>
  </si>
  <si>
    <t>Total Records Printed or Viewed</t>
  </si>
  <si>
    <t>CINAHL</t>
  </si>
  <si>
    <t>WorldCat*</t>
  </si>
  <si>
    <t>Minutes</t>
  </si>
  <si>
    <t>Congressional</t>
  </si>
  <si>
    <t>0:05:55</t>
  </si>
</sst>
</file>

<file path=xl/styles.xml><?xml version="1.0" encoding="utf-8"?>
<styleSheet xmlns="http://schemas.openxmlformats.org/spreadsheetml/2006/main">
  <numFmts count="4">
    <numFmt numFmtId="164" formatCode="&quot;$&quot;#,##0.00"/>
    <numFmt numFmtId="165" formatCode="mmm\-yy;@"/>
    <numFmt numFmtId="166" formatCode="h:mm:ss;@"/>
    <numFmt numFmtId="167" formatCode="&quot;$&quot;#,##0.00;[Red]&quot;$&quot;\(#,##0.00\);&quot;$&quot;@"/>
  </numFmts>
  <fonts count="11">
    <font>
      <sz val="10"/>
      <name val="Arial"/>
      <family val="2"/>
    </font>
    <font>
      <b/>
      <sz val="16"/>
      <color indexed="8"/>
      <name val="arial,sans-serif"/>
      <family val="2"/>
    </font>
    <font>
      <sz val="10"/>
      <color indexed="8"/>
      <name val="arial,sans-serif"/>
      <family val="2"/>
    </font>
    <font>
      <b/>
      <sz val="10"/>
      <color indexed="8"/>
      <name val="arial,sans-serif"/>
      <family val="2"/>
    </font>
    <font>
      <b/>
      <sz val="14"/>
      <color indexed="8"/>
      <name val="arial,sans-serif"/>
      <family val="2"/>
    </font>
    <font>
      <b/>
      <sz val="10"/>
      <color indexed="8"/>
      <name val="MS Sans Serif"/>
      <family val="2"/>
    </font>
    <font>
      <b/>
      <sz val="10"/>
      <name val="Arial"/>
      <family val="2"/>
    </font>
    <font>
      <b/>
      <sz val="10"/>
      <color indexed="53"/>
      <name val="Arial"/>
      <family val="2"/>
    </font>
    <font>
      <sz val="10"/>
      <color indexed="9"/>
      <name val="arial,sans-serif"/>
      <family val="2"/>
    </font>
    <font>
      <sz val="10"/>
      <color indexed="8"/>
      <name val="Arial Unicode MS"/>
      <family val="2"/>
    </font>
    <font>
      <sz val="10"/>
      <color indexed="8"/>
      <name val="Courier New"/>
      <family val="2"/>
    </font>
  </fonts>
  <fills count="3">
    <fill>
      <patternFill patternType="none"/>
    </fill>
    <fill>
      <patternFill patternType="gray125"/>
    </fill>
    <fill>
      <patternFill patternType="solid">
        <fgColor indexed="22"/>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alignment vertical="center"/>
    </xf>
  </cellStyleXfs>
  <cellXfs count="158">
    <xf numFmtId="0" fontId="0" fillId="0" borderId="0" xfId="0">
      <alignment vertical="center"/>
    </xf>
    <xf numFmtId="0" fontId="1" fillId="0" borderId="0" xfId="0" applyNumberFormat="1" applyFont="1" applyFill="1" applyAlignment="1"/>
    <xf numFmtId="0" fontId="2" fillId="0" borderId="0" xfId="0" applyNumberFormat="1" applyFont="1" applyFill="1" applyAlignment="1"/>
    <xf numFmtId="0" fontId="2" fillId="0" borderId="0" xfId="0" applyNumberFormat="1" applyFont="1" applyFill="1" applyAlignment="1">
      <alignment horizontal="center"/>
    </xf>
    <xf numFmtId="0" fontId="0" fillId="0" borderId="0" xfId="0" applyNumberFormat="1" applyFont="1" applyFill="1" applyAlignment="1">
      <alignment horizontal="center" wrapText="1"/>
    </xf>
    <xf numFmtId="0" fontId="2" fillId="0" borderId="1" xfId="0" applyNumberFormat="1" applyFont="1" applyFill="1" applyBorder="1" applyAlignment="1"/>
    <xf numFmtId="0" fontId="0" fillId="0" borderId="1" xfId="0" applyNumberFormat="1" applyFont="1" applyFill="1" applyBorder="1" applyAlignment="1">
      <alignment horizontal="center" wrapText="1"/>
    </xf>
    <xf numFmtId="0" fontId="2" fillId="0" borderId="1" xfId="0" applyNumberFormat="1" applyFont="1" applyFill="1" applyBorder="1" applyAlignment="1">
      <alignment horizontal="center"/>
    </xf>
    <xf numFmtId="0" fontId="3" fillId="0" borderId="2" xfId="0" applyNumberFormat="1" applyFont="1" applyFill="1" applyBorder="1" applyAlignment="1">
      <alignment horizontal="center" wrapText="1"/>
    </xf>
    <xf numFmtId="0" fontId="2" fillId="0" borderId="3" xfId="0" applyNumberFormat="1" applyFont="1" applyFill="1" applyBorder="1" applyAlignment="1"/>
    <xf numFmtId="0" fontId="2" fillId="0" borderId="2" xfId="0" applyNumberFormat="1" applyFont="1" applyFill="1" applyBorder="1" applyAlignment="1">
      <alignment vertical="top" wrapText="1"/>
    </xf>
    <xf numFmtId="3" fontId="2" fillId="0" borderId="2" xfId="0" applyNumberFormat="1" applyFont="1" applyFill="1" applyBorder="1" applyAlignment="1">
      <alignment horizontal="center" vertical="top" wrapText="1"/>
    </xf>
    <xf numFmtId="0" fontId="2" fillId="0" borderId="2" xfId="0" applyNumberFormat="1" applyFont="1" applyFill="1" applyBorder="1" applyAlignment="1">
      <alignment horizontal="center" vertical="top" wrapText="1"/>
    </xf>
    <xf numFmtId="164" fontId="2" fillId="0" borderId="2" xfId="0" applyNumberFormat="1" applyFont="1" applyFill="1" applyBorder="1" applyAlignment="1">
      <alignment vertical="top" wrapText="1"/>
    </xf>
    <xf numFmtId="164" fontId="2" fillId="0" borderId="2" xfId="0" applyNumberFormat="1" applyFont="1" applyFill="1" applyBorder="1" applyAlignment="1">
      <alignment horizontal="center" vertical="top" wrapText="1"/>
    </xf>
    <xf numFmtId="0" fontId="0" fillId="0" borderId="3" xfId="0" applyNumberFormat="1" applyFont="1" applyFill="1" applyBorder="1" applyAlignment="1">
      <alignment wrapText="1"/>
    </xf>
    <xf numFmtId="0" fontId="2" fillId="0" borderId="2" xfId="0" applyNumberFormat="1" applyFont="1" applyFill="1" applyBorder="1" applyAlignment="1">
      <alignment horizontal="center" wrapText="1"/>
    </xf>
    <xf numFmtId="3" fontId="2" fillId="0" borderId="2" xfId="0" applyNumberFormat="1" applyFont="1" applyFill="1" applyBorder="1" applyAlignment="1">
      <alignment horizontal="center" wrapText="1"/>
    </xf>
    <xf numFmtId="164" fontId="2" fillId="0" borderId="2" xfId="0" applyNumberFormat="1" applyFont="1" applyFill="1" applyBorder="1" applyAlignment="1">
      <alignment wrapText="1"/>
    </xf>
    <xf numFmtId="164" fontId="2" fillId="0" borderId="2" xfId="0" applyNumberFormat="1" applyFont="1" applyFill="1" applyBorder="1" applyAlignment="1">
      <alignment horizontal="center" wrapText="1"/>
    </xf>
    <xf numFmtId="0" fontId="2" fillId="0" borderId="2" xfId="0" applyNumberFormat="1" applyFont="1" applyFill="1" applyBorder="1" applyAlignment="1">
      <alignment horizontal="center"/>
    </xf>
    <xf numFmtId="3" fontId="2" fillId="0" borderId="2" xfId="0" applyNumberFormat="1" applyFont="1" applyFill="1" applyBorder="1" applyAlignment="1">
      <alignment horizontal="center"/>
    </xf>
    <xf numFmtId="164" fontId="2" fillId="0" borderId="2" xfId="0" applyNumberFormat="1" applyFont="1" applyFill="1" applyBorder="1" applyAlignment="1"/>
    <xf numFmtId="164" fontId="2" fillId="0" borderId="2" xfId="0" applyNumberFormat="1" applyFont="1" applyFill="1" applyBorder="1" applyAlignment="1">
      <alignment horizontal="center"/>
    </xf>
    <xf numFmtId="1" fontId="2" fillId="0" borderId="2" xfId="0" applyNumberFormat="1" applyFont="1" applyFill="1" applyBorder="1" applyAlignment="1">
      <alignment horizontal="center" vertical="top" wrapText="1"/>
    </xf>
    <xf numFmtId="164" fontId="2" fillId="0" borderId="2" xfId="0" applyNumberFormat="1" applyFont="1" applyFill="1" applyBorder="1" applyAlignment="1">
      <alignment horizontal="right" vertical="top" wrapText="1"/>
    </xf>
    <xf numFmtId="0" fontId="2" fillId="0" borderId="2" xfId="0" applyNumberFormat="1" applyFont="1" applyFill="1" applyBorder="1" applyAlignment="1"/>
    <xf numFmtId="0" fontId="0" fillId="0" borderId="2" xfId="0" applyNumberFormat="1" applyFont="1" applyFill="1" applyBorder="1" applyAlignment="1">
      <alignment horizontal="center" wrapText="1"/>
    </xf>
    <xf numFmtId="0" fontId="2" fillId="0" borderId="4" xfId="0" applyNumberFormat="1" applyFont="1" applyFill="1" applyBorder="1" applyAlignment="1"/>
    <xf numFmtId="0" fontId="0" fillId="0" borderId="4" xfId="0" applyNumberFormat="1" applyFont="1" applyFill="1" applyBorder="1" applyAlignment="1">
      <alignment horizontal="center" wrapText="1"/>
    </xf>
    <xf numFmtId="0" fontId="2" fillId="0" borderId="4" xfId="0" applyNumberFormat="1" applyFont="1" applyFill="1" applyBorder="1" applyAlignment="1">
      <alignment horizontal="center"/>
    </xf>
    <xf numFmtId="0" fontId="4" fillId="0" borderId="0" xfId="0" applyNumberFormat="1" applyFont="1" applyFill="1" applyAlignment="1"/>
    <xf numFmtId="0" fontId="0" fillId="0" borderId="1" xfId="0" applyNumberFormat="1" applyFont="1" applyFill="1" applyBorder="1" applyAlignment="1">
      <alignment wrapText="1"/>
    </xf>
    <xf numFmtId="0" fontId="5" fillId="0" borderId="5" xfId="0" applyNumberFormat="1" applyFont="1" applyFill="1" applyBorder="1" applyAlignment="1">
      <alignment horizontal="center" vertical="top" wrapText="1"/>
    </xf>
    <xf numFmtId="165" fontId="3" fillId="0" borderId="5" xfId="0" applyNumberFormat="1" applyFont="1" applyFill="1" applyBorder="1" applyAlignment="1">
      <alignment horizontal="center" wrapText="1"/>
    </xf>
    <xf numFmtId="0" fontId="3" fillId="0" borderId="5" xfId="0" applyNumberFormat="1" applyFont="1" applyFill="1" applyBorder="1" applyAlignment="1">
      <alignment horizontal="center" wrapText="1"/>
    </xf>
    <xf numFmtId="0" fontId="3" fillId="0" borderId="4" xfId="0" applyNumberFormat="1" applyFont="1" applyFill="1" applyBorder="1" applyAlignment="1"/>
    <xf numFmtId="1" fontId="2" fillId="0" borderId="5" xfId="0" applyNumberFormat="1" applyFont="1" applyFill="1" applyBorder="1" applyAlignment="1"/>
    <xf numFmtId="0" fontId="0" fillId="0" borderId="4" xfId="0" applyNumberFormat="1" applyFont="1" applyFill="1" applyBorder="1" applyAlignment="1">
      <alignment wrapText="1"/>
    </xf>
    <xf numFmtId="0" fontId="2" fillId="0" borderId="6" xfId="0" applyNumberFormat="1" applyFont="1" applyFill="1" applyBorder="1" applyAlignment="1"/>
    <xf numFmtId="3" fontId="2" fillId="0" borderId="2" xfId="0" applyNumberFormat="1" applyFont="1" applyFill="1" applyBorder="1" applyAlignment="1">
      <alignment horizontal="right" vertical="top" wrapText="1"/>
    </xf>
    <xf numFmtId="3" fontId="2" fillId="2" borderId="2" xfId="0" applyNumberFormat="1" applyFont="1" applyFill="1" applyBorder="1" applyAlignment="1"/>
    <xf numFmtId="164" fontId="2" fillId="0" borderId="3" xfId="0" applyNumberFormat="1" applyFont="1" applyFill="1" applyBorder="1" applyAlignment="1"/>
    <xf numFmtId="164" fontId="2" fillId="0" borderId="0" xfId="0" applyNumberFormat="1" applyFont="1" applyFill="1" applyAlignment="1"/>
    <xf numFmtId="0" fontId="2" fillId="0" borderId="4" xfId="0" applyNumberFormat="1" applyFont="1" applyFill="1" applyBorder="1" applyAlignment="1">
      <alignment horizontal="right" vertical="top" wrapText="1"/>
    </xf>
    <xf numFmtId="164" fontId="2" fillId="0" borderId="4" xfId="0" applyNumberFormat="1" applyFont="1" applyFill="1" applyBorder="1" applyAlignment="1"/>
    <xf numFmtId="0" fontId="2" fillId="0" borderId="1" xfId="0" applyNumberFormat="1" applyFont="1" applyFill="1" applyBorder="1" applyAlignment="1">
      <alignment horizontal="right" vertical="top" wrapText="1"/>
    </xf>
    <xf numFmtId="164" fontId="2" fillId="0" borderId="1" xfId="0" applyNumberFormat="1" applyFont="1" applyFill="1" applyBorder="1" applyAlignment="1"/>
    <xf numFmtId="0" fontId="0" fillId="0" borderId="5" xfId="0" applyNumberFormat="1" applyFont="1" applyFill="1" applyBorder="1" applyAlignment="1">
      <alignment wrapText="1"/>
    </xf>
    <xf numFmtId="3" fontId="2" fillId="0" borderId="4" xfId="0" applyNumberFormat="1" applyFont="1" applyFill="1" applyBorder="1" applyAlignment="1">
      <alignment horizontal="right" vertical="top" wrapText="1"/>
    </xf>
    <xf numFmtId="3" fontId="2" fillId="0" borderId="4" xfId="0" applyNumberFormat="1" applyFont="1" applyFill="1" applyBorder="1" applyAlignment="1"/>
    <xf numFmtId="0" fontId="2" fillId="0" borderId="5" xfId="0" applyNumberFormat="1" applyFont="1" applyFill="1" applyBorder="1" applyAlignment="1"/>
    <xf numFmtId="0" fontId="2" fillId="0" borderId="2" xfId="0" applyNumberFormat="1" applyFont="1" applyFill="1" applyBorder="1" applyAlignment="1">
      <alignment horizontal="right"/>
    </xf>
    <xf numFmtId="0" fontId="2" fillId="2" borderId="2" xfId="0" applyNumberFormat="1" applyFont="1" applyFill="1" applyBorder="1" applyAlignment="1"/>
    <xf numFmtId="164" fontId="2" fillId="0" borderId="3" xfId="0" applyNumberFormat="1" applyFont="1" applyFill="1" applyBorder="1" applyAlignment="1">
      <alignment horizontal="right"/>
    </xf>
    <xf numFmtId="164" fontId="2" fillId="0" borderId="0" xfId="0" applyNumberFormat="1" applyFont="1" applyFill="1" applyAlignment="1">
      <alignment horizontal="right"/>
    </xf>
    <xf numFmtId="0" fontId="3" fillId="0" borderId="5" xfId="0" applyNumberFormat="1" applyFont="1" applyFill="1" applyBorder="1" applyAlignment="1">
      <alignment wrapText="1"/>
    </xf>
    <xf numFmtId="164" fontId="2" fillId="0" borderId="4" xfId="0" applyNumberFormat="1" applyFont="1" applyFill="1" applyBorder="1" applyAlignment="1">
      <alignment horizontal="right"/>
    </xf>
    <xf numFmtId="3" fontId="2" fillId="0" borderId="2" xfId="0" applyNumberFormat="1" applyFont="1" applyFill="1" applyBorder="1" applyAlignment="1">
      <alignment horizontal="right"/>
    </xf>
    <xf numFmtId="3" fontId="2" fillId="0" borderId="2" xfId="0" applyNumberFormat="1" applyFont="1" applyFill="1" applyBorder="1" applyAlignment="1"/>
    <xf numFmtId="0" fontId="6" fillId="0" borderId="4" xfId="0" applyNumberFormat="1" applyFont="1" applyFill="1" applyBorder="1" applyAlignment="1">
      <alignment wrapText="1"/>
    </xf>
    <xf numFmtId="164" fontId="0" fillId="0" borderId="3" xfId="0" applyNumberFormat="1" applyFont="1" applyFill="1" applyBorder="1" applyAlignment="1">
      <alignment wrapText="1"/>
    </xf>
    <xf numFmtId="164" fontId="0" fillId="0" borderId="0" xfId="0" applyNumberFormat="1" applyFont="1" applyFill="1" applyAlignment="1">
      <alignment wrapText="1"/>
    </xf>
    <xf numFmtId="0" fontId="0" fillId="0" borderId="0" xfId="0" applyNumberFormat="1" applyFont="1" applyFill="1" applyAlignment="1">
      <alignment wrapText="1"/>
    </xf>
    <xf numFmtId="0" fontId="0" fillId="0" borderId="6" xfId="0" applyNumberFormat="1" applyFont="1" applyFill="1" applyBorder="1" applyAlignment="1">
      <alignment wrapText="1"/>
    </xf>
    <xf numFmtId="0" fontId="0" fillId="0" borderId="2" xfId="0" applyNumberFormat="1" applyFont="1" applyFill="1" applyBorder="1" applyAlignment="1">
      <alignment wrapText="1"/>
    </xf>
    <xf numFmtId="0" fontId="0" fillId="2" borderId="2" xfId="0" applyNumberFormat="1" applyFont="1" applyFill="1" applyBorder="1" applyAlignment="1">
      <alignment wrapText="1"/>
    </xf>
    <xf numFmtId="164" fontId="0" fillId="0" borderId="2" xfId="0" applyNumberFormat="1" applyFont="1" applyFill="1" applyBorder="1" applyAlignment="1">
      <alignment wrapText="1"/>
    </xf>
    <xf numFmtId="0" fontId="6" fillId="0" borderId="0" xfId="0" applyNumberFormat="1" applyFont="1" applyFill="1" applyAlignment="1">
      <alignment wrapText="1"/>
    </xf>
    <xf numFmtId="0" fontId="6" fillId="0" borderId="0" xfId="0" applyNumberFormat="1" applyFont="1" applyFill="1" applyAlignment="1">
      <alignment vertical="top" wrapText="1"/>
    </xf>
    <xf numFmtId="0" fontId="2" fillId="0" borderId="5" xfId="0" applyNumberFormat="1" applyFont="1" applyFill="1" applyBorder="1" applyAlignment="1">
      <alignment vertical="top"/>
    </xf>
    <xf numFmtId="49" fontId="2" fillId="0" borderId="2" xfId="0" applyNumberFormat="1" applyFont="1" applyFill="1" applyBorder="1" applyAlignment="1">
      <alignment horizontal="right" vertical="top"/>
    </xf>
    <xf numFmtId="0" fontId="2" fillId="0" borderId="2" xfId="0" applyNumberFormat="1" applyFont="1" applyFill="1" applyBorder="1" applyAlignment="1">
      <alignment vertical="top"/>
    </xf>
    <xf numFmtId="21" fontId="2" fillId="0" borderId="2" xfId="0" applyNumberFormat="1" applyFont="1" applyFill="1" applyBorder="1" applyAlignment="1"/>
    <xf numFmtId="3" fontId="2" fillId="2" borderId="2" xfId="0" applyNumberFormat="1" applyFont="1" applyFill="1" applyBorder="1" applyAlignment="1">
      <alignment horizontal="right"/>
    </xf>
    <xf numFmtId="3" fontId="2" fillId="0" borderId="4" xfId="0" applyNumberFormat="1" applyFont="1" applyFill="1" applyBorder="1" applyAlignment="1">
      <alignment wrapText="1"/>
    </xf>
    <xf numFmtId="49" fontId="2" fillId="0" borderId="4" xfId="0" applyNumberFormat="1" applyFont="1" applyFill="1" applyBorder="1" applyAlignment="1">
      <alignment horizontal="right" vertical="top"/>
    </xf>
    <xf numFmtId="3" fontId="2" fillId="0" borderId="4" xfId="0" applyNumberFormat="1" applyFont="1" applyFill="1" applyBorder="1" applyAlignment="1">
      <alignment horizontal="right"/>
    </xf>
    <xf numFmtId="0" fontId="2" fillId="0" borderId="2" xfId="0" applyNumberFormat="1" applyFont="1" applyFill="1" applyBorder="1" applyAlignment="1">
      <alignment horizontal="right" vertical="top"/>
    </xf>
    <xf numFmtId="0" fontId="3" fillId="0" borderId="5" xfId="0" applyNumberFormat="1" applyFont="1" applyFill="1" applyBorder="1" applyAlignment="1"/>
    <xf numFmtId="0" fontId="2" fillId="0" borderId="5" xfId="0" applyNumberFormat="1" applyFont="1" applyFill="1" applyBorder="1" applyAlignment="1">
      <alignment vertical="top" wrapText="1"/>
    </xf>
    <xf numFmtId="4" fontId="2" fillId="0" borderId="0" xfId="0" applyNumberFormat="1" applyFont="1" applyFill="1" applyAlignment="1"/>
    <xf numFmtId="3" fontId="8" fillId="0" borderId="2" xfId="0" applyNumberFormat="1" applyFont="1" applyFill="1" applyBorder="1" applyAlignment="1">
      <alignment horizontal="right" wrapText="1"/>
    </xf>
    <xf numFmtId="3" fontId="2" fillId="0" borderId="5" xfId="0" applyNumberFormat="1" applyFont="1" applyFill="1" applyBorder="1" applyAlignment="1"/>
    <xf numFmtId="0" fontId="3" fillId="0" borderId="1" xfId="0" applyNumberFormat="1" applyFont="1" applyFill="1" applyBorder="1" applyAlignment="1"/>
    <xf numFmtId="0" fontId="2" fillId="0" borderId="1" xfId="0" applyNumberFormat="1" applyFont="1" applyFill="1" applyBorder="1" applyAlignment="1">
      <alignment vertical="top"/>
    </xf>
    <xf numFmtId="3" fontId="2" fillId="0" borderId="1" xfId="0" applyNumberFormat="1" applyFont="1" applyFill="1" applyBorder="1" applyAlignment="1">
      <alignment horizontal="right" vertical="top" wrapText="1"/>
    </xf>
    <xf numFmtId="3" fontId="2" fillId="0" borderId="1" xfId="0" applyNumberFormat="1" applyFont="1" applyFill="1" applyBorder="1" applyAlignment="1"/>
    <xf numFmtId="3" fontId="2" fillId="0" borderId="7" xfId="0" applyNumberFormat="1" applyFont="1" applyFill="1" applyBorder="1" applyAlignment="1">
      <alignment horizontal="right" vertical="top" wrapText="1"/>
    </xf>
    <xf numFmtId="164" fontId="2" fillId="0" borderId="1" xfId="0" applyNumberFormat="1" applyFont="1" applyFill="1" applyBorder="1" applyAlignment="1">
      <alignment horizontal="right"/>
    </xf>
    <xf numFmtId="3" fontId="2" fillId="0" borderId="8" xfId="0" applyNumberFormat="1" applyFont="1" applyFill="1" applyBorder="1" applyAlignment="1">
      <alignment horizontal="right" vertical="top" wrapText="1"/>
    </xf>
    <xf numFmtId="3" fontId="2" fillId="2" borderId="8" xfId="0" applyNumberFormat="1" applyFont="1" applyFill="1" applyBorder="1" applyAlignment="1"/>
    <xf numFmtId="3" fontId="2" fillId="0" borderId="7" xfId="0" applyNumberFormat="1" applyFont="1" applyFill="1" applyBorder="1" applyAlignment="1"/>
    <xf numFmtId="3" fontId="2" fillId="0" borderId="9" xfId="0" applyNumberFormat="1" applyFont="1" applyFill="1" applyBorder="1" applyAlignment="1"/>
    <xf numFmtId="3" fontId="2" fillId="0" borderId="0" xfId="0" applyNumberFormat="1" applyFont="1" applyFill="1" applyAlignment="1"/>
    <xf numFmtId="0" fontId="2" fillId="0" borderId="0" xfId="0" applyNumberFormat="1" applyFont="1" applyFill="1" applyAlignment="1">
      <alignment horizontal="left" vertical="top" wrapText="1"/>
    </xf>
    <xf numFmtId="0" fontId="3" fillId="0" borderId="4" xfId="0" applyNumberFormat="1" applyFont="1" applyFill="1" applyBorder="1" applyAlignment="1">
      <alignment wrapText="1"/>
    </xf>
    <xf numFmtId="0" fontId="2" fillId="0" borderId="7" xfId="0" applyNumberFormat="1" applyFont="1" applyFill="1" applyBorder="1" applyAlignment="1">
      <alignment horizontal="right" vertical="top" wrapText="1"/>
    </xf>
    <xf numFmtId="0" fontId="2" fillId="0" borderId="2" xfId="0" applyNumberFormat="1" applyFont="1" applyFill="1" applyBorder="1" applyAlignment="1">
      <alignment horizontal="right" vertical="top" wrapText="1"/>
    </xf>
    <xf numFmtId="3" fontId="2" fillId="0" borderId="1" xfId="0" applyNumberFormat="1" applyFont="1" applyFill="1" applyBorder="1" applyAlignment="1">
      <alignment horizontal="right"/>
    </xf>
    <xf numFmtId="1" fontId="2" fillId="0" borderId="4" xfId="0" applyNumberFormat="1" applyFont="1" applyFill="1" applyBorder="1" applyAlignment="1"/>
    <xf numFmtId="0" fontId="3" fillId="0" borderId="0" xfId="0" applyNumberFormat="1" applyFont="1" applyFill="1" applyAlignment="1"/>
    <xf numFmtId="165" fontId="3" fillId="0" borderId="1" xfId="0" applyNumberFormat="1" applyFont="1" applyFill="1" applyBorder="1" applyAlignment="1">
      <alignment horizontal="center" wrapText="1"/>
    </xf>
    <xf numFmtId="1" fontId="2" fillId="0" borderId="0" xfId="0" applyNumberFormat="1" applyFont="1" applyFill="1" applyAlignment="1"/>
    <xf numFmtId="1" fontId="2" fillId="0" borderId="1" xfId="0" applyNumberFormat="1" applyFont="1" applyFill="1" applyBorder="1" applyAlignment="1"/>
    <xf numFmtId="0" fontId="2" fillId="0" borderId="6" xfId="0" applyNumberFormat="1" applyFont="1" applyFill="1" applyBorder="1" applyAlignment="1">
      <alignment wrapText="1"/>
    </xf>
    <xf numFmtId="3" fontId="2" fillId="0" borderId="2" xfId="0" applyNumberFormat="1" applyFont="1" applyFill="1" applyBorder="1" applyAlignment="1">
      <alignment vertical="center"/>
    </xf>
    <xf numFmtId="3" fontId="2" fillId="2" borderId="2" xfId="0" applyNumberFormat="1" applyFont="1" applyFill="1" applyBorder="1" applyAlignment="1">
      <alignment vertical="center"/>
    </xf>
    <xf numFmtId="0" fontId="2" fillId="0" borderId="0" xfId="0" applyNumberFormat="1" applyFont="1" applyFill="1" applyAlignment="1">
      <alignment vertical="top"/>
    </xf>
    <xf numFmtId="0" fontId="2" fillId="0" borderId="0" xfId="0" applyNumberFormat="1" applyFont="1" applyFill="1" applyAlignment="1">
      <alignment horizontal="left"/>
    </xf>
    <xf numFmtId="0" fontId="9" fillId="0" borderId="0" xfId="0" applyNumberFormat="1" applyFont="1" applyFill="1" applyAlignment="1"/>
    <xf numFmtId="0" fontId="2" fillId="2" borderId="2" xfId="0" applyNumberFormat="1" applyFont="1" applyFill="1" applyBorder="1" applyAlignment="1">
      <alignment horizontal="right"/>
    </xf>
    <xf numFmtId="1" fontId="2" fillId="2" borderId="2" xfId="0" applyNumberFormat="1" applyFont="1" applyFill="1" applyBorder="1" applyAlignment="1"/>
    <xf numFmtId="0" fontId="0" fillId="0" borderId="2" xfId="0" applyNumberFormat="1" applyFont="1" applyFill="1" applyBorder="1" applyAlignment="1">
      <alignment horizontal="right" wrapText="1"/>
    </xf>
    <xf numFmtId="0" fontId="0" fillId="0" borderId="6" xfId="0" applyNumberFormat="1" applyFont="1" applyFill="1" applyBorder="1" applyAlignment="1">
      <alignment horizontal="left" wrapText="1"/>
    </xf>
    <xf numFmtId="0" fontId="2" fillId="0" borderId="0" xfId="0" applyNumberFormat="1" applyFont="1" applyFill="1" applyAlignment="1">
      <alignment horizontal="right"/>
    </xf>
    <xf numFmtId="0" fontId="5" fillId="0" borderId="10" xfId="0" applyNumberFormat="1" applyFont="1" applyFill="1" applyBorder="1" applyAlignment="1">
      <alignment horizontal="center" vertical="top" wrapText="1"/>
    </xf>
    <xf numFmtId="166" fontId="2" fillId="0" borderId="2" xfId="0" applyNumberFormat="1" applyFont="1" applyFill="1" applyBorder="1" applyAlignment="1">
      <alignment horizontal="right" vertical="top" wrapText="1"/>
    </xf>
    <xf numFmtId="164" fontId="2" fillId="0" borderId="11" xfId="0" applyNumberFormat="1" applyFont="1" applyFill="1" applyBorder="1" applyAlignment="1"/>
    <xf numFmtId="0" fontId="2" fillId="0" borderId="11" xfId="0" applyNumberFormat="1" applyFont="1" applyFill="1" applyBorder="1" applyAlignment="1"/>
    <xf numFmtId="0" fontId="2" fillId="0" borderId="12" xfId="0" applyNumberFormat="1" applyFont="1" applyFill="1" applyBorder="1" applyAlignment="1"/>
    <xf numFmtId="3" fontId="2" fillId="0" borderId="2" xfId="0" applyNumberFormat="1" applyFont="1" applyFill="1" applyBorder="1" applyAlignment="1">
      <alignment horizontal="right" wrapText="1"/>
    </xf>
    <xf numFmtId="3" fontId="2" fillId="0" borderId="2" xfId="0" applyNumberFormat="1" applyFont="1" applyFill="1" applyBorder="1" applyAlignment="1">
      <alignment wrapText="1"/>
    </xf>
    <xf numFmtId="0" fontId="2" fillId="0" borderId="0" xfId="0" applyNumberFormat="1" applyFont="1" applyFill="1" applyAlignment="1">
      <alignment horizontal="left" vertical="top"/>
    </xf>
    <xf numFmtId="3" fontId="2" fillId="0" borderId="2" xfId="0" applyNumberFormat="1" applyFont="1" applyFill="1" applyBorder="1" applyAlignment="1">
      <alignment horizontal="right" vertical="top"/>
    </xf>
    <xf numFmtId="3" fontId="2" fillId="0" borderId="2" xfId="0" applyNumberFormat="1" applyFont="1" applyFill="1" applyBorder="1" applyAlignment="1">
      <alignment vertical="top"/>
    </xf>
    <xf numFmtId="167" fontId="2" fillId="0" borderId="2" xfId="0" applyNumberFormat="1" applyFont="1" applyFill="1" applyBorder="1" applyAlignment="1">
      <alignment horizontal="right"/>
    </xf>
    <xf numFmtId="0" fontId="3" fillId="0" borderId="6" xfId="0" applyNumberFormat="1" applyFont="1" applyFill="1" applyBorder="1" applyAlignment="1"/>
    <xf numFmtId="3" fontId="3" fillId="2" borderId="2" xfId="0" applyNumberFormat="1" applyFont="1" applyFill="1" applyBorder="1" applyAlignment="1"/>
    <xf numFmtId="164" fontId="3" fillId="0" borderId="2" xfId="0" applyNumberFormat="1" applyFont="1" applyFill="1" applyBorder="1" applyAlignment="1"/>
    <xf numFmtId="4" fontId="2" fillId="0" borderId="2" xfId="0" applyNumberFormat="1" applyFont="1" applyFill="1" applyBorder="1" applyAlignment="1">
      <alignment horizontal="right" vertical="top"/>
    </xf>
    <xf numFmtId="4" fontId="2" fillId="0" borderId="2" xfId="0" applyNumberFormat="1" applyFont="1" applyFill="1" applyBorder="1" applyAlignment="1"/>
    <xf numFmtId="4" fontId="2" fillId="2" borderId="2" xfId="0" applyNumberFormat="1" applyFont="1" applyFill="1" applyBorder="1" applyAlignment="1"/>
    <xf numFmtId="0" fontId="10" fillId="0" borderId="0" xfId="0" applyNumberFormat="1" applyFont="1" applyFill="1" applyAlignment="1"/>
    <xf numFmtId="0" fontId="2" fillId="0" borderId="2" xfId="0" applyNumberFormat="1" applyFont="1" applyFill="1" applyBorder="1" applyAlignment="1">
      <alignment wrapText="1"/>
    </xf>
    <xf numFmtId="0" fontId="2" fillId="0" borderId="4" xfId="0" applyNumberFormat="1" applyFont="1" applyFill="1" applyBorder="1" applyAlignment="1">
      <alignment wrapText="1"/>
    </xf>
    <xf numFmtId="0" fontId="2" fillId="0" borderId="1" xfId="0" applyNumberFormat="1" applyFont="1" applyFill="1" applyBorder="1" applyAlignment="1">
      <alignment wrapText="1"/>
    </xf>
    <xf numFmtId="3" fontId="2" fillId="0" borderId="7" xfId="0" applyNumberFormat="1" applyFont="1" applyFill="1" applyBorder="1" applyAlignment="1">
      <alignment vertical="top"/>
    </xf>
    <xf numFmtId="0" fontId="0" fillId="0" borderId="7" xfId="0" applyNumberFormat="1" applyFont="1" applyFill="1" applyBorder="1" applyAlignment="1">
      <alignment wrapText="1"/>
    </xf>
    <xf numFmtId="0" fontId="1" fillId="0" borderId="0" xfId="0" applyNumberFormat="1" applyFont="1" applyFill="1" applyAlignment="1"/>
    <xf numFmtId="0" fontId="2" fillId="0" borderId="0" xfId="0" applyNumberFormat="1" applyFont="1" applyFill="1" applyAlignment="1"/>
    <xf numFmtId="0" fontId="2" fillId="0" borderId="1" xfId="0" applyNumberFormat="1" applyFont="1" applyFill="1" applyBorder="1" applyAlignment="1"/>
    <xf numFmtId="0" fontId="3" fillId="0" borderId="4" xfId="0" applyNumberFormat="1" applyFont="1" applyFill="1" applyBorder="1" applyAlignment="1">
      <alignment horizontal="left"/>
    </xf>
    <xf numFmtId="0" fontId="2" fillId="0" borderId="4" xfId="0" applyNumberFormat="1" applyFont="1" applyFill="1" applyBorder="1" applyAlignment="1"/>
    <xf numFmtId="0" fontId="0" fillId="0" borderId="0" xfId="0">
      <alignment vertical="center"/>
    </xf>
    <xf numFmtId="0" fontId="4" fillId="0" borderId="0" xfId="0" applyNumberFormat="1" applyFont="1" applyFill="1" applyAlignment="1"/>
    <xf numFmtId="0" fontId="0" fillId="0" borderId="0" xfId="0" applyNumberFormat="1" applyFont="1" applyFill="1" applyAlignment="1">
      <alignment wrapText="1"/>
    </xf>
    <xf numFmtId="0" fontId="7" fillId="0" borderId="0" xfId="0" applyNumberFormat="1" applyFont="1" applyFill="1" applyAlignment="1">
      <alignment wrapText="1"/>
    </xf>
    <xf numFmtId="0" fontId="3" fillId="0" borderId="4" xfId="0" applyNumberFormat="1" applyFont="1" applyFill="1" applyBorder="1" applyAlignment="1"/>
    <xf numFmtId="165" fontId="3" fillId="0" borderId="4" xfId="0" applyNumberFormat="1" applyFont="1" applyFill="1" applyBorder="1" applyAlignment="1">
      <alignment horizontal="center" wrapText="1"/>
    </xf>
    <xf numFmtId="0" fontId="2" fillId="0" borderId="4" xfId="0" applyNumberFormat="1" applyFont="1" applyFill="1" applyBorder="1" applyAlignment="1">
      <alignment horizontal="left" vertical="top" wrapText="1"/>
    </xf>
    <xf numFmtId="0" fontId="0" fillId="0" borderId="4" xfId="0" applyNumberFormat="1" applyFont="1" applyFill="1" applyBorder="1" applyAlignment="1">
      <alignment wrapText="1"/>
    </xf>
    <xf numFmtId="165" fontId="3" fillId="0" borderId="5" xfId="0" applyNumberFormat="1" applyFont="1" applyFill="1" applyBorder="1" applyAlignment="1">
      <alignment horizontal="center" wrapText="1"/>
    </xf>
    <xf numFmtId="0" fontId="2" fillId="0" borderId="4" xfId="0" applyNumberFormat="1" applyFont="1" applyFill="1" applyBorder="1" applyAlignment="1">
      <alignment vertical="top"/>
    </xf>
    <xf numFmtId="0" fontId="2" fillId="0" borderId="5" xfId="0" applyNumberFormat="1" applyFont="1" applyFill="1" applyBorder="1" applyAlignment="1">
      <alignment vertical="top"/>
    </xf>
    <xf numFmtId="0" fontId="3" fillId="0" borderId="0" xfId="0" applyNumberFormat="1" applyFont="1" applyFill="1" applyAlignment="1"/>
    <xf numFmtId="0" fontId="2" fillId="0" borderId="1" xfId="0" applyNumberFormat="1" applyFont="1" applyFill="1" applyBorder="1" applyAlignment="1">
      <alignment vertical="top"/>
    </xf>
    <xf numFmtId="0" fontId="0" fillId="0" borderId="5" xfId="0" applyNumberFormat="1" applyFont="1" applyFill="1" applyBorder="1" applyAlignment="1">
      <alignment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10000"/>
      <rgbColor rgb="00C0C0C0"/>
      <rgbColor rgb="00FF6600"/>
      <rgbColor rgb="00FFFF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19"/>
  <sheetViews>
    <sheetView tabSelected="1" zoomScaleNormal="100" workbookViewId="0">
      <pane ySplit="5" topLeftCell="A6" activePane="bottomLeft" state="frozen"/>
      <selection pane="bottomLeft" activeCell="A6" sqref="A6"/>
    </sheetView>
  </sheetViews>
  <sheetFormatPr defaultColWidth="9.140625" defaultRowHeight="12.75" customHeight="1"/>
  <cols>
    <col min="1" max="1" width="44.42578125" customWidth="1"/>
    <col min="2" max="2" width="22.7109375" customWidth="1"/>
    <col min="3" max="3" width="9.42578125" customWidth="1"/>
    <col min="4" max="4" width="10.28515625" customWidth="1"/>
    <col min="5" max="5" width="8.140625" customWidth="1"/>
    <col min="6" max="6" width="14.42578125" customWidth="1"/>
    <col min="7" max="7" width="15" customWidth="1"/>
    <col min="8" max="8" width="12.28515625" customWidth="1"/>
    <col min="9" max="9" width="9.140625" customWidth="1"/>
  </cols>
  <sheetData>
    <row r="1" spans="1:9" ht="20.25">
      <c r="A1" s="139" t="s">
        <v>303</v>
      </c>
      <c r="B1" s="140"/>
      <c r="C1" s="3"/>
      <c r="D1" s="3"/>
      <c r="E1" s="3"/>
      <c r="F1" s="3"/>
      <c r="G1" s="2"/>
      <c r="H1" s="3"/>
      <c r="I1" s="2"/>
    </row>
    <row r="2" spans="1:9" ht="20.25">
      <c r="A2" s="1" t="s">
        <v>130</v>
      </c>
      <c r="B2" s="2"/>
      <c r="C2" s="3"/>
      <c r="D2" s="3"/>
      <c r="E2" s="3"/>
      <c r="F2" s="3"/>
      <c r="G2" s="2"/>
      <c r="H2" s="3"/>
      <c r="I2" s="2"/>
    </row>
    <row r="3" spans="1:9" ht="12.75" customHeight="1">
      <c r="A3" s="2"/>
      <c r="B3" s="2"/>
      <c r="C3" s="4"/>
      <c r="D3" s="3"/>
      <c r="E3" s="3"/>
      <c r="F3" s="3"/>
      <c r="G3" s="2"/>
      <c r="H3" s="3"/>
    </row>
    <row r="4" spans="1:9" ht="12.75" customHeight="1">
      <c r="A4" s="141" t="s">
        <v>19</v>
      </c>
      <c r="B4" s="141"/>
      <c r="C4" s="6"/>
      <c r="D4" s="7"/>
      <c r="E4" s="7"/>
      <c r="F4" s="7"/>
      <c r="G4" s="5"/>
      <c r="H4" s="7"/>
    </row>
    <row r="5" spans="1:9" ht="38.25">
      <c r="A5" s="8" t="s">
        <v>62</v>
      </c>
      <c r="B5" s="8" t="s">
        <v>330</v>
      </c>
      <c r="C5" s="8" t="s">
        <v>89</v>
      </c>
      <c r="D5" s="8" t="s">
        <v>328</v>
      </c>
      <c r="E5" s="8" t="s">
        <v>29</v>
      </c>
      <c r="F5" s="8" t="s">
        <v>16</v>
      </c>
      <c r="G5" s="8" t="s">
        <v>0</v>
      </c>
      <c r="H5" s="8" t="s">
        <v>120</v>
      </c>
      <c r="I5" s="9"/>
    </row>
    <row r="6" spans="1:9">
      <c r="A6" s="10" t="s">
        <v>98</v>
      </c>
      <c r="B6" s="10" t="s">
        <v>302</v>
      </c>
      <c r="C6" s="11">
        <v>2019</v>
      </c>
      <c r="D6" s="11">
        <v>2138</v>
      </c>
      <c r="E6" s="12"/>
      <c r="F6" s="12" t="s">
        <v>34</v>
      </c>
      <c r="G6" s="13">
        <v>14525.94</v>
      </c>
      <c r="H6" s="14">
        <f>G6/D6</f>
        <v>6.7941721234798882</v>
      </c>
      <c r="I6" s="15"/>
    </row>
    <row r="7" spans="1:9">
      <c r="A7" s="10" t="s">
        <v>294</v>
      </c>
      <c r="B7" s="10" t="s">
        <v>101</v>
      </c>
      <c r="C7" s="16" t="s">
        <v>34</v>
      </c>
      <c r="D7" s="17">
        <v>17171</v>
      </c>
      <c r="E7" s="16"/>
      <c r="F7" s="12" t="s">
        <v>34</v>
      </c>
      <c r="G7" s="18">
        <v>0</v>
      </c>
      <c r="H7" s="19" t="s">
        <v>34</v>
      </c>
      <c r="I7" s="15"/>
    </row>
    <row r="8" spans="1:9">
      <c r="A8" s="10" t="s">
        <v>76</v>
      </c>
      <c r="B8" s="10" t="s">
        <v>101</v>
      </c>
      <c r="C8" s="20" t="s">
        <v>34</v>
      </c>
      <c r="D8" s="21">
        <v>29482</v>
      </c>
      <c r="E8" s="20"/>
      <c r="F8" s="12" t="s">
        <v>34</v>
      </c>
      <c r="G8" s="22">
        <v>18300</v>
      </c>
      <c r="H8" s="23">
        <f>G8/D8</f>
        <v>0.62071772607014453</v>
      </c>
      <c r="I8" s="15"/>
    </row>
    <row r="9" spans="1:9">
      <c r="A9" s="10" t="s">
        <v>186</v>
      </c>
      <c r="B9" s="10" t="s">
        <v>101</v>
      </c>
      <c r="C9" s="12" t="s">
        <v>34</v>
      </c>
      <c r="D9" s="11">
        <v>17720</v>
      </c>
      <c r="E9" s="12"/>
      <c r="F9" s="12" t="s">
        <v>34</v>
      </c>
      <c r="G9" s="13">
        <v>0</v>
      </c>
      <c r="H9" s="14" t="s">
        <v>34</v>
      </c>
      <c r="I9" s="15"/>
    </row>
    <row r="10" spans="1:9">
      <c r="A10" s="10" t="s">
        <v>280</v>
      </c>
      <c r="B10" s="10" t="s">
        <v>103</v>
      </c>
      <c r="C10" s="12" t="s">
        <v>34</v>
      </c>
      <c r="D10" s="12" t="s">
        <v>34</v>
      </c>
      <c r="E10" s="12"/>
      <c r="F10" s="12" t="s">
        <v>34</v>
      </c>
      <c r="G10" s="13">
        <v>704.66</v>
      </c>
      <c r="H10" s="12" t="s">
        <v>34</v>
      </c>
      <c r="I10" s="15"/>
    </row>
    <row r="11" spans="1:9">
      <c r="A11" s="10" t="s">
        <v>28</v>
      </c>
      <c r="B11" s="10" t="s">
        <v>80</v>
      </c>
      <c r="C11" s="11">
        <v>81623</v>
      </c>
      <c r="D11" s="11">
        <v>276259</v>
      </c>
      <c r="E11" s="12"/>
      <c r="F11" s="11" t="s">
        <v>34</v>
      </c>
      <c r="G11" s="13">
        <v>19750.25</v>
      </c>
      <c r="H11" s="14">
        <f>G11/D11</f>
        <v>7.149178850281801E-2</v>
      </c>
      <c r="I11" s="15"/>
    </row>
    <row r="12" spans="1:9">
      <c r="A12" s="10" t="s">
        <v>232</v>
      </c>
      <c r="B12" s="10" t="s">
        <v>253</v>
      </c>
      <c r="C12" s="12" t="s">
        <v>34</v>
      </c>
      <c r="D12" s="11">
        <v>26</v>
      </c>
      <c r="E12" s="12"/>
      <c r="F12" s="12" t="s">
        <v>34</v>
      </c>
      <c r="G12" s="13">
        <v>0</v>
      </c>
      <c r="H12" s="14" t="s">
        <v>34</v>
      </c>
      <c r="I12" s="9"/>
    </row>
    <row r="13" spans="1:9">
      <c r="A13" s="10" t="s">
        <v>239</v>
      </c>
      <c r="B13" s="10" t="s">
        <v>253</v>
      </c>
      <c r="C13" s="12" t="s">
        <v>34</v>
      </c>
      <c r="D13" s="12">
        <v>7</v>
      </c>
      <c r="E13" s="12"/>
      <c r="F13" s="12" t="s">
        <v>34</v>
      </c>
      <c r="G13" s="13">
        <v>0</v>
      </c>
      <c r="H13" s="14" t="s">
        <v>34</v>
      </c>
      <c r="I13" s="9"/>
    </row>
    <row r="14" spans="1:9">
      <c r="A14" s="10" t="s">
        <v>94</v>
      </c>
      <c r="B14" s="10" t="s">
        <v>80</v>
      </c>
      <c r="C14" s="12">
        <v>837</v>
      </c>
      <c r="D14" s="12">
        <v>2714</v>
      </c>
      <c r="E14" s="12"/>
      <c r="F14" s="12" t="s">
        <v>34</v>
      </c>
      <c r="G14" s="13">
        <v>0</v>
      </c>
      <c r="H14" s="14" t="s">
        <v>34</v>
      </c>
      <c r="I14" s="15"/>
    </row>
    <row r="15" spans="1:9">
      <c r="A15" s="10" t="s">
        <v>208</v>
      </c>
      <c r="B15" s="10" t="s">
        <v>37</v>
      </c>
      <c r="C15" s="11">
        <v>824</v>
      </c>
      <c r="D15" s="11">
        <v>3016</v>
      </c>
      <c r="E15" s="11"/>
      <c r="F15" s="12" t="s">
        <v>34</v>
      </c>
      <c r="G15" s="13">
        <v>5814</v>
      </c>
      <c r="H15" s="14">
        <f>G15/D15</f>
        <v>1.9277188328912467</v>
      </c>
      <c r="I15" s="15"/>
    </row>
    <row r="16" spans="1:9">
      <c r="A16" s="10" t="s">
        <v>182</v>
      </c>
      <c r="B16" s="10" t="s">
        <v>37</v>
      </c>
      <c r="C16" s="11">
        <v>26</v>
      </c>
      <c r="D16" s="11">
        <v>50</v>
      </c>
      <c r="E16" s="11"/>
      <c r="F16" s="12" t="s">
        <v>34</v>
      </c>
      <c r="G16" s="13">
        <v>10454</v>
      </c>
      <c r="H16" s="14">
        <f>G16/D16</f>
        <v>209.08</v>
      </c>
      <c r="I16" s="15"/>
    </row>
    <row r="17" spans="1:9">
      <c r="A17" s="10" t="s">
        <v>195</v>
      </c>
      <c r="B17" s="10" t="s">
        <v>253</v>
      </c>
      <c r="C17" s="11">
        <v>1194</v>
      </c>
      <c r="D17" s="11">
        <v>6719</v>
      </c>
      <c r="E17" s="24">
        <v>84</v>
      </c>
      <c r="F17" s="12" t="s">
        <v>34</v>
      </c>
      <c r="G17" s="13">
        <v>0</v>
      </c>
      <c r="H17" s="14" t="s">
        <v>34</v>
      </c>
      <c r="I17" s="15"/>
    </row>
    <row r="18" spans="1:9">
      <c r="A18" s="10" t="s">
        <v>22</v>
      </c>
      <c r="B18" s="10" t="s">
        <v>22</v>
      </c>
      <c r="C18" s="11" t="s">
        <v>34</v>
      </c>
      <c r="D18" s="11" t="s">
        <v>34</v>
      </c>
      <c r="E18" s="12"/>
      <c r="F18" s="12" t="s">
        <v>34</v>
      </c>
      <c r="G18" s="13">
        <v>31250</v>
      </c>
      <c r="H18" s="14" t="s">
        <v>34</v>
      </c>
      <c r="I18" s="15"/>
    </row>
    <row r="19" spans="1:9" ht="12.75" customHeight="1">
      <c r="A19" s="10" t="s">
        <v>3</v>
      </c>
      <c r="B19" s="10" t="s">
        <v>277</v>
      </c>
      <c r="C19" s="20" t="s">
        <v>34</v>
      </c>
      <c r="D19" s="11">
        <v>3854</v>
      </c>
      <c r="E19" s="11"/>
      <c r="F19" s="12" t="s">
        <v>34</v>
      </c>
      <c r="G19" s="13">
        <v>0</v>
      </c>
      <c r="H19" s="14" t="s">
        <v>34</v>
      </c>
      <c r="I19" s="15"/>
    </row>
    <row r="20" spans="1:9" ht="12.75" customHeight="1">
      <c r="A20" s="10" t="s">
        <v>2</v>
      </c>
      <c r="B20" s="10" t="s">
        <v>277</v>
      </c>
      <c r="C20" s="20" t="s">
        <v>34</v>
      </c>
      <c r="D20" s="11">
        <v>403</v>
      </c>
      <c r="E20" s="11"/>
      <c r="F20" s="12" t="s">
        <v>34</v>
      </c>
      <c r="G20" s="13">
        <v>0</v>
      </c>
      <c r="H20" s="14" t="s">
        <v>34</v>
      </c>
      <c r="I20" s="15"/>
    </row>
    <row r="21" spans="1:9" ht="12.75" customHeight="1">
      <c r="A21" s="10" t="s">
        <v>96</v>
      </c>
      <c r="B21" s="10" t="s">
        <v>277</v>
      </c>
      <c r="C21" s="20" t="s">
        <v>34</v>
      </c>
      <c r="D21" s="11">
        <v>2090</v>
      </c>
      <c r="E21" s="11"/>
      <c r="F21" s="12" t="s">
        <v>34</v>
      </c>
      <c r="G21" s="13">
        <v>0</v>
      </c>
      <c r="H21" s="14" t="s">
        <v>34</v>
      </c>
      <c r="I21" s="15"/>
    </row>
    <row r="22" spans="1:9">
      <c r="A22" s="10" t="s">
        <v>134</v>
      </c>
      <c r="B22" s="10" t="s">
        <v>277</v>
      </c>
      <c r="C22" s="20" t="s">
        <v>34</v>
      </c>
      <c r="D22" s="11">
        <v>1993</v>
      </c>
      <c r="E22" s="11"/>
      <c r="F22" s="12" t="s">
        <v>34</v>
      </c>
      <c r="G22" s="13">
        <v>0</v>
      </c>
      <c r="H22" s="14" t="s">
        <v>34</v>
      </c>
      <c r="I22" s="15"/>
    </row>
    <row r="23" spans="1:9">
      <c r="A23" s="10" t="s">
        <v>118</v>
      </c>
      <c r="B23" s="10" t="s">
        <v>277</v>
      </c>
      <c r="C23" s="20" t="s">
        <v>34</v>
      </c>
      <c r="D23" s="11">
        <v>1881</v>
      </c>
      <c r="E23" s="11"/>
      <c r="F23" s="12" t="s">
        <v>34</v>
      </c>
      <c r="G23" s="13">
        <v>0</v>
      </c>
      <c r="H23" s="14" t="s">
        <v>34</v>
      </c>
      <c r="I23" s="15"/>
    </row>
    <row r="24" spans="1:9">
      <c r="A24" s="10" t="s">
        <v>53</v>
      </c>
      <c r="B24" s="10" t="s">
        <v>277</v>
      </c>
      <c r="C24" s="20" t="s">
        <v>34</v>
      </c>
      <c r="D24" s="11">
        <v>11615</v>
      </c>
      <c r="E24" s="11"/>
      <c r="F24" s="12" t="s">
        <v>34</v>
      </c>
      <c r="G24" s="13">
        <v>7717</v>
      </c>
      <c r="H24" s="14">
        <f>G24/D24</f>
        <v>0.66439948342660349</v>
      </c>
      <c r="I24" s="15"/>
    </row>
    <row r="25" spans="1:9">
      <c r="A25" s="10" t="s">
        <v>221</v>
      </c>
      <c r="B25" s="10" t="s">
        <v>37</v>
      </c>
      <c r="C25" s="11">
        <v>334</v>
      </c>
      <c r="D25" s="11">
        <v>1174</v>
      </c>
      <c r="E25" s="11"/>
      <c r="F25" s="12" t="s">
        <v>34</v>
      </c>
      <c r="G25" s="13">
        <v>3312</v>
      </c>
      <c r="H25" s="14">
        <f>G25/D25</f>
        <v>2.8211243611584327</v>
      </c>
      <c r="I25" s="15"/>
    </row>
    <row r="26" spans="1:9">
      <c r="A26" s="10" t="s">
        <v>99</v>
      </c>
      <c r="B26" s="10" t="s">
        <v>266</v>
      </c>
      <c r="C26" s="11">
        <v>1135</v>
      </c>
      <c r="D26" s="11">
        <v>3506</v>
      </c>
      <c r="E26" s="11">
        <v>10</v>
      </c>
      <c r="F26" s="12" t="s">
        <v>34</v>
      </c>
      <c r="G26" s="13">
        <v>24867</v>
      </c>
      <c r="H26" s="14">
        <f>G26/D26</f>
        <v>7.0926982316029665</v>
      </c>
      <c r="I26" s="15"/>
    </row>
    <row r="27" spans="1:9">
      <c r="A27" s="10" t="s">
        <v>203</v>
      </c>
      <c r="B27" s="10" t="s">
        <v>12</v>
      </c>
      <c r="C27" s="11">
        <v>5</v>
      </c>
      <c r="D27" s="11">
        <v>6</v>
      </c>
      <c r="E27" s="11"/>
      <c r="F27" s="12" t="s">
        <v>34</v>
      </c>
      <c r="G27" s="13">
        <v>0</v>
      </c>
      <c r="H27" s="14" t="s">
        <v>34</v>
      </c>
      <c r="I27" s="15"/>
    </row>
    <row r="28" spans="1:9" ht="12.75" customHeight="1">
      <c r="A28" s="10" t="s">
        <v>205</v>
      </c>
      <c r="B28" s="10" t="s">
        <v>205</v>
      </c>
      <c r="C28" s="11" t="s">
        <v>34</v>
      </c>
      <c r="D28" s="11" t="s">
        <v>34</v>
      </c>
      <c r="E28" s="12"/>
      <c r="F28" s="12" t="s">
        <v>34</v>
      </c>
      <c r="G28" s="13">
        <v>895.5</v>
      </c>
      <c r="H28" s="14" t="s">
        <v>34</v>
      </c>
      <c r="I28" s="15"/>
    </row>
    <row r="29" spans="1:9">
      <c r="A29" s="10" t="s">
        <v>332</v>
      </c>
      <c r="B29" s="10" t="s">
        <v>80</v>
      </c>
      <c r="C29" s="11">
        <v>10837</v>
      </c>
      <c r="D29" s="11">
        <v>47988</v>
      </c>
      <c r="E29" s="12"/>
      <c r="F29" s="12" t="s">
        <v>34</v>
      </c>
      <c r="G29" s="13">
        <v>5533</v>
      </c>
      <c r="H29" s="14">
        <f>G29/D29</f>
        <v>0.1152996582478953</v>
      </c>
      <c r="I29" s="15"/>
    </row>
    <row r="30" spans="1:9">
      <c r="A30" s="10" t="s">
        <v>142</v>
      </c>
      <c r="B30" s="10" t="s">
        <v>253</v>
      </c>
      <c r="C30" s="11">
        <v>115</v>
      </c>
      <c r="D30" s="11">
        <v>141</v>
      </c>
      <c r="E30" s="24"/>
      <c r="F30" s="12" t="s">
        <v>34</v>
      </c>
      <c r="G30" s="13">
        <v>0</v>
      </c>
      <c r="H30" s="14" t="s">
        <v>34</v>
      </c>
      <c r="I30" s="15"/>
    </row>
    <row r="31" spans="1:9">
      <c r="A31" s="10" t="s">
        <v>192</v>
      </c>
      <c r="B31" s="10" t="s">
        <v>329</v>
      </c>
      <c r="C31" s="11">
        <v>109</v>
      </c>
      <c r="D31" s="11" t="s">
        <v>34</v>
      </c>
      <c r="E31" s="12"/>
      <c r="F31" s="12" t="s">
        <v>34</v>
      </c>
      <c r="G31" s="13">
        <v>615.47</v>
      </c>
      <c r="H31" s="14" t="s">
        <v>34</v>
      </c>
      <c r="I31" s="15"/>
    </row>
    <row r="32" spans="1:9">
      <c r="A32" s="10" t="s">
        <v>188</v>
      </c>
      <c r="B32" s="10" t="s">
        <v>304</v>
      </c>
      <c r="C32" s="11">
        <v>1296</v>
      </c>
      <c r="D32" s="11">
        <v>290</v>
      </c>
      <c r="E32" s="12"/>
      <c r="F32" s="11" t="s">
        <v>34</v>
      </c>
      <c r="G32" s="25">
        <v>2995</v>
      </c>
      <c r="H32" s="14">
        <f t="shared" ref="H32:H37" si="0">G32/D32</f>
        <v>10.327586206896552</v>
      </c>
      <c r="I32" s="15"/>
    </row>
    <row r="33" spans="1:9">
      <c r="A33" s="10" t="s">
        <v>87</v>
      </c>
      <c r="B33" s="10" t="s">
        <v>87</v>
      </c>
      <c r="C33" s="12" t="s">
        <v>34</v>
      </c>
      <c r="D33" s="11">
        <v>279</v>
      </c>
      <c r="E33" s="12"/>
      <c r="F33" s="12" t="s">
        <v>34</v>
      </c>
      <c r="G33" s="13">
        <v>1363</v>
      </c>
      <c r="H33" s="14">
        <f t="shared" si="0"/>
        <v>4.8853046594982077</v>
      </c>
      <c r="I33" s="15"/>
    </row>
    <row r="34" spans="1:9">
      <c r="A34" s="10" t="s">
        <v>207</v>
      </c>
      <c r="B34" s="10" t="s">
        <v>277</v>
      </c>
      <c r="C34" s="20" t="s">
        <v>34</v>
      </c>
      <c r="D34" s="11">
        <v>8783</v>
      </c>
      <c r="E34" s="12"/>
      <c r="F34" s="12" t="s">
        <v>34</v>
      </c>
      <c r="G34" s="13">
        <v>2880</v>
      </c>
      <c r="H34" s="14">
        <f t="shared" si="0"/>
        <v>0.32790618239781394</v>
      </c>
      <c r="I34" s="15"/>
    </row>
    <row r="35" spans="1:9">
      <c r="A35" s="10" t="s">
        <v>168</v>
      </c>
      <c r="B35" s="10" t="s">
        <v>56</v>
      </c>
      <c r="C35" s="11">
        <v>1494</v>
      </c>
      <c r="D35" s="11">
        <v>6224</v>
      </c>
      <c r="E35" s="12"/>
      <c r="F35" s="12" t="s">
        <v>34</v>
      </c>
      <c r="G35" s="13">
        <v>15989</v>
      </c>
      <c r="H35" s="14">
        <f t="shared" si="0"/>
        <v>2.568926735218509</v>
      </c>
      <c r="I35" s="15"/>
    </row>
    <row r="36" spans="1:9">
      <c r="A36" s="10" t="s">
        <v>73</v>
      </c>
      <c r="B36" s="10" t="s">
        <v>277</v>
      </c>
      <c r="C36" s="11" t="s">
        <v>34</v>
      </c>
      <c r="D36" s="11">
        <v>169880</v>
      </c>
      <c r="E36" s="12"/>
      <c r="F36" s="12" t="s">
        <v>34</v>
      </c>
      <c r="G36" s="13">
        <v>64582</v>
      </c>
      <c r="H36" s="14">
        <f t="shared" si="0"/>
        <v>0.3801624676242053</v>
      </c>
      <c r="I36" s="15"/>
    </row>
    <row r="37" spans="1:9">
      <c r="A37" s="10" t="s">
        <v>151</v>
      </c>
      <c r="B37" s="10" t="s">
        <v>101</v>
      </c>
      <c r="C37" s="12" t="s">
        <v>34</v>
      </c>
      <c r="D37" s="11">
        <v>17563</v>
      </c>
      <c r="E37" s="12"/>
      <c r="F37" s="12" t="s">
        <v>34</v>
      </c>
      <c r="G37" s="13">
        <v>5585</v>
      </c>
      <c r="H37" s="14">
        <f t="shared" si="0"/>
        <v>0.31799806411205372</v>
      </c>
      <c r="I37" s="15"/>
    </row>
    <row r="38" spans="1:9">
      <c r="A38" s="10" t="s">
        <v>15</v>
      </c>
      <c r="B38" s="10" t="s">
        <v>80</v>
      </c>
      <c r="C38" s="11">
        <v>1244</v>
      </c>
      <c r="D38" s="11">
        <v>4090</v>
      </c>
      <c r="E38" s="12"/>
      <c r="F38" s="12" t="s">
        <v>34</v>
      </c>
      <c r="G38" s="13">
        <v>0</v>
      </c>
      <c r="H38" s="14" t="s">
        <v>34</v>
      </c>
      <c r="I38" s="15"/>
    </row>
    <row r="39" spans="1:9">
      <c r="A39" s="10" t="s">
        <v>245</v>
      </c>
      <c r="B39" s="10" t="s">
        <v>80</v>
      </c>
      <c r="C39" s="11">
        <v>106486</v>
      </c>
      <c r="D39" s="11">
        <v>372201</v>
      </c>
      <c r="E39" s="12"/>
      <c r="F39" s="11">
        <v>241369</v>
      </c>
      <c r="G39" s="13">
        <v>78861.25</v>
      </c>
      <c r="H39" s="14">
        <f>G39/D39</f>
        <v>0.21187812499160399</v>
      </c>
      <c r="I39" s="15"/>
    </row>
    <row r="40" spans="1:9" ht="12.75" customHeight="1">
      <c r="A40" s="10" t="s">
        <v>320</v>
      </c>
      <c r="B40" s="10" t="s">
        <v>277</v>
      </c>
      <c r="C40" s="20" t="s">
        <v>34</v>
      </c>
      <c r="D40" s="11">
        <v>5451</v>
      </c>
      <c r="E40" s="12"/>
      <c r="F40" s="12" t="s">
        <v>34</v>
      </c>
      <c r="G40" s="13">
        <v>4200</v>
      </c>
      <c r="H40" s="14">
        <f>G40/D40</f>
        <v>0.77050082553659882</v>
      </c>
      <c r="I40" s="15"/>
    </row>
    <row r="41" spans="1:9">
      <c r="A41" s="10" t="s">
        <v>313</v>
      </c>
      <c r="B41" s="10" t="s">
        <v>37</v>
      </c>
      <c r="C41" s="11">
        <v>35</v>
      </c>
      <c r="D41" s="11">
        <v>133</v>
      </c>
      <c r="E41" s="11">
        <v>12</v>
      </c>
      <c r="F41" s="12" t="s">
        <v>34</v>
      </c>
      <c r="G41" s="13">
        <v>14360</v>
      </c>
      <c r="H41" s="14">
        <f>G41/D41</f>
        <v>107.96992481203007</v>
      </c>
      <c r="I41" s="15"/>
    </row>
    <row r="42" spans="1:9">
      <c r="A42" s="10" t="s">
        <v>275</v>
      </c>
      <c r="B42" s="10" t="s">
        <v>287</v>
      </c>
      <c r="C42" s="11">
        <v>1321</v>
      </c>
      <c r="D42" s="11">
        <v>4707</v>
      </c>
      <c r="E42" s="24"/>
      <c r="F42" s="12" t="s">
        <v>34</v>
      </c>
      <c r="G42" s="13">
        <v>9634</v>
      </c>
      <c r="H42" s="14">
        <f>G42/D42</f>
        <v>2.0467388995113662</v>
      </c>
      <c r="I42" s="15"/>
    </row>
    <row r="43" spans="1:9">
      <c r="A43" s="10" t="s">
        <v>158</v>
      </c>
      <c r="B43" s="10" t="s">
        <v>287</v>
      </c>
      <c r="C43" s="20" t="s">
        <v>34</v>
      </c>
      <c r="D43" s="11" t="s">
        <v>34</v>
      </c>
      <c r="E43" s="24"/>
      <c r="F43" s="11" t="s">
        <v>34</v>
      </c>
      <c r="G43" s="13" t="s">
        <v>34</v>
      </c>
      <c r="H43" s="14" t="s">
        <v>34</v>
      </c>
      <c r="I43" s="15"/>
    </row>
    <row r="44" spans="1:9" ht="12.75" customHeight="1">
      <c r="A44" s="10" t="s">
        <v>47</v>
      </c>
      <c r="B44" s="10" t="s">
        <v>277</v>
      </c>
      <c r="C44" s="20" t="s">
        <v>34</v>
      </c>
      <c r="D44" s="11">
        <v>7823</v>
      </c>
      <c r="E44" s="12"/>
      <c r="F44" s="12" t="s">
        <v>34</v>
      </c>
      <c r="G44" s="13">
        <v>0</v>
      </c>
      <c r="H44" s="14" t="s">
        <v>34</v>
      </c>
      <c r="I44" s="15"/>
    </row>
    <row r="45" spans="1:9">
      <c r="A45" s="10" t="s">
        <v>23</v>
      </c>
      <c r="B45" s="10" t="s">
        <v>253</v>
      </c>
      <c r="C45" s="11">
        <v>1400</v>
      </c>
      <c r="D45" s="11">
        <v>3072</v>
      </c>
      <c r="E45" s="24">
        <v>143</v>
      </c>
      <c r="F45" s="12" t="s">
        <v>34</v>
      </c>
      <c r="G45" s="13">
        <v>0</v>
      </c>
      <c r="H45" s="14" t="s">
        <v>34</v>
      </c>
      <c r="I45" s="15"/>
    </row>
    <row r="46" spans="1:9">
      <c r="A46" s="10" t="s">
        <v>166</v>
      </c>
      <c r="B46" s="10" t="s">
        <v>80</v>
      </c>
      <c r="C46" s="11">
        <v>1001</v>
      </c>
      <c r="D46" s="11">
        <v>3153</v>
      </c>
      <c r="E46" s="24"/>
      <c r="F46" s="12" t="s">
        <v>34</v>
      </c>
      <c r="G46" s="13">
        <v>995</v>
      </c>
      <c r="H46" s="14">
        <f>G46/D46</f>
        <v>0.31557247066286076</v>
      </c>
      <c r="I46" s="15"/>
    </row>
    <row r="47" spans="1:9">
      <c r="A47" s="10" t="s">
        <v>18</v>
      </c>
      <c r="B47" s="10" t="s">
        <v>253</v>
      </c>
      <c r="C47" s="12" t="s">
        <v>34</v>
      </c>
      <c r="D47" s="11">
        <v>184</v>
      </c>
      <c r="E47" s="12"/>
      <c r="F47" s="12" t="s">
        <v>34</v>
      </c>
      <c r="G47" s="13">
        <v>0</v>
      </c>
      <c r="H47" s="14" t="s">
        <v>34</v>
      </c>
      <c r="I47" s="15"/>
    </row>
    <row r="48" spans="1:9">
      <c r="A48" s="10" t="s">
        <v>116</v>
      </c>
      <c r="B48" s="10" t="s">
        <v>253</v>
      </c>
      <c r="C48" s="11">
        <v>12138</v>
      </c>
      <c r="D48" s="11">
        <v>33235</v>
      </c>
      <c r="E48" s="11">
        <v>1240</v>
      </c>
      <c r="F48" s="12" t="s">
        <v>34</v>
      </c>
      <c r="G48" s="13">
        <v>9215</v>
      </c>
      <c r="H48" s="14">
        <f>G48/D48</f>
        <v>0.27726794042425157</v>
      </c>
      <c r="I48" s="15"/>
    </row>
    <row r="49" spans="1:9">
      <c r="A49" s="10" t="s">
        <v>291</v>
      </c>
      <c r="B49" s="10" t="s">
        <v>112</v>
      </c>
      <c r="C49" s="11" t="s">
        <v>34</v>
      </c>
      <c r="D49" s="11">
        <v>3133</v>
      </c>
      <c r="E49" s="24"/>
      <c r="F49" s="12" t="s">
        <v>34</v>
      </c>
      <c r="G49" s="13">
        <v>3914</v>
      </c>
      <c r="H49" s="14">
        <f>G49/D49</f>
        <v>1.2492818384934568</v>
      </c>
      <c r="I49" s="15"/>
    </row>
    <row r="50" spans="1:9">
      <c r="A50" s="10" t="s">
        <v>58</v>
      </c>
      <c r="B50" s="10" t="s">
        <v>80</v>
      </c>
      <c r="C50" s="11">
        <v>664</v>
      </c>
      <c r="D50" s="11">
        <v>2112</v>
      </c>
      <c r="E50" s="12"/>
      <c r="F50" s="12" t="s">
        <v>34</v>
      </c>
      <c r="G50" s="13">
        <v>0</v>
      </c>
      <c r="H50" s="14" t="s">
        <v>34</v>
      </c>
      <c r="I50" s="15"/>
    </row>
    <row r="51" spans="1:9">
      <c r="A51" s="10" t="s">
        <v>220</v>
      </c>
      <c r="B51" s="10" t="s">
        <v>253</v>
      </c>
      <c r="C51" s="12" t="s">
        <v>34</v>
      </c>
      <c r="D51" s="11">
        <v>151</v>
      </c>
      <c r="E51" s="12"/>
      <c r="F51" s="12" t="s">
        <v>34</v>
      </c>
      <c r="G51" s="25">
        <v>0</v>
      </c>
      <c r="H51" s="14" t="s">
        <v>34</v>
      </c>
      <c r="I51" s="9"/>
    </row>
    <row r="52" spans="1:9" ht="12.75" customHeight="1">
      <c r="A52" s="10" t="s">
        <v>237</v>
      </c>
      <c r="B52" s="10" t="s">
        <v>277</v>
      </c>
      <c r="C52" s="12" t="s">
        <v>34</v>
      </c>
      <c r="D52" s="11">
        <v>3785</v>
      </c>
      <c r="E52" s="12"/>
      <c r="F52" s="12" t="s">
        <v>34</v>
      </c>
      <c r="G52" s="13">
        <v>5850</v>
      </c>
      <c r="H52" s="14">
        <f>G52/D52</f>
        <v>1.5455746367239103</v>
      </c>
      <c r="I52" s="9"/>
    </row>
    <row r="53" spans="1:9">
      <c r="A53" s="10" t="s">
        <v>204</v>
      </c>
      <c r="B53" s="10" t="s">
        <v>277</v>
      </c>
      <c r="C53" s="12" t="s">
        <v>34</v>
      </c>
      <c r="D53" s="11">
        <v>1771</v>
      </c>
      <c r="E53" s="12"/>
      <c r="F53" s="12" t="s">
        <v>34</v>
      </c>
      <c r="G53" s="13">
        <v>0</v>
      </c>
      <c r="H53" s="14" t="s">
        <v>34</v>
      </c>
      <c r="I53" s="9"/>
    </row>
    <row r="54" spans="1:9">
      <c r="A54" s="10" t="s">
        <v>115</v>
      </c>
      <c r="B54" s="10" t="s">
        <v>253</v>
      </c>
      <c r="C54" s="11">
        <v>139</v>
      </c>
      <c r="D54" s="11">
        <v>213</v>
      </c>
      <c r="E54" s="24"/>
      <c r="F54" s="12" t="s">
        <v>34</v>
      </c>
      <c r="G54" s="13">
        <v>0</v>
      </c>
      <c r="H54" s="14" t="s">
        <v>34</v>
      </c>
      <c r="I54" s="15"/>
    </row>
    <row r="55" spans="1:9">
      <c r="A55" s="10" t="s">
        <v>105</v>
      </c>
      <c r="B55" s="10" t="s">
        <v>148</v>
      </c>
      <c r="C55" s="11">
        <v>490</v>
      </c>
      <c r="D55" s="11">
        <v>968</v>
      </c>
      <c r="E55" s="11">
        <v>11</v>
      </c>
      <c r="F55" s="12" t="s">
        <v>34</v>
      </c>
      <c r="G55" s="13">
        <v>1500</v>
      </c>
      <c r="H55" s="14">
        <f>G55/D55</f>
        <v>1.5495867768595042</v>
      </c>
      <c r="I55" s="15"/>
    </row>
    <row r="56" spans="1:9">
      <c r="A56" s="10" t="s">
        <v>21</v>
      </c>
      <c r="B56" s="10" t="s">
        <v>80</v>
      </c>
      <c r="C56" s="11">
        <v>665</v>
      </c>
      <c r="D56" s="11">
        <v>2334</v>
      </c>
      <c r="E56" s="12"/>
      <c r="F56" s="12" t="s">
        <v>34</v>
      </c>
      <c r="G56" s="13">
        <v>0</v>
      </c>
      <c r="H56" s="14" t="s">
        <v>34</v>
      </c>
      <c r="I56" s="15"/>
    </row>
    <row r="57" spans="1:9" ht="25.5">
      <c r="A57" s="10" t="s">
        <v>244</v>
      </c>
      <c r="B57" s="10" t="s">
        <v>37</v>
      </c>
      <c r="C57" s="11">
        <v>83</v>
      </c>
      <c r="D57" s="11">
        <v>222</v>
      </c>
      <c r="E57" s="11"/>
      <c r="F57" s="12" t="s">
        <v>34</v>
      </c>
      <c r="G57" s="13">
        <v>14792</v>
      </c>
      <c r="H57" s="14">
        <f>G57/D57</f>
        <v>66.630630630630634</v>
      </c>
      <c r="I57" s="15"/>
    </row>
    <row r="58" spans="1:9">
      <c r="A58" s="10" t="s">
        <v>74</v>
      </c>
      <c r="B58" s="10" t="s">
        <v>80</v>
      </c>
      <c r="C58" s="11">
        <v>694</v>
      </c>
      <c r="D58" s="11">
        <v>2480</v>
      </c>
      <c r="E58" s="12"/>
      <c r="F58" s="12" t="s">
        <v>34</v>
      </c>
      <c r="G58" s="13">
        <v>28450</v>
      </c>
      <c r="H58" s="14">
        <f>G58/D58</f>
        <v>11.471774193548388</v>
      </c>
      <c r="I58" s="15"/>
    </row>
    <row r="59" spans="1:9">
      <c r="A59" s="10" t="s">
        <v>217</v>
      </c>
      <c r="B59" s="10" t="s">
        <v>277</v>
      </c>
      <c r="C59" s="11" t="s">
        <v>34</v>
      </c>
      <c r="D59" s="11">
        <v>3025</v>
      </c>
      <c r="E59" s="12"/>
      <c r="F59" s="12" t="s">
        <v>34</v>
      </c>
      <c r="G59" s="13">
        <v>3600</v>
      </c>
      <c r="H59" s="14">
        <f>G59/D59</f>
        <v>1.1900826446280992</v>
      </c>
      <c r="I59" s="15"/>
    </row>
    <row r="60" spans="1:9">
      <c r="A60" s="10" t="s">
        <v>78</v>
      </c>
      <c r="B60" s="10" t="s">
        <v>249</v>
      </c>
      <c r="C60" s="12">
        <v>7035</v>
      </c>
      <c r="D60" s="12">
        <v>5112</v>
      </c>
      <c r="E60" s="12"/>
      <c r="F60" s="12" t="s">
        <v>34</v>
      </c>
      <c r="G60" s="13">
        <v>121200</v>
      </c>
      <c r="H60" s="12">
        <v>23.71</v>
      </c>
      <c r="I60" s="9"/>
    </row>
    <row r="61" spans="1:9">
      <c r="A61" s="10" t="s">
        <v>279</v>
      </c>
      <c r="B61" s="10" t="s">
        <v>279</v>
      </c>
      <c r="C61" s="12" t="s">
        <v>34</v>
      </c>
      <c r="D61" s="12">
        <v>712</v>
      </c>
      <c r="E61" s="12"/>
      <c r="F61" s="12" t="s">
        <v>34</v>
      </c>
      <c r="G61" s="13">
        <v>1757.5</v>
      </c>
      <c r="H61" s="14">
        <f t="shared" ref="H61:H66" si="1">G61/D61</f>
        <v>2.4683988764044944</v>
      </c>
      <c r="I61" s="15"/>
    </row>
    <row r="62" spans="1:9">
      <c r="A62" s="10" t="s">
        <v>290</v>
      </c>
      <c r="B62" s="10" t="s">
        <v>243</v>
      </c>
      <c r="C62" s="11" t="s">
        <v>34</v>
      </c>
      <c r="D62" s="11">
        <v>37925</v>
      </c>
      <c r="E62" s="12"/>
      <c r="F62" s="11" t="s">
        <v>34</v>
      </c>
      <c r="G62" s="13">
        <v>24073.65</v>
      </c>
      <c r="H62" s="14">
        <f t="shared" si="1"/>
        <v>0.63476994067237968</v>
      </c>
      <c r="I62" s="15"/>
    </row>
    <row r="63" spans="1:9">
      <c r="A63" s="10" t="s">
        <v>296</v>
      </c>
      <c r="B63" s="10" t="s">
        <v>243</v>
      </c>
      <c r="C63" s="11" t="s">
        <v>34</v>
      </c>
      <c r="D63" s="11">
        <v>1633</v>
      </c>
      <c r="E63" s="12"/>
      <c r="F63" s="11" t="s">
        <v>34</v>
      </c>
      <c r="G63" s="13">
        <v>8033.15</v>
      </c>
      <c r="H63" s="14">
        <f t="shared" si="1"/>
        <v>4.9192590324556029</v>
      </c>
      <c r="I63" s="15"/>
    </row>
    <row r="64" spans="1:9">
      <c r="A64" s="10" t="s">
        <v>274</v>
      </c>
      <c r="B64" s="10" t="s">
        <v>243</v>
      </c>
      <c r="C64" s="11" t="s">
        <v>34</v>
      </c>
      <c r="D64" s="11">
        <v>1764</v>
      </c>
      <c r="E64" s="12"/>
      <c r="F64" s="11" t="s">
        <v>34</v>
      </c>
      <c r="G64" s="13">
        <v>4735</v>
      </c>
      <c r="H64" s="14">
        <f t="shared" si="1"/>
        <v>2.6842403628117912</v>
      </c>
      <c r="I64" s="15"/>
    </row>
    <row r="65" spans="1:9">
      <c r="A65" s="10" t="s">
        <v>181</v>
      </c>
      <c r="B65" s="10" t="s">
        <v>80</v>
      </c>
      <c r="C65" s="11">
        <v>5573</v>
      </c>
      <c r="D65" s="11">
        <v>19520</v>
      </c>
      <c r="E65" s="12"/>
      <c r="F65" s="11" t="s">
        <v>34</v>
      </c>
      <c r="G65" s="13">
        <v>2594</v>
      </c>
      <c r="H65" s="14">
        <f t="shared" si="1"/>
        <v>0.13288934426229509</v>
      </c>
      <c r="I65" s="15"/>
    </row>
    <row r="66" spans="1:9">
      <c r="A66" s="10" t="s">
        <v>271</v>
      </c>
      <c r="B66" s="10" t="s">
        <v>147</v>
      </c>
      <c r="C66" s="11">
        <v>4048</v>
      </c>
      <c r="D66" s="11">
        <v>16739</v>
      </c>
      <c r="E66" s="24"/>
      <c r="F66" s="11">
        <v>3473</v>
      </c>
      <c r="G66" s="13">
        <v>1768</v>
      </c>
      <c r="H66" s="14">
        <f t="shared" si="1"/>
        <v>0.10562160224625126</v>
      </c>
      <c r="I66" s="15"/>
    </row>
    <row r="67" spans="1:9">
      <c r="A67" s="10" t="s">
        <v>297</v>
      </c>
      <c r="B67" s="10" t="s">
        <v>101</v>
      </c>
      <c r="C67" s="12" t="s">
        <v>34</v>
      </c>
      <c r="D67" s="11">
        <v>15103</v>
      </c>
      <c r="E67" s="12"/>
      <c r="F67" s="12" t="s">
        <v>34</v>
      </c>
      <c r="G67" s="13">
        <v>0</v>
      </c>
      <c r="H67" s="14" t="s">
        <v>34</v>
      </c>
      <c r="I67" s="15"/>
    </row>
    <row r="68" spans="1:9">
      <c r="A68" s="10" t="s">
        <v>84</v>
      </c>
      <c r="B68" s="10" t="s">
        <v>80</v>
      </c>
      <c r="C68" s="11">
        <v>788</v>
      </c>
      <c r="D68" s="11">
        <v>2314</v>
      </c>
      <c r="E68" s="12"/>
      <c r="F68" s="12" t="s">
        <v>34</v>
      </c>
      <c r="G68" s="13">
        <v>0</v>
      </c>
      <c r="H68" s="14" t="s">
        <v>34</v>
      </c>
      <c r="I68" s="15"/>
    </row>
    <row r="69" spans="1:9" ht="25.5">
      <c r="A69" s="10" t="s">
        <v>180</v>
      </c>
      <c r="B69" s="10" t="s">
        <v>325</v>
      </c>
      <c r="C69" s="11">
        <v>8086</v>
      </c>
      <c r="D69" s="11">
        <v>9959</v>
      </c>
      <c r="E69" s="12"/>
      <c r="F69" s="12" t="s">
        <v>34</v>
      </c>
      <c r="G69" s="13">
        <v>7384</v>
      </c>
      <c r="H69" s="14">
        <f>G69/D69</f>
        <v>0.74143990360477963</v>
      </c>
      <c r="I69" s="9"/>
    </row>
    <row r="70" spans="1:9" ht="12.75" customHeight="1">
      <c r="A70" s="10" t="s">
        <v>155</v>
      </c>
      <c r="B70" s="10" t="s">
        <v>12</v>
      </c>
      <c r="C70" s="11">
        <v>1322</v>
      </c>
      <c r="D70" s="11">
        <v>9312</v>
      </c>
      <c r="E70" s="24">
        <v>0</v>
      </c>
      <c r="F70" s="12" t="s">
        <v>34</v>
      </c>
      <c r="G70" s="13">
        <v>0</v>
      </c>
      <c r="H70" s="14" t="s">
        <v>34</v>
      </c>
      <c r="I70" s="15"/>
    </row>
    <row r="71" spans="1:9">
      <c r="A71" s="10" t="s">
        <v>264</v>
      </c>
      <c r="B71" s="10" t="s">
        <v>12</v>
      </c>
      <c r="C71" s="11">
        <v>944</v>
      </c>
      <c r="D71" s="11">
        <v>2723</v>
      </c>
      <c r="E71" s="24"/>
      <c r="F71" s="12" t="s">
        <v>34</v>
      </c>
      <c r="G71" s="13">
        <v>0</v>
      </c>
      <c r="H71" s="14" t="s">
        <v>34</v>
      </c>
      <c r="I71" s="15"/>
    </row>
    <row r="72" spans="1:9">
      <c r="A72" s="10" t="s">
        <v>184</v>
      </c>
      <c r="B72" s="10" t="s">
        <v>253</v>
      </c>
      <c r="C72" s="11">
        <v>3885</v>
      </c>
      <c r="D72" s="11">
        <v>7873</v>
      </c>
      <c r="E72" s="24">
        <v>577</v>
      </c>
      <c r="F72" s="12" t="s">
        <v>34</v>
      </c>
      <c r="G72" s="13">
        <v>0</v>
      </c>
      <c r="H72" s="14" t="s">
        <v>34</v>
      </c>
      <c r="I72" s="15"/>
    </row>
    <row r="73" spans="1:9">
      <c r="A73" s="10" t="s">
        <v>109</v>
      </c>
      <c r="B73" s="10" t="s">
        <v>263</v>
      </c>
      <c r="C73" s="11">
        <v>312</v>
      </c>
      <c r="D73" s="11">
        <v>825</v>
      </c>
      <c r="E73" s="12"/>
      <c r="F73" s="11" t="s">
        <v>34</v>
      </c>
      <c r="G73" s="13">
        <v>11000</v>
      </c>
      <c r="H73" s="14">
        <f>G73/D73</f>
        <v>13.333333333333334</v>
      </c>
      <c r="I73" s="15"/>
    </row>
    <row r="74" spans="1:9">
      <c r="A74" s="10" t="s">
        <v>223</v>
      </c>
      <c r="B74" s="10" t="s">
        <v>277</v>
      </c>
      <c r="C74" s="20" t="s">
        <v>34</v>
      </c>
      <c r="D74" s="11">
        <v>5799</v>
      </c>
      <c r="E74" s="12"/>
      <c r="F74" s="12" t="s">
        <v>34</v>
      </c>
      <c r="G74" s="13">
        <v>4085</v>
      </c>
      <c r="H74" s="14">
        <f>G74/D74</f>
        <v>0.70443179858596305</v>
      </c>
      <c r="I74" s="15"/>
    </row>
    <row r="75" spans="1:9">
      <c r="A75" s="10" t="s">
        <v>267</v>
      </c>
      <c r="B75" s="10" t="s">
        <v>80</v>
      </c>
      <c r="C75" s="11">
        <v>907</v>
      </c>
      <c r="D75" s="11">
        <v>2153</v>
      </c>
      <c r="E75" s="12"/>
      <c r="F75" s="12" t="s">
        <v>34</v>
      </c>
      <c r="G75" s="13">
        <v>0</v>
      </c>
      <c r="H75" s="14" t="s">
        <v>34</v>
      </c>
      <c r="I75" s="15"/>
    </row>
    <row r="76" spans="1:9">
      <c r="A76" s="10" t="s">
        <v>160</v>
      </c>
      <c r="B76" s="10" t="s">
        <v>305</v>
      </c>
      <c r="C76" s="11">
        <v>8</v>
      </c>
      <c r="D76" s="12" t="s">
        <v>34</v>
      </c>
      <c r="E76" s="12"/>
      <c r="F76" s="12" t="s">
        <v>34</v>
      </c>
      <c r="G76" s="13">
        <v>593.67999999999995</v>
      </c>
      <c r="H76" s="14" t="s">
        <v>34</v>
      </c>
      <c r="I76" s="9"/>
    </row>
    <row r="77" spans="1:9">
      <c r="A77" s="10" t="s">
        <v>14</v>
      </c>
      <c r="B77" s="10" t="s">
        <v>277</v>
      </c>
      <c r="C77" s="20" t="s">
        <v>34</v>
      </c>
      <c r="D77" s="11">
        <v>2257</v>
      </c>
      <c r="E77" s="11"/>
      <c r="F77" s="12" t="s">
        <v>34</v>
      </c>
      <c r="G77" s="13">
        <v>0</v>
      </c>
      <c r="H77" s="14" t="s">
        <v>34</v>
      </c>
      <c r="I77" s="15"/>
    </row>
    <row r="78" spans="1:9">
      <c r="A78" s="10" t="s">
        <v>321</v>
      </c>
      <c r="B78" s="10" t="s">
        <v>277</v>
      </c>
      <c r="C78" s="20" t="s">
        <v>34</v>
      </c>
      <c r="D78" s="11">
        <v>7556</v>
      </c>
      <c r="E78" s="11"/>
      <c r="F78" s="12" t="s">
        <v>34</v>
      </c>
      <c r="G78" s="13">
        <v>7590</v>
      </c>
      <c r="H78" s="14">
        <f>G78/D78</f>
        <v>1.0044997353096876</v>
      </c>
      <c r="I78" s="15"/>
    </row>
    <row r="79" spans="1:9">
      <c r="A79" s="10" t="s">
        <v>224</v>
      </c>
      <c r="B79" s="10" t="s">
        <v>238</v>
      </c>
      <c r="C79" s="20" t="s">
        <v>34</v>
      </c>
      <c r="D79" s="11">
        <v>818</v>
      </c>
      <c r="E79" s="12"/>
      <c r="F79" s="12" t="s">
        <v>34</v>
      </c>
      <c r="G79" s="13">
        <v>2200</v>
      </c>
      <c r="H79" s="14">
        <f>G79/D79</f>
        <v>2.6894865525672373</v>
      </c>
      <c r="I79" s="15"/>
    </row>
    <row r="80" spans="1:9">
      <c r="A80" s="10" t="s">
        <v>85</v>
      </c>
      <c r="B80" s="10" t="s">
        <v>101</v>
      </c>
      <c r="C80" s="12" t="s">
        <v>34</v>
      </c>
      <c r="D80" s="11">
        <v>17852</v>
      </c>
      <c r="E80" s="12"/>
      <c r="F80" s="12" t="s">
        <v>34</v>
      </c>
      <c r="G80" s="13">
        <v>3130</v>
      </c>
      <c r="H80" s="14">
        <f>G80/D80</f>
        <v>0.17533049518261259</v>
      </c>
      <c r="I80" s="15"/>
    </row>
    <row r="81" spans="1:9" ht="12.75" customHeight="1">
      <c r="A81" s="10" t="s">
        <v>175</v>
      </c>
      <c r="B81" s="10" t="s">
        <v>175</v>
      </c>
      <c r="C81" s="11">
        <v>1011</v>
      </c>
      <c r="D81" s="11" t="s">
        <v>34</v>
      </c>
      <c r="E81" s="24">
        <v>130</v>
      </c>
      <c r="F81" s="12" t="s">
        <v>34</v>
      </c>
      <c r="G81" s="13">
        <v>0</v>
      </c>
      <c r="H81" s="14" t="s">
        <v>34</v>
      </c>
      <c r="I81" s="15"/>
    </row>
    <row r="82" spans="1:9">
      <c r="A82" s="10" t="s">
        <v>149</v>
      </c>
      <c r="B82" s="10" t="s">
        <v>277</v>
      </c>
      <c r="C82" s="20" t="s">
        <v>34</v>
      </c>
      <c r="D82" s="11">
        <v>6193</v>
      </c>
      <c r="E82" s="12"/>
      <c r="F82" s="12" t="s">
        <v>34</v>
      </c>
      <c r="G82" s="13">
        <v>0</v>
      </c>
      <c r="H82" s="14" t="s">
        <v>34</v>
      </c>
      <c r="I82" s="15"/>
    </row>
    <row r="83" spans="1:9">
      <c r="A83" s="10" t="s">
        <v>122</v>
      </c>
      <c r="B83" s="10" t="s">
        <v>253</v>
      </c>
      <c r="C83" s="21">
        <v>147</v>
      </c>
      <c r="D83" s="11">
        <v>155</v>
      </c>
      <c r="E83" s="24"/>
      <c r="F83" s="12" t="s">
        <v>34</v>
      </c>
      <c r="G83" s="13">
        <v>0</v>
      </c>
      <c r="H83" s="14" t="s">
        <v>34</v>
      </c>
      <c r="I83" s="15"/>
    </row>
    <row r="84" spans="1:9" ht="38.25">
      <c r="A84" s="10" t="s">
        <v>178</v>
      </c>
      <c r="B84" s="10" t="s">
        <v>253</v>
      </c>
      <c r="C84" s="11">
        <v>488</v>
      </c>
      <c r="D84" s="11">
        <v>665</v>
      </c>
      <c r="E84" s="24">
        <v>2</v>
      </c>
      <c r="F84" s="12" t="s">
        <v>219</v>
      </c>
      <c r="G84" s="13">
        <v>0</v>
      </c>
      <c r="H84" s="14" t="s">
        <v>34</v>
      </c>
      <c r="I84" s="9"/>
    </row>
    <row r="85" spans="1:9">
      <c r="A85" s="10" t="s">
        <v>193</v>
      </c>
      <c r="B85" s="10" t="s">
        <v>12</v>
      </c>
      <c r="C85" s="21" t="s">
        <v>34</v>
      </c>
      <c r="D85" s="11" t="s">
        <v>34</v>
      </c>
      <c r="E85" s="12"/>
      <c r="F85" s="12" t="s">
        <v>34</v>
      </c>
      <c r="G85" s="13">
        <v>0</v>
      </c>
      <c r="H85" s="14" t="s">
        <v>34</v>
      </c>
      <c r="I85" s="15"/>
    </row>
    <row r="86" spans="1:9">
      <c r="A86" s="10" t="s">
        <v>81</v>
      </c>
      <c r="B86" s="10" t="s">
        <v>12</v>
      </c>
      <c r="C86" s="21">
        <v>9306</v>
      </c>
      <c r="D86" s="11">
        <v>17153</v>
      </c>
      <c r="E86" s="12"/>
      <c r="F86" s="11" t="s">
        <v>34</v>
      </c>
      <c r="G86" s="13">
        <v>12120</v>
      </c>
      <c r="H86" s="14">
        <f>G86/D86</f>
        <v>0.70658193901941346</v>
      </c>
      <c r="I86" s="15"/>
    </row>
    <row r="87" spans="1:9">
      <c r="A87" s="10" t="s">
        <v>324</v>
      </c>
      <c r="B87" s="10" t="s">
        <v>148</v>
      </c>
      <c r="C87" s="21">
        <v>3384</v>
      </c>
      <c r="D87" s="11">
        <v>14508</v>
      </c>
      <c r="E87" s="11"/>
      <c r="F87" s="12" t="s">
        <v>34</v>
      </c>
      <c r="G87" s="13">
        <v>2723.09</v>
      </c>
      <c r="H87" s="14">
        <f>G87/D87</f>
        <v>0.18769575406672181</v>
      </c>
      <c r="I87" s="15"/>
    </row>
    <row r="88" spans="1:9">
      <c r="A88" s="10" t="s">
        <v>5</v>
      </c>
      <c r="B88" s="10" t="s">
        <v>277</v>
      </c>
      <c r="C88" s="20" t="s">
        <v>34</v>
      </c>
      <c r="D88" s="11">
        <v>2983</v>
      </c>
      <c r="E88" s="12"/>
      <c r="F88" s="12" t="s">
        <v>34</v>
      </c>
      <c r="G88" s="13">
        <v>0</v>
      </c>
      <c r="H88" s="14" t="s">
        <v>34</v>
      </c>
      <c r="I88" s="15"/>
    </row>
    <row r="89" spans="1:9">
      <c r="A89" s="10" t="s">
        <v>326</v>
      </c>
      <c r="B89" s="10" t="s">
        <v>277</v>
      </c>
      <c r="C89" s="20" t="s">
        <v>34</v>
      </c>
      <c r="D89" s="11">
        <v>3515</v>
      </c>
      <c r="E89" s="12"/>
      <c r="F89" s="12" t="s">
        <v>34</v>
      </c>
      <c r="G89" s="13">
        <v>5650</v>
      </c>
      <c r="H89" s="14">
        <f>G89/D89</f>
        <v>1.6073968705547652</v>
      </c>
      <c r="I89" s="15"/>
    </row>
    <row r="90" spans="1:9">
      <c r="A90" s="10" t="s">
        <v>309</v>
      </c>
      <c r="B90" s="10" t="s">
        <v>253</v>
      </c>
      <c r="C90" s="11">
        <v>101</v>
      </c>
      <c r="D90" s="11">
        <v>157</v>
      </c>
      <c r="E90" s="24"/>
      <c r="F90" s="12" t="s">
        <v>34</v>
      </c>
      <c r="G90" s="13">
        <v>0</v>
      </c>
      <c r="H90" s="14" t="s">
        <v>34</v>
      </c>
      <c r="I90" s="15"/>
    </row>
    <row r="91" spans="1:9">
      <c r="A91" s="10" t="s">
        <v>68</v>
      </c>
      <c r="B91" s="10" t="s">
        <v>277</v>
      </c>
      <c r="C91" s="20" t="s">
        <v>34</v>
      </c>
      <c r="D91" s="11">
        <v>2183</v>
      </c>
      <c r="E91" s="12"/>
      <c r="F91" s="12" t="s">
        <v>34</v>
      </c>
      <c r="G91" s="13">
        <v>2720</v>
      </c>
      <c r="H91" s="14">
        <f>G91/D91</f>
        <v>1.2459917544663308</v>
      </c>
      <c r="I91" s="15"/>
    </row>
    <row r="92" spans="1:9">
      <c r="A92" s="10" t="s">
        <v>314</v>
      </c>
      <c r="B92" s="10" t="s">
        <v>277</v>
      </c>
      <c r="C92" s="20" t="s">
        <v>34</v>
      </c>
      <c r="D92" s="11">
        <v>4858</v>
      </c>
      <c r="E92" s="12"/>
      <c r="F92" s="12" t="s">
        <v>34</v>
      </c>
      <c r="G92" s="13">
        <v>1020</v>
      </c>
      <c r="H92" s="14">
        <f>G92/D92</f>
        <v>0.20996294771510909</v>
      </c>
      <c r="I92" s="15"/>
    </row>
    <row r="93" spans="1:9" ht="12.75" customHeight="1">
      <c r="A93" s="10" t="s">
        <v>199</v>
      </c>
      <c r="B93" s="10" t="s">
        <v>277</v>
      </c>
      <c r="C93" s="16" t="s">
        <v>34</v>
      </c>
      <c r="D93" s="11">
        <v>2906</v>
      </c>
      <c r="E93" s="12"/>
      <c r="F93" s="12" t="s">
        <v>34</v>
      </c>
      <c r="G93" s="13">
        <v>0</v>
      </c>
      <c r="H93" s="14" t="s">
        <v>34</v>
      </c>
      <c r="I93" s="15"/>
    </row>
    <row r="94" spans="1:9">
      <c r="A94" s="10" t="s">
        <v>138</v>
      </c>
      <c r="B94" s="10" t="s">
        <v>80</v>
      </c>
      <c r="C94" s="21">
        <v>761</v>
      </c>
      <c r="D94" s="11">
        <v>3123</v>
      </c>
      <c r="E94" s="12"/>
      <c r="F94" s="12" t="s">
        <v>34</v>
      </c>
      <c r="G94" s="13">
        <v>0</v>
      </c>
      <c r="H94" s="14" t="s">
        <v>34</v>
      </c>
      <c r="I94" s="15"/>
    </row>
    <row r="95" spans="1:9">
      <c r="A95" s="10" t="s">
        <v>164</v>
      </c>
      <c r="B95" s="10" t="s">
        <v>80</v>
      </c>
      <c r="C95" s="11">
        <v>837</v>
      </c>
      <c r="D95" s="11">
        <v>3151</v>
      </c>
      <c r="E95" s="12"/>
      <c r="F95" s="12" t="s">
        <v>34</v>
      </c>
      <c r="G95" s="13">
        <v>0</v>
      </c>
      <c r="H95" s="14" t="s">
        <v>34</v>
      </c>
      <c r="I95" s="15"/>
    </row>
    <row r="96" spans="1:9">
      <c r="A96" s="10" t="s">
        <v>41</v>
      </c>
      <c r="B96" s="10" t="s">
        <v>253</v>
      </c>
      <c r="C96" s="11">
        <v>35</v>
      </c>
      <c r="D96" s="11">
        <v>45</v>
      </c>
      <c r="E96" s="24"/>
      <c r="F96" s="12" t="s">
        <v>34</v>
      </c>
      <c r="G96" s="13">
        <v>0</v>
      </c>
      <c r="H96" s="14" t="s">
        <v>34</v>
      </c>
      <c r="I96" s="15"/>
    </row>
    <row r="97" spans="1:9">
      <c r="A97" s="10" t="s">
        <v>307</v>
      </c>
      <c r="B97" s="10" t="s">
        <v>101</v>
      </c>
      <c r="C97" s="11">
        <v>18823</v>
      </c>
      <c r="D97" s="11">
        <v>60787</v>
      </c>
      <c r="E97" s="12"/>
      <c r="F97" s="11">
        <v>39754</v>
      </c>
      <c r="G97" s="13">
        <v>28870</v>
      </c>
      <c r="H97" s="14">
        <f>G97/D97</f>
        <v>0.4749370753615082</v>
      </c>
      <c r="I97" s="15"/>
    </row>
    <row r="98" spans="1:9" ht="25.5">
      <c r="A98" s="10" t="s">
        <v>108</v>
      </c>
      <c r="B98" s="10" t="s">
        <v>101</v>
      </c>
      <c r="C98" s="12" t="s">
        <v>34</v>
      </c>
      <c r="D98" s="11">
        <v>1330</v>
      </c>
      <c r="E98" s="12"/>
      <c r="F98" s="12" t="s">
        <v>34</v>
      </c>
      <c r="G98" s="13">
        <v>0</v>
      </c>
      <c r="H98" s="14" t="s">
        <v>34</v>
      </c>
      <c r="I98" s="9"/>
    </row>
    <row r="99" spans="1:9">
      <c r="A99" s="10" t="s">
        <v>261</v>
      </c>
      <c r="B99" s="10" t="s">
        <v>101</v>
      </c>
      <c r="C99" s="12" t="s">
        <v>34</v>
      </c>
      <c r="D99" s="11">
        <v>16939</v>
      </c>
      <c r="E99" s="12"/>
      <c r="F99" s="12" t="s">
        <v>34</v>
      </c>
      <c r="G99" s="13">
        <v>1855</v>
      </c>
      <c r="H99" s="14">
        <f>G99/D99</f>
        <v>0.10951059684751166</v>
      </c>
      <c r="I99" s="15"/>
    </row>
    <row r="100" spans="1:9">
      <c r="A100" s="10" t="s">
        <v>156</v>
      </c>
      <c r="B100" s="10" t="s">
        <v>277</v>
      </c>
      <c r="C100" s="20" t="s">
        <v>34</v>
      </c>
      <c r="D100" s="11">
        <v>38603</v>
      </c>
      <c r="E100" s="12"/>
      <c r="F100" s="12" t="s">
        <v>34</v>
      </c>
      <c r="G100" s="13">
        <v>14995</v>
      </c>
      <c r="H100" s="14">
        <f>G100/D100</f>
        <v>0.38844131285133282</v>
      </c>
      <c r="I100" s="15"/>
    </row>
    <row r="101" spans="1:9">
      <c r="A101" s="10" t="s">
        <v>323</v>
      </c>
      <c r="B101" s="10" t="s">
        <v>37</v>
      </c>
      <c r="C101" s="11">
        <v>314</v>
      </c>
      <c r="D101" s="11">
        <v>1117</v>
      </c>
      <c r="E101" s="24">
        <v>5</v>
      </c>
      <c r="F101" s="12" t="s">
        <v>34</v>
      </c>
      <c r="G101" s="13">
        <v>326</v>
      </c>
      <c r="H101" s="14">
        <f>G101/D101</f>
        <v>0.29185317815577438</v>
      </c>
      <c r="I101" s="9"/>
    </row>
    <row r="102" spans="1:9">
      <c r="A102" s="10" t="s">
        <v>106</v>
      </c>
      <c r="B102" s="10" t="s">
        <v>251</v>
      </c>
      <c r="C102" s="11">
        <v>1337</v>
      </c>
      <c r="D102" s="11">
        <v>3921</v>
      </c>
      <c r="E102" s="12"/>
      <c r="F102" s="12" t="s">
        <v>34</v>
      </c>
      <c r="G102" s="13">
        <v>11025</v>
      </c>
      <c r="H102" s="14">
        <f>G102/D102</f>
        <v>2.8117827084927316</v>
      </c>
      <c r="I102" s="15"/>
    </row>
    <row r="103" spans="1:9">
      <c r="A103" s="10" t="s">
        <v>252</v>
      </c>
      <c r="B103" s="10" t="s">
        <v>252</v>
      </c>
      <c r="C103" s="21">
        <v>4098</v>
      </c>
      <c r="D103" s="12"/>
      <c r="E103" s="12"/>
      <c r="F103" s="12" t="s">
        <v>34</v>
      </c>
      <c r="G103" s="13">
        <v>12485</v>
      </c>
      <c r="H103" s="14" t="s">
        <v>34</v>
      </c>
      <c r="I103" s="15"/>
    </row>
    <row r="104" spans="1:9">
      <c r="A104" s="10" t="s">
        <v>255</v>
      </c>
      <c r="B104" s="10" t="s">
        <v>255</v>
      </c>
      <c r="C104" s="11">
        <v>2288</v>
      </c>
      <c r="D104" s="11">
        <v>9105</v>
      </c>
      <c r="E104" s="11">
        <v>1399</v>
      </c>
      <c r="F104" s="12" t="s">
        <v>34</v>
      </c>
      <c r="G104" s="13">
        <v>30460</v>
      </c>
      <c r="H104" s="14">
        <f>G104/D104</f>
        <v>3.345414607358594</v>
      </c>
      <c r="I104" s="15"/>
    </row>
    <row r="105" spans="1:9">
      <c r="A105" s="10" t="s">
        <v>210</v>
      </c>
      <c r="B105" s="10" t="s">
        <v>277</v>
      </c>
      <c r="C105" s="20" t="s">
        <v>34</v>
      </c>
      <c r="D105" s="11">
        <v>4037</v>
      </c>
      <c r="E105" s="12"/>
      <c r="F105" s="12" t="s">
        <v>34</v>
      </c>
      <c r="G105" s="13">
        <v>0</v>
      </c>
      <c r="H105" s="14" t="s">
        <v>34</v>
      </c>
      <c r="I105" s="15"/>
    </row>
    <row r="106" spans="1:9">
      <c r="A106" s="10" t="s">
        <v>315</v>
      </c>
      <c r="B106" s="10" t="s">
        <v>277</v>
      </c>
      <c r="C106" s="20" t="s">
        <v>34</v>
      </c>
      <c r="D106" s="11">
        <v>6075</v>
      </c>
      <c r="E106" s="12"/>
      <c r="F106" s="12" t="s">
        <v>34</v>
      </c>
      <c r="G106" s="13">
        <v>4275</v>
      </c>
      <c r="H106" s="14">
        <f>G106/D106</f>
        <v>0.70370370370370372</v>
      </c>
      <c r="I106" s="15"/>
    </row>
    <row r="107" spans="1:9">
      <c r="A107" s="10" t="s">
        <v>212</v>
      </c>
      <c r="B107" s="10" t="s">
        <v>80</v>
      </c>
      <c r="C107" s="16">
        <v>430</v>
      </c>
      <c r="D107" s="11">
        <v>1863</v>
      </c>
      <c r="E107" s="12"/>
      <c r="F107" s="12" t="s">
        <v>34</v>
      </c>
      <c r="G107" s="13">
        <v>0</v>
      </c>
      <c r="H107" s="14" t="s">
        <v>34</v>
      </c>
      <c r="I107" s="15"/>
    </row>
    <row r="108" spans="1:9">
      <c r="A108" s="10" t="s">
        <v>17</v>
      </c>
      <c r="B108" s="10" t="s">
        <v>80</v>
      </c>
      <c r="C108" s="11">
        <v>528</v>
      </c>
      <c r="D108" s="11">
        <v>2064</v>
      </c>
      <c r="E108" s="12"/>
      <c r="F108" s="12" t="s">
        <v>34</v>
      </c>
      <c r="G108" s="13">
        <v>2649</v>
      </c>
      <c r="H108" s="14">
        <f>G108/D108</f>
        <v>1.2834302325581395</v>
      </c>
      <c r="I108" s="15"/>
    </row>
    <row r="109" spans="1:9">
      <c r="A109" s="10" t="s">
        <v>153</v>
      </c>
      <c r="B109" s="10" t="s">
        <v>97</v>
      </c>
      <c r="C109" s="16" t="s">
        <v>34</v>
      </c>
      <c r="D109" s="11" t="s">
        <v>34</v>
      </c>
      <c r="E109" s="12"/>
      <c r="F109" s="12" t="s">
        <v>34</v>
      </c>
      <c r="G109" s="13">
        <v>1555.2</v>
      </c>
      <c r="H109" s="14" t="s">
        <v>34</v>
      </c>
      <c r="I109" s="15"/>
    </row>
    <row r="110" spans="1:9" ht="25.5">
      <c r="A110" s="10" t="s">
        <v>196</v>
      </c>
      <c r="B110" s="10" t="s">
        <v>148</v>
      </c>
      <c r="C110" s="12" t="s">
        <v>34</v>
      </c>
      <c r="D110" s="11">
        <v>41</v>
      </c>
      <c r="E110" s="12"/>
      <c r="F110" s="12" t="s">
        <v>34</v>
      </c>
      <c r="G110" s="13">
        <v>1783.15</v>
      </c>
      <c r="H110" s="14">
        <f>G110/D110</f>
        <v>43.491463414634147</v>
      </c>
      <c r="I110" s="15"/>
    </row>
    <row r="111" spans="1:9">
      <c r="A111" s="10" t="s">
        <v>82</v>
      </c>
      <c r="B111" s="10" t="s">
        <v>150</v>
      </c>
      <c r="C111" s="11" t="s">
        <v>34</v>
      </c>
      <c r="D111" s="11">
        <v>279</v>
      </c>
      <c r="E111" s="12"/>
      <c r="F111" s="12" t="s">
        <v>34</v>
      </c>
      <c r="G111" s="14">
        <v>0</v>
      </c>
      <c r="H111" s="14" t="s">
        <v>34</v>
      </c>
      <c r="I111" s="15"/>
    </row>
    <row r="112" spans="1:9" ht="12.75" customHeight="1">
      <c r="A112" s="26" t="s">
        <v>162</v>
      </c>
      <c r="B112" s="26" t="s">
        <v>143</v>
      </c>
      <c r="C112" s="27" t="s">
        <v>34</v>
      </c>
      <c r="D112" s="20" t="s">
        <v>34</v>
      </c>
      <c r="E112" s="20"/>
      <c r="F112" s="20" t="s">
        <v>34</v>
      </c>
      <c r="G112" s="22">
        <v>51330</v>
      </c>
      <c r="H112" s="20" t="s">
        <v>34</v>
      </c>
      <c r="I112" s="15"/>
    </row>
    <row r="113" spans="1:9">
      <c r="A113" s="10" t="s">
        <v>179</v>
      </c>
      <c r="B113" s="10" t="s">
        <v>101</v>
      </c>
      <c r="C113" s="12" t="s">
        <v>34</v>
      </c>
      <c r="D113" s="11">
        <v>15181</v>
      </c>
      <c r="E113" s="12"/>
      <c r="F113" s="12" t="s">
        <v>34</v>
      </c>
      <c r="G113" s="13">
        <v>0</v>
      </c>
      <c r="H113" s="14" t="s">
        <v>34</v>
      </c>
      <c r="I113" s="15"/>
    </row>
    <row r="114" spans="1:9">
      <c r="A114" s="10" t="s">
        <v>123</v>
      </c>
      <c r="B114" s="10" t="s">
        <v>281</v>
      </c>
      <c r="C114" s="11">
        <v>7742</v>
      </c>
      <c r="D114" s="11">
        <v>27823</v>
      </c>
      <c r="E114" s="11"/>
      <c r="F114" s="12" t="s">
        <v>34</v>
      </c>
      <c r="G114" s="13">
        <v>102288</v>
      </c>
      <c r="H114" s="14">
        <f>G114/D114</f>
        <v>3.6763828487222803</v>
      </c>
      <c r="I114" s="15"/>
    </row>
    <row r="115" spans="1:9">
      <c r="A115" s="10" t="s">
        <v>187</v>
      </c>
      <c r="B115" s="10" t="s">
        <v>80</v>
      </c>
      <c r="C115" s="11">
        <v>793</v>
      </c>
      <c r="D115" s="11">
        <v>2826</v>
      </c>
      <c r="E115" s="11"/>
      <c r="F115" s="12" t="s">
        <v>34</v>
      </c>
      <c r="G115" s="13">
        <v>2711</v>
      </c>
      <c r="H115" s="14">
        <f>G115/D115</f>
        <v>0.95930644019815992</v>
      </c>
      <c r="I115" s="15"/>
    </row>
    <row r="116" spans="1:9">
      <c r="A116" s="10" t="s">
        <v>1</v>
      </c>
      <c r="B116" s="10" t="s">
        <v>253</v>
      </c>
      <c r="C116" s="11">
        <v>110</v>
      </c>
      <c r="D116" s="11">
        <v>132</v>
      </c>
      <c r="E116" s="24">
        <v>4</v>
      </c>
      <c r="F116" s="12" t="s">
        <v>34</v>
      </c>
      <c r="G116" s="13">
        <v>0</v>
      </c>
      <c r="H116" s="14" t="s">
        <v>34</v>
      </c>
      <c r="I116" s="15"/>
    </row>
    <row r="117" spans="1:9">
      <c r="A117" s="10" t="s">
        <v>59</v>
      </c>
      <c r="B117" s="10" t="s">
        <v>253</v>
      </c>
      <c r="C117" s="11">
        <v>150</v>
      </c>
      <c r="D117" s="11">
        <v>390</v>
      </c>
      <c r="E117" s="24">
        <v>3</v>
      </c>
      <c r="F117" s="12" t="s">
        <v>34</v>
      </c>
      <c r="G117" s="13">
        <v>0</v>
      </c>
      <c r="H117" s="14" t="s">
        <v>34</v>
      </c>
      <c r="I117" s="15"/>
    </row>
    <row r="118" spans="1:9">
      <c r="A118" s="10" t="s">
        <v>333</v>
      </c>
      <c r="B118" s="10" t="s">
        <v>253</v>
      </c>
      <c r="C118" s="11">
        <v>3574</v>
      </c>
      <c r="D118" s="11">
        <v>13673</v>
      </c>
      <c r="E118" s="24">
        <v>427</v>
      </c>
      <c r="F118" s="12" t="s">
        <v>34</v>
      </c>
      <c r="G118" s="13">
        <v>0</v>
      </c>
      <c r="H118" s="14" t="s">
        <v>34</v>
      </c>
      <c r="I118" s="15"/>
    </row>
    <row r="119" spans="1:9" ht="12.75" customHeight="1">
      <c r="A119" s="28"/>
      <c r="B119" s="28"/>
      <c r="C119" s="29"/>
      <c r="D119" s="30"/>
      <c r="E119" s="30"/>
      <c r="F119" s="30"/>
      <c r="G119" s="28"/>
      <c r="H119" s="30"/>
    </row>
  </sheetData>
  <mergeCells count="2">
    <mergeCell ref="A1:B1"/>
    <mergeCell ref="A4:B4"/>
  </mergeCells>
  <pageMargins left="0.75" right="0.75" top="1" bottom="1" header="0.5" footer="0.5"/>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dimension ref="A1:Q29"/>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6" customWidth="1"/>
    <col min="2" max="14" width="8.5703125" customWidth="1"/>
    <col min="15" max="15" width="10.85546875" customWidth="1"/>
    <col min="16" max="16" width="8.5703125" customWidth="1"/>
    <col min="17" max="17" width="9.140625" customWidth="1"/>
  </cols>
  <sheetData>
    <row r="1" spans="1:17" ht="20.25">
      <c r="A1" s="1" t="s">
        <v>302</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5"/>
      <c r="P3" s="32"/>
    </row>
    <row r="4" spans="1:17"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35" t="s">
        <v>197</v>
      </c>
      <c r="P4" s="35" t="s">
        <v>154</v>
      </c>
      <c r="Q4" s="2"/>
    </row>
    <row r="5" spans="1:17" ht="12.75" customHeight="1">
      <c r="A5" s="36" t="s">
        <v>8</v>
      </c>
      <c r="B5" s="37"/>
      <c r="C5" s="37"/>
      <c r="D5" s="37"/>
      <c r="E5" s="37"/>
      <c r="F5" s="37"/>
      <c r="G5" s="37"/>
      <c r="H5" s="37"/>
      <c r="I5" s="37"/>
      <c r="J5" s="37"/>
      <c r="K5" s="37"/>
      <c r="L5" s="37"/>
      <c r="M5" s="37"/>
      <c r="N5" s="37"/>
      <c r="O5" s="28"/>
      <c r="P5" s="38"/>
    </row>
    <row r="6" spans="1:17" ht="12.75" customHeight="1">
      <c r="A6" s="39" t="s">
        <v>89</v>
      </c>
      <c r="B6" s="40">
        <v>74</v>
      </c>
      <c r="C6" s="40">
        <v>37</v>
      </c>
      <c r="D6" s="40">
        <v>110</v>
      </c>
      <c r="E6" s="40">
        <v>332</v>
      </c>
      <c r="F6" s="40">
        <v>176</v>
      </c>
      <c r="G6" s="40">
        <v>60</v>
      </c>
      <c r="H6" s="40">
        <v>34</v>
      </c>
      <c r="I6" s="40">
        <v>111</v>
      </c>
      <c r="J6" s="40">
        <v>107</v>
      </c>
      <c r="K6" s="40">
        <v>101</v>
      </c>
      <c r="L6" s="40">
        <v>37</v>
      </c>
      <c r="M6" s="40" t="s">
        <v>88</v>
      </c>
      <c r="N6" s="41">
        <f>SUM(B6:M6)</f>
        <v>1179</v>
      </c>
      <c r="O6" s="42"/>
      <c r="P6" s="43"/>
    </row>
    <row r="7" spans="1:17" ht="12.75" customHeight="1">
      <c r="A7" s="39" t="s">
        <v>328</v>
      </c>
      <c r="B7" s="40">
        <v>77</v>
      </c>
      <c r="C7" s="40">
        <v>61</v>
      </c>
      <c r="D7" s="40">
        <v>130</v>
      </c>
      <c r="E7" s="40">
        <v>408</v>
      </c>
      <c r="F7" s="40">
        <v>193</v>
      </c>
      <c r="G7" s="40">
        <v>61</v>
      </c>
      <c r="H7" s="40">
        <v>28</v>
      </c>
      <c r="I7" s="40">
        <v>79</v>
      </c>
      <c r="J7" s="40">
        <v>107</v>
      </c>
      <c r="K7" s="40">
        <v>91</v>
      </c>
      <c r="L7" s="40">
        <v>43</v>
      </c>
      <c r="M7" s="40" t="s">
        <v>88</v>
      </c>
      <c r="N7" s="41">
        <f>SUM(B7:M7)</f>
        <v>1278</v>
      </c>
      <c r="O7" s="42">
        <v>7262.97</v>
      </c>
      <c r="P7" s="43">
        <f>O7/N7</f>
        <v>5.6830751173708922</v>
      </c>
    </row>
    <row r="8" spans="1:17" ht="12.75" customHeight="1">
      <c r="A8" s="2"/>
      <c r="B8" s="44"/>
      <c r="C8" s="44"/>
      <c r="D8" s="44"/>
      <c r="E8" s="44"/>
      <c r="F8" s="44"/>
      <c r="G8" s="44"/>
      <c r="H8" s="44"/>
      <c r="I8" s="44"/>
      <c r="J8" s="44"/>
      <c r="K8" s="44"/>
      <c r="L8" s="44"/>
      <c r="M8" s="44"/>
      <c r="N8" s="45"/>
      <c r="O8" s="43"/>
      <c r="P8" s="43"/>
    </row>
    <row r="9" spans="1:17" ht="12.75" customHeight="1">
      <c r="A9" s="5"/>
      <c r="B9" s="46"/>
      <c r="C9" s="46"/>
      <c r="D9" s="46"/>
      <c r="E9" s="46"/>
      <c r="F9" s="46"/>
      <c r="G9" s="46"/>
      <c r="H9" s="46"/>
      <c r="I9" s="46"/>
      <c r="J9" s="46"/>
      <c r="K9" s="46"/>
      <c r="L9" s="46"/>
      <c r="M9" s="46"/>
      <c r="N9" s="47"/>
      <c r="O9" s="47"/>
      <c r="P9" s="47"/>
    </row>
    <row r="10" spans="1:17" ht="38.25">
      <c r="A10" s="33"/>
      <c r="B10" s="34">
        <v>39264</v>
      </c>
      <c r="C10" s="34">
        <v>39295</v>
      </c>
      <c r="D10" s="34">
        <v>39326</v>
      </c>
      <c r="E10" s="34">
        <v>39356</v>
      </c>
      <c r="F10" s="34">
        <v>39387</v>
      </c>
      <c r="G10" s="34">
        <v>39417</v>
      </c>
      <c r="H10" s="34">
        <v>39448</v>
      </c>
      <c r="I10" s="34">
        <v>39479</v>
      </c>
      <c r="J10" s="34">
        <v>39508</v>
      </c>
      <c r="K10" s="34">
        <v>39539</v>
      </c>
      <c r="L10" s="34">
        <v>39569</v>
      </c>
      <c r="M10" s="34">
        <v>39600</v>
      </c>
      <c r="N10" s="35" t="s">
        <v>258</v>
      </c>
      <c r="O10" s="35" t="s">
        <v>197</v>
      </c>
      <c r="P10" s="35" t="s">
        <v>154</v>
      </c>
      <c r="Q10" s="2"/>
    </row>
    <row r="11" spans="1:17" ht="12.75" customHeight="1">
      <c r="A11" s="36" t="s">
        <v>257</v>
      </c>
      <c r="B11" s="48"/>
      <c r="C11" s="48"/>
      <c r="D11" s="48"/>
      <c r="E11" s="48"/>
      <c r="F11" s="48"/>
      <c r="G11" s="48"/>
      <c r="H11" s="48"/>
      <c r="I11" s="48"/>
      <c r="J11" s="48"/>
      <c r="K11" s="48"/>
      <c r="L11" s="48"/>
      <c r="M11" s="48"/>
      <c r="N11" s="48"/>
      <c r="O11" s="45"/>
      <c r="P11" s="45"/>
    </row>
    <row r="12" spans="1:17" ht="12.75" customHeight="1">
      <c r="A12" s="39" t="s">
        <v>89</v>
      </c>
      <c r="B12" s="40">
        <v>17</v>
      </c>
      <c r="C12" s="40">
        <v>12</v>
      </c>
      <c r="D12" s="40">
        <v>43</v>
      </c>
      <c r="E12" s="40">
        <v>111</v>
      </c>
      <c r="F12" s="40">
        <v>107</v>
      </c>
      <c r="G12" s="40">
        <v>20</v>
      </c>
      <c r="H12" s="40">
        <v>5</v>
      </c>
      <c r="I12" s="40">
        <v>116</v>
      </c>
      <c r="J12" s="40">
        <v>128</v>
      </c>
      <c r="K12" s="40">
        <v>57</v>
      </c>
      <c r="L12" s="40">
        <v>21</v>
      </c>
      <c r="M12" s="40" t="s">
        <v>88</v>
      </c>
      <c r="N12" s="41">
        <f>SUM(B12:M12)</f>
        <v>637</v>
      </c>
      <c r="O12" s="42"/>
      <c r="P12" s="43"/>
    </row>
    <row r="13" spans="1:17" ht="12.75" customHeight="1">
      <c r="A13" s="39" t="s">
        <v>328</v>
      </c>
      <c r="B13" s="40">
        <v>15</v>
      </c>
      <c r="C13" s="40">
        <v>12</v>
      </c>
      <c r="D13" s="40">
        <v>56</v>
      </c>
      <c r="E13" s="40">
        <v>86</v>
      </c>
      <c r="F13" s="40">
        <v>119</v>
      </c>
      <c r="G13" s="40">
        <v>31</v>
      </c>
      <c r="H13" s="40">
        <v>1</v>
      </c>
      <c r="I13" s="40">
        <v>136</v>
      </c>
      <c r="J13" s="40">
        <v>103</v>
      </c>
      <c r="K13" s="40">
        <v>70</v>
      </c>
      <c r="L13" s="40">
        <v>22</v>
      </c>
      <c r="M13" s="40" t="s">
        <v>88</v>
      </c>
      <c r="N13" s="41">
        <f>SUM(B13:M13)</f>
        <v>651</v>
      </c>
      <c r="O13" s="42">
        <v>7262.97</v>
      </c>
      <c r="P13" s="43">
        <f>O13/N13</f>
        <v>11.156635944700461</v>
      </c>
    </row>
    <row r="14" spans="1:17" ht="12.75" customHeight="1">
      <c r="A14" s="2"/>
      <c r="B14" s="49"/>
      <c r="C14" s="49"/>
      <c r="D14" s="49"/>
      <c r="E14" s="49"/>
      <c r="F14" s="49"/>
      <c r="G14" s="49"/>
      <c r="H14" s="49"/>
      <c r="I14" s="49"/>
      <c r="J14" s="49"/>
      <c r="K14" s="49"/>
      <c r="L14" s="49"/>
      <c r="M14" s="49"/>
      <c r="N14" s="50"/>
      <c r="O14" s="43"/>
      <c r="P14" s="2"/>
    </row>
    <row r="15" spans="1:17" ht="12.75" customHeight="1">
      <c r="A15" s="5"/>
      <c r="B15" s="32"/>
      <c r="C15" s="32"/>
      <c r="D15" s="32"/>
      <c r="E15" s="32"/>
      <c r="F15" s="32"/>
      <c r="G15" s="32"/>
      <c r="H15" s="32"/>
      <c r="I15" s="32"/>
      <c r="J15" s="32"/>
      <c r="K15" s="32"/>
      <c r="L15" s="32"/>
      <c r="M15" s="32"/>
      <c r="N15" s="32"/>
      <c r="O15" s="47"/>
      <c r="P15" s="47"/>
    </row>
    <row r="16" spans="1:17" ht="38.25">
      <c r="A16" s="33"/>
      <c r="B16" s="34">
        <v>39264</v>
      </c>
      <c r="C16" s="34">
        <v>39295</v>
      </c>
      <c r="D16" s="34">
        <v>39326</v>
      </c>
      <c r="E16" s="34">
        <v>39356</v>
      </c>
      <c r="F16" s="34">
        <v>39387</v>
      </c>
      <c r="G16" s="34">
        <v>39417</v>
      </c>
      <c r="H16" s="34">
        <v>39448</v>
      </c>
      <c r="I16" s="34">
        <v>39479</v>
      </c>
      <c r="J16" s="34">
        <v>39508</v>
      </c>
      <c r="K16" s="34">
        <v>39539</v>
      </c>
      <c r="L16" s="34">
        <v>39569</v>
      </c>
      <c r="M16" s="34">
        <v>39600</v>
      </c>
      <c r="N16" s="35" t="s">
        <v>258</v>
      </c>
      <c r="O16" s="35" t="s">
        <v>197</v>
      </c>
      <c r="P16" s="35" t="s">
        <v>154</v>
      </c>
      <c r="Q16" s="2"/>
    </row>
    <row r="17" spans="1:17" ht="12.75" customHeight="1">
      <c r="A17" s="142" t="s">
        <v>189</v>
      </c>
      <c r="B17" s="143"/>
      <c r="C17" s="143"/>
      <c r="D17" s="143"/>
      <c r="E17" s="51"/>
      <c r="F17" s="51"/>
      <c r="G17" s="51"/>
      <c r="H17" s="51"/>
      <c r="I17" s="51"/>
      <c r="J17" s="51"/>
      <c r="K17" s="51"/>
      <c r="L17" s="51"/>
      <c r="M17" s="51"/>
      <c r="N17" s="51"/>
      <c r="O17" s="45"/>
      <c r="P17" s="45"/>
    </row>
    <row r="18" spans="1:17" ht="12.75" customHeight="1">
      <c r="A18" s="39" t="s">
        <v>89</v>
      </c>
      <c r="B18" s="52">
        <v>21</v>
      </c>
      <c r="C18" s="26">
        <v>12</v>
      </c>
      <c r="D18" s="26">
        <v>8</v>
      </c>
      <c r="E18" s="26">
        <v>34</v>
      </c>
      <c r="F18" s="26">
        <v>27</v>
      </c>
      <c r="G18" s="26">
        <v>7</v>
      </c>
      <c r="H18" s="26">
        <v>1</v>
      </c>
      <c r="I18" s="26">
        <v>21</v>
      </c>
      <c r="J18" s="26">
        <v>31</v>
      </c>
      <c r="K18" s="26">
        <v>29</v>
      </c>
      <c r="L18" s="26">
        <v>12</v>
      </c>
      <c r="M18" s="52" t="s">
        <v>88</v>
      </c>
      <c r="N18" s="53">
        <f>SUM(B17:M18)</f>
        <v>203</v>
      </c>
      <c r="O18" s="42"/>
      <c r="P18" s="43"/>
    </row>
    <row r="19" spans="1:17" ht="12.75" customHeight="1">
      <c r="A19" s="39" t="s">
        <v>328</v>
      </c>
      <c r="B19" s="26">
        <v>24</v>
      </c>
      <c r="C19" s="26">
        <v>15</v>
      </c>
      <c r="D19" s="52">
        <v>9</v>
      </c>
      <c r="E19" s="26">
        <v>26</v>
      </c>
      <c r="F19" s="26">
        <v>29</v>
      </c>
      <c r="G19" s="26">
        <v>5</v>
      </c>
      <c r="H19" s="26">
        <v>2</v>
      </c>
      <c r="I19" s="26">
        <v>37</v>
      </c>
      <c r="J19" s="26">
        <v>31</v>
      </c>
      <c r="K19" s="26">
        <v>22</v>
      </c>
      <c r="L19" s="26">
        <v>9</v>
      </c>
      <c r="M19" s="52" t="s">
        <v>88</v>
      </c>
      <c r="N19" s="53">
        <f>SUM(B19:M19)</f>
        <v>209</v>
      </c>
      <c r="O19" s="54" t="s">
        <v>34</v>
      </c>
      <c r="P19" s="55" t="s">
        <v>34</v>
      </c>
    </row>
    <row r="20" spans="1:17" ht="12.75" customHeight="1">
      <c r="A20" s="2"/>
      <c r="B20" s="38"/>
      <c r="C20" s="38"/>
      <c r="D20" s="38"/>
      <c r="E20" s="38"/>
      <c r="F20" s="38"/>
      <c r="G20" s="38"/>
      <c r="H20" s="38"/>
      <c r="I20" s="38"/>
      <c r="J20" s="38"/>
      <c r="K20" s="38"/>
      <c r="L20" s="38"/>
      <c r="M20" s="38"/>
      <c r="N20" s="38"/>
      <c r="O20" s="43"/>
      <c r="P20" s="43"/>
    </row>
    <row r="21" spans="1:17" ht="12.75" customHeight="1">
      <c r="A21" s="5"/>
      <c r="B21" s="32"/>
      <c r="C21" s="32"/>
      <c r="D21" s="32"/>
      <c r="E21" s="32"/>
      <c r="F21" s="32"/>
      <c r="G21" s="32"/>
      <c r="H21" s="32"/>
      <c r="I21" s="32"/>
      <c r="J21" s="32"/>
      <c r="K21" s="32"/>
      <c r="L21" s="32"/>
      <c r="M21" s="32"/>
      <c r="N21" s="32"/>
      <c r="O21" s="47"/>
      <c r="P21" s="47"/>
    </row>
    <row r="22" spans="1:17" ht="25.5">
      <c r="A22" s="33"/>
      <c r="B22" s="34">
        <v>39264</v>
      </c>
      <c r="C22" s="34">
        <v>39295</v>
      </c>
      <c r="D22" s="34">
        <v>39326</v>
      </c>
      <c r="E22" s="34">
        <v>39356</v>
      </c>
      <c r="F22" s="34">
        <v>39387</v>
      </c>
      <c r="G22" s="34">
        <v>39417</v>
      </c>
      <c r="H22" s="34">
        <v>39448</v>
      </c>
      <c r="I22" s="34">
        <v>39479</v>
      </c>
      <c r="J22" s="34">
        <v>39508</v>
      </c>
      <c r="K22" s="34">
        <v>39539</v>
      </c>
      <c r="L22" s="34">
        <v>39569</v>
      </c>
      <c r="M22" s="34">
        <v>39600</v>
      </c>
      <c r="N22" s="35" t="s">
        <v>258</v>
      </c>
      <c r="O22" s="35" t="s">
        <v>197</v>
      </c>
      <c r="P22" s="56" t="s">
        <v>284</v>
      </c>
      <c r="Q22" s="2"/>
    </row>
    <row r="23" spans="1:17" ht="12.75" customHeight="1">
      <c r="A23" s="36" t="s">
        <v>98</v>
      </c>
      <c r="B23" s="34"/>
      <c r="C23" s="34"/>
      <c r="D23" s="34"/>
      <c r="E23" s="34"/>
      <c r="F23" s="34"/>
      <c r="G23" s="34"/>
      <c r="H23" s="34"/>
      <c r="I23" s="34"/>
      <c r="J23" s="34"/>
      <c r="K23" s="34"/>
      <c r="L23" s="34"/>
      <c r="M23" s="34"/>
      <c r="N23" s="48"/>
      <c r="O23" s="57"/>
      <c r="P23" s="57"/>
    </row>
    <row r="24" spans="1:17" ht="12.75" customHeight="1">
      <c r="A24" s="39" t="s">
        <v>89</v>
      </c>
      <c r="B24" s="58">
        <v>112</v>
      </c>
      <c r="C24" s="58">
        <v>61</v>
      </c>
      <c r="D24" s="58">
        <v>161</v>
      </c>
      <c r="E24" s="58">
        <v>477</v>
      </c>
      <c r="F24" s="58">
        <v>310</v>
      </c>
      <c r="G24" s="58">
        <v>87</v>
      </c>
      <c r="H24" s="58">
        <v>40</v>
      </c>
      <c r="I24" s="58">
        <v>248</v>
      </c>
      <c r="J24" s="58">
        <v>266</v>
      </c>
      <c r="K24" s="58">
        <f>(101+57)+29</f>
        <v>187</v>
      </c>
      <c r="L24" s="58">
        <f>(37+21)+12</f>
        <v>70</v>
      </c>
      <c r="M24" s="58" t="s">
        <v>88</v>
      </c>
      <c r="N24" s="41">
        <f>SUM(B23:M24)</f>
        <v>2019</v>
      </c>
      <c r="O24" s="9"/>
    </row>
    <row r="25" spans="1:17" ht="12.75" customHeight="1">
      <c r="A25" s="39" t="s">
        <v>328</v>
      </c>
      <c r="B25" s="59">
        <v>116</v>
      </c>
      <c r="C25" s="59">
        <v>88</v>
      </c>
      <c r="D25" s="59">
        <v>195</v>
      </c>
      <c r="E25" s="59">
        <v>520</v>
      </c>
      <c r="F25" s="59">
        <v>341</v>
      </c>
      <c r="G25" s="59">
        <v>97</v>
      </c>
      <c r="H25" s="59">
        <v>31</v>
      </c>
      <c r="I25" s="59">
        <v>252</v>
      </c>
      <c r="J25" s="59">
        <v>241</v>
      </c>
      <c r="K25" s="59">
        <v>183</v>
      </c>
      <c r="L25" s="59">
        <v>74</v>
      </c>
      <c r="M25" s="58" t="s">
        <v>88</v>
      </c>
      <c r="N25" s="41">
        <f>SUM(B25:M25)</f>
        <v>2138</v>
      </c>
      <c r="O25" s="42">
        <f>O7+O13</f>
        <v>14525.94</v>
      </c>
      <c r="P25" s="43">
        <f>O25/N25</f>
        <v>6.7941721234798882</v>
      </c>
    </row>
    <row r="26" spans="1:17" ht="12.75" customHeight="1">
      <c r="A26" s="2"/>
      <c r="B26" s="38"/>
      <c r="C26" s="38"/>
      <c r="D26" s="38"/>
      <c r="E26" s="38"/>
      <c r="F26" s="38"/>
      <c r="G26" s="38"/>
      <c r="H26" s="38"/>
      <c r="I26" s="38"/>
      <c r="J26" s="38"/>
      <c r="K26" s="38"/>
      <c r="L26" s="38"/>
      <c r="M26" s="38" t="s">
        <v>26</v>
      </c>
      <c r="N26" s="38"/>
      <c r="O26" s="2"/>
    </row>
    <row r="27" spans="1:17" ht="12.75" customHeight="1">
      <c r="A27" s="2"/>
      <c r="O27" s="2"/>
    </row>
    <row r="28" spans="1:17" ht="12.75" customHeight="1">
      <c r="A28" s="2" t="s">
        <v>31</v>
      </c>
      <c r="B28" s="2" t="s">
        <v>247</v>
      </c>
      <c r="O28" s="2"/>
    </row>
    <row r="29" spans="1:17" ht="12.75" customHeight="1">
      <c r="A29" s="2"/>
      <c r="O29" s="2"/>
    </row>
  </sheetData>
  <mergeCells count="1">
    <mergeCell ref="A17:D17"/>
  </mergeCells>
  <pageMargins left="0.75" right="0.75" top="1" bottom="1" header="0.5" footer="0.5"/>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dimension ref="A1:P9"/>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34" customWidth="1"/>
    <col min="2" max="20" width="9.140625" customWidth="1"/>
  </cols>
  <sheetData>
    <row r="1" spans="1:16" ht="20.25">
      <c r="A1" s="139" t="s">
        <v>97</v>
      </c>
      <c r="B1" s="144"/>
      <c r="C1" s="144"/>
      <c r="D1" s="144"/>
    </row>
    <row r="2" spans="1:16" ht="18">
      <c r="A2" s="145" t="s">
        <v>130</v>
      </c>
      <c r="B2" s="144"/>
      <c r="C2" s="144"/>
      <c r="D2" s="144"/>
      <c r="E2" s="144"/>
      <c r="F2" s="144"/>
    </row>
    <row r="3" spans="1:16" ht="12.75" customHeight="1">
      <c r="A3" s="32"/>
      <c r="B3" s="32"/>
      <c r="C3" s="32"/>
      <c r="D3" s="32"/>
      <c r="E3" s="32"/>
      <c r="F3" s="32"/>
      <c r="G3" s="32"/>
      <c r="H3" s="32"/>
      <c r="I3" s="32"/>
      <c r="J3" s="32"/>
      <c r="K3" s="32"/>
      <c r="L3" s="32"/>
      <c r="M3" s="32"/>
      <c r="N3" s="32"/>
      <c r="O3" s="32"/>
      <c r="P3" s="32"/>
    </row>
    <row r="4" spans="1:16"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35" t="s">
        <v>197</v>
      </c>
      <c r="P4" s="35" t="s">
        <v>154</v>
      </c>
    </row>
    <row r="5" spans="1:16">
      <c r="A5" s="60" t="s">
        <v>25</v>
      </c>
      <c r="B5" s="48"/>
      <c r="C5" s="48"/>
      <c r="D5" s="48"/>
      <c r="E5" s="48"/>
      <c r="F5" s="48"/>
      <c r="G5" s="48"/>
      <c r="H5" s="48"/>
      <c r="I5" s="48"/>
      <c r="J5" s="48"/>
      <c r="K5" s="48"/>
      <c r="L5" s="48"/>
      <c r="M5" s="48"/>
      <c r="N5" s="48"/>
      <c r="O5" s="38"/>
      <c r="P5" s="38"/>
    </row>
    <row r="6" spans="1:16" ht="12.75" customHeight="1">
      <c r="A6" s="39" t="s">
        <v>89</v>
      </c>
      <c r="B6" s="40" t="s">
        <v>88</v>
      </c>
      <c r="C6" s="40" t="s">
        <v>88</v>
      </c>
      <c r="D6" s="40" t="s">
        <v>88</v>
      </c>
      <c r="E6" s="40" t="s">
        <v>88</v>
      </c>
      <c r="F6" s="40" t="s">
        <v>88</v>
      </c>
      <c r="G6" s="40" t="s">
        <v>88</v>
      </c>
      <c r="H6" s="40" t="s">
        <v>88</v>
      </c>
      <c r="I6" s="40" t="s">
        <v>88</v>
      </c>
      <c r="J6" s="40" t="s">
        <v>88</v>
      </c>
      <c r="K6" s="40" t="s">
        <v>88</v>
      </c>
      <c r="L6" s="40" t="s">
        <v>88</v>
      </c>
      <c r="M6" s="40" t="s">
        <v>88</v>
      </c>
      <c r="N6" s="41">
        <f>SUM(B6:M6)</f>
        <v>0</v>
      </c>
      <c r="O6" s="15"/>
    </row>
    <row r="7" spans="1:16" ht="12.75" customHeight="1">
      <c r="A7" s="39" t="s">
        <v>328</v>
      </c>
      <c r="B7" s="40" t="s">
        <v>88</v>
      </c>
      <c r="C7" s="40" t="s">
        <v>88</v>
      </c>
      <c r="D7" s="40" t="s">
        <v>88</v>
      </c>
      <c r="E7" s="40" t="s">
        <v>88</v>
      </c>
      <c r="F7" s="40" t="s">
        <v>88</v>
      </c>
      <c r="G7" s="40" t="s">
        <v>88</v>
      </c>
      <c r="H7" s="40" t="s">
        <v>88</v>
      </c>
      <c r="I7" s="40" t="s">
        <v>88</v>
      </c>
      <c r="J7" s="40" t="s">
        <v>88</v>
      </c>
      <c r="K7" s="40" t="s">
        <v>88</v>
      </c>
      <c r="L7" s="40" t="s">
        <v>88</v>
      </c>
      <c r="M7" s="40" t="s">
        <v>88</v>
      </c>
      <c r="N7" s="41">
        <f>SUM(B7:M7)</f>
        <v>0</v>
      </c>
      <c r="O7" s="61">
        <v>1555.2</v>
      </c>
      <c r="P7" s="62" t="e">
        <f>O7/N7</f>
        <v>#DIV/0!</v>
      </c>
    </row>
    <row r="8" spans="1:16" ht="12.75" customHeight="1">
      <c r="B8" s="38"/>
      <c r="C8" s="38"/>
      <c r="D8" s="38"/>
      <c r="E8" s="38"/>
      <c r="F8" s="38"/>
      <c r="G8" s="38"/>
      <c r="H8" s="38"/>
      <c r="I8" s="38"/>
      <c r="J8" s="38"/>
      <c r="K8" s="38"/>
      <c r="L8" s="38"/>
      <c r="M8" s="38"/>
      <c r="N8" s="38"/>
    </row>
    <row r="9" spans="1:16">
      <c r="A9" s="63" t="s">
        <v>191</v>
      </c>
    </row>
  </sheetData>
  <mergeCells count="2">
    <mergeCell ref="A1:D1"/>
    <mergeCell ref="A2:F2"/>
  </mergeCells>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dimension ref="A1:Q28"/>
  <sheetViews>
    <sheetView zoomScaleNormal="100" workbookViewId="0">
      <pane ySplit="2" topLeftCell="A3" activePane="bottomLeft" state="frozen"/>
      <selection pane="bottomLeft" activeCell="A3" sqref="A3"/>
    </sheetView>
  </sheetViews>
  <sheetFormatPr defaultColWidth="17.140625" defaultRowHeight="12.75" customHeight="1"/>
  <cols>
    <col min="1" max="1" width="21.7109375" customWidth="1"/>
    <col min="2" max="3" width="9.85546875" customWidth="1"/>
    <col min="4" max="4" width="8.85546875" customWidth="1"/>
    <col min="5" max="5" width="9.7109375" customWidth="1"/>
    <col min="6" max="7" width="9.85546875" customWidth="1"/>
    <col min="8" max="8" width="8.7109375" customWidth="1"/>
    <col min="9" max="10" width="9.28515625" customWidth="1"/>
    <col min="11" max="11" width="9.140625" customWidth="1"/>
    <col min="12" max="12" width="10.28515625" customWidth="1"/>
    <col min="13" max="14" width="9" customWidth="1"/>
    <col min="15" max="15" width="12.28515625" customWidth="1"/>
    <col min="16" max="16" width="10.140625" customWidth="1"/>
    <col min="17" max="20" width="17.140625" customWidth="1"/>
  </cols>
  <sheetData>
    <row r="1" spans="1:17" ht="20.25">
      <c r="A1" s="139" t="s">
        <v>22</v>
      </c>
      <c r="B1" s="144"/>
      <c r="C1" s="144"/>
    </row>
    <row r="2" spans="1:17" ht="18">
      <c r="A2" s="31" t="s">
        <v>130</v>
      </c>
    </row>
    <row r="3" spans="1:17" ht="12.75" customHeight="1">
      <c r="A3" s="32"/>
      <c r="B3" s="32"/>
      <c r="C3" s="32"/>
      <c r="D3" s="32"/>
      <c r="E3" s="32"/>
      <c r="F3" s="32"/>
      <c r="G3" s="32"/>
      <c r="H3" s="32"/>
      <c r="I3" s="32"/>
      <c r="J3" s="32"/>
      <c r="K3" s="32"/>
      <c r="L3" s="32"/>
      <c r="M3" s="32"/>
      <c r="N3" s="32"/>
      <c r="O3" s="32"/>
      <c r="P3" s="32"/>
    </row>
    <row r="4" spans="1:17" ht="25.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322</v>
      </c>
    </row>
    <row r="5" spans="1:17" ht="12.75" customHeight="1">
      <c r="A5" s="60" t="s">
        <v>22</v>
      </c>
      <c r="B5" s="48"/>
      <c r="C5" s="48"/>
      <c r="D5" s="48"/>
      <c r="E5" s="48"/>
      <c r="F5" s="48"/>
      <c r="G5" s="48"/>
      <c r="H5" s="48"/>
      <c r="I5" s="48"/>
      <c r="J5" s="48"/>
      <c r="K5" s="48"/>
      <c r="L5" s="48"/>
      <c r="M5" s="48"/>
      <c r="N5" s="48"/>
      <c r="O5" s="48"/>
      <c r="P5" s="48"/>
    </row>
    <row r="6" spans="1:17" ht="12.75" customHeight="1">
      <c r="A6" s="64" t="s">
        <v>170</v>
      </c>
      <c r="B6" s="65" t="s">
        <v>34</v>
      </c>
      <c r="C6" s="65" t="s">
        <v>34</v>
      </c>
      <c r="D6" s="65" t="s">
        <v>34</v>
      </c>
      <c r="E6" s="65" t="s">
        <v>34</v>
      </c>
      <c r="F6" s="65" t="s">
        <v>34</v>
      </c>
      <c r="G6" s="65" t="s">
        <v>34</v>
      </c>
      <c r="H6" s="65" t="s">
        <v>34</v>
      </c>
      <c r="I6" s="65" t="s">
        <v>34</v>
      </c>
      <c r="J6" s="65" t="s">
        <v>34</v>
      </c>
      <c r="K6" s="65">
        <v>92</v>
      </c>
      <c r="L6" s="65">
        <v>35</v>
      </c>
      <c r="M6" s="65">
        <v>25</v>
      </c>
      <c r="N6" s="66">
        <f>SUM(B6:M6)</f>
        <v>152</v>
      </c>
      <c r="O6" s="67"/>
      <c r="P6" s="67"/>
      <c r="Q6" s="15"/>
    </row>
    <row r="7" spans="1:17" ht="12.75" customHeight="1">
      <c r="A7" s="64" t="s">
        <v>89</v>
      </c>
      <c r="B7" s="65" t="s">
        <v>34</v>
      </c>
      <c r="C7" s="65" t="s">
        <v>34</v>
      </c>
      <c r="D7" s="65" t="s">
        <v>34</v>
      </c>
      <c r="E7" s="65" t="s">
        <v>34</v>
      </c>
      <c r="F7" s="65" t="s">
        <v>34</v>
      </c>
      <c r="G7" s="65" t="s">
        <v>34</v>
      </c>
      <c r="H7" s="65" t="s">
        <v>34</v>
      </c>
      <c r="I7" s="65" t="s">
        <v>34</v>
      </c>
      <c r="J7" s="65" t="s">
        <v>34</v>
      </c>
      <c r="K7" s="65">
        <v>10</v>
      </c>
      <c r="L7" s="65">
        <v>5</v>
      </c>
      <c r="M7" s="65">
        <v>6</v>
      </c>
      <c r="N7" s="66">
        <f>SUM(B7:M7)</f>
        <v>21</v>
      </c>
      <c r="O7" s="67">
        <v>31250</v>
      </c>
      <c r="P7" s="67"/>
      <c r="Q7" s="15"/>
    </row>
    <row r="8" spans="1:17" ht="12.75" customHeight="1">
      <c r="A8" s="64" t="s">
        <v>190</v>
      </c>
      <c r="B8" s="65" t="s">
        <v>34</v>
      </c>
      <c r="C8" s="65" t="s">
        <v>34</v>
      </c>
      <c r="D8" s="65" t="s">
        <v>34</v>
      </c>
      <c r="E8" s="65" t="s">
        <v>34</v>
      </c>
      <c r="F8" s="65" t="s">
        <v>34</v>
      </c>
      <c r="G8" s="65" t="s">
        <v>34</v>
      </c>
      <c r="H8" s="65" t="s">
        <v>34</v>
      </c>
      <c r="I8" s="65" t="s">
        <v>34</v>
      </c>
      <c r="J8" s="65" t="s">
        <v>34</v>
      </c>
      <c r="K8" s="65">
        <v>6</v>
      </c>
      <c r="L8" s="65">
        <v>1</v>
      </c>
      <c r="M8" s="65">
        <v>3</v>
      </c>
      <c r="N8" s="66">
        <f>SUM(B8:M8)</f>
        <v>10</v>
      </c>
      <c r="O8" s="67"/>
      <c r="P8" s="67"/>
      <c r="Q8" s="15"/>
    </row>
    <row r="9" spans="1:17" ht="12.75" customHeight="1">
      <c r="A9" s="64" t="s">
        <v>334</v>
      </c>
      <c r="B9" s="65" t="s">
        <v>34</v>
      </c>
      <c r="C9" s="65" t="s">
        <v>34</v>
      </c>
      <c r="D9" s="65" t="s">
        <v>34</v>
      </c>
      <c r="E9" s="65" t="s">
        <v>34</v>
      </c>
      <c r="F9" s="65" t="s">
        <v>34</v>
      </c>
      <c r="G9" s="65" t="s">
        <v>34</v>
      </c>
      <c r="H9" s="65" t="s">
        <v>34</v>
      </c>
      <c r="I9" s="65" t="s">
        <v>34</v>
      </c>
      <c r="J9" s="65" t="s">
        <v>34</v>
      </c>
      <c r="K9" s="65">
        <v>4681</v>
      </c>
      <c r="L9" s="65">
        <v>2078</v>
      </c>
      <c r="M9" s="65">
        <v>1606</v>
      </c>
      <c r="N9" s="66">
        <f>SUM(B9:M9)</f>
        <v>8365</v>
      </c>
      <c r="O9" s="67"/>
      <c r="P9" s="67"/>
      <c r="Q9" s="15"/>
    </row>
    <row r="10" spans="1:17" ht="12.75" customHeight="1">
      <c r="A10" s="64" t="s">
        <v>276</v>
      </c>
      <c r="B10" s="65" t="s">
        <v>34</v>
      </c>
      <c r="C10" s="65" t="s">
        <v>34</v>
      </c>
      <c r="D10" s="65" t="s">
        <v>34</v>
      </c>
      <c r="E10" s="65" t="s">
        <v>34</v>
      </c>
      <c r="F10" s="65" t="s">
        <v>34</v>
      </c>
      <c r="G10" s="65" t="s">
        <v>34</v>
      </c>
      <c r="H10" s="65" t="s">
        <v>34</v>
      </c>
      <c r="I10" s="65" t="s">
        <v>34</v>
      </c>
      <c r="J10" s="65" t="s">
        <v>34</v>
      </c>
      <c r="K10" s="65">
        <v>5</v>
      </c>
      <c r="L10" s="65">
        <v>0</v>
      </c>
      <c r="M10" s="65">
        <v>1</v>
      </c>
      <c r="N10" s="66">
        <f>SUM(B10:M10)</f>
        <v>6</v>
      </c>
      <c r="O10" s="67"/>
      <c r="P10" s="67"/>
      <c r="Q10" s="15"/>
    </row>
    <row r="11" spans="1:17" ht="12.75" customHeight="1">
      <c r="B11" s="38"/>
      <c r="C11" s="38"/>
      <c r="D11" s="38"/>
      <c r="E11" s="38"/>
      <c r="F11" s="38"/>
      <c r="G11" s="38"/>
      <c r="H11" s="38"/>
      <c r="I11" s="38"/>
      <c r="J11" s="38"/>
      <c r="K11" s="38"/>
      <c r="L11" s="38"/>
      <c r="M11" s="38"/>
      <c r="N11" s="38"/>
      <c r="O11" s="38"/>
      <c r="P11" s="38"/>
    </row>
    <row r="14" spans="1:17">
      <c r="A14" s="146" t="s">
        <v>236</v>
      </c>
      <c r="B14" s="144"/>
      <c r="C14" s="144"/>
      <c r="D14" s="144"/>
      <c r="E14" s="144"/>
      <c r="F14" s="144"/>
      <c r="G14" s="144"/>
      <c r="H14" s="144"/>
      <c r="I14" s="144"/>
      <c r="J14" s="144"/>
      <c r="K14" s="144"/>
    </row>
    <row r="15" spans="1:17" ht="12.75" customHeight="1">
      <c r="A15" s="2" t="s">
        <v>31</v>
      </c>
      <c r="B15" s="63" t="s">
        <v>247</v>
      </c>
    </row>
    <row r="16" spans="1:17">
      <c r="A16" s="146" t="s">
        <v>298</v>
      </c>
      <c r="B16" s="144"/>
      <c r="C16" s="144"/>
      <c r="D16" s="144"/>
      <c r="E16" s="144"/>
      <c r="F16" s="144"/>
      <c r="G16" s="144"/>
      <c r="H16" s="144"/>
      <c r="I16" s="144"/>
    </row>
    <row r="17" spans="1:13" ht="12.75" customHeight="1">
      <c r="A17" s="147"/>
      <c r="B17" s="147"/>
      <c r="C17" s="147"/>
      <c r="D17" s="147"/>
      <c r="E17" s="147"/>
      <c r="F17" s="147"/>
      <c r="G17" s="147"/>
      <c r="H17" s="147"/>
      <c r="I17" s="147"/>
      <c r="J17" s="147"/>
      <c r="K17" s="147"/>
    </row>
    <row r="18" spans="1:13" ht="25.5">
      <c r="A18" s="63" t="s">
        <v>10</v>
      </c>
    </row>
    <row r="19" spans="1:13" ht="25.5">
      <c r="A19" s="68" t="s">
        <v>211</v>
      </c>
      <c r="B19" s="146" t="s">
        <v>86</v>
      </c>
      <c r="C19" s="144"/>
      <c r="D19" s="144"/>
      <c r="E19" s="144"/>
      <c r="F19" s="144"/>
      <c r="G19" s="144"/>
      <c r="H19" s="144"/>
      <c r="I19" s="144"/>
      <c r="J19" s="144"/>
      <c r="K19" s="144"/>
    </row>
    <row r="20" spans="1:13" ht="25.5">
      <c r="A20" s="68"/>
      <c r="B20" s="63" t="s">
        <v>10</v>
      </c>
    </row>
    <row r="21" spans="1:13" ht="25.5">
      <c r="A21" s="68" t="s">
        <v>194</v>
      </c>
      <c r="B21" s="146" t="s">
        <v>202</v>
      </c>
      <c r="C21" s="144"/>
      <c r="D21" s="144"/>
      <c r="E21" s="144"/>
      <c r="F21" s="144"/>
      <c r="G21" s="144"/>
      <c r="H21" s="144"/>
      <c r="I21" s="144"/>
    </row>
    <row r="22" spans="1:13" ht="25.5">
      <c r="A22" s="68"/>
      <c r="B22" s="63" t="s">
        <v>10</v>
      </c>
    </row>
    <row r="23" spans="1:13" ht="25.5">
      <c r="A23" s="69" t="s">
        <v>48</v>
      </c>
      <c r="B23" s="146" t="s">
        <v>61</v>
      </c>
      <c r="C23" s="144"/>
      <c r="D23" s="144"/>
      <c r="E23" s="144"/>
      <c r="F23" s="144"/>
      <c r="G23" s="144"/>
      <c r="H23" s="144"/>
      <c r="I23" s="144"/>
      <c r="J23" s="144"/>
      <c r="K23" s="144"/>
      <c r="L23" s="144"/>
      <c r="M23" s="144"/>
    </row>
    <row r="24" spans="1:13" ht="25.5">
      <c r="A24" s="68"/>
      <c r="B24" s="63" t="s">
        <v>10</v>
      </c>
    </row>
    <row r="25" spans="1:13" ht="25.5">
      <c r="A25" s="68" t="s">
        <v>213</v>
      </c>
      <c r="B25" s="146" t="s">
        <v>42</v>
      </c>
      <c r="C25" s="144"/>
      <c r="D25" s="144"/>
      <c r="E25" s="144"/>
      <c r="F25" s="144"/>
      <c r="G25" s="144"/>
      <c r="H25" s="144"/>
      <c r="I25" s="144"/>
      <c r="J25" s="144"/>
      <c r="K25" s="144"/>
      <c r="L25" s="144"/>
    </row>
    <row r="26" spans="1:13" ht="25.5">
      <c r="A26" s="68"/>
      <c r="B26" s="63" t="s">
        <v>10</v>
      </c>
    </row>
    <row r="27" spans="1:13" ht="25.5">
      <c r="A27" s="68" t="s">
        <v>141</v>
      </c>
      <c r="B27" s="146" t="s">
        <v>242</v>
      </c>
      <c r="C27" s="144"/>
      <c r="D27" s="144"/>
      <c r="E27" s="144"/>
      <c r="F27" s="144"/>
      <c r="G27" s="144"/>
      <c r="H27" s="144"/>
    </row>
    <row r="28" spans="1:13" ht="25.5">
      <c r="B28" s="63" t="s">
        <v>10</v>
      </c>
    </row>
  </sheetData>
  <mergeCells count="9">
    <mergeCell ref="B23:M23"/>
    <mergeCell ref="B25:L25"/>
    <mergeCell ref="B27:H27"/>
    <mergeCell ref="A1:C1"/>
    <mergeCell ref="A14:K14"/>
    <mergeCell ref="A16:I16"/>
    <mergeCell ref="A17:K17"/>
    <mergeCell ref="B19:K19"/>
    <mergeCell ref="B21:I21"/>
  </mergeCells>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dimension ref="A1:Q21"/>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6" customWidth="1"/>
    <col min="2" max="2" width="6.42578125" customWidth="1"/>
    <col min="3" max="4" width="7.5703125" customWidth="1"/>
    <col min="5" max="5" width="8.28515625" customWidth="1"/>
    <col min="6" max="6" width="7.5703125" customWidth="1"/>
    <col min="7" max="14" width="8.5703125" customWidth="1"/>
    <col min="15" max="15" width="10.85546875" customWidth="1"/>
    <col min="16" max="16" width="8.5703125" customWidth="1"/>
    <col min="17" max="17" width="9.140625" customWidth="1"/>
  </cols>
  <sheetData>
    <row r="1" spans="1:17" ht="20.25">
      <c r="A1" s="1" t="s">
        <v>205</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5"/>
      <c r="C3" s="5"/>
      <c r="D3" s="5"/>
      <c r="E3" s="5"/>
      <c r="F3" s="5"/>
      <c r="G3" s="5"/>
      <c r="H3" s="5"/>
      <c r="I3" s="5"/>
      <c r="J3" s="5"/>
      <c r="K3" s="5"/>
      <c r="L3" s="5"/>
      <c r="M3" s="5"/>
      <c r="N3" s="5"/>
      <c r="O3" s="5"/>
      <c r="P3" s="32"/>
    </row>
    <row r="4" spans="1:17" ht="25.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35" t="s">
        <v>91</v>
      </c>
      <c r="P4" s="35" t="s">
        <v>284</v>
      </c>
      <c r="Q4" s="2"/>
    </row>
    <row r="5" spans="1:17" ht="12.75" customHeight="1">
      <c r="A5" s="36" t="s">
        <v>110</v>
      </c>
      <c r="B5" s="70"/>
      <c r="C5" s="70"/>
      <c r="D5" s="70"/>
      <c r="E5" s="70"/>
      <c r="F5" s="70"/>
      <c r="G5" s="70"/>
      <c r="H5" s="70"/>
      <c r="I5" s="70"/>
      <c r="J5" s="70"/>
      <c r="K5" s="70"/>
      <c r="L5" s="70"/>
      <c r="M5" s="70"/>
      <c r="N5" s="70"/>
      <c r="O5" s="28"/>
      <c r="P5" s="38"/>
    </row>
    <row r="6" spans="1:17" ht="12.75" customHeight="1">
      <c r="A6" s="39" t="s">
        <v>311</v>
      </c>
      <c r="B6" s="71" t="s">
        <v>40</v>
      </c>
      <c r="C6" s="71" t="s">
        <v>51</v>
      </c>
      <c r="D6" s="71" t="s">
        <v>60</v>
      </c>
      <c r="E6" s="71" t="s">
        <v>64</v>
      </c>
      <c r="F6" s="71" t="s">
        <v>54</v>
      </c>
      <c r="G6" s="72">
        <v>5</v>
      </c>
      <c r="H6" s="72">
        <v>10</v>
      </c>
      <c r="I6" s="72">
        <v>15</v>
      </c>
      <c r="J6" s="72">
        <v>11</v>
      </c>
      <c r="K6" s="72">
        <v>16</v>
      </c>
      <c r="L6" s="72">
        <v>5</v>
      </c>
      <c r="M6" s="72">
        <v>5</v>
      </c>
      <c r="N6" s="41">
        <f>SUM(B6:M6)</f>
        <v>67</v>
      </c>
      <c r="O6" s="9"/>
    </row>
    <row r="7" spans="1:17" ht="12.75" customHeight="1">
      <c r="A7" s="39" t="s">
        <v>209</v>
      </c>
      <c r="B7" s="71" t="s">
        <v>40</v>
      </c>
      <c r="C7" s="71" t="s">
        <v>46</v>
      </c>
      <c r="D7" s="71" t="s">
        <v>33</v>
      </c>
      <c r="E7" s="71" t="s">
        <v>50</v>
      </c>
      <c r="F7" s="71" t="s">
        <v>33</v>
      </c>
      <c r="G7" s="72">
        <v>9</v>
      </c>
      <c r="H7" s="72">
        <v>11</v>
      </c>
      <c r="I7" s="72">
        <v>16</v>
      </c>
      <c r="J7" s="72">
        <v>14</v>
      </c>
      <c r="K7" s="72">
        <v>19</v>
      </c>
      <c r="L7" s="72">
        <v>5</v>
      </c>
      <c r="M7" s="72">
        <v>6</v>
      </c>
      <c r="N7" s="41">
        <f>SUM(B7:M7)</f>
        <v>80</v>
      </c>
      <c r="O7" s="9"/>
    </row>
    <row r="8" spans="1:17" ht="12.75" customHeight="1">
      <c r="A8" s="39" t="s">
        <v>319</v>
      </c>
      <c r="B8" s="71" t="s">
        <v>65</v>
      </c>
      <c r="C8" s="71" t="s">
        <v>38</v>
      </c>
      <c r="D8" s="71" t="s">
        <v>35</v>
      </c>
      <c r="E8" s="71" t="s">
        <v>241</v>
      </c>
      <c r="F8" s="71" t="s">
        <v>114</v>
      </c>
      <c r="G8" s="72">
        <v>9</v>
      </c>
      <c r="H8" s="72">
        <v>44</v>
      </c>
      <c r="I8" s="72">
        <v>46</v>
      </c>
      <c r="J8" s="72">
        <v>125</v>
      </c>
      <c r="K8" s="72">
        <v>128</v>
      </c>
      <c r="L8" s="72">
        <v>6</v>
      </c>
      <c r="M8" s="72">
        <v>34</v>
      </c>
      <c r="N8" s="41">
        <f>SUM(B8:M8)</f>
        <v>392</v>
      </c>
      <c r="O8" s="9"/>
    </row>
    <row r="9" spans="1:17" ht="12.75" customHeight="1">
      <c r="A9" s="39" t="s">
        <v>127</v>
      </c>
      <c r="B9" s="71" t="s">
        <v>43</v>
      </c>
      <c r="C9" s="71" t="s">
        <v>43</v>
      </c>
      <c r="D9" s="71" t="s">
        <v>43</v>
      </c>
      <c r="E9" s="71" t="s">
        <v>43</v>
      </c>
      <c r="F9" s="71" t="s">
        <v>43</v>
      </c>
      <c r="G9" s="72">
        <v>0</v>
      </c>
      <c r="H9" s="72">
        <v>0</v>
      </c>
      <c r="I9" s="72">
        <v>0</v>
      </c>
      <c r="J9" s="72">
        <v>0</v>
      </c>
      <c r="K9" s="72">
        <v>2</v>
      </c>
      <c r="L9" s="72">
        <v>0</v>
      </c>
      <c r="M9" s="72">
        <v>1</v>
      </c>
      <c r="N9" s="41">
        <f>SUM(B9:M9)</f>
        <v>3</v>
      </c>
      <c r="O9" s="9"/>
    </row>
    <row r="10" spans="1:17" ht="12.75" customHeight="1">
      <c r="A10" s="39" t="s">
        <v>293</v>
      </c>
      <c r="B10" s="71" t="s">
        <v>71</v>
      </c>
      <c r="C10" s="71" t="s">
        <v>32</v>
      </c>
      <c r="D10" s="71" t="s">
        <v>159</v>
      </c>
      <c r="E10" s="71" t="s">
        <v>165</v>
      </c>
      <c r="F10" s="71" t="s">
        <v>240</v>
      </c>
      <c r="G10" s="72">
        <v>7</v>
      </c>
      <c r="H10" s="72">
        <v>18</v>
      </c>
      <c r="I10" s="72">
        <v>23</v>
      </c>
      <c r="J10" s="72">
        <v>85</v>
      </c>
      <c r="K10" s="72">
        <v>80</v>
      </c>
      <c r="L10" s="72">
        <v>4</v>
      </c>
      <c r="M10" s="72">
        <v>23</v>
      </c>
      <c r="N10" s="41">
        <f>SUM(B10:M10)</f>
        <v>240</v>
      </c>
      <c r="O10" s="9"/>
    </row>
    <row r="11" spans="1:17" ht="12.75" customHeight="1">
      <c r="A11" s="39" t="s">
        <v>174</v>
      </c>
      <c r="B11" s="71" t="s">
        <v>318</v>
      </c>
      <c r="C11" s="71" t="s">
        <v>172</v>
      </c>
      <c r="D11" s="71" t="s">
        <v>222</v>
      </c>
      <c r="E11" s="71" t="s">
        <v>45</v>
      </c>
      <c r="F11" s="71" t="s">
        <v>336</v>
      </c>
      <c r="G11" s="73">
        <v>0</v>
      </c>
      <c r="H11" s="71" t="s">
        <v>157</v>
      </c>
      <c r="I11" s="71" t="s">
        <v>327</v>
      </c>
      <c r="J11" s="71" t="s">
        <v>300</v>
      </c>
      <c r="K11" s="71" t="s">
        <v>201</v>
      </c>
      <c r="L11" s="71" t="s">
        <v>57</v>
      </c>
      <c r="M11" s="71" t="s">
        <v>299</v>
      </c>
      <c r="N11" s="74" t="s">
        <v>75</v>
      </c>
      <c r="O11" s="9"/>
    </row>
    <row r="12" spans="1:17" ht="12.75" customHeight="1">
      <c r="A12" s="2"/>
      <c r="B12" s="75"/>
      <c r="C12" s="75"/>
      <c r="D12" s="75"/>
      <c r="E12" s="75"/>
      <c r="F12" s="75"/>
      <c r="G12" s="75"/>
      <c r="H12" s="49"/>
      <c r="I12" s="49"/>
      <c r="J12" s="49"/>
      <c r="K12" s="49"/>
      <c r="L12" s="49"/>
      <c r="M12" s="76"/>
      <c r="N12" s="77"/>
      <c r="O12" s="2"/>
    </row>
    <row r="13" spans="1:17" ht="12.75" customHeight="1">
      <c r="A13" s="2" t="s">
        <v>282</v>
      </c>
      <c r="B13" s="2" t="s">
        <v>247</v>
      </c>
      <c r="C13" s="2"/>
      <c r="D13" s="2"/>
      <c r="E13" s="2"/>
      <c r="F13" s="2"/>
      <c r="G13" s="2"/>
      <c r="H13" s="2"/>
      <c r="I13" s="2"/>
      <c r="J13" s="2"/>
      <c r="K13" s="2"/>
      <c r="L13" s="2"/>
      <c r="M13" s="2"/>
      <c r="N13" s="2"/>
      <c r="O13" s="2"/>
    </row>
    <row r="14" spans="1:17" ht="12.75" customHeight="1">
      <c r="A14" s="2"/>
      <c r="B14" s="5"/>
      <c r="C14" s="5"/>
      <c r="D14" s="5"/>
      <c r="E14" s="5"/>
      <c r="F14" s="5"/>
      <c r="G14" s="5"/>
      <c r="H14" s="5"/>
      <c r="I14" s="5"/>
      <c r="J14" s="5"/>
      <c r="K14" s="5"/>
      <c r="L14" s="5"/>
      <c r="M14" s="5"/>
      <c r="N14" s="5"/>
      <c r="O14" s="2"/>
    </row>
    <row r="15" spans="1:17" ht="12.75" customHeight="1">
      <c r="A15" s="39" t="s">
        <v>216</v>
      </c>
      <c r="B15" s="26"/>
      <c r="C15" s="26"/>
      <c r="D15" s="26"/>
      <c r="E15" s="26"/>
      <c r="F15" s="26"/>
      <c r="G15" s="26"/>
      <c r="H15" s="26"/>
      <c r="I15" s="26"/>
      <c r="J15" s="26"/>
      <c r="K15" s="26"/>
      <c r="L15" s="26"/>
      <c r="M15" s="26"/>
      <c r="N15" s="74">
        <f>SUM(B15:M15)</f>
        <v>0</v>
      </c>
      <c r="O15" s="42">
        <v>895.5</v>
      </c>
      <c r="P15" s="43" t="e">
        <f>O15/N15</f>
        <v>#DIV/0!</v>
      </c>
    </row>
    <row r="16" spans="1:17" ht="12.75" customHeight="1">
      <c r="A16" s="2"/>
      <c r="B16" s="28"/>
      <c r="C16" s="28"/>
      <c r="D16" s="28"/>
      <c r="E16" s="28"/>
      <c r="F16" s="28"/>
      <c r="G16" s="28"/>
      <c r="H16" s="28"/>
      <c r="I16" s="28"/>
      <c r="J16" s="28"/>
      <c r="K16" s="28"/>
      <c r="L16" s="28"/>
      <c r="M16" s="28"/>
      <c r="N16" s="28"/>
      <c r="O16" s="2"/>
    </row>
    <row r="17" spans="1:15" ht="12.75" customHeight="1">
      <c r="B17" s="2"/>
      <c r="C17" s="2"/>
      <c r="D17" s="2"/>
      <c r="E17" s="2"/>
      <c r="F17" s="2"/>
      <c r="H17" s="2"/>
      <c r="I17" s="2"/>
      <c r="J17" s="2"/>
      <c r="K17" s="2"/>
      <c r="L17" s="2"/>
      <c r="M17" s="2"/>
      <c r="N17" s="2"/>
      <c r="O17" s="2"/>
    </row>
    <row r="18" spans="1:15" ht="12.75" customHeight="1">
      <c r="B18" s="2"/>
      <c r="C18" s="2"/>
      <c r="D18" s="2"/>
      <c r="E18" s="2"/>
      <c r="F18" s="2"/>
      <c r="G18" s="2"/>
      <c r="H18" s="2"/>
      <c r="I18" s="2"/>
      <c r="J18" s="2"/>
      <c r="K18" s="2"/>
      <c r="L18" s="2"/>
      <c r="M18" s="2"/>
      <c r="N18" s="2"/>
      <c r="O18" s="2"/>
    </row>
    <row r="19" spans="1:15" ht="12.75" customHeight="1">
      <c r="A19" s="2"/>
      <c r="B19" s="2"/>
      <c r="C19" s="2"/>
      <c r="D19" s="2"/>
      <c r="E19" s="2"/>
      <c r="F19" s="2"/>
      <c r="G19" s="2"/>
      <c r="H19" s="2"/>
      <c r="I19" s="2"/>
      <c r="J19" s="2"/>
      <c r="K19" s="2"/>
      <c r="L19" s="2"/>
      <c r="M19" s="2"/>
      <c r="N19" s="2"/>
      <c r="O19" s="2"/>
    </row>
    <row r="20" spans="1:15" ht="12.75" customHeight="1">
      <c r="A20" s="2"/>
      <c r="B20" s="2"/>
      <c r="C20" s="2"/>
      <c r="D20" s="2"/>
      <c r="E20" s="2"/>
      <c r="F20" s="2"/>
      <c r="G20" s="2"/>
      <c r="H20" s="2"/>
      <c r="I20" s="2"/>
      <c r="J20" s="2"/>
      <c r="K20" s="2"/>
      <c r="L20" s="2"/>
      <c r="M20" s="2"/>
      <c r="N20" s="2"/>
      <c r="O20" s="2"/>
    </row>
    <row r="21" spans="1:15" ht="12.75" customHeight="1">
      <c r="B21" s="2"/>
      <c r="C21" s="2"/>
      <c r="D21" s="2"/>
      <c r="E21" s="2"/>
      <c r="F21" s="2"/>
      <c r="H21" s="2"/>
      <c r="I21" s="2"/>
      <c r="J21" s="2"/>
      <c r="K21" s="2"/>
      <c r="L21" s="2"/>
      <c r="M21" s="2"/>
      <c r="N21" s="2"/>
      <c r="O21" s="2"/>
    </row>
  </sheetData>
  <pageMargins left="0.75" right="0.75" top="1" bottom="1" header="0.5" footer="0.5"/>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dimension ref="A1:Q12"/>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3.85546875" customWidth="1"/>
    <col min="2" max="14" width="8.5703125" customWidth="1"/>
    <col min="15" max="15" width="10.85546875" customWidth="1"/>
    <col min="16" max="16" width="8.5703125" customWidth="1"/>
    <col min="17" max="17" width="9.140625" customWidth="1"/>
  </cols>
  <sheetData>
    <row r="1" spans="1:17" ht="20.25">
      <c r="A1" s="139" t="s">
        <v>225</v>
      </c>
      <c r="B1" s="140"/>
      <c r="C1" s="140"/>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5"/>
      <c r="P3" s="32"/>
    </row>
    <row r="4" spans="1:17" ht="25.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35" t="s">
        <v>197</v>
      </c>
      <c r="P4" s="35" t="s">
        <v>284</v>
      </c>
      <c r="Q4" s="2"/>
    </row>
    <row r="5" spans="1:17" ht="12.75" customHeight="1">
      <c r="A5" s="36" t="s">
        <v>225</v>
      </c>
      <c r="B5" s="70"/>
      <c r="C5" s="70"/>
      <c r="D5" s="70"/>
      <c r="E5" s="70"/>
      <c r="F5" s="70"/>
      <c r="G5" s="70"/>
      <c r="H5" s="70"/>
      <c r="I5" s="70"/>
      <c r="J5" s="70"/>
      <c r="K5" s="70"/>
      <c r="L5" s="70"/>
      <c r="M5" s="70"/>
      <c r="N5" s="70"/>
      <c r="O5" s="28"/>
      <c r="P5" s="38"/>
    </row>
    <row r="6" spans="1:17" ht="12.75" customHeight="1">
      <c r="A6" s="39" t="s">
        <v>104</v>
      </c>
      <c r="B6" s="72">
        <v>14</v>
      </c>
      <c r="C6" s="72">
        <v>2</v>
      </c>
      <c r="D6" s="72">
        <v>3</v>
      </c>
      <c r="E6" s="72">
        <v>9</v>
      </c>
      <c r="F6" s="72">
        <v>27</v>
      </c>
      <c r="G6" s="72">
        <v>17</v>
      </c>
      <c r="H6" s="72">
        <v>2</v>
      </c>
      <c r="I6" s="72">
        <v>8</v>
      </c>
      <c r="J6" s="72">
        <v>7</v>
      </c>
      <c r="K6" s="72">
        <v>17</v>
      </c>
      <c r="L6" s="72">
        <v>3</v>
      </c>
      <c r="M6" s="78" t="s">
        <v>88</v>
      </c>
      <c r="N6" s="41">
        <f>SUM(B6:M6)</f>
        <v>109</v>
      </c>
      <c r="O6" s="42">
        <v>615.47</v>
      </c>
      <c r="P6" s="43">
        <f>O6/N6</f>
        <v>5.6465137614678902</v>
      </c>
    </row>
    <row r="7" spans="1:17" ht="12.75" customHeight="1">
      <c r="A7" s="39" t="s">
        <v>167</v>
      </c>
      <c r="B7" s="40">
        <v>4</v>
      </c>
      <c r="C7" s="40">
        <v>1</v>
      </c>
      <c r="D7" s="40">
        <v>2</v>
      </c>
      <c r="E7" s="40">
        <v>3</v>
      </c>
      <c r="F7" s="40">
        <v>4</v>
      </c>
      <c r="G7" s="40">
        <v>4</v>
      </c>
      <c r="H7" s="40">
        <v>1</v>
      </c>
      <c r="I7" s="40">
        <v>2</v>
      </c>
      <c r="J7" s="40">
        <v>1</v>
      </c>
      <c r="K7" s="40">
        <v>3</v>
      </c>
      <c r="L7" s="40">
        <v>2</v>
      </c>
      <c r="M7" s="40" t="s">
        <v>88</v>
      </c>
      <c r="N7" s="41"/>
      <c r="O7" s="9"/>
      <c r="P7" s="43"/>
    </row>
    <row r="8" spans="1:17" ht="12.75" customHeight="1">
      <c r="A8" s="39" t="s">
        <v>7</v>
      </c>
      <c r="B8" s="40">
        <v>84042</v>
      </c>
      <c r="C8" s="26">
        <v>0</v>
      </c>
      <c r="D8" s="40">
        <v>125</v>
      </c>
      <c r="E8" s="40">
        <v>76827</v>
      </c>
      <c r="F8" s="40">
        <v>407872</v>
      </c>
      <c r="G8" s="40">
        <v>206806</v>
      </c>
      <c r="H8" s="40">
        <v>141</v>
      </c>
      <c r="I8" s="40">
        <v>32430</v>
      </c>
      <c r="J8" s="40">
        <v>7542</v>
      </c>
      <c r="K8" s="40">
        <v>66229</v>
      </c>
      <c r="L8" s="40">
        <v>5216</v>
      </c>
      <c r="M8" s="40" t="s">
        <v>88</v>
      </c>
      <c r="N8" s="41">
        <f>SUM(B8:M8)</f>
        <v>887230</v>
      </c>
      <c r="O8" s="42">
        <v>615.47</v>
      </c>
      <c r="P8" s="43">
        <f>O8/N8</f>
        <v>6.9369836457288422E-4</v>
      </c>
    </row>
    <row r="9" spans="1:17" ht="12.75" customHeight="1">
      <c r="A9" s="39" t="s">
        <v>67</v>
      </c>
      <c r="B9" s="26">
        <v>22362</v>
      </c>
      <c r="C9" s="52">
        <v>0</v>
      </c>
      <c r="D9" s="40">
        <v>0</v>
      </c>
      <c r="E9" s="40">
        <v>21865</v>
      </c>
      <c r="F9" s="40">
        <v>109911</v>
      </c>
      <c r="G9" s="40">
        <v>59222</v>
      </c>
      <c r="H9" s="40">
        <v>0</v>
      </c>
      <c r="I9" s="40">
        <v>11679</v>
      </c>
      <c r="J9" s="40">
        <v>1220</v>
      </c>
      <c r="K9" s="40">
        <v>39125</v>
      </c>
      <c r="L9" s="40">
        <v>1205</v>
      </c>
      <c r="M9" s="40" t="s">
        <v>88</v>
      </c>
      <c r="N9" s="41">
        <f>SUM(B9:M9)</f>
        <v>266589</v>
      </c>
      <c r="O9" s="9"/>
    </row>
    <row r="10" spans="1:17" ht="12.75" customHeight="1">
      <c r="A10" s="2"/>
      <c r="B10" s="38"/>
      <c r="C10" s="38"/>
      <c r="D10" s="38"/>
      <c r="E10" s="38"/>
      <c r="F10" s="38"/>
      <c r="G10" s="38"/>
      <c r="H10" s="38"/>
      <c r="I10" s="38"/>
      <c r="J10" s="38"/>
      <c r="K10" s="38"/>
      <c r="L10" s="38"/>
      <c r="M10" s="38"/>
      <c r="N10" s="38"/>
      <c r="O10" s="2"/>
    </row>
    <row r="11" spans="1:17" ht="12.75" customHeight="1">
      <c r="A11" s="2" t="s">
        <v>31</v>
      </c>
      <c r="B11" s="2" t="s">
        <v>247</v>
      </c>
      <c r="O11" s="2"/>
    </row>
    <row r="12" spans="1:17" ht="12.75" customHeight="1">
      <c r="A12" s="2"/>
      <c r="O12" s="2"/>
    </row>
  </sheetData>
  <mergeCells count="1">
    <mergeCell ref="A1:C1"/>
  </mergeCells>
  <pageMargins left="0.75" right="0.75" top="1" bottom="1" header="0.5" footer="0.5"/>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dimension ref="A1:Q13"/>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8.140625" customWidth="1"/>
    <col min="2" max="14" width="8.5703125" customWidth="1"/>
    <col min="15" max="15" width="10.85546875" customWidth="1"/>
    <col min="16" max="16" width="8.5703125" customWidth="1"/>
    <col min="17" max="17" width="9.140625" customWidth="1"/>
  </cols>
  <sheetData>
    <row r="1" spans="1:17" ht="20.25">
      <c r="A1" s="1" t="s">
        <v>188</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5"/>
      <c r="P3" s="32"/>
    </row>
    <row r="4" spans="1:17" ht="25.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35" t="s">
        <v>308</v>
      </c>
      <c r="P4" s="35" t="s">
        <v>284</v>
      </c>
      <c r="Q4" s="2"/>
    </row>
    <row r="5" spans="1:17" ht="12.75" customHeight="1">
      <c r="A5" s="79" t="s">
        <v>188</v>
      </c>
      <c r="B5" s="70"/>
      <c r="C5" s="70"/>
      <c r="D5" s="70"/>
      <c r="E5" s="70"/>
      <c r="F5" s="70"/>
      <c r="G5" s="80"/>
      <c r="H5" s="70"/>
      <c r="I5" s="70"/>
      <c r="J5" s="70"/>
      <c r="K5" s="70"/>
      <c r="L5" s="70"/>
      <c r="M5" s="70"/>
      <c r="N5" s="70"/>
      <c r="O5" s="45"/>
      <c r="P5" s="45"/>
    </row>
    <row r="6" spans="1:17" ht="12.75" customHeight="1">
      <c r="A6" s="26" t="s">
        <v>89</v>
      </c>
      <c r="B6" s="58" t="s">
        <v>34</v>
      </c>
      <c r="C6" s="59">
        <v>12</v>
      </c>
      <c r="D6" s="59">
        <v>100</v>
      </c>
      <c r="E6" s="59">
        <v>200</v>
      </c>
      <c r="F6" s="59">
        <v>201</v>
      </c>
      <c r="G6" s="59">
        <v>69</v>
      </c>
      <c r="H6" s="59">
        <v>47</v>
      </c>
      <c r="I6" s="59">
        <v>227</v>
      </c>
      <c r="J6" s="59">
        <v>226</v>
      </c>
      <c r="K6" s="59">
        <v>174</v>
      </c>
      <c r="L6" s="59">
        <v>22</v>
      </c>
      <c r="M6" s="59">
        <v>18</v>
      </c>
      <c r="N6" s="41">
        <f>SUM(B6:M6)</f>
        <v>1296</v>
      </c>
      <c r="O6" s="42"/>
      <c r="P6" s="43"/>
    </row>
    <row r="7" spans="1:17" ht="12.75" customHeight="1">
      <c r="A7" s="26" t="s">
        <v>328</v>
      </c>
      <c r="B7" s="58" t="s">
        <v>34</v>
      </c>
      <c r="C7" s="59">
        <v>5</v>
      </c>
      <c r="D7" s="59">
        <v>18</v>
      </c>
      <c r="E7" s="59">
        <v>40</v>
      </c>
      <c r="F7" s="59">
        <v>70</v>
      </c>
      <c r="G7" s="59">
        <v>8</v>
      </c>
      <c r="H7" s="59">
        <v>14</v>
      </c>
      <c r="I7" s="59">
        <v>73</v>
      </c>
      <c r="J7" s="59">
        <v>33</v>
      </c>
      <c r="K7" s="59">
        <v>26</v>
      </c>
      <c r="L7" s="59">
        <v>3</v>
      </c>
      <c r="M7" s="59">
        <v>0</v>
      </c>
      <c r="N7" s="41">
        <f>SUM(B7:M7)</f>
        <v>290</v>
      </c>
      <c r="O7" s="42">
        <v>2995</v>
      </c>
      <c r="P7" s="43">
        <f>O7/N7</f>
        <v>10.327586206896552</v>
      </c>
    </row>
    <row r="8" spans="1:17" ht="12.75" customHeight="1">
      <c r="A8" s="26" t="s">
        <v>9</v>
      </c>
      <c r="B8" s="58" t="s">
        <v>34</v>
      </c>
      <c r="C8" s="59">
        <v>15</v>
      </c>
      <c r="D8" s="59">
        <v>88</v>
      </c>
      <c r="E8" s="59">
        <v>144</v>
      </c>
      <c r="F8" s="59">
        <v>166</v>
      </c>
      <c r="G8" s="59">
        <v>79</v>
      </c>
      <c r="H8" s="59">
        <v>41</v>
      </c>
      <c r="I8" s="59">
        <v>214</v>
      </c>
      <c r="J8" s="59">
        <v>260</v>
      </c>
      <c r="K8" s="59">
        <v>181</v>
      </c>
      <c r="L8" s="59">
        <v>20</v>
      </c>
      <c r="M8" s="59">
        <v>17</v>
      </c>
      <c r="N8" s="41">
        <f>SUM(B8:M8)</f>
        <v>1225</v>
      </c>
      <c r="O8" s="42">
        <v>2995</v>
      </c>
      <c r="P8" s="43">
        <f>O8/N8</f>
        <v>2.4448979591836735</v>
      </c>
    </row>
    <row r="9" spans="1:17" ht="12.75" customHeight="1">
      <c r="A9" s="26" t="s">
        <v>29</v>
      </c>
      <c r="B9" s="58" t="s">
        <v>34</v>
      </c>
      <c r="C9" s="59">
        <v>0</v>
      </c>
      <c r="D9" s="59">
        <v>0</v>
      </c>
      <c r="E9" s="59">
        <v>0</v>
      </c>
      <c r="F9" s="59">
        <v>0</v>
      </c>
      <c r="G9" s="59">
        <v>0</v>
      </c>
      <c r="H9" s="59">
        <v>0</v>
      </c>
      <c r="I9" s="59">
        <v>0</v>
      </c>
      <c r="J9" s="59">
        <v>0</v>
      </c>
      <c r="K9" s="59">
        <v>0</v>
      </c>
      <c r="L9" s="59">
        <v>0</v>
      </c>
      <c r="M9" s="59">
        <v>0</v>
      </c>
      <c r="N9" s="41"/>
      <c r="O9" s="42"/>
      <c r="P9" s="43"/>
    </row>
    <row r="10" spans="1:17" ht="12.75" customHeight="1">
      <c r="A10" s="28"/>
      <c r="B10" s="38"/>
      <c r="C10" s="38"/>
      <c r="D10" s="38"/>
      <c r="E10" s="38"/>
      <c r="F10" s="38"/>
      <c r="G10" s="38"/>
      <c r="H10" s="38"/>
      <c r="I10" s="38"/>
      <c r="J10" s="38"/>
      <c r="K10" s="38"/>
      <c r="L10" s="38"/>
      <c r="M10" s="38"/>
      <c r="N10" s="38"/>
      <c r="O10" s="2"/>
      <c r="P10" s="81"/>
    </row>
    <row r="11" spans="1:17" ht="12.75" customHeight="1">
      <c r="A11" s="2"/>
      <c r="O11" s="2"/>
    </row>
    <row r="12" spans="1:17" ht="12.75" customHeight="1">
      <c r="A12" s="2" t="s">
        <v>31</v>
      </c>
      <c r="B12" s="2" t="s">
        <v>310</v>
      </c>
      <c r="O12" s="2"/>
    </row>
    <row r="13" spans="1:17" ht="12.75" customHeight="1">
      <c r="A13" s="2"/>
      <c r="O13" s="2"/>
    </row>
  </sheetData>
  <pageMargins left="0.75" right="0.75" top="1" bottom="1" header="0.5" footer="0.5"/>
  <pageSetup paperSize="9"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dimension ref="A1:Q13"/>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8.140625" customWidth="1"/>
    <col min="2" max="14" width="8.5703125" customWidth="1"/>
    <col min="15" max="15" width="10.85546875" customWidth="1"/>
    <col min="16" max="16" width="8.5703125" customWidth="1"/>
    <col min="17" max="17" width="9.140625" customWidth="1"/>
  </cols>
  <sheetData>
    <row r="1" spans="1:17" ht="20.25">
      <c r="A1" s="1" t="s">
        <v>87</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5"/>
      <c r="P3" s="32"/>
    </row>
    <row r="4" spans="1:17"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35" t="s">
        <v>308</v>
      </c>
      <c r="P4" s="35" t="s">
        <v>154</v>
      </c>
      <c r="Q4" s="2"/>
    </row>
    <row r="5" spans="1:17" ht="12.75" customHeight="1">
      <c r="A5" s="79" t="s">
        <v>30</v>
      </c>
      <c r="B5" s="70"/>
      <c r="C5" s="70"/>
      <c r="D5" s="70"/>
      <c r="E5" s="70"/>
      <c r="F5" s="70"/>
      <c r="G5" s="80"/>
      <c r="H5" s="70"/>
      <c r="I5" s="70"/>
      <c r="J5" s="70"/>
      <c r="K5" s="70"/>
      <c r="L5" s="70"/>
      <c r="M5" s="70"/>
      <c r="N5" s="70"/>
      <c r="O5" s="45"/>
      <c r="P5" s="45"/>
    </row>
    <row r="6" spans="1:17" ht="12.75" customHeight="1">
      <c r="A6" s="26" t="s">
        <v>328</v>
      </c>
      <c r="B6" s="82">
        <v>23</v>
      </c>
      <c r="C6" s="82">
        <v>73</v>
      </c>
      <c r="D6" s="82">
        <v>21</v>
      </c>
      <c r="E6" s="82">
        <v>15</v>
      </c>
      <c r="F6" s="82">
        <v>39</v>
      </c>
      <c r="G6" s="82">
        <v>8</v>
      </c>
      <c r="H6" s="82">
        <v>31</v>
      </c>
      <c r="I6" s="82">
        <v>9</v>
      </c>
      <c r="J6" s="82">
        <v>5</v>
      </c>
      <c r="K6" s="82">
        <v>24</v>
      </c>
      <c r="L6" s="82">
        <v>17</v>
      </c>
      <c r="M6" s="82">
        <v>14</v>
      </c>
      <c r="N6" s="41">
        <f>SUM(B6:M6)</f>
        <v>279</v>
      </c>
      <c r="O6" s="42">
        <v>1263</v>
      </c>
      <c r="P6" s="43">
        <f>O6/N6</f>
        <v>4.5268817204301079</v>
      </c>
    </row>
    <row r="7" spans="1:17" ht="12.75" customHeight="1">
      <c r="A7" s="51"/>
      <c r="B7" s="83"/>
      <c r="C7" s="83"/>
      <c r="D7" s="83"/>
      <c r="E7" s="83"/>
      <c r="F7" s="83"/>
      <c r="G7" s="83"/>
      <c r="H7" s="83"/>
      <c r="I7" s="83"/>
      <c r="J7" s="83"/>
      <c r="K7" s="83"/>
      <c r="L7" s="83"/>
      <c r="M7" s="83"/>
      <c r="N7" s="83"/>
      <c r="O7" s="43"/>
      <c r="P7" s="43"/>
    </row>
    <row r="8" spans="1:17" ht="12.75" customHeight="1">
      <c r="A8" s="26" t="s">
        <v>140</v>
      </c>
      <c r="B8" s="82">
        <v>134</v>
      </c>
      <c r="C8" s="82">
        <v>53</v>
      </c>
      <c r="D8" s="82">
        <v>70</v>
      </c>
      <c r="E8" s="82">
        <v>46</v>
      </c>
      <c r="F8" s="82">
        <v>91</v>
      </c>
      <c r="G8" s="82">
        <v>18</v>
      </c>
      <c r="H8" s="82">
        <v>25</v>
      </c>
      <c r="I8" s="82">
        <v>33</v>
      </c>
      <c r="J8" s="82">
        <v>20</v>
      </c>
      <c r="K8" s="82">
        <v>45</v>
      </c>
      <c r="L8" s="82">
        <v>18</v>
      </c>
      <c r="M8" s="82">
        <v>10</v>
      </c>
      <c r="N8" s="41">
        <f>SUM(B8:M8)</f>
        <v>563</v>
      </c>
      <c r="O8" s="42"/>
      <c r="P8" s="43"/>
    </row>
    <row r="9" spans="1:17" ht="12.75" customHeight="1">
      <c r="A9" s="26" t="s">
        <v>29</v>
      </c>
      <c r="B9" s="82">
        <v>0</v>
      </c>
      <c r="C9" s="82">
        <v>0</v>
      </c>
      <c r="D9" s="82">
        <v>0</v>
      </c>
      <c r="E9" s="82">
        <v>0</v>
      </c>
      <c r="F9" s="82">
        <v>0</v>
      </c>
      <c r="G9" s="82">
        <v>0</v>
      </c>
      <c r="H9" s="82">
        <v>0</v>
      </c>
      <c r="I9" s="82">
        <v>0</v>
      </c>
      <c r="J9" s="82">
        <v>0</v>
      </c>
      <c r="K9" s="82">
        <v>0</v>
      </c>
      <c r="L9" s="82">
        <v>0</v>
      </c>
      <c r="M9" s="82">
        <v>0</v>
      </c>
      <c r="N9" s="41">
        <f>SUM(B9:M9)</f>
        <v>0</v>
      </c>
      <c r="O9" s="42"/>
      <c r="P9" s="43"/>
    </row>
    <row r="10" spans="1:17" ht="12.75" customHeight="1">
      <c r="A10" s="28"/>
      <c r="B10" s="38"/>
      <c r="C10" s="38"/>
      <c r="D10" s="38"/>
      <c r="E10" s="38"/>
      <c r="F10" s="38"/>
      <c r="G10" s="38"/>
      <c r="H10" s="38"/>
      <c r="I10" s="38"/>
      <c r="J10" s="38"/>
      <c r="K10" s="38"/>
      <c r="L10" s="38"/>
      <c r="M10" s="38"/>
      <c r="N10" s="38"/>
      <c r="O10" s="2"/>
      <c r="P10" s="81"/>
    </row>
    <row r="11" spans="1:17" ht="12.75" customHeight="1">
      <c r="A11" s="2"/>
      <c r="O11" s="2"/>
    </row>
    <row r="12" spans="1:17" ht="12.75" customHeight="1">
      <c r="A12" s="2" t="s">
        <v>31</v>
      </c>
      <c r="B12" s="2" t="s">
        <v>247</v>
      </c>
      <c r="O12" s="2"/>
    </row>
    <row r="13" spans="1:17" ht="12.75" customHeight="1">
      <c r="A13" s="2"/>
      <c r="O13" s="2"/>
    </row>
  </sheetData>
  <pageMargins left="0.75" right="0.75" top="1" bottom="1" header="0.5" footer="0.5"/>
  <pageSetup paperSize="9"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dimension ref="A1:Q11"/>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2.7109375" customWidth="1"/>
    <col min="2" max="14" width="8.5703125" customWidth="1"/>
    <col min="15" max="15" width="10.85546875" customWidth="1"/>
    <col min="16" max="16" width="8.5703125" customWidth="1"/>
    <col min="17" max="17" width="9.140625" customWidth="1"/>
  </cols>
  <sheetData>
    <row r="1" spans="1:17" ht="20.25">
      <c r="A1" s="139" t="s">
        <v>131</v>
      </c>
      <c r="B1" s="140"/>
      <c r="C1" s="140"/>
      <c r="D1" s="140"/>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5"/>
      <c r="P3" s="32"/>
    </row>
    <row r="4" spans="1:17"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35" t="s">
        <v>197</v>
      </c>
      <c r="P4" s="35" t="s">
        <v>154</v>
      </c>
      <c r="Q4" s="2"/>
    </row>
    <row r="5" spans="1:17" ht="12.75" customHeight="1">
      <c r="A5" s="36" t="s">
        <v>168</v>
      </c>
      <c r="B5" s="70"/>
      <c r="C5" s="70"/>
      <c r="D5" s="70"/>
      <c r="E5" s="70"/>
      <c r="F5" s="70"/>
      <c r="G5" s="70"/>
      <c r="H5" s="70"/>
      <c r="I5" s="70"/>
      <c r="J5" s="70"/>
      <c r="K5" s="70"/>
      <c r="L5" s="70"/>
      <c r="M5" s="70"/>
      <c r="N5" s="70"/>
      <c r="O5" s="28"/>
      <c r="P5" s="38"/>
    </row>
    <row r="6" spans="1:17" ht="12.75" customHeight="1">
      <c r="A6" s="39" t="s">
        <v>89</v>
      </c>
      <c r="B6" s="40">
        <v>79</v>
      </c>
      <c r="C6" s="40">
        <v>59</v>
      </c>
      <c r="D6" s="40">
        <v>78</v>
      </c>
      <c r="E6" s="40">
        <v>175</v>
      </c>
      <c r="F6" s="40">
        <v>353</v>
      </c>
      <c r="G6" s="40">
        <v>66</v>
      </c>
      <c r="H6" s="40">
        <v>64</v>
      </c>
      <c r="I6" s="40">
        <v>142</v>
      </c>
      <c r="J6" s="40">
        <v>122</v>
      </c>
      <c r="K6" s="40">
        <v>189</v>
      </c>
      <c r="L6" s="40">
        <v>82</v>
      </c>
      <c r="M6" s="40">
        <v>85</v>
      </c>
      <c r="N6" s="41">
        <f>SUM(B6:M6)</f>
        <v>1494</v>
      </c>
      <c r="O6" s="9"/>
      <c r="P6" s="43"/>
    </row>
    <row r="7" spans="1:17" ht="12.75" customHeight="1">
      <c r="A7" s="39" t="s">
        <v>328</v>
      </c>
      <c r="B7" s="40">
        <v>314</v>
      </c>
      <c r="C7" s="40">
        <v>202</v>
      </c>
      <c r="D7" s="40">
        <v>308</v>
      </c>
      <c r="E7" s="40">
        <v>643</v>
      </c>
      <c r="F7" s="40">
        <v>2348</v>
      </c>
      <c r="G7" s="40">
        <v>244</v>
      </c>
      <c r="H7" s="40">
        <v>236</v>
      </c>
      <c r="I7" s="40">
        <v>428</v>
      </c>
      <c r="J7" s="40">
        <v>372</v>
      </c>
      <c r="K7" s="40">
        <v>586</v>
      </c>
      <c r="L7" s="40">
        <v>275</v>
      </c>
      <c r="M7" s="40">
        <v>268</v>
      </c>
      <c r="N7" s="41">
        <f>SUM(B7:M7)</f>
        <v>6224</v>
      </c>
      <c r="O7" s="42">
        <v>15989</v>
      </c>
      <c r="P7" s="43">
        <f>O7/N7</f>
        <v>2.568926735218509</v>
      </c>
    </row>
    <row r="8" spans="1:17" ht="12.75" customHeight="1">
      <c r="A8" s="2"/>
      <c r="B8" s="38"/>
      <c r="C8" s="38"/>
      <c r="D8" s="38"/>
      <c r="E8" s="38"/>
      <c r="F8" s="38"/>
      <c r="G8" s="38"/>
      <c r="H8" s="38"/>
      <c r="I8" s="38"/>
      <c r="J8" s="38"/>
      <c r="K8" s="38"/>
      <c r="L8" s="38"/>
      <c r="M8" s="38"/>
      <c r="N8" s="38"/>
      <c r="O8" s="2"/>
    </row>
    <row r="9" spans="1:17" ht="12.75" customHeight="1">
      <c r="A9" s="2"/>
      <c r="O9" s="2"/>
    </row>
    <row r="10" spans="1:17" ht="12.75" customHeight="1">
      <c r="A10" s="2" t="s">
        <v>31</v>
      </c>
      <c r="B10" s="2" t="s">
        <v>247</v>
      </c>
      <c r="O10" s="2"/>
    </row>
    <row r="11" spans="1:17" ht="12.75" customHeight="1">
      <c r="A11" s="2"/>
      <c r="O11" s="2"/>
    </row>
  </sheetData>
  <mergeCells count="1">
    <mergeCell ref="A1:D1"/>
  </mergeCells>
  <pageMargins left="0.75" right="0.75" top="1" bottom="1" header="0.5" footer="0.5"/>
  <pageSetup paperSize="9"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dimension ref="A1:Q135"/>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32.5703125" customWidth="1"/>
    <col min="2" max="14" width="8.5703125" customWidth="1"/>
    <col min="15" max="15" width="10.85546875" customWidth="1"/>
    <col min="16" max="16" width="9.7109375" customWidth="1"/>
    <col min="17" max="17" width="9.140625" customWidth="1"/>
  </cols>
  <sheetData>
    <row r="1" spans="1:17" ht="20.25">
      <c r="A1" s="1" t="s">
        <v>250</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84"/>
      <c r="B3" s="85"/>
      <c r="C3" s="85"/>
      <c r="D3" s="85"/>
      <c r="E3" s="85"/>
      <c r="F3" s="85"/>
      <c r="G3" s="85"/>
      <c r="H3" s="85"/>
      <c r="I3" s="85"/>
      <c r="J3" s="85"/>
      <c r="K3" s="85"/>
      <c r="L3" s="85"/>
      <c r="M3" s="85"/>
      <c r="N3" s="85"/>
      <c r="O3" s="5"/>
      <c r="P3" s="5"/>
    </row>
    <row r="4" spans="1:17" ht="25.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56" t="s">
        <v>154</v>
      </c>
      <c r="Q4" s="2"/>
    </row>
    <row r="5" spans="1:17" ht="12.75" customHeight="1">
      <c r="A5" s="36" t="s">
        <v>132</v>
      </c>
      <c r="B5" s="48"/>
      <c r="C5" s="48"/>
      <c r="D5" s="48"/>
      <c r="E5" s="48"/>
      <c r="F5" s="48"/>
      <c r="G5" s="48"/>
      <c r="H5" s="48"/>
      <c r="I5" s="48"/>
      <c r="J5" s="48"/>
      <c r="K5" s="48"/>
      <c r="L5" s="48"/>
      <c r="M5" s="48"/>
      <c r="N5" s="48"/>
      <c r="O5" s="45"/>
      <c r="P5" s="45"/>
    </row>
    <row r="6" spans="1:17" ht="12.75" customHeight="1">
      <c r="A6" s="39" t="s">
        <v>328</v>
      </c>
      <c r="B6" s="40">
        <f>303+457</f>
        <v>760</v>
      </c>
      <c r="C6" s="40">
        <f>448+438</f>
        <v>886</v>
      </c>
      <c r="D6" s="40">
        <f>329+710</f>
        <v>1039</v>
      </c>
      <c r="E6" s="40">
        <f>442+935</f>
        <v>1377</v>
      </c>
      <c r="F6" s="40">
        <f>496+422</f>
        <v>918</v>
      </c>
      <c r="G6" s="40">
        <f>271+413</f>
        <v>684</v>
      </c>
      <c r="H6" s="40">
        <f>276+395</f>
        <v>671</v>
      </c>
      <c r="I6" s="40">
        <f>535+918</f>
        <v>1453</v>
      </c>
      <c r="J6" s="40">
        <f>398+737</f>
        <v>1135</v>
      </c>
      <c r="K6" s="40">
        <f>1142+473</f>
        <v>1615</v>
      </c>
      <c r="L6" s="40">
        <f>241+318</f>
        <v>559</v>
      </c>
      <c r="M6" s="40">
        <v>518</v>
      </c>
      <c r="N6" s="41">
        <f>SUM(B6:M6)</f>
        <v>11615</v>
      </c>
      <c r="O6" s="42">
        <v>7717</v>
      </c>
      <c r="P6" s="43">
        <f>O6/N6</f>
        <v>0.66439948342660349</v>
      </c>
    </row>
    <row r="7" spans="1:17" ht="12.75" customHeight="1">
      <c r="A7" s="2"/>
      <c r="B7" s="49"/>
      <c r="C7" s="49"/>
      <c r="D7" s="49"/>
      <c r="E7" s="49"/>
      <c r="F7" s="49"/>
      <c r="G7" s="49"/>
      <c r="H7" s="49"/>
      <c r="I7" s="49"/>
      <c r="J7" s="49"/>
      <c r="K7" s="49"/>
      <c r="L7" s="49"/>
      <c r="M7" s="49"/>
      <c r="N7" s="50"/>
      <c r="O7" s="43"/>
      <c r="P7" s="43"/>
    </row>
    <row r="8" spans="1:17" ht="12.75" customHeight="1">
      <c r="A8" s="5"/>
      <c r="B8" s="86"/>
      <c r="C8" s="86"/>
      <c r="D8" s="86"/>
      <c r="E8" s="86"/>
      <c r="F8" s="86"/>
      <c r="G8" s="86"/>
      <c r="H8" s="86"/>
      <c r="I8" s="86"/>
      <c r="J8" s="86"/>
      <c r="K8" s="86"/>
      <c r="L8" s="86"/>
      <c r="M8" s="86"/>
      <c r="N8" s="87"/>
      <c r="O8" s="47"/>
      <c r="P8" s="47"/>
    </row>
    <row r="9" spans="1:17" ht="25.5">
      <c r="A9" s="33"/>
      <c r="B9" s="34">
        <v>39264</v>
      </c>
      <c r="C9" s="34">
        <v>39295</v>
      </c>
      <c r="D9" s="34">
        <v>39326</v>
      </c>
      <c r="E9" s="34">
        <v>39356</v>
      </c>
      <c r="F9" s="34">
        <v>39387</v>
      </c>
      <c r="G9" s="34">
        <v>39417</v>
      </c>
      <c r="H9" s="34">
        <v>39448</v>
      </c>
      <c r="I9" s="34">
        <v>39479</v>
      </c>
      <c r="J9" s="34">
        <v>39508</v>
      </c>
      <c r="K9" s="34">
        <v>39539</v>
      </c>
      <c r="L9" s="34">
        <v>39569</v>
      </c>
      <c r="M9" s="34">
        <v>39600</v>
      </c>
      <c r="N9" s="35" t="s">
        <v>258</v>
      </c>
      <c r="O9" s="56" t="s">
        <v>197</v>
      </c>
      <c r="P9" s="56" t="s">
        <v>154</v>
      </c>
      <c r="Q9" s="2"/>
    </row>
    <row r="10" spans="1:17" ht="12.75" customHeight="1">
      <c r="A10" s="36" t="s">
        <v>66</v>
      </c>
      <c r="B10" s="34"/>
      <c r="C10" s="34"/>
      <c r="D10" s="34"/>
      <c r="E10" s="34"/>
      <c r="F10" s="34"/>
      <c r="G10" s="34"/>
      <c r="H10" s="34"/>
      <c r="I10" s="34"/>
      <c r="J10" s="34"/>
      <c r="K10" s="34"/>
      <c r="L10" s="34"/>
      <c r="M10" s="34"/>
      <c r="N10" s="48"/>
      <c r="O10" s="45"/>
      <c r="P10" s="45"/>
    </row>
    <row r="11" spans="1:17" ht="12.75" customHeight="1">
      <c r="A11" s="39" t="s">
        <v>328</v>
      </c>
      <c r="B11" s="40">
        <f>86+104</f>
        <v>190</v>
      </c>
      <c r="C11" s="40">
        <f>38+472</f>
        <v>510</v>
      </c>
      <c r="D11" s="40">
        <f>39+290</f>
        <v>329</v>
      </c>
      <c r="E11" s="40">
        <f>64+533</f>
        <v>597</v>
      </c>
      <c r="F11" s="40">
        <f>274+41</f>
        <v>315</v>
      </c>
      <c r="G11" s="40">
        <f>2+164</f>
        <v>166</v>
      </c>
      <c r="H11" s="40">
        <f>196+14</f>
        <v>210</v>
      </c>
      <c r="I11" s="40">
        <f>486+75</f>
        <v>561</v>
      </c>
      <c r="J11" s="40">
        <f>265+39</f>
        <v>304</v>
      </c>
      <c r="K11" s="40">
        <f>305+62</f>
        <v>367</v>
      </c>
      <c r="L11" s="40">
        <f>68+141</f>
        <v>209</v>
      </c>
      <c r="M11" s="40">
        <v>96</v>
      </c>
      <c r="N11" s="41">
        <f>SUM(B11:M11)</f>
        <v>3854</v>
      </c>
      <c r="O11" s="42">
        <v>0</v>
      </c>
      <c r="P11" s="55" t="s">
        <v>34</v>
      </c>
    </row>
    <row r="12" spans="1:17" ht="12.75" customHeight="1">
      <c r="A12" s="2"/>
      <c r="B12" s="49"/>
      <c r="C12" s="49"/>
      <c r="D12" s="49"/>
      <c r="E12" s="49"/>
      <c r="F12" s="49"/>
      <c r="G12" s="49"/>
      <c r="H12" s="49"/>
      <c r="I12" s="49"/>
      <c r="J12" s="49"/>
      <c r="K12" s="49"/>
      <c r="L12" s="49"/>
      <c r="M12" s="49"/>
      <c r="N12" s="50"/>
      <c r="O12" s="43"/>
      <c r="P12" s="43"/>
    </row>
    <row r="13" spans="1:17" ht="12.75" customHeight="1">
      <c r="A13" s="5"/>
      <c r="B13" s="86"/>
      <c r="C13" s="86"/>
      <c r="D13" s="86"/>
      <c r="E13" s="86"/>
      <c r="F13" s="86"/>
      <c r="G13" s="86"/>
      <c r="H13" s="86"/>
      <c r="I13" s="86"/>
      <c r="J13" s="86"/>
      <c r="K13" s="86"/>
      <c r="L13" s="86"/>
      <c r="M13" s="86"/>
      <c r="N13" s="87"/>
      <c r="O13" s="47"/>
      <c r="P13" s="47"/>
    </row>
    <row r="14" spans="1:17" ht="25.5">
      <c r="A14" s="33"/>
      <c r="B14" s="34">
        <v>39264</v>
      </c>
      <c r="C14" s="34">
        <v>39295</v>
      </c>
      <c r="D14" s="34">
        <v>39326</v>
      </c>
      <c r="E14" s="34">
        <v>39356</v>
      </c>
      <c r="F14" s="34">
        <v>39387</v>
      </c>
      <c r="G14" s="34">
        <v>39417</v>
      </c>
      <c r="H14" s="34">
        <v>39448</v>
      </c>
      <c r="I14" s="34">
        <v>39479</v>
      </c>
      <c r="J14" s="34">
        <v>39508</v>
      </c>
      <c r="K14" s="34">
        <v>39539</v>
      </c>
      <c r="L14" s="34">
        <v>39569</v>
      </c>
      <c r="M14" s="34">
        <v>39600</v>
      </c>
      <c r="N14" s="35" t="s">
        <v>258</v>
      </c>
      <c r="O14" s="56" t="s">
        <v>197</v>
      </c>
      <c r="P14" s="56" t="s">
        <v>154</v>
      </c>
      <c r="Q14" s="2"/>
    </row>
    <row r="15" spans="1:17" ht="12.75" customHeight="1">
      <c r="A15" s="36" t="s">
        <v>265</v>
      </c>
      <c r="B15" s="34"/>
      <c r="C15" s="34"/>
      <c r="D15" s="34"/>
      <c r="E15" s="34"/>
      <c r="F15" s="34"/>
      <c r="G15" s="34"/>
      <c r="H15" s="34"/>
      <c r="I15" s="34"/>
      <c r="J15" s="34"/>
      <c r="K15" s="34"/>
      <c r="L15" s="34"/>
      <c r="M15" s="34"/>
      <c r="N15" s="48"/>
      <c r="O15" s="45"/>
      <c r="P15" s="45"/>
    </row>
    <row r="16" spans="1:17" ht="12.75" customHeight="1">
      <c r="A16" s="39" t="s">
        <v>328</v>
      </c>
      <c r="B16" s="40">
        <v>19</v>
      </c>
      <c r="C16" s="40">
        <v>27</v>
      </c>
      <c r="D16" s="40">
        <v>41</v>
      </c>
      <c r="E16" s="40">
        <v>73</v>
      </c>
      <c r="F16" s="40">
        <v>49</v>
      </c>
      <c r="G16" s="40">
        <v>28</v>
      </c>
      <c r="H16" s="40">
        <v>27</v>
      </c>
      <c r="I16" s="40">
        <v>77</v>
      </c>
      <c r="J16" s="40">
        <v>32</v>
      </c>
      <c r="K16" s="40">
        <v>28</v>
      </c>
      <c r="L16" s="40">
        <v>1</v>
      </c>
      <c r="M16" s="40">
        <v>1</v>
      </c>
      <c r="N16" s="41">
        <f>SUM(B16:M16)</f>
        <v>403</v>
      </c>
      <c r="O16" s="42">
        <v>0</v>
      </c>
      <c r="P16" s="55" t="s">
        <v>34</v>
      </c>
    </row>
    <row r="17" spans="1:17" ht="12.75" customHeight="1">
      <c r="A17" s="2"/>
      <c r="B17" s="49"/>
      <c r="C17" s="49"/>
      <c r="D17" s="49"/>
      <c r="E17" s="49"/>
      <c r="F17" s="49"/>
      <c r="G17" s="49"/>
      <c r="H17" s="49"/>
      <c r="I17" s="49"/>
      <c r="J17" s="49"/>
      <c r="K17" s="49"/>
      <c r="L17" s="49"/>
      <c r="M17" s="49"/>
      <c r="N17" s="50"/>
      <c r="O17" s="43"/>
      <c r="P17" s="43"/>
    </row>
    <row r="18" spans="1:17" ht="12.75" customHeight="1">
      <c r="A18" s="5"/>
      <c r="B18" s="86"/>
      <c r="C18" s="86"/>
      <c r="D18" s="86"/>
      <c r="E18" s="86"/>
      <c r="F18" s="86"/>
      <c r="G18" s="86"/>
      <c r="H18" s="86"/>
      <c r="I18" s="86"/>
      <c r="J18" s="86"/>
      <c r="K18" s="86"/>
      <c r="L18" s="86"/>
      <c r="M18" s="86"/>
      <c r="N18" s="87"/>
      <c r="O18" s="47"/>
      <c r="P18" s="47"/>
    </row>
    <row r="19" spans="1:17" ht="25.5">
      <c r="A19" s="33"/>
      <c r="B19" s="34">
        <v>39264</v>
      </c>
      <c r="C19" s="34">
        <v>39295</v>
      </c>
      <c r="D19" s="34">
        <v>39326</v>
      </c>
      <c r="E19" s="34">
        <v>39356</v>
      </c>
      <c r="F19" s="34">
        <v>39387</v>
      </c>
      <c r="G19" s="34">
        <v>39417</v>
      </c>
      <c r="H19" s="34">
        <v>39448</v>
      </c>
      <c r="I19" s="34">
        <v>39479</v>
      </c>
      <c r="J19" s="34">
        <v>39508</v>
      </c>
      <c r="K19" s="34">
        <v>39539</v>
      </c>
      <c r="L19" s="34">
        <v>39569</v>
      </c>
      <c r="M19" s="34">
        <v>39600</v>
      </c>
      <c r="N19" s="35" t="s">
        <v>258</v>
      </c>
      <c r="O19" s="56" t="s">
        <v>197</v>
      </c>
      <c r="P19" s="56" t="s">
        <v>154</v>
      </c>
      <c r="Q19" s="2"/>
    </row>
    <row r="20" spans="1:17" ht="12.75" customHeight="1">
      <c r="A20" s="36" t="s">
        <v>295</v>
      </c>
      <c r="B20" s="34"/>
      <c r="C20" s="34"/>
      <c r="D20" s="34"/>
      <c r="E20" s="34"/>
      <c r="F20" s="34"/>
      <c r="G20" s="34"/>
      <c r="H20" s="34"/>
      <c r="I20" s="34"/>
      <c r="J20" s="34"/>
      <c r="K20" s="34"/>
      <c r="L20" s="34"/>
      <c r="M20" s="34"/>
      <c r="N20" s="48"/>
      <c r="O20" s="45"/>
      <c r="P20" s="45"/>
    </row>
    <row r="21" spans="1:17" ht="12.75" customHeight="1">
      <c r="A21" s="39" t="s">
        <v>328</v>
      </c>
      <c r="B21" s="40">
        <f>86+35</f>
        <v>121</v>
      </c>
      <c r="C21" s="40">
        <f>38+87</f>
        <v>125</v>
      </c>
      <c r="D21" s="40">
        <f>39+158</f>
        <v>197</v>
      </c>
      <c r="E21" s="40">
        <f>64+261</f>
        <v>325</v>
      </c>
      <c r="F21" s="40">
        <f>41+106</f>
        <v>147</v>
      </c>
      <c r="G21" s="40">
        <f>2+76</f>
        <v>78</v>
      </c>
      <c r="H21" s="40">
        <f>72+14</f>
        <v>86</v>
      </c>
      <c r="I21" s="40">
        <f>184+75</f>
        <v>259</v>
      </c>
      <c r="J21" s="40">
        <f>181+39</f>
        <v>220</v>
      </c>
      <c r="K21" s="40">
        <f>228+62</f>
        <v>290</v>
      </c>
      <c r="L21" s="40">
        <f>32+141</f>
        <v>173</v>
      </c>
      <c r="M21" s="40">
        <v>69</v>
      </c>
      <c r="N21" s="41">
        <f>SUM(B21:M21)</f>
        <v>2090</v>
      </c>
      <c r="O21" s="42">
        <v>0</v>
      </c>
      <c r="P21" s="55" t="s">
        <v>34</v>
      </c>
    </row>
    <row r="22" spans="1:17" ht="12.75" customHeight="1">
      <c r="A22" s="2"/>
      <c r="B22" s="49"/>
      <c r="C22" s="49"/>
      <c r="D22" s="49"/>
      <c r="E22" s="49"/>
      <c r="F22" s="49"/>
      <c r="G22" s="49"/>
      <c r="H22" s="49"/>
      <c r="I22" s="49"/>
      <c r="J22" s="49"/>
      <c r="K22" s="49"/>
      <c r="L22" s="49"/>
      <c r="M22" s="49"/>
      <c r="N22" s="50"/>
      <c r="O22" s="43"/>
      <c r="P22" s="43"/>
    </row>
    <row r="23" spans="1:17" ht="12.75" customHeight="1">
      <c r="A23" s="5"/>
      <c r="B23" s="86"/>
      <c r="C23" s="86"/>
      <c r="D23" s="86"/>
      <c r="E23" s="86"/>
      <c r="F23" s="86"/>
      <c r="G23" s="86"/>
      <c r="H23" s="86"/>
      <c r="I23" s="86"/>
      <c r="J23" s="86"/>
      <c r="K23" s="86"/>
      <c r="L23" s="86"/>
      <c r="M23" s="86"/>
      <c r="N23" s="87"/>
      <c r="O23" s="47"/>
      <c r="P23" s="47"/>
    </row>
    <row r="24" spans="1:17" ht="25.5">
      <c r="A24" s="33"/>
      <c r="B24" s="34">
        <v>39264</v>
      </c>
      <c r="C24" s="34">
        <v>39295</v>
      </c>
      <c r="D24" s="34">
        <v>39326</v>
      </c>
      <c r="E24" s="34">
        <v>39356</v>
      </c>
      <c r="F24" s="34">
        <v>39387</v>
      </c>
      <c r="G24" s="34">
        <v>39417</v>
      </c>
      <c r="H24" s="34">
        <v>39448</v>
      </c>
      <c r="I24" s="34">
        <v>39479</v>
      </c>
      <c r="J24" s="34">
        <v>39508</v>
      </c>
      <c r="K24" s="34">
        <v>39539</v>
      </c>
      <c r="L24" s="34">
        <v>39569</v>
      </c>
      <c r="M24" s="34">
        <v>39600</v>
      </c>
      <c r="N24" s="35" t="s">
        <v>258</v>
      </c>
      <c r="O24" s="56" t="s">
        <v>197</v>
      </c>
      <c r="P24" s="56" t="s">
        <v>154</v>
      </c>
      <c r="Q24" s="2"/>
    </row>
    <row r="25" spans="1:17" ht="12.75" customHeight="1">
      <c r="A25" s="36" t="s">
        <v>134</v>
      </c>
      <c r="B25" s="34"/>
      <c r="C25" s="34"/>
      <c r="D25" s="34"/>
      <c r="E25" s="34"/>
      <c r="F25" s="34"/>
      <c r="G25" s="34"/>
      <c r="H25" s="34"/>
      <c r="I25" s="34"/>
      <c r="J25" s="34"/>
      <c r="K25" s="34"/>
      <c r="L25" s="34"/>
      <c r="M25" s="34"/>
      <c r="N25" s="48"/>
      <c r="O25" s="45"/>
      <c r="P25" s="45"/>
    </row>
    <row r="26" spans="1:17" ht="12.75" customHeight="1">
      <c r="A26" s="39" t="s">
        <v>328</v>
      </c>
      <c r="B26" s="40">
        <f>86+37</f>
        <v>123</v>
      </c>
      <c r="C26" s="40">
        <f>38+79</f>
        <v>117</v>
      </c>
      <c r="D26" s="40">
        <f>39+125</f>
        <v>164</v>
      </c>
      <c r="E26" s="40">
        <f>64+241</f>
        <v>305</v>
      </c>
      <c r="F26" s="40">
        <f>41+115</f>
        <v>156</v>
      </c>
      <c r="G26" s="40">
        <f>2+96</f>
        <v>98</v>
      </c>
      <c r="H26" s="40">
        <f>69+14</f>
        <v>83</v>
      </c>
      <c r="I26" s="40">
        <f>212+75</f>
        <v>287</v>
      </c>
      <c r="J26" s="40">
        <f>140+41</f>
        <v>181</v>
      </c>
      <c r="K26" s="40">
        <f>184+62</f>
        <v>246</v>
      </c>
      <c r="L26" s="40">
        <f>32+141</f>
        <v>173</v>
      </c>
      <c r="M26" s="40">
        <v>60</v>
      </c>
      <c r="N26" s="41">
        <f>SUM(B26:M26)</f>
        <v>1993</v>
      </c>
      <c r="O26" s="42">
        <v>0</v>
      </c>
      <c r="P26" s="55" t="s">
        <v>34</v>
      </c>
    </row>
    <row r="27" spans="1:17" ht="12.75" customHeight="1">
      <c r="A27" s="2"/>
      <c r="B27" s="49"/>
      <c r="C27" s="49"/>
      <c r="D27" s="49"/>
      <c r="E27" s="49"/>
      <c r="F27" s="49"/>
      <c r="G27" s="49"/>
      <c r="H27" s="49"/>
      <c r="I27" s="49"/>
      <c r="J27" s="49"/>
      <c r="K27" s="49"/>
      <c r="L27" s="49"/>
      <c r="M27" s="49"/>
      <c r="N27" s="50"/>
      <c r="O27" s="43"/>
      <c r="P27" s="43"/>
    </row>
    <row r="28" spans="1:17" ht="12.75" customHeight="1">
      <c r="A28" s="5"/>
      <c r="B28" s="86"/>
      <c r="C28" s="86"/>
      <c r="D28" s="86"/>
      <c r="E28" s="86"/>
      <c r="F28" s="86"/>
      <c r="G28" s="86"/>
      <c r="H28" s="86"/>
      <c r="I28" s="86"/>
      <c r="J28" s="86"/>
      <c r="K28" s="86"/>
      <c r="L28" s="86"/>
      <c r="M28" s="86"/>
      <c r="N28" s="87"/>
      <c r="O28" s="47"/>
      <c r="P28" s="47"/>
    </row>
    <row r="29" spans="1:17" ht="25.5">
      <c r="A29" s="33"/>
      <c r="B29" s="34">
        <v>39264</v>
      </c>
      <c r="C29" s="34">
        <v>39295</v>
      </c>
      <c r="D29" s="34">
        <v>39326</v>
      </c>
      <c r="E29" s="34">
        <v>39356</v>
      </c>
      <c r="F29" s="34">
        <v>39387</v>
      </c>
      <c r="G29" s="34">
        <v>39417</v>
      </c>
      <c r="H29" s="34">
        <v>39448</v>
      </c>
      <c r="I29" s="34">
        <v>39479</v>
      </c>
      <c r="J29" s="34">
        <v>39508</v>
      </c>
      <c r="K29" s="34">
        <v>39539</v>
      </c>
      <c r="L29" s="34">
        <v>39569</v>
      </c>
      <c r="M29" s="34">
        <v>39600</v>
      </c>
      <c r="N29" s="35" t="s">
        <v>258</v>
      </c>
      <c r="O29" s="56" t="s">
        <v>197</v>
      </c>
      <c r="P29" s="56" t="s">
        <v>154</v>
      </c>
      <c r="Q29" s="2"/>
    </row>
    <row r="30" spans="1:17" ht="12.75" customHeight="1">
      <c r="A30" s="148" t="s">
        <v>118</v>
      </c>
      <c r="B30" s="149"/>
      <c r="C30" s="149"/>
      <c r="D30" s="34"/>
      <c r="E30" s="34"/>
      <c r="F30" s="34"/>
      <c r="G30" s="34"/>
      <c r="H30" s="34"/>
      <c r="I30" s="34"/>
      <c r="J30" s="34"/>
      <c r="K30" s="34"/>
      <c r="L30" s="34"/>
      <c r="M30" s="34"/>
      <c r="N30" s="48"/>
      <c r="O30" s="45"/>
      <c r="P30" s="45"/>
    </row>
    <row r="31" spans="1:17" ht="12.75" customHeight="1">
      <c r="A31" s="39" t="s">
        <v>328</v>
      </c>
      <c r="B31" s="88">
        <f>86+43</f>
        <v>129</v>
      </c>
      <c r="C31" s="88">
        <f>38+78</f>
        <v>116</v>
      </c>
      <c r="D31" s="40">
        <f>39+130</f>
        <v>169</v>
      </c>
      <c r="E31" s="40">
        <f>64+178</f>
        <v>242</v>
      </c>
      <c r="F31" s="40">
        <f>41+86</f>
        <v>127</v>
      </c>
      <c r="G31" s="40">
        <f>2+65</f>
        <v>67</v>
      </c>
      <c r="H31" s="40">
        <f>69+14</f>
        <v>83</v>
      </c>
      <c r="I31" s="40">
        <f>224+75</f>
        <v>299</v>
      </c>
      <c r="J31" s="40">
        <f>121+39</f>
        <v>160</v>
      </c>
      <c r="K31" s="40">
        <f>186+62</f>
        <v>248</v>
      </c>
      <c r="L31" s="40">
        <f>32+141</f>
        <v>173</v>
      </c>
      <c r="M31" s="40">
        <v>68</v>
      </c>
      <c r="N31" s="41">
        <f>SUM(B31:M31)</f>
        <v>1881</v>
      </c>
      <c r="O31" s="42">
        <v>0</v>
      </c>
      <c r="P31" s="55" t="s">
        <v>34</v>
      </c>
    </row>
    <row r="32" spans="1:17" ht="12.75" customHeight="1">
      <c r="A32" s="2"/>
      <c r="B32" s="49"/>
      <c r="C32" s="49"/>
      <c r="D32" s="49"/>
      <c r="E32" s="49"/>
      <c r="F32" s="49"/>
      <c r="G32" s="49"/>
      <c r="H32" s="49"/>
      <c r="I32" s="49"/>
      <c r="J32" s="49"/>
      <c r="K32" s="49"/>
      <c r="L32" s="49"/>
      <c r="M32" s="49"/>
      <c r="N32" s="50"/>
      <c r="O32" s="43"/>
      <c r="P32" s="43"/>
    </row>
    <row r="33" spans="1:17" ht="12.75" customHeight="1">
      <c r="A33" s="5"/>
      <c r="B33" s="86"/>
      <c r="C33" s="86"/>
      <c r="D33" s="86"/>
      <c r="E33" s="86"/>
      <c r="F33" s="86"/>
      <c r="G33" s="86"/>
      <c r="H33" s="86"/>
      <c r="I33" s="86"/>
      <c r="J33" s="86"/>
      <c r="K33" s="86"/>
      <c r="L33" s="86"/>
      <c r="M33" s="86"/>
      <c r="N33" s="87"/>
      <c r="O33" s="47"/>
      <c r="P33" s="47"/>
    </row>
    <row r="34" spans="1:17" ht="25.5">
      <c r="A34" s="33"/>
      <c r="B34" s="34">
        <v>39264</v>
      </c>
      <c r="C34" s="34">
        <v>39295</v>
      </c>
      <c r="D34" s="34">
        <v>39326</v>
      </c>
      <c r="E34" s="34">
        <v>39356</v>
      </c>
      <c r="F34" s="34">
        <v>39387</v>
      </c>
      <c r="G34" s="34">
        <v>39417</v>
      </c>
      <c r="H34" s="34">
        <v>39448</v>
      </c>
      <c r="I34" s="34">
        <v>39479</v>
      </c>
      <c r="J34" s="34">
        <v>39508</v>
      </c>
      <c r="K34" s="34">
        <v>39539</v>
      </c>
      <c r="L34" s="34">
        <v>39569</v>
      </c>
      <c r="M34" s="34">
        <v>39600</v>
      </c>
      <c r="N34" s="35" t="s">
        <v>258</v>
      </c>
      <c r="O34" s="56" t="s">
        <v>197</v>
      </c>
      <c r="P34" s="56" t="s">
        <v>154</v>
      </c>
      <c r="Q34" s="2"/>
    </row>
    <row r="35" spans="1:17" ht="12.75" customHeight="1">
      <c r="A35" s="36" t="s">
        <v>207</v>
      </c>
      <c r="B35" s="34"/>
      <c r="C35" s="34"/>
      <c r="D35" s="34"/>
      <c r="E35" s="34"/>
      <c r="F35" s="34"/>
      <c r="G35" s="34"/>
      <c r="H35" s="34"/>
      <c r="I35" s="34"/>
      <c r="J35" s="34"/>
      <c r="K35" s="34"/>
      <c r="L35" s="34"/>
      <c r="M35" s="34"/>
      <c r="N35" s="48"/>
      <c r="O35" s="45"/>
      <c r="P35" s="45"/>
    </row>
    <row r="36" spans="1:17" ht="12.75" customHeight="1">
      <c r="A36" s="39" t="s">
        <v>328</v>
      </c>
      <c r="B36" s="40">
        <v>224</v>
      </c>
      <c r="C36" s="40">
        <v>90</v>
      </c>
      <c r="D36" s="40">
        <v>644</v>
      </c>
      <c r="E36" s="40">
        <v>873</v>
      </c>
      <c r="F36" s="40">
        <v>2171</v>
      </c>
      <c r="G36" s="40">
        <v>640</v>
      </c>
      <c r="H36" s="40">
        <v>214</v>
      </c>
      <c r="I36" s="40">
        <v>908</v>
      </c>
      <c r="J36" s="40">
        <v>843</v>
      </c>
      <c r="K36" s="40">
        <v>1557</v>
      </c>
      <c r="L36" s="40">
        <v>347</v>
      </c>
      <c r="M36" s="40">
        <v>272</v>
      </c>
      <c r="N36" s="41">
        <f>SUM(B36:M36)</f>
        <v>8783</v>
      </c>
      <c r="O36" s="42">
        <v>2880</v>
      </c>
      <c r="P36" s="43">
        <f>O36/N36</f>
        <v>0.32790618239781394</v>
      </c>
    </row>
    <row r="37" spans="1:17" ht="12.75" customHeight="1">
      <c r="A37" s="2"/>
      <c r="B37" s="49"/>
      <c r="C37" s="49"/>
      <c r="D37" s="49"/>
      <c r="E37" s="49"/>
      <c r="F37" s="49"/>
      <c r="G37" s="49"/>
      <c r="H37" s="49"/>
      <c r="I37" s="49"/>
      <c r="J37" s="49"/>
      <c r="K37" s="49"/>
      <c r="L37" s="49"/>
      <c r="M37" s="49"/>
      <c r="N37" s="50"/>
      <c r="O37" s="43"/>
      <c r="P37" s="43"/>
    </row>
    <row r="38" spans="1:17" ht="12.75" customHeight="1">
      <c r="A38" s="5"/>
      <c r="B38" s="86"/>
      <c r="C38" s="86"/>
      <c r="D38" s="86"/>
      <c r="E38" s="86"/>
      <c r="F38" s="86"/>
      <c r="G38" s="86"/>
      <c r="H38" s="86"/>
      <c r="I38" s="86"/>
      <c r="J38" s="86"/>
      <c r="K38" s="86"/>
      <c r="L38" s="86"/>
      <c r="M38" s="86"/>
      <c r="N38" s="87"/>
      <c r="O38" s="47"/>
      <c r="P38" s="47"/>
    </row>
    <row r="39" spans="1:17" ht="25.5">
      <c r="A39" s="33"/>
      <c r="B39" s="34">
        <v>39264</v>
      </c>
      <c r="C39" s="34">
        <v>39295</v>
      </c>
      <c r="D39" s="34">
        <v>39326</v>
      </c>
      <c r="E39" s="34">
        <v>39356</v>
      </c>
      <c r="F39" s="34">
        <v>39387</v>
      </c>
      <c r="G39" s="34">
        <v>39417</v>
      </c>
      <c r="H39" s="34">
        <v>39448</v>
      </c>
      <c r="I39" s="34">
        <v>39479</v>
      </c>
      <c r="J39" s="34">
        <v>39508</v>
      </c>
      <c r="K39" s="34">
        <v>39539</v>
      </c>
      <c r="L39" s="34">
        <v>39569</v>
      </c>
      <c r="M39" s="34">
        <v>39600</v>
      </c>
      <c r="N39" s="35" t="s">
        <v>258</v>
      </c>
      <c r="O39" s="56" t="s">
        <v>197</v>
      </c>
      <c r="P39" s="56" t="s">
        <v>154</v>
      </c>
      <c r="Q39" s="2"/>
    </row>
    <row r="40" spans="1:17" ht="12.75" customHeight="1">
      <c r="A40" s="36" t="s">
        <v>320</v>
      </c>
      <c r="B40" s="34"/>
      <c r="C40" s="34"/>
      <c r="D40" s="34"/>
      <c r="E40" s="34"/>
      <c r="F40" s="34"/>
      <c r="G40" s="34"/>
      <c r="H40" s="34"/>
      <c r="I40" s="34"/>
      <c r="J40" s="34"/>
      <c r="K40" s="34"/>
      <c r="L40" s="34"/>
      <c r="M40" s="34"/>
      <c r="N40" s="48"/>
      <c r="O40" s="45"/>
      <c r="P40" s="45"/>
    </row>
    <row r="41" spans="1:17" ht="12.75" customHeight="1">
      <c r="A41" s="39" t="s">
        <v>328</v>
      </c>
      <c r="B41" s="40">
        <v>386</v>
      </c>
      <c r="C41" s="40">
        <v>185</v>
      </c>
      <c r="D41" s="40">
        <v>349</v>
      </c>
      <c r="E41" s="40">
        <v>587</v>
      </c>
      <c r="F41" s="40">
        <v>544</v>
      </c>
      <c r="G41" s="40">
        <v>305</v>
      </c>
      <c r="H41" s="40">
        <v>313</v>
      </c>
      <c r="I41" s="40">
        <v>750</v>
      </c>
      <c r="J41" s="40">
        <v>601</v>
      </c>
      <c r="K41" s="40">
        <v>843</v>
      </c>
      <c r="L41" s="40">
        <v>174</v>
      </c>
      <c r="M41" s="40">
        <v>414</v>
      </c>
      <c r="N41" s="41">
        <f>SUM(B41:M41)</f>
        <v>5451</v>
      </c>
      <c r="O41" s="42">
        <v>4200</v>
      </c>
      <c r="P41" s="43">
        <f>O41/N41</f>
        <v>0.77050082553659882</v>
      </c>
    </row>
    <row r="42" spans="1:17" ht="12.75" customHeight="1">
      <c r="A42" s="2"/>
      <c r="B42" s="49"/>
      <c r="C42" s="49"/>
      <c r="D42" s="49"/>
      <c r="E42" s="49"/>
      <c r="F42" s="49"/>
      <c r="G42" s="49"/>
      <c r="H42" s="49"/>
      <c r="I42" s="49"/>
      <c r="J42" s="49"/>
      <c r="K42" s="49"/>
      <c r="L42" s="49"/>
      <c r="M42" s="49"/>
      <c r="N42" s="50"/>
      <c r="O42" s="43"/>
      <c r="P42" s="43"/>
    </row>
    <row r="43" spans="1:17" ht="12.75" customHeight="1">
      <c r="A43" s="5"/>
      <c r="B43" s="86"/>
      <c r="C43" s="86"/>
      <c r="D43" s="86"/>
      <c r="E43" s="86"/>
      <c r="F43" s="86"/>
      <c r="G43" s="86"/>
      <c r="H43" s="86"/>
      <c r="I43" s="86"/>
      <c r="J43" s="86"/>
      <c r="K43" s="86"/>
      <c r="L43" s="86"/>
      <c r="M43" s="86"/>
      <c r="N43" s="87"/>
      <c r="O43" s="47"/>
      <c r="P43" s="47"/>
    </row>
    <row r="44" spans="1:17" ht="25.5">
      <c r="A44" s="33"/>
      <c r="B44" s="34">
        <v>39264</v>
      </c>
      <c r="C44" s="34">
        <v>39295</v>
      </c>
      <c r="D44" s="34">
        <v>39326</v>
      </c>
      <c r="E44" s="34">
        <v>39356</v>
      </c>
      <c r="F44" s="34">
        <v>39387</v>
      </c>
      <c r="G44" s="34">
        <v>39417</v>
      </c>
      <c r="H44" s="34">
        <v>39448</v>
      </c>
      <c r="I44" s="34">
        <v>39479</v>
      </c>
      <c r="J44" s="34">
        <v>39508</v>
      </c>
      <c r="K44" s="34">
        <v>39539</v>
      </c>
      <c r="L44" s="34">
        <v>39569</v>
      </c>
      <c r="M44" s="34">
        <v>39600</v>
      </c>
      <c r="N44" s="35" t="s">
        <v>258</v>
      </c>
      <c r="O44" s="56" t="s">
        <v>197</v>
      </c>
      <c r="P44" s="56" t="s">
        <v>154</v>
      </c>
      <c r="Q44" s="2"/>
    </row>
    <row r="45" spans="1:17" ht="12.75" customHeight="1">
      <c r="A45" s="36" t="s">
        <v>47</v>
      </c>
      <c r="B45" s="34"/>
      <c r="C45" s="34"/>
      <c r="D45" s="34"/>
      <c r="E45" s="34"/>
      <c r="F45" s="34"/>
      <c r="G45" s="34"/>
      <c r="H45" s="34"/>
      <c r="I45" s="34"/>
      <c r="J45" s="34"/>
      <c r="K45" s="34"/>
      <c r="L45" s="34"/>
      <c r="M45" s="34"/>
      <c r="N45" s="48"/>
      <c r="O45" s="45"/>
      <c r="P45" s="45"/>
    </row>
    <row r="46" spans="1:17" ht="12.75" customHeight="1">
      <c r="A46" s="39" t="s">
        <v>328</v>
      </c>
      <c r="B46" s="40">
        <v>372</v>
      </c>
      <c r="C46" s="40">
        <v>74</v>
      </c>
      <c r="D46" s="40">
        <v>826</v>
      </c>
      <c r="E46" s="40">
        <v>990</v>
      </c>
      <c r="F46" s="40">
        <v>1017</v>
      </c>
      <c r="G46" s="40">
        <v>404</v>
      </c>
      <c r="H46" s="40">
        <v>183</v>
      </c>
      <c r="I46" s="40">
        <v>1281</v>
      </c>
      <c r="J46" s="40">
        <v>1068</v>
      </c>
      <c r="K46" s="40">
        <v>877</v>
      </c>
      <c r="L46" s="40">
        <v>219</v>
      </c>
      <c r="M46" s="40">
        <v>512</v>
      </c>
      <c r="N46" s="41">
        <f>SUM(B46:M46)</f>
        <v>7823</v>
      </c>
      <c r="O46" s="42">
        <v>0</v>
      </c>
      <c r="P46" s="55" t="s">
        <v>34</v>
      </c>
    </row>
    <row r="47" spans="1:17" ht="12.75" customHeight="1">
      <c r="A47" s="2"/>
      <c r="B47" s="49"/>
      <c r="C47" s="49"/>
      <c r="D47" s="49"/>
      <c r="E47" s="49"/>
      <c r="F47" s="49"/>
      <c r="G47" s="49"/>
      <c r="H47" s="49"/>
      <c r="I47" s="49"/>
      <c r="J47" s="49"/>
      <c r="K47" s="49"/>
      <c r="L47" s="49"/>
      <c r="M47" s="49"/>
      <c r="N47" s="50"/>
      <c r="O47" s="43"/>
      <c r="P47" s="55"/>
    </row>
    <row r="48" spans="1:17" ht="12.75" customHeight="1">
      <c r="A48" s="5"/>
      <c r="B48" s="86"/>
      <c r="C48" s="86"/>
      <c r="D48" s="86"/>
      <c r="E48" s="86"/>
      <c r="F48" s="86"/>
      <c r="G48" s="86"/>
      <c r="H48" s="86"/>
      <c r="I48" s="86"/>
      <c r="J48" s="86"/>
      <c r="K48" s="86"/>
      <c r="L48" s="86"/>
      <c r="M48" s="86"/>
      <c r="N48" s="87"/>
      <c r="O48" s="47"/>
      <c r="P48" s="89"/>
    </row>
    <row r="49" spans="1:17" ht="25.5">
      <c r="A49" s="33"/>
      <c r="B49" s="34">
        <v>39264</v>
      </c>
      <c r="C49" s="34">
        <v>39295</v>
      </c>
      <c r="D49" s="34">
        <v>39326</v>
      </c>
      <c r="E49" s="34">
        <v>39356</v>
      </c>
      <c r="F49" s="34">
        <v>39387</v>
      </c>
      <c r="G49" s="34">
        <v>39417</v>
      </c>
      <c r="H49" s="34">
        <v>39448</v>
      </c>
      <c r="I49" s="34">
        <v>39479</v>
      </c>
      <c r="J49" s="34">
        <v>39508</v>
      </c>
      <c r="K49" s="34">
        <v>39539</v>
      </c>
      <c r="L49" s="34">
        <v>39569</v>
      </c>
      <c r="M49" s="34">
        <v>39600</v>
      </c>
      <c r="N49" s="35" t="s">
        <v>258</v>
      </c>
      <c r="O49" s="56" t="s">
        <v>197</v>
      </c>
      <c r="P49" s="56" t="s">
        <v>154</v>
      </c>
      <c r="Q49" s="2"/>
    </row>
    <row r="50" spans="1:17" ht="12.75" customHeight="1">
      <c r="A50" s="36" t="s">
        <v>237</v>
      </c>
      <c r="B50" s="34"/>
      <c r="C50" s="34"/>
      <c r="D50" s="34"/>
      <c r="E50" s="34"/>
      <c r="F50" s="34"/>
      <c r="G50" s="34"/>
      <c r="H50" s="34"/>
      <c r="I50" s="34"/>
      <c r="J50" s="34"/>
      <c r="K50" s="34"/>
      <c r="L50" s="34"/>
      <c r="M50" s="34"/>
      <c r="N50" s="48"/>
      <c r="O50" s="45"/>
      <c r="P50" s="57"/>
    </row>
    <row r="51" spans="1:17" ht="12.75" customHeight="1">
      <c r="A51" s="39" t="s">
        <v>328</v>
      </c>
      <c r="B51" s="40">
        <f>46+184</f>
        <v>230</v>
      </c>
      <c r="C51" s="40">
        <f>117+101</f>
        <v>218</v>
      </c>
      <c r="D51" s="40">
        <f>179+80</f>
        <v>259</v>
      </c>
      <c r="E51" s="40">
        <f>538+125</f>
        <v>663</v>
      </c>
      <c r="F51" s="40">
        <f>432+97</f>
        <v>529</v>
      </c>
      <c r="G51" s="40">
        <f>143+29</f>
        <v>172</v>
      </c>
      <c r="H51" s="40">
        <f>31+86</f>
        <v>117</v>
      </c>
      <c r="I51" s="40">
        <f>97+345</f>
        <v>442</v>
      </c>
      <c r="J51" s="40">
        <f>66+188</f>
        <v>254</v>
      </c>
      <c r="K51" s="40">
        <f>384+118</f>
        <v>502</v>
      </c>
      <c r="L51" s="40">
        <f>84+179</f>
        <v>263</v>
      </c>
      <c r="M51" s="40">
        <v>136</v>
      </c>
      <c r="N51" s="41">
        <f>SUM(B51:M51)</f>
        <v>3785</v>
      </c>
      <c r="O51" s="42">
        <v>5850</v>
      </c>
      <c r="P51" s="55">
        <f>O51/N51</f>
        <v>1.5455746367239103</v>
      </c>
    </row>
    <row r="52" spans="1:17" ht="12.75" customHeight="1">
      <c r="A52" s="2"/>
      <c r="B52" s="49"/>
      <c r="C52" s="49"/>
      <c r="D52" s="49"/>
      <c r="E52" s="49"/>
      <c r="F52" s="49"/>
      <c r="G52" s="49"/>
      <c r="H52" s="49"/>
      <c r="I52" s="49"/>
      <c r="J52" s="49"/>
      <c r="K52" s="49"/>
      <c r="L52" s="49"/>
      <c r="M52" s="49"/>
      <c r="N52" s="50"/>
      <c r="O52" s="43"/>
      <c r="P52" s="55"/>
    </row>
    <row r="53" spans="1:17" ht="12.75" customHeight="1">
      <c r="A53" s="5"/>
      <c r="B53" s="86"/>
      <c r="C53" s="86"/>
      <c r="D53" s="86"/>
      <c r="E53" s="86"/>
      <c r="F53" s="86"/>
      <c r="G53" s="86"/>
      <c r="H53" s="86"/>
      <c r="I53" s="86"/>
      <c r="J53" s="86"/>
      <c r="K53" s="86"/>
      <c r="L53" s="86"/>
      <c r="M53" s="86"/>
      <c r="N53" s="87"/>
      <c r="O53" s="47"/>
      <c r="P53" s="89"/>
    </row>
    <row r="54" spans="1:17" ht="25.5">
      <c r="A54" s="33"/>
      <c r="B54" s="34">
        <v>39264</v>
      </c>
      <c r="C54" s="34">
        <v>39295</v>
      </c>
      <c r="D54" s="34">
        <v>39326</v>
      </c>
      <c r="E54" s="34">
        <v>39356</v>
      </c>
      <c r="F54" s="34">
        <v>39387</v>
      </c>
      <c r="G54" s="34">
        <v>39417</v>
      </c>
      <c r="H54" s="34">
        <v>39448</v>
      </c>
      <c r="I54" s="34">
        <v>39479</v>
      </c>
      <c r="J54" s="34">
        <v>39508</v>
      </c>
      <c r="K54" s="34">
        <v>39539</v>
      </c>
      <c r="L54" s="34">
        <v>39569</v>
      </c>
      <c r="M54" s="34">
        <v>39600</v>
      </c>
      <c r="N54" s="35" t="s">
        <v>258</v>
      </c>
      <c r="O54" s="56" t="s">
        <v>197</v>
      </c>
      <c r="P54" s="56" t="s">
        <v>154</v>
      </c>
      <c r="Q54" s="2"/>
    </row>
    <row r="55" spans="1:17" ht="12.75" customHeight="1">
      <c r="A55" s="36" t="s">
        <v>204</v>
      </c>
      <c r="B55" s="34"/>
      <c r="C55" s="34"/>
      <c r="D55" s="34"/>
      <c r="E55" s="34"/>
      <c r="F55" s="34"/>
      <c r="G55" s="34"/>
      <c r="H55" s="34"/>
      <c r="I55" s="34"/>
      <c r="J55" s="34"/>
      <c r="K55" s="34"/>
      <c r="L55" s="34"/>
      <c r="M55" s="34"/>
      <c r="N55" s="48"/>
      <c r="O55" s="45"/>
      <c r="P55" s="57"/>
    </row>
    <row r="56" spans="1:17" ht="12.75" customHeight="1">
      <c r="A56" s="39" t="s">
        <v>328</v>
      </c>
      <c r="B56" s="40">
        <f>68+86</f>
        <v>154</v>
      </c>
      <c r="C56" s="40">
        <f>88+38</f>
        <v>126</v>
      </c>
      <c r="D56" s="40">
        <f>119+39</f>
        <v>158</v>
      </c>
      <c r="E56" s="40">
        <f>156+64</f>
        <v>220</v>
      </c>
      <c r="F56" s="40">
        <f>76+41</f>
        <v>117</v>
      </c>
      <c r="G56" s="40">
        <f>65+2</f>
        <v>67</v>
      </c>
      <c r="H56" s="40">
        <f>14+62</f>
        <v>76</v>
      </c>
      <c r="I56" s="40">
        <f>75+181</f>
        <v>256</v>
      </c>
      <c r="J56" s="40">
        <f>39+109</f>
        <v>148</v>
      </c>
      <c r="K56" s="40">
        <f>158+62</f>
        <v>220</v>
      </c>
      <c r="L56" s="40">
        <f>28+141</f>
        <v>169</v>
      </c>
      <c r="M56" s="40">
        <v>60</v>
      </c>
      <c r="N56" s="41">
        <f>SUM(B56:M56)</f>
        <v>1771</v>
      </c>
      <c r="O56" s="42">
        <v>0</v>
      </c>
      <c r="P56" s="55" t="s">
        <v>34</v>
      </c>
    </row>
    <row r="57" spans="1:17" ht="12.75" customHeight="1">
      <c r="A57" s="2"/>
      <c r="B57" s="49"/>
      <c r="C57" s="49"/>
      <c r="D57" s="49"/>
      <c r="E57" s="49"/>
      <c r="F57" s="49"/>
      <c r="G57" s="49"/>
      <c r="H57" s="49"/>
      <c r="I57" s="49"/>
      <c r="J57" s="49"/>
      <c r="K57" s="49"/>
      <c r="L57" s="49"/>
      <c r="M57" s="49"/>
      <c r="N57" s="50"/>
      <c r="O57" s="43"/>
      <c r="P57" s="55"/>
    </row>
    <row r="58" spans="1:17" ht="12.75" customHeight="1">
      <c r="A58" s="5"/>
      <c r="B58" s="86"/>
      <c r="C58" s="86"/>
      <c r="D58" s="86"/>
      <c r="E58" s="86"/>
      <c r="F58" s="86"/>
      <c r="G58" s="86"/>
      <c r="H58" s="86"/>
      <c r="I58" s="86"/>
      <c r="J58" s="86"/>
      <c r="K58" s="86"/>
      <c r="L58" s="86"/>
      <c r="M58" s="86"/>
      <c r="N58" s="87"/>
      <c r="O58" s="47"/>
      <c r="P58" s="89"/>
    </row>
    <row r="59" spans="1:17" ht="25.5">
      <c r="A59" s="33"/>
      <c r="B59" s="34">
        <v>39264</v>
      </c>
      <c r="C59" s="34">
        <v>39295</v>
      </c>
      <c r="D59" s="34">
        <v>39326</v>
      </c>
      <c r="E59" s="34">
        <v>39356</v>
      </c>
      <c r="F59" s="34">
        <v>39387</v>
      </c>
      <c r="G59" s="34">
        <v>39417</v>
      </c>
      <c r="H59" s="34">
        <v>39448</v>
      </c>
      <c r="I59" s="34">
        <v>39479</v>
      </c>
      <c r="J59" s="34">
        <v>39508</v>
      </c>
      <c r="K59" s="34">
        <v>39539</v>
      </c>
      <c r="L59" s="34">
        <v>39569</v>
      </c>
      <c r="M59" s="34">
        <v>39600</v>
      </c>
      <c r="N59" s="35" t="s">
        <v>258</v>
      </c>
      <c r="O59" s="56" t="s">
        <v>197</v>
      </c>
      <c r="P59" s="56" t="s">
        <v>154</v>
      </c>
      <c r="Q59" s="2"/>
    </row>
    <row r="60" spans="1:17" ht="12.75" customHeight="1">
      <c r="A60" s="148" t="s">
        <v>217</v>
      </c>
      <c r="B60" s="149"/>
      <c r="C60" s="149"/>
      <c r="D60" s="34"/>
      <c r="E60" s="34"/>
      <c r="F60" s="34"/>
      <c r="G60" s="34"/>
      <c r="H60" s="34"/>
      <c r="I60" s="34"/>
      <c r="J60" s="34"/>
      <c r="K60" s="34"/>
      <c r="L60" s="34"/>
      <c r="M60" s="34"/>
      <c r="N60" s="48"/>
      <c r="O60" s="45"/>
      <c r="P60" s="45"/>
    </row>
    <row r="61" spans="1:17" ht="12.75" customHeight="1">
      <c r="A61" s="39" t="s">
        <v>328</v>
      </c>
      <c r="B61" s="88">
        <f>104+86</f>
        <v>190</v>
      </c>
      <c r="C61" s="88">
        <f>124+38</f>
        <v>162</v>
      </c>
      <c r="D61" s="40">
        <f>183+39</f>
        <v>222</v>
      </c>
      <c r="E61" s="40">
        <f>295+64</f>
        <v>359</v>
      </c>
      <c r="F61" s="40">
        <f>160+41</f>
        <v>201</v>
      </c>
      <c r="G61" s="40">
        <f>122+2</f>
        <v>124</v>
      </c>
      <c r="H61" s="40">
        <f>14+95</f>
        <v>109</v>
      </c>
      <c r="I61" s="40">
        <f>75+640</f>
        <v>715</v>
      </c>
      <c r="J61" s="40">
        <f>39+344</f>
        <v>383</v>
      </c>
      <c r="K61" s="40">
        <f>209+62</f>
        <v>271</v>
      </c>
      <c r="L61" s="40">
        <f>49+141</f>
        <v>190</v>
      </c>
      <c r="M61" s="40">
        <v>99</v>
      </c>
      <c r="N61" s="41">
        <f>SUM(B61:M61)</f>
        <v>3025</v>
      </c>
      <c r="O61" s="42">
        <v>3600</v>
      </c>
      <c r="P61" s="43">
        <f>O61/N61</f>
        <v>1.1900826446280992</v>
      </c>
    </row>
    <row r="62" spans="1:17" ht="12.75" customHeight="1">
      <c r="A62" s="2"/>
      <c r="B62" s="49"/>
      <c r="C62" s="49"/>
      <c r="D62" s="49"/>
      <c r="E62" s="49"/>
      <c r="F62" s="49"/>
      <c r="G62" s="49"/>
      <c r="H62" s="49"/>
      <c r="I62" s="49"/>
      <c r="J62" s="49"/>
      <c r="K62" s="49"/>
      <c r="L62" s="49"/>
      <c r="M62" s="49"/>
      <c r="N62" s="50"/>
      <c r="O62" s="43"/>
      <c r="P62" s="43"/>
    </row>
    <row r="63" spans="1:17" ht="12.75" customHeight="1">
      <c r="A63" s="5"/>
      <c r="B63" s="86"/>
      <c r="C63" s="86"/>
      <c r="D63" s="86"/>
      <c r="E63" s="86"/>
      <c r="F63" s="86"/>
      <c r="G63" s="86"/>
      <c r="H63" s="86"/>
      <c r="I63" s="86"/>
      <c r="J63" s="86"/>
      <c r="K63" s="86"/>
      <c r="L63" s="86"/>
      <c r="M63" s="86"/>
      <c r="N63" s="87"/>
      <c r="O63" s="47"/>
      <c r="P63" s="47"/>
    </row>
    <row r="64" spans="1:17" ht="25.5">
      <c r="A64" s="33"/>
      <c r="B64" s="34">
        <v>39264</v>
      </c>
      <c r="C64" s="34">
        <v>39295</v>
      </c>
      <c r="D64" s="34">
        <v>39326</v>
      </c>
      <c r="E64" s="34">
        <v>39356</v>
      </c>
      <c r="F64" s="34">
        <v>39387</v>
      </c>
      <c r="G64" s="34">
        <v>39417</v>
      </c>
      <c r="H64" s="34">
        <v>39448</v>
      </c>
      <c r="I64" s="34">
        <v>39479</v>
      </c>
      <c r="J64" s="34">
        <v>39508</v>
      </c>
      <c r="K64" s="34">
        <v>39539</v>
      </c>
      <c r="L64" s="34">
        <v>39569</v>
      </c>
      <c r="M64" s="34">
        <v>39600</v>
      </c>
      <c r="N64" s="35" t="s">
        <v>258</v>
      </c>
      <c r="O64" s="56" t="s">
        <v>197</v>
      </c>
      <c r="P64" s="56" t="s">
        <v>154</v>
      </c>
      <c r="Q64" s="2"/>
    </row>
    <row r="65" spans="1:17" ht="12.75" customHeight="1">
      <c r="A65" s="36" t="s">
        <v>321</v>
      </c>
      <c r="B65" s="34"/>
      <c r="C65" s="34"/>
      <c r="D65" s="34"/>
      <c r="E65" s="34"/>
      <c r="F65" s="34"/>
      <c r="G65" s="34"/>
      <c r="H65" s="34"/>
      <c r="I65" s="34"/>
      <c r="J65" s="34"/>
      <c r="K65" s="34"/>
      <c r="L65" s="34"/>
      <c r="M65" s="34"/>
      <c r="N65" s="48"/>
      <c r="O65" s="45"/>
      <c r="P65" s="45"/>
    </row>
    <row r="66" spans="1:17" ht="12.75" customHeight="1">
      <c r="A66" s="39" t="s">
        <v>328</v>
      </c>
      <c r="B66" s="40">
        <v>166</v>
      </c>
      <c r="C66" s="40">
        <v>177</v>
      </c>
      <c r="D66" s="40">
        <v>457</v>
      </c>
      <c r="E66" s="40">
        <f>946+4</f>
        <v>950</v>
      </c>
      <c r="F66" s="40">
        <v>1047</v>
      </c>
      <c r="G66" s="40">
        <v>754</v>
      </c>
      <c r="H66" s="40">
        <v>186</v>
      </c>
      <c r="I66" s="40">
        <v>670</v>
      </c>
      <c r="J66" s="40">
        <v>920</v>
      </c>
      <c r="K66" s="40">
        <v>1448</v>
      </c>
      <c r="L66" s="40">
        <v>608</v>
      </c>
      <c r="M66" s="40">
        <v>173</v>
      </c>
      <c r="N66" s="41">
        <f>SUM(B66:M66)</f>
        <v>7556</v>
      </c>
      <c r="O66" s="42">
        <v>7590</v>
      </c>
      <c r="P66" s="43">
        <f>O66/N66</f>
        <v>1.0044997353096876</v>
      </c>
    </row>
    <row r="67" spans="1:17" ht="12.75" customHeight="1">
      <c r="A67" s="2"/>
      <c r="B67" s="49"/>
      <c r="C67" s="49"/>
      <c r="D67" s="49"/>
      <c r="E67" s="49"/>
      <c r="F67" s="49"/>
      <c r="G67" s="49"/>
      <c r="H67" s="49"/>
      <c r="I67" s="49"/>
      <c r="J67" s="49"/>
      <c r="K67" s="49"/>
      <c r="L67" s="49"/>
      <c r="M67" s="49"/>
      <c r="N67" s="50"/>
      <c r="O67" s="43"/>
      <c r="P67" s="43"/>
    </row>
    <row r="68" spans="1:17" ht="12.75" customHeight="1">
      <c r="A68" s="5"/>
      <c r="B68" s="86"/>
      <c r="C68" s="86"/>
      <c r="D68" s="86"/>
      <c r="E68" s="86"/>
      <c r="F68" s="86"/>
      <c r="G68" s="86"/>
      <c r="H68" s="86"/>
      <c r="I68" s="86"/>
      <c r="J68" s="86"/>
      <c r="K68" s="86"/>
      <c r="L68" s="86"/>
      <c r="M68" s="86"/>
      <c r="N68" s="87"/>
      <c r="O68" s="47"/>
      <c r="P68" s="47"/>
    </row>
    <row r="69" spans="1:17" ht="25.5">
      <c r="A69" s="33"/>
      <c r="B69" s="34">
        <v>39264</v>
      </c>
      <c r="C69" s="34">
        <v>39295</v>
      </c>
      <c r="D69" s="34">
        <v>39326</v>
      </c>
      <c r="E69" s="34">
        <v>39356</v>
      </c>
      <c r="F69" s="34">
        <v>39387</v>
      </c>
      <c r="G69" s="34">
        <v>39417</v>
      </c>
      <c r="H69" s="34">
        <v>39448</v>
      </c>
      <c r="I69" s="34">
        <v>39479</v>
      </c>
      <c r="J69" s="34">
        <v>39508</v>
      </c>
      <c r="K69" s="34">
        <v>39539</v>
      </c>
      <c r="L69" s="34">
        <v>39569</v>
      </c>
      <c r="M69" s="34">
        <v>39600</v>
      </c>
      <c r="N69" s="35" t="s">
        <v>258</v>
      </c>
      <c r="O69" s="56" t="s">
        <v>197</v>
      </c>
      <c r="P69" s="56" t="s">
        <v>154</v>
      </c>
      <c r="Q69" s="2"/>
    </row>
    <row r="70" spans="1:17" ht="12.75" customHeight="1">
      <c r="A70" s="36" t="s">
        <v>14</v>
      </c>
      <c r="B70" s="34"/>
      <c r="C70" s="34"/>
      <c r="D70" s="34"/>
      <c r="E70" s="34"/>
      <c r="F70" s="34"/>
      <c r="G70" s="34"/>
      <c r="H70" s="34"/>
      <c r="I70" s="34"/>
      <c r="J70" s="34"/>
      <c r="K70" s="34"/>
      <c r="L70" s="34"/>
      <c r="M70" s="34"/>
      <c r="N70" s="48"/>
      <c r="O70" s="45"/>
      <c r="P70" s="45"/>
    </row>
    <row r="71" spans="1:17" ht="12.75" customHeight="1">
      <c r="A71" s="39" t="s">
        <v>328</v>
      </c>
      <c r="B71" s="40">
        <v>121</v>
      </c>
      <c r="C71" s="40">
        <v>38</v>
      </c>
      <c r="D71" s="40">
        <v>223</v>
      </c>
      <c r="E71" s="40">
        <f>344+4</f>
        <v>348</v>
      </c>
      <c r="F71" s="40">
        <v>309</v>
      </c>
      <c r="G71" s="40">
        <v>154</v>
      </c>
      <c r="H71" s="40">
        <v>69</v>
      </c>
      <c r="I71" s="40">
        <v>176</v>
      </c>
      <c r="J71" s="40">
        <v>246</v>
      </c>
      <c r="K71" s="40">
        <v>413</v>
      </c>
      <c r="L71" s="40">
        <v>75</v>
      </c>
      <c r="M71" s="40">
        <v>85</v>
      </c>
      <c r="N71" s="41">
        <f>SUM(B71:M71)</f>
        <v>2257</v>
      </c>
      <c r="O71" s="42">
        <v>0</v>
      </c>
      <c r="P71" s="55" t="s">
        <v>34</v>
      </c>
    </row>
    <row r="72" spans="1:17" ht="12.75" customHeight="1">
      <c r="A72" s="2"/>
      <c r="B72" s="49"/>
      <c r="C72" s="49"/>
      <c r="D72" s="49"/>
      <c r="E72" s="49"/>
      <c r="F72" s="49"/>
      <c r="G72" s="49"/>
      <c r="H72" s="49"/>
      <c r="I72" s="49"/>
      <c r="J72" s="49"/>
      <c r="K72" s="49"/>
      <c r="L72" s="49"/>
      <c r="M72" s="49"/>
      <c r="N72" s="50"/>
      <c r="O72" s="43"/>
      <c r="P72" s="43"/>
    </row>
    <row r="73" spans="1:17" ht="12.75" customHeight="1">
      <c r="A73" s="5"/>
      <c r="B73" s="86"/>
      <c r="C73" s="86"/>
      <c r="D73" s="86"/>
      <c r="E73" s="86"/>
      <c r="F73" s="86"/>
      <c r="G73" s="86"/>
      <c r="H73" s="86"/>
      <c r="I73" s="86"/>
      <c r="J73" s="86"/>
      <c r="K73" s="86"/>
      <c r="L73" s="86"/>
      <c r="M73" s="86"/>
      <c r="N73" s="87"/>
      <c r="O73" s="47"/>
      <c r="P73" s="47"/>
    </row>
    <row r="74" spans="1:17" ht="25.5">
      <c r="A74" s="33"/>
      <c r="B74" s="34">
        <v>39264</v>
      </c>
      <c r="C74" s="34">
        <v>39295</v>
      </c>
      <c r="D74" s="34">
        <v>39326</v>
      </c>
      <c r="E74" s="34">
        <v>39356</v>
      </c>
      <c r="F74" s="34">
        <v>39387</v>
      </c>
      <c r="G74" s="34">
        <v>39417</v>
      </c>
      <c r="H74" s="34">
        <v>39448</v>
      </c>
      <c r="I74" s="34">
        <v>39479</v>
      </c>
      <c r="J74" s="34">
        <v>39508</v>
      </c>
      <c r="K74" s="34">
        <v>39539</v>
      </c>
      <c r="L74" s="34">
        <v>39569</v>
      </c>
      <c r="M74" s="34">
        <v>39600</v>
      </c>
      <c r="N74" s="35" t="s">
        <v>258</v>
      </c>
      <c r="O74" s="56" t="s">
        <v>197</v>
      </c>
      <c r="P74" s="56" t="s">
        <v>154</v>
      </c>
      <c r="Q74" s="2"/>
    </row>
    <row r="75" spans="1:17" ht="12.75" customHeight="1">
      <c r="A75" s="148" t="s">
        <v>223</v>
      </c>
      <c r="B75" s="149"/>
      <c r="C75" s="34"/>
      <c r="D75" s="34"/>
      <c r="E75" s="34"/>
      <c r="F75" s="34"/>
      <c r="G75" s="34"/>
      <c r="H75" s="34"/>
      <c r="I75" s="34"/>
      <c r="J75" s="34"/>
      <c r="K75" s="34"/>
      <c r="L75" s="34"/>
      <c r="M75" s="34"/>
      <c r="N75" s="48"/>
      <c r="O75" s="45"/>
      <c r="P75" s="45"/>
    </row>
    <row r="76" spans="1:17" ht="12.75" customHeight="1">
      <c r="A76" s="39" t="s">
        <v>328</v>
      </c>
      <c r="B76" s="40">
        <f>457+43</f>
        <v>500</v>
      </c>
      <c r="C76" s="40">
        <f>451+86</f>
        <v>537</v>
      </c>
      <c r="D76" s="40">
        <f>329+121</f>
        <v>450</v>
      </c>
      <c r="E76" s="40">
        <f>439+160</f>
        <v>599</v>
      </c>
      <c r="F76" s="40">
        <f>77+496</f>
        <v>573</v>
      </c>
      <c r="G76" s="40">
        <f>271+61</f>
        <v>332</v>
      </c>
      <c r="H76" s="40">
        <f>276+50</f>
        <v>326</v>
      </c>
      <c r="I76" s="40">
        <f>535+168</f>
        <v>703</v>
      </c>
      <c r="J76" s="40">
        <f>377+117</f>
        <v>494</v>
      </c>
      <c r="K76" s="40">
        <f>164+472</f>
        <v>636</v>
      </c>
      <c r="L76" s="40">
        <f>27+318</f>
        <v>345</v>
      </c>
      <c r="M76" s="40">
        <v>304</v>
      </c>
      <c r="N76" s="41">
        <f>SUM(B76:M76)</f>
        <v>5799</v>
      </c>
      <c r="O76" s="42">
        <v>4085</v>
      </c>
      <c r="P76" s="43">
        <f>O76/N76</f>
        <v>0.70443179858596305</v>
      </c>
    </row>
    <row r="77" spans="1:17" ht="12.75" customHeight="1">
      <c r="A77" s="2"/>
      <c r="B77" s="49"/>
      <c r="C77" s="49"/>
      <c r="D77" s="49"/>
      <c r="E77" s="49"/>
      <c r="F77" s="49"/>
      <c r="G77" s="49"/>
      <c r="H77" s="49"/>
      <c r="I77" s="49"/>
      <c r="J77" s="49"/>
      <c r="K77" s="49"/>
      <c r="L77" s="49"/>
      <c r="M77" s="49"/>
      <c r="N77" s="50"/>
      <c r="O77" s="43"/>
      <c r="P77" s="43"/>
    </row>
    <row r="78" spans="1:17" ht="12.75" customHeight="1">
      <c r="A78" s="5"/>
      <c r="B78" s="86"/>
      <c r="C78" s="86"/>
      <c r="D78" s="86"/>
      <c r="E78" s="86"/>
      <c r="F78" s="86"/>
      <c r="G78" s="86"/>
      <c r="H78" s="86"/>
      <c r="I78" s="86"/>
      <c r="J78" s="86"/>
      <c r="K78" s="86"/>
      <c r="L78" s="86"/>
      <c r="M78" s="86"/>
      <c r="N78" s="87"/>
      <c r="O78" s="47"/>
      <c r="P78" s="47"/>
    </row>
    <row r="79" spans="1:17" ht="25.5">
      <c r="A79" s="33"/>
      <c r="B79" s="34">
        <v>39264</v>
      </c>
      <c r="C79" s="34">
        <v>39295</v>
      </c>
      <c r="D79" s="34">
        <v>39326</v>
      </c>
      <c r="E79" s="34">
        <v>39356</v>
      </c>
      <c r="F79" s="34">
        <v>39387</v>
      </c>
      <c r="G79" s="34">
        <v>39417</v>
      </c>
      <c r="H79" s="34">
        <v>39448</v>
      </c>
      <c r="I79" s="34">
        <v>39479</v>
      </c>
      <c r="J79" s="34">
        <v>39508</v>
      </c>
      <c r="K79" s="34">
        <v>39539</v>
      </c>
      <c r="L79" s="34">
        <v>39569</v>
      </c>
      <c r="M79" s="34">
        <v>39600</v>
      </c>
      <c r="N79" s="35" t="s">
        <v>258</v>
      </c>
      <c r="O79" s="56" t="s">
        <v>197</v>
      </c>
      <c r="P79" s="56" t="s">
        <v>154</v>
      </c>
      <c r="Q79" s="2"/>
    </row>
    <row r="80" spans="1:17" ht="12.75" customHeight="1">
      <c r="A80" s="36" t="s">
        <v>149</v>
      </c>
      <c r="B80" s="34"/>
      <c r="C80" s="34"/>
      <c r="D80" s="34"/>
      <c r="E80" s="34"/>
      <c r="F80" s="34"/>
      <c r="G80" s="34"/>
      <c r="H80" s="34"/>
      <c r="I80" s="34"/>
      <c r="J80" s="34"/>
      <c r="K80" s="34"/>
      <c r="L80" s="34"/>
      <c r="M80" s="34"/>
      <c r="N80" s="48"/>
      <c r="O80" s="45"/>
      <c r="P80" s="45"/>
    </row>
    <row r="81" spans="1:17" ht="12.75" customHeight="1">
      <c r="A81" s="39" t="s">
        <v>328</v>
      </c>
      <c r="B81" s="40">
        <f>457+47</f>
        <v>504</v>
      </c>
      <c r="C81" s="40">
        <f>451+84</f>
        <v>535</v>
      </c>
      <c r="D81" s="40">
        <f>329+151</f>
        <v>480</v>
      </c>
      <c r="E81" s="40">
        <f>439+219</f>
        <v>658</v>
      </c>
      <c r="F81" s="40">
        <f>496+138</f>
        <v>634</v>
      </c>
      <c r="G81" s="40">
        <f>271+88</f>
        <v>359</v>
      </c>
      <c r="H81" s="40">
        <f>276+107</f>
        <v>383</v>
      </c>
      <c r="I81" s="40">
        <f>535+268</f>
        <v>803</v>
      </c>
      <c r="J81" s="40">
        <f>377+155</f>
        <v>532</v>
      </c>
      <c r="K81" s="40">
        <f>185+472</f>
        <v>657</v>
      </c>
      <c r="L81" s="40">
        <f>24+317</f>
        <v>341</v>
      </c>
      <c r="M81" s="40">
        <v>307</v>
      </c>
      <c r="N81" s="41">
        <f>SUM(B81:M81)</f>
        <v>6193</v>
      </c>
      <c r="O81" s="42">
        <v>0</v>
      </c>
      <c r="P81" s="55" t="s">
        <v>34</v>
      </c>
    </row>
    <row r="82" spans="1:17" ht="12.75" customHeight="1">
      <c r="A82" s="2"/>
      <c r="B82" s="49"/>
      <c r="C82" s="49"/>
      <c r="D82" s="49"/>
      <c r="E82" s="49"/>
      <c r="F82" s="49"/>
      <c r="G82" s="49"/>
      <c r="H82" s="49"/>
      <c r="I82" s="49"/>
      <c r="J82" s="49"/>
      <c r="K82" s="49"/>
      <c r="L82" s="49"/>
      <c r="M82" s="49"/>
      <c r="N82" s="50"/>
      <c r="O82" s="43"/>
      <c r="P82" s="55"/>
    </row>
    <row r="83" spans="1:17" ht="12.75" customHeight="1">
      <c r="A83" s="5"/>
      <c r="B83" s="86"/>
      <c r="C83" s="86"/>
      <c r="D83" s="86"/>
      <c r="E83" s="86"/>
      <c r="F83" s="86"/>
      <c r="G83" s="86"/>
      <c r="H83" s="86"/>
      <c r="I83" s="86"/>
      <c r="J83" s="86"/>
      <c r="K83" s="86"/>
      <c r="L83" s="86"/>
      <c r="M83" s="86"/>
      <c r="N83" s="87"/>
      <c r="O83" s="47"/>
      <c r="P83" s="89"/>
    </row>
    <row r="84" spans="1:17" ht="25.5">
      <c r="A84" s="33"/>
      <c r="B84" s="34">
        <v>39264</v>
      </c>
      <c r="C84" s="34">
        <v>39295</v>
      </c>
      <c r="D84" s="34">
        <v>39326</v>
      </c>
      <c r="E84" s="34">
        <v>39356</v>
      </c>
      <c r="F84" s="34">
        <v>39387</v>
      </c>
      <c r="G84" s="34">
        <v>39417</v>
      </c>
      <c r="H84" s="34">
        <v>39448</v>
      </c>
      <c r="I84" s="34">
        <v>39479</v>
      </c>
      <c r="J84" s="34">
        <v>39508</v>
      </c>
      <c r="K84" s="34">
        <v>39539</v>
      </c>
      <c r="L84" s="34">
        <v>39569</v>
      </c>
      <c r="M84" s="34">
        <v>39600</v>
      </c>
      <c r="N84" s="35" t="s">
        <v>258</v>
      </c>
      <c r="O84" s="56" t="s">
        <v>197</v>
      </c>
      <c r="P84" s="56" t="s">
        <v>154</v>
      </c>
      <c r="Q84" s="2"/>
    </row>
    <row r="85" spans="1:17" ht="12.75" customHeight="1">
      <c r="A85" s="36" t="s">
        <v>326</v>
      </c>
      <c r="B85" s="34"/>
      <c r="C85" s="34"/>
      <c r="D85" s="34"/>
      <c r="E85" s="34"/>
      <c r="F85" s="34"/>
      <c r="G85" s="34"/>
      <c r="H85" s="34"/>
      <c r="I85" s="34"/>
      <c r="J85" s="34"/>
      <c r="K85" s="34"/>
      <c r="L85" s="34"/>
      <c r="M85" s="34"/>
      <c r="N85" s="48"/>
      <c r="O85" s="45"/>
      <c r="P85" s="45"/>
    </row>
    <row r="86" spans="1:17" ht="12.75" customHeight="1">
      <c r="A86" s="39" t="s">
        <v>328</v>
      </c>
      <c r="B86" s="40">
        <v>179</v>
      </c>
      <c r="C86" s="40">
        <v>66</v>
      </c>
      <c r="D86" s="40">
        <v>254</v>
      </c>
      <c r="E86" s="40">
        <v>573</v>
      </c>
      <c r="F86" s="40">
        <v>458</v>
      </c>
      <c r="G86" s="40">
        <v>167</v>
      </c>
      <c r="H86" s="40">
        <v>125</v>
      </c>
      <c r="I86" s="40">
        <v>514</v>
      </c>
      <c r="J86" s="40">
        <v>367</v>
      </c>
      <c r="K86" s="40">
        <v>530</v>
      </c>
      <c r="L86" s="40">
        <v>125</v>
      </c>
      <c r="M86" s="40">
        <v>157</v>
      </c>
      <c r="N86" s="41">
        <f>SUM(B86:M86)</f>
        <v>3515</v>
      </c>
      <c r="O86" s="42">
        <v>5650</v>
      </c>
      <c r="P86" s="43">
        <f>O86/N86</f>
        <v>1.6073968705547652</v>
      </c>
    </row>
    <row r="87" spans="1:17" ht="12.75" customHeight="1">
      <c r="A87" s="2"/>
      <c r="B87" s="49"/>
      <c r="C87" s="49"/>
      <c r="D87" s="49"/>
      <c r="E87" s="49"/>
      <c r="F87" s="49"/>
      <c r="G87" s="49"/>
      <c r="H87" s="49"/>
      <c r="I87" s="49"/>
      <c r="J87" s="49"/>
      <c r="K87" s="49"/>
      <c r="L87" s="49"/>
      <c r="M87" s="49"/>
      <c r="N87" s="50"/>
      <c r="O87" s="43"/>
      <c r="P87" s="43"/>
    </row>
    <row r="88" spans="1:17" ht="12.75" customHeight="1">
      <c r="A88" s="5"/>
      <c r="B88" s="86"/>
      <c r="C88" s="86"/>
      <c r="D88" s="86"/>
      <c r="E88" s="86"/>
      <c r="F88" s="86"/>
      <c r="G88" s="86"/>
      <c r="H88" s="86"/>
      <c r="I88" s="86"/>
      <c r="J88" s="86"/>
      <c r="K88" s="86"/>
      <c r="L88" s="86"/>
      <c r="M88" s="86"/>
      <c r="N88" s="87"/>
      <c r="O88" s="47"/>
      <c r="P88" s="47"/>
    </row>
    <row r="89" spans="1:17" ht="25.5">
      <c r="A89" s="33"/>
      <c r="B89" s="34">
        <v>39264</v>
      </c>
      <c r="C89" s="34">
        <v>39295</v>
      </c>
      <c r="D89" s="34">
        <v>39326</v>
      </c>
      <c r="E89" s="34">
        <v>39356</v>
      </c>
      <c r="F89" s="34">
        <v>39387</v>
      </c>
      <c r="G89" s="34">
        <v>39417</v>
      </c>
      <c r="H89" s="34">
        <v>39448</v>
      </c>
      <c r="I89" s="34">
        <v>39479</v>
      </c>
      <c r="J89" s="34">
        <v>39508</v>
      </c>
      <c r="K89" s="34">
        <v>39539</v>
      </c>
      <c r="L89" s="34">
        <v>39569</v>
      </c>
      <c r="M89" s="34">
        <v>39600</v>
      </c>
      <c r="N89" s="35" t="s">
        <v>258</v>
      </c>
      <c r="O89" s="56" t="s">
        <v>197</v>
      </c>
      <c r="P89" s="56" t="s">
        <v>154</v>
      </c>
      <c r="Q89" s="2"/>
    </row>
    <row r="90" spans="1:17" ht="12.75" customHeight="1">
      <c r="A90" s="36" t="s">
        <v>5</v>
      </c>
      <c r="B90" s="34"/>
      <c r="C90" s="34"/>
      <c r="D90" s="34"/>
      <c r="E90" s="34"/>
      <c r="F90" s="34"/>
      <c r="G90" s="34"/>
      <c r="H90" s="34"/>
      <c r="I90" s="34"/>
      <c r="J90" s="34"/>
      <c r="K90" s="34"/>
      <c r="L90" s="34"/>
      <c r="M90" s="34"/>
      <c r="N90" s="48"/>
      <c r="O90" s="45"/>
      <c r="P90" s="45"/>
    </row>
    <row r="91" spans="1:17" ht="12.75" customHeight="1">
      <c r="A91" s="39" t="s">
        <v>328</v>
      </c>
      <c r="B91" s="40">
        <v>122</v>
      </c>
      <c r="C91" s="40">
        <v>66</v>
      </c>
      <c r="D91" s="40">
        <v>234</v>
      </c>
      <c r="E91" s="40">
        <v>458</v>
      </c>
      <c r="F91" s="40">
        <v>376</v>
      </c>
      <c r="G91" s="40">
        <v>153</v>
      </c>
      <c r="H91" s="40">
        <v>82</v>
      </c>
      <c r="I91" s="40">
        <v>490</v>
      </c>
      <c r="J91" s="40">
        <v>295</v>
      </c>
      <c r="K91" s="40">
        <v>456</v>
      </c>
      <c r="L91" s="40">
        <v>98</v>
      </c>
      <c r="M91" s="40">
        <v>153</v>
      </c>
      <c r="N91" s="41">
        <f>SUM(B91:M91)</f>
        <v>2983</v>
      </c>
      <c r="O91" s="42">
        <v>0</v>
      </c>
      <c r="P91" s="55" t="s">
        <v>34</v>
      </c>
    </row>
    <row r="92" spans="1:17" ht="12.75" customHeight="1">
      <c r="A92" s="2"/>
      <c r="B92" s="49"/>
      <c r="C92" s="49"/>
      <c r="D92" s="49"/>
      <c r="E92" s="49"/>
      <c r="F92" s="49"/>
      <c r="G92" s="49"/>
      <c r="H92" s="49"/>
      <c r="I92" s="49"/>
      <c r="J92" s="49"/>
      <c r="K92" s="49"/>
      <c r="L92" s="49"/>
      <c r="M92" s="49"/>
      <c r="N92" s="50"/>
      <c r="O92" s="43"/>
      <c r="P92" s="43"/>
    </row>
    <row r="93" spans="1:17" ht="12.75" customHeight="1">
      <c r="A93" s="5"/>
      <c r="B93" s="86"/>
      <c r="C93" s="86"/>
      <c r="D93" s="86"/>
      <c r="E93" s="86"/>
      <c r="F93" s="86"/>
      <c r="G93" s="86"/>
      <c r="H93" s="86"/>
      <c r="I93" s="86"/>
      <c r="J93" s="86"/>
      <c r="K93" s="86"/>
      <c r="L93" s="86"/>
      <c r="M93" s="86"/>
      <c r="N93" s="87"/>
      <c r="O93" s="47"/>
      <c r="P93" s="47"/>
    </row>
    <row r="94" spans="1:17" ht="25.5">
      <c r="A94" s="33"/>
      <c r="B94" s="34">
        <v>39264</v>
      </c>
      <c r="C94" s="34">
        <v>39295</v>
      </c>
      <c r="D94" s="34">
        <v>39326</v>
      </c>
      <c r="E94" s="34">
        <v>39356</v>
      </c>
      <c r="F94" s="34">
        <v>39387</v>
      </c>
      <c r="G94" s="34">
        <v>39417</v>
      </c>
      <c r="H94" s="34">
        <v>39448</v>
      </c>
      <c r="I94" s="34">
        <v>39479</v>
      </c>
      <c r="J94" s="34">
        <v>39508</v>
      </c>
      <c r="K94" s="34">
        <v>39539</v>
      </c>
      <c r="L94" s="34">
        <v>39569</v>
      </c>
      <c r="M94" s="34">
        <v>39600</v>
      </c>
      <c r="N94" s="35" t="s">
        <v>258</v>
      </c>
      <c r="O94" s="56" t="s">
        <v>197</v>
      </c>
      <c r="P94" s="56" t="s">
        <v>154</v>
      </c>
      <c r="Q94" s="2"/>
    </row>
    <row r="95" spans="1:17" ht="12.75" customHeight="1">
      <c r="A95" s="36" t="s">
        <v>68</v>
      </c>
      <c r="B95" s="34"/>
      <c r="C95" s="34"/>
      <c r="D95" s="34"/>
      <c r="E95" s="34"/>
      <c r="F95" s="34"/>
      <c r="G95" s="34"/>
      <c r="H95" s="34"/>
      <c r="I95" s="34"/>
      <c r="J95" s="34"/>
      <c r="K95" s="34"/>
      <c r="L95" s="34"/>
      <c r="M95" s="34"/>
      <c r="N95" s="48"/>
      <c r="O95" s="45"/>
      <c r="P95" s="45"/>
    </row>
    <row r="96" spans="1:17" ht="12.75" customHeight="1">
      <c r="A96" s="39" t="s">
        <v>328</v>
      </c>
      <c r="B96" s="40">
        <v>153</v>
      </c>
      <c r="C96" s="40">
        <v>63</v>
      </c>
      <c r="D96" s="40">
        <v>150</v>
      </c>
      <c r="E96" s="40">
        <f>326+4</f>
        <v>330</v>
      </c>
      <c r="F96" s="40">
        <v>264</v>
      </c>
      <c r="G96" s="40">
        <v>169</v>
      </c>
      <c r="H96" s="40">
        <v>63</v>
      </c>
      <c r="I96" s="40">
        <v>195</v>
      </c>
      <c r="J96" s="40">
        <v>261</v>
      </c>
      <c r="K96" s="40">
        <v>369</v>
      </c>
      <c r="L96" s="40">
        <v>95</v>
      </c>
      <c r="M96" s="40">
        <v>71</v>
      </c>
      <c r="N96" s="41">
        <f>SUM(B96:M96)</f>
        <v>2183</v>
      </c>
      <c r="O96" s="42">
        <v>2720</v>
      </c>
      <c r="P96" s="43">
        <f>O96/N96</f>
        <v>1.2459917544663308</v>
      </c>
    </row>
    <row r="97" spans="1:17" ht="12.75" customHeight="1">
      <c r="A97" s="2"/>
      <c r="B97" s="49"/>
      <c r="C97" s="49"/>
      <c r="D97" s="49"/>
      <c r="E97" s="49"/>
      <c r="F97" s="49"/>
      <c r="G97" s="49"/>
      <c r="H97" s="49"/>
      <c r="I97" s="49"/>
      <c r="J97" s="49"/>
      <c r="K97" s="49"/>
      <c r="L97" s="49"/>
      <c r="M97" s="49"/>
      <c r="N97" s="50"/>
      <c r="O97" s="43"/>
      <c r="P97" s="43"/>
    </row>
    <row r="98" spans="1:17" ht="12.75" customHeight="1">
      <c r="A98" s="5"/>
      <c r="B98" s="86"/>
      <c r="C98" s="86"/>
      <c r="D98" s="86"/>
      <c r="E98" s="86"/>
      <c r="F98" s="86"/>
      <c r="G98" s="86"/>
      <c r="H98" s="86"/>
      <c r="I98" s="86"/>
      <c r="J98" s="86"/>
      <c r="K98" s="86"/>
      <c r="L98" s="86"/>
      <c r="M98" s="86"/>
      <c r="N98" s="87"/>
      <c r="O98" s="47"/>
      <c r="P98" s="47"/>
    </row>
    <row r="99" spans="1:17" ht="25.5">
      <c r="A99" s="33"/>
      <c r="B99" s="34">
        <v>39264</v>
      </c>
      <c r="C99" s="34">
        <v>39295</v>
      </c>
      <c r="D99" s="34">
        <v>39326</v>
      </c>
      <c r="E99" s="34">
        <v>39356</v>
      </c>
      <c r="F99" s="34">
        <v>39387</v>
      </c>
      <c r="G99" s="34">
        <v>39417</v>
      </c>
      <c r="H99" s="34">
        <v>39448</v>
      </c>
      <c r="I99" s="34">
        <v>39479</v>
      </c>
      <c r="J99" s="34">
        <v>39508</v>
      </c>
      <c r="K99" s="34">
        <v>39539</v>
      </c>
      <c r="L99" s="34">
        <v>39569</v>
      </c>
      <c r="M99" s="34">
        <v>39600</v>
      </c>
      <c r="N99" s="35" t="s">
        <v>258</v>
      </c>
      <c r="O99" s="56" t="s">
        <v>197</v>
      </c>
      <c r="P99" s="56" t="s">
        <v>154</v>
      </c>
      <c r="Q99" s="2"/>
    </row>
    <row r="100" spans="1:17" ht="12.75" customHeight="1">
      <c r="A100" s="36" t="s">
        <v>314</v>
      </c>
      <c r="B100" s="34"/>
      <c r="C100" s="34"/>
      <c r="D100" s="34"/>
      <c r="E100" s="34"/>
      <c r="F100" s="34"/>
      <c r="G100" s="34"/>
      <c r="H100" s="34"/>
      <c r="I100" s="34"/>
      <c r="J100" s="34"/>
      <c r="K100" s="34"/>
      <c r="L100" s="34"/>
      <c r="M100" s="34"/>
      <c r="N100" s="48"/>
      <c r="O100" s="45"/>
      <c r="P100" s="45"/>
    </row>
    <row r="101" spans="1:17" ht="12.75" customHeight="1">
      <c r="A101" s="39" t="s">
        <v>328</v>
      </c>
      <c r="B101" s="90">
        <f>86+148</f>
        <v>234</v>
      </c>
      <c r="C101" s="90">
        <f>38+125</f>
        <v>163</v>
      </c>
      <c r="D101" s="90">
        <f>39+312</f>
        <v>351</v>
      </c>
      <c r="E101" s="90">
        <f>65+568</f>
        <v>633</v>
      </c>
      <c r="F101" s="90">
        <f>41+433</f>
        <v>474</v>
      </c>
      <c r="G101" s="90">
        <f>2+174</f>
        <v>176</v>
      </c>
      <c r="H101" s="90">
        <f>14+121</f>
        <v>135</v>
      </c>
      <c r="I101" s="90">
        <f>75+689</f>
        <v>764</v>
      </c>
      <c r="J101" s="90">
        <f>39+608</f>
        <v>647</v>
      </c>
      <c r="K101" s="90">
        <f>715+62</f>
        <v>777</v>
      </c>
      <c r="L101" s="90">
        <f>132+141</f>
        <v>273</v>
      </c>
      <c r="M101" s="90">
        <v>231</v>
      </c>
      <c r="N101" s="91">
        <f>SUM(B101:M101)</f>
        <v>4858</v>
      </c>
      <c r="O101" s="42">
        <v>1020</v>
      </c>
      <c r="P101" s="43">
        <f>O101/N101</f>
        <v>0.20996294771510909</v>
      </c>
    </row>
    <row r="102" spans="1:17" ht="12.75" customHeight="1">
      <c r="A102" s="39"/>
      <c r="B102" s="88"/>
      <c r="C102" s="88"/>
      <c r="D102" s="88"/>
      <c r="E102" s="88"/>
      <c r="F102" s="88"/>
      <c r="G102" s="88"/>
      <c r="H102" s="88"/>
      <c r="I102" s="88"/>
      <c r="J102" s="88"/>
      <c r="K102" s="88"/>
      <c r="L102" s="88"/>
      <c r="M102" s="88"/>
      <c r="N102" s="92"/>
      <c r="O102" s="42"/>
      <c r="P102" s="43"/>
    </row>
    <row r="103" spans="1:17" ht="12.75" customHeight="1">
      <c r="A103" s="2"/>
      <c r="B103" s="49"/>
      <c r="C103" s="49"/>
      <c r="D103" s="49"/>
      <c r="E103" s="49"/>
      <c r="F103" s="49"/>
      <c r="G103" s="49"/>
      <c r="H103" s="49"/>
      <c r="I103" s="49"/>
      <c r="J103" s="49"/>
      <c r="K103" s="49"/>
      <c r="L103" s="49"/>
      <c r="M103" s="49"/>
      <c r="N103" s="50"/>
      <c r="O103" s="43"/>
      <c r="P103" s="43"/>
    </row>
    <row r="104" spans="1:17" ht="12.75" customHeight="1">
      <c r="A104" s="5"/>
      <c r="B104" s="86"/>
      <c r="C104" s="86"/>
      <c r="D104" s="86"/>
      <c r="E104" s="86"/>
      <c r="F104" s="86"/>
      <c r="G104" s="86"/>
      <c r="H104" s="86"/>
      <c r="I104" s="86"/>
      <c r="J104" s="86"/>
      <c r="K104" s="86"/>
      <c r="L104" s="86"/>
      <c r="M104" s="86"/>
      <c r="N104" s="87"/>
      <c r="O104" s="47"/>
      <c r="P104" s="47"/>
    </row>
    <row r="105" spans="1:17" ht="25.5">
      <c r="A105" s="33"/>
      <c r="B105" s="34">
        <v>39264</v>
      </c>
      <c r="C105" s="34">
        <v>39295</v>
      </c>
      <c r="D105" s="34">
        <v>39326</v>
      </c>
      <c r="E105" s="34">
        <v>39356</v>
      </c>
      <c r="F105" s="34">
        <v>39387</v>
      </c>
      <c r="G105" s="34">
        <v>39417</v>
      </c>
      <c r="H105" s="34">
        <v>39448</v>
      </c>
      <c r="I105" s="34">
        <v>39479</v>
      </c>
      <c r="J105" s="34">
        <v>39508</v>
      </c>
      <c r="K105" s="34">
        <v>39539</v>
      </c>
      <c r="L105" s="34">
        <v>39569</v>
      </c>
      <c r="M105" s="34">
        <v>39600</v>
      </c>
      <c r="N105" s="35" t="s">
        <v>258</v>
      </c>
      <c r="O105" s="56" t="s">
        <v>197</v>
      </c>
      <c r="P105" s="56" t="s">
        <v>154</v>
      </c>
    </row>
    <row r="106" spans="1:17" ht="12.75" customHeight="1">
      <c r="A106" s="36" t="s">
        <v>199</v>
      </c>
      <c r="B106" s="34"/>
      <c r="C106" s="34"/>
      <c r="D106" s="34"/>
      <c r="E106" s="34"/>
      <c r="F106" s="34"/>
      <c r="G106" s="34"/>
      <c r="H106" s="34"/>
      <c r="I106" s="34"/>
      <c r="J106" s="34"/>
      <c r="K106" s="34"/>
      <c r="L106" s="34"/>
      <c r="M106" s="34"/>
      <c r="N106" s="48"/>
      <c r="O106" s="45"/>
      <c r="P106" s="45"/>
    </row>
    <row r="107" spans="1:17" ht="12.75" customHeight="1">
      <c r="A107" s="39" t="s">
        <v>328</v>
      </c>
      <c r="B107" s="40">
        <v>118</v>
      </c>
      <c r="C107" s="40">
        <v>64</v>
      </c>
      <c r="D107" s="40">
        <v>237</v>
      </c>
      <c r="E107" s="40">
        <v>442</v>
      </c>
      <c r="F107" s="40">
        <v>367</v>
      </c>
      <c r="G107" s="40">
        <v>134</v>
      </c>
      <c r="H107" s="40">
        <v>78</v>
      </c>
      <c r="I107" s="40">
        <v>494</v>
      </c>
      <c r="J107" s="40">
        <v>283</v>
      </c>
      <c r="K107" s="40">
        <v>439</v>
      </c>
      <c r="L107" s="40">
        <v>96</v>
      </c>
      <c r="M107" s="40">
        <v>154</v>
      </c>
      <c r="N107" s="91">
        <f>SUM(B107:M107)</f>
        <v>2906</v>
      </c>
      <c r="O107" s="42">
        <v>0</v>
      </c>
      <c r="P107" s="55" t="s">
        <v>34</v>
      </c>
    </row>
    <row r="108" spans="1:17" ht="12.75" customHeight="1">
      <c r="A108" s="39"/>
      <c r="B108" s="40"/>
      <c r="C108" s="40"/>
      <c r="D108" s="40"/>
      <c r="E108" s="40"/>
      <c r="F108" s="40"/>
      <c r="G108" s="40"/>
      <c r="H108" s="40"/>
      <c r="I108" s="40"/>
      <c r="J108" s="40"/>
      <c r="K108" s="40"/>
      <c r="L108" s="40"/>
      <c r="M108" s="40"/>
      <c r="N108" s="93"/>
      <c r="O108" s="42"/>
      <c r="P108" s="43"/>
    </row>
    <row r="109" spans="1:17" ht="12.75" customHeight="1">
      <c r="A109" s="2"/>
      <c r="B109" s="49"/>
      <c r="C109" s="49"/>
      <c r="D109" s="49"/>
      <c r="E109" s="49"/>
      <c r="F109" s="49"/>
      <c r="G109" s="49"/>
      <c r="H109" s="49"/>
      <c r="I109" s="49"/>
      <c r="J109" s="49"/>
      <c r="K109" s="49"/>
      <c r="L109" s="49"/>
      <c r="M109" s="49"/>
      <c r="N109" s="94"/>
      <c r="O109" s="43"/>
      <c r="P109" s="43"/>
    </row>
    <row r="110" spans="1:17" ht="12.75" customHeight="1">
      <c r="A110" s="5"/>
      <c r="B110" s="86"/>
      <c r="C110" s="86"/>
      <c r="D110" s="86"/>
      <c r="E110" s="86"/>
      <c r="F110" s="86"/>
      <c r="G110" s="86"/>
      <c r="H110" s="86"/>
      <c r="I110" s="86"/>
      <c r="J110" s="86"/>
      <c r="K110" s="86"/>
      <c r="L110" s="86"/>
      <c r="M110" s="86"/>
      <c r="N110" s="87"/>
      <c r="O110" s="47"/>
      <c r="P110" s="47"/>
    </row>
    <row r="111" spans="1:17" ht="25.5">
      <c r="A111" s="33"/>
      <c r="B111" s="34">
        <v>39264</v>
      </c>
      <c r="C111" s="34">
        <v>39295</v>
      </c>
      <c r="D111" s="34">
        <v>39326</v>
      </c>
      <c r="E111" s="34">
        <v>39356</v>
      </c>
      <c r="F111" s="34">
        <v>39387</v>
      </c>
      <c r="G111" s="34">
        <v>39417</v>
      </c>
      <c r="H111" s="34">
        <v>39448</v>
      </c>
      <c r="I111" s="34">
        <v>39479</v>
      </c>
      <c r="J111" s="34">
        <v>39508</v>
      </c>
      <c r="K111" s="34">
        <v>39539</v>
      </c>
      <c r="L111" s="34">
        <v>39569</v>
      </c>
      <c r="M111" s="34">
        <v>39600</v>
      </c>
      <c r="N111" s="35" t="s">
        <v>258</v>
      </c>
      <c r="O111" s="56" t="s">
        <v>197</v>
      </c>
      <c r="P111" s="56" t="s">
        <v>154</v>
      </c>
      <c r="Q111" s="2"/>
    </row>
    <row r="112" spans="1:17" ht="12.75" customHeight="1">
      <c r="A112" s="36" t="s">
        <v>156</v>
      </c>
      <c r="B112" s="34"/>
      <c r="C112" s="34"/>
      <c r="D112" s="34"/>
      <c r="E112" s="34"/>
      <c r="F112" s="34"/>
      <c r="G112" s="34"/>
      <c r="H112" s="34"/>
      <c r="I112" s="34"/>
      <c r="J112" s="34"/>
      <c r="K112" s="34"/>
      <c r="L112" s="34"/>
      <c r="M112" s="34"/>
      <c r="N112" s="48"/>
      <c r="O112" s="45"/>
      <c r="P112" s="45"/>
    </row>
    <row r="113" spans="1:17" ht="12.75" customHeight="1">
      <c r="A113" s="39" t="s">
        <v>328</v>
      </c>
      <c r="B113" s="40">
        <v>2298</v>
      </c>
      <c r="C113" s="40">
        <v>1036</v>
      </c>
      <c r="D113" s="40">
        <v>2084</v>
      </c>
      <c r="E113" s="40">
        <v>4320</v>
      </c>
      <c r="F113" s="40">
        <v>4287</v>
      </c>
      <c r="G113" s="40">
        <v>2191</v>
      </c>
      <c r="H113" s="40">
        <v>1794</v>
      </c>
      <c r="I113" s="40">
        <v>6923</v>
      </c>
      <c r="J113" s="40">
        <v>5420</v>
      </c>
      <c r="K113" s="40">
        <v>4657</v>
      </c>
      <c r="L113" s="40">
        <v>1626</v>
      </c>
      <c r="M113" s="40">
        <v>1967</v>
      </c>
      <c r="N113" s="41">
        <f>SUM(B113:M113)</f>
        <v>38603</v>
      </c>
      <c r="O113" s="42">
        <v>14995</v>
      </c>
      <c r="P113" s="43">
        <f>O113/N113</f>
        <v>0.38844131285133282</v>
      </c>
    </row>
    <row r="114" spans="1:17" ht="12.75" customHeight="1">
      <c r="A114" s="2"/>
      <c r="B114" s="49"/>
      <c r="C114" s="49"/>
      <c r="D114" s="49"/>
      <c r="E114" s="49"/>
      <c r="F114" s="49"/>
      <c r="G114" s="49"/>
      <c r="H114" s="49"/>
      <c r="I114" s="49"/>
      <c r="J114" s="49"/>
      <c r="K114" s="49"/>
      <c r="L114" s="49"/>
      <c r="M114" s="49"/>
      <c r="N114" s="50"/>
      <c r="O114" s="43"/>
      <c r="P114" s="43"/>
    </row>
    <row r="115" spans="1:17" ht="12.75" customHeight="1">
      <c r="A115" s="5"/>
      <c r="B115" s="86"/>
      <c r="C115" s="86"/>
      <c r="D115" s="86"/>
      <c r="E115" s="86"/>
      <c r="F115" s="86"/>
      <c r="G115" s="86"/>
      <c r="H115" s="86"/>
      <c r="I115" s="86"/>
      <c r="J115" s="86"/>
      <c r="K115" s="86"/>
      <c r="L115" s="86"/>
      <c r="M115" s="86"/>
      <c r="N115" s="87"/>
      <c r="O115" s="47"/>
      <c r="P115" s="47"/>
    </row>
    <row r="116" spans="1:17" ht="25.5">
      <c r="A116" s="33"/>
      <c r="B116" s="34">
        <v>39264</v>
      </c>
      <c r="C116" s="34">
        <v>39295</v>
      </c>
      <c r="D116" s="34">
        <v>39326</v>
      </c>
      <c r="E116" s="34">
        <v>39356</v>
      </c>
      <c r="F116" s="34">
        <v>39387</v>
      </c>
      <c r="G116" s="34">
        <v>39417</v>
      </c>
      <c r="H116" s="34">
        <v>39448</v>
      </c>
      <c r="I116" s="34">
        <v>39479</v>
      </c>
      <c r="J116" s="34">
        <v>39508</v>
      </c>
      <c r="K116" s="34">
        <v>39539</v>
      </c>
      <c r="L116" s="34">
        <v>39569</v>
      </c>
      <c r="M116" s="34">
        <v>39600</v>
      </c>
      <c r="N116" s="35" t="s">
        <v>258</v>
      </c>
      <c r="O116" s="56" t="s">
        <v>197</v>
      </c>
      <c r="P116" s="56" t="s">
        <v>154</v>
      </c>
      <c r="Q116" s="2"/>
    </row>
    <row r="117" spans="1:17" ht="12.75" customHeight="1">
      <c r="A117" s="36" t="s">
        <v>270</v>
      </c>
      <c r="B117" s="34"/>
      <c r="C117" s="34"/>
      <c r="D117" s="34"/>
      <c r="E117" s="34"/>
      <c r="F117" s="34"/>
      <c r="G117" s="34"/>
      <c r="H117" s="34"/>
      <c r="I117" s="34"/>
      <c r="J117" s="34"/>
      <c r="K117" s="34"/>
      <c r="L117" s="34"/>
      <c r="M117" s="34"/>
      <c r="N117" s="48"/>
      <c r="O117" s="45"/>
      <c r="P117" s="45"/>
    </row>
    <row r="118" spans="1:17" ht="12.75" customHeight="1">
      <c r="A118" s="39" t="s">
        <v>328</v>
      </c>
      <c r="B118" s="40">
        <v>194</v>
      </c>
      <c r="C118" s="40">
        <v>75</v>
      </c>
      <c r="D118" s="40">
        <v>270</v>
      </c>
      <c r="E118" s="40">
        <v>600</v>
      </c>
      <c r="F118" s="40">
        <v>530</v>
      </c>
      <c r="G118" s="40">
        <v>252</v>
      </c>
      <c r="H118" s="40">
        <v>138</v>
      </c>
      <c r="I118" s="40">
        <v>567</v>
      </c>
      <c r="J118" s="40">
        <v>461</v>
      </c>
      <c r="K118" s="40">
        <v>617</v>
      </c>
      <c r="L118" s="40">
        <v>104</v>
      </c>
      <c r="M118" s="40">
        <v>229</v>
      </c>
      <c r="N118" s="41">
        <f>SUM(B118:M118)</f>
        <v>4037</v>
      </c>
      <c r="O118" s="42">
        <v>0</v>
      </c>
      <c r="P118" s="55" t="s">
        <v>34</v>
      </c>
    </row>
    <row r="119" spans="1:17" ht="12.75" customHeight="1">
      <c r="A119" s="2"/>
      <c r="B119" s="49"/>
      <c r="C119" s="49"/>
      <c r="D119" s="49"/>
      <c r="E119" s="49"/>
      <c r="F119" s="49"/>
      <c r="G119" s="49"/>
      <c r="H119" s="49"/>
      <c r="I119" s="49"/>
      <c r="J119" s="49"/>
      <c r="K119" s="49"/>
      <c r="L119" s="49"/>
      <c r="M119" s="49"/>
      <c r="N119" s="50"/>
      <c r="O119" s="43"/>
      <c r="P119" s="55"/>
    </row>
    <row r="120" spans="1:17" ht="12.75" customHeight="1">
      <c r="A120" s="5"/>
      <c r="B120" s="86"/>
      <c r="C120" s="86"/>
      <c r="D120" s="86"/>
      <c r="E120" s="86"/>
      <c r="F120" s="86"/>
      <c r="G120" s="86"/>
      <c r="H120" s="86"/>
      <c r="I120" s="86"/>
      <c r="J120" s="86"/>
      <c r="K120" s="86"/>
      <c r="L120" s="86"/>
      <c r="M120" s="86"/>
      <c r="N120" s="87"/>
      <c r="O120" s="47"/>
      <c r="P120" s="89"/>
    </row>
    <row r="121" spans="1:17" ht="25.5">
      <c r="A121" s="33"/>
      <c r="B121" s="34">
        <v>39264</v>
      </c>
      <c r="C121" s="34">
        <v>39295</v>
      </c>
      <c r="D121" s="34">
        <v>39326</v>
      </c>
      <c r="E121" s="34">
        <v>39356</v>
      </c>
      <c r="F121" s="34">
        <v>39387</v>
      </c>
      <c r="G121" s="34">
        <v>39417</v>
      </c>
      <c r="H121" s="34">
        <v>39448</v>
      </c>
      <c r="I121" s="34">
        <v>39479</v>
      </c>
      <c r="J121" s="34">
        <v>39508</v>
      </c>
      <c r="K121" s="34">
        <v>39539</v>
      </c>
      <c r="L121" s="34">
        <v>39569</v>
      </c>
      <c r="M121" s="34">
        <v>39600</v>
      </c>
      <c r="N121" s="35" t="s">
        <v>258</v>
      </c>
      <c r="O121" s="56" t="s">
        <v>197</v>
      </c>
      <c r="P121" s="56" t="s">
        <v>154</v>
      </c>
      <c r="Q121" s="2"/>
    </row>
    <row r="122" spans="1:17" ht="12.75" customHeight="1">
      <c r="A122" s="36" t="s">
        <v>173</v>
      </c>
      <c r="B122" s="34"/>
      <c r="C122" s="34"/>
      <c r="D122" s="34"/>
      <c r="E122" s="34"/>
      <c r="F122" s="34"/>
      <c r="G122" s="34"/>
      <c r="H122" s="34"/>
      <c r="I122" s="34"/>
      <c r="J122" s="34"/>
      <c r="K122" s="34"/>
      <c r="L122" s="34"/>
      <c r="M122" s="34"/>
      <c r="N122" s="48"/>
      <c r="O122" s="45"/>
      <c r="P122" s="45"/>
    </row>
    <row r="123" spans="1:17" ht="12.75" customHeight="1">
      <c r="A123" s="39" t="s">
        <v>328</v>
      </c>
      <c r="B123" s="40">
        <v>380</v>
      </c>
      <c r="C123" s="40">
        <v>89</v>
      </c>
      <c r="D123" s="40">
        <v>372</v>
      </c>
      <c r="E123" s="40">
        <v>844</v>
      </c>
      <c r="F123" s="40">
        <v>808</v>
      </c>
      <c r="G123" s="40">
        <v>393</v>
      </c>
      <c r="H123" s="40">
        <v>187</v>
      </c>
      <c r="I123" s="40">
        <v>755</v>
      </c>
      <c r="J123" s="40">
        <v>677</v>
      </c>
      <c r="K123" s="40">
        <v>915</v>
      </c>
      <c r="L123" s="40">
        <v>154</v>
      </c>
      <c r="M123" s="40">
        <v>501</v>
      </c>
      <c r="N123" s="41">
        <f>SUM(B123:M123)</f>
        <v>6075</v>
      </c>
      <c r="O123" s="42">
        <v>4275</v>
      </c>
      <c r="P123" s="43">
        <f>O123/N123</f>
        <v>0.70370370370370372</v>
      </c>
    </row>
    <row r="124" spans="1:17" ht="12.75" customHeight="1">
      <c r="A124" s="2"/>
      <c r="B124" s="49"/>
      <c r="C124" s="49"/>
      <c r="D124" s="49"/>
      <c r="E124" s="49"/>
      <c r="F124" s="49"/>
      <c r="G124" s="49"/>
      <c r="H124" s="49"/>
      <c r="I124" s="49"/>
      <c r="J124" s="49"/>
      <c r="K124" s="49"/>
      <c r="L124" s="49"/>
      <c r="M124" s="49"/>
      <c r="N124" s="50"/>
      <c r="O124" s="43"/>
      <c r="P124" s="43"/>
    </row>
    <row r="125" spans="1:17" ht="12.75" customHeight="1">
      <c r="A125" s="5"/>
      <c r="B125" s="86"/>
      <c r="C125" s="86"/>
      <c r="D125" s="86"/>
      <c r="E125" s="86"/>
      <c r="F125" s="86"/>
      <c r="G125" s="86"/>
      <c r="H125" s="86"/>
      <c r="I125" s="86"/>
      <c r="J125" s="86"/>
      <c r="K125" s="86"/>
      <c r="L125" s="86"/>
      <c r="M125" s="86"/>
      <c r="N125" s="87"/>
      <c r="O125" s="47"/>
      <c r="P125" s="47"/>
    </row>
    <row r="126" spans="1:17" ht="25.5">
      <c r="A126" s="33"/>
      <c r="B126" s="34">
        <v>39264</v>
      </c>
      <c r="C126" s="34">
        <v>39295</v>
      </c>
      <c r="D126" s="34">
        <v>39326</v>
      </c>
      <c r="E126" s="34">
        <v>39356</v>
      </c>
      <c r="F126" s="34">
        <v>39387</v>
      </c>
      <c r="G126" s="34">
        <v>39417</v>
      </c>
      <c r="H126" s="34">
        <v>39448</v>
      </c>
      <c r="I126" s="34">
        <v>39479</v>
      </c>
      <c r="J126" s="34">
        <v>39508</v>
      </c>
      <c r="K126" s="34">
        <v>39539</v>
      </c>
      <c r="L126" s="34">
        <v>39569</v>
      </c>
      <c r="M126" s="34">
        <v>39600</v>
      </c>
      <c r="N126" s="35" t="s">
        <v>258</v>
      </c>
      <c r="O126" s="56" t="s">
        <v>197</v>
      </c>
      <c r="P126" s="56" t="s">
        <v>154</v>
      </c>
      <c r="Q126" s="2"/>
    </row>
    <row r="127" spans="1:17" ht="12.75" customHeight="1">
      <c r="A127" s="36" t="s">
        <v>246</v>
      </c>
      <c r="B127" s="34"/>
      <c r="C127" s="34"/>
      <c r="D127" s="34"/>
      <c r="E127" s="34"/>
      <c r="F127" s="34"/>
      <c r="G127" s="34"/>
      <c r="H127" s="34"/>
      <c r="I127" s="34"/>
      <c r="J127" s="34"/>
      <c r="K127" s="34"/>
      <c r="L127" s="34"/>
      <c r="M127" s="34"/>
      <c r="N127" s="48"/>
      <c r="O127" s="45"/>
      <c r="P127" s="45"/>
    </row>
    <row r="128" spans="1:17" ht="12.75" customHeight="1">
      <c r="A128" s="39" t="s">
        <v>328</v>
      </c>
      <c r="B128" s="40">
        <f>2798+11027</f>
        <v>13825</v>
      </c>
      <c r="C128" s="40">
        <f>2268+6404</f>
        <v>8672</v>
      </c>
      <c r="D128" s="40">
        <f>1537+11093</f>
        <v>12630</v>
      </c>
      <c r="E128" s="40">
        <f>2100+18224</f>
        <v>20324</v>
      </c>
      <c r="F128" s="40">
        <f>2101+17064</f>
        <v>19165</v>
      </c>
      <c r="G128" s="40">
        <f>932+8411</f>
        <v>9343</v>
      </c>
      <c r="H128" s="40">
        <f>1046+5388</f>
        <v>6434</v>
      </c>
      <c r="I128" s="40">
        <f>2400+20957</f>
        <v>23357</v>
      </c>
      <c r="J128" s="40">
        <f>1637+17288</f>
        <v>18925</v>
      </c>
      <c r="K128" s="40">
        <f>19915+2126</f>
        <v>22041</v>
      </c>
      <c r="L128" s="40">
        <f>4913+2220</f>
        <v>7133</v>
      </c>
      <c r="M128" s="40">
        <f>1379+6652</f>
        <v>8031</v>
      </c>
      <c r="N128" s="41">
        <f>SUM(B128:M128)</f>
        <v>169880</v>
      </c>
      <c r="O128" s="42">
        <f>SUM(O5:O127)</f>
        <v>64582</v>
      </c>
      <c r="P128" s="43">
        <f>O128/N128</f>
        <v>0.3801624676242053</v>
      </c>
    </row>
    <row r="129" spans="1:16">
      <c r="A129" s="2"/>
      <c r="B129" s="150" t="s">
        <v>259</v>
      </c>
      <c r="C129" s="151"/>
      <c r="D129" s="151"/>
      <c r="E129" s="151"/>
      <c r="F129" s="151"/>
      <c r="G129" s="151"/>
      <c r="H129" s="151"/>
      <c r="I129" s="151"/>
      <c r="J129" s="151"/>
      <c r="K129" s="151"/>
      <c r="L129" s="151"/>
      <c r="M129" s="151"/>
      <c r="N129" s="151"/>
      <c r="O129" s="43"/>
      <c r="P129" s="43"/>
    </row>
    <row r="130" spans="1:16" ht="12.75" customHeight="1">
      <c r="A130" s="2"/>
      <c r="B130" s="95"/>
      <c r="C130" s="95"/>
      <c r="D130" s="95"/>
      <c r="E130" s="95"/>
      <c r="F130" s="95"/>
      <c r="G130" s="95"/>
      <c r="H130" s="95"/>
      <c r="I130" s="95"/>
      <c r="J130" s="95"/>
      <c r="K130" s="95"/>
      <c r="L130" s="95"/>
      <c r="M130" s="95"/>
      <c r="N130" s="95"/>
      <c r="O130" s="2"/>
      <c r="P130" s="2"/>
    </row>
    <row r="131" spans="1:16" ht="12.75" customHeight="1">
      <c r="A131" s="2"/>
      <c r="O131" s="2"/>
      <c r="P131" s="2"/>
    </row>
    <row r="132" spans="1:16" ht="12.75" customHeight="1">
      <c r="A132" s="2"/>
      <c r="O132" s="2"/>
      <c r="P132" s="2"/>
    </row>
    <row r="133" spans="1:16" ht="12.75" customHeight="1">
      <c r="A133" s="2"/>
      <c r="O133" s="2"/>
      <c r="P133" s="2"/>
    </row>
    <row r="134" spans="1:16" ht="12.75" customHeight="1">
      <c r="A134" s="2" t="s">
        <v>31</v>
      </c>
      <c r="B134" s="2" t="s">
        <v>310</v>
      </c>
      <c r="O134" s="2"/>
      <c r="P134" s="2"/>
    </row>
    <row r="135" spans="1:16" ht="12.75" customHeight="1">
      <c r="A135" s="2"/>
      <c r="O135" s="2"/>
      <c r="P135" s="2"/>
    </row>
  </sheetData>
  <mergeCells count="4">
    <mergeCell ref="A30:C30"/>
    <mergeCell ref="A60:C60"/>
    <mergeCell ref="A75:B75"/>
    <mergeCell ref="B129:N129"/>
  </mergeCells>
  <pageMargins left="0.75" right="0.75" top="1" bottom="1" header="0.5" footer="0.5"/>
  <pageSetup paperSize="9"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dimension ref="A1:Q109"/>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31.42578125" customWidth="1"/>
    <col min="2" max="2" width="5.5703125" customWidth="1"/>
    <col min="3" max="3" width="4.5703125" customWidth="1"/>
    <col min="4" max="4" width="4.42578125" customWidth="1"/>
    <col min="5" max="5" width="4.28515625" customWidth="1"/>
    <col min="6" max="6" width="4" customWidth="1"/>
    <col min="7" max="7" width="5.5703125" customWidth="1"/>
    <col min="8" max="14" width="8.5703125" customWidth="1"/>
    <col min="15" max="16" width="10.85546875" customWidth="1"/>
    <col min="17" max="17" width="9.140625" customWidth="1"/>
  </cols>
  <sheetData>
    <row r="1" spans="1:17" ht="20.25">
      <c r="A1" s="139" t="s">
        <v>273</v>
      </c>
      <c r="B1" s="140"/>
      <c r="C1" s="140"/>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5"/>
      <c r="P3" s="5"/>
    </row>
    <row r="4" spans="1:17" ht="25.5">
      <c r="A4" s="33"/>
      <c r="B4" s="34">
        <v>39264</v>
      </c>
      <c r="C4" s="34">
        <v>39295</v>
      </c>
      <c r="D4" s="34">
        <v>39326</v>
      </c>
      <c r="E4" s="34">
        <v>39356</v>
      </c>
      <c r="F4" s="34">
        <v>39387</v>
      </c>
      <c r="G4" s="34">
        <v>39417</v>
      </c>
      <c r="H4" s="34">
        <v>39448</v>
      </c>
      <c r="I4" s="34">
        <v>39479</v>
      </c>
      <c r="J4" s="34">
        <v>39508</v>
      </c>
      <c r="K4" s="34">
        <v>39539</v>
      </c>
      <c r="L4" s="34">
        <v>39569</v>
      </c>
      <c r="M4" s="34">
        <v>39600</v>
      </c>
      <c r="N4" s="56" t="s">
        <v>258</v>
      </c>
      <c r="O4" s="56" t="s">
        <v>197</v>
      </c>
      <c r="P4" s="56" t="s">
        <v>154</v>
      </c>
      <c r="Q4" s="2"/>
    </row>
    <row r="5" spans="1:17" ht="12.75" customHeight="1">
      <c r="A5" s="36" t="s">
        <v>28</v>
      </c>
      <c r="B5" s="34"/>
      <c r="C5" s="34"/>
      <c r="D5" s="34"/>
      <c r="E5" s="34"/>
      <c r="F5" s="34"/>
      <c r="G5" s="34"/>
      <c r="H5" s="34"/>
      <c r="I5" s="34"/>
      <c r="J5" s="34"/>
      <c r="K5" s="34"/>
      <c r="L5" s="34"/>
      <c r="M5" s="34"/>
      <c r="N5" s="48"/>
      <c r="O5" s="36"/>
      <c r="P5" s="96"/>
    </row>
    <row r="6" spans="1:17" ht="12.75" customHeight="1">
      <c r="A6" s="39" t="s">
        <v>89</v>
      </c>
      <c r="B6" s="40">
        <v>4382</v>
      </c>
      <c r="C6" s="40">
        <v>1099</v>
      </c>
      <c r="D6" s="40">
        <v>4290</v>
      </c>
      <c r="E6" s="40">
        <v>12626</v>
      </c>
      <c r="F6" s="40">
        <v>12005</v>
      </c>
      <c r="G6" s="40">
        <v>5772</v>
      </c>
      <c r="H6" s="40">
        <v>1971</v>
      </c>
      <c r="I6" s="40">
        <v>8377</v>
      </c>
      <c r="J6" s="40">
        <v>12288</v>
      </c>
      <c r="K6" s="40">
        <v>12697</v>
      </c>
      <c r="L6" s="40">
        <v>2704</v>
      </c>
      <c r="M6" s="40">
        <v>3410</v>
      </c>
      <c r="N6" s="41">
        <f>SUM(B6:M6)</f>
        <v>81621</v>
      </c>
      <c r="O6" s="9"/>
      <c r="P6" s="55"/>
    </row>
    <row r="7" spans="1:17" ht="12.75" customHeight="1">
      <c r="A7" s="39" t="s">
        <v>328</v>
      </c>
      <c r="B7" s="40">
        <v>15709</v>
      </c>
      <c r="C7" s="40">
        <v>3010</v>
      </c>
      <c r="D7" s="40">
        <v>13062</v>
      </c>
      <c r="E7" s="40">
        <v>47221</v>
      </c>
      <c r="F7" s="40">
        <v>42280</v>
      </c>
      <c r="G7" s="40">
        <v>18940</v>
      </c>
      <c r="H7" s="40">
        <v>4598</v>
      </c>
      <c r="I7" s="40">
        <v>28299</v>
      </c>
      <c r="J7" s="40">
        <v>44183</v>
      </c>
      <c r="K7" s="40">
        <v>41520</v>
      </c>
      <c r="L7" s="40">
        <v>7879</v>
      </c>
      <c r="M7" s="40">
        <v>9558</v>
      </c>
      <c r="N7" s="41">
        <f>SUM(B7:M7)</f>
        <v>276259</v>
      </c>
      <c r="O7" s="54">
        <v>19750.25</v>
      </c>
      <c r="P7" s="55">
        <f>O7/N7</f>
        <v>7.149178850281801E-2</v>
      </c>
    </row>
    <row r="8" spans="1:17" ht="12.75" customHeight="1">
      <c r="A8" s="2"/>
      <c r="B8" s="49"/>
      <c r="C8" s="49"/>
      <c r="D8" s="49"/>
      <c r="E8" s="49"/>
      <c r="F8" s="49"/>
      <c r="G8" s="49"/>
      <c r="H8" s="49"/>
      <c r="I8" s="49"/>
      <c r="J8" s="49"/>
      <c r="K8" s="49"/>
      <c r="L8" s="49"/>
      <c r="M8" s="49"/>
      <c r="N8" s="50"/>
      <c r="O8" s="55"/>
      <c r="P8" s="55"/>
    </row>
    <row r="9" spans="1:17" ht="12.75" customHeight="1">
      <c r="A9" s="5"/>
      <c r="B9" s="86"/>
      <c r="C9" s="86"/>
      <c r="D9" s="86"/>
      <c r="E9" s="86"/>
      <c r="F9" s="86"/>
      <c r="G9" s="86"/>
      <c r="H9" s="86"/>
      <c r="I9" s="86"/>
      <c r="J9" s="86"/>
      <c r="K9" s="86"/>
      <c r="L9" s="86"/>
      <c r="M9" s="86"/>
      <c r="N9" s="87"/>
      <c r="O9" s="89"/>
      <c r="P9" s="89"/>
    </row>
    <row r="10" spans="1:17" ht="25.5">
      <c r="A10" s="33"/>
      <c r="B10" s="34">
        <v>39264</v>
      </c>
      <c r="C10" s="34">
        <v>39295</v>
      </c>
      <c r="D10" s="34">
        <v>39326</v>
      </c>
      <c r="E10" s="34">
        <v>39356</v>
      </c>
      <c r="F10" s="34">
        <v>39387</v>
      </c>
      <c r="G10" s="34">
        <v>39417</v>
      </c>
      <c r="H10" s="34">
        <v>39448</v>
      </c>
      <c r="I10" s="34">
        <v>39479</v>
      </c>
      <c r="J10" s="34">
        <v>39508</v>
      </c>
      <c r="K10" s="34">
        <v>39539</v>
      </c>
      <c r="L10" s="34">
        <v>39569</v>
      </c>
      <c r="M10" s="34">
        <v>39600</v>
      </c>
      <c r="N10" s="56" t="s">
        <v>258</v>
      </c>
      <c r="O10" s="56" t="s">
        <v>197</v>
      </c>
      <c r="P10" s="56" t="s">
        <v>154</v>
      </c>
      <c r="Q10" s="2"/>
    </row>
    <row r="11" spans="1:17" ht="12.75" customHeight="1">
      <c r="A11" s="36" t="s">
        <v>94</v>
      </c>
      <c r="B11" s="34"/>
      <c r="C11" s="34"/>
      <c r="D11" s="34"/>
      <c r="E11" s="34"/>
      <c r="F11" s="34"/>
      <c r="G11" s="34"/>
      <c r="H11" s="34"/>
      <c r="I11" s="34"/>
      <c r="J11" s="34"/>
      <c r="K11" s="34"/>
      <c r="L11" s="34"/>
      <c r="M11" s="34"/>
      <c r="N11" s="48"/>
      <c r="O11" s="57"/>
      <c r="P11" s="57"/>
    </row>
    <row r="12" spans="1:17" ht="12.75" customHeight="1">
      <c r="A12" s="39" t="s">
        <v>89</v>
      </c>
      <c r="B12" s="40">
        <v>0</v>
      </c>
      <c r="C12" s="40">
        <v>0</v>
      </c>
      <c r="D12" s="40">
        <v>7</v>
      </c>
      <c r="E12" s="40">
        <v>62</v>
      </c>
      <c r="F12" s="40">
        <v>42</v>
      </c>
      <c r="G12" s="40">
        <v>66</v>
      </c>
      <c r="H12" s="40">
        <v>29</v>
      </c>
      <c r="I12" s="40">
        <v>139</v>
      </c>
      <c r="J12" s="40">
        <v>196</v>
      </c>
      <c r="K12" s="40">
        <v>222</v>
      </c>
      <c r="L12" s="40">
        <v>43</v>
      </c>
      <c r="M12" s="40">
        <v>31</v>
      </c>
      <c r="N12" s="41">
        <f>SUM(B12:M12)</f>
        <v>837</v>
      </c>
      <c r="O12" s="54"/>
      <c r="P12" s="55"/>
    </row>
    <row r="13" spans="1:17" ht="12.75" customHeight="1">
      <c r="A13" s="39" t="s">
        <v>328</v>
      </c>
      <c r="B13" s="40">
        <v>0</v>
      </c>
      <c r="C13" s="40">
        <v>0</v>
      </c>
      <c r="D13" s="40">
        <v>30</v>
      </c>
      <c r="E13" s="40">
        <v>203</v>
      </c>
      <c r="F13" s="40">
        <v>175</v>
      </c>
      <c r="G13" s="40">
        <v>235</v>
      </c>
      <c r="H13" s="40">
        <v>74</v>
      </c>
      <c r="I13" s="40">
        <v>374</v>
      </c>
      <c r="J13" s="40">
        <v>675</v>
      </c>
      <c r="K13" s="40">
        <v>677</v>
      </c>
      <c r="L13" s="40">
        <v>197</v>
      </c>
      <c r="M13" s="40">
        <v>74</v>
      </c>
      <c r="N13" s="41">
        <f>SUM(B13:M13)</f>
        <v>2714</v>
      </c>
      <c r="O13" s="54">
        <v>0</v>
      </c>
      <c r="P13" s="55" t="s">
        <v>34</v>
      </c>
    </row>
    <row r="14" spans="1:17" ht="12.75" customHeight="1">
      <c r="A14" s="2"/>
      <c r="B14" s="49"/>
      <c r="C14" s="49"/>
      <c r="D14" s="49"/>
      <c r="E14" s="49"/>
      <c r="F14" s="49"/>
      <c r="G14" s="49"/>
      <c r="H14" s="49"/>
      <c r="I14" s="49"/>
      <c r="J14" s="49"/>
      <c r="K14" s="49"/>
      <c r="L14" s="49"/>
      <c r="M14" s="49"/>
      <c r="N14" s="50"/>
      <c r="O14" s="55"/>
      <c r="P14" s="55"/>
    </row>
    <row r="15" spans="1:17" ht="12.75" customHeight="1">
      <c r="A15" s="5"/>
      <c r="B15" s="86"/>
      <c r="C15" s="86"/>
      <c r="D15" s="86"/>
      <c r="E15" s="86"/>
      <c r="F15" s="86"/>
      <c r="G15" s="86"/>
      <c r="H15" s="86"/>
      <c r="I15" s="86"/>
      <c r="J15" s="86"/>
      <c r="K15" s="86"/>
      <c r="L15" s="86"/>
      <c r="M15" s="86"/>
      <c r="N15" s="87"/>
      <c r="O15" s="89"/>
      <c r="P15" s="89"/>
    </row>
    <row r="16" spans="1:17" ht="25.5">
      <c r="A16" s="33"/>
      <c r="B16" s="34">
        <v>39264</v>
      </c>
      <c r="C16" s="34">
        <v>39295</v>
      </c>
      <c r="D16" s="34">
        <v>39326</v>
      </c>
      <c r="E16" s="34">
        <v>39356</v>
      </c>
      <c r="F16" s="34">
        <v>39387</v>
      </c>
      <c r="G16" s="34">
        <v>39417</v>
      </c>
      <c r="H16" s="34">
        <v>39448</v>
      </c>
      <c r="I16" s="34">
        <v>39479</v>
      </c>
      <c r="J16" s="34">
        <v>39508</v>
      </c>
      <c r="K16" s="34">
        <v>39539</v>
      </c>
      <c r="L16" s="34">
        <v>39569</v>
      </c>
      <c r="M16" s="34">
        <v>39600</v>
      </c>
      <c r="N16" s="56" t="s">
        <v>258</v>
      </c>
      <c r="O16" s="56" t="s">
        <v>197</v>
      </c>
      <c r="P16" s="56" t="s">
        <v>154</v>
      </c>
    </row>
    <row r="17" spans="1:17" ht="12.75" customHeight="1">
      <c r="A17" s="36" t="s">
        <v>332</v>
      </c>
      <c r="B17" s="34"/>
      <c r="C17" s="34"/>
      <c r="D17" s="34"/>
      <c r="E17" s="34"/>
      <c r="F17" s="34"/>
      <c r="G17" s="34"/>
      <c r="H17" s="34"/>
      <c r="I17" s="34"/>
      <c r="J17" s="34"/>
      <c r="K17" s="34"/>
      <c r="L17" s="34"/>
      <c r="M17" s="34"/>
      <c r="N17" s="48"/>
      <c r="O17" s="57"/>
      <c r="P17" s="57"/>
    </row>
    <row r="18" spans="1:17" ht="12.75" customHeight="1">
      <c r="A18" s="39" t="s">
        <v>89</v>
      </c>
      <c r="B18" s="40">
        <v>693</v>
      </c>
      <c r="C18" s="40">
        <v>101</v>
      </c>
      <c r="D18" s="40">
        <v>695</v>
      </c>
      <c r="E18" s="40">
        <v>1513</v>
      </c>
      <c r="F18" s="40">
        <v>2113</v>
      </c>
      <c r="G18" s="40">
        <v>474</v>
      </c>
      <c r="H18" s="40">
        <v>224</v>
      </c>
      <c r="I18" s="40">
        <v>1542</v>
      </c>
      <c r="J18" s="40">
        <v>1362</v>
      </c>
      <c r="K18" s="40">
        <v>1604</v>
      </c>
      <c r="L18" s="40">
        <v>161</v>
      </c>
      <c r="M18" s="40">
        <v>355</v>
      </c>
      <c r="N18" s="41">
        <f>SUM(B18:M18)</f>
        <v>10837</v>
      </c>
      <c r="O18" s="54"/>
      <c r="P18" s="55"/>
    </row>
    <row r="19" spans="1:17" ht="12.75" customHeight="1">
      <c r="A19" s="39" t="s">
        <v>328</v>
      </c>
      <c r="B19" s="40">
        <v>3062</v>
      </c>
      <c r="C19" s="40">
        <v>338</v>
      </c>
      <c r="D19" s="40">
        <v>2778</v>
      </c>
      <c r="E19" s="40">
        <v>6673</v>
      </c>
      <c r="F19" s="40">
        <v>10095</v>
      </c>
      <c r="G19" s="40">
        <v>2054</v>
      </c>
      <c r="H19" s="40">
        <v>938</v>
      </c>
      <c r="I19" s="40">
        <v>6596</v>
      </c>
      <c r="J19" s="40">
        <v>6137</v>
      </c>
      <c r="K19" s="40">
        <v>6949</v>
      </c>
      <c r="L19" s="40">
        <v>681</v>
      </c>
      <c r="M19" s="40">
        <v>1697</v>
      </c>
      <c r="N19" s="41">
        <f>SUM(B19:M19)</f>
        <v>47998</v>
      </c>
      <c r="O19" s="54">
        <v>5533</v>
      </c>
      <c r="P19" s="55">
        <f>O19/N19</f>
        <v>0.11527563648485353</v>
      </c>
    </row>
    <row r="20" spans="1:17" ht="12.75" customHeight="1">
      <c r="A20" s="2"/>
      <c r="B20" s="49"/>
      <c r="C20" s="49"/>
      <c r="D20" s="49"/>
      <c r="E20" s="49"/>
      <c r="F20" s="49"/>
      <c r="G20" s="49"/>
      <c r="H20" s="49"/>
      <c r="I20" s="49"/>
      <c r="J20" s="49"/>
      <c r="K20" s="49"/>
      <c r="L20" s="49"/>
      <c r="M20" s="49"/>
      <c r="N20" s="50"/>
      <c r="O20" s="55"/>
      <c r="P20" s="55"/>
    </row>
    <row r="21" spans="1:17" ht="12.75" customHeight="1">
      <c r="A21" s="5"/>
      <c r="B21" s="86"/>
      <c r="C21" s="86"/>
      <c r="D21" s="86"/>
      <c r="E21" s="86"/>
      <c r="F21" s="86"/>
      <c r="G21" s="86"/>
      <c r="H21" s="86"/>
      <c r="I21" s="86"/>
      <c r="J21" s="86"/>
      <c r="K21" s="86"/>
      <c r="L21" s="86"/>
      <c r="M21" s="86"/>
      <c r="N21" s="87"/>
      <c r="O21" s="89"/>
      <c r="P21" s="89"/>
    </row>
    <row r="22" spans="1:17" ht="25.5">
      <c r="A22" s="33"/>
      <c r="B22" s="34">
        <v>39264</v>
      </c>
      <c r="C22" s="34">
        <v>39295</v>
      </c>
      <c r="D22" s="34">
        <v>39326</v>
      </c>
      <c r="E22" s="34">
        <v>39356</v>
      </c>
      <c r="F22" s="34">
        <v>39387</v>
      </c>
      <c r="G22" s="34">
        <v>39417</v>
      </c>
      <c r="H22" s="34">
        <v>39448</v>
      </c>
      <c r="I22" s="34">
        <v>39479</v>
      </c>
      <c r="J22" s="34">
        <v>39508</v>
      </c>
      <c r="K22" s="34">
        <v>39539</v>
      </c>
      <c r="L22" s="34">
        <v>39569</v>
      </c>
      <c r="M22" s="34">
        <v>39600</v>
      </c>
      <c r="N22" s="56" t="s">
        <v>258</v>
      </c>
      <c r="O22" s="56" t="s">
        <v>197</v>
      </c>
      <c r="P22" s="56" t="s">
        <v>154</v>
      </c>
    </row>
    <row r="23" spans="1:17" ht="12.75" customHeight="1">
      <c r="A23" s="36" t="s">
        <v>15</v>
      </c>
      <c r="B23" s="34"/>
      <c r="C23" s="34"/>
      <c r="D23" s="34"/>
      <c r="E23" s="34"/>
      <c r="F23" s="34"/>
      <c r="G23" s="34"/>
      <c r="H23" s="34"/>
      <c r="I23" s="34"/>
      <c r="J23" s="34"/>
      <c r="K23" s="34"/>
      <c r="L23" s="34"/>
      <c r="M23" s="34"/>
      <c r="N23" s="48"/>
      <c r="O23" s="57"/>
      <c r="P23" s="57"/>
    </row>
    <row r="24" spans="1:17" ht="12.75" customHeight="1">
      <c r="A24" s="39" t="s">
        <v>89</v>
      </c>
      <c r="B24" s="40">
        <v>48</v>
      </c>
      <c r="C24" s="40">
        <v>10</v>
      </c>
      <c r="D24" s="40">
        <v>99</v>
      </c>
      <c r="E24" s="40">
        <v>263</v>
      </c>
      <c r="F24" s="40">
        <v>164</v>
      </c>
      <c r="G24" s="40">
        <v>69</v>
      </c>
      <c r="H24" s="40">
        <v>37</v>
      </c>
      <c r="I24" s="40">
        <v>145</v>
      </c>
      <c r="J24" s="40">
        <v>176</v>
      </c>
      <c r="K24" s="40">
        <v>188</v>
      </c>
      <c r="L24" s="40">
        <v>25</v>
      </c>
      <c r="M24" s="40">
        <v>20</v>
      </c>
      <c r="N24" s="41">
        <f>SUM(B24:M24)</f>
        <v>1244</v>
      </c>
      <c r="O24" s="54"/>
      <c r="P24" s="55"/>
    </row>
    <row r="25" spans="1:17" ht="12.75" customHeight="1">
      <c r="A25" s="39" t="s">
        <v>328</v>
      </c>
      <c r="B25" s="40">
        <v>180</v>
      </c>
      <c r="C25" s="40">
        <v>25</v>
      </c>
      <c r="D25" s="40">
        <v>351</v>
      </c>
      <c r="E25" s="40">
        <v>959</v>
      </c>
      <c r="F25" s="40">
        <v>532</v>
      </c>
      <c r="G25" s="40">
        <v>210</v>
      </c>
      <c r="H25" s="40">
        <v>109</v>
      </c>
      <c r="I25" s="40">
        <v>410</v>
      </c>
      <c r="J25" s="40">
        <v>583</v>
      </c>
      <c r="K25" s="40">
        <v>606</v>
      </c>
      <c r="L25" s="40">
        <v>78</v>
      </c>
      <c r="M25" s="40">
        <v>47</v>
      </c>
      <c r="N25" s="41">
        <f>SUM(B25:M25)</f>
        <v>4090</v>
      </c>
      <c r="O25" s="54">
        <v>0</v>
      </c>
      <c r="P25" s="55" t="s">
        <v>34</v>
      </c>
    </row>
    <row r="26" spans="1:17" ht="12.75" customHeight="1">
      <c r="A26" s="2"/>
      <c r="B26" s="49"/>
      <c r="C26" s="49"/>
      <c r="D26" s="49"/>
      <c r="E26" s="49"/>
      <c r="F26" s="49"/>
      <c r="G26" s="49"/>
      <c r="H26" s="49"/>
      <c r="I26" s="49"/>
      <c r="J26" s="49"/>
      <c r="K26" s="49"/>
      <c r="L26" s="49"/>
      <c r="M26" s="49"/>
      <c r="N26" s="50"/>
      <c r="O26" s="55"/>
      <c r="P26" s="55"/>
    </row>
    <row r="27" spans="1:17" ht="12.75" customHeight="1">
      <c r="A27" s="5"/>
      <c r="B27" s="86"/>
      <c r="C27" s="86"/>
      <c r="D27" s="86"/>
      <c r="E27" s="86"/>
      <c r="F27" s="86"/>
      <c r="G27" s="86"/>
      <c r="H27" s="86"/>
      <c r="I27" s="86"/>
      <c r="J27" s="86"/>
      <c r="K27" s="86"/>
      <c r="L27" s="86"/>
      <c r="M27" s="86"/>
      <c r="N27" s="87"/>
      <c r="O27" s="89"/>
      <c r="P27" s="89"/>
    </row>
    <row r="28" spans="1:17" ht="25.5">
      <c r="A28" s="33"/>
      <c r="B28" s="34">
        <v>39264</v>
      </c>
      <c r="C28" s="34">
        <v>39295</v>
      </c>
      <c r="D28" s="34">
        <v>39326</v>
      </c>
      <c r="E28" s="34">
        <v>39356</v>
      </c>
      <c r="F28" s="34">
        <v>39387</v>
      </c>
      <c r="G28" s="34">
        <v>39417</v>
      </c>
      <c r="H28" s="34">
        <v>39448</v>
      </c>
      <c r="I28" s="34">
        <v>39479</v>
      </c>
      <c r="J28" s="34">
        <v>39508</v>
      </c>
      <c r="K28" s="34">
        <v>39539</v>
      </c>
      <c r="L28" s="34">
        <v>39569</v>
      </c>
      <c r="M28" s="34">
        <v>39600</v>
      </c>
      <c r="N28" s="56" t="s">
        <v>258</v>
      </c>
      <c r="O28" s="56" t="s">
        <v>197</v>
      </c>
      <c r="P28" s="56" t="s">
        <v>154</v>
      </c>
      <c r="Q28" s="2"/>
    </row>
    <row r="29" spans="1:17" ht="12.75" customHeight="1">
      <c r="A29" s="148" t="s">
        <v>166</v>
      </c>
      <c r="B29" s="152"/>
      <c r="C29" s="34"/>
      <c r="D29" s="34"/>
      <c r="E29" s="34"/>
      <c r="F29" s="34"/>
      <c r="G29" s="34"/>
      <c r="H29" s="34"/>
      <c r="I29" s="34"/>
      <c r="J29" s="34"/>
      <c r="K29" s="34"/>
      <c r="L29" s="34"/>
      <c r="M29" s="34"/>
      <c r="N29" s="48"/>
      <c r="O29" s="57"/>
      <c r="P29" s="57"/>
    </row>
    <row r="30" spans="1:17" ht="12.75" customHeight="1">
      <c r="A30" s="39" t="s">
        <v>89</v>
      </c>
      <c r="B30" s="40">
        <v>28</v>
      </c>
      <c r="C30" s="40">
        <v>9</v>
      </c>
      <c r="D30" s="40">
        <v>14</v>
      </c>
      <c r="E30" s="40">
        <v>96</v>
      </c>
      <c r="F30" s="40">
        <v>183</v>
      </c>
      <c r="G30" s="40">
        <v>104</v>
      </c>
      <c r="H30" s="40">
        <v>32</v>
      </c>
      <c r="I30" s="40">
        <v>97</v>
      </c>
      <c r="J30" s="40">
        <v>162</v>
      </c>
      <c r="K30" s="40">
        <v>176</v>
      </c>
      <c r="L30" s="40">
        <v>49</v>
      </c>
      <c r="M30" s="40">
        <v>51</v>
      </c>
      <c r="N30" s="41">
        <f>SUM(B30:M30)</f>
        <v>1001</v>
      </c>
      <c r="O30" s="9"/>
      <c r="P30" s="2"/>
    </row>
    <row r="31" spans="1:17" ht="12.75" customHeight="1">
      <c r="A31" s="39" t="s">
        <v>328</v>
      </c>
      <c r="B31" s="40">
        <v>124</v>
      </c>
      <c r="C31" s="40">
        <v>35</v>
      </c>
      <c r="D31" s="40">
        <v>54</v>
      </c>
      <c r="E31" s="40">
        <v>302</v>
      </c>
      <c r="F31" s="40">
        <v>543</v>
      </c>
      <c r="G31" s="40">
        <v>328</v>
      </c>
      <c r="H31" s="40">
        <v>73</v>
      </c>
      <c r="I31" s="40">
        <v>269</v>
      </c>
      <c r="J31" s="40">
        <v>497</v>
      </c>
      <c r="K31" s="40">
        <v>592</v>
      </c>
      <c r="L31" s="40">
        <v>167</v>
      </c>
      <c r="M31" s="40">
        <v>169</v>
      </c>
      <c r="N31" s="41">
        <f>SUM(B31:M31)</f>
        <v>3153</v>
      </c>
      <c r="O31" s="54">
        <v>995</v>
      </c>
      <c r="P31" s="55" t="s">
        <v>34</v>
      </c>
    </row>
    <row r="32" spans="1:17" ht="12.75" customHeight="1">
      <c r="A32" s="2"/>
      <c r="B32" s="49"/>
      <c r="C32" s="49"/>
      <c r="D32" s="49"/>
      <c r="E32" s="49"/>
      <c r="F32" s="49"/>
      <c r="G32" s="49"/>
      <c r="H32" s="49"/>
      <c r="I32" s="49"/>
      <c r="J32" s="49"/>
      <c r="K32" s="49"/>
      <c r="L32" s="49"/>
      <c r="M32" s="49"/>
      <c r="N32" s="50"/>
      <c r="O32" s="55"/>
      <c r="P32" s="55"/>
    </row>
    <row r="33" spans="1:17" ht="12.75" customHeight="1">
      <c r="A33" s="5"/>
      <c r="B33" s="86"/>
      <c r="C33" s="86"/>
      <c r="D33" s="86"/>
      <c r="E33" s="86"/>
      <c r="F33" s="86"/>
      <c r="G33" s="86"/>
      <c r="H33" s="86"/>
      <c r="I33" s="86"/>
      <c r="J33" s="86"/>
      <c r="K33" s="86"/>
      <c r="L33" s="86"/>
      <c r="M33" s="86"/>
      <c r="N33" s="87"/>
      <c r="O33" s="89"/>
      <c r="P33" s="89"/>
    </row>
    <row r="34" spans="1:17" ht="25.5">
      <c r="A34" s="33"/>
      <c r="B34" s="34">
        <v>39264</v>
      </c>
      <c r="C34" s="34">
        <v>39295</v>
      </c>
      <c r="D34" s="34">
        <v>39326</v>
      </c>
      <c r="E34" s="34">
        <v>39356</v>
      </c>
      <c r="F34" s="34">
        <v>39387</v>
      </c>
      <c r="G34" s="34">
        <v>39417</v>
      </c>
      <c r="H34" s="34">
        <v>39448</v>
      </c>
      <c r="I34" s="34">
        <v>39479</v>
      </c>
      <c r="J34" s="34">
        <v>39508</v>
      </c>
      <c r="K34" s="34">
        <v>39539</v>
      </c>
      <c r="L34" s="34">
        <v>39569</v>
      </c>
      <c r="M34" s="34">
        <v>39600</v>
      </c>
      <c r="N34" s="56" t="s">
        <v>258</v>
      </c>
      <c r="O34" s="56" t="s">
        <v>197</v>
      </c>
      <c r="P34" s="56" t="s">
        <v>154</v>
      </c>
      <c r="Q34" s="2"/>
    </row>
    <row r="35" spans="1:17" ht="12.75" customHeight="1">
      <c r="A35" s="148" t="s">
        <v>58</v>
      </c>
      <c r="B35" s="149"/>
      <c r="C35" s="34"/>
      <c r="D35" s="34"/>
      <c r="E35" s="34"/>
      <c r="F35" s="34"/>
      <c r="G35" s="34"/>
      <c r="H35" s="34"/>
      <c r="I35" s="34"/>
      <c r="J35" s="34"/>
      <c r="K35" s="34"/>
      <c r="L35" s="34"/>
      <c r="M35" s="34"/>
      <c r="N35" s="48"/>
      <c r="O35" s="57"/>
      <c r="P35" s="57"/>
    </row>
    <row r="36" spans="1:17" ht="12.75" customHeight="1">
      <c r="A36" s="39" t="s">
        <v>89</v>
      </c>
      <c r="B36" s="88">
        <v>29</v>
      </c>
      <c r="C36" s="40">
        <v>7</v>
      </c>
      <c r="D36" s="40">
        <v>30</v>
      </c>
      <c r="E36" s="40">
        <v>98</v>
      </c>
      <c r="F36" s="40">
        <v>101</v>
      </c>
      <c r="G36" s="40">
        <v>45</v>
      </c>
      <c r="H36" s="40">
        <v>20</v>
      </c>
      <c r="I36" s="40">
        <v>67</v>
      </c>
      <c r="J36" s="40">
        <v>87</v>
      </c>
      <c r="K36" s="40">
        <v>91</v>
      </c>
      <c r="L36" s="40">
        <v>28</v>
      </c>
      <c r="M36" s="40">
        <v>41</v>
      </c>
      <c r="N36" s="41">
        <f>SUM(B36:M36)</f>
        <v>644</v>
      </c>
      <c r="O36" s="54"/>
      <c r="P36" s="55"/>
    </row>
    <row r="37" spans="1:17" ht="12.75" customHeight="1">
      <c r="A37" s="39" t="s">
        <v>328</v>
      </c>
      <c r="B37" s="40">
        <v>113</v>
      </c>
      <c r="C37" s="40">
        <v>23</v>
      </c>
      <c r="D37" s="40">
        <v>112</v>
      </c>
      <c r="E37" s="40">
        <v>258</v>
      </c>
      <c r="F37" s="40">
        <v>322</v>
      </c>
      <c r="G37" s="40">
        <v>217</v>
      </c>
      <c r="H37" s="40">
        <v>45</v>
      </c>
      <c r="I37" s="40">
        <v>203</v>
      </c>
      <c r="J37" s="40">
        <v>267</v>
      </c>
      <c r="K37" s="40">
        <v>267</v>
      </c>
      <c r="L37" s="40">
        <v>114</v>
      </c>
      <c r="M37" s="40">
        <v>171</v>
      </c>
      <c r="N37" s="41">
        <f>SUM(B37:M37)</f>
        <v>2112</v>
      </c>
      <c r="O37" s="54">
        <v>0</v>
      </c>
      <c r="P37" s="55" t="s">
        <v>34</v>
      </c>
    </row>
    <row r="38" spans="1:17" ht="12.75" customHeight="1">
      <c r="A38" s="2"/>
      <c r="B38" s="49"/>
      <c r="C38" s="49"/>
      <c r="D38" s="49"/>
      <c r="E38" s="49"/>
      <c r="F38" s="49"/>
      <c r="G38" s="49"/>
      <c r="H38" s="49"/>
      <c r="I38" s="49"/>
      <c r="J38" s="49"/>
      <c r="K38" s="49"/>
      <c r="L38" s="49"/>
      <c r="M38" s="49"/>
      <c r="N38" s="50"/>
      <c r="O38" s="55"/>
      <c r="P38" s="55"/>
    </row>
    <row r="39" spans="1:17" ht="12.75" customHeight="1">
      <c r="A39" s="5"/>
      <c r="B39" s="86"/>
      <c r="C39" s="86"/>
      <c r="D39" s="86"/>
      <c r="E39" s="86"/>
      <c r="F39" s="86"/>
      <c r="G39" s="86"/>
      <c r="H39" s="86"/>
      <c r="I39" s="86"/>
      <c r="J39" s="86"/>
      <c r="K39" s="86"/>
      <c r="L39" s="86"/>
      <c r="M39" s="86"/>
      <c r="N39" s="87"/>
      <c r="O39" s="89"/>
      <c r="P39" s="89"/>
    </row>
    <row r="40" spans="1:17" ht="25.5">
      <c r="A40" s="33"/>
      <c r="B40" s="34">
        <v>39264</v>
      </c>
      <c r="C40" s="34">
        <v>39295</v>
      </c>
      <c r="D40" s="34">
        <v>39326</v>
      </c>
      <c r="E40" s="34">
        <v>39356</v>
      </c>
      <c r="F40" s="34">
        <v>39387</v>
      </c>
      <c r="G40" s="34">
        <v>39417</v>
      </c>
      <c r="H40" s="34">
        <v>39448</v>
      </c>
      <c r="I40" s="34">
        <v>39479</v>
      </c>
      <c r="J40" s="34">
        <v>39508</v>
      </c>
      <c r="K40" s="34">
        <v>39539</v>
      </c>
      <c r="L40" s="34">
        <v>39569</v>
      </c>
      <c r="M40" s="34">
        <v>39600</v>
      </c>
      <c r="N40" s="56" t="s">
        <v>258</v>
      </c>
      <c r="O40" s="56" t="s">
        <v>197</v>
      </c>
      <c r="P40" s="56" t="s">
        <v>154</v>
      </c>
      <c r="Q40" s="2"/>
    </row>
    <row r="41" spans="1:17">
      <c r="A41" s="60" t="s">
        <v>21</v>
      </c>
      <c r="B41" s="48"/>
      <c r="C41" s="34"/>
      <c r="D41" s="34"/>
      <c r="E41" s="34"/>
      <c r="F41" s="34"/>
      <c r="G41" s="34"/>
      <c r="H41" s="34"/>
      <c r="I41" s="34"/>
      <c r="J41" s="34"/>
      <c r="K41" s="34"/>
      <c r="L41" s="34"/>
      <c r="M41" s="34"/>
      <c r="N41" s="48"/>
      <c r="O41" s="57"/>
      <c r="P41" s="57"/>
    </row>
    <row r="42" spans="1:17" ht="12.75" customHeight="1">
      <c r="A42" s="39" t="s">
        <v>89</v>
      </c>
      <c r="B42" s="40">
        <v>0</v>
      </c>
      <c r="C42" s="40">
        <v>0</v>
      </c>
      <c r="D42" s="40">
        <v>3</v>
      </c>
      <c r="E42" s="40">
        <v>38</v>
      </c>
      <c r="F42" s="40">
        <v>35</v>
      </c>
      <c r="G42" s="40">
        <v>52</v>
      </c>
      <c r="H42" s="40">
        <v>23</v>
      </c>
      <c r="I42" s="40">
        <v>168</v>
      </c>
      <c r="J42" s="40">
        <v>171</v>
      </c>
      <c r="K42" s="40">
        <v>133</v>
      </c>
      <c r="L42" s="40">
        <v>24</v>
      </c>
      <c r="M42" s="40">
        <v>18</v>
      </c>
      <c r="N42" s="41">
        <f>SUM(B42:M42)</f>
        <v>665</v>
      </c>
      <c r="O42" s="54"/>
      <c r="P42" s="55"/>
    </row>
    <row r="43" spans="1:17" ht="12.75" customHeight="1">
      <c r="A43" s="39" t="s">
        <v>328</v>
      </c>
      <c r="B43" s="40">
        <v>0</v>
      </c>
      <c r="C43" s="40">
        <v>0</v>
      </c>
      <c r="D43" s="40">
        <v>18</v>
      </c>
      <c r="E43" s="40">
        <v>128</v>
      </c>
      <c r="F43" s="40">
        <v>141</v>
      </c>
      <c r="G43" s="40">
        <v>203</v>
      </c>
      <c r="H43" s="40">
        <v>50</v>
      </c>
      <c r="I43" s="40">
        <v>575</v>
      </c>
      <c r="J43" s="40">
        <v>636</v>
      </c>
      <c r="K43" s="40">
        <v>457</v>
      </c>
      <c r="L43" s="40">
        <v>77</v>
      </c>
      <c r="M43" s="40">
        <v>49</v>
      </c>
      <c r="N43" s="41">
        <f>SUM(B43:M43)</f>
        <v>2334</v>
      </c>
      <c r="O43" s="54">
        <v>0</v>
      </c>
      <c r="P43" s="55" t="s">
        <v>34</v>
      </c>
    </row>
    <row r="44" spans="1:17" ht="12.75" customHeight="1">
      <c r="A44" s="2"/>
      <c r="B44" s="49"/>
      <c r="C44" s="49"/>
      <c r="D44" s="49"/>
      <c r="E44" s="49"/>
      <c r="F44" s="49"/>
      <c r="G44" s="49"/>
      <c r="H44" s="49"/>
      <c r="I44" s="49"/>
      <c r="J44" s="49"/>
      <c r="K44" s="49"/>
      <c r="L44" s="49"/>
      <c r="M44" s="49"/>
      <c r="N44" s="50"/>
      <c r="O44" s="55"/>
      <c r="P44" s="55"/>
    </row>
    <row r="45" spans="1:17" ht="12.75" customHeight="1">
      <c r="A45" s="5"/>
      <c r="B45" s="86"/>
      <c r="C45" s="86"/>
      <c r="D45" s="86"/>
      <c r="E45" s="86"/>
      <c r="F45" s="86"/>
      <c r="G45" s="86"/>
      <c r="H45" s="86"/>
      <c r="I45" s="86"/>
      <c r="J45" s="86"/>
      <c r="K45" s="86"/>
      <c r="L45" s="86"/>
      <c r="M45" s="86"/>
      <c r="N45" s="87"/>
      <c r="O45" s="89"/>
      <c r="P45" s="89"/>
    </row>
    <row r="46" spans="1:17" ht="25.5">
      <c r="A46" s="33"/>
      <c r="B46" s="34">
        <v>39264</v>
      </c>
      <c r="C46" s="34">
        <v>39295</v>
      </c>
      <c r="D46" s="34">
        <v>39326</v>
      </c>
      <c r="E46" s="34">
        <v>39356</v>
      </c>
      <c r="F46" s="34">
        <v>39387</v>
      </c>
      <c r="G46" s="34">
        <v>39417</v>
      </c>
      <c r="H46" s="34">
        <v>39448</v>
      </c>
      <c r="I46" s="34">
        <v>39479</v>
      </c>
      <c r="J46" s="34">
        <v>39508</v>
      </c>
      <c r="K46" s="34">
        <v>39539</v>
      </c>
      <c r="L46" s="34">
        <v>39569</v>
      </c>
      <c r="M46" s="34">
        <v>39600</v>
      </c>
      <c r="N46" s="56" t="s">
        <v>258</v>
      </c>
      <c r="O46" s="56" t="s">
        <v>197</v>
      </c>
      <c r="P46" s="56" t="s">
        <v>154</v>
      </c>
      <c r="Q46" s="2"/>
    </row>
    <row r="47" spans="1:17" ht="12.75" customHeight="1">
      <c r="A47" s="36" t="s">
        <v>74</v>
      </c>
      <c r="B47" s="34"/>
      <c r="C47" s="34"/>
      <c r="D47" s="34"/>
      <c r="E47" s="34"/>
      <c r="F47" s="34"/>
      <c r="G47" s="34"/>
      <c r="H47" s="34"/>
      <c r="I47" s="34"/>
      <c r="J47" s="34"/>
      <c r="K47" s="34"/>
      <c r="L47" s="34"/>
      <c r="M47" s="34"/>
      <c r="N47" s="48"/>
      <c r="O47" s="57"/>
      <c r="P47" s="57"/>
    </row>
    <row r="48" spans="1:17" ht="12.75" customHeight="1">
      <c r="A48" s="39" t="s">
        <v>89</v>
      </c>
      <c r="B48" s="40">
        <v>32</v>
      </c>
      <c r="C48" s="40">
        <v>18</v>
      </c>
      <c r="D48" s="40">
        <v>32</v>
      </c>
      <c r="E48" s="40">
        <v>81</v>
      </c>
      <c r="F48" s="40">
        <v>79</v>
      </c>
      <c r="G48" s="40">
        <v>42</v>
      </c>
      <c r="H48" s="40">
        <v>29</v>
      </c>
      <c r="I48" s="40">
        <v>87</v>
      </c>
      <c r="J48" s="40">
        <v>103</v>
      </c>
      <c r="K48" s="40">
        <v>107</v>
      </c>
      <c r="L48" s="40">
        <v>29</v>
      </c>
      <c r="M48" s="40">
        <v>55</v>
      </c>
      <c r="N48" s="41">
        <f>SUM(B48:M48)</f>
        <v>694</v>
      </c>
      <c r="O48" s="54"/>
      <c r="P48" s="55"/>
    </row>
    <row r="49" spans="1:17" ht="12.75" customHeight="1">
      <c r="A49" s="39" t="s">
        <v>328</v>
      </c>
      <c r="B49" s="40">
        <v>116</v>
      </c>
      <c r="C49" s="40">
        <v>42</v>
      </c>
      <c r="D49" s="40">
        <v>130</v>
      </c>
      <c r="E49" s="40">
        <v>397</v>
      </c>
      <c r="F49" s="40">
        <v>265</v>
      </c>
      <c r="G49" s="40">
        <v>114</v>
      </c>
      <c r="H49" s="40">
        <v>69</v>
      </c>
      <c r="I49" s="40">
        <v>330</v>
      </c>
      <c r="J49" s="40">
        <v>322</v>
      </c>
      <c r="K49" s="40">
        <v>328</v>
      </c>
      <c r="L49" s="40">
        <v>89</v>
      </c>
      <c r="M49" s="40">
        <v>278</v>
      </c>
      <c r="N49" s="41">
        <f>SUM(B49:M49)</f>
        <v>2480</v>
      </c>
      <c r="O49" s="54">
        <v>28450</v>
      </c>
      <c r="P49" s="55">
        <f>O49/N49</f>
        <v>11.471774193548388</v>
      </c>
    </row>
    <row r="50" spans="1:17" ht="12.75" customHeight="1">
      <c r="A50" s="2"/>
      <c r="B50" s="49"/>
      <c r="C50" s="49"/>
      <c r="D50" s="49"/>
      <c r="E50" s="49"/>
      <c r="F50" s="49"/>
      <c r="G50" s="49"/>
      <c r="H50" s="49"/>
      <c r="I50" s="49"/>
      <c r="J50" s="49"/>
      <c r="K50" s="49"/>
      <c r="L50" s="49"/>
      <c r="M50" s="49"/>
      <c r="N50" s="50"/>
      <c r="O50" s="55"/>
      <c r="P50" s="55"/>
    </row>
    <row r="51" spans="1:17" ht="12.75" customHeight="1">
      <c r="A51" s="5"/>
      <c r="B51" s="86"/>
      <c r="C51" s="86"/>
      <c r="D51" s="86"/>
      <c r="E51" s="86"/>
      <c r="F51" s="86"/>
      <c r="G51" s="86"/>
      <c r="H51" s="86"/>
      <c r="I51" s="86"/>
      <c r="J51" s="86"/>
      <c r="K51" s="86"/>
      <c r="L51" s="86"/>
      <c r="M51" s="86"/>
      <c r="N51" s="87"/>
      <c r="O51" s="89"/>
      <c r="P51" s="89"/>
    </row>
    <row r="52" spans="1:17" ht="25.5">
      <c r="A52" s="33"/>
      <c r="B52" s="34">
        <v>39264</v>
      </c>
      <c r="C52" s="34">
        <v>39295</v>
      </c>
      <c r="D52" s="34">
        <v>39326</v>
      </c>
      <c r="E52" s="34">
        <v>39356</v>
      </c>
      <c r="F52" s="34">
        <v>39387</v>
      </c>
      <c r="G52" s="34">
        <v>39417</v>
      </c>
      <c r="H52" s="34">
        <v>39448</v>
      </c>
      <c r="I52" s="34">
        <v>39479</v>
      </c>
      <c r="J52" s="34">
        <v>39508</v>
      </c>
      <c r="K52" s="34">
        <v>39539</v>
      </c>
      <c r="L52" s="34">
        <v>39569</v>
      </c>
      <c r="M52" s="34">
        <v>39600</v>
      </c>
      <c r="N52" s="56" t="s">
        <v>258</v>
      </c>
      <c r="O52" s="56" t="s">
        <v>197</v>
      </c>
      <c r="P52" s="56" t="s">
        <v>154</v>
      </c>
    </row>
    <row r="53" spans="1:17" ht="12.75" customHeight="1">
      <c r="A53" s="148" t="s">
        <v>83</v>
      </c>
      <c r="B53" s="149"/>
      <c r="C53" s="149"/>
      <c r="D53" s="149"/>
      <c r="E53" s="34"/>
      <c r="F53" s="34"/>
      <c r="G53" s="34"/>
      <c r="H53" s="34"/>
      <c r="I53" s="34"/>
      <c r="J53" s="34"/>
      <c r="K53" s="34"/>
      <c r="L53" s="34"/>
      <c r="M53" s="34"/>
      <c r="N53" s="37"/>
      <c r="O53" s="57"/>
      <c r="P53" s="57"/>
    </row>
    <row r="54" spans="1:17" ht="12.75" customHeight="1">
      <c r="A54" s="39" t="s">
        <v>89</v>
      </c>
      <c r="B54" s="97">
        <v>238</v>
      </c>
      <c r="C54" s="97">
        <v>54</v>
      </c>
      <c r="D54" s="97">
        <v>374</v>
      </c>
      <c r="E54" s="98">
        <v>651</v>
      </c>
      <c r="F54" s="98">
        <v>498</v>
      </c>
      <c r="G54" s="98">
        <v>281</v>
      </c>
      <c r="H54" s="58">
        <v>158</v>
      </c>
      <c r="I54" s="58">
        <v>795</v>
      </c>
      <c r="J54" s="40">
        <v>949</v>
      </c>
      <c r="K54" s="40">
        <v>750</v>
      </c>
      <c r="L54" s="40">
        <v>263</v>
      </c>
      <c r="M54" s="40">
        <v>562</v>
      </c>
      <c r="N54" s="41">
        <f>SUM(B54:M54)</f>
        <v>5573</v>
      </c>
      <c r="O54" s="54"/>
      <c r="P54" s="55"/>
    </row>
    <row r="55" spans="1:17" ht="12.75" customHeight="1">
      <c r="A55" s="39" t="s">
        <v>328</v>
      </c>
      <c r="B55" s="98">
        <v>872</v>
      </c>
      <c r="C55" s="98">
        <v>196</v>
      </c>
      <c r="D55" s="98">
        <v>1464</v>
      </c>
      <c r="E55" s="98">
        <v>2129</v>
      </c>
      <c r="F55" s="98">
        <v>1496</v>
      </c>
      <c r="G55" s="98">
        <v>894</v>
      </c>
      <c r="H55" s="58">
        <v>420</v>
      </c>
      <c r="I55" s="58">
        <v>2692</v>
      </c>
      <c r="J55" s="40">
        <v>3668</v>
      </c>
      <c r="K55" s="40">
        <v>2605</v>
      </c>
      <c r="L55" s="40">
        <v>879</v>
      </c>
      <c r="M55" s="40">
        <v>2205</v>
      </c>
      <c r="N55" s="41">
        <f>SUM(B55:M55)</f>
        <v>19520</v>
      </c>
      <c r="O55" s="54">
        <v>2594</v>
      </c>
      <c r="P55" s="55" t="s">
        <v>34</v>
      </c>
    </row>
    <row r="56" spans="1:17" ht="12.75" customHeight="1">
      <c r="A56" s="2"/>
      <c r="B56" s="49"/>
      <c r="C56" s="49"/>
      <c r="D56" s="49"/>
      <c r="E56" s="49"/>
      <c r="F56" s="49"/>
      <c r="G56" s="49"/>
      <c r="H56" s="49"/>
      <c r="I56" s="49"/>
      <c r="J56" s="49"/>
      <c r="K56" s="49"/>
      <c r="L56" s="49"/>
      <c r="M56" s="49"/>
      <c r="N56" s="50"/>
      <c r="O56" s="55"/>
      <c r="P56" s="55"/>
    </row>
    <row r="57" spans="1:17" ht="12.75" customHeight="1">
      <c r="A57" s="5"/>
      <c r="B57" s="86"/>
      <c r="C57" s="86"/>
      <c r="D57" s="86"/>
      <c r="E57" s="86"/>
      <c r="F57" s="86"/>
      <c r="G57" s="86"/>
      <c r="H57" s="86"/>
      <c r="I57" s="86"/>
      <c r="J57" s="86"/>
      <c r="K57" s="86"/>
      <c r="L57" s="86"/>
      <c r="M57" s="86"/>
      <c r="N57" s="87"/>
      <c r="O57" s="89"/>
      <c r="P57" s="89"/>
    </row>
    <row r="58" spans="1:17" ht="25.5">
      <c r="A58" s="33"/>
      <c r="B58" s="34">
        <v>39264</v>
      </c>
      <c r="C58" s="34">
        <v>39295</v>
      </c>
      <c r="D58" s="34">
        <v>39326</v>
      </c>
      <c r="E58" s="34">
        <v>39356</v>
      </c>
      <c r="F58" s="34">
        <v>39387</v>
      </c>
      <c r="G58" s="34">
        <v>39417</v>
      </c>
      <c r="H58" s="34">
        <v>39448</v>
      </c>
      <c r="I58" s="34">
        <v>39479</v>
      </c>
      <c r="J58" s="34">
        <v>39508</v>
      </c>
      <c r="K58" s="34">
        <v>39539</v>
      </c>
      <c r="L58" s="34">
        <v>39569</v>
      </c>
      <c r="M58" s="34">
        <v>39600</v>
      </c>
      <c r="N58" s="56" t="s">
        <v>258</v>
      </c>
      <c r="O58" s="56" t="s">
        <v>197</v>
      </c>
      <c r="P58" s="56" t="s">
        <v>154</v>
      </c>
      <c r="Q58" s="2"/>
    </row>
    <row r="59" spans="1:17" ht="12.75" customHeight="1">
      <c r="A59" s="36" t="s">
        <v>119</v>
      </c>
      <c r="B59" s="34"/>
      <c r="C59" s="34"/>
      <c r="D59" s="34"/>
      <c r="E59" s="34"/>
      <c r="F59" s="34"/>
      <c r="G59" s="34"/>
      <c r="H59" s="34"/>
      <c r="I59" s="34"/>
      <c r="J59" s="34"/>
      <c r="K59" s="34"/>
      <c r="L59" s="34"/>
      <c r="M59" s="34"/>
      <c r="N59" s="48"/>
      <c r="O59" s="57"/>
      <c r="P59" s="57"/>
    </row>
    <row r="60" spans="1:17" ht="12.75" customHeight="1">
      <c r="A60" s="39" t="s">
        <v>89</v>
      </c>
      <c r="B60" s="40">
        <v>46</v>
      </c>
      <c r="C60" s="40">
        <v>8</v>
      </c>
      <c r="D60" s="40">
        <v>51</v>
      </c>
      <c r="E60" s="40">
        <v>124</v>
      </c>
      <c r="F60" s="40">
        <v>110</v>
      </c>
      <c r="G60" s="40">
        <v>60</v>
      </c>
      <c r="H60" s="40">
        <v>28</v>
      </c>
      <c r="I60" s="40">
        <v>78</v>
      </c>
      <c r="J60" s="40">
        <v>120</v>
      </c>
      <c r="K60" s="40">
        <v>114</v>
      </c>
      <c r="L60" s="40">
        <v>24</v>
      </c>
      <c r="M60" s="40">
        <v>25</v>
      </c>
      <c r="N60" s="41">
        <f>SUM(B60:M60)</f>
        <v>788</v>
      </c>
      <c r="O60" s="54"/>
      <c r="P60" s="55"/>
    </row>
    <row r="61" spans="1:17" ht="12.75" customHeight="1">
      <c r="A61" s="39" t="s">
        <v>328</v>
      </c>
      <c r="B61" s="40">
        <v>243</v>
      </c>
      <c r="C61" s="40">
        <v>16</v>
      </c>
      <c r="D61" s="40">
        <v>125</v>
      </c>
      <c r="E61" s="40">
        <v>340</v>
      </c>
      <c r="F61" s="40">
        <v>306</v>
      </c>
      <c r="G61" s="40">
        <v>173</v>
      </c>
      <c r="H61" s="40">
        <v>59</v>
      </c>
      <c r="I61" s="40">
        <v>149</v>
      </c>
      <c r="J61" s="40">
        <v>357</v>
      </c>
      <c r="K61" s="40">
        <v>322</v>
      </c>
      <c r="L61" s="40">
        <v>63</v>
      </c>
      <c r="M61" s="40">
        <v>161</v>
      </c>
      <c r="N61" s="41">
        <f>SUM(B61:M61)</f>
        <v>2314</v>
      </c>
      <c r="O61" s="54">
        <v>0</v>
      </c>
      <c r="P61" s="55" t="s">
        <v>34</v>
      </c>
    </row>
    <row r="62" spans="1:17" ht="12.75" customHeight="1">
      <c r="A62" s="2"/>
      <c r="B62" s="49"/>
      <c r="C62" s="49"/>
      <c r="D62" s="49"/>
      <c r="E62" s="49"/>
      <c r="F62" s="49"/>
      <c r="G62" s="49"/>
      <c r="H62" s="49"/>
      <c r="I62" s="49"/>
      <c r="J62" s="49"/>
      <c r="K62" s="49"/>
      <c r="L62" s="49"/>
      <c r="M62" s="49"/>
      <c r="N62" s="50"/>
      <c r="O62" s="55"/>
      <c r="P62" s="55"/>
    </row>
    <row r="63" spans="1:17" ht="12.75" customHeight="1">
      <c r="A63" s="5"/>
      <c r="B63" s="86"/>
      <c r="C63" s="86"/>
      <c r="D63" s="86"/>
      <c r="E63" s="86"/>
      <c r="F63" s="86"/>
      <c r="G63" s="86"/>
      <c r="H63" s="86"/>
      <c r="I63" s="86"/>
      <c r="J63" s="86"/>
      <c r="K63" s="86"/>
      <c r="L63" s="86"/>
      <c r="M63" s="86"/>
      <c r="N63" s="87"/>
      <c r="O63" s="89"/>
      <c r="P63" s="89"/>
    </row>
    <row r="64" spans="1:17" ht="25.5">
      <c r="A64" s="33"/>
      <c r="B64" s="34">
        <v>39264</v>
      </c>
      <c r="C64" s="34">
        <v>39295</v>
      </c>
      <c r="D64" s="34">
        <v>39326</v>
      </c>
      <c r="E64" s="34">
        <v>39356</v>
      </c>
      <c r="F64" s="34">
        <v>39387</v>
      </c>
      <c r="G64" s="34">
        <v>39417</v>
      </c>
      <c r="H64" s="34">
        <v>39448</v>
      </c>
      <c r="I64" s="34">
        <v>39479</v>
      </c>
      <c r="J64" s="34">
        <v>39508</v>
      </c>
      <c r="K64" s="34">
        <v>39539</v>
      </c>
      <c r="L64" s="34">
        <v>39569</v>
      </c>
      <c r="M64" s="34">
        <v>39600</v>
      </c>
      <c r="N64" s="56" t="s">
        <v>258</v>
      </c>
      <c r="O64" s="56" t="s">
        <v>197</v>
      </c>
      <c r="P64" s="56" t="s">
        <v>154</v>
      </c>
      <c r="Q64" s="2"/>
    </row>
    <row r="65" spans="1:17" ht="12.75" customHeight="1">
      <c r="A65" s="36" t="s">
        <v>267</v>
      </c>
      <c r="B65" s="34"/>
      <c r="C65" s="34"/>
      <c r="D65" s="34"/>
      <c r="E65" s="34"/>
      <c r="F65" s="34"/>
      <c r="G65" s="34"/>
      <c r="H65" s="34"/>
      <c r="I65" s="34"/>
      <c r="J65" s="34"/>
      <c r="K65" s="34"/>
      <c r="L65" s="34"/>
      <c r="M65" s="34"/>
      <c r="N65" s="48"/>
      <c r="O65" s="57"/>
      <c r="P65" s="57"/>
    </row>
    <row r="66" spans="1:17" ht="12.75" customHeight="1">
      <c r="A66" s="39" t="s">
        <v>89</v>
      </c>
      <c r="B66" s="40">
        <v>29</v>
      </c>
      <c r="C66" s="40">
        <v>5</v>
      </c>
      <c r="D66" s="40">
        <v>33</v>
      </c>
      <c r="E66" s="40">
        <v>115</v>
      </c>
      <c r="F66" s="40">
        <v>193</v>
      </c>
      <c r="G66" s="40">
        <v>64</v>
      </c>
      <c r="H66" s="40">
        <v>43</v>
      </c>
      <c r="I66" s="40">
        <v>73</v>
      </c>
      <c r="J66" s="40">
        <v>114</v>
      </c>
      <c r="K66" s="40">
        <v>161</v>
      </c>
      <c r="L66" s="40">
        <v>32</v>
      </c>
      <c r="M66" s="40">
        <v>45</v>
      </c>
      <c r="N66" s="41">
        <f>SUM(B66:M66)</f>
        <v>907</v>
      </c>
      <c r="O66" s="54"/>
      <c r="P66" s="55"/>
    </row>
    <row r="67" spans="1:17" ht="12.75" customHeight="1">
      <c r="A67" s="39" t="s">
        <v>328</v>
      </c>
      <c r="B67" s="40">
        <v>111</v>
      </c>
      <c r="C67" s="40">
        <v>17</v>
      </c>
      <c r="D67" s="40">
        <v>105</v>
      </c>
      <c r="E67" s="40">
        <v>325</v>
      </c>
      <c r="F67" s="40">
        <v>403</v>
      </c>
      <c r="G67" s="40">
        <v>122</v>
      </c>
      <c r="H67" s="40">
        <v>69</v>
      </c>
      <c r="I67" s="40">
        <v>198</v>
      </c>
      <c r="J67" s="40">
        <v>271</v>
      </c>
      <c r="K67" s="40">
        <v>404</v>
      </c>
      <c r="L67" s="40">
        <v>60</v>
      </c>
      <c r="M67" s="40">
        <v>68</v>
      </c>
      <c r="N67" s="41">
        <f>SUM(B67:M67)</f>
        <v>2153</v>
      </c>
      <c r="O67" s="54">
        <v>0</v>
      </c>
      <c r="P67" s="55" t="s">
        <v>34</v>
      </c>
    </row>
    <row r="68" spans="1:17" ht="12.75" customHeight="1">
      <c r="A68" s="2"/>
      <c r="B68" s="49"/>
      <c r="C68" s="49"/>
      <c r="D68" s="49"/>
      <c r="E68" s="49"/>
      <c r="F68" s="49"/>
      <c r="G68" s="49"/>
      <c r="H68" s="49"/>
      <c r="I68" s="49"/>
      <c r="J68" s="49"/>
      <c r="K68" s="49"/>
      <c r="L68" s="49"/>
      <c r="M68" s="49"/>
      <c r="N68" s="50"/>
      <c r="O68" s="55"/>
      <c r="P68" s="55"/>
    </row>
    <row r="69" spans="1:17" ht="12.75" customHeight="1">
      <c r="A69" s="5"/>
      <c r="B69" s="86"/>
      <c r="C69" s="86"/>
      <c r="D69" s="86"/>
      <c r="E69" s="86"/>
      <c r="F69" s="86"/>
      <c r="G69" s="86"/>
      <c r="H69" s="86"/>
      <c r="I69" s="86"/>
      <c r="J69" s="86"/>
      <c r="K69" s="86"/>
      <c r="L69" s="86"/>
      <c r="M69" s="86"/>
      <c r="N69" s="87"/>
      <c r="O69" s="89"/>
      <c r="P69" s="89"/>
    </row>
    <row r="70" spans="1:17" ht="25.5">
      <c r="A70" s="33"/>
      <c r="B70" s="34">
        <v>39264</v>
      </c>
      <c r="C70" s="34">
        <v>39295</v>
      </c>
      <c r="D70" s="34">
        <v>39326</v>
      </c>
      <c r="E70" s="34">
        <v>39356</v>
      </c>
      <c r="F70" s="34">
        <v>39387</v>
      </c>
      <c r="G70" s="34">
        <v>39417</v>
      </c>
      <c r="H70" s="34">
        <v>39448</v>
      </c>
      <c r="I70" s="34">
        <v>39479</v>
      </c>
      <c r="J70" s="34">
        <v>39508</v>
      </c>
      <c r="K70" s="34">
        <v>39539</v>
      </c>
      <c r="L70" s="34">
        <v>39569</v>
      </c>
      <c r="M70" s="34">
        <v>39600</v>
      </c>
      <c r="N70" s="56" t="s">
        <v>258</v>
      </c>
      <c r="O70" s="56" t="s">
        <v>197</v>
      </c>
      <c r="P70" s="56" t="s">
        <v>154</v>
      </c>
      <c r="Q70" s="2"/>
    </row>
    <row r="71" spans="1:17" ht="12.75" customHeight="1">
      <c r="A71" s="36" t="s">
        <v>138</v>
      </c>
      <c r="B71" s="34"/>
      <c r="C71" s="34"/>
      <c r="D71" s="34"/>
      <c r="E71" s="34"/>
      <c r="F71" s="34"/>
      <c r="G71" s="34"/>
      <c r="H71" s="34"/>
      <c r="I71" s="34"/>
      <c r="J71" s="34"/>
      <c r="K71" s="34"/>
      <c r="L71" s="34"/>
      <c r="M71" s="34"/>
      <c r="N71" s="48"/>
      <c r="O71" s="57"/>
      <c r="P71" s="57"/>
    </row>
    <row r="72" spans="1:17" ht="12.75" customHeight="1">
      <c r="A72" s="39" t="s">
        <v>89</v>
      </c>
      <c r="B72" s="40">
        <v>33</v>
      </c>
      <c r="C72" s="40">
        <v>7</v>
      </c>
      <c r="D72" s="40">
        <v>36</v>
      </c>
      <c r="E72" s="40">
        <v>111</v>
      </c>
      <c r="F72" s="40">
        <v>112</v>
      </c>
      <c r="G72" s="40">
        <v>36</v>
      </c>
      <c r="H72" s="40">
        <v>22</v>
      </c>
      <c r="I72" s="40">
        <v>75</v>
      </c>
      <c r="J72" s="40">
        <v>144</v>
      </c>
      <c r="K72" s="40">
        <v>145</v>
      </c>
      <c r="L72" s="40">
        <v>14</v>
      </c>
      <c r="M72" s="40">
        <v>26</v>
      </c>
      <c r="N72" s="41">
        <f>SUM(B72:M72)</f>
        <v>761</v>
      </c>
      <c r="O72" s="54"/>
      <c r="P72" s="55"/>
    </row>
    <row r="73" spans="1:17" ht="12.75" customHeight="1">
      <c r="A73" s="39" t="s">
        <v>328</v>
      </c>
      <c r="B73" s="40">
        <v>181</v>
      </c>
      <c r="C73" s="40">
        <v>17</v>
      </c>
      <c r="D73" s="40">
        <v>196</v>
      </c>
      <c r="E73" s="40">
        <v>498</v>
      </c>
      <c r="F73" s="40">
        <v>378</v>
      </c>
      <c r="G73" s="40">
        <v>130</v>
      </c>
      <c r="H73" s="40">
        <v>61</v>
      </c>
      <c r="I73" s="40">
        <v>234</v>
      </c>
      <c r="J73" s="40">
        <v>702</v>
      </c>
      <c r="K73" s="40">
        <v>615</v>
      </c>
      <c r="L73" s="40">
        <v>49</v>
      </c>
      <c r="M73" s="40">
        <v>62</v>
      </c>
      <c r="N73" s="41">
        <f>SUM(B73:M73)</f>
        <v>3123</v>
      </c>
      <c r="O73" s="54">
        <v>0</v>
      </c>
      <c r="P73" s="55" t="s">
        <v>34</v>
      </c>
    </row>
    <row r="74" spans="1:17" ht="12.75" customHeight="1">
      <c r="A74" s="2"/>
      <c r="B74" s="49"/>
      <c r="C74" s="49"/>
      <c r="D74" s="49"/>
      <c r="E74" s="49"/>
      <c r="F74" s="49"/>
      <c r="G74" s="49"/>
      <c r="H74" s="49"/>
      <c r="I74" s="49"/>
      <c r="J74" s="49"/>
      <c r="K74" s="49"/>
      <c r="L74" s="49"/>
      <c r="M74" s="49"/>
      <c r="N74" s="50"/>
      <c r="O74" s="55"/>
      <c r="P74" s="55"/>
    </row>
    <row r="75" spans="1:17" ht="12.75" customHeight="1">
      <c r="A75" s="5"/>
      <c r="B75" s="86"/>
      <c r="C75" s="86"/>
      <c r="D75" s="86"/>
      <c r="E75" s="86"/>
      <c r="F75" s="86"/>
      <c r="G75" s="86"/>
      <c r="H75" s="86"/>
      <c r="I75" s="86"/>
      <c r="J75" s="86"/>
      <c r="K75" s="86"/>
      <c r="L75" s="86"/>
      <c r="M75" s="86"/>
      <c r="N75" s="87"/>
      <c r="O75" s="89"/>
      <c r="P75" s="89"/>
    </row>
    <row r="76" spans="1:17" ht="25.5">
      <c r="A76" s="33"/>
      <c r="B76" s="34">
        <v>39264</v>
      </c>
      <c r="C76" s="34">
        <v>39295</v>
      </c>
      <c r="D76" s="34">
        <v>39326</v>
      </c>
      <c r="E76" s="34">
        <v>39356</v>
      </c>
      <c r="F76" s="34">
        <v>39387</v>
      </c>
      <c r="G76" s="34">
        <v>39417</v>
      </c>
      <c r="H76" s="34">
        <v>39448</v>
      </c>
      <c r="I76" s="34">
        <v>39479</v>
      </c>
      <c r="J76" s="34">
        <v>39508</v>
      </c>
      <c r="K76" s="34">
        <v>39539</v>
      </c>
      <c r="L76" s="34">
        <v>39569</v>
      </c>
      <c r="M76" s="34">
        <v>39600</v>
      </c>
      <c r="N76" s="56" t="s">
        <v>258</v>
      </c>
      <c r="O76" s="56" t="s">
        <v>197</v>
      </c>
      <c r="P76" s="56" t="s">
        <v>154</v>
      </c>
      <c r="Q76" s="2"/>
    </row>
    <row r="77" spans="1:17" ht="12.75" customHeight="1">
      <c r="A77" s="36" t="s">
        <v>164</v>
      </c>
      <c r="B77" s="34"/>
      <c r="C77" s="34"/>
      <c r="D77" s="34"/>
      <c r="E77" s="34"/>
      <c r="F77" s="34"/>
      <c r="G77" s="34"/>
      <c r="H77" s="34"/>
      <c r="I77" s="34"/>
      <c r="J77" s="34"/>
      <c r="K77" s="34"/>
      <c r="L77" s="34"/>
      <c r="M77" s="34"/>
      <c r="N77" s="48"/>
      <c r="O77" s="57"/>
      <c r="P77" s="57"/>
    </row>
    <row r="78" spans="1:17" ht="12.75" customHeight="1">
      <c r="A78" s="39" t="s">
        <v>89</v>
      </c>
      <c r="B78" s="40">
        <v>55</v>
      </c>
      <c r="C78" s="40">
        <v>11</v>
      </c>
      <c r="D78" s="40">
        <v>39</v>
      </c>
      <c r="E78" s="40">
        <v>140</v>
      </c>
      <c r="F78" s="40">
        <v>97</v>
      </c>
      <c r="G78" s="40">
        <v>29</v>
      </c>
      <c r="H78" s="40">
        <v>26</v>
      </c>
      <c r="I78" s="40">
        <v>81</v>
      </c>
      <c r="J78" s="40">
        <v>149</v>
      </c>
      <c r="K78" s="40">
        <v>140</v>
      </c>
      <c r="L78" s="40">
        <v>34</v>
      </c>
      <c r="M78" s="40">
        <v>36</v>
      </c>
      <c r="N78" s="41">
        <f>SUM(B78:M78)</f>
        <v>837</v>
      </c>
      <c r="O78" s="9"/>
      <c r="P78" s="55"/>
    </row>
    <row r="79" spans="1:17" ht="12.75" customHeight="1">
      <c r="A79" s="39" t="s">
        <v>328</v>
      </c>
      <c r="B79" s="40">
        <v>233</v>
      </c>
      <c r="C79" s="40">
        <v>21</v>
      </c>
      <c r="D79" s="40">
        <v>127</v>
      </c>
      <c r="E79" s="40">
        <v>582</v>
      </c>
      <c r="F79" s="40">
        <v>383</v>
      </c>
      <c r="G79" s="40">
        <v>102</v>
      </c>
      <c r="H79" s="40">
        <v>59</v>
      </c>
      <c r="I79" s="40">
        <v>234</v>
      </c>
      <c r="J79" s="40">
        <v>527</v>
      </c>
      <c r="K79" s="40">
        <v>530</v>
      </c>
      <c r="L79" s="40">
        <v>111</v>
      </c>
      <c r="M79" s="40">
        <v>242</v>
      </c>
      <c r="N79" s="41">
        <f>SUM(B79:M79)</f>
        <v>3151</v>
      </c>
      <c r="O79" s="54">
        <v>0</v>
      </c>
      <c r="P79" s="55" t="s">
        <v>34</v>
      </c>
    </row>
    <row r="80" spans="1:17" ht="12.75" customHeight="1">
      <c r="A80" s="2"/>
      <c r="B80" s="49"/>
      <c r="C80" s="49"/>
      <c r="D80" s="49"/>
      <c r="E80" s="49"/>
      <c r="F80" s="49"/>
      <c r="G80" s="49"/>
      <c r="H80" s="49"/>
      <c r="I80" s="49"/>
      <c r="J80" s="49"/>
      <c r="K80" s="49"/>
      <c r="L80" s="49"/>
      <c r="M80" s="49"/>
      <c r="N80" s="50"/>
      <c r="O80" s="55"/>
      <c r="P80" s="55"/>
    </row>
    <row r="81" spans="1:17" ht="12.75" customHeight="1">
      <c r="A81" s="5"/>
      <c r="B81" s="86"/>
      <c r="C81" s="86"/>
      <c r="D81" s="86"/>
      <c r="E81" s="86"/>
      <c r="F81" s="86"/>
      <c r="G81" s="86"/>
      <c r="H81" s="86"/>
      <c r="I81" s="86"/>
      <c r="J81" s="86"/>
      <c r="K81" s="86"/>
      <c r="L81" s="86"/>
      <c r="M81" s="86"/>
      <c r="N81" s="87"/>
      <c r="O81" s="89"/>
      <c r="P81" s="89"/>
    </row>
    <row r="82" spans="1:17" ht="25.5">
      <c r="A82" s="33"/>
      <c r="B82" s="34">
        <v>39264</v>
      </c>
      <c r="C82" s="34">
        <v>39295</v>
      </c>
      <c r="D82" s="34">
        <v>39326</v>
      </c>
      <c r="E82" s="34">
        <v>39356</v>
      </c>
      <c r="F82" s="34">
        <v>39387</v>
      </c>
      <c r="G82" s="34">
        <v>39417</v>
      </c>
      <c r="H82" s="34">
        <v>39448</v>
      </c>
      <c r="I82" s="34">
        <v>39479</v>
      </c>
      <c r="J82" s="34">
        <v>39508</v>
      </c>
      <c r="K82" s="34">
        <v>39539</v>
      </c>
      <c r="L82" s="34">
        <v>39569</v>
      </c>
      <c r="M82" s="34">
        <v>39600</v>
      </c>
      <c r="N82" s="56" t="s">
        <v>258</v>
      </c>
      <c r="O82" s="56" t="s">
        <v>197</v>
      </c>
      <c r="P82" s="56" t="s">
        <v>154</v>
      </c>
    </row>
    <row r="83" spans="1:17" ht="12.75" customHeight="1">
      <c r="A83" s="36" t="s">
        <v>212</v>
      </c>
      <c r="B83" s="34"/>
      <c r="C83" s="34"/>
      <c r="D83" s="34"/>
      <c r="E83" s="34"/>
      <c r="F83" s="34"/>
      <c r="G83" s="34"/>
      <c r="H83" s="34"/>
      <c r="I83" s="34"/>
      <c r="J83" s="34"/>
      <c r="K83" s="34"/>
      <c r="L83" s="34"/>
      <c r="M83" s="34"/>
      <c r="N83" s="48"/>
      <c r="O83" s="57"/>
      <c r="P83" s="57"/>
    </row>
    <row r="84" spans="1:17" ht="12.75" customHeight="1">
      <c r="A84" s="39" t="s">
        <v>89</v>
      </c>
      <c r="B84" s="40">
        <v>0</v>
      </c>
      <c r="C84" s="40">
        <v>0</v>
      </c>
      <c r="D84" s="40">
        <v>0</v>
      </c>
      <c r="E84" s="40">
        <v>0</v>
      </c>
      <c r="F84" s="40">
        <v>36</v>
      </c>
      <c r="G84" s="40">
        <v>43</v>
      </c>
      <c r="H84" s="40">
        <v>24</v>
      </c>
      <c r="I84" s="40">
        <v>69</v>
      </c>
      <c r="J84" s="40">
        <v>81</v>
      </c>
      <c r="K84" s="40">
        <v>85</v>
      </c>
      <c r="L84" s="40">
        <v>24</v>
      </c>
      <c r="M84" s="40">
        <v>68</v>
      </c>
      <c r="N84" s="41">
        <f>SUM(B84:M84)</f>
        <v>430</v>
      </c>
      <c r="O84" s="9"/>
      <c r="P84" s="55"/>
    </row>
    <row r="85" spans="1:17" ht="12.75" customHeight="1">
      <c r="A85" s="39" t="s">
        <v>328</v>
      </c>
      <c r="B85" s="40">
        <v>0</v>
      </c>
      <c r="C85" s="40">
        <v>0</v>
      </c>
      <c r="D85" s="40">
        <v>0</v>
      </c>
      <c r="E85" s="40">
        <v>0</v>
      </c>
      <c r="F85" s="40">
        <v>117</v>
      </c>
      <c r="G85" s="40">
        <v>150</v>
      </c>
      <c r="H85" s="40">
        <v>63</v>
      </c>
      <c r="I85" s="40">
        <v>201</v>
      </c>
      <c r="J85" s="40">
        <v>305</v>
      </c>
      <c r="K85" s="40">
        <v>315</v>
      </c>
      <c r="L85" s="40">
        <v>91</v>
      </c>
      <c r="M85" s="40">
        <v>621</v>
      </c>
      <c r="N85" s="41">
        <f>SUM(B85:M85)</f>
        <v>1863</v>
      </c>
      <c r="O85" s="54">
        <v>0</v>
      </c>
      <c r="P85" s="55" t="s">
        <v>34</v>
      </c>
    </row>
    <row r="86" spans="1:17" ht="12.75" customHeight="1">
      <c r="A86" s="2"/>
      <c r="B86" s="49"/>
      <c r="C86" s="49"/>
      <c r="D86" s="49"/>
      <c r="E86" s="49"/>
      <c r="F86" s="49"/>
      <c r="G86" s="49"/>
      <c r="H86" s="49"/>
      <c r="I86" s="49"/>
      <c r="J86" s="49"/>
      <c r="K86" s="49"/>
      <c r="L86" s="49"/>
      <c r="M86" s="49"/>
      <c r="N86" s="50"/>
      <c r="O86" s="55"/>
      <c r="P86" s="55"/>
    </row>
    <row r="87" spans="1:17" ht="12.75" customHeight="1">
      <c r="A87" s="5"/>
      <c r="B87" s="86"/>
      <c r="C87" s="86"/>
      <c r="D87" s="86"/>
      <c r="E87" s="86"/>
      <c r="F87" s="86"/>
      <c r="G87" s="86"/>
      <c r="H87" s="86"/>
      <c r="I87" s="86"/>
      <c r="J87" s="86"/>
      <c r="K87" s="86"/>
      <c r="L87" s="86"/>
      <c r="M87" s="86"/>
      <c r="N87" s="87"/>
      <c r="O87" s="89"/>
      <c r="P87" s="89"/>
    </row>
    <row r="88" spans="1:17" ht="25.5">
      <c r="A88" s="33"/>
      <c r="B88" s="34">
        <v>39264</v>
      </c>
      <c r="C88" s="34">
        <v>39295</v>
      </c>
      <c r="D88" s="34">
        <v>39326</v>
      </c>
      <c r="E88" s="34">
        <v>39356</v>
      </c>
      <c r="F88" s="34">
        <v>39387</v>
      </c>
      <c r="G88" s="34">
        <v>39417</v>
      </c>
      <c r="H88" s="34">
        <v>39448</v>
      </c>
      <c r="I88" s="34">
        <v>39479</v>
      </c>
      <c r="J88" s="34">
        <v>39508</v>
      </c>
      <c r="K88" s="34">
        <v>39539</v>
      </c>
      <c r="L88" s="34">
        <v>39569</v>
      </c>
      <c r="M88" s="34">
        <v>39600</v>
      </c>
      <c r="N88" s="56" t="s">
        <v>258</v>
      </c>
      <c r="O88" s="56" t="s">
        <v>197</v>
      </c>
      <c r="P88" s="56" t="s">
        <v>154</v>
      </c>
      <c r="Q88" s="2"/>
    </row>
    <row r="89" spans="1:17" ht="12.75" customHeight="1">
      <c r="A89" s="36" t="s">
        <v>17</v>
      </c>
      <c r="B89" s="34"/>
      <c r="C89" s="34"/>
      <c r="D89" s="34"/>
      <c r="E89" s="34"/>
      <c r="F89" s="34"/>
      <c r="G89" s="34"/>
      <c r="H89" s="34"/>
      <c r="I89" s="34"/>
      <c r="J89" s="34"/>
      <c r="K89" s="34"/>
      <c r="L89" s="34"/>
      <c r="M89" s="34"/>
      <c r="N89" s="48"/>
      <c r="O89" s="57"/>
      <c r="P89" s="57"/>
    </row>
    <row r="90" spans="1:17" ht="12.75" customHeight="1">
      <c r="A90" s="39" t="s">
        <v>89</v>
      </c>
      <c r="B90" s="40">
        <v>16</v>
      </c>
      <c r="C90" s="40">
        <v>5</v>
      </c>
      <c r="D90" s="40">
        <v>84</v>
      </c>
      <c r="E90" s="40">
        <v>98</v>
      </c>
      <c r="F90" s="40">
        <v>60</v>
      </c>
      <c r="G90" s="40">
        <v>43</v>
      </c>
      <c r="H90" s="40">
        <v>22</v>
      </c>
      <c r="I90" s="40">
        <v>47</v>
      </c>
      <c r="J90" s="40">
        <v>67</v>
      </c>
      <c r="K90" s="40">
        <v>67</v>
      </c>
      <c r="L90" s="40">
        <v>11</v>
      </c>
      <c r="M90" s="40">
        <v>8</v>
      </c>
      <c r="N90" s="41">
        <f>SUM(B90:M90)</f>
        <v>528</v>
      </c>
      <c r="O90" s="54"/>
      <c r="P90" s="55"/>
    </row>
    <row r="91" spans="1:17" ht="12.75" customHeight="1">
      <c r="A91" s="39" t="s">
        <v>328</v>
      </c>
      <c r="B91" s="40">
        <v>92</v>
      </c>
      <c r="C91" s="40">
        <v>18</v>
      </c>
      <c r="D91" s="40">
        <v>415</v>
      </c>
      <c r="E91" s="40">
        <v>386</v>
      </c>
      <c r="F91" s="40">
        <v>243</v>
      </c>
      <c r="G91" s="40">
        <v>166</v>
      </c>
      <c r="H91" s="40">
        <v>65</v>
      </c>
      <c r="I91" s="40">
        <v>193</v>
      </c>
      <c r="J91" s="40">
        <v>200</v>
      </c>
      <c r="K91" s="40">
        <v>222</v>
      </c>
      <c r="L91" s="40">
        <v>43</v>
      </c>
      <c r="M91" s="40">
        <v>21</v>
      </c>
      <c r="N91" s="41">
        <f>SUM(B91:M91)</f>
        <v>2064</v>
      </c>
      <c r="O91" s="54">
        <v>2649</v>
      </c>
      <c r="P91" s="55">
        <f>O91/N91</f>
        <v>1.2834302325581395</v>
      </c>
    </row>
    <row r="92" spans="1:17" ht="12.75" customHeight="1">
      <c r="A92" s="2"/>
      <c r="B92" s="49"/>
      <c r="C92" s="49"/>
      <c r="D92" s="49"/>
      <c r="E92" s="49"/>
      <c r="F92" s="49"/>
      <c r="G92" s="49"/>
      <c r="H92" s="49"/>
      <c r="I92" s="49"/>
      <c r="J92" s="49"/>
      <c r="K92" s="49"/>
      <c r="L92" s="49"/>
      <c r="M92" s="49"/>
      <c r="N92" s="50"/>
      <c r="O92" s="55"/>
      <c r="P92" s="55"/>
    </row>
    <row r="93" spans="1:17" ht="12.75" customHeight="1">
      <c r="A93" s="5"/>
      <c r="B93" s="46"/>
      <c r="C93" s="46"/>
      <c r="D93" s="46"/>
      <c r="E93" s="46"/>
      <c r="F93" s="46"/>
      <c r="G93" s="46"/>
      <c r="H93" s="99"/>
      <c r="I93" s="99"/>
      <c r="J93" s="86"/>
      <c r="K93" s="86"/>
      <c r="L93" s="86"/>
      <c r="M93" s="86"/>
      <c r="N93" s="87"/>
      <c r="O93" s="89"/>
      <c r="P93" s="89"/>
    </row>
    <row r="94" spans="1:17" ht="25.5">
      <c r="A94" s="33"/>
      <c r="B94" s="34">
        <v>39264</v>
      </c>
      <c r="C94" s="34">
        <v>39295</v>
      </c>
      <c r="D94" s="34">
        <v>39326</v>
      </c>
      <c r="E94" s="34">
        <v>39356</v>
      </c>
      <c r="F94" s="34">
        <v>39387</v>
      </c>
      <c r="G94" s="34">
        <v>39417</v>
      </c>
      <c r="H94" s="34">
        <v>39448</v>
      </c>
      <c r="I94" s="34">
        <v>39479</v>
      </c>
      <c r="J94" s="34">
        <v>39508</v>
      </c>
      <c r="K94" s="34">
        <v>39539</v>
      </c>
      <c r="L94" s="34">
        <v>39569</v>
      </c>
      <c r="M94" s="34">
        <v>39600</v>
      </c>
      <c r="N94" s="56" t="s">
        <v>258</v>
      </c>
      <c r="O94" s="56" t="s">
        <v>197</v>
      </c>
      <c r="P94" s="56" t="s">
        <v>154</v>
      </c>
      <c r="Q94" s="2"/>
    </row>
    <row r="95" spans="1:17" ht="12.75" customHeight="1">
      <c r="A95" s="36" t="s">
        <v>187</v>
      </c>
      <c r="B95" s="34"/>
      <c r="C95" s="34"/>
      <c r="D95" s="34"/>
      <c r="E95" s="34"/>
      <c r="F95" s="34"/>
      <c r="G95" s="34"/>
      <c r="H95" s="34"/>
      <c r="I95" s="34"/>
      <c r="J95" s="34"/>
      <c r="K95" s="34"/>
      <c r="L95" s="34"/>
      <c r="M95" s="34"/>
      <c r="N95" s="48"/>
      <c r="O95" s="57"/>
      <c r="P95" s="57"/>
    </row>
    <row r="96" spans="1:17" ht="12.75" customHeight="1">
      <c r="A96" s="39" t="s">
        <v>89</v>
      </c>
      <c r="B96" s="40">
        <v>47</v>
      </c>
      <c r="C96" s="40">
        <v>14</v>
      </c>
      <c r="D96" s="40">
        <v>28</v>
      </c>
      <c r="E96" s="40">
        <v>108</v>
      </c>
      <c r="F96" s="40">
        <v>140</v>
      </c>
      <c r="G96" s="40">
        <v>69</v>
      </c>
      <c r="H96" s="40">
        <v>32</v>
      </c>
      <c r="I96" s="40">
        <v>65</v>
      </c>
      <c r="J96" s="40">
        <v>106</v>
      </c>
      <c r="K96" s="40">
        <v>137</v>
      </c>
      <c r="L96" s="40">
        <v>25</v>
      </c>
      <c r="M96" s="40">
        <v>22</v>
      </c>
      <c r="N96" s="41">
        <f>SUM(B96:M96)</f>
        <v>793</v>
      </c>
      <c r="O96" s="54"/>
      <c r="P96" s="55"/>
    </row>
    <row r="97" spans="1:17" ht="12.75" customHeight="1">
      <c r="A97" s="39" t="s">
        <v>328</v>
      </c>
      <c r="B97" s="40">
        <v>230</v>
      </c>
      <c r="C97" s="40">
        <v>37</v>
      </c>
      <c r="D97" s="40">
        <v>83</v>
      </c>
      <c r="E97" s="40">
        <v>410</v>
      </c>
      <c r="F97" s="40">
        <v>477</v>
      </c>
      <c r="G97" s="40">
        <v>271</v>
      </c>
      <c r="H97" s="40">
        <v>96</v>
      </c>
      <c r="I97" s="40">
        <v>188</v>
      </c>
      <c r="J97" s="40">
        <v>357</v>
      </c>
      <c r="K97" s="40">
        <v>479</v>
      </c>
      <c r="L97" s="40">
        <v>91</v>
      </c>
      <c r="M97" s="40">
        <v>107</v>
      </c>
      <c r="N97" s="41">
        <f>SUM(B97:M97)</f>
        <v>2826</v>
      </c>
      <c r="O97" s="54">
        <v>2711</v>
      </c>
      <c r="P97" s="55">
        <f>O97/N97</f>
        <v>0.95930644019815992</v>
      </c>
    </row>
    <row r="98" spans="1:17" ht="12.75" customHeight="1">
      <c r="A98" s="2"/>
      <c r="B98" s="49"/>
      <c r="C98" s="49"/>
      <c r="D98" s="49"/>
      <c r="E98" s="49"/>
      <c r="F98" s="49"/>
      <c r="G98" s="49"/>
      <c r="H98" s="49"/>
      <c r="I98" s="49"/>
      <c r="J98" s="49"/>
      <c r="K98" s="49"/>
      <c r="L98" s="49"/>
      <c r="M98" s="49"/>
      <c r="N98" s="50"/>
      <c r="O98" s="55"/>
      <c r="P98" s="55"/>
    </row>
    <row r="99" spans="1:17" ht="12.75" customHeight="1">
      <c r="A99" s="5"/>
      <c r="B99" s="86"/>
      <c r="C99" s="86"/>
      <c r="D99" s="86"/>
      <c r="E99" s="86"/>
      <c r="F99" s="86"/>
      <c r="G99" s="86"/>
      <c r="H99" s="86"/>
      <c r="I99" s="86"/>
      <c r="J99" s="86"/>
      <c r="K99" s="86"/>
      <c r="L99" s="86"/>
      <c r="M99" s="86"/>
      <c r="N99" s="87"/>
      <c r="O99" s="89"/>
      <c r="P99" s="89"/>
    </row>
    <row r="100" spans="1:17" ht="25.5">
      <c r="A100" s="33"/>
      <c r="B100" s="34">
        <v>39264</v>
      </c>
      <c r="C100" s="34">
        <v>39295</v>
      </c>
      <c r="D100" s="34">
        <v>39326</v>
      </c>
      <c r="E100" s="34">
        <v>39356</v>
      </c>
      <c r="F100" s="34">
        <v>39387</v>
      </c>
      <c r="G100" s="34">
        <v>39417</v>
      </c>
      <c r="H100" s="34">
        <v>39448</v>
      </c>
      <c r="I100" s="34">
        <v>39479</v>
      </c>
      <c r="J100" s="34">
        <v>39508</v>
      </c>
      <c r="K100" s="34">
        <v>39539</v>
      </c>
      <c r="L100" s="34">
        <v>39569</v>
      </c>
      <c r="M100" s="34">
        <v>39600</v>
      </c>
      <c r="N100" s="56" t="s">
        <v>258</v>
      </c>
      <c r="O100" s="56" t="s">
        <v>197</v>
      </c>
      <c r="P100" s="56" t="s">
        <v>284</v>
      </c>
      <c r="Q100" s="2"/>
    </row>
    <row r="101" spans="1:17" ht="12.75" customHeight="1">
      <c r="A101" s="36" t="s">
        <v>262</v>
      </c>
      <c r="B101" s="34"/>
      <c r="C101" s="34"/>
      <c r="D101" s="34"/>
      <c r="E101" s="34"/>
      <c r="F101" s="34"/>
      <c r="G101" s="34"/>
      <c r="H101" s="34"/>
      <c r="I101" s="34"/>
      <c r="J101" s="34"/>
      <c r="K101" s="34"/>
      <c r="L101" s="34"/>
      <c r="M101" s="34"/>
      <c r="N101" s="48"/>
      <c r="O101" s="57"/>
      <c r="P101" s="57"/>
    </row>
    <row r="102" spans="1:17" ht="12.75" customHeight="1">
      <c r="A102" s="39" t="s">
        <v>89</v>
      </c>
      <c r="B102" s="40">
        <f t="shared" ref="B102:M102" si="0">((((((((((((B6+B12)+B30)+B36)+B42)+B48)+B60)+B66)+B72)+B18)+B78)+B90)+B54)+B96</f>
        <v>5628</v>
      </c>
      <c r="C102" s="40">
        <f t="shared" si="0"/>
        <v>1338</v>
      </c>
      <c r="D102" s="40">
        <f t="shared" si="0"/>
        <v>5716</v>
      </c>
      <c r="E102" s="40">
        <f t="shared" si="0"/>
        <v>15861</v>
      </c>
      <c r="F102" s="40">
        <f t="shared" si="0"/>
        <v>15768</v>
      </c>
      <c r="G102" s="40">
        <f t="shared" si="0"/>
        <v>7137</v>
      </c>
      <c r="H102" s="40">
        <f t="shared" si="0"/>
        <v>2659</v>
      </c>
      <c r="I102" s="40">
        <f t="shared" si="0"/>
        <v>11691</v>
      </c>
      <c r="J102" s="40">
        <f t="shared" si="0"/>
        <v>16018</v>
      </c>
      <c r="K102" s="40">
        <f t="shared" si="0"/>
        <v>16544</v>
      </c>
      <c r="L102" s="40">
        <f t="shared" si="0"/>
        <v>3441</v>
      </c>
      <c r="M102" s="40">
        <f t="shared" si="0"/>
        <v>4685</v>
      </c>
      <c r="N102" s="41">
        <f>SUM(B102:M102)</f>
        <v>106486</v>
      </c>
      <c r="O102" s="54"/>
      <c r="P102" s="55"/>
    </row>
    <row r="103" spans="1:17" ht="12.75" customHeight="1">
      <c r="A103" s="39" t="s">
        <v>328</v>
      </c>
      <c r="B103" s="40">
        <f t="shared" ref="B103:M103" si="1">((((((((((((B7+B13)+B31)+B37)+B43)+B49)+B61)+B67)+B73)+B19)+B79)+B91)+B55)+B97</f>
        <v>21086</v>
      </c>
      <c r="C103" s="40">
        <f t="shared" si="1"/>
        <v>3770</v>
      </c>
      <c r="D103" s="40">
        <f t="shared" si="1"/>
        <v>18699</v>
      </c>
      <c r="E103" s="40">
        <f t="shared" si="1"/>
        <v>59852</v>
      </c>
      <c r="F103" s="40">
        <f t="shared" si="1"/>
        <v>57507</v>
      </c>
      <c r="G103" s="40">
        <f t="shared" si="1"/>
        <v>23949</v>
      </c>
      <c r="H103" s="40">
        <f t="shared" si="1"/>
        <v>6676</v>
      </c>
      <c r="I103" s="40">
        <f t="shared" si="1"/>
        <v>40534</v>
      </c>
      <c r="J103" s="40">
        <f t="shared" si="1"/>
        <v>58799</v>
      </c>
      <c r="K103" s="40">
        <f t="shared" si="1"/>
        <v>55967</v>
      </c>
      <c r="L103" s="40">
        <f t="shared" si="1"/>
        <v>10500</v>
      </c>
      <c r="M103" s="40">
        <f t="shared" si="1"/>
        <v>14862</v>
      </c>
      <c r="N103" s="41">
        <f>SUM(B103:M103)</f>
        <v>372201</v>
      </c>
      <c r="O103" s="54">
        <v>78861.25</v>
      </c>
      <c r="P103" s="55">
        <f>O103/N103</f>
        <v>0.21187812499160399</v>
      </c>
    </row>
    <row r="104" spans="1:17" ht="12.75" customHeight="1">
      <c r="A104" s="39" t="s">
        <v>70</v>
      </c>
      <c r="B104" s="40">
        <v>13438</v>
      </c>
      <c r="C104" s="40">
        <v>2737</v>
      </c>
      <c r="D104" s="40">
        <v>12339</v>
      </c>
      <c r="E104" s="40">
        <v>36340</v>
      </c>
      <c r="F104" s="40">
        <v>40493</v>
      </c>
      <c r="G104" s="40">
        <v>16629</v>
      </c>
      <c r="H104" s="40">
        <v>4642</v>
      </c>
      <c r="I104" s="40">
        <v>23483</v>
      </c>
      <c r="J104" s="40">
        <v>37212</v>
      </c>
      <c r="K104" s="40">
        <v>38071</v>
      </c>
      <c r="L104" s="40">
        <v>6685</v>
      </c>
      <c r="M104" s="40">
        <v>9300</v>
      </c>
      <c r="N104" s="41">
        <f>SUM(B104:M104)</f>
        <v>241369</v>
      </c>
      <c r="O104" s="54">
        <f>O103</f>
        <v>78861.25</v>
      </c>
      <c r="P104" s="55">
        <f>O104/N104</f>
        <v>0.32672484867567914</v>
      </c>
    </row>
    <row r="105" spans="1:17" ht="12.75" customHeight="1">
      <c r="A105" s="2"/>
      <c r="B105" s="38"/>
      <c r="C105" s="38"/>
      <c r="D105" s="38"/>
      <c r="E105" s="38"/>
      <c r="F105" s="38"/>
      <c r="G105" s="38"/>
      <c r="H105" s="38"/>
      <c r="I105" s="38"/>
      <c r="J105" s="38"/>
      <c r="K105" s="38"/>
      <c r="L105" s="38"/>
      <c r="M105" s="38"/>
      <c r="N105" s="38"/>
      <c r="O105" s="2"/>
      <c r="P105" s="2"/>
    </row>
    <row r="106" spans="1:17" ht="12.75" customHeight="1">
      <c r="A106" s="2"/>
      <c r="O106" s="2"/>
      <c r="P106" s="2"/>
    </row>
    <row r="107" spans="1:17" ht="12.75" customHeight="1">
      <c r="A107" s="2"/>
      <c r="O107" s="2"/>
      <c r="P107" s="2"/>
    </row>
    <row r="108" spans="1:17" ht="12.75" customHeight="1">
      <c r="A108" s="2" t="s">
        <v>31</v>
      </c>
      <c r="B108" s="2" t="s">
        <v>310</v>
      </c>
      <c r="O108" s="2"/>
      <c r="P108" s="2"/>
    </row>
    <row r="109" spans="1:17" ht="12.75" customHeight="1">
      <c r="A109" s="2"/>
      <c r="O109" s="2"/>
      <c r="P109" s="2"/>
    </row>
  </sheetData>
  <mergeCells count="4">
    <mergeCell ref="A1:C1"/>
    <mergeCell ref="A29:B29"/>
    <mergeCell ref="A35:B35"/>
    <mergeCell ref="A53:D53"/>
  </mergeCells>
  <pageMargins left="0.75" right="0.75" top="1" bottom="1" header="0.5" footer="0.5"/>
  <pageSetup paperSize="9"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dimension ref="A1:Q14"/>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33.5703125" customWidth="1"/>
    <col min="2" max="14" width="8.5703125" customWidth="1"/>
    <col min="15" max="16" width="10.85546875" customWidth="1"/>
    <col min="17" max="17" width="9.140625" customWidth="1"/>
  </cols>
  <sheetData>
    <row r="1" spans="1:17" ht="20.25">
      <c r="A1" s="1" t="s">
        <v>287</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5"/>
      <c r="P3" s="5"/>
    </row>
    <row r="4" spans="1:17" ht="25.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56" t="s">
        <v>284</v>
      </c>
      <c r="Q4" s="2"/>
    </row>
    <row r="5" spans="1:17" ht="12.75" customHeight="1">
      <c r="A5" s="36" t="s">
        <v>139</v>
      </c>
      <c r="B5" s="48"/>
      <c r="C5" s="48"/>
      <c r="D5" s="48"/>
      <c r="E5" s="48"/>
      <c r="F5" s="48"/>
      <c r="G5" s="48"/>
      <c r="H5" s="48"/>
      <c r="I5" s="48"/>
      <c r="J5" s="48"/>
      <c r="K5" s="48"/>
      <c r="L5" s="48"/>
      <c r="M5" s="48"/>
      <c r="N5" s="48"/>
      <c r="O5" s="57"/>
      <c r="P5" s="57"/>
    </row>
    <row r="6" spans="1:17" ht="12.75" customHeight="1">
      <c r="A6" s="39" t="s">
        <v>89</v>
      </c>
      <c r="B6" s="40">
        <v>61</v>
      </c>
      <c r="C6" s="40">
        <v>61</v>
      </c>
      <c r="D6" s="40">
        <v>71</v>
      </c>
      <c r="E6" s="40">
        <v>147</v>
      </c>
      <c r="F6" s="40">
        <v>165</v>
      </c>
      <c r="G6" s="40">
        <v>1</v>
      </c>
      <c r="H6" s="40">
        <v>90</v>
      </c>
      <c r="I6" s="40">
        <v>265</v>
      </c>
      <c r="J6" s="40">
        <v>249</v>
      </c>
      <c r="K6" s="40">
        <v>147</v>
      </c>
      <c r="L6" s="40">
        <v>38</v>
      </c>
      <c r="M6" s="40">
        <v>26</v>
      </c>
      <c r="N6" s="41">
        <f>SUM(B6:M6)</f>
        <v>1321</v>
      </c>
      <c r="O6" s="54"/>
      <c r="P6" s="55"/>
    </row>
    <row r="7" spans="1:17" ht="12.75" customHeight="1">
      <c r="A7" s="39" t="s">
        <v>328</v>
      </c>
      <c r="B7" s="40">
        <v>195</v>
      </c>
      <c r="C7" s="40">
        <v>173</v>
      </c>
      <c r="D7" s="40">
        <v>208</v>
      </c>
      <c r="E7" s="40">
        <v>538</v>
      </c>
      <c r="F7" s="40">
        <v>458</v>
      </c>
      <c r="G7" s="40">
        <v>1</v>
      </c>
      <c r="H7" s="40">
        <v>286</v>
      </c>
      <c r="I7" s="40">
        <v>1005</v>
      </c>
      <c r="J7" s="40">
        <v>969</v>
      </c>
      <c r="K7" s="40">
        <v>650</v>
      </c>
      <c r="L7" s="40">
        <v>164</v>
      </c>
      <c r="M7" s="40">
        <v>60</v>
      </c>
      <c r="N7" s="41">
        <f>SUM(B7:M7)</f>
        <v>4707</v>
      </c>
      <c r="O7" s="54">
        <v>9634</v>
      </c>
      <c r="P7" s="55">
        <f>O7/N7</f>
        <v>2.0467388995113662</v>
      </c>
    </row>
    <row r="8" spans="1:17" ht="12.75" customHeight="1">
      <c r="A8" s="2"/>
      <c r="B8" s="28"/>
      <c r="C8" s="28"/>
      <c r="D8" s="28"/>
      <c r="E8" s="28"/>
      <c r="F8" s="28"/>
      <c r="G8" s="28"/>
      <c r="H8" s="28"/>
      <c r="I8" s="28"/>
      <c r="J8" s="28"/>
      <c r="K8" s="28"/>
      <c r="L8" s="28"/>
      <c r="M8" s="28"/>
      <c r="N8" s="100"/>
      <c r="O8" s="55"/>
      <c r="P8" s="55"/>
    </row>
    <row r="9" spans="1:17" ht="12.75" customHeight="1">
      <c r="A9" s="101" t="s">
        <v>158</v>
      </c>
      <c r="B9" s="102"/>
      <c r="C9" s="102"/>
      <c r="D9" s="102"/>
      <c r="E9" s="102"/>
      <c r="F9" s="102"/>
      <c r="G9" s="102"/>
      <c r="H9" s="102"/>
      <c r="I9" s="102"/>
      <c r="J9" s="102"/>
      <c r="K9" s="102"/>
      <c r="L9" s="102"/>
      <c r="M9" s="102"/>
      <c r="N9" s="32"/>
      <c r="O9" s="55"/>
      <c r="P9" s="55"/>
    </row>
    <row r="10" spans="1:17" ht="12.75" customHeight="1">
      <c r="A10" s="39" t="s">
        <v>39</v>
      </c>
      <c r="B10" s="40">
        <v>0</v>
      </c>
      <c r="C10" s="40">
        <v>1</v>
      </c>
      <c r="D10" s="40">
        <v>0</v>
      </c>
      <c r="E10" s="40">
        <v>8</v>
      </c>
      <c r="F10" s="40">
        <v>26</v>
      </c>
      <c r="G10" s="40">
        <v>6</v>
      </c>
      <c r="H10" s="40">
        <v>497</v>
      </c>
      <c r="I10" s="40">
        <v>70</v>
      </c>
      <c r="J10" s="40">
        <v>28</v>
      </c>
      <c r="K10" s="40">
        <v>26</v>
      </c>
      <c r="L10" s="40">
        <v>0</v>
      </c>
      <c r="M10" s="40">
        <v>0</v>
      </c>
      <c r="N10" s="41">
        <f>SUM(B10:M10)</f>
        <v>662</v>
      </c>
      <c r="O10" s="54">
        <v>686.46</v>
      </c>
      <c r="P10" s="55">
        <f>O10/N10</f>
        <v>1.0369486404833836</v>
      </c>
    </row>
    <row r="11" spans="1:17" ht="12.75" customHeight="1">
      <c r="A11" s="2"/>
      <c r="B11" s="100"/>
      <c r="C11" s="100"/>
      <c r="D11" s="100"/>
      <c r="E11" s="100"/>
      <c r="F11" s="100"/>
      <c r="G11" s="100"/>
      <c r="H11" s="100"/>
      <c r="I11" s="100"/>
      <c r="J11" s="100"/>
      <c r="K11" s="100"/>
      <c r="L11" s="100"/>
      <c r="M11" s="100"/>
      <c r="N11" s="100"/>
      <c r="O11" s="55"/>
      <c r="P11" s="55"/>
    </row>
    <row r="12" spans="1:17" ht="12.75" customHeight="1">
      <c r="A12" s="2"/>
      <c r="O12" s="2"/>
      <c r="P12" s="2"/>
    </row>
    <row r="13" spans="1:17" ht="12.75" customHeight="1">
      <c r="A13" s="2" t="s">
        <v>31</v>
      </c>
      <c r="B13" s="2" t="s">
        <v>247</v>
      </c>
      <c r="O13" s="2"/>
      <c r="P13" s="2"/>
    </row>
    <row r="14" spans="1:17" ht="12.75" customHeight="1">
      <c r="A14" s="2"/>
      <c r="O14" s="2"/>
      <c r="P14" s="2"/>
    </row>
  </sheetData>
  <pageMargins left="0.75" right="0.75" top="1" bottom="1" header="0.5" footer="0.5"/>
  <pageSetup paperSize="9"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dimension ref="A1:Q131"/>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33.5703125" customWidth="1"/>
    <col min="2" max="2" width="5.85546875" customWidth="1"/>
    <col min="3" max="3" width="6.42578125" customWidth="1"/>
    <col min="4" max="4" width="6.85546875" customWidth="1"/>
    <col min="5" max="5" width="6" customWidth="1"/>
    <col min="6" max="6" width="6.5703125" customWidth="1"/>
    <col min="7" max="7" width="6.42578125" customWidth="1"/>
    <col min="8" max="8" width="6.28515625" customWidth="1"/>
    <col min="9" max="9" width="6.7109375" customWidth="1"/>
    <col min="10" max="10" width="7.140625" customWidth="1"/>
    <col min="11" max="11" width="7" customWidth="1"/>
    <col min="12" max="12" width="6.5703125" customWidth="1"/>
    <col min="13" max="14" width="8.5703125" customWidth="1"/>
    <col min="15" max="16" width="10.85546875" customWidth="1"/>
    <col min="17" max="17" width="9.140625" customWidth="1"/>
  </cols>
  <sheetData>
    <row r="1" spans="1:17" ht="20.25">
      <c r="A1" s="1" t="s">
        <v>253</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5"/>
      <c r="P3" s="5"/>
    </row>
    <row r="4" spans="1:17" ht="25.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56" t="s">
        <v>154</v>
      </c>
      <c r="Q4" s="2"/>
    </row>
    <row r="5" spans="1:17" ht="12.75" customHeight="1">
      <c r="A5" s="36" t="s">
        <v>232</v>
      </c>
      <c r="B5" s="37"/>
      <c r="C5" s="37"/>
      <c r="D5" s="37"/>
      <c r="E5" s="37"/>
      <c r="F5" s="37"/>
      <c r="G5" s="37"/>
      <c r="H5" s="37"/>
      <c r="I5" s="37"/>
      <c r="J5" s="37"/>
      <c r="K5" s="37"/>
      <c r="L5" s="37"/>
      <c r="M5" s="37"/>
      <c r="N5" s="37"/>
      <c r="O5" s="57"/>
      <c r="P5" s="57"/>
    </row>
    <row r="6" spans="1:17" ht="12.75" customHeight="1">
      <c r="A6" s="39" t="s">
        <v>328</v>
      </c>
      <c r="B6" s="40">
        <v>0</v>
      </c>
      <c r="C6" s="40">
        <v>0</v>
      </c>
      <c r="D6" s="40">
        <v>0</v>
      </c>
      <c r="E6" s="40">
        <v>0</v>
      </c>
      <c r="F6" s="40">
        <v>8</v>
      </c>
      <c r="G6" s="40">
        <v>0</v>
      </c>
      <c r="H6" s="40">
        <v>2</v>
      </c>
      <c r="I6" s="40">
        <v>5</v>
      </c>
      <c r="J6" s="40">
        <v>8</v>
      </c>
      <c r="K6" s="40">
        <v>0</v>
      </c>
      <c r="L6" s="40">
        <v>3</v>
      </c>
      <c r="M6" s="40">
        <v>0</v>
      </c>
      <c r="N6" s="41">
        <f>SUM(B6:M6)</f>
        <v>26</v>
      </c>
      <c r="O6" s="54">
        <v>0</v>
      </c>
      <c r="P6" s="55">
        <v>1</v>
      </c>
    </row>
    <row r="7" spans="1:17" ht="12.75" customHeight="1">
      <c r="A7" s="2"/>
      <c r="B7" s="49"/>
      <c r="C7" s="49"/>
      <c r="D7" s="49"/>
      <c r="E7" s="49"/>
      <c r="F7" s="49"/>
      <c r="G7" s="49"/>
      <c r="H7" s="49"/>
      <c r="I7" s="49"/>
      <c r="J7" s="49"/>
      <c r="K7" s="49"/>
      <c r="L7" s="49"/>
      <c r="M7" s="49"/>
      <c r="N7" s="50"/>
      <c r="O7" s="55"/>
      <c r="P7" s="55"/>
    </row>
    <row r="8" spans="1:17" ht="12.75" customHeight="1">
      <c r="A8" s="5"/>
      <c r="B8" s="86"/>
      <c r="C8" s="86"/>
      <c r="D8" s="86"/>
      <c r="E8" s="86"/>
      <c r="F8" s="86"/>
      <c r="G8" s="86"/>
      <c r="H8" s="86"/>
      <c r="I8" s="86"/>
      <c r="J8" s="86"/>
      <c r="K8" s="86"/>
      <c r="L8" s="86"/>
      <c r="M8" s="86"/>
      <c r="N8" s="87"/>
      <c r="O8" s="89"/>
      <c r="P8" s="89"/>
    </row>
    <row r="9" spans="1:17" ht="25.5">
      <c r="A9" s="33"/>
      <c r="B9" s="34">
        <v>39264</v>
      </c>
      <c r="C9" s="34">
        <v>39295</v>
      </c>
      <c r="D9" s="34">
        <v>39326</v>
      </c>
      <c r="E9" s="34">
        <v>39356</v>
      </c>
      <c r="F9" s="34">
        <v>39387</v>
      </c>
      <c r="G9" s="34">
        <v>39417</v>
      </c>
      <c r="H9" s="34">
        <v>39448</v>
      </c>
      <c r="I9" s="34">
        <v>39479</v>
      </c>
      <c r="J9" s="34">
        <v>39508</v>
      </c>
      <c r="K9" s="34">
        <v>39539</v>
      </c>
      <c r="L9" s="34">
        <v>39569</v>
      </c>
      <c r="M9" s="34">
        <v>39600</v>
      </c>
      <c r="N9" s="35" t="s">
        <v>258</v>
      </c>
      <c r="O9" s="56" t="s">
        <v>197</v>
      </c>
      <c r="P9" s="56" t="s">
        <v>154</v>
      </c>
      <c r="Q9" s="2"/>
    </row>
    <row r="10" spans="1:17" ht="12.75" customHeight="1">
      <c r="A10" s="36" t="s">
        <v>239</v>
      </c>
      <c r="B10" s="34"/>
      <c r="C10" s="34"/>
      <c r="D10" s="34"/>
      <c r="E10" s="34"/>
      <c r="F10" s="34"/>
      <c r="G10" s="34"/>
      <c r="H10" s="34"/>
      <c r="I10" s="34"/>
      <c r="J10" s="34"/>
      <c r="K10" s="34"/>
      <c r="L10" s="34"/>
      <c r="M10" s="34"/>
      <c r="N10" s="48"/>
      <c r="O10" s="57"/>
      <c r="P10" s="57"/>
    </row>
    <row r="11" spans="1:17" ht="12.75" customHeight="1">
      <c r="A11" s="39" t="s">
        <v>328</v>
      </c>
      <c r="B11" s="98">
        <v>0</v>
      </c>
      <c r="C11" s="98">
        <v>0</v>
      </c>
      <c r="D11" s="98">
        <v>0</v>
      </c>
      <c r="E11" s="98">
        <v>0</v>
      </c>
      <c r="F11" s="98">
        <v>2</v>
      </c>
      <c r="G11" s="98">
        <v>0</v>
      </c>
      <c r="H11" s="98">
        <v>2</v>
      </c>
      <c r="I11" s="98">
        <v>0</v>
      </c>
      <c r="J11" s="98">
        <v>1</v>
      </c>
      <c r="K11" s="98">
        <v>0</v>
      </c>
      <c r="L11" s="98">
        <v>2</v>
      </c>
      <c r="M11" s="98">
        <v>0</v>
      </c>
      <c r="N11" s="53">
        <f>SUM(B11:M11)</f>
        <v>7</v>
      </c>
      <c r="O11" s="54">
        <v>0</v>
      </c>
      <c r="P11" s="55">
        <v>1</v>
      </c>
    </row>
    <row r="12" spans="1:17" ht="12.75" customHeight="1">
      <c r="A12" s="2"/>
      <c r="B12" s="44"/>
      <c r="C12" s="44"/>
      <c r="D12" s="44"/>
      <c r="E12" s="44"/>
      <c r="F12" s="44"/>
      <c r="G12" s="44"/>
      <c r="H12" s="44"/>
      <c r="I12" s="44"/>
      <c r="J12" s="44"/>
      <c r="K12" s="44"/>
      <c r="L12" s="44"/>
      <c r="M12" s="44"/>
      <c r="N12" s="28"/>
      <c r="O12" s="55"/>
      <c r="P12" s="55"/>
    </row>
    <row r="13" spans="1:17" ht="12.75" customHeight="1">
      <c r="A13" s="5"/>
      <c r="B13" s="46"/>
      <c r="C13" s="46"/>
      <c r="D13" s="46"/>
      <c r="E13" s="46"/>
      <c r="F13" s="46"/>
      <c r="G13" s="46"/>
      <c r="H13" s="46"/>
      <c r="I13" s="46"/>
      <c r="J13" s="46"/>
      <c r="K13" s="46"/>
      <c r="L13" s="46"/>
      <c r="M13" s="46"/>
      <c r="N13" s="5"/>
      <c r="O13" s="89"/>
      <c r="P13" s="89"/>
    </row>
    <row r="14" spans="1:17" ht="25.5">
      <c r="A14" s="33"/>
      <c r="B14" s="34">
        <v>39264</v>
      </c>
      <c r="C14" s="34">
        <v>39295</v>
      </c>
      <c r="D14" s="34">
        <v>39326</v>
      </c>
      <c r="E14" s="34">
        <v>39356</v>
      </c>
      <c r="F14" s="34">
        <v>39387</v>
      </c>
      <c r="G14" s="34">
        <v>39417</v>
      </c>
      <c r="H14" s="34">
        <v>39448</v>
      </c>
      <c r="I14" s="34">
        <v>39479</v>
      </c>
      <c r="J14" s="34">
        <v>39508</v>
      </c>
      <c r="K14" s="34">
        <v>39539</v>
      </c>
      <c r="L14" s="34">
        <v>39569</v>
      </c>
      <c r="M14" s="34">
        <v>39600</v>
      </c>
      <c r="N14" s="35" t="s">
        <v>258</v>
      </c>
      <c r="O14" s="56" t="s">
        <v>197</v>
      </c>
      <c r="P14" s="56" t="s">
        <v>154</v>
      </c>
      <c r="Q14" s="2"/>
    </row>
    <row r="15" spans="1:17" ht="12.75" customHeight="1">
      <c r="A15" s="36" t="s">
        <v>198</v>
      </c>
      <c r="B15" s="34"/>
      <c r="C15" s="34"/>
      <c r="D15" s="34"/>
      <c r="E15" s="34"/>
      <c r="F15" s="34"/>
      <c r="G15" s="34"/>
      <c r="H15" s="34"/>
      <c r="I15" s="34"/>
      <c r="J15" s="34"/>
      <c r="K15" s="34"/>
      <c r="L15" s="34"/>
      <c r="M15" s="34"/>
      <c r="N15" s="48"/>
      <c r="O15" s="57"/>
      <c r="P15" s="57"/>
    </row>
    <row r="16" spans="1:17" ht="12.75" customHeight="1">
      <c r="A16" s="39" t="s">
        <v>89</v>
      </c>
      <c r="B16" s="40">
        <v>105</v>
      </c>
      <c r="C16" s="40">
        <v>36</v>
      </c>
      <c r="D16" s="40">
        <v>147</v>
      </c>
      <c r="E16" s="40">
        <v>324</v>
      </c>
      <c r="F16" s="40">
        <v>297</v>
      </c>
      <c r="G16" s="40">
        <v>127</v>
      </c>
      <c r="H16" s="40">
        <v>57</v>
      </c>
      <c r="I16" s="40">
        <v>199</v>
      </c>
      <c r="J16" s="40">
        <v>246</v>
      </c>
      <c r="K16" s="40">
        <v>285</v>
      </c>
      <c r="L16" s="40">
        <v>98</v>
      </c>
      <c r="M16" s="40">
        <v>73</v>
      </c>
      <c r="N16" s="41">
        <f>SUM(B16:M16)</f>
        <v>1994</v>
      </c>
      <c r="O16" s="54"/>
      <c r="P16" s="55"/>
    </row>
    <row r="17" spans="1:17" ht="12.75" customHeight="1">
      <c r="A17" s="39" t="s">
        <v>328</v>
      </c>
      <c r="B17" s="40">
        <v>746</v>
      </c>
      <c r="C17" s="40">
        <v>47</v>
      </c>
      <c r="D17" s="40">
        <v>375</v>
      </c>
      <c r="E17" s="40">
        <v>1208</v>
      </c>
      <c r="F17" s="40">
        <v>401</v>
      </c>
      <c r="G17" s="40">
        <v>364</v>
      </c>
      <c r="H17" s="40">
        <v>773</v>
      </c>
      <c r="I17" s="40">
        <v>756</v>
      </c>
      <c r="J17" s="40">
        <v>391</v>
      </c>
      <c r="K17" s="40">
        <v>891</v>
      </c>
      <c r="L17" s="40">
        <v>473</v>
      </c>
      <c r="M17" s="40">
        <v>294</v>
      </c>
      <c r="N17" s="41">
        <f>SUM(B17:M17)</f>
        <v>6719</v>
      </c>
      <c r="O17" s="54">
        <v>0</v>
      </c>
      <c r="P17" s="55" t="s">
        <v>34</v>
      </c>
    </row>
    <row r="18" spans="1:17" ht="12.75" customHeight="1">
      <c r="A18" s="39" t="s">
        <v>55</v>
      </c>
      <c r="B18" s="59">
        <v>2</v>
      </c>
      <c r="C18" s="59">
        <v>2</v>
      </c>
      <c r="D18" s="59">
        <v>2</v>
      </c>
      <c r="E18" s="59">
        <v>2</v>
      </c>
      <c r="F18" s="59">
        <v>2</v>
      </c>
      <c r="G18" s="59">
        <v>2</v>
      </c>
      <c r="H18" s="59">
        <v>2</v>
      </c>
      <c r="I18" s="59">
        <v>2</v>
      </c>
      <c r="J18" s="59">
        <v>2</v>
      </c>
      <c r="K18" s="59">
        <v>2</v>
      </c>
      <c r="L18" s="59">
        <v>2</v>
      </c>
      <c r="M18" s="59">
        <v>2</v>
      </c>
      <c r="N18" s="41"/>
      <c r="O18" s="54"/>
      <c r="P18" s="55"/>
    </row>
    <row r="19" spans="1:17" ht="12.75" customHeight="1">
      <c r="A19" s="39" t="s">
        <v>29</v>
      </c>
      <c r="B19" s="59">
        <v>2</v>
      </c>
      <c r="C19" s="59">
        <v>0</v>
      </c>
      <c r="D19" s="59">
        <v>25</v>
      </c>
      <c r="E19" s="59">
        <v>17</v>
      </c>
      <c r="F19" s="59">
        <v>16</v>
      </c>
      <c r="G19" s="59">
        <v>2</v>
      </c>
      <c r="H19" s="59">
        <v>1</v>
      </c>
      <c r="I19" s="59">
        <v>6</v>
      </c>
      <c r="J19" s="59">
        <v>4</v>
      </c>
      <c r="K19" s="59">
        <v>7</v>
      </c>
      <c r="L19" s="59">
        <v>4</v>
      </c>
      <c r="M19" s="59">
        <v>0</v>
      </c>
      <c r="N19" s="41">
        <f>SUM(B19:M19)</f>
        <v>84</v>
      </c>
      <c r="O19" s="54"/>
      <c r="P19" s="55"/>
    </row>
    <row r="20" spans="1:17" ht="12.75" customHeight="1">
      <c r="A20" s="2"/>
      <c r="B20" s="50"/>
      <c r="C20" s="50"/>
      <c r="D20" s="50"/>
      <c r="E20" s="50"/>
      <c r="F20" s="50"/>
      <c r="G20" s="50"/>
      <c r="H20" s="50"/>
      <c r="I20" s="50"/>
      <c r="J20" s="50"/>
      <c r="K20" s="50"/>
      <c r="L20" s="50"/>
      <c r="M20" s="50"/>
      <c r="N20" s="50"/>
      <c r="O20" s="55"/>
      <c r="P20" s="55"/>
    </row>
    <row r="21" spans="1:17" ht="12.75" customHeight="1">
      <c r="A21" s="5"/>
      <c r="B21" s="87"/>
      <c r="C21" s="87"/>
      <c r="D21" s="87"/>
      <c r="E21" s="87"/>
      <c r="F21" s="87"/>
      <c r="G21" s="87"/>
      <c r="H21" s="87"/>
      <c r="I21" s="87"/>
      <c r="J21" s="87"/>
      <c r="K21" s="87"/>
      <c r="L21" s="87"/>
      <c r="M21" s="87"/>
      <c r="N21" s="87"/>
      <c r="O21" s="89"/>
      <c r="P21" s="89"/>
    </row>
    <row r="22" spans="1:17" ht="25.5">
      <c r="A22" s="33"/>
      <c r="B22" s="34">
        <v>39264</v>
      </c>
      <c r="C22" s="34">
        <v>39295</v>
      </c>
      <c r="D22" s="34">
        <v>39326</v>
      </c>
      <c r="E22" s="34">
        <v>39356</v>
      </c>
      <c r="F22" s="34">
        <v>39387</v>
      </c>
      <c r="G22" s="34">
        <v>39417</v>
      </c>
      <c r="H22" s="34">
        <v>39448</v>
      </c>
      <c r="I22" s="34">
        <v>39479</v>
      </c>
      <c r="J22" s="34">
        <v>39508</v>
      </c>
      <c r="K22" s="34">
        <v>39539</v>
      </c>
      <c r="L22" s="34">
        <v>39569</v>
      </c>
      <c r="M22" s="34">
        <v>39600</v>
      </c>
      <c r="N22" s="35" t="s">
        <v>258</v>
      </c>
      <c r="O22" s="56" t="s">
        <v>197</v>
      </c>
      <c r="P22" s="56" t="s">
        <v>154</v>
      </c>
      <c r="Q22" s="2"/>
    </row>
    <row r="23" spans="1:17" ht="12.75" customHeight="1">
      <c r="A23" s="36" t="s">
        <v>27</v>
      </c>
      <c r="B23" s="34"/>
      <c r="C23" s="34"/>
      <c r="D23" s="34"/>
      <c r="E23" s="34"/>
      <c r="F23" s="34"/>
      <c r="G23" s="34"/>
      <c r="H23" s="34"/>
      <c r="I23" s="34"/>
      <c r="J23" s="34"/>
      <c r="K23" s="34"/>
      <c r="L23" s="34"/>
      <c r="M23" s="34"/>
      <c r="N23" s="48"/>
      <c r="O23" s="57"/>
      <c r="P23" s="57"/>
    </row>
    <row r="24" spans="1:17" ht="12.75" customHeight="1">
      <c r="A24" s="39" t="s">
        <v>89</v>
      </c>
      <c r="B24" s="40">
        <v>8</v>
      </c>
      <c r="C24" s="40">
        <v>0</v>
      </c>
      <c r="D24" s="40">
        <v>5</v>
      </c>
      <c r="E24" s="40">
        <v>19</v>
      </c>
      <c r="F24" s="40">
        <v>18</v>
      </c>
      <c r="G24" s="40">
        <v>10</v>
      </c>
      <c r="H24" s="40">
        <v>0</v>
      </c>
      <c r="I24" s="40">
        <v>11</v>
      </c>
      <c r="J24" s="40">
        <v>16</v>
      </c>
      <c r="K24" s="40">
        <v>20</v>
      </c>
      <c r="L24" s="40">
        <v>6</v>
      </c>
      <c r="M24" s="40">
        <v>2</v>
      </c>
      <c r="N24" s="41">
        <f>SUM(B24:M24)</f>
        <v>115</v>
      </c>
      <c r="O24" s="54"/>
      <c r="P24" s="55"/>
    </row>
    <row r="25" spans="1:17" ht="12.75" customHeight="1">
      <c r="A25" s="39" t="s">
        <v>328</v>
      </c>
      <c r="B25" s="40">
        <v>3</v>
      </c>
      <c r="C25" s="40">
        <v>0</v>
      </c>
      <c r="D25" s="40">
        <v>5</v>
      </c>
      <c r="E25" s="40">
        <v>18</v>
      </c>
      <c r="F25" s="40">
        <v>21</v>
      </c>
      <c r="G25" s="40">
        <v>11</v>
      </c>
      <c r="H25" s="40">
        <v>0</v>
      </c>
      <c r="I25" s="40">
        <v>23</v>
      </c>
      <c r="J25" s="40">
        <v>18</v>
      </c>
      <c r="K25" s="40">
        <v>34</v>
      </c>
      <c r="L25" s="40">
        <v>4</v>
      </c>
      <c r="M25" s="40">
        <v>4</v>
      </c>
      <c r="N25" s="41">
        <f>SUM(B25:M25)</f>
        <v>141</v>
      </c>
      <c r="O25" s="54">
        <v>0</v>
      </c>
      <c r="P25" s="55" t="s">
        <v>34</v>
      </c>
    </row>
    <row r="26" spans="1:17" ht="12.75" customHeight="1">
      <c r="A26" s="39" t="s">
        <v>55</v>
      </c>
      <c r="B26" s="59">
        <v>2</v>
      </c>
      <c r="C26" s="59">
        <v>0</v>
      </c>
      <c r="D26" s="59">
        <v>2</v>
      </c>
      <c r="E26" s="59">
        <v>2</v>
      </c>
      <c r="F26" s="59">
        <v>2</v>
      </c>
      <c r="G26" s="59">
        <v>2</v>
      </c>
      <c r="H26" s="59">
        <v>0</v>
      </c>
      <c r="I26" s="59">
        <v>2</v>
      </c>
      <c r="J26" s="59">
        <v>2</v>
      </c>
      <c r="K26" s="59">
        <v>2</v>
      </c>
      <c r="L26" s="59">
        <v>2</v>
      </c>
      <c r="M26" s="59">
        <v>2</v>
      </c>
      <c r="N26" s="41"/>
      <c r="O26" s="54"/>
      <c r="P26" s="55"/>
    </row>
    <row r="27" spans="1:17" ht="12.75" customHeight="1">
      <c r="A27" s="39" t="s">
        <v>29</v>
      </c>
      <c r="B27" s="59">
        <v>0</v>
      </c>
      <c r="C27" s="59">
        <v>0</v>
      </c>
      <c r="D27" s="59">
        <v>0</v>
      </c>
      <c r="E27" s="59">
        <v>0</v>
      </c>
      <c r="F27" s="59">
        <v>0</v>
      </c>
      <c r="G27" s="59">
        <v>0</v>
      </c>
      <c r="H27" s="59">
        <v>0</v>
      </c>
      <c r="I27" s="59">
        <v>0</v>
      </c>
      <c r="J27" s="59">
        <v>0</v>
      </c>
      <c r="K27" s="59">
        <v>0</v>
      </c>
      <c r="L27" s="59">
        <v>0</v>
      </c>
      <c r="M27" s="59">
        <v>0</v>
      </c>
      <c r="N27" s="41">
        <f>SUM(B27:M27)</f>
        <v>0</v>
      </c>
      <c r="O27" s="54"/>
      <c r="P27" s="55"/>
    </row>
    <row r="28" spans="1:17" ht="12.75" customHeight="1">
      <c r="A28" s="2"/>
      <c r="B28" s="50"/>
      <c r="C28" s="50"/>
      <c r="D28" s="50"/>
      <c r="E28" s="50"/>
      <c r="F28" s="50"/>
      <c r="G28" s="50"/>
      <c r="H28" s="50"/>
      <c r="I28" s="50"/>
      <c r="J28" s="50"/>
      <c r="K28" s="50"/>
      <c r="L28" s="50"/>
      <c r="M28" s="50" t="s">
        <v>26</v>
      </c>
      <c r="N28" s="50"/>
      <c r="O28" s="55"/>
      <c r="P28" s="55"/>
    </row>
    <row r="29" spans="1:17" ht="12.75" customHeight="1">
      <c r="A29" s="5"/>
      <c r="B29" s="87"/>
      <c r="C29" s="87"/>
      <c r="D29" s="87"/>
      <c r="E29" s="87"/>
      <c r="F29" s="87"/>
      <c r="G29" s="87"/>
      <c r="H29" s="87"/>
      <c r="I29" s="87"/>
      <c r="J29" s="87"/>
      <c r="K29" s="87"/>
      <c r="L29" s="87"/>
      <c r="M29" s="87"/>
      <c r="N29" s="87"/>
      <c r="O29" s="89"/>
      <c r="P29" s="89"/>
    </row>
    <row r="30" spans="1:17" ht="25.5">
      <c r="A30" s="33"/>
      <c r="B30" s="34">
        <v>39264</v>
      </c>
      <c r="C30" s="34">
        <v>39295</v>
      </c>
      <c r="D30" s="34">
        <v>39326</v>
      </c>
      <c r="E30" s="34">
        <v>39356</v>
      </c>
      <c r="F30" s="34">
        <v>39387</v>
      </c>
      <c r="G30" s="34">
        <v>39417</v>
      </c>
      <c r="H30" s="34">
        <v>39448</v>
      </c>
      <c r="I30" s="34">
        <v>39479</v>
      </c>
      <c r="J30" s="34">
        <v>39508</v>
      </c>
      <c r="K30" s="34">
        <v>39539</v>
      </c>
      <c r="L30" s="34">
        <v>39569</v>
      </c>
      <c r="M30" s="34">
        <v>39600</v>
      </c>
      <c r="N30" s="35" t="s">
        <v>258</v>
      </c>
      <c r="O30" s="56" t="s">
        <v>197</v>
      </c>
      <c r="P30" s="56" t="s">
        <v>154</v>
      </c>
      <c r="Q30" s="2"/>
    </row>
    <row r="31" spans="1:17" ht="12.75" customHeight="1">
      <c r="A31" s="36" t="s">
        <v>47</v>
      </c>
      <c r="B31" s="34"/>
      <c r="C31" s="34"/>
      <c r="D31" s="34"/>
      <c r="E31" s="34"/>
      <c r="F31" s="34"/>
      <c r="G31" s="34"/>
      <c r="H31" s="34"/>
      <c r="I31" s="34"/>
      <c r="J31" s="34"/>
      <c r="K31" s="34"/>
      <c r="L31" s="34"/>
      <c r="M31" s="34"/>
      <c r="N31" s="48"/>
      <c r="O31" s="57"/>
      <c r="P31" s="57"/>
    </row>
    <row r="32" spans="1:17" ht="12.75" customHeight="1">
      <c r="A32" s="39" t="s">
        <v>89</v>
      </c>
      <c r="B32" s="40">
        <v>58</v>
      </c>
      <c r="C32" s="40">
        <v>23</v>
      </c>
      <c r="D32" s="40">
        <v>87</v>
      </c>
      <c r="E32" s="40">
        <v>257</v>
      </c>
      <c r="F32" s="40">
        <v>228</v>
      </c>
      <c r="G32" s="40">
        <v>87</v>
      </c>
      <c r="H32" s="40">
        <v>44</v>
      </c>
      <c r="I32" s="40">
        <v>130</v>
      </c>
      <c r="J32" s="40">
        <v>180</v>
      </c>
      <c r="K32" s="40">
        <v>122</v>
      </c>
      <c r="L32" s="40">
        <v>36</v>
      </c>
      <c r="M32" s="40">
        <v>148</v>
      </c>
      <c r="N32" s="41">
        <f>SUM(B32:M32)</f>
        <v>1400</v>
      </c>
      <c r="O32" s="54"/>
      <c r="P32" s="55"/>
    </row>
    <row r="33" spans="1:17" ht="12.75" customHeight="1">
      <c r="A33" s="39" t="s">
        <v>328</v>
      </c>
      <c r="B33" s="40">
        <v>155</v>
      </c>
      <c r="C33" s="40">
        <v>48</v>
      </c>
      <c r="D33" s="40">
        <v>158</v>
      </c>
      <c r="E33" s="40">
        <v>640</v>
      </c>
      <c r="F33" s="40">
        <v>561</v>
      </c>
      <c r="G33" s="40">
        <v>137</v>
      </c>
      <c r="H33" s="40">
        <v>84</v>
      </c>
      <c r="I33" s="40">
        <v>199</v>
      </c>
      <c r="J33" s="40">
        <v>319</v>
      </c>
      <c r="K33" s="40">
        <v>208</v>
      </c>
      <c r="L33" s="40">
        <v>84</v>
      </c>
      <c r="M33" s="40">
        <v>479</v>
      </c>
      <c r="N33" s="41">
        <f>SUM(B33:M33)</f>
        <v>3072</v>
      </c>
      <c r="O33" s="54">
        <v>0</v>
      </c>
      <c r="P33" s="55" t="s">
        <v>34</v>
      </c>
    </row>
    <row r="34" spans="1:17" ht="12.75" customHeight="1">
      <c r="A34" s="39" t="s">
        <v>55</v>
      </c>
      <c r="B34" s="59">
        <v>2</v>
      </c>
      <c r="C34" s="59">
        <v>2</v>
      </c>
      <c r="D34" s="59">
        <v>2</v>
      </c>
      <c r="E34" s="59">
        <v>2</v>
      </c>
      <c r="F34" s="59">
        <v>2</v>
      </c>
      <c r="G34" s="59">
        <v>2</v>
      </c>
      <c r="H34" s="59">
        <v>2</v>
      </c>
      <c r="I34" s="59">
        <v>2</v>
      </c>
      <c r="J34" s="59">
        <v>2</v>
      </c>
      <c r="K34" s="59">
        <v>2</v>
      </c>
      <c r="L34" s="59">
        <v>2</v>
      </c>
      <c r="M34" s="59">
        <v>2</v>
      </c>
      <c r="N34" s="41"/>
      <c r="O34" s="54"/>
      <c r="P34" s="55"/>
    </row>
    <row r="35" spans="1:17" ht="12.75" customHeight="1">
      <c r="A35" s="39" t="s">
        <v>29</v>
      </c>
      <c r="B35" s="59">
        <v>2</v>
      </c>
      <c r="C35" s="59">
        <v>0</v>
      </c>
      <c r="D35" s="59">
        <v>34</v>
      </c>
      <c r="E35" s="59">
        <v>29</v>
      </c>
      <c r="F35" s="59">
        <v>11</v>
      </c>
      <c r="G35" s="59">
        <v>1</v>
      </c>
      <c r="H35" s="59">
        <v>2</v>
      </c>
      <c r="I35" s="59">
        <v>3</v>
      </c>
      <c r="J35" s="59">
        <v>14</v>
      </c>
      <c r="K35" s="59">
        <v>1</v>
      </c>
      <c r="L35" s="59">
        <v>38</v>
      </c>
      <c r="M35" s="59">
        <v>8</v>
      </c>
      <c r="N35" s="41">
        <f>SUM(B35:M35)</f>
        <v>143</v>
      </c>
      <c r="O35" s="54"/>
      <c r="P35" s="55"/>
    </row>
    <row r="36" spans="1:17" ht="12.75" customHeight="1">
      <c r="A36" s="2"/>
      <c r="B36" s="50"/>
      <c r="C36" s="50"/>
      <c r="D36" s="50"/>
      <c r="E36" s="50"/>
      <c r="F36" s="50"/>
      <c r="G36" s="50"/>
      <c r="H36" s="50"/>
      <c r="I36" s="50"/>
      <c r="J36" s="50"/>
      <c r="K36" s="50"/>
      <c r="L36" s="50"/>
      <c r="M36" s="50"/>
      <c r="N36" s="50"/>
      <c r="O36" s="55"/>
      <c r="P36" s="55"/>
    </row>
    <row r="37" spans="1:17" ht="12.75" customHeight="1">
      <c r="A37" s="5"/>
      <c r="B37" s="87"/>
      <c r="C37" s="87"/>
      <c r="D37" s="87"/>
      <c r="E37" s="87"/>
      <c r="F37" s="87"/>
      <c r="G37" s="87"/>
      <c r="H37" s="87"/>
      <c r="I37" s="87"/>
      <c r="J37" s="87"/>
      <c r="K37" s="87"/>
      <c r="L37" s="87"/>
      <c r="M37" s="87"/>
      <c r="N37" s="87"/>
      <c r="O37" s="89"/>
      <c r="P37" s="89"/>
    </row>
    <row r="38" spans="1:17" ht="25.5">
      <c r="A38" s="33"/>
      <c r="B38" s="34">
        <v>39264</v>
      </c>
      <c r="C38" s="34">
        <v>39295</v>
      </c>
      <c r="D38" s="34">
        <v>39326</v>
      </c>
      <c r="E38" s="34">
        <v>39356</v>
      </c>
      <c r="F38" s="34">
        <v>39387</v>
      </c>
      <c r="G38" s="34">
        <v>39417</v>
      </c>
      <c r="H38" s="34">
        <v>39448</v>
      </c>
      <c r="I38" s="34">
        <v>39479</v>
      </c>
      <c r="J38" s="34">
        <v>39508</v>
      </c>
      <c r="K38" s="34">
        <v>39539</v>
      </c>
      <c r="L38" s="34">
        <v>39569</v>
      </c>
      <c r="M38" s="34">
        <v>39600</v>
      </c>
      <c r="N38" s="35" t="s">
        <v>258</v>
      </c>
      <c r="O38" s="56" t="s">
        <v>197</v>
      </c>
      <c r="P38" s="56" t="s">
        <v>154</v>
      </c>
    </row>
    <row r="39" spans="1:17" ht="12.75" customHeight="1">
      <c r="A39" s="36" t="s">
        <v>220</v>
      </c>
      <c r="B39" s="34"/>
      <c r="C39" s="34"/>
      <c r="D39" s="34"/>
      <c r="E39" s="34"/>
      <c r="F39" s="34"/>
      <c r="G39" s="34"/>
      <c r="H39" s="34"/>
      <c r="I39" s="34"/>
      <c r="J39" s="34"/>
      <c r="K39" s="34"/>
      <c r="L39" s="34"/>
      <c r="M39" s="34"/>
      <c r="N39" s="48"/>
      <c r="O39" s="57"/>
      <c r="P39" s="57"/>
    </row>
    <row r="40" spans="1:17" ht="12.75" customHeight="1">
      <c r="A40" s="39" t="s">
        <v>328</v>
      </c>
      <c r="B40" s="40">
        <v>1</v>
      </c>
      <c r="C40" s="40">
        <v>16</v>
      </c>
      <c r="D40" s="40">
        <v>24</v>
      </c>
      <c r="E40" s="40">
        <v>3</v>
      </c>
      <c r="F40" s="40">
        <v>18</v>
      </c>
      <c r="G40" s="40">
        <v>35</v>
      </c>
      <c r="H40" s="40">
        <v>7</v>
      </c>
      <c r="I40" s="40">
        <v>11</v>
      </c>
      <c r="J40" s="40">
        <v>8</v>
      </c>
      <c r="K40" s="40">
        <v>23</v>
      </c>
      <c r="L40" s="40">
        <v>3</v>
      </c>
      <c r="M40" s="40">
        <v>2</v>
      </c>
      <c r="N40" s="41">
        <f>SUM(B40:M40)</f>
        <v>151</v>
      </c>
      <c r="O40" s="54">
        <v>0</v>
      </c>
      <c r="P40" s="55">
        <v>0</v>
      </c>
    </row>
    <row r="41" spans="1:17" ht="12.75" customHeight="1">
      <c r="A41" s="2"/>
      <c r="B41" s="75"/>
      <c r="C41" s="75"/>
      <c r="D41" s="75"/>
      <c r="E41" s="75"/>
      <c r="F41" s="75"/>
      <c r="G41" s="75"/>
      <c r="H41" s="75"/>
      <c r="I41" s="75"/>
      <c r="J41" s="75"/>
      <c r="K41" s="75"/>
      <c r="L41" s="75"/>
      <c r="M41" s="75"/>
      <c r="N41" s="50"/>
      <c r="O41" s="55"/>
      <c r="P41" s="55"/>
    </row>
    <row r="42" spans="1:17" ht="12.75" customHeight="1">
      <c r="A42" s="5"/>
      <c r="B42" s="87"/>
      <c r="C42" s="87"/>
      <c r="D42" s="87"/>
      <c r="E42" s="87"/>
      <c r="F42" s="87"/>
      <c r="G42" s="87"/>
      <c r="H42" s="87"/>
      <c r="I42" s="87"/>
      <c r="J42" s="87"/>
      <c r="K42" s="87"/>
      <c r="L42" s="87"/>
      <c r="M42" s="87"/>
      <c r="N42" s="87"/>
      <c r="O42" s="89"/>
      <c r="P42" s="89"/>
    </row>
    <row r="43" spans="1:17" ht="25.5">
      <c r="A43" s="33"/>
      <c r="B43" s="34">
        <v>39264</v>
      </c>
      <c r="C43" s="34">
        <v>39295</v>
      </c>
      <c r="D43" s="34">
        <v>39326</v>
      </c>
      <c r="E43" s="34">
        <v>39356</v>
      </c>
      <c r="F43" s="34">
        <v>39387</v>
      </c>
      <c r="G43" s="34">
        <v>39417</v>
      </c>
      <c r="H43" s="34">
        <v>39448</v>
      </c>
      <c r="I43" s="34">
        <v>39479</v>
      </c>
      <c r="J43" s="34">
        <v>39508</v>
      </c>
      <c r="K43" s="34">
        <v>39539</v>
      </c>
      <c r="L43" s="34">
        <v>39569</v>
      </c>
      <c r="M43" s="34">
        <v>39600</v>
      </c>
      <c r="N43" s="35" t="s">
        <v>258</v>
      </c>
      <c r="O43" s="56" t="s">
        <v>197</v>
      </c>
      <c r="P43" s="56" t="s">
        <v>154</v>
      </c>
      <c r="Q43" s="2"/>
    </row>
    <row r="44" spans="1:17" ht="12.75" customHeight="1">
      <c r="A44" s="36" t="s">
        <v>90</v>
      </c>
      <c r="B44" s="34"/>
      <c r="C44" s="34"/>
      <c r="D44" s="34"/>
      <c r="E44" s="34"/>
      <c r="F44" s="34"/>
      <c r="G44" s="34"/>
      <c r="H44" s="34"/>
      <c r="I44" s="34"/>
      <c r="J44" s="34"/>
      <c r="K44" s="34"/>
      <c r="L44" s="34"/>
      <c r="M44" s="34"/>
      <c r="N44" s="48"/>
      <c r="O44" s="57"/>
      <c r="P44" s="57"/>
    </row>
    <row r="45" spans="1:17" ht="12.75" customHeight="1">
      <c r="A45" s="39" t="s">
        <v>89</v>
      </c>
      <c r="B45" s="40">
        <v>5</v>
      </c>
      <c r="C45" s="40">
        <v>0</v>
      </c>
      <c r="D45" s="40">
        <v>20</v>
      </c>
      <c r="E45" s="40">
        <v>19</v>
      </c>
      <c r="F45" s="40">
        <v>20</v>
      </c>
      <c r="G45" s="40">
        <v>10</v>
      </c>
      <c r="H45" s="40">
        <v>5</v>
      </c>
      <c r="I45" s="40">
        <v>12</v>
      </c>
      <c r="J45" s="40">
        <v>19</v>
      </c>
      <c r="K45" s="40">
        <v>14</v>
      </c>
      <c r="L45" s="40">
        <v>9</v>
      </c>
      <c r="M45" s="40">
        <v>6</v>
      </c>
      <c r="N45" s="41">
        <f>SUM(B45:M45)</f>
        <v>139</v>
      </c>
      <c r="O45" s="54"/>
      <c r="P45" s="55"/>
    </row>
    <row r="46" spans="1:17" ht="12.75" customHeight="1">
      <c r="A46" s="39" t="s">
        <v>328</v>
      </c>
      <c r="B46" s="40">
        <v>6</v>
      </c>
      <c r="C46" s="40">
        <v>0</v>
      </c>
      <c r="D46" s="40">
        <v>37</v>
      </c>
      <c r="E46" s="40">
        <v>40</v>
      </c>
      <c r="F46" s="40">
        <v>35</v>
      </c>
      <c r="G46" s="40">
        <v>11</v>
      </c>
      <c r="H46" s="40">
        <v>16</v>
      </c>
      <c r="I46" s="40">
        <v>14</v>
      </c>
      <c r="J46" s="40">
        <v>27</v>
      </c>
      <c r="K46" s="40">
        <v>12</v>
      </c>
      <c r="L46" s="40">
        <v>11</v>
      </c>
      <c r="M46" s="40">
        <v>4</v>
      </c>
      <c r="N46" s="41">
        <f>SUM(B46:M46)</f>
        <v>213</v>
      </c>
      <c r="O46" s="54">
        <v>0</v>
      </c>
      <c r="P46" s="55" t="s">
        <v>34</v>
      </c>
    </row>
    <row r="47" spans="1:17" ht="12.75" customHeight="1">
      <c r="A47" s="39" t="s">
        <v>55</v>
      </c>
      <c r="B47" s="59">
        <v>2</v>
      </c>
      <c r="C47" s="59">
        <v>0</v>
      </c>
      <c r="D47" s="59">
        <v>2</v>
      </c>
      <c r="E47" s="59">
        <v>2</v>
      </c>
      <c r="F47" s="59">
        <v>2</v>
      </c>
      <c r="G47" s="59">
        <v>2</v>
      </c>
      <c r="H47" s="59">
        <v>2</v>
      </c>
      <c r="I47" s="59">
        <v>2</v>
      </c>
      <c r="J47" s="59">
        <v>2</v>
      </c>
      <c r="K47" s="59">
        <v>2</v>
      </c>
      <c r="L47" s="59">
        <v>2</v>
      </c>
      <c r="M47" s="59">
        <v>2</v>
      </c>
      <c r="N47" s="41"/>
      <c r="O47" s="54"/>
      <c r="P47" s="55"/>
    </row>
    <row r="48" spans="1:17" ht="12.75" customHeight="1">
      <c r="A48" s="39" t="s">
        <v>29</v>
      </c>
      <c r="B48" s="59">
        <v>0</v>
      </c>
      <c r="C48" s="59">
        <v>0</v>
      </c>
      <c r="D48" s="59">
        <v>0</v>
      </c>
      <c r="E48" s="59">
        <v>0</v>
      </c>
      <c r="F48" s="59">
        <v>0</v>
      </c>
      <c r="G48" s="59">
        <v>0</v>
      </c>
      <c r="H48" s="59">
        <v>0</v>
      </c>
      <c r="I48" s="59">
        <v>0</v>
      </c>
      <c r="J48" s="59">
        <v>0</v>
      </c>
      <c r="K48" s="58">
        <v>0</v>
      </c>
      <c r="L48" s="59">
        <v>0</v>
      </c>
      <c r="M48" s="59">
        <v>0</v>
      </c>
      <c r="N48" s="41">
        <f>SUM(B48:M48)</f>
        <v>0</v>
      </c>
      <c r="O48" s="54"/>
      <c r="P48" s="55"/>
    </row>
    <row r="49" spans="1:17" ht="12.75" customHeight="1">
      <c r="A49" s="2"/>
      <c r="B49" s="50"/>
      <c r="C49" s="50"/>
      <c r="D49" s="50"/>
      <c r="E49" s="50"/>
      <c r="F49" s="50"/>
      <c r="G49" s="50"/>
      <c r="H49" s="50"/>
      <c r="I49" s="50"/>
      <c r="J49" s="50"/>
      <c r="K49" s="77"/>
      <c r="L49" s="50"/>
      <c r="M49" s="50"/>
      <c r="N49" s="50"/>
      <c r="O49" s="55"/>
      <c r="P49" s="55"/>
    </row>
    <row r="50" spans="1:17" ht="12.75" customHeight="1">
      <c r="A50" s="5"/>
      <c r="B50" s="87"/>
      <c r="C50" s="87"/>
      <c r="D50" s="87"/>
      <c r="E50" s="87"/>
      <c r="F50" s="87"/>
      <c r="G50" s="87"/>
      <c r="H50" s="87"/>
      <c r="I50" s="87"/>
      <c r="J50" s="87"/>
      <c r="K50" s="99"/>
      <c r="L50" s="87"/>
      <c r="M50" s="87"/>
      <c r="N50" s="87"/>
      <c r="O50" s="89"/>
      <c r="P50" s="89"/>
    </row>
    <row r="51" spans="1:17" ht="25.5">
      <c r="A51" s="33"/>
      <c r="B51" s="34">
        <v>39264</v>
      </c>
      <c r="C51" s="34">
        <v>39295</v>
      </c>
      <c r="D51" s="34">
        <v>39326</v>
      </c>
      <c r="E51" s="34">
        <v>39356</v>
      </c>
      <c r="F51" s="34">
        <v>39387</v>
      </c>
      <c r="G51" s="34">
        <v>39417</v>
      </c>
      <c r="H51" s="34">
        <v>39448</v>
      </c>
      <c r="I51" s="34">
        <v>39479</v>
      </c>
      <c r="J51" s="34">
        <v>39508</v>
      </c>
      <c r="K51" s="34">
        <v>39539</v>
      </c>
      <c r="L51" s="34">
        <v>39569</v>
      </c>
      <c r="M51" s="34">
        <v>39600</v>
      </c>
      <c r="N51" s="35" t="s">
        <v>258</v>
      </c>
      <c r="O51" s="56" t="s">
        <v>197</v>
      </c>
      <c r="P51" s="56" t="s">
        <v>154</v>
      </c>
      <c r="Q51" s="2"/>
    </row>
    <row r="52" spans="1:17" ht="12.75" customHeight="1">
      <c r="A52" s="36" t="s">
        <v>155</v>
      </c>
      <c r="B52" s="34"/>
      <c r="C52" s="34"/>
      <c r="D52" s="34"/>
      <c r="E52" s="34"/>
      <c r="F52" s="34"/>
      <c r="G52" s="34"/>
      <c r="H52" s="34"/>
      <c r="I52" s="34"/>
      <c r="J52" s="34"/>
      <c r="K52" s="34"/>
      <c r="L52" s="34"/>
      <c r="M52" s="34"/>
      <c r="N52" s="48"/>
      <c r="O52" s="57"/>
      <c r="P52" s="57"/>
    </row>
    <row r="53" spans="1:17" ht="12.75" customHeight="1">
      <c r="A53" s="39" t="s">
        <v>89</v>
      </c>
      <c r="B53" s="40">
        <v>176</v>
      </c>
      <c r="C53" s="40">
        <v>40</v>
      </c>
      <c r="D53" s="40">
        <v>355</v>
      </c>
      <c r="E53" s="40">
        <v>429</v>
      </c>
      <c r="F53" s="40">
        <v>537</v>
      </c>
      <c r="G53" s="40">
        <v>160</v>
      </c>
      <c r="H53" s="40">
        <v>138</v>
      </c>
      <c r="I53" s="40">
        <v>497</v>
      </c>
      <c r="J53" s="40">
        <v>698</v>
      </c>
      <c r="K53" s="40">
        <v>603</v>
      </c>
      <c r="L53" s="40">
        <v>124</v>
      </c>
      <c r="M53" s="40">
        <v>128</v>
      </c>
      <c r="N53" s="41">
        <f>SUM(B53:M53)</f>
        <v>3885</v>
      </c>
      <c r="O53" s="54"/>
      <c r="P53" s="55"/>
    </row>
    <row r="54" spans="1:17" ht="12.75" customHeight="1">
      <c r="A54" s="39" t="s">
        <v>328</v>
      </c>
      <c r="B54" s="40">
        <v>389</v>
      </c>
      <c r="C54" s="40">
        <v>80</v>
      </c>
      <c r="D54" s="40">
        <v>655</v>
      </c>
      <c r="E54" s="40">
        <v>895</v>
      </c>
      <c r="F54" s="40">
        <v>926</v>
      </c>
      <c r="G54" s="40">
        <v>316</v>
      </c>
      <c r="H54" s="40">
        <v>312</v>
      </c>
      <c r="I54" s="40">
        <v>862</v>
      </c>
      <c r="J54" s="40">
        <v>1540</v>
      </c>
      <c r="K54" s="40">
        <v>1231</v>
      </c>
      <c r="L54" s="40">
        <v>297</v>
      </c>
      <c r="M54" s="40">
        <v>370</v>
      </c>
      <c r="N54" s="41">
        <f>SUM(B54:M54)</f>
        <v>7873</v>
      </c>
      <c r="O54" s="54">
        <v>0</v>
      </c>
      <c r="P54" s="55" t="s">
        <v>34</v>
      </c>
    </row>
    <row r="55" spans="1:17" ht="12.75" customHeight="1">
      <c r="A55" s="39" t="s">
        <v>55</v>
      </c>
      <c r="B55" s="59">
        <v>2</v>
      </c>
      <c r="C55" s="59">
        <v>2</v>
      </c>
      <c r="D55" s="59">
        <v>2</v>
      </c>
      <c r="E55" s="59">
        <v>2</v>
      </c>
      <c r="F55" s="59">
        <v>2</v>
      </c>
      <c r="G55" s="59">
        <v>2</v>
      </c>
      <c r="H55" s="59">
        <v>2</v>
      </c>
      <c r="I55" s="59">
        <v>2</v>
      </c>
      <c r="J55" s="59">
        <v>2</v>
      </c>
      <c r="K55" s="59">
        <v>2</v>
      </c>
      <c r="L55" s="59">
        <v>2</v>
      </c>
      <c r="M55" s="59">
        <v>2</v>
      </c>
      <c r="N55" s="41"/>
      <c r="O55" s="54"/>
      <c r="P55" s="55"/>
    </row>
    <row r="56" spans="1:17" ht="12.75" customHeight="1">
      <c r="A56" s="39" t="s">
        <v>29</v>
      </c>
      <c r="B56" s="59">
        <v>56</v>
      </c>
      <c r="C56" s="59">
        <v>0</v>
      </c>
      <c r="D56" s="59">
        <v>69</v>
      </c>
      <c r="E56" s="59">
        <v>40</v>
      </c>
      <c r="F56" s="59">
        <v>58</v>
      </c>
      <c r="G56" s="59">
        <v>4</v>
      </c>
      <c r="H56" s="59">
        <v>6</v>
      </c>
      <c r="I56" s="59">
        <v>91</v>
      </c>
      <c r="J56" s="59">
        <v>152</v>
      </c>
      <c r="K56" s="59">
        <v>93</v>
      </c>
      <c r="L56" s="59">
        <v>0</v>
      </c>
      <c r="M56" s="59">
        <v>8</v>
      </c>
      <c r="N56" s="41">
        <f>SUM(B56:M56)</f>
        <v>577</v>
      </c>
      <c r="O56" s="54"/>
      <c r="P56" s="55"/>
    </row>
    <row r="57" spans="1:17" ht="12.75" customHeight="1">
      <c r="A57" s="2"/>
      <c r="B57" s="50"/>
      <c r="C57" s="50"/>
      <c r="D57" s="50"/>
      <c r="E57" s="50"/>
      <c r="F57" s="50"/>
      <c r="G57" s="50"/>
      <c r="H57" s="50"/>
      <c r="I57" s="50"/>
      <c r="J57" s="50"/>
      <c r="K57" s="50"/>
      <c r="L57" s="50"/>
      <c r="M57" s="50"/>
      <c r="N57" s="50"/>
      <c r="O57" s="55"/>
      <c r="P57" s="55"/>
    </row>
    <row r="58" spans="1:17" ht="12.75" customHeight="1">
      <c r="A58" s="5"/>
      <c r="B58" s="86"/>
      <c r="C58" s="86"/>
      <c r="D58" s="86"/>
      <c r="E58" s="86"/>
      <c r="F58" s="86"/>
      <c r="G58" s="86"/>
      <c r="H58" s="86"/>
      <c r="I58" s="86"/>
      <c r="J58" s="86"/>
      <c r="K58" s="86"/>
      <c r="L58" s="86"/>
      <c r="M58" s="86"/>
      <c r="N58" s="87"/>
      <c r="O58" s="89"/>
      <c r="P58" s="89"/>
    </row>
    <row r="59" spans="1:17" ht="25.5">
      <c r="A59" s="33"/>
      <c r="B59" s="34">
        <v>39264</v>
      </c>
      <c r="C59" s="34">
        <v>39295</v>
      </c>
      <c r="D59" s="34">
        <v>39326</v>
      </c>
      <c r="E59" s="34">
        <v>39356</v>
      </c>
      <c r="F59" s="34">
        <v>39387</v>
      </c>
      <c r="G59" s="34">
        <v>39417</v>
      </c>
      <c r="H59" s="34">
        <v>39448</v>
      </c>
      <c r="I59" s="34">
        <v>39479</v>
      </c>
      <c r="J59" s="34">
        <v>39508</v>
      </c>
      <c r="K59" s="34">
        <v>39539</v>
      </c>
      <c r="L59" s="34">
        <v>39569</v>
      </c>
      <c r="M59" s="34">
        <v>39600</v>
      </c>
      <c r="N59" s="35" t="s">
        <v>258</v>
      </c>
      <c r="O59" s="56" t="s">
        <v>197</v>
      </c>
      <c r="P59" s="56" t="s">
        <v>154</v>
      </c>
      <c r="Q59" s="2"/>
    </row>
    <row r="60" spans="1:17" ht="12.75" customHeight="1">
      <c r="A60" s="36" t="s">
        <v>36</v>
      </c>
      <c r="B60" s="34"/>
      <c r="C60" s="34"/>
      <c r="D60" s="34"/>
      <c r="E60" s="34"/>
      <c r="F60" s="34"/>
      <c r="G60" s="34"/>
      <c r="H60" s="34"/>
      <c r="I60" s="34"/>
      <c r="J60" s="34"/>
      <c r="K60" s="34"/>
      <c r="L60" s="34"/>
      <c r="M60" s="34"/>
      <c r="N60" s="48"/>
      <c r="O60" s="57"/>
      <c r="P60" s="57"/>
    </row>
    <row r="61" spans="1:17" ht="12.75" customHeight="1">
      <c r="A61" s="39" t="s">
        <v>89</v>
      </c>
      <c r="B61" s="40">
        <v>8</v>
      </c>
      <c r="C61" s="40">
        <v>6</v>
      </c>
      <c r="D61" s="40">
        <v>13</v>
      </c>
      <c r="E61" s="40">
        <v>13</v>
      </c>
      <c r="F61" s="40">
        <v>17</v>
      </c>
      <c r="G61" s="40">
        <v>9</v>
      </c>
      <c r="H61" s="40">
        <v>14</v>
      </c>
      <c r="I61" s="40">
        <v>17</v>
      </c>
      <c r="J61" s="40">
        <v>16</v>
      </c>
      <c r="K61" s="40">
        <v>14</v>
      </c>
      <c r="L61" s="40">
        <v>6</v>
      </c>
      <c r="M61" s="40">
        <v>14</v>
      </c>
      <c r="N61" s="41">
        <f>SUM(B61:M61)</f>
        <v>147</v>
      </c>
      <c r="O61" s="54"/>
      <c r="P61" s="55"/>
    </row>
    <row r="62" spans="1:17" ht="12.75" customHeight="1">
      <c r="A62" s="39" t="s">
        <v>328</v>
      </c>
      <c r="B62" s="40">
        <v>11</v>
      </c>
      <c r="C62" s="40">
        <v>20</v>
      </c>
      <c r="D62" s="40">
        <v>13</v>
      </c>
      <c r="E62" s="40">
        <v>11</v>
      </c>
      <c r="F62" s="40">
        <v>16</v>
      </c>
      <c r="G62" s="40">
        <v>6</v>
      </c>
      <c r="H62" s="40">
        <v>9</v>
      </c>
      <c r="I62" s="40">
        <v>9</v>
      </c>
      <c r="J62" s="40">
        <v>14</v>
      </c>
      <c r="K62" s="40">
        <v>32</v>
      </c>
      <c r="L62" s="40">
        <v>1</v>
      </c>
      <c r="M62" s="40">
        <v>13</v>
      </c>
      <c r="N62" s="41">
        <f>SUM(B62:M62)</f>
        <v>155</v>
      </c>
      <c r="O62" s="54">
        <v>0</v>
      </c>
      <c r="P62" s="55" t="s">
        <v>34</v>
      </c>
    </row>
    <row r="63" spans="1:17" ht="12.75" customHeight="1">
      <c r="A63" s="39" t="s">
        <v>55</v>
      </c>
      <c r="B63" s="59">
        <v>2</v>
      </c>
      <c r="C63" s="59">
        <v>2</v>
      </c>
      <c r="D63" s="59">
        <v>2</v>
      </c>
      <c r="E63" s="59">
        <v>2</v>
      </c>
      <c r="F63" s="59">
        <v>2</v>
      </c>
      <c r="G63" s="59">
        <v>2</v>
      </c>
      <c r="H63" s="59">
        <v>2</v>
      </c>
      <c r="I63" s="59">
        <v>2</v>
      </c>
      <c r="J63" s="59">
        <v>2</v>
      </c>
      <c r="K63" s="59">
        <v>2</v>
      </c>
      <c r="L63" s="59">
        <v>2</v>
      </c>
      <c r="M63" s="59">
        <v>2</v>
      </c>
      <c r="N63" s="41"/>
      <c r="O63" s="54"/>
      <c r="P63" s="55"/>
    </row>
    <row r="64" spans="1:17" ht="12.75" customHeight="1">
      <c r="A64" s="39" t="s">
        <v>29</v>
      </c>
      <c r="B64" s="59">
        <v>0</v>
      </c>
      <c r="C64" s="59">
        <v>0</v>
      </c>
      <c r="D64" s="59">
        <v>0</v>
      </c>
      <c r="E64" s="59">
        <v>0</v>
      </c>
      <c r="F64" s="59">
        <v>0</v>
      </c>
      <c r="G64" s="59">
        <v>0</v>
      </c>
      <c r="H64" s="59">
        <v>0</v>
      </c>
      <c r="I64" s="59">
        <v>0</v>
      </c>
      <c r="J64" s="59">
        <v>0</v>
      </c>
      <c r="K64" s="59">
        <v>0</v>
      </c>
      <c r="L64" s="59">
        <v>0</v>
      </c>
      <c r="M64" s="59">
        <v>0</v>
      </c>
      <c r="N64" s="41">
        <f>SUM(B64:M64)</f>
        <v>0</v>
      </c>
      <c r="O64" s="54"/>
      <c r="P64" s="55"/>
    </row>
    <row r="65" spans="1:17" ht="12.75" customHeight="1">
      <c r="A65" s="2"/>
      <c r="B65" s="50"/>
      <c r="C65" s="50"/>
      <c r="D65" s="50"/>
      <c r="E65" s="50"/>
      <c r="F65" s="50"/>
      <c r="G65" s="50"/>
      <c r="H65" s="50"/>
      <c r="I65" s="50"/>
      <c r="J65" s="50"/>
      <c r="K65" s="50"/>
      <c r="L65" s="50"/>
      <c r="M65" s="50"/>
      <c r="N65" s="50"/>
      <c r="O65" s="55"/>
      <c r="P65" s="55"/>
    </row>
    <row r="66" spans="1:17" ht="12.75" customHeight="1">
      <c r="A66" s="5"/>
      <c r="B66" s="87"/>
      <c r="C66" s="87"/>
      <c r="D66" s="87"/>
      <c r="E66" s="87"/>
      <c r="F66" s="87"/>
      <c r="G66" s="87"/>
      <c r="H66" s="87"/>
      <c r="I66" s="87"/>
      <c r="J66" s="87"/>
      <c r="K66" s="87"/>
      <c r="L66" s="87"/>
      <c r="M66" s="87"/>
      <c r="N66" s="87"/>
      <c r="O66" s="89"/>
      <c r="P66" s="89"/>
    </row>
    <row r="67" spans="1:17" ht="25.5">
      <c r="A67" s="33"/>
      <c r="B67" s="34">
        <v>39264</v>
      </c>
      <c r="C67" s="34">
        <v>39295</v>
      </c>
      <c r="D67" s="34">
        <v>39326</v>
      </c>
      <c r="E67" s="34">
        <v>39356</v>
      </c>
      <c r="F67" s="34">
        <v>39387</v>
      </c>
      <c r="G67" s="34">
        <v>39417</v>
      </c>
      <c r="H67" s="34">
        <v>39448</v>
      </c>
      <c r="I67" s="34">
        <v>39479</v>
      </c>
      <c r="J67" s="34">
        <v>39508</v>
      </c>
      <c r="K67" s="34">
        <v>39539</v>
      </c>
      <c r="L67" s="34">
        <v>39569</v>
      </c>
      <c r="M67" s="34">
        <v>39600</v>
      </c>
      <c r="N67" s="35" t="s">
        <v>258</v>
      </c>
      <c r="O67" s="56" t="s">
        <v>197</v>
      </c>
      <c r="P67" s="56" t="s">
        <v>154</v>
      </c>
      <c r="Q67" s="2"/>
    </row>
    <row r="68" spans="1:17" ht="12.75" customHeight="1">
      <c r="A68" s="36" t="s">
        <v>129</v>
      </c>
      <c r="B68" s="34"/>
      <c r="C68" s="34"/>
      <c r="D68" s="34"/>
      <c r="E68" s="34"/>
      <c r="F68" s="34"/>
      <c r="G68" s="34"/>
      <c r="H68" s="34"/>
      <c r="I68" s="34"/>
      <c r="J68" s="34"/>
      <c r="K68" s="34"/>
      <c r="L68" s="34"/>
      <c r="M68" s="34"/>
      <c r="N68" s="48"/>
      <c r="O68" s="57"/>
      <c r="P68" s="57"/>
    </row>
    <row r="69" spans="1:17" ht="12.75" customHeight="1">
      <c r="A69" s="39" t="s">
        <v>89</v>
      </c>
      <c r="B69" s="40">
        <v>24</v>
      </c>
      <c r="C69" s="40">
        <v>5</v>
      </c>
      <c r="D69" s="40">
        <v>59</v>
      </c>
      <c r="E69" s="40">
        <v>62</v>
      </c>
      <c r="F69" s="40">
        <v>62</v>
      </c>
      <c r="G69" s="40">
        <v>12</v>
      </c>
      <c r="H69" s="40">
        <v>12</v>
      </c>
      <c r="I69" s="40">
        <v>43</v>
      </c>
      <c r="J69" s="40">
        <v>76</v>
      </c>
      <c r="K69" s="40">
        <v>72</v>
      </c>
      <c r="L69" s="40">
        <v>25</v>
      </c>
      <c r="M69" s="40">
        <v>36</v>
      </c>
      <c r="N69" s="41">
        <f>SUM(B69:M69)</f>
        <v>488</v>
      </c>
      <c r="O69" s="54"/>
      <c r="P69" s="55"/>
    </row>
    <row r="70" spans="1:17" ht="12.75" customHeight="1">
      <c r="A70" s="39" t="s">
        <v>328</v>
      </c>
      <c r="B70" s="40">
        <v>34</v>
      </c>
      <c r="C70" s="40">
        <v>4</v>
      </c>
      <c r="D70" s="40">
        <v>96</v>
      </c>
      <c r="E70" s="40">
        <v>72</v>
      </c>
      <c r="F70" s="40">
        <v>71</v>
      </c>
      <c r="G70" s="40">
        <v>16</v>
      </c>
      <c r="H70" s="40">
        <v>20</v>
      </c>
      <c r="I70" s="40">
        <v>55</v>
      </c>
      <c r="J70" s="40">
        <v>101</v>
      </c>
      <c r="K70" s="40">
        <v>93</v>
      </c>
      <c r="L70" s="40">
        <v>40</v>
      </c>
      <c r="M70" s="40">
        <v>63</v>
      </c>
      <c r="N70" s="41">
        <f>SUM(B70:M70)</f>
        <v>665</v>
      </c>
      <c r="O70" s="54">
        <v>0</v>
      </c>
      <c r="P70" s="55" t="s">
        <v>34</v>
      </c>
    </row>
    <row r="71" spans="1:17" ht="12.75" customHeight="1">
      <c r="A71" s="39" t="s">
        <v>55</v>
      </c>
      <c r="B71" s="59">
        <v>2</v>
      </c>
      <c r="C71" s="59">
        <v>2</v>
      </c>
      <c r="D71" s="59">
        <v>2</v>
      </c>
      <c r="E71" s="59">
        <v>2</v>
      </c>
      <c r="F71" s="59">
        <v>2</v>
      </c>
      <c r="G71" s="59">
        <v>2</v>
      </c>
      <c r="H71" s="59">
        <v>2</v>
      </c>
      <c r="I71" s="59">
        <v>2</v>
      </c>
      <c r="J71" s="59">
        <v>2</v>
      </c>
      <c r="K71" s="59">
        <v>2</v>
      </c>
      <c r="L71" s="59">
        <v>2</v>
      </c>
      <c r="M71" s="59">
        <v>2</v>
      </c>
      <c r="N71" s="41"/>
      <c r="O71" s="54"/>
      <c r="P71" s="55"/>
    </row>
    <row r="72" spans="1:17" ht="12.75" customHeight="1">
      <c r="A72" s="39" t="s">
        <v>29</v>
      </c>
      <c r="B72" s="59">
        <v>0</v>
      </c>
      <c r="C72" s="59">
        <v>0</v>
      </c>
      <c r="D72" s="59">
        <v>2</v>
      </c>
      <c r="E72" s="59">
        <v>0</v>
      </c>
      <c r="F72" s="59">
        <v>0</v>
      </c>
      <c r="G72" s="59">
        <v>0</v>
      </c>
      <c r="H72" s="59">
        <v>0</v>
      </c>
      <c r="I72" s="59">
        <v>0</v>
      </c>
      <c r="J72" s="59">
        <v>0</v>
      </c>
      <c r="K72" s="59">
        <v>0</v>
      </c>
      <c r="L72" s="59">
        <v>0</v>
      </c>
      <c r="M72" s="59">
        <v>0</v>
      </c>
      <c r="N72" s="41">
        <f>SUM(B72:M72)</f>
        <v>2</v>
      </c>
      <c r="O72" s="54"/>
      <c r="P72" s="55"/>
    </row>
    <row r="73" spans="1:17" ht="12.75" customHeight="1">
      <c r="A73" s="2"/>
      <c r="B73" s="50"/>
      <c r="C73" s="50"/>
      <c r="D73" s="50"/>
      <c r="E73" s="50"/>
      <c r="F73" s="50"/>
      <c r="G73" s="50"/>
      <c r="H73" s="50"/>
      <c r="I73" s="50"/>
      <c r="J73" s="50"/>
      <c r="K73" s="50"/>
      <c r="L73" s="50"/>
      <c r="M73" s="50"/>
      <c r="N73" s="50"/>
      <c r="O73" s="55"/>
      <c r="P73" s="55"/>
    </row>
    <row r="74" spans="1:17" ht="12.75" customHeight="1">
      <c r="A74" s="5"/>
      <c r="B74" s="87"/>
      <c r="C74" s="87"/>
      <c r="D74" s="87"/>
      <c r="E74" s="87"/>
      <c r="F74" s="87"/>
      <c r="G74" s="87"/>
      <c r="H74" s="87"/>
      <c r="I74" s="87"/>
      <c r="J74" s="87"/>
      <c r="K74" s="87"/>
      <c r="L74" s="87"/>
      <c r="M74" s="87"/>
      <c r="N74" s="87"/>
      <c r="O74" s="89"/>
      <c r="P74" s="89"/>
    </row>
    <row r="75" spans="1:17" ht="25.5">
      <c r="A75" s="33"/>
      <c r="B75" s="34">
        <v>39264</v>
      </c>
      <c r="C75" s="34">
        <v>39295</v>
      </c>
      <c r="D75" s="34">
        <v>39326</v>
      </c>
      <c r="E75" s="34">
        <v>39356</v>
      </c>
      <c r="F75" s="34">
        <v>39387</v>
      </c>
      <c r="G75" s="34">
        <v>39417</v>
      </c>
      <c r="H75" s="34">
        <v>39448</v>
      </c>
      <c r="I75" s="34">
        <v>39479</v>
      </c>
      <c r="J75" s="34">
        <v>39508</v>
      </c>
      <c r="K75" s="34">
        <v>39539</v>
      </c>
      <c r="L75" s="34">
        <v>39569</v>
      </c>
      <c r="M75" s="34">
        <v>39600</v>
      </c>
      <c r="N75" s="35" t="s">
        <v>258</v>
      </c>
      <c r="O75" s="56" t="s">
        <v>197</v>
      </c>
      <c r="P75" s="56" t="s">
        <v>154</v>
      </c>
      <c r="Q75" s="2"/>
    </row>
    <row r="76" spans="1:17" ht="12.75" customHeight="1">
      <c r="A76" s="36" t="s">
        <v>248</v>
      </c>
      <c r="B76" s="34"/>
      <c r="C76" s="34"/>
      <c r="D76" s="34"/>
      <c r="E76" s="34"/>
      <c r="F76" s="34"/>
      <c r="G76" s="34"/>
      <c r="H76" s="34"/>
      <c r="I76" s="34"/>
      <c r="J76" s="34"/>
      <c r="K76" s="34"/>
      <c r="L76" s="34"/>
      <c r="M76" s="34"/>
      <c r="N76" s="48"/>
      <c r="O76" s="57"/>
      <c r="P76" s="57"/>
    </row>
    <row r="77" spans="1:17" ht="12.75" customHeight="1">
      <c r="A77" s="39" t="s">
        <v>89</v>
      </c>
      <c r="B77" s="40">
        <v>6</v>
      </c>
      <c r="C77" s="40">
        <v>0</v>
      </c>
      <c r="D77" s="40">
        <v>7</v>
      </c>
      <c r="E77" s="40">
        <v>9</v>
      </c>
      <c r="F77" s="40">
        <v>10</v>
      </c>
      <c r="G77" s="40">
        <v>5</v>
      </c>
      <c r="H77" s="40">
        <v>5</v>
      </c>
      <c r="I77" s="40">
        <v>12</v>
      </c>
      <c r="J77" s="40">
        <v>17</v>
      </c>
      <c r="K77" s="40">
        <v>20</v>
      </c>
      <c r="L77" s="40">
        <v>4</v>
      </c>
      <c r="M77" s="40">
        <v>6</v>
      </c>
      <c r="N77" s="41">
        <f>SUM(B77:M77)</f>
        <v>101</v>
      </c>
      <c r="O77" s="54"/>
      <c r="P77" s="55"/>
    </row>
    <row r="78" spans="1:17" ht="12.75" customHeight="1">
      <c r="A78" s="39" t="s">
        <v>328</v>
      </c>
      <c r="B78" s="40">
        <v>7</v>
      </c>
      <c r="C78" s="40">
        <v>0</v>
      </c>
      <c r="D78" s="40">
        <v>4</v>
      </c>
      <c r="E78" s="40">
        <v>12</v>
      </c>
      <c r="F78" s="40">
        <v>8</v>
      </c>
      <c r="G78" s="40">
        <v>41</v>
      </c>
      <c r="H78" s="40">
        <v>4</v>
      </c>
      <c r="I78" s="40">
        <v>22</v>
      </c>
      <c r="J78" s="40">
        <v>24</v>
      </c>
      <c r="K78" s="40">
        <v>24</v>
      </c>
      <c r="L78" s="40">
        <v>6</v>
      </c>
      <c r="M78" s="40">
        <v>5</v>
      </c>
      <c r="N78" s="41">
        <f>SUM(B78:M78)</f>
        <v>157</v>
      </c>
      <c r="O78" s="54">
        <v>0</v>
      </c>
      <c r="P78" s="55" t="s">
        <v>34</v>
      </c>
    </row>
    <row r="79" spans="1:17" ht="12.75" customHeight="1">
      <c r="A79" s="39" t="s">
        <v>55</v>
      </c>
      <c r="B79" s="59">
        <v>2</v>
      </c>
      <c r="C79" s="59">
        <v>0</v>
      </c>
      <c r="D79" s="59">
        <v>2</v>
      </c>
      <c r="E79" s="59">
        <v>2</v>
      </c>
      <c r="F79" s="59">
        <v>2</v>
      </c>
      <c r="G79" s="59">
        <v>2</v>
      </c>
      <c r="H79" s="59">
        <v>2</v>
      </c>
      <c r="I79" s="59">
        <v>2</v>
      </c>
      <c r="J79" s="59">
        <v>2</v>
      </c>
      <c r="K79" s="59">
        <v>2</v>
      </c>
      <c r="L79" s="59">
        <v>2</v>
      </c>
      <c r="M79" s="59">
        <v>2</v>
      </c>
      <c r="N79" s="41"/>
      <c r="O79" s="54"/>
      <c r="P79" s="55"/>
    </row>
    <row r="80" spans="1:17" ht="12.75" customHeight="1">
      <c r="A80" s="39" t="s">
        <v>29</v>
      </c>
      <c r="B80" s="59">
        <v>0</v>
      </c>
      <c r="C80" s="59">
        <v>0</v>
      </c>
      <c r="D80" s="59">
        <v>0</v>
      </c>
      <c r="E80" s="59">
        <v>0</v>
      </c>
      <c r="F80" s="59">
        <v>0</v>
      </c>
      <c r="G80" s="59">
        <v>0</v>
      </c>
      <c r="H80" s="59">
        <v>0</v>
      </c>
      <c r="I80" s="59">
        <v>0</v>
      </c>
      <c r="J80" s="59">
        <v>0</v>
      </c>
      <c r="K80" s="59">
        <v>0</v>
      </c>
      <c r="L80" s="59">
        <v>0</v>
      </c>
      <c r="M80" s="59">
        <v>0</v>
      </c>
      <c r="N80" s="41">
        <f>SUM(B80:M80)</f>
        <v>0</v>
      </c>
      <c r="O80" s="54"/>
      <c r="P80" s="55"/>
    </row>
    <row r="81" spans="1:17" ht="12.75" customHeight="1">
      <c r="A81" s="2"/>
      <c r="B81" s="50"/>
      <c r="C81" s="50"/>
      <c r="D81" s="50"/>
      <c r="E81" s="50"/>
      <c r="F81" s="50"/>
      <c r="G81" s="50"/>
      <c r="H81" s="50"/>
      <c r="I81" s="50"/>
      <c r="J81" s="50"/>
      <c r="K81" s="50"/>
      <c r="L81" s="50"/>
      <c r="M81" s="50"/>
      <c r="N81" s="50"/>
      <c r="O81" s="55"/>
      <c r="P81" s="55"/>
    </row>
    <row r="82" spans="1:17" ht="12.75" customHeight="1">
      <c r="A82" s="5"/>
      <c r="B82" s="87"/>
      <c r="C82" s="87"/>
      <c r="D82" s="87"/>
      <c r="E82" s="87"/>
      <c r="F82" s="87"/>
      <c r="G82" s="87"/>
      <c r="H82" s="87"/>
      <c r="I82" s="87"/>
      <c r="J82" s="87"/>
      <c r="K82" s="87"/>
      <c r="L82" s="87"/>
      <c r="M82" s="87"/>
      <c r="N82" s="87"/>
      <c r="O82" s="89"/>
      <c r="P82" s="89"/>
    </row>
    <row r="83" spans="1:17" ht="25.5">
      <c r="A83" s="33"/>
      <c r="B83" s="34">
        <v>39264</v>
      </c>
      <c r="C83" s="34">
        <v>39295</v>
      </c>
      <c r="D83" s="34">
        <v>39326</v>
      </c>
      <c r="E83" s="34">
        <v>39356</v>
      </c>
      <c r="F83" s="34">
        <v>39387</v>
      </c>
      <c r="G83" s="34">
        <v>39417</v>
      </c>
      <c r="H83" s="34">
        <v>39448</v>
      </c>
      <c r="I83" s="34">
        <v>39479</v>
      </c>
      <c r="J83" s="34">
        <v>39508</v>
      </c>
      <c r="K83" s="34">
        <v>39539</v>
      </c>
      <c r="L83" s="34">
        <v>39569</v>
      </c>
      <c r="M83" s="34">
        <v>39600</v>
      </c>
      <c r="N83" s="35" t="s">
        <v>258</v>
      </c>
      <c r="O83" s="56" t="s">
        <v>197</v>
      </c>
      <c r="P83" s="56" t="s">
        <v>154</v>
      </c>
      <c r="Q83" s="2"/>
    </row>
    <row r="84" spans="1:17" ht="12.75" customHeight="1">
      <c r="A84" s="36" t="s">
        <v>185</v>
      </c>
      <c r="B84" s="34"/>
      <c r="C84" s="34"/>
      <c r="D84" s="34"/>
      <c r="E84" s="34"/>
      <c r="F84" s="34" t="s">
        <v>26</v>
      </c>
      <c r="G84" s="34" t="s">
        <v>26</v>
      </c>
      <c r="H84" s="34"/>
      <c r="I84" s="34"/>
      <c r="J84" s="34"/>
      <c r="K84" s="34"/>
      <c r="L84" s="34"/>
      <c r="M84" s="34"/>
      <c r="N84" s="48"/>
      <c r="O84" s="57"/>
      <c r="P84" s="57"/>
    </row>
    <row r="85" spans="1:17" ht="12.75" customHeight="1">
      <c r="A85" s="39" t="s">
        <v>89</v>
      </c>
      <c r="B85" s="40">
        <v>5</v>
      </c>
      <c r="C85" s="40">
        <v>0</v>
      </c>
      <c r="D85" s="40">
        <v>0</v>
      </c>
      <c r="E85" s="40">
        <v>3</v>
      </c>
      <c r="F85" s="40">
        <v>5</v>
      </c>
      <c r="G85" s="40">
        <v>0</v>
      </c>
      <c r="H85" s="40">
        <v>1</v>
      </c>
      <c r="I85" s="40">
        <v>8</v>
      </c>
      <c r="J85" s="40">
        <v>6</v>
      </c>
      <c r="K85" s="40">
        <v>3</v>
      </c>
      <c r="L85" s="40">
        <v>1</v>
      </c>
      <c r="M85" s="40">
        <v>3</v>
      </c>
      <c r="N85" s="41">
        <f>SUM(B85:M85)</f>
        <v>35</v>
      </c>
      <c r="O85" s="54"/>
      <c r="P85" s="55"/>
    </row>
    <row r="86" spans="1:17" ht="12.75" customHeight="1">
      <c r="A86" s="39" t="s">
        <v>328</v>
      </c>
      <c r="B86" s="40">
        <v>4</v>
      </c>
      <c r="C86" s="40">
        <v>0</v>
      </c>
      <c r="D86" s="40">
        <v>0</v>
      </c>
      <c r="E86" s="40">
        <v>2</v>
      </c>
      <c r="F86" s="40">
        <v>7</v>
      </c>
      <c r="G86" s="40">
        <v>0</v>
      </c>
      <c r="H86" s="40">
        <v>1</v>
      </c>
      <c r="I86" s="40">
        <v>14</v>
      </c>
      <c r="J86" s="40">
        <v>8</v>
      </c>
      <c r="K86" s="40">
        <v>5</v>
      </c>
      <c r="L86" s="40">
        <v>1</v>
      </c>
      <c r="M86" s="40">
        <v>3</v>
      </c>
      <c r="N86" s="41">
        <f>SUM(B86:M86)</f>
        <v>45</v>
      </c>
      <c r="O86" s="54">
        <v>0</v>
      </c>
      <c r="P86" s="55" t="s">
        <v>34</v>
      </c>
    </row>
    <row r="87" spans="1:17" ht="12.75" customHeight="1">
      <c r="A87" s="39" t="s">
        <v>55</v>
      </c>
      <c r="B87" s="59">
        <v>2</v>
      </c>
      <c r="C87" s="59">
        <v>0</v>
      </c>
      <c r="D87" s="59">
        <v>0</v>
      </c>
      <c r="E87" s="59">
        <v>2</v>
      </c>
      <c r="F87" s="59">
        <v>2</v>
      </c>
      <c r="G87" s="59">
        <v>0</v>
      </c>
      <c r="H87" s="59">
        <v>2</v>
      </c>
      <c r="I87" s="59">
        <v>2</v>
      </c>
      <c r="J87" s="59">
        <v>2</v>
      </c>
      <c r="K87" s="59">
        <v>2</v>
      </c>
      <c r="L87" s="59">
        <v>2</v>
      </c>
      <c r="M87" s="59">
        <v>2</v>
      </c>
      <c r="N87" s="41"/>
      <c r="O87" s="54"/>
      <c r="P87" s="55"/>
    </row>
    <row r="88" spans="1:17" ht="12.75" customHeight="1">
      <c r="A88" s="39" t="s">
        <v>29</v>
      </c>
      <c r="B88" s="59">
        <v>0</v>
      </c>
      <c r="C88" s="59">
        <v>0</v>
      </c>
      <c r="D88" s="59">
        <v>0</v>
      </c>
      <c r="E88" s="59">
        <v>0</v>
      </c>
      <c r="F88" s="59">
        <v>0</v>
      </c>
      <c r="G88" s="59">
        <v>0</v>
      </c>
      <c r="H88" s="59">
        <v>0</v>
      </c>
      <c r="I88" s="59">
        <v>0</v>
      </c>
      <c r="J88" s="59">
        <v>0</v>
      </c>
      <c r="K88" s="59">
        <v>0</v>
      </c>
      <c r="L88" s="59">
        <v>0</v>
      </c>
      <c r="M88" s="59">
        <v>0</v>
      </c>
      <c r="N88" s="41">
        <f>SUM(B88:M88)</f>
        <v>0</v>
      </c>
      <c r="O88" s="54"/>
      <c r="P88" s="55"/>
    </row>
    <row r="89" spans="1:17" ht="12.75" customHeight="1">
      <c r="A89" s="2"/>
      <c r="B89" s="50"/>
      <c r="C89" s="50"/>
      <c r="D89" s="50"/>
      <c r="E89" s="50"/>
      <c r="F89" s="50"/>
      <c r="G89" s="50"/>
      <c r="H89" s="50"/>
      <c r="I89" s="50"/>
      <c r="J89" s="50"/>
      <c r="K89" s="50"/>
      <c r="L89" s="50"/>
      <c r="M89" s="50"/>
      <c r="N89" s="50"/>
      <c r="O89" s="55"/>
      <c r="P89" s="55"/>
    </row>
    <row r="90" spans="1:17" ht="12.75" customHeight="1">
      <c r="A90" s="5"/>
      <c r="B90" s="87"/>
      <c r="C90" s="87"/>
      <c r="D90" s="87"/>
      <c r="E90" s="87"/>
      <c r="F90" s="87"/>
      <c r="G90" s="87"/>
      <c r="H90" s="87"/>
      <c r="I90" s="87"/>
      <c r="J90" s="87"/>
      <c r="K90" s="87"/>
      <c r="L90" s="87"/>
      <c r="M90" s="87"/>
      <c r="N90" s="87"/>
      <c r="O90" s="89"/>
      <c r="P90" s="89"/>
    </row>
    <row r="91" spans="1:17" ht="25.5">
      <c r="A91" s="33"/>
      <c r="B91" s="34">
        <v>39264</v>
      </c>
      <c r="C91" s="34">
        <v>39295</v>
      </c>
      <c r="D91" s="34">
        <v>39326</v>
      </c>
      <c r="E91" s="34">
        <v>39356</v>
      </c>
      <c r="F91" s="34">
        <v>39387</v>
      </c>
      <c r="G91" s="34">
        <v>39417</v>
      </c>
      <c r="H91" s="34">
        <v>39448</v>
      </c>
      <c r="I91" s="34">
        <v>39479</v>
      </c>
      <c r="J91" s="34">
        <v>39508</v>
      </c>
      <c r="K91" s="34">
        <v>39539</v>
      </c>
      <c r="L91" s="34">
        <v>39569</v>
      </c>
      <c r="M91" s="34">
        <v>39600</v>
      </c>
      <c r="N91" s="35" t="s">
        <v>258</v>
      </c>
      <c r="O91" s="56" t="s">
        <v>197</v>
      </c>
      <c r="P91" s="56" t="s">
        <v>154</v>
      </c>
      <c r="Q91" s="2"/>
    </row>
    <row r="92" spans="1:17" ht="12.75" customHeight="1">
      <c r="A92" s="36" t="s">
        <v>102</v>
      </c>
      <c r="B92" s="34"/>
      <c r="C92" s="34"/>
      <c r="D92" s="34"/>
      <c r="E92" s="34"/>
      <c r="F92" s="34"/>
      <c r="G92" s="34"/>
      <c r="H92" s="34"/>
      <c r="I92" s="34"/>
      <c r="J92" s="34"/>
      <c r="K92" s="34"/>
      <c r="L92" s="34"/>
      <c r="M92" s="34"/>
      <c r="N92" s="48"/>
      <c r="O92" s="57"/>
      <c r="P92" s="57"/>
    </row>
    <row r="93" spans="1:17" ht="12.75" customHeight="1">
      <c r="A93" s="39" t="s">
        <v>89</v>
      </c>
      <c r="B93" s="40">
        <v>4</v>
      </c>
      <c r="C93" s="40">
        <v>0</v>
      </c>
      <c r="D93" s="40">
        <v>9</v>
      </c>
      <c r="E93" s="40">
        <v>18</v>
      </c>
      <c r="F93" s="40">
        <v>26</v>
      </c>
      <c r="G93" s="40">
        <v>7</v>
      </c>
      <c r="H93" s="40">
        <v>5</v>
      </c>
      <c r="I93" s="40">
        <v>7</v>
      </c>
      <c r="J93" s="40">
        <v>8</v>
      </c>
      <c r="K93" s="40">
        <v>15</v>
      </c>
      <c r="L93" s="40">
        <v>4</v>
      </c>
      <c r="M93" s="40">
        <v>7</v>
      </c>
      <c r="N93" s="41">
        <f>SUM(B93:M93)</f>
        <v>110</v>
      </c>
      <c r="O93" s="54"/>
      <c r="P93" s="55"/>
    </row>
    <row r="94" spans="1:17" ht="12.75" customHeight="1">
      <c r="A94" s="39" t="s">
        <v>328</v>
      </c>
      <c r="B94" s="40">
        <v>9</v>
      </c>
      <c r="C94" s="40">
        <v>0</v>
      </c>
      <c r="D94" s="40">
        <v>8</v>
      </c>
      <c r="E94" s="40">
        <v>12</v>
      </c>
      <c r="F94" s="40">
        <v>36</v>
      </c>
      <c r="G94" s="40">
        <v>6</v>
      </c>
      <c r="H94" s="40">
        <v>2</v>
      </c>
      <c r="I94" s="40">
        <v>10</v>
      </c>
      <c r="J94" s="40">
        <v>8</v>
      </c>
      <c r="K94" s="40">
        <v>16</v>
      </c>
      <c r="L94" s="40">
        <v>7</v>
      </c>
      <c r="M94" s="40">
        <v>18</v>
      </c>
      <c r="N94" s="41">
        <f>SUM(B94:M94)</f>
        <v>132</v>
      </c>
      <c r="O94" s="54">
        <v>0</v>
      </c>
      <c r="P94" s="55" t="s">
        <v>34</v>
      </c>
    </row>
    <row r="95" spans="1:17" ht="12.75" customHeight="1">
      <c r="A95" s="39" t="s">
        <v>55</v>
      </c>
      <c r="B95" s="59">
        <v>2</v>
      </c>
      <c r="C95" s="59">
        <v>0</v>
      </c>
      <c r="D95" s="59">
        <v>2</v>
      </c>
      <c r="E95" s="59">
        <v>2</v>
      </c>
      <c r="F95" s="59">
        <v>2</v>
      </c>
      <c r="G95" s="59">
        <v>2</v>
      </c>
      <c r="H95" s="59">
        <v>2</v>
      </c>
      <c r="I95" s="59">
        <v>2</v>
      </c>
      <c r="J95" s="59">
        <v>2</v>
      </c>
      <c r="K95" s="59">
        <v>2</v>
      </c>
      <c r="L95" s="59">
        <v>2</v>
      </c>
      <c r="M95" s="59">
        <v>2</v>
      </c>
      <c r="N95" s="41"/>
      <c r="O95" s="54"/>
      <c r="P95" s="55"/>
    </row>
    <row r="96" spans="1:17" ht="12.75" customHeight="1">
      <c r="A96" s="39" t="s">
        <v>29</v>
      </c>
      <c r="B96" s="59">
        <v>0</v>
      </c>
      <c r="C96" s="59">
        <v>0</v>
      </c>
      <c r="D96" s="59">
        <v>0</v>
      </c>
      <c r="E96" s="59">
        <v>0</v>
      </c>
      <c r="F96" s="59">
        <v>4</v>
      </c>
      <c r="G96" s="59">
        <v>0</v>
      </c>
      <c r="H96" s="59">
        <v>0</v>
      </c>
      <c r="I96" s="59">
        <v>0</v>
      </c>
      <c r="J96" s="59">
        <v>0</v>
      </c>
      <c r="K96" s="59">
        <v>0</v>
      </c>
      <c r="L96" s="59">
        <v>0</v>
      </c>
      <c r="M96" s="59">
        <v>0</v>
      </c>
      <c r="N96" s="41">
        <f>SUM(B96:M96)</f>
        <v>4</v>
      </c>
      <c r="O96" s="54"/>
      <c r="P96" s="55"/>
    </row>
    <row r="97" spans="1:17" ht="12.75" customHeight="1">
      <c r="A97" s="2"/>
      <c r="B97" s="50"/>
      <c r="C97" s="50"/>
      <c r="D97" s="50"/>
      <c r="E97" s="50"/>
      <c r="F97" s="50"/>
      <c r="G97" s="50"/>
      <c r="H97" s="50"/>
      <c r="I97" s="50"/>
      <c r="J97" s="50"/>
      <c r="K97" s="50"/>
      <c r="L97" s="50"/>
      <c r="M97" s="50"/>
      <c r="N97" s="50"/>
      <c r="O97" s="55"/>
      <c r="P97" s="55"/>
    </row>
    <row r="98" spans="1:17" ht="12.75" customHeight="1">
      <c r="A98" s="5"/>
      <c r="B98" s="87"/>
      <c r="C98" s="87"/>
      <c r="D98" s="87"/>
      <c r="E98" s="87"/>
      <c r="F98" s="87"/>
      <c r="G98" s="87"/>
      <c r="H98" s="87"/>
      <c r="I98" s="87"/>
      <c r="J98" s="87"/>
      <c r="K98" s="87"/>
      <c r="L98" s="87"/>
      <c r="M98" s="87"/>
      <c r="N98" s="87"/>
      <c r="O98" s="89"/>
      <c r="P98" s="89"/>
    </row>
    <row r="99" spans="1:17" ht="25.5">
      <c r="A99" s="33"/>
      <c r="B99" s="34">
        <v>39264</v>
      </c>
      <c r="C99" s="34">
        <v>39295</v>
      </c>
      <c r="D99" s="34">
        <v>39326</v>
      </c>
      <c r="E99" s="34">
        <v>39356</v>
      </c>
      <c r="F99" s="34">
        <v>39387</v>
      </c>
      <c r="G99" s="34">
        <v>39417</v>
      </c>
      <c r="H99" s="34">
        <v>39448</v>
      </c>
      <c r="I99" s="34">
        <v>39479</v>
      </c>
      <c r="J99" s="34">
        <v>39508</v>
      </c>
      <c r="K99" s="34">
        <v>39539</v>
      </c>
      <c r="L99" s="34">
        <v>39569</v>
      </c>
      <c r="M99" s="34">
        <v>39600</v>
      </c>
      <c r="N99" s="35" t="s">
        <v>258</v>
      </c>
      <c r="O99" s="56" t="s">
        <v>197</v>
      </c>
      <c r="P99" s="56" t="s">
        <v>154</v>
      </c>
      <c r="Q99" s="2"/>
    </row>
    <row r="100" spans="1:17" ht="12.75" customHeight="1">
      <c r="A100" s="36" t="s">
        <v>163</v>
      </c>
      <c r="B100" s="34"/>
      <c r="C100" s="34"/>
      <c r="D100" s="34"/>
      <c r="E100" s="34"/>
      <c r="F100" s="34"/>
      <c r="G100" s="34"/>
      <c r="H100" s="34"/>
      <c r="I100" s="34"/>
      <c r="J100" s="34"/>
      <c r="K100" s="34"/>
      <c r="L100" s="34"/>
      <c r="M100" s="34"/>
      <c r="N100" s="48"/>
      <c r="O100" s="57"/>
      <c r="P100" s="57"/>
    </row>
    <row r="101" spans="1:17" ht="12.75" customHeight="1">
      <c r="A101" s="39" t="s">
        <v>89</v>
      </c>
      <c r="B101" s="40">
        <v>151</v>
      </c>
      <c r="C101" s="40">
        <v>147</v>
      </c>
      <c r="D101" s="40">
        <v>253</v>
      </c>
      <c r="E101" s="40">
        <v>291</v>
      </c>
      <c r="F101" s="40">
        <v>294</v>
      </c>
      <c r="G101" s="40">
        <v>249</v>
      </c>
      <c r="H101" s="40">
        <v>265</v>
      </c>
      <c r="I101" s="40">
        <v>391</v>
      </c>
      <c r="J101" s="40">
        <v>461</v>
      </c>
      <c r="K101" s="40">
        <v>463</v>
      </c>
      <c r="L101" s="40">
        <v>355</v>
      </c>
      <c r="M101" s="40">
        <v>254</v>
      </c>
      <c r="N101" s="41">
        <f>SUM(B101:M101)</f>
        <v>3574</v>
      </c>
      <c r="O101" s="54"/>
      <c r="P101" s="55"/>
    </row>
    <row r="102" spans="1:17" ht="12.75" customHeight="1">
      <c r="A102" s="39" t="s">
        <v>328</v>
      </c>
      <c r="B102" s="40">
        <v>870</v>
      </c>
      <c r="C102" s="40">
        <v>488</v>
      </c>
      <c r="D102" s="40">
        <v>779</v>
      </c>
      <c r="E102" s="40">
        <v>1127</v>
      </c>
      <c r="F102" s="40">
        <v>1176</v>
      </c>
      <c r="G102" s="40">
        <v>1055</v>
      </c>
      <c r="H102" s="40">
        <v>1279</v>
      </c>
      <c r="I102" s="40">
        <v>1309</v>
      </c>
      <c r="J102" s="40">
        <v>1305</v>
      </c>
      <c r="K102" s="40">
        <v>1492</v>
      </c>
      <c r="L102" s="40">
        <v>1531</v>
      </c>
      <c r="M102" s="40">
        <v>1262</v>
      </c>
      <c r="N102" s="41">
        <f>SUM(B102:M102)</f>
        <v>13673</v>
      </c>
      <c r="O102" s="54">
        <v>0</v>
      </c>
      <c r="P102" s="55">
        <f>O102/N102</f>
        <v>0</v>
      </c>
    </row>
    <row r="103" spans="1:17" ht="12.75" customHeight="1">
      <c r="A103" s="39" t="s">
        <v>55</v>
      </c>
      <c r="B103" s="59">
        <v>2</v>
      </c>
      <c r="C103" s="59">
        <v>2</v>
      </c>
      <c r="D103" s="59">
        <v>2</v>
      </c>
      <c r="E103" s="59">
        <v>2</v>
      </c>
      <c r="F103" s="59">
        <v>2</v>
      </c>
      <c r="G103" s="59">
        <v>2</v>
      </c>
      <c r="H103" s="59">
        <v>2</v>
      </c>
      <c r="I103" s="59">
        <v>2</v>
      </c>
      <c r="J103" s="59">
        <v>2</v>
      </c>
      <c r="K103" s="59">
        <v>2</v>
      </c>
      <c r="L103" s="59">
        <v>2</v>
      </c>
      <c r="M103" s="59">
        <v>2</v>
      </c>
      <c r="N103" s="41"/>
      <c r="O103" s="54"/>
      <c r="P103" s="55"/>
    </row>
    <row r="104" spans="1:17" ht="12.75" customHeight="1">
      <c r="A104" s="39" t="s">
        <v>29</v>
      </c>
      <c r="B104" s="59">
        <v>27</v>
      </c>
      <c r="C104" s="59">
        <v>1</v>
      </c>
      <c r="D104" s="59">
        <v>45</v>
      </c>
      <c r="E104" s="59">
        <v>21</v>
      </c>
      <c r="F104" s="59">
        <v>19</v>
      </c>
      <c r="G104" s="59">
        <v>17</v>
      </c>
      <c r="H104" s="59">
        <v>24</v>
      </c>
      <c r="I104" s="59">
        <v>60</v>
      </c>
      <c r="J104" s="59">
        <v>45</v>
      </c>
      <c r="K104" s="59">
        <v>46</v>
      </c>
      <c r="L104" s="59">
        <v>110</v>
      </c>
      <c r="M104" s="59">
        <v>12</v>
      </c>
      <c r="N104" s="41">
        <f>SUM(B104:M104)</f>
        <v>427</v>
      </c>
      <c r="O104" s="54"/>
      <c r="P104" s="55"/>
    </row>
    <row r="105" spans="1:17" ht="12.75" customHeight="1">
      <c r="A105" s="2"/>
      <c r="B105" s="50"/>
      <c r="C105" s="50"/>
      <c r="D105" s="50"/>
      <c r="E105" s="50"/>
      <c r="F105" s="50"/>
      <c r="G105" s="50"/>
      <c r="H105" s="50"/>
      <c r="I105" s="50"/>
      <c r="J105" s="50"/>
      <c r="K105" s="50"/>
      <c r="L105" s="50"/>
      <c r="M105" s="50"/>
      <c r="N105" s="50"/>
      <c r="O105" s="55"/>
      <c r="P105" s="55"/>
    </row>
    <row r="106" spans="1:17" ht="12.75" customHeight="1">
      <c r="A106" s="5"/>
      <c r="B106" s="87"/>
      <c r="C106" s="87"/>
      <c r="D106" s="87"/>
      <c r="E106" s="87"/>
      <c r="F106" s="87"/>
      <c r="G106" s="87"/>
      <c r="H106" s="87"/>
      <c r="I106" s="87"/>
      <c r="J106" s="87"/>
      <c r="K106" s="87"/>
      <c r="L106" s="87"/>
      <c r="M106" s="87"/>
      <c r="N106" s="87"/>
      <c r="O106" s="89"/>
      <c r="P106" s="89"/>
    </row>
    <row r="107" spans="1:17" ht="25.5">
      <c r="A107" s="33"/>
      <c r="B107" s="34">
        <v>39264</v>
      </c>
      <c r="C107" s="34">
        <v>39295</v>
      </c>
      <c r="D107" s="34">
        <v>39326</v>
      </c>
      <c r="E107" s="34">
        <v>39356</v>
      </c>
      <c r="F107" s="34">
        <v>39387</v>
      </c>
      <c r="G107" s="34">
        <v>39417</v>
      </c>
      <c r="H107" s="34">
        <v>39448</v>
      </c>
      <c r="I107" s="34">
        <v>39479</v>
      </c>
      <c r="J107" s="34">
        <v>39508</v>
      </c>
      <c r="K107" s="34">
        <v>39539</v>
      </c>
      <c r="L107" s="34">
        <v>39569</v>
      </c>
      <c r="M107" s="34">
        <v>39600</v>
      </c>
      <c r="N107" s="35" t="s">
        <v>258</v>
      </c>
      <c r="O107" s="56" t="s">
        <v>197</v>
      </c>
      <c r="P107" s="56" t="s">
        <v>154</v>
      </c>
      <c r="Q107" s="2"/>
    </row>
    <row r="108" spans="1:17" ht="12.75" customHeight="1">
      <c r="A108" s="36" t="s">
        <v>107</v>
      </c>
      <c r="B108" s="34"/>
      <c r="C108" s="34"/>
      <c r="D108" s="34"/>
      <c r="E108" s="34"/>
      <c r="F108" s="34"/>
      <c r="G108" s="34"/>
      <c r="H108" s="34"/>
      <c r="I108" s="34"/>
      <c r="J108" s="34"/>
      <c r="K108" s="34"/>
      <c r="L108" s="34"/>
      <c r="M108" s="34"/>
      <c r="N108" s="48"/>
      <c r="O108" s="57"/>
      <c r="P108" s="57"/>
    </row>
    <row r="109" spans="1:17" ht="12.75" customHeight="1">
      <c r="A109" s="39" t="s">
        <v>89</v>
      </c>
      <c r="B109" s="40">
        <v>0</v>
      </c>
      <c r="C109" s="40">
        <v>6</v>
      </c>
      <c r="D109" s="40">
        <v>26</v>
      </c>
      <c r="E109" s="40">
        <v>31</v>
      </c>
      <c r="F109" s="40">
        <v>10</v>
      </c>
      <c r="G109" s="40">
        <v>10</v>
      </c>
      <c r="H109" s="40">
        <v>14</v>
      </c>
      <c r="I109" s="40">
        <v>7</v>
      </c>
      <c r="J109" s="40">
        <v>15</v>
      </c>
      <c r="K109" s="40">
        <v>15</v>
      </c>
      <c r="L109" s="40">
        <v>10</v>
      </c>
      <c r="M109" s="40">
        <v>6</v>
      </c>
      <c r="N109" s="41">
        <f>SUM(B109:M109)</f>
        <v>150</v>
      </c>
      <c r="O109" s="54"/>
      <c r="P109" s="55"/>
    </row>
    <row r="110" spans="1:17" ht="12.75" customHeight="1">
      <c r="A110" s="39" t="s">
        <v>328</v>
      </c>
      <c r="B110" s="40">
        <v>0</v>
      </c>
      <c r="C110" s="40">
        <v>43</v>
      </c>
      <c r="D110" s="40">
        <v>34</v>
      </c>
      <c r="E110" s="40">
        <v>111</v>
      </c>
      <c r="F110" s="40">
        <v>35</v>
      </c>
      <c r="G110" s="40">
        <v>21</v>
      </c>
      <c r="H110" s="40">
        <v>17</v>
      </c>
      <c r="I110" s="40">
        <v>13</v>
      </c>
      <c r="J110" s="40">
        <v>26</v>
      </c>
      <c r="K110" s="40">
        <v>72</v>
      </c>
      <c r="L110" s="40">
        <v>11</v>
      </c>
      <c r="M110" s="40">
        <v>7</v>
      </c>
      <c r="N110" s="41">
        <f>SUM(B110:M110)</f>
        <v>390</v>
      </c>
      <c r="O110" s="54">
        <v>0</v>
      </c>
      <c r="P110" s="55" t="s">
        <v>34</v>
      </c>
    </row>
    <row r="111" spans="1:17" ht="12.75" customHeight="1">
      <c r="A111" s="39" t="s">
        <v>55</v>
      </c>
      <c r="B111" s="59">
        <v>0</v>
      </c>
      <c r="C111" s="59">
        <v>2</v>
      </c>
      <c r="D111" s="59">
        <v>2</v>
      </c>
      <c r="E111" s="59">
        <v>2</v>
      </c>
      <c r="F111" s="59">
        <v>2</v>
      </c>
      <c r="G111" s="59">
        <v>2</v>
      </c>
      <c r="H111" s="59">
        <v>2</v>
      </c>
      <c r="I111" s="59">
        <v>2</v>
      </c>
      <c r="J111" s="59">
        <v>2</v>
      </c>
      <c r="K111" s="59">
        <v>2</v>
      </c>
      <c r="L111" s="59">
        <v>2</v>
      </c>
      <c r="M111" s="59">
        <v>2</v>
      </c>
      <c r="N111" s="41"/>
      <c r="O111" s="54"/>
      <c r="P111" s="55"/>
    </row>
    <row r="112" spans="1:17" ht="12.75" customHeight="1">
      <c r="A112" s="39" t="s">
        <v>29</v>
      </c>
      <c r="B112" s="59">
        <v>0</v>
      </c>
      <c r="C112" s="59">
        <v>0</v>
      </c>
      <c r="D112" s="59">
        <v>1</v>
      </c>
      <c r="E112" s="59">
        <v>0</v>
      </c>
      <c r="F112" s="59">
        <v>0</v>
      </c>
      <c r="G112" s="59">
        <v>0</v>
      </c>
      <c r="H112" s="59">
        <v>0</v>
      </c>
      <c r="I112" s="59">
        <v>0</v>
      </c>
      <c r="J112" s="59">
        <v>0</v>
      </c>
      <c r="K112" s="59">
        <v>0</v>
      </c>
      <c r="L112" s="59">
        <v>2</v>
      </c>
      <c r="M112" s="59">
        <v>0</v>
      </c>
      <c r="N112" s="41">
        <f>SUM(B112:M112)</f>
        <v>3</v>
      </c>
      <c r="O112" s="54"/>
      <c r="P112" s="55"/>
    </row>
    <row r="113" spans="1:17" ht="12.75" customHeight="1">
      <c r="A113" s="2"/>
      <c r="B113" s="28"/>
      <c r="C113" s="28"/>
      <c r="D113" s="28"/>
      <c r="E113" s="28"/>
      <c r="F113" s="28"/>
      <c r="G113" s="28"/>
      <c r="H113" s="28"/>
      <c r="I113" s="28"/>
      <c r="J113" s="28"/>
      <c r="K113" s="28"/>
      <c r="L113" s="28"/>
      <c r="M113" s="28"/>
      <c r="N113" s="100"/>
      <c r="O113" s="55"/>
      <c r="P113" s="55"/>
    </row>
    <row r="114" spans="1:17" ht="12.75" customHeight="1">
      <c r="A114" s="2"/>
      <c r="B114" s="2"/>
      <c r="C114" s="2"/>
      <c r="D114" s="2"/>
      <c r="E114" s="2"/>
      <c r="F114" s="2"/>
      <c r="G114" s="2"/>
      <c r="H114" s="2"/>
      <c r="I114" s="2"/>
      <c r="J114" s="2"/>
      <c r="K114" s="2"/>
      <c r="L114" s="2"/>
      <c r="M114" s="2"/>
      <c r="N114" s="103"/>
      <c r="O114" s="55"/>
      <c r="P114" s="55"/>
    </row>
    <row r="115" spans="1:17" ht="12.75" customHeight="1">
      <c r="A115" s="5"/>
      <c r="B115" s="5"/>
      <c r="C115" s="5"/>
      <c r="D115" s="5"/>
      <c r="E115" s="5"/>
      <c r="F115" s="5"/>
      <c r="G115" s="5"/>
      <c r="H115" s="5"/>
      <c r="I115" s="5"/>
      <c r="J115" s="5"/>
      <c r="K115" s="5"/>
      <c r="L115" s="5"/>
      <c r="M115" s="5"/>
      <c r="N115" s="104"/>
      <c r="O115" s="89"/>
      <c r="P115" s="89"/>
    </row>
    <row r="116" spans="1:17" ht="25.5">
      <c r="A116" s="33"/>
      <c r="B116" s="34">
        <v>39264</v>
      </c>
      <c r="C116" s="34">
        <v>39295</v>
      </c>
      <c r="D116" s="34">
        <v>39326</v>
      </c>
      <c r="E116" s="34">
        <v>39356</v>
      </c>
      <c r="F116" s="34">
        <v>39387</v>
      </c>
      <c r="G116" s="34">
        <v>39417</v>
      </c>
      <c r="H116" s="34">
        <v>39448</v>
      </c>
      <c r="I116" s="34">
        <v>39479</v>
      </c>
      <c r="J116" s="34">
        <v>39508</v>
      </c>
      <c r="K116" s="34">
        <v>39539</v>
      </c>
      <c r="L116" s="34">
        <v>39569</v>
      </c>
      <c r="M116" s="34">
        <v>39600</v>
      </c>
      <c r="N116" s="35" t="s">
        <v>258</v>
      </c>
      <c r="O116" s="56" t="s">
        <v>197</v>
      </c>
      <c r="P116" s="56" t="s">
        <v>154</v>
      </c>
      <c r="Q116" s="2"/>
    </row>
    <row r="117" spans="1:17" ht="12.75" customHeight="1">
      <c r="A117" s="36" t="s">
        <v>283</v>
      </c>
      <c r="B117" s="34"/>
      <c r="C117" s="34"/>
      <c r="D117" s="34"/>
      <c r="E117" s="34"/>
      <c r="F117" s="34"/>
      <c r="G117" s="34"/>
      <c r="H117" s="34"/>
      <c r="I117" s="34"/>
      <c r="J117" s="34"/>
      <c r="K117" s="34"/>
      <c r="L117" s="34"/>
      <c r="M117" s="34"/>
      <c r="N117" s="48"/>
      <c r="O117" s="57"/>
      <c r="P117" s="57"/>
    </row>
    <row r="118" spans="1:17" ht="12.75" customHeight="1">
      <c r="A118" s="39" t="s">
        <v>89</v>
      </c>
      <c r="B118" s="40">
        <v>550</v>
      </c>
      <c r="C118" s="40">
        <v>263</v>
      </c>
      <c r="D118" s="40">
        <v>981</v>
      </c>
      <c r="E118" s="40">
        <v>1475</v>
      </c>
      <c r="F118" s="40">
        <v>1524</v>
      </c>
      <c r="G118" s="40">
        <v>686</v>
      </c>
      <c r="H118" s="40">
        <v>560</v>
      </c>
      <c r="I118" s="40">
        <v>1334</v>
      </c>
      <c r="J118" s="40">
        <v>1758</v>
      </c>
      <c r="K118" s="40">
        <v>1646</v>
      </c>
      <c r="L118" s="40">
        <v>678</v>
      </c>
      <c r="M118" s="40">
        <v>683</v>
      </c>
      <c r="N118" s="41">
        <f>SUM(B118:M118)</f>
        <v>12138</v>
      </c>
      <c r="O118" s="54"/>
      <c r="P118" s="55"/>
    </row>
    <row r="119" spans="1:17" ht="12.75" customHeight="1">
      <c r="A119" s="39" t="s">
        <v>328</v>
      </c>
      <c r="B119" s="40">
        <v>2234</v>
      </c>
      <c r="C119" s="40">
        <v>730</v>
      </c>
      <c r="D119" s="40">
        <v>2164</v>
      </c>
      <c r="E119" s="40">
        <v>4148</v>
      </c>
      <c r="F119" s="40">
        <v>3293</v>
      </c>
      <c r="G119" s="40">
        <v>1984</v>
      </c>
      <c r="H119" s="40">
        <v>2517</v>
      </c>
      <c r="I119" s="40">
        <v>3286</v>
      </c>
      <c r="J119" s="40">
        <v>3781</v>
      </c>
      <c r="K119" s="40">
        <v>4110</v>
      </c>
      <c r="L119" s="40">
        <v>2466</v>
      </c>
      <c r="M119" s="40">
        <v>2522</v>
      </c>
      <c r="N119" s="41">
        <f>SUM(B119:M119)</f>
        <v>33235</v>
      </c>
      <c r="O119" s="54">
        <v>9215</v>
      </c>
      <c r="P119" s="55">
        <f>O119/N119</f>
        <v>0.27726794042425157</v>
      </c>
    </row>
    <row r="120" spans="1:17" ht="12.75" customHeight="1">
      <c r="A120" s="39" t="s">
        <v>171</v>
      </c>
      <c r="B120" s="59">
        <v>2</v>
      </c>
      <c r="C120" s="59">
        <v>2</v>
      </c>
      <c r="D120" s="59">
        <v>2</v>
      </c>
      <c r="E120" s="59">
        <v>2</v>
      </c>
      <c r="F120" s="59">
        <v>2</v>
      </c>
      <c r="G120" s="59">
        <v>2</v>
      </c>
      <c r="H120" s="59">
        <v>2</v>
      </c>
      <c r="I120" s="59">
        <v>2</v>
      </c>
      <c r="J120" s="59">
        <v>2</v>
      </c>
      <c r="K120" s="59">
        <v>2</v>
      </c>
      <c r="L120" s="59">
        <v>2</v>
      </c>
      <c r="M120" s="59">
        <v>2</v>
      </c>
      <c r="N120" s="41"/>
      <c r="O120" s="54"/>
      <c r="P120" s="55"/>
    </row>
    <row r="121" spans="1:17" ht="12.75" customHeight="1">
      <c r="A121" s="39" t="s">
        <v>29</v>
      </c>
      <c r="B121" s="59">
        <v>87</v>
      </c>
      <c r="C121" s="59">
        <v>1</v>
      </c>
      <c r="D121" s="59">
        <v>176</v>
      </c>
      <c r="E121" s="59">
        <v>107</v>
      </c>
      <c r="F121" s="59">
        <v>108</v>
      </c>
      <c r="G121" s="59">
        <v>24</v>
      </c>
      <c r="H121" s="59">
        <v>33</v>
      </c>
      <c r="I121" s="59">
        <v>160</v>
      </c>
      <c r="J121" s="59">
        <v>215</v>
      </c>
      <c r="K121" s="59">
        <v>147</v>
      </c>
      <c r="L121" s="59">
        <v>154</v>
      </c>
      <c r="M121" s="59">
        <v>28</v>
      </c>
      <c r="N121" s="41">
        <f>SUM(B121:M121)</f>
        <v>1240</v>
      </c>
      <c r="O121" s="54"/>
      <c r="P121" s="55"/>
    </row>
    <row r="122" spans="1:17" ht="12.75" customHeight="1">
      <c r="A122" s="2"/>
      <c r="B122" s="50"/>
      <c r="C122" s="50"/>
      <c r="D122" s="50"/>
      <c r="E122" s="50"/>
      <c r="F122" s="50"/>
      <c r="G122" s="50"/>
      <c r="H122" s="50"/>
      <c r="I122" s="50"/>
      <c r="J122" s="50"/>
      <c r="K122" s="50"/>
      <c r="L122" s="50"/>
      <c r="M122" s="50"/>
      <c r="N122" s="50"/>
      <c r="O122" s="55"/>
      <c r="P122" s="55"/>
    </row>
    <row r="123" spans="1:17" ht="12.75" customHeight="1">
      <c r="A123" s="5"/>
      <c r="B123" s="87"/>
      <c r="C123" s="87"/>
      <c r="D123" s="87"/>
      <c r="E123" s="87"/>
      <c r="F123" s="87"/>
      <c r="G123" s="87"/>
      <c r="H123" s="87"/>
      <c r="I123" s="87"/>
      <c r="J123" s="87"/>
      <c r="K123" s="87"/>
      <c r="L123" s="87"/>
      <c r="M123" s="87"/>
      <c r="N123" s="87"/>
      <c r="O123" s="89"/>
      <c r="P123" s="89"/>
    </row>
    <row r="124" spans="1:17" ht="25.5">
      <c r="A124" s="33"/>
      <c r="B124" s="34">
        <v>39264</v>
      </c>
      <c r="C124" s="34">
        <v>39295</v>
      </c>
      <c r="D124" s="34">
        <v>39326</v>
      </c>
      <c r="E124" s="34">
        <v>39356</v>
      </c>
      <c r="F124" s="34">
        <v>39387</v>
      </c>
      <c r="G124" s="34">
        <v>39417</v>
      </c>
      <c r="H124" s="34">
        <v>39448</v>
      </c>
      <c r="I124" s="34">
        <v>39479</v>
      </c>
      <c r="J124" s="34">
        <v>39508</v>
      </c>
      <c r="K124" s="34">
        <v>39539</v>
      </c>
      <c r="L124" s="34">
        <v>39569</v>
      </c>
      <c r="M124" s="34">
        <v>39600</v>
      </c>
      <c r="N124" s="35" t="s">
        <v>258</v>
      </c>
      <c r="O124" s="56" t="s">
        <v>197</v>
      </c>
      <c r="P124" s="56" t="s">
        <v>154</v>
      </c>
      <c r="Q124" s="2"/>
    </row>
    <row r="125" spans="1:17" ht="12.75" customHeight="1">
      <c r="A125" s="36" t="s">
        <v>146</v>
      </c>
      <c r="B125" s="34"/>
      <c r="C125" s="34"/>
      <c r="D125" s="34"/>
      <c r="E125" s="34"/>
      <c r="F125" s="34"/>
      <c r="G125" s="34"/>
      <c r="H125" s="34"/>
      <c r="I125" s="34"/>
      <c r="J125" s="34"/>
      <c r="K125" s="34"/>
      <c r="L125" s="34"/>
      <c r="M125" s="34"/>
      <c r="N125" s="48"/>
      <c r="O125" s="57"/>
      <c r="P125" s="57"/>
    </row>
    <row r="126" spans="1:17" ht="12.75" customHeight="1">
      <c r="A126" s="39" t="s">
        <v>328</v>
      </c>
      <c r="B126" s="40">
        <v>1</v>
      </c>
      <c r="C126" s="40">
        <v>16</v>
      </c>
      <c r="D126" s="40">
        <v>24</v>
      </c>
      <c r="E126" s="40">
        <v>3</v>
      </c>
      <c r="F126" s="40">
        <v>28</v>
      </c>
      <c r="G126" s="40">
        <v>35</v>
      </c>
      <c r="H126" s="40">
        <v>11</v>
      </c>
      <c r="I126" s="40">
        <v>16</v>
      </c>
      <c r="J126" s="40">
        <v>17</v>
      </c>
      <c r="K126" s="40">
        <v>23</v>
      </c>
      <c r="L126" s="40">
        <v>8</v>
      </c>
      <c r="M126" s="40">
        <v>2</v>
      </c>
      <c r="N126" s="41">
        <f>SUM(B126:M126)</f>
        <v>184</v>
      </c>
      <c r="O126" s="54">
        <v>0</v>
      </c>
      <c r="P126" s="55">
        <v>0</v>
      </c>
    </row>
    <row r="127" spans="1:17" ht="12.75" customHeight="1">
      <c r="A127" s="2"/>
      <c r="B127" s="38"/>
      <c r="C127" s="38"/>
      <c r="D127" s="38"/>
      <c r="E127" s="38"/>
      <c r="F127" s="38"/>
      <c r="G127" s="38"/>
      <c r="H127" s="38"/>
      <c r="I127" s="38"/>
      <c r="J127" s="38"/>
      <c r="K127" s="38"/>
      <c r="L127" s="38"/>
      <c r="M127" s="38"/>
      <c r="N127" s="38"/>
      <c r="O127" s="2"/>
      <c r="P127" s="2"/>
    </row>
    <row r="128" spans="1:17" ht="12.75" customHeight="1">
      <c r="A128" s="2"/>
      <c r="O128" s="2"/>
      <c r="P128" s="2"/>
    </row>
    <row r="129" spans="1:16" ht="12.75" customHeight="1">
      <c r="A129" s="2"/>
      <c r="O129" s="2"/>
      <c r="P129" s="2"/>
    </row>
    <row r="130" spans="1:16" ht="12.75" customHeight="1">
      <c r="A130" s="2" t="s">
        <v>31</v>
      </c>
      <c r="B130" s="2" t="s">
        <v>247</v>
      </c>
      <c r="O130" s="2"/>
      <c r="P130" s="2"/>
    </row>
    <row r="131" spans="1:16" ht="12.75" customHeight="1">
      <c r="A131" s="2"/>
      <c r="O131" s="2"/>
      <c r="P131" s="2"/>
    </row>
  </sheetData>
  <pageMargins left="0.75" right="0.75" top="1" bottom="1" header="0.5" footer="0.5"/>
  <pageSetup paperSize="9"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dimension ref="A1:P10"/>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0.5703125" customWidth="1"/>
    <col min="2" max="20" width="9.140625" customWidth="1"/>
  </cols>
  <sheetData>
    <row r="1" spans="1:16" ht="20.25">
      <c r="A1" s="139" t="s">
        <v>144</v>
      </c>
      <c r="B1" s="140"/>
      <c r="C1" s="140"/>
      <c r="D1" s="140"/>
      <c r="E1" s="140"/>
      <c r="F1" s="140"/>
      <c r="G1" s="2"/>
      <c r="H1" s="2"/>
      <c r="I1" s="2"/>
      <c r="J1" s="2"/>
      <c r="K1" s="2"/>
      <c r="L1" s="2"/>
      <c r="M1" s="2"/>
      <c r="N1" s="2"/>
      <c r="O1" s="2"/>
      <c r="P1" s="2"/>
    </row>
    <row r="2" spans="1:16" ht="18">
      <c r="A2" s="145" t="s">
        <v>130</v>
      </c>
      <c r="B2" s="140"/>
      <c r="C2" s="140"/>
      <c r="D2" s="140"/>
      <c r="E2" s="2"/>
      <c r="F2" s="2"/>
      <c r="G2" s="2"/>
      <c r="H2" s="2"/>
      <c r="I2" s="2"/>
      <c r="J2" s="2"/>
      <c r="K2" s="2"/>
      <c r="L2" s="2"/>
      <c r="M2" s="2"/>
      <c r="N2" s="2"/>
      <c r="O2" s="2"/>
      <c r="P2" s="2"/>
    </row>
    <row r="3" spans="1:16" ht="12.75" customHeight="1">
      <c r="A3" s="5"/>
      <c r="B3" s="32"/>
      <c r="C3" s="32"/>
      <c r="D3" s="32"/>
      <c r="E3" s="32"/>
      <c r="F3" s="32"/>
      <c r="G3" s="32"/>
      <c r="H3" s="32"/>
      <c r="I3" s="32"/>
      <c r="J3" s="32"/>
      <c r="K3" s="32"/>
      <c r="L3" s="32"/>
      <c r="M3" s="32"/>
      <c r="N3" s="32"/>
      <c r="O3" s="5"/>
      <c r="P3" s="32"/>
    </row>
    <row r="4" spans="1:16"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284</v>
      </c>
    </row>
    <row r="5" spans="1:16" ht="12.75" customHeight="1">
      <c r="A5" s="36" t="s">
        <v>291</v>
      </c>
      <c r="B5" s="70"/>
      <c r="C5" s="70"/>
      <c r="D5" s="70"/>
      <c r="E5" s="70"/>
      <c r="F5" s="70"/>
      <c r="G5" s="70"/>
      <c r="H5" s="70"/>
      <c r="I5" s="70"/>
      <c r="J5" s="70"/>
      <c r="K5" s="70"/>
      <c r="L5" s="70"/>
      <c r="M5" s="70"/>
      <c r="N5" s="70"/>
      <c r="O5" s="28"/>
      <c r="P5" s="38"/>
    </row>
    <row r="6" spans="1:16" ht="12.75" customHeight="1">
      <c r="A6" s="39" t="s">
        <v>286</v>
      </c>
      <c r="B6" s="40">
        <v>36</v>
      </c>
      <c r="C6" s="40">
        <v>88</v>
      </c>
      <c r="D6" s="40">
        <v>120</v>
      </c>
      <c r="E6" s="40">
        <v>181</v>
      </c>
      <c r="F6" s="40">
        <v>183</v>
      </c>
      <c r="G6" s="40">
        <v>105</v>
      </c>
      <c r="H6" s="40">
        <v>84</v>
      </c>
      <c r="I6" s="40">
        <v>323</v>
      </c>
      <c r="J6" s="40">
        <v>346</v>
      </c>
      <c r="K6" s="40">
        <v>1348</v>
      </c>
      <c r="L6" s="40">
        <v>223</v>
      </c>
      <c r="M6" s="40">
        <v>96</v>
      </c>
      <c r="N6" s="41">
        <f>SUM(B6:M6)</f>
        <v>3133</v>
      </c>
      <c r="O6" s="42">
        <v>3914</v>
      </c>
      <c r="P6" s="43">
        <f>O6/N6</f>
        <v>1.2492818384934568</v>
      </c>
    </row>
    <row r="7" spans="1:16" ht="12.75" customHeight="1">
      <c r="A7" s="2"/>
      <c r="B7" s="38"/>
      <c r="C7" s="38"/>
      <c r="D7" s="38"/>
      <c r="E7" s="38"/>
      <c r="F7" s="38"/>
      <c r="G7" s="38"/>
      <c r="H7" s="38"/>
      <c r="I7" s="38"/>
      <c r="J7" s="38"/>
      <c r="K7" s="38"/>
      <c r="L7" s="38"/>
      <c r="M7" s="38"/>
      <c r="N7" s="38"/>
      <c r="O7" s="2"/>
    </row>
    <row r="8" spans="1:16" ht="12.75" customHeight="1">
      <c r="A8" s="2"/>
      <c r="O8" s="2"/>
    </row>
    <row r="9" spans="1:16" ht="12.75" customHeight="1">
      <c r="A9" s="2" t="s">
        <v>31</v>
      </c>
      <c r="B9" s="2" t="s">
        <v>247</v>
      </c>
      <c r="O9" s="2"/>
    </row>
    <row r="10" spans="1:16" ht="12.75" customHeight="1">
      <c r="A10" s="2"/>
      <c r="O10" s="2"/>
    </row>
  </sheetData>
  <mergeCells count="2">
    <mergeCell ref="A1:F1"/>
    <mergeCell ref="A2:D2"/>
  </mergeCells>
  <pageMargins left="0.75" right="0.75" top="1" bottom="1" header="0.5" footer="0.5"/>
  <pageSetup paperSize="9"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dimension ref="A1:Q21"/>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2.7109375" customWidth="1"/>
    <col min="2" max="2" width="10.28515625" customWidth="1"/>
    <col min="3" max="3" width="8.7109375" customWidth="1"/>
    <col min="4" max="4" width="8" customWidth="1"/>
    <col min="5" max="5" width="8.85546875" customWidth="1"/>
    <col min="6" max="6" width="8.5703125" customWidth="1"/>
    <col min="7" max="7" width="9.140625" customWidth="1"/>
    <col min="8" max="8" width="7.85546875" customWidth="1"/>
    <col min="9" max="9" width="8.28515625" customWidth="1"/>
    <col min="10" max="10" width="9.42578125" customWidth="1"/>
    <col min="11" max="11" width="9" customWidth="1"/>
    <col min="12" max="12" width="9.28515625" customWidth="1"/>
    <col min="13" max="13" width="9" customWidth="1"/>
    <col min="14" max="14" width="10.28515625" customWidth="1"/>
    <col min="15" max="15" width="10.140625" customWidth="1"/>
    <col min="16" max="16" width="8.5703125" customWidth="1"/>
    <col min="17" max="17" width="9.140625" customWidth="1"/>
  </cols>
  <sheetData>
    <row r="1" spans="1:17" ht="20.25">
      <c r="A1" s="1" t="s">
        <v>92</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32"/>
      <c r="P3" s="32"/>
    </row>
    <row r="4" spans="1:17" ht="25.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284</v>
      </c>
      <c r="Q4" s="2"/>
    </row>
    <row r="5" spans="1:17" ht="12.75" customHeight="1">
      <c r="A5" s="148" t="s">
        <v>271</v>
      </c>
      <c r="B5" s="153"/>
      <c r="C5" s="70"/>
      <c r="D5" s="70"/>
      <c r="E5" s="70"/>
      <c r="F5" s="70"/>
      <c r="G5" s="70"/>
      <c r="H5" s="70"/>
      <c r="I5" s="70"/>
      <c r="J5" s="70"/>
      <c r="K5" s="70"/>
      <c r="L5" s="70"/>
      <c r="M5" s="70"/>
      <c r="N5" s="70"/>
      <c r="O5" s="38"/>
      <c r="P5" s="38"/>
    </row>
    <row r="6" spans="1:17" ht="12.75" customHeight="1">
      <c r="A6" s="39" t="s">
        <v>89</v>
      </c>
      <c r="B6" s="92">
        <v>180</v>
      </c>
      <c r="C6" s="59">
        <v>30</v>
      </c>
      <c r="D6" s="59">
        <v>134</v>
      </c>
      <c r="E6" s="59">
        <v>484</v>
      </c>
      <c r="F6" s="59">
        <v>499</v>
      </c>
      <c r="G6" s="59">
        <v>511</v>
      </c>
      <c r="H6" s="40">
        <v>101</v>
      </c>
      <c r="I6" s="40">
        <v>256</v>
      </c>
      <c r="J6" s="40">
        <v>527</v>
      </c>
      <c r="K6" s="40">
        <v>725</v>
      </c>
      <c r="L6" s="40">
        <v>441</v>
      </c>
      <c r="M6" s="40">
        <v>160</v>
      </c>
      <c r="N6" s="41">
        <f>SUM(B6:M6)</f>
        <v>4048</v>
      </c>
      <c r="O6" s="42"/>
      <c r="P6" s="43"/>
    </row>
    <row r="7" spans="1:17" ht="12.75" customHeight="1">
      <c r="A7" s="39" t="s">
        <v>328</v>
      </c>
      <c r="B7" s="59">
        <v>1001</v>
      </c>
      <c r="C7" s="59">
        <v>118</v>
      </c>
      <c r="D7" s="59">
        <v>852</v>
      </c>
      <c r="E7" s="59">
        <v>2540</v>
      </c>
      <c r="F7" s="59">
        <v>2063</v>
      </c>
      <c r="G7" s="59">
        <v>2720</v>
      </c>
      <c r="H7" s="40">
        <v>585</v>
      </c>
      <c r="I7" s="40">
        <v>1245</v>
      </c>
      <c r="J7" s="40">
        <v>3185</v>
      </c>
      <c r="K7" s="40">
        <v>1618</v>
      </c>
      <c r="L7" s="40">
        <v>665</v>
      </c>
      <c r="M7" s="40">
        <v>147</v>
      </c>
      <c r="N7" s="41">
        <f>SUM(B7:M7)</f>
        <v>16739</v>
      </c>
      <c r="O7" s="42">
        <v>1768</v>
      </c>
      <c r="P7" s="43">
        <f>O7/N7</f>
        <v>0.10562160224625126</v>
      </c>
    </row>
    <row r="8" spans="1:17" ht="12.75" customHeight="1">
      <c r="A8" s="39" t="s">
        <v>29</v>
      </c>
      <c r="B8" s="40">
        <v>0</v>
      </c>
      <c r="C8" s="40">
        <v>0</v>
      </c>
      <c r="D8" s="40">
        <v>0</v>
      </c>
      <c r="E8" s="40">
        <v>0</v>
      </c>
      <c r="F8" s="40">
        <v>0</v>
      </c>
      <c r="G8" s="40">
        <v>0</v>
      </c>
      <c r="H8" s="40">
        <v>0</v>
      </c>
      <c r="I8" s="40">
        <v>0</v>
      </c>
      <c r="J8" s="40">
        <v>0</v>
      </c>
      <c r="K8" s="40">
        <v>0</v>
      </c>
      <c r="L8" s="40">
        <v>0</v>
      </c>
      <c r="M8" s="40">
        <v>0</v>
      </c>
      <c r="N8" s="41">
        <f>SUM(B8:M8)</f>
        <v>0</v>
      </c>
      <c r="O8" s="42"/>
      <c r="P8" s="43"/>
    </row>
    <row r="9" spans="1:17" ht="25.5">
      <c r="A9" s="105" t="s">
        <v>125</v>
      </c>
      <c r="B9" s="106">
        <v>57</v>
      </c>
      <c r="C9" s="106">
        <v>11</v>
      </c>
      <c r="D9" s="106">
        <v>16</v>
      </c>
      <c r="E9" s="106">
        <v>154</v>
      </c>
      <c r="F9" s="106">
        <v>180</v>
      </c>
      <c r="G9" s="106">
        <v>144</v>
      </c>
      <c r="H9" s="106">
        <v>249</v>
      </c>
      <c r="I9" s="106">
        <v>230</v>
      </c>
      <c r="J9" s="106">
        <v>794</v>
      </c>
      <c r="K9" s="106">
        <v>845</v>
      </c>
      <c r="L9" s="106">
        <v>613</v>
      </c>
      <c r="M9" s="106">
        <v>180</v>
      </c>
      <c r="N9" s="107">
        <f>SUM(B9:M9)</f>
        <v>3473</v>
      </c>
      <c r="O9" s="42">
        <v>1768</v>
      </c>
      <c r="P9" s="43">
        <f>O9/N9</f>
        <v>0.50906996832709472</v>
      </c>
      <c r="Q9" s="2"/>
    </row>
    <row r="10" spans="1:17" ht="12.75" customHeight="1">
      <c r="A10" s="2"/>
      <c r="B10" s="38"/>
      <c r="C10" s="38"/>
      <c r="D10" s="38"/>
      <c r="E10" s="38"/>
      <c r="F10" s="38"/>
      <c r="G10" s="38"/>
      <c r="H10" s="38"/>
      <c r="I10" s="38"/>
      <c r="J10" s="38"/>
      <c r="K10" s="38"/>
      <c r="L10" s="38"/>
      <c r="M10" s="38"/>
      <c r="N10" s="38"/>
    </row>
    <row r="11" spans="1:17" ht="12.75" customHeight="1">
      <c r="A11" s="2"/>
    </row>
    <row r="12" spans="1:17" ht="12.75" customHeight="1">
      <c r="A12" s="2" t="s">
        <v>31</v>
      </c>
      <c r="B12" s="2" t="s">
        <v>310</v>
      </c>
    </row>
    <row r="13" spans="1:17" ht="12.75" customHeight="1">
      <c r="A13" s="2"/>
    </row>
    <row r="14" spans="1:17" ht="12.75" customHeight="1">
      <c r="A14" s="2"/>
    </row>
    <row r="15" spans="1:17" ht="12.75" customHeight="1">
      <c r="A15" s="2"/>
    </row>
    <row r="16" spans="1:17" ht="12.75" customHeight="1">
      <c r="A16" s="2"/>
      <c r="I16" s="108"/>
    </row>
    <row r="17" spans="1:9" ht="12.75" customHeight="1">
      <c r="A17" s="2"/>
      <c r="I17" s="109"/>
    </row>
    <row r="18" spans="1:9" ht="12.75" customHeight="1">
      <c r="A18" s="2"/>
      <c r="I18" s="109"/>
    </row>
    <row r="19" spans="1:9" ht="12.75" customHeight="1">
      <c r="A19" s="2"/>
      <c r="I19" s="109"/>
    </row>
    <row r="20" spans="1:9" ht="12.75" customHeight="1">
      <c r="A20" s="2"/>
      <c r="I20" s="109"/>
    </row>
    <row r="21" spans="1:9" ht="12.75" customHeight="1">
      <c r="A21" s="2"/>
    </row>
  </sheetData>
  <mergeCells count="1">
    <mergeCell ref="A5:B5"/>
  </mergeCells>
  <pageMargins left="0.75" right="0.75" top="1" bottom="1" header="0.5" footer="0.5"/>
  <pageSetup paperSize="9"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dimension ref="A1:P98"/>
  <sheetViews>
    <sheetView zoomScaleNormal="100" workbookViewId="0"/>
  </sheetViews>
  <sheetFormatPr defaultColWidth="9.140625" defaultRowHeight="12.75" customHeight="1"/>
  <cols>
    <col min="1" max="1" width="21.42578125" customWidth="1"/>
    <col min="2" max="20" width="9.140625" customWidth="1"/>
  </cols>
  <sheetData>
    <row r="1" spans="1:16" ht="20.25">
      <c r="A1" s="139" t="s">
        <v>279</v>
      </c>
      <c r="B1" s="144"/>
      <c r="C1" s="144"/>
      <c r="D1" s="144"/>
    </row>
    <row r="2" spans="1:16" ht="18">
      <c r="A2" s="145" t="s">
        <v>130</v>
      </c>
      <c r="B2" s="144"/>
      <c r="C2" s="144"/>
    </row>
    <row r="3" spans="1:16" ht="12.75" customHeight="1">
      <c r="A3" s="5"/>
      <c r="B3" s="32"/>
      <c r="C3" s="32"/>
      <c r="D3" s="32"/>
      <c r="E3" s="32"/>
      <c r="F3" s="32"/>
      <c r="G3" s="32"/>
      <c r="H3" s="32"/>
      <c r="I3" s="32"/>
      <c r="J3" s="32"/>
      <c r="K3" s="32"/>
      <c r="L3" s="32"/>
      <c r="M3" s="32"/>
      <c r="N3" s="32"/>
      <c r="O3" s="32"/>
      <c r="P3" s="32"/>
    </row>
    <row r="4" spans="1:16"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284</v>
      </c>
    </row>
    <row r="5" spans="1:16" ht="12.75" customHeight="1">
      <c r="A5" s="148" t="s">
        <v>279</v>
      </c>
      <c r="B5" s="154"/>
      <c r="C5" s="70"/>
      <c r="D5" s="70"/>
      <c r="E5" s="70"/>
      <c r="F5" s="70"/>
      <c r="G5" s="70"/>
      <c r="H5" s="70"/>
      <c r="I5" s="70"/>
      <c r="J5" s="70"/>
      <c r="K5" s="70"/>
      <c r="L5" s="70"/>
      <c r="M5" s="70"/>
      <c r="N5" s="70"/>
      <c r="O5" s="38"/>
      <c r="P5" s="38"/>
    </row>
    <row r="6" spans="1:16" ht="12.75" customHeight="1">
      <c r="A6" s="39" t="s">
        <v>328</v>
      </c>
      <c r="B6" s="59">
        <v>36</v>
      </c>
      <c r="C6" s="59">
        <v>41</v>
      </c>
      <c r="D6" s="59">
        <v>62</v>
      </c>
      <c r="E6" s="59">
        <v>16</v>
      </c>
      <c r="F6" s="59">
        <v>30</v>
      </c>
      <c r="G6" s="59">
        <v>24</v>
      </c>
      <c r="H6" s="40">
        <v>51</v>
      </c>
      <c r="I6" s="40">
        <v>172</v>
      </c>
      <c r="J6" s="40">
        <v>194</v>
      </c>
      <c r="K6" s="40">
        <v>33</v>
      </c>
      <c r="L6" s="40">
        <v>38</v>
      </c>
      <c r="M6" s="40">
        <v>15</v>
      </c>
      <c r="N6" s="41">
        <f>SUM(B6:M6)</f>
        <v>712</v>
      </c>
      <c r="O6" s="42">
        <v>1757.5</v>
      </c>
      <c r="P6" s="43">
        <f>O6/N6</f>
        <v>2.4683988764044944</v>
      </c>
    </row>
    <row r="7" spans="1:16" ht="12.75" customHeight="1">
      <c r="A7" s="39" t="s">
        <v>69</v>
      </c>
      <c r="B7" s="40">
        <v>53</v>
      </c>
      <c r="C7" s="40">
        <v>86</v>
      </c>
      <c r="D7" s="40">
        <v>154</v>
      </c>
      <c r="E7" s="40">
        <v>42</v>
      </c>
      <c r="F7" s="40">
        <v>57</v>
      </c>
      <c r="G7" s="40">
        <v>62</v>
      </c>
      <c r="H7" s="40">
        <v>143</v>
      </c>
      <c r="I7" s="40">
        <v>475</v>
      </c>
      <c r="J7" s="40">
        <v>544</v>
      </c>
      <c r="K7" s="40">
        <v>107</v>
      </c>
      <c r="L7" s="40">
        <v>119</v>
      </c>
      <c r="M7" s="40">
        <v>39</v>
      </c>
      <c r="N7" s="41">
        <f>SUM(B7:M7)</f>
        <v>1881</v>
      </c>
      <c r="O7" s="42"/>
      <c r="P7" s="43"/>
    </row>
    <row r="8" spans="1:16" ht="12.75" customHeight="1">
      <c r="A8" s="2"/>
      <c r="B8" s="38"/>
      <c r="C8" s="38"/>
      <c r="D8" s="38"/>
      <c r="E8" s="38"/>
      <c r="F8" s="38"/>
      <c r="G8" s="38"/>
      <c r="H8" s="38"/>
      <c r="I8" s="38"/>
      <c r="J8" s="38"/>
      <c r="K8" s="38"/>
      <c r="L8" s="38"/>
      <c r="M8" s="38"/>
      <c r="N8" s="38"/>
    </row>
    <row r="9" spans="1:16">
      <c r="A9" s="63" t="s">
        <v>292</v>
      </c>
      <c r="B9" s="63" t="s">
        <v>247</v>
      </c>
    </row>
    <row r="98" spans="1:1" ht="12.75" customHeight="1">
      <c r="A98" s="2" t="s">
        <v>269</v>
      </c>
    </row>
  </sheetData>
  <mergeCells count="3">
    <mergeCell ref="A1:D1"/>
    <mergeCell ref="A2:C2"/>
    <mergeCell ref="A5:B5"/>
  </mergeCells>
  <pageMargins left="0.75" right="0.75" top="1" bottom="1" header="0.5" footer="0.5"/>
  <pageSetup paperSize="9"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dimension ref="A1:Q19"/>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0.5703125" customWidth="1"/>
    <col min="2" max="14" width="8.5703125" customWidth="1"/>
    <col min="15" max="15" width="10.85546875" customWidth="1"/>
    <col min="16" max="16" width="8.5703125" customWidth="1"/>
    <col min="17" max="17" width="9.140625" customWidth="1"/>
  </cols>
  <sheetData>
    <row r="1" spans="1:17" ht="20.25">
      <c r="A1" s="1" t="s">
        <v>243</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5"/>
      <c r="P3" s="32"/>
    </row>
    <row r="4" spans="1:17" ht="25.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284</v>
      </c>
      <c r="Q4" s="2"/>
    </row>
    <row r="5" spans="1:17" ht="12.75" customHeight="1">
      <c r="A5" s="36" t="s">
        <v>228</v>
      </c>
      <c r="B5" s="37"/>
      <c r="C5" s="37"/>
      <c r="D5" s="37"/>
      <c r="E5" s="37"/>
      <c r="F5" s="37"/>
      <c r="G5" s="37"/>
      <c r="H5" s="37"/>
      <c r="I5" s="37"/>
      <c r="J5" s="37"/>
      <c r="K5" s="37"/>
      <c r="L5" s="37"/>
      <c r="M5" s="37"/>
      <c r="N5" s="37"/>
      <c r="O5" s="28"/>
      <c r="P5" s="50"/>
    </row>
    <row r="6" spans="1:17" ht="12.75" customHeight="1">
      <c r="A6" s="39" t="s">
        <v>328</v>
      </c>
      <c r="B6" s="59">
        <v>2531</v>
      </c>
      <c r="C6" s="59">
        <v>857</v>
      </c>
      <c r="D6" s="59">
        <v>2014</v>
      </c>
      <c r="E6" s="59">
        <v>6104</v>
      </c>
      <c r="F6" s="59">
        <v>6282</v>
      </c>
      <c r="G6" s="59">
        <v>3370</v>
      </c>
      <c r="H6" s="40">
        <v>967</v>
      </c>
      <c r="I6" s="40">
        <v>3391</v>
      </c>
      <c r="J6" s="40">
        <v>5079</v>
      </c>
      <c r="K6" s="40">
        <v>5075</v>
      </c>
      <c r="L6" s="40">
        <v>1396</v>
      </c>
      <c r="M6" s="40">
        <v>859</v>
      </c>
      <c r="N6" s="41">
        <f>SUM(B6:M6)</f>
        <v>37925</v>
      </c>
      <c r="O6" s="42">
        <v>24073.65</v>
      </c>
      <c r="P6" s="43">
        <f>O6/N6</f>
        <v>0.63476994067237968</v>
      </c>
    </row>
    <row r="7" spans="1:17" ht="12.75" customHeight="1">
      <c r="A7" s="39" t="s">
        <v>317</v>
      </c>
      <c r="B7" s="59">
        <v>3014</v>
      </c>
      <c r="C7" s="59">
        <v>1252</v>
      </c>
      <c r="D7" s="59">
        <v>2285</v>
      </c>
      <c r="E7" s="59">
        <v>5171</v>
      </c>
      <c r="F7" s="59">
        <v>6585</v>
      </c>
      <c r="G7" s="59">
        <v>3864</v>
      </c>
      <c r="H7" s="40">
        <v>1360</v>
      </c>
      <c r="I7" s="40">
        <v>3815</v>
      </c>
      <c r="J7" s="40">
        <v>5803</v>
      </c>
      <c r="K7" s="40">
        <v>6194</v>
      </c>
      <c r="L7" s="40">
        <v>1930</v>
      </c>
      <c r="M7" s="40">
        <v>801</v>
      </c>
      <c r="N7" s="41">
        <f>SUM(B7:M7)</f>
        <v>42074</v>
      </c>
      <c r="O7" s="42">
        <v>24073.65</v>
      </c>
      <c r="P7" s="43">
        <f>O7/N7</f>
        <v>0.57217402671483575</v>
      </c>
    </row>
    <row r="8" spans="1:17" ht="12.75" customHeight="1">
      <c r="A8" s="2"/>
      <c r="B8" s="50"/>
      <c r="C8" s="44"/>
      <c r="D8" s="44"/>
      <c r="E8" s="44"/>
      <c r="F8" s="44"/>
      <c r="G8" s="44"/>
      <c r="H8" s="44"/>
      <c r="I8" s="44"/>
      <c r="J8" s="44"/>
      <c r="K8" s="44"/>
      <c r="L8" s="44"/>
      <c r="M8" s="44"/>
      <c r="N8" s="38"/>
      <c r="O8" s="43"/>
      <c r="P8" s="43"/>
    </row>
    <row r="9" spans="1:17" ht="12.75" customHeight="1">
      <c r="A9" s="101" t="s">
        <v>335</v>
      </c>
      <c r="B9" s="87"/>
      <c r="C9" s="32"/>
      <c r="D9" s="32"/>
      <c r="E9" s="32"/>
      <c r="F9" s="32"/>
      <c r="G9" s="32"/>
      <c r="H9" s="32"/>
      <c r="I9" s="32"/>
      <c r="J9" s="32"/>
      <c r="K9" s="32"/>
      <c r="L9" s="32"/>
      <c r="M9" s="32"/>
      <c r="N9" s="32"/>
      <c r="O9" s="43"/>
      <c r="P9" s="43"/>
    </row>
    <row r="10" spans="1:17" ht="12.75" customHeight="1">
      <c r="A10" s="39" t="s">
        <v>328</v>
      </c>
      <c r="B10" s="40">
        <v>50</v>
      </c>
      <c r="C10" s="40">
        <v>11</v>
      </c>
      <c r="D10" s="40">
        <v>225</v>
      </c>
      <c r="E10" s="59">
        <v>162</v>
      </c>
      <c r="F10" s="59">
        <v>254</v>
      </c>
      <c r="G10" s="59">
        <v>92</v>
      </c>
      <c r="H10" s="40">
        <v>28</v>
      </c>
      <c r="I10" s="40">
        <v>265</v>
      </c>
      <c r="J10" s="40">
        <v>283</v>
      </c>
      <c r="K10" s="40">
        <v>147</v>
      </c>
      <c r="L10" s="40">
        <v>84</v>
      </c>
      <c r="M10" s="40">
        <v>32</v>
      </c>
      <c r="N10" s="41">
        <f>SUM(B10:M10)</f>
        <v>1633</v>
      </c>
      <c r="O10" s="42">
        <v>6972.15</v>
      </c>
      <c r="P10" s="43">
        <f>O10/N10</f>
        <v>4.2695345988977342</v>
      </c>
    </row>
    <row r="11" spans="1:17" ht="12.75" customHeight="1">
      <c r="A11" s="39" t="s">
        <v>317</v>
      </c>
      <c r="B11" s="40">
        <v>21</v>
      </c>
      <c r="C11" s="40">
        <v>23</v>
      </c>
      <c r="D11" s="40">
        <v>209</v>
      </c>
      <c r="E11" s="59">
        <v>216</v>
      </c>
      <c r="F11" s="59">
        <v>264</v>
      </c>
      <c r="G11" s="59">
        <v>48</v>
      </c>
      <c r="H11" s="40">
        <v>21</v>
      </c>
      <c r="I11" s="40">
        <v>371</v>
      </c>
      <c r="J11" s="40">
        <v>287</v>
      </c>
      <c r="K11" s="40">
        <v>141</v>
      </c>
      <c r="L11" s="40">
        <v>87</v>
      </c>
      <c r="M11" s="40">
        <v>30</v>
      </c>
      <c r="N11" s="41">
        <f>SUM(B11:M11)</f>
        <v>1718</v>
      </c>
      <c r="O11" s="42">
        <f>O10</f>
        <v>6972.15</v>
      </c>
      <c r="P11" s="43">
        <f>O11/N11</f>
        <v>4.0582945285215368</v>
      </c>
    </row>
    <row r="12" spans="1:17" ht="12.75" customHeight="1">
      <c r="A12" s="2"/>
      <c r="B12" s="50"/>
      <c r="C12" s="38"/>
      <c r="D12" s="38"/>
      <c r="E12" s="38"/>
      <c r="F12" s="38"/>
      <c r="G12" s="38"/>
      <c r="H12" s="38"/>
      <c r="I12" s="38"/>
      <c r="J12" s="38"/>
      <c r="K12" s="38"/>
      <c r="L12" s="38"/>
      <c r="M12" s="38"/>
      <c r="N12" s="38"/>
      <c r="O12" s="2"/>
    </row>
    <row r="13" spans="1:17" ht="12.75" customHeight="1">
      <c r="A13" s="101" t="s">
        <v>6</v>
      </c>
      <c r="B13" s="87"/>
      <c r="C13" s="32"/>
      <c r="D13" s="32"/>
      <c r="E13" s="32"/>
      <c r="F13" s="32"/>
      <c r="G13" s="32"/>
      <c r="H13" s="32"/>
      <c r="I13" s="32"/>
      <c r="J13" s="32"/>
      <c r="K13" s="32"/>
      <c r="L13" s="32"/>
      <c r="M13" s="32"/>
      <c r="N13" s="32"/>
      <c r="O13" s="43"/>
      <c r="P13" s="43"/>
    </row>
    <row r="14" spans="1:17" ht="12.75" customHeight="1">
      <c r="A14" s="39" t="s">
        <v>328</v>
      </c>
      <c r="B14" s="40">
        <v>47</v>
      </c>
      <c r="C14" s="40">
        <v>22</v>
      </c>
      <c r="D14" s="40">
        <v>78</v>
      </c>
      <c r="E14" s="59">
        <v>224</v>
      </c>
      <c r="F14" s="59">
        <v>206</v>
      </c>
      <c r="G14" s="59">
        <v>84</v>
      </c>
      <c r="H14" s="40">
        <v>45</v>
      </c>
      <c r="I14" s="40">
        <v>201</v>
      </c>
      <c r="J14" s="40">
        <v>499</v>
      </c>
      <c r="K14" s="40">
        <v>276</v>
      </c>
      <c r="L14" s="40">
        <v>37</v>
      </c>
      <c r="M14" s="40">
        <v>45</v>
      </c>
      <c r="N14" s="41">
        <f>SUM(B14:M14)</f>
        <v>1764</v>
      </c>
      <c r="O14" s="42">
        <v>4735</v>
      </c>
      <c r="P14" s="43">
        <f>O14/N14</f>
        <v>2.6842403628117912</v>
      </c>
    </row>
    <row r="15" spans="1:17" ht="12.75" customHeight="1">
      <c r="A15" s="39" t="s">
        <v>317</v>
      </c>
      <c r="B15" s="40">
        <v>31</v>
      </c>
      <c r="C15" s="40">
        <v>13</v>
      </c>
      <c r="D15" s="40">
        <v>42</v>
      </c>
      <c r="E15" s="59">
        <v>143</v>
      </c>
      <c r="F15" s="59">
        <v>148</v>
      </c>
      <c r="G15" s="59">
        <v>60</v>
      </c>
      <c r="H15" s="40">
        <v>34</v>
      </c>
      <c r="I15" s="40">
        <v>100</v>
      </c>
      <c r="J15" s="40">
        <v>517</v>
      </c>
      <c r="K15" s="40">
        <v>256</v>
      </c>
      <c r="L15" s="40">
        <v>30</v>
      </c>
      <c r="M15" s="40">
        <v>24</v>
      </c>
      <c r="N15" s="41">
        <f>SUM(B15:M15)</f>
        <v>1398</v>
      </c>
      <c r="O15" s="42">
        <v>4735</v>
      </c>
      <c r="P15" s="43">
        <f>O15/N15</f>
        <v>3.3869814020028612</v>
      </c>
    </row>
    <row r="16" spans="1:17" ht="12.75" customHeight="1">
      <c r="A16" s="2"/>
      <c r="B16" s="38"/>
      <c r="C16" s="38"/>
      <c r="D16" s="38"/>
      <c r="E16" s="38"/>
      <c r="F16" s="38"/>
      <c r="G16" s="38"/>
      <c r="H16" s="38"/>
      <c r="I16" s="38"/>
      <c r="J16" s="38"/>
      <c r="K16" s="38"/>
      <c r="L16" s="38"/>
      <c r="M16" s="38"/>
      <c r="N16" s="38"/>
      <c r="O16" s="2"/>
    </row>
    <row r="17" spans="1:15" ht="12.75" customHeight="1">
      <c r="A17" s="2"/>
      <c r="O17" s="2"/>
    </row>
    <row r="18" spans="1:15" ht="12.75" customHeight="1">
      <c r="A18" s="2" t="s">
        <v>31</v>
      </c>
      <c r="B18" s="2" t="s">
        <v>247</v>
      </c>
      <c r="O18" s="2"/>
    </row>
    <row r="19" spans="1:15" ht="12.75" customHeight="1">
      <c r="A19" s="2"/>
      <c r="O19" s="2"/>
    </row>
  </sheetData>
  <pageMargins left="0.75" right="0.75" top="1" bottom="1" header="0.5" footer="0.5"/>
  <pageSetup paperSize="9"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dimension ref="A1:Q37"/>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1.7109375" customWidth="1"/>
    <col min="2" max="14" width="8.5703125" customWidth="1"/>
    <col min="15" max="15" width="10.5703125" customWidth="1"/>
    <col min="16" max="16" width="8.5703125" customWidth="1"/>
    <col min="17" max="17" width="9.140625" customWidth="1"/>
  </cols>
  <sheetData>
    <row r="1" spans="1:17" ht="20.25">
      <c r="A1" s="1" t="s">
        <v>180</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32"/>
      <c r="P3" s="32"/>
    </row>
    <row r="4" spans="1:17"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154</v>
      </c>
      <c r="Q4" s="2"/>
    </row>
    <row r="5" spans="1:17" ht="12.75" customHeight="1">
      <c r="A5" s="36" t="s">
        <v>180</v>
      </c>
      <c r="B5" s="70"/>
      <c r="C5" s="70"/>
      <c r="D5" s="70"/>
      <c r="E5" s="70"/>
      <c r="F5" s="70"/>
      <c r="G5" s="70"/>
      <c r="H5" s="70"/>
      <c r="I5" s="70"/>
      <c r="J5" s="70"/>
      <c r="K5" s="70"/>
      <c r="L5" s="70"/>
      <c r="M5" s="70"/>
      <c r="N5" s="70"/>
      <c r="O5" s="38"/>
      <c r="P5" s="38"/>
    </row>
    <row r="6" spans="1:17" ht="12.75" customHeight="1">
      <c r="A6" s="39" t="s">
        <v>89</v>
      </c>
      <c r="B6" s="40">
        <v>277</v>
      </c>
      <c r="C6" s="40">
        <v>313</v>
      </c>
      <c r="D6" s="40">
        <v>652</v>
      </c>
      <c r="E6" s="40">
        <v>734</v>
      </c>
      <c r="F6" s="40">
        <v>1363</v>
      </c>
      <c r="G6" s="40">
        <v>1144</v>
      </c>
      <c r="H6" s="40">
        <v>727</v>
      </c>
      <c r="I6" s="40">
        <v>537</v>
      </c>
      <c r="J6" s="40">
        <v>861</v>
      </c>
      <c r="K6" s="40">
        <v>563</v>
      </c>
      <c r="L6" s="40">
        <v>504</v>
      </c>
      <c r="M6" s="40">
        <v>411</v>
      </c>
      <c r="N6" s="41">
        <f>SUM(B6:M6)</f>
        <v>8086</v>
      </c>
      <c r="O6" s="42"/>
      <c r="P6" s="43"/>
    </row>
    <row r="7" spans="1:17" ht="12.75" customHeight="1">
      <c r="A7" s="39" t="s">
        <v>328</v>
      </c>
      <c r="B7" s="40">
        <v>389</v>
      </c>
      <c r="C7" s="40">
        <v>512</v>
      </c>
      <c r="D7" s="40">
        <v>817</v>
      </c>
      <c r="E7" s="40">
        <v>910</v>
      </c>
      <c r="F7" s="40">
        <v>1523</v>
      </c>
      <c r="G7" s="40">
        <v>1313</v>
      </c>
      <c r="H7" s="40">
        <v>928</v>
      </c>
      <c r="I7" s="40">
        <v>710</v>
      </c>
      <c r="J7" s="40">
        <v>1021</v>
      </c>
      <c r="K7" s="40">
        <v>697</v>
      </c>
      <c r="L7" s="40">
        <v>629</v>
      </c>
      <c r="M7" s="40">
        <v>510</v>
      </c>
      <c r="N7" s="41">
        <f>SUM(B7:M7)</f>
        <v>9959</v>
      </c>
      <c r="O7" s="42">
        <v>7384</v>
      </c>
      <c r="P7" s="43">
        <f>O7/N7</f>
        <v>0.74143990360477963</v>
      </c>
    </row>
    <row r="8" spans="1:17" ht="12.75" customHeight="1">
      <c r="A8" s="2"/>
      <c r="B8" s="38"/>
      <c r="C8" s="38"/>
      <c r="D8" s="38"/>
      <c r="E8" s="38"/>
      <c r="F8" s="38"/>
      <c r="G8" s="38"/>
      <c r="H8" s="38"/>
      <c r="I8" s="38"/>
      <c r="J8" s="38"/>
      <c r="K8" s="38"/>
      <c r="L8" s="38"/>
      <c r="M8" s="38"/>
      <c r="N8" s="38"/>
    </row>
    <row r="9" spans="1:17" ht="12.75" customHeight="1">
      <c r="A9" s="2"/>
    </row>
    <row r="10" spans="1:17" ht="12.75" customHeight="1">
      <c r="A10" s="2" t="s">
        <v>31</v>
      </c>
      <c r="B10" s="2" t="s">
        <v>247</v>
      </c>
    </row>
    <row r="11" spans="1:17" ht="12.75" customHeight="1">
      <c r="A11" s="2"/>
    </row>
    <row r="12" spans="1:17" ht="12.75" customHeight="1">
      <c r="A12" s="2"/>
    </row>
    <row r="13" spans="1:17" ht="12.75" customHeight="1">
      <c r="A13" s="2"/>
    </row>
    <row r="14" spans="1:17" ht="12.75" customHeight="1">
      <c r="A14" s="2"/>
    </row>
    <row r="15" spans="1:17" ht="12.75" customHeight="1">
      <c r="A15" s="2"/>
    </row>
    <row r="16" spans="1:17" ht="12.75" customHeight="1">
      <c r="A16" s="2"/>
    </row>
    <row r="17" spans="1:1" ht="12.75" customHeight="1">
      <c r="A17" s="2"/>
    </row>
    <row r="18" spans="1:1" ht="12.75" customHeight="1">
      <c r="A18" s="2"/>
    </row>
    <row r="19" spans="1:1" ht="12.75" customHeight="1">
      <c r="A19" s="2"/>
    </row>
    <row r="20" spans="1:1" ht="12.75" customHeight="1">
      <c r="A20" s="2"/>
    </row>
    <row r="21" spans="1:1" ht="12.75" customHeight="1">
      <c r="A21" s="2"/>
    </row>
    <row r="22" spans="1:1" ht="12.75" customHeight="1">
      <c r="A22" s="2"/>
    </row>
    <row r="23" spans="1:1" ht="12.75" customHeight="1">
      <c r="A23" s="2"/>
    </row>
    <row r="24" spans="1:1" ht="12.75" customHeight="1">
      <c r="A24" s="2"/>
    </row>
    <row r="25" spans="1:1" ht="12.75" customHeight="1">
      <c r="A25" s="2"/>
    </row>
    <row r="26" spans="1:1" ht="12.75" customHeight="1">
      <c r="A26" s="2"/>
    </row>
    <row r="27" spans="1:1" ht="12.75" customHeight="1">
      <c r="A27" s="2"/>
    </row>
    <row r="28" spans="1:1" ht="12.75" customHeight="1">
      <c r="A28" s="2"/>
    </row>
    <row r="29" spans="1:1" ht="12.75" customHeight="1">
      <c r="A29" s="2"/>
    </row>
    <row r="30" spans="1:1" ht="12.75" customHeight="1">
      <c r="A30" s="2"/>
    </row>
    <row r="31" spans="1:1" ht="12.75" customHeight="1">
      <c r="A31" s="2"/>
    </row>
    <row r="32" spans="1:1" ht="12.75" customHeight="1">
      <c r="A32" s="2"/>
    </row>
    <row r="33" spans="1:9" ht="12.75" customHeight="1">
      <c r="A33" s="2"/>
    </row>
    <row r="34" spans="1:9" ht="12.75" customHeight="1">
      <c r="A34" s="2"/>
    </row>
    <row r="35" spans="1:9" ht="12.75" customHeight="1">
      <c r="A35" s="2"/>
    </row>
    <row r="36" spans="1:9" ht="12.75" customHeight="1">
      <c r="A36" s="2"/>
      <c r="I36" s="43"/>
    </row>
    <row r="37" spans="1:9" ht="12.75" customHeight="1">
      <c r="A37" s="2"/>
    </row>
  </sheetData>
  <pageMargins left="0.75" right="0.75" top="1" bottom="1" header="0.5" footer="0.5"/>
  <pageSetup paperSize="9" orientation="portrait" horizontalDpi="300" verticalDpi="300"/>
  <headerFooter alignWithMargins="0"/>
</worksheet>
</file>

<file path=xl/worksheets/sheet19.xml><?xml version="1.0" encoding="utf-8"?>
<worksheet xmlns="http://schemas.openxmlformats.org/spreadsheetml/2006/main" xmlns:r="http://schemas.openxmlformats.org/officeDocument/2006/relationships">
  <dimension ref="A1:Q12"/>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2.7109375" customWidth="1"/>
    <col min="2" max="14" width="8.5703125" customWidth="1"/>
    <col min="15" max="15" width="10.85546875" customWidth="1"/>
    <col min="16" max="16" width="8.5703125" customWidth="1"/>
    <col min="17" max="17" width="9.140625" customWidth="1"/>
  </cols>
  <sheetData>
    <row r="1" spans="1:17" ht="20.25">
      <c r="A1" s="1" t="s">
        <v>263</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5"/>
      <c r="P3" s="32"/>
    </row>
    <row r="4" spans="1:17" ht="25.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284</v>
      </c>
      <c r="Q4" s="2"/>
    </row>
    <row r="5" spans="1:17" ht="12.75" customHeight="1">
      <c r="A5" s="36" t="s">
        <v>13</v>
      </c>
      <c r="B5" s="70"/>
      <c r="C5" s="70"/>
      <c r="D5" s="70"/>
      <c r="E5" s="70"/>
      <c r="F5" s="70"/>
      <c r="G5" s="70"/>
      <c r="H5" s="70"/>
      <c r="I5" s="70"/>
      <c r="J5" s="70"/>
      <c r="K5" s="70"/>
      <c r="L5" s="70"/>
      <c r="M5" s="70"/>
      <c r="N5" s="70"/>
      <c r="O5" s="28"/>
      <c r="P5" s="38"/>
    </row>
    <row r="6" spans="1:17" ht="12.75" customHeight="1">
      <c r="A6" s="39" t="s">
        <v>206</v>
      </c>
      <c r="B6" s="40">
        <v>18</v>
      </c>
      <c r="C6" s="40">
        <v>2</v>
      </c>
      <c r="D6" s="40">
        <v>12</v>
      </c>
      <c r="E6" s="40">
        <v>46</v>
      </c>
      <c r="F6" s="40">
        <v>80</v>
      </c>
      <c r="G6" s="40">
        <v>26</v>
      </c>
      <c r="H6" s="40">
        <v>6</v>
      </c>
      <c r="I6" s="40">
        <v>21</v>
      </c>
      <c r="J6" s="40">
        <v>31</v>
      </c>
      <c r="K6" s="40">
        <v>39</v>
      </c>
      <c r="L6" s="40">
        <v>16</v>
      </c>
      <c r="M6" s="40">
        <v>15</v>
      </c>
      <c r="N6" s="41">
        <f>SUM(B6:M6)</f>
        <v>312</v>
      </c>
      <c r="O6" s="9"/>
    </row>
    <row r="7" spans="1:17">
      <c r="A7" s="39" t="s">
        <v>328</v>
      </c>
      <c r="B7" s="40">
        <v>55</v>
      </c>
      <c r="C7" s="40" t="s">
        <v>128</v>
      </c>
      <c r="D7" s="40">
        <v>30</v>
      </c>
      <c r="E7" s="40">
        <v>94</v>
      </c>
      <c r="F7" s="40">
        <v>334</v>
      </c>
      <c r="G7" s="40">
        <v>75</v>
      </c>
      <c r="H7" s="40">
        <v>24</v>
      </c>
      <c r="I7" s="40">
        <v>19</v>
      </c>
      <c r="J7" s="40">
        <v>45</v>
      </c>
      <c r="K7" s="40">
        <v>85</v>
      </c>
      <c r="L7" s="40">
        <v>42</v>
      </c>
      <c r="M7" s="40">
        <v>22</v>
      </c>
      <c r="N7" s="41">
        <f>SUM(B7:M7)</f>
        <v>825</v>
      </c>
      <c r="O7" s="42">
        <v>11000</v>
      </c>
      <c r="P7" s="43">
        <f>O7/N7</f>
        <v>13.333333333333334</v>
      </c>
    </row>
    <row r="8" spans="1:17" ht="12.75" customHeight="1">
      <c r="A8" s="39" t="s">
        <v>226</v>
      </c>
      <c r="B8" s="59" t="s">
        <v>128</v>
      </c>
      <c r="C8" s="59">
        <v>1</v>
      </c>
      <c r="D8" s="59">
        <v>20</v>
      </c>
      <c r="E8" s="59">
        <v>33</v>
      </c>
      <c r="F8" s="59">
        <v>129</v>
      </c>
      <c r="G8" s="59">
        <v>43</v>
      </c>
      <c r="H8" s="59">
        <v>1</v>
      </c>
      <c r="I8" s="59">
        <v>15</v>
      </c>
      <c r="J8" s="59">
        <v>37</v>
      </c>
      <c r="K8" s="59">
        <v>55</v>
      </c>
      <c r="L8" s="59">
        <v>28</v>
      </c>
      <c r="M8" s="59">
        <v>9</v>
      </c>
      <c r="N8" s="41">
        <f>SUM(B8:M8)</f>
        <v>371</v>
      </c>
      <c r="O8" s="42">
        <v>11000</v>
      </c>
      <c r="P8" s="43">
        <f>O8/N8</f>
        <v>29.649595687331537</v>
      </c>
    </row>
    <row r="9" spans="1:17" ht="12.75" customHeight="1">
      <c r="A9" s="2"/>
      <c r="B9" s="38"/>
      <c r="C9" s="38"/>
      <c r="D9" s="38"/>
      <c r="E9" s="38"/>
      <c r="F9" s="38"/>
      <c r="G9" s="38"/>
      <c r="H9" s="38"/>
      <c r="I9" s="38"/>
      <c r="J9" s="38"/>
      <c r="K9" s="38"/>
      <c r="L9" s="38"/>
      <c r="M9" s="38"/>
      <c r="N9" s="38"/>
      <c r="O9" s="2"/>
    </row>
    <row r="10" spans="1:17" ht="12.75" customHeight="1">
      <c r="A10" s="2"/>
      <c r="O10" s="2"/>
    </row>
    <row r="11" spans="1:17" ht="12.75" customHeight="1">
      <c r="A11" s="2" t="s">
        <v>31</v>
      </c>
      <c r="B11" s="2" t="s">
        <v>247</v>
      </c>
      <c r="O11" s="2"/>
    </row>
    <row r="12" spans="1:17" ht="12.75" customHeight="1">
      <c r="A12" s="2"/>
      <c r="O12" s="2"/>
    </row>
  </sheetData>
  <pageMargins left="0.75" right="0.75" top="1" bottom="1" header="0.5" footer="0.5"/>
  <pageSetup paperSize="9" orientation="portrait" horizontalDpi="300" verticalDpi="300"/>
  <headerFooter alignWithMargins="0"/>
</worksheet>
</file>

<file path=xl/worksheets/sheet20.xml><?xml version="1.0" encoding="utf-8"?>
<worksheet xmlns="http://schemas.openxmlformats.org/spreadsheetml/2006/main" xmlns:r="http://schemas.openxmlformats.org/officeDocument/2006/relationships">
  <dimension ref="A1:Q36"/>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35.7109375" customWidth="1"/>
    <col min="2" max="16" width="8.5703125" customWidth="1"/>
    <col min="17" max="17" width="9.140625" customWidth="1"/>
  </cols>
  <sheetData>
    <row r="1" spans="1:17" ht="20.25">
      <c r="A1" s="1" t="s">
        <v>103</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32"/>
      <c r="P3" s="32"/>
    </row>
    <row r="4" spans="1:17"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154</v>
      </c>
      <c r="Q4" s="2"/>
    </row>
    <row r="5" spans="1:17" ht="12.75" customHeight="1">
      <c r="A5" s="36" t="s">
        <v>280</v>
      </c>
      <c r="B5" s="70"/>
      <c r="C5" s="70"/>
      <c r="D5" s="70"/>
      <c r="E5" s="70"/>
      <c r="F5" s="70"/>
      <c r="G5" s="70"/>
      <c r="H5" s="70"/>
      <c r="I5" s="70"/>
      <c r="J5" s="70"/>
      <c r="K5" s="70"/>
      <c r="L5" s="70"/>
      <c r="M5" s="70"/>
      <c r="N5" s="70"/>
      <c r="O5" s="38"/>
      <c r="P5" s="38"/>
    </row>
    <row r="6" spans="1:17" ht="12.75" customHeight="1">
      <c r="A6" s="39" t="s">
        <v>316</v>
      </c>
      <c r="B6" s="40">
        <v>0</v>
      </c>
      <c r="C6" s="40">
        <v>0</v>
      </c>
      <c r="D6" s="40">
        <v>0</v>
      </c>
      <c r="E6" s="40">
        <v>0</v>
      </c>
      <c r="F6" s="40">
        <v>0</v>
      </c>
      <c r="G6" s="40">
        <v>0</v>
      </c>
      <c r="H6" s="40">
        <v>0</v>
      </c>
      <c r="I6" s="40">
        <v>0</v>
      </c>
      <c r="J6" s="40">
        <v>0</v>
      </c>
      <c r="K6" s="40">
        <v>0</v>
      </c>
      <c r="L6" s="40">
        <v>0</v>
      </c>
      <c r="M6" s="40">
        <v>0</v>
      </c>
      <c r="N6" s="41">
        <f>SUM(B6:M6)</f>
        <v>0</v>
      </c>
      <c r="O6" s="42">
        <v>704.66</v>
      </c>
      <c r="P6" s="55" t="s">
        <v>34</v>
      </c>
    </row>
    <row r="7" spans="1:17" ht="12.75" customHeight="1">
      <c r="A7" s="2"/>
      <c r="B7" s="38"/>
      <c r="C7" s="38"/>
      <c r="D7" s="38"/>
      <c r="E7" s="38"/>
      <c r="F7" s="38"/>
      <c r="G7" s="38"/>
      <c r="H7" s="38"/>
      <c r="I7" s="38"/>
      <c r="J7" s="38"/>
      <c r="K7" s="38"/>
      <c r="L7" s="38"/>
      <c r="M7" s="38"/>
      <c r="N7" s="38"/>
    </row>
    <row r="8" spans="1:17" ht="12.75" customHeight="1">
      <c r="A8" s="140" t="s">
        <v>200</v>
      </c>
      <c r="B8" s="144"/>
      <c r="C8" s="144"/>
      <c r="D8" s="144"/>
      <c r="E8" s="144"/>
      <c r="F8" s="144"/>
      <c r="G8" s="144"/>
      <c r="H8" s="144"/>
      <c r="I8" s="144"/>
      <c r="J8" s="144"/>
      <c r="K8" s="144"/>
      <c r="L8" s="144"/>
    </row>
    <row r="9" spans="1:17" ht="12.75" customHeight="1">
      <c r="A9" s="140" t="s">
        <v>49</v>
      </c>
      <c r="B9" s="144"/>
      <c r="C9" s="144"/>
      <c r="D9" s="144"/>
      <c r="E9" s="144"/>
      <c r="F9" s="144"/>
    </row>
    <row r="10" spans="1:17" ht="12.75" customHeight="1">
      <c r="A10" s="2"/>
    </row>
    <row r="11" spans="1:17" ht="12.75" customHeight="1">
      <c r="A11" s="2" t="s">
        <v>31</v>
      </c>
      <c r="B11" s="2" t="s">
        <v>310</v>
      </c>
    </row>
    <row r="12" spans="1:17" ht="12.75" customHeight="1">
      <c r="A12" s="2"/>
    </row>
    <row r="13" spans="1:17" ht="12.75" customHeight="1">
      <c r="A13" s="2"/>
    </row>
    <row r="14" spans="1:17" ht="12.75" customHeight="1">
      <c r="A14" s="2"/>
    </row>
    <row r="15" spans="1:17" ht="12.75" customHeight="1">
      <c r="A15" s="2"/>
    </row>
    <row r="16" spans="1:17" ht="12.75" customHeight="1">
      <c r="A16" s="2"/>
    </row>
    <row r="17" spans="1:1" ht="12.75" customHeight="1">
      <c r="A17" s="2"/>
    </row>
    <row r="18" spans="1:1" ht="12.75" customHeight="1">
      <c r="A18" s="2"/>
    </row>
    <row r="19" spans="1:1" ht="12.75" customHeight="1">
      <c r="A19" s="2"/>
    </row>
    <row r="20" spans="1:1" ht="12.75" customHeight="1">
      <c r="A20" s="2"/>
    </row>
    <row r="21" spans="1:1" ht="12.75" customHeight="1">
      <c r="A21" s="2"/>
    </row>
    <row r="22" spans="1:1" ht="12.75" customHeight="1">
      <c r="A22" s="2"/>
    </row>
    <row r="23" spans="1:1" ht="12.75" customHeight="1">
      <c r="A23" s="2"/>
    </row>
    <row r="24" spans="1:1" ht="12.75" customHeight="1">
      <c r="A24" s="2"/>
    </row>
    <row r="25" spans="1:1" ht="12.75" customHeight="1">
      <c r="A25" s="2"/>
    </row>
    <row r="26" spans="1:1" ht="12.75" customHeight="1">
      <c r="A26" s="2"/>
    </row>
    <row r="27" spans="1:1" ht="12.75" customHeight="1">
      <c r="A27" s="2"/>
    </row>
    <row r="28" spans="1:1" ht="12.75" customHeight="1">
      <c r="A28" s="2"/>
    </row>
    <row r="29" spans="1:1" ht="12.75" customHeight="1">
      <c r="A29" s="2"/>
    </row>
    <row r="30" spans="1:1" ht="12.75" customHeight="1">
      <c r="A30" s="2"/>
    </row>
    <row r="31" spans="1:1" ht="12.75" customHeight="1">
      <c r="A31" s="2"/>
    </row>
    <row r="32" spans="1:1" ht="12.75" customHeight="1">
      <c r="A32" s="2"/>
    </row>
    <row r="33" spans="1:9" ht="12.75" customHeight="1">
      <c r="A33" s="2"/>
    </row>
    <row r="34" spans="1:9" ht="12.75" customHeight="1">
      <c r="A34" s="2"/>
    </row>
    <row r="35" spans="1:9" ht="12.75" customHeight="1">
      <c r="A35" s="2"/>
      <c r="I35" s="43"/>
    </row>
    <row r="36" spans="1:9" ht="12.75" customHeight="1">
      <c r="A36" s="2"/>
    </row>
  </sheetData>
  <mergeCells count="2">
    <mergeCell ref="A8:L8"/>
    <mergeCell ref="A9:F9"/>
  </mergeCells>
  <pageMargins left="0.75" right="0.75" top="1" bottom="1" header="0.5" footer="0.5"/>
  <pageSetup paperSize="9" orientation="portrait" horizontalDpi="300" verticalDpi="300"/>
  <headerFooter alignWithMargins="0"/>
</worksheet>
</file>

<file path=xl/worksheets/sheet21.xml><?xml version="1.0" encoding="utf-8"?>
<worksheet xmlns="http://schemas.openxmlformats.org/spreadsheetml/2006/main" xmlns:r="http://schemas.openxmlformats.org/officeDocument/2006/relationships">
  <dimension ref="A1:Q31"/>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2.7109375" customWidth="1"/>
    <col min="2" max="16" width="8.5703125" customWidth="1"/>
    <col min="17" max="17" width="9.140625" customWidth="1"/>
  </cols>
  <sheetData>
    <row r="1" spans="1:17" ht="20.25">
      <c r="A1" s="1" t="s">
        <v>305</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32"/>
      <c r="P3" s="32"/>
    </row>
    <row r="4" spans="1:17"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154</v>
      </c>
      <c r="Q4" s="2"/>
    </row>
    <row r="5" spans="1:17" ht="12.75" customHeight="1">
      <c r="A5" s="36" t="s">
        <v>95</v>
      </c>
      <c r="B5" s="70"/>
      <c r="C5" s="70"/>
      <c r="D5" s="70"/>
      <c r="E5" s="70"/>
      <c r="F5" s="70"/>
      <c r="G5" s="70"/>
      <c r="H5" s="70"/>
      <c r="I5" s="70"/>
      <c r="J5" s="70"/>
      <c r="K5" s="70"/>
      <c r="L5" s="70"/>
      <c r="M5" s="70"/>
      <c r="N5" s="70"/>
      <c r="O5" s="38"/>
      <c r="P5" s="38"/>
    </row>
    <row r="6" spans="1:17" ht="12.75" customHeight="1">
      <c r="A6" s="39" t="s">
        <v>89</v>
      </c>
      <c r="B6" s="98">
        <v>1</v>
      </c>
      <c r="C6" s="98">
        <v>1</v>
      </c>
      <c r="D6" s="98">
        <v>0</v>
      </c>
      <c r="E6" s="98">
        <v>4</v>
      </c>
      <c r="F6" s="98">
        <v>0</v>
      </c>
      <c r="G6" s="98">
        <v>0</v>
      </c>
      <c r="H6" s="98">
        <v>0</v>
      </c>
      <c r="I6" s="98">
        <v>1</v>
      </c>
      <c r="J6" s="98">
        <v>0</v>
      </c>
      <c r="K6" s="98">
        <v>0</v>
      </c>
      <c r="L6" s="98">
        <v>0</v>
      </c>
      <c r="M6" s="98">
        <v>1</v>
      </c>
      <c r="N6" s="53">
        <f>SUM(B6:M6)</f>
        <v>8</v>
      </c>
      <c r="O6" s="42">
        <v>593.67999999999995</v>
      </c>
      <c r="P6" s="43" t="s">
        <v>88</v>
      </c>
    </row>
    <row r="7" spans="1:17" ht="12.75" customHeight="1">
      <c r="A7" s="2"/>
      <c r="B7" s="38"/>
      <c r="C7" s="38"/>
      <c r="D7" s="38"/>
      <c r="E7" s="38"/>
      <c r="F7" s="38"/>
      <c r="G7" s="38"/>
      <c r="H7" s="38"/>
      <c r="I7" s="38"/>
      <c r="J7" s="38"/>
      <c r="K7" s="38"/>
      <c r="L7" s="38"/>
      <c r="M7" s="38"/>
      <c r="N7" s="38"/>
    </row>
    <row r="8" spans="1:17" ht="12.75" customHeight="1">
      <c r="A8" s="2"/>
    </row>
    <row r="9" spans="1:17" ht="12.75" customHeight="1">
      <c r="A9" s="2" t="s">
        <v>31</v>
      </c>
      <c r="B9" s="2" t="s">
        <v>247</v>
      </c>
    </row>
    <row r="10" spans="1:17" ht="12.75" customHeight="1">
      <c r="A10" s="2"/>
    </row>
    <row r="11" spans="1:17" ht="12.75" customHeight="1">
      <c r="A11" s="2"/>
      <c r="E11" s="110"/>
    </row>
    <row r="12" spans="1:17" ht="12.75" customHeight="1">
      <c r="A12" s="2"/>
      <c r="E12" s="110"/>
    </row>
    <row r="13" spans="1:17" ht="12.75" customHeight="1">
      <c r="A13" s="2"/>
      <c r="E13" s="110"/>
    </row>
    <row r="14" spans="1:17" ht="12.75" customHeight="1">
      <c r="A14" s="2"/>
      <c r="B14" s="110"/>
      <c r="E14" s="110"/>
    </row>
    <row r="15" spans="1:17" ht="12.75" customHeight="1">
      <c r="A15" s="2"/>
      <c r="B15" s="110"/>
      <c r="E15" s="110"/>
    </row>
    <row r="16" spans="1:17" ht="12.75" customHeight="1">
      <c r="A16" s="2"/>
      <c r="B16" s="110"/>
      <c r="E16" s="110"/>
    </row>
    <row r="17" spans="1:5" ht="12.75" customHeight="1">
      <c r="A17" s="2"/>
      <c r="B17" s="110"/>
      <c r="E17" s="110"/>
    </row>
    <row r="18" spans="1:5" ht="12.75" customHeight="1">
      <c r="A18" s="2"/>
      <c r="B18" s="110"/>
      <c r="E18" s="110"/>
    </row>
    <row r="19" spans="1:5" ht="12.75" customHeight="1">
      <c r="A19" s="2"/>
      <c r="B19" s="110"/>
      <c r="E19" s="110"/>
    </row>
    <row r="20" spans="1:5" ht="12.75" customHeight="1">
      <c r="A20" s="2"/>
      <c r="B20" s="110"/>
      <c r="E20" s="110"/>
    </row>
    <row r="21" spans="1:5" ht="12.75" customHeight="1">
      <c r="A21" s="2"/>
      <c r="B21" s="110"/>
      <c r="E21" s="110"/>
    </row>
    <row r="22" spans="1:5" ht="12.75" customHeight="1">
      <c r="A22" s="2"/>
      <c r="B22" s="110"/>
      <c r="E22" s="110"/>
    </row>
    <row r="23" spans="1:5" ht="12.75" customHeight="1">
      <c r="A23" s="2"/>
      <c r="B23" s="110"/>
      <c r="E23" s="110"/>
    </row>
    <row r="24" spans="1:5" ht="12.75" customHeight="1">
      <c r="A24" s="2"/>
      <c r="B24" s="110"/>
      <c r="E24" s="110"/>
    </row>
    <row r="25" spans="1:5" ht="12.75" customHeight="1">
      <c r="A25" s="2"/>
      <c r="B25" s="110"/>
      <c r="E25" s="110"/>
    </row>
    <row r="26" spans="1:5" ht="12.75" customHeight="1">
      <c r="A26" s="2"/>
      <c r="B26" s="110"/>
    </row>
    <row r="27" spans="1:5" ht="12.75" customHeight="1">
      <c r="A27" s="2"/>
      <c r="B27" s="110"/>
    </row>
    <row r="28" spans="1:5" ht="12.75" customHeight="1">
      <c r="A28" s="2"/>
      <c r="B28" s="110"/>
    </row>
    <row r="29" spans="1:5" ht="12.75" customHeight="1">
      <c r="A29" s="2"/>
      <c r="B29" s="110"/>
    </row>
    <row r="30" spans="1:5" ht="12.75" customHeight="1">
      <c r="A30" s="2"/>
      <c r="B30" s="110"/>
    </row>
    <row r="31" spans="1:5" ht="12.75" customHeight="1">
      <c r="A31" s="2"/>
    </row>
  </sheetData>
  <pageMargins left="0.75" right="0.75" top="1" bottom="1" header="0.5" footer="0.5"/>
  <pageSetup paperSize="9" orientation="portrait" horizontalDpi="300" verticalDpi="300"/>
  <headerFooter alignWithMargins="0"/>
</worksheet>
</file>

<file path=xl/worksheets/sheet22.xml><?xml version="1.0" encoding="utf-8"?>
<worksheet xmlns="http://schemas.openxmlformats.org/spreadsheetml/2006/main" xmlns:r="http://schemas.openxmlformats.org/officeDocument/2006/relationships">
  <dimension ref="A1:Q11"/>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2.7109375" customWidth="1"/>
    <col min="2" max="14" width="8.5703125" customWidth="1"/>
    <col min="15" max="15" width="10.28515625" customWidth="1"/>
    <col min="16" max="16" width="8.5703125" customWidth="1"/>
    <col min="17" max="17" width="9.140625" customWidth="1"/>
  </cols>
  <sheetData>
    <row r="1" spans="1:17" ht="20.25">
      <c r="A1" s="1" t="s">
        <v>224</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32"/>
      <c r="P3" s="32"/>
    </row>
    <row r="4" spans="1:17"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154</v>
      </c>
      <c r="Q4" s="2"/>
    </row>
    <row r="5" spans="1:17" ht="12.75" customHeight="1">
      <c r="A5" s="36" t="s">
        <v>224</v>
      </c>
      <c r="B5" s="70"/>
      <c r="C5" s="70"/>
      <c r="D5" s="70"/>
      <c r="E5" s="70"/>
      <c r="F5" s="70"/>
      <c r="G5" s="70"/>
      <c r="H5" s="70"/>
      <c r="I5" s="70"/>
      <c r="J5" s="70"/>
      <c r="K5" s="70"/>
      <c r="L5" s="70"/>
      <c r="M5" s="70"/>
      <c r="N5" s="70"/>
      <c r="O5" s="45"/>
      <c r="P5" s="45"/>
    </row>
    <row r="6" spans="1:17" ht="12.75" customHeight="1">
      <c r="A6" s="39" t="s">
        <v>89</v>
      </c>
      <c r="B6" s="98" t="s">
        <v>34</v>
      </c>
      <c r="C6" s="98" t="s">
        <v>34</v>
      </c>
      <c r="D6" s="98" t="s">
        <v>34</v>
      </c>
      <c r="E6" s="98" t="s">
        <v>34</v>
      </c>
      <c r="F6" s="98" t="s">
        <v>34</v>
      </c>
      <c r="G6" s="98" t="s">
        <v>34</v>
      </c>
      <c r="H6" s="98" t="s">
        <v>34</v>
      </c>
      <c r="I6" s="98" t="s">
        <v>34</v>
      </c>
      <c r="J6" s="98" t="s">
        <v>34</v>
      </c>
      <c r="K6" s="98" t="s">
        <v>34</v>
      </c>
      <c r="L6" s="98" t="s">
        <v>34</v>
      </c>
      <c r="M6" s="98" t="s">
        <v>34</v>
      </c>
      <c r="N6" s="111" t="s">
        <v>34</v>
      </c>
      <c r="O6" s="42"/>
      <c r="P6" s="43"/>
    </row>
    <row r="7" spans="1:17" ht="12.75" customHeight="1">
      <c r="A7" s="39" t="s">
        <v>328</v>
      </c>
      <c r="B7" s="40">
        <v>14</v>
      </c>
      <c r="C7" s="40">
        <v>1</v>
      </c>
      <c r="D7" s="40">
        <v>17</v>
      </c>
      <c r="E7" s="40">
        <v>511</v>
      </c>
      <c r="F7" s="40">
        <v>39</v>
      </c>
      <c r="G7" s="40">
        <v>99</v>
      </c>
      <c r="H7" s="40">
        <v>2</v>
      </c>
      <c r="I7" s="40">
        <v>36</v>
      </c>
      <c r="J7" s="40">
        <v>11</v>
      </c>
      <c r="K7" s="40">
        <v>43</v>
      </c>
      <c r="L7" s="40">
        <v>36</v>
      </c>
      <c r="M7" s="40">
        <v>9</v>
      </c>
      <c r="N7" s="41">
        <f>SUM(B7:M7)</f>
        <v>818</v>
      </c>
      <c r="O7" s="42">
        <v>2200</v>
      </c>
      <c r="P7" s="43">
        <f>O7/N7</f>
        <v>2.6894865525672373</v>
      </c>
    </row>
    <row r="8" spans="1:17" ht="12.75" customHeight="1">
      <c r="A8" s="2"/>
      <c r="B8" s="38"/>
      <c r="C8" s="38"/>
      <c r="D8" s="38"/>
      <c r="E8" s="38"/>
      <c r="F8" s="38"/>
      <c r="G8" s="38"/>
      <c r="H8" s="38"/>
      <c r="I8" s="38"/>
      <c r="J8" s="38"/>
      <c r="K8" s="38"/>
      <c r="L8" s="38"/>
      <c r="M8" s="38"/>
      <c r="N8" s="38"/>
    </row>
    <row r="9" spans="1:17" ht="12.75" customHeight="1">
      <c r="A9" s="2"/>
    </row>
    <row r="10" spans="1:17" ht="12.75" customHeight="1">
      <c r="A10" s="2" t="s">
        <v>31</v>
      </c>
      <c r="B10" s="2" t="s">
        <v>247</v>
      </c>
    </row>
    <row r="11" spans="1:17" ht="12.75" customHeight="1">
      <c r="A11" s="2"/>
    </row>
  </sheetData>
  <pageMargins left="0.75" right="0.75" top="1" bottom="1" header="0.5" footer="0.5"/>
  <pageSetup paperSize="9" orientation="portrait" horizontalDpi="300" verticalDpi="300"/>
  <headerFooter alignWithMargins="0"/>
</worksheet>
</file>

<file path=xl/worksheets/sheet23.xml><?xml version="1.0" encoding="utf-8"?>
<worksheet xmlns="http://schemas.openxmlformats.org/spreadsheetml/2006/main" xmlns:r="http://schemas.openxmlformats.org/officeDocument/2006/relationships">
  <dimension ref="A1:Q19"/>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2.7109375" customWidth="1"/>
    <col min="2" max="14" width="8.5703125" customWidth="1"/>
    <col min="15" max="15" width="10.5703125" customWidth="1"/>
    <col min="16" max="16" width="8.5703125" customWidth="1"/>
    <col min="17" max="17" width="9.140625" customWidth="1"/>
  </cols>
  <sheetData>
    <row r="1" spans="1:17" ht="20.25">
      <c r="A1" s="1" t="s">
        <v>137</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32"/>
      <c r="P3" s="32"/>
    </row>
    <row r="4" spans="1:17"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322</v>
      </c>
      <c r="Q4" s="2"/>
    </row>
    <row r="5" spans="1:17" ht="12.75" customHeight="1">
      <c r="A5" s="36" t="s">
        <v>137</v>
      </c>
      <c r="B5" s="70"/>
      <c r="C5" s="70"/>
      <c r="D5" s="70"/>
      <c r="E5" s="70"/>
      <c r="F5" s="70"/>
      <c r="G5" s="70"/>
      <c r="H5" s="70"/>
      <c r="I5" s="70"/>
      <c r="J5" s="70"/>
      <c r="K5" s="70"/>
      <c r="L5" s="70"/>
      <c r="M5" s="70"/>
      <c r="N5" s="70"/>
      <c r="O5" s="38"/>
      <c r="P5" s="38"/>
    </row>
    <row r="6" spans="1:17" ht="12.75" customHeight="1">
      <c r="A6" s="39" t="s">
        <v>306</v>
      </c>
      <c r="B6" s="26">
        <v>48</v>
      </c>
      <c r="C6" s="26">
        <v>24</v>
      </c>
      <c r="D6" s="26">
        <v>55</v>
      </c>
      <c r="E6" s="26">
        <v>180</v>
      </c>
      <c r="F6" s="26">
        <v>139</v>
      </c>
      <c r="G6" s="26">
        <v>140</v>
      </c>
      <c r="H6" s="98">
        <v>59</v>
      </c>
      <c r="I6" s="98">
        <v>106</v>
      </c>
      <c r="J6" s="98">
        <v>101</v>
      </c>
      <c r="K6" s="98">
        <v>79</v>
      </c>
      <c r="L6" s="98">
        <v>28</v>
      </c>
      <c r="M6" s="98">
        <v>52</v>
      </c>
      <c r="N6" s="41">
        <f>SUM(B6:M6)</f>
        <v>1011</v>
      </c>
      <c r="O6" s="42">
        <v>0</v>
      </c>
      <c r="P6" s="55" t="s">
        <v>34</v>
      </c>
    </row>
    <row r="7" spans="1:17" ht="12.75" customHeight="1">
      <c r="A7" s="39" t="s">
        <v>29</v>
      </c>
      <c r="B7" s="98">
        <v>0</v>
      </c>
      <c r="C7" s="98">
        <v>3</v>
      </c>
      <c r="D7" s="98">
        <v>7</v>
      </c>
      <c r="E7" s="98">
        <v>31</v>
      </c>
      <c r="F7" s="98">
        <v>12</v>
      </c>
      <c r="G7" s="98">
        <v>18</v>
      </c>
      <c r="H7" s="98">
        <v>26</v>
      </c>
      <c r="I7" s="98">
        <v>1</v>
      </c>
      <c r="J7" s="98">
        <v>1</v>
      </c>
      <c r="K7" s="98">
        <v>0</v>
      </c>
      <c r="L7" s="98">
        <v>16</v>
      </c>
      <c r="M7" s="98">
        <v>15</v>
      </c>
      <c r="N7" s="112">
        <f>SUM(B7:M7)</f>
        <v>130</v>
      </c>
      <c r="O7" s="42"/>
      <c r="P7" s="43"/>
    </row>
    <row r="8" spans="1:17" ht="12.75" customHeight="1">
      <c r="A8" s="2"/>
      <c r="B8" s="38"/>
      <c r="C8" s="38"/>
      <c r="D8" s="38"/>
      <c r="E8" s="38"/>
      <c r="F8" s="38"/>
      <c r="G8" s="38"/>
      <c r="H8" s="38"/>
      <c r="I8" s="38"/>
      <c r="J8" s="38"/>
      <c r="K8" s="38"/>
      <c r="L8" s="38"/>
      <c r="M8" s="38"/>
      <c r="N8" s="38"/>
    </row>
    <row r="9" spans="1:17" ht="12.75" customHeight="1">
      <c r="A9" s="2"/>
    </row>
    <row r="10" spans="1:17" ht="12.75" customHeight="1">
      <c r="A10" s="140" t="s">
        <v>136</v>
      </c>
      <c r="B10" s="144"/>
    </row>
    <row r="11" spans="1:17" ht="12.75" customHeight="1">
      <c r="A11" s="2" t="s">
        <v>31</v>
      </c>
      <c r="B11" s="2" t="s">
        <v>247</v>
      </c>
    </row>
    <row r="12" spans="1:17" ht="12.75" customHeight="1">
      <c r="A12" s="2"/>
    </row>
    <row r="13" spans="1:17" ht="12.75" customHeight="1">
      <c r="A13" s="2"/>
    </row>
    <row r="14" spans="1:17" ht="12.75" customHeight="1">
      <c r="A14" s="2"/>
      <c r="I14" s="108"/>
    </row>
    <row r="15" spans="1:17" ht="12.75" customHeight="1">
      <c r="A15" s="2"/>
      <c r="I15" s="109"/>
    </row>
    <row r="16" spans="1:17" ht="12.75" customHeight="1">
      <c r="A16" s="2"/>
      <c r="I16" s="109"/>
    </row>
    <row r="17" spans="1:9" ht="12.75" customHeight="1">
      <c r="A17" s="2"/>
      <c r="I17" s="109"/>
    </row>
    <row r="18" spans="1:9" ht="12.75" customHeight="1">
      <c r="A18" s="2"/>
      <c r="I18" s="109"/>
    </row>
    <row r="19" spans="1:9" ht="12.75" customHeight="1">
      <c r="A19" s="2"/>
    </row>
  </sheetData>
  <mergeCells count="1">
    <mergeCell ref="A10:B10"/>
  </mergeCells>
  <pageMargins left="0.75" right="0.75" top="1" bottom="1" header="0.5" footer="0.5"/>
  <pageSetup paperSize="9" orientation="portrait" horizontalDpi="300" verticalDpi="300"/>
  <headerFooter alignWithMargins="0"/>
</worksheet>
</file>

<file path=xl/worksheets/sheet24.xml><?xml version="1.0" encoding="utf-8"?>
<worksheet xmlns="http://schemas.openxmlformats.org/spreadsheetml/2006/main" xmlns:r="http://schemas.openxmlformats.org/officeDocument/2006/relationships">
  <dimension ref="A1:Q38"/>
  <sheetViews>
    <sheetView zoomScaleNormal="100" workbookViewId="0"/>
  </sheetViews>
  <sheetFormatPr defaultColWidth="17.140625" defaultRowHeight="12.75" customHeight="1"/>
  <cols>
    <col min="1" max="1" width="21.85546875" customWidth="1"/>
    <col min="2" max="2" width="7.28515625" customWidth="1"/>
    <col min="3" max="3" width="7.5703125" customWidth="1"/>
    <col min="4" max="4" width="7.85546875" customWidth="1"/>
    <col min="5" max="5" width="7" customWidth="1"/>
    <col min="6" max="9" width="7.140625" customWidth="1"/>
    <col min="10" max="10" width="7.5703125" customWidth="1"/>
    <col min="11" max="11" width="7.140625" customWidth="1"/>
    <col min="12" max="12" width="7.7109375" customWidth="1"/>
    <col min="13" max="13" width="7" customWidth="1"/>
    <col min="14" max="14" width="6.85546875" customWidth="1"/>
    <col min="15" max="15" width="11.28515625" customWidth="1"/>
    <col min="16" max="16" width="10.42578125" customWidth="1"/>
    <col min="17" max="20" width="17.140625" customWidth="1"/>
  </cols>
  <sheetData>
    <row r="1" spans="1:17" ht="20.25">
      <c r="A1" s="139" t="s">
        <v>288</v>
      </c>
      <c r="B1" s="144"/>
      <c r="C1" s="144"/>
    </row>
    <row r="2" spans="1:17" ht="18">
      <c r="A2" s="31" t="s">
        <v>130</v>
      </c>
    </row>
    <row r="3" spans="1:17" ht="12.75" customHeight="1">
      <c r="A3" s="32"/>
      <c r="B3" s="32"/>
      <c r="C3" s="32"/>
      <c r="D3" s="32"/>
      <c r="E3" s="32"/>
      <c r="F3" s="32"/>
      <c r="G3" s="32"/>
      <c r="H3" s="32"/>
      <c r="I3" s="32"/>
      <c r="J3" s="32"/>
      <c r="K3" s="32"/>
      <c r="L3" s="32"/>
      <c r="M3" s="32"/>
      <c r="N3" s="32"/>
      <c r="O3" s="32"/>
      <c r="P3" s="32"/>
    </row>
    <row r="4" spans="1:17" ht="25.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322</v>
      </c>
    </row>
    <row r="5" spans="1:17" ht="25.5">
      <c r="A5" s="60" t="s">
        <v>4</v>
      </c>
      <c r="B5" s="48"/>
      <c r="C5" s="48"/>
      <c r="D5" s="48"/>
      <c r="E5" s="48"/>
      <c r="F5" s="48"/>
      <c r="G5" s="48"/>
      <c r="H5" s="48"/>
      <c r="I5" s="48"/>
      <c r="J5" s="48"/>
      <c r="K5" s="48"/>
      <c r="L5" s="48"/>
      <c r="M5" s="48"/>
      <c r="N5" s="48"/>
      <c r="O5" s="48"/>
      <c r="P5" s="48"/>
    </row>
    <row r="6" spans="1:17" ht="12.75" customHeight="1">
      <c r="A6" s="64" t="s">
        <v>328</v>
      </c>
      <c r="B6" s="113" t="s">
        <v>34</v>
      </c>
      <c r="C6" s="113" t="s">
        <v>34</v>
      </c>
      <c r="D6" s="113" t="s">
        <v>34</v>
      </c>
      <c r="E6" s="113" t="s">
        <v>34</v>
      </c>
      <c r="F6" s="113" t="s">
        <v>34</v>
      </c>
      <c r="G6" s="113" t="s">
        <v>34</v>
      </c>
      <c r="H6" s="113" t="s">
        <v>34</v>
      </c>
      <c r="I6" s="113" t="s">
        <v>34</v>
      </c>
      <c r="J6" s="113" t="s">
        <v>34</v>
      </c>
      <c r="K6" s="65">
        <v>0</v>
      </c>
      <c r="L6" s="65">
        <v>0</v>
      </c>
      <c r="M6" s="65">
        <v>2</v>
      </c>
      <c r="N6" s="66">
        <f>SUM(B6:M6)</f>
        <v>2</v>
      </c>
      <c r="O6" s="65" t="s">
        <v>34</v>
      </c>
      <c r="P6" s="65" t="s">
        <v>34</v>
      </c>
      <c r="Q6" s="15"/>
    </row>
    <row r="7" spans="1:17" ht="12.75" customHeight="1">
      <c r="A7" s="64" t="s">
        <v>89</v>
      </c>
      <c r="B7" s="113" t="s">
        <v>34</v>
      </c>
      <c r="C7" s="113" t="s">
        <v>34</v>
      </c>
      <c r="D7" s="113" t="s">
        <v>34</v>
      </c>
      <c r="E7" s="113" t="s">
        <v>34</v>
      </c>
      <c r="F7" s="113" t="s">
        <v>34</v>
      </c>
      <c r="G7" s="113" t="s">
        <v>34</v>
      </c>
      <c r="H7" s="113" t="s">
        <v>34</v>
      </c>
      <c r="I7" s="113" t="s">
        <v>34</v>
      </c>
      <c r="J7" s="113" t="s">
        <v>34</v>
      </c>
      <c r="K7" s="113" t="s">
        <v>34</v>
      </c>
      <c r="L7" s="113" t="s">
        <v>34</v>
      </c>
      <c r="M7" s="113" t="s">
        <v>34</v>
      </c>
      <c r="N7" s="66">
        <f>SUM(B7:M7)</f>
        <v>0</v>
      </c>
      <c r="O7" s="65" t="s">
        <v>34</v>
      </c>
      <c r="P7" s="65" t="s">
        <v>34</v>
      </c>
      <c r="Q7" s="15"/>
    </row>
    <row r="8" spans="1:17" ht="12.75" customHeight="1">
      <c r="B8" s="38"/>
      <c r="C8" s="38"/>
      <c r="D8" s="38"/>
      <c r="E8" s="38"/>
      <c r="F8" s="38"/>
      <c r="G8" s="38"/>
      <c r="H8" s="38"/>
      <c r="I8" s="38"/>
      <c r="J8" s="38"/>
      <c r="K8" s="38"/>
      <c r="L8" s="38"/>
      <c r="M8" s="38"/>
      <c r="N8" s="38"/>
      <c r="O8" s="38"/>
      <c r="P8" s="38"/>
    </row>
    <row r="9" spans="1:17" ht="12.75" customHeight="1">
      <c r="B9" s="32"/>
      <c r="C9" s="32"/>
      <c r="D9" s="32"/>
      <c r="E9" s="32"/>
      <c r="F9" s="32"/>
      <c r="G9" s="32"/>
      <c r="H9" s="32"/>
      <c r="I9" s="32"/>
      <c r="J9" s="32"/>
      <c r="K9" s="32"/>
      <c r="L9" s="32"/>
      <c r="M9" s="32"/>
      <c r="N9" s="32"/>
      <c r="O9" s="32"/>
      <c r="P9" s="32"/>
    </row>
    <row r="10" spans="1:17" ht="25.5">
      <c r="B10" s="34">
        <v>39264</v>
      </c>
      <c r="C10" s="34">
        <v>39295</v>
      </c>
      <c r="D10" s="34">
        <v>39326</v>
      </c>
      <c r="E10" s="34">
        <v>39356</v>
      </c>
      <c r="F10" s="34">
        <v>39387</v>
      </c>
      <c r="G10" s="34">
        <v>39417</v>
      </c>
      <c r="H10" s="34">
        <v>39448</v>
      </c>
      <c r="I10" s="34">
        <v>39479</v>
      </c>
      <c r="J10" s="34">
        <v>39508</v>
      </c>
      <c r="K10" s="34">
        <v>39539</v>
      </c>
      <c r="L10" s="34">
        <v>39569</v>
      </c>
      <c r="M10" s="34">
        <v>39600</v>
      </c>
      <c r="N10" s="35" t="s">
        <v>258</v>
      </c>
      <c r="O10" s="56" t="s">
        <v>197</v>
      </c>
      <c r="P10" s="35" t="s">
        <v>322</v>
      </c>
    </row>
    <row r="11" spans="1:17" ht="25.5">
      <c r="A11" s="68" t="s">
        <v>93</v>
      </c>
      <c r="B11" s="48"/>
      <c r="C11" s="48"/>
      <c r="D11" s="48"/>
      <c r="E11" s="48"/>
      <c r="F11" s="48"/>
      <c r="G11" s="48"/>
      <c r="H11" s="48"/>
      <c r="I11" s="48"/>
      <c r="J11" s="48"/>
      <c r="K11" s="48"/>
      <c r="L11" s="48"/>
      <c r="M11" s="48"/>
      <c r="N11" s="48"/>
      <c r="O11" s="48"/>
      <c r="P11" s="48"/>
    </row>
    <row r="12" spans="1:17" ht="12.75" customHeight="1">
      <c r="A12" s="64" t="s">
        <v>328</v>
      </c>
      <c r="B12" s="113" t="s">
        <v>34</v>
      </c>
      <c r="C12" s="113" t="s">
        <v>34</v>
      </c>
      <c r="D12" s="113" t="s">
        <v>34</v>
      </c>
      <c r="E12" s="113" t="s">
        <v>34</v>
      </c>
      <c r="F12" s="113" t="s">
        <v>34</v>
      </c>
      <c r="G12" s="113" t="s">
        <v>34</v>
      </c>
      <c r="H12" s="113" t="s">
        <v>34</v>
      </c>
      <c r="I12" s="113" t="s">
        <v>34</v>
      </c>
      <c r="J12" s="113" t="s">
        <v>34</v>
      </c>
      <c r="K12" s="65">
        <v>3</v>
      </c>
      <c r="L12" s="65">
        <v>0</v>
      </c>
      <c r="M12" s="65">
        <v>0</v>
      </c>
      <c r="N12" s="66">
        <f>SUM(B12:M12)</f>
        <v>3</v>
      </c>
      <c r="O12" s="65" t="s">
        <v>34</v>
      </c>
      <c r="P12" s="65" t="s">
        <v>34</v>
      </c>
      <c r="Q12" s="15"/>
    </row>
    <row r="13" spans="1:17" ht="12.75" customHeight="1">
      <c r="A13" s="64" t="s">
        <v>89</v>
      </c>
      <c r="B13" s="113" t="s">
        <v>34</v>
      </c>
      <c r="C13" s="113" t="s">
        <v>34</v>
      </c>
      <c r="D13" s="113" t="s">
        <v>34</v>
      </c>
      <c r="E13" s="113" t="s">
        <v>34</v>
      </c>
      <c r="F13" s="113" t="s">
        <v>34</v>
      </c>
      <c r="G13" s="113" t="s">
        <v>34</v>
      </c>
      <c r="H13" s="113" t="s">
        <v>34</v>
      </c>
      <c r="I13" s="113" t="s">
        <v>34</v>
      </c>
      <c r="J13" s="113" t="s">
        <v>34</v>
      </c>
      <c r="K13" s="113" t="s">
        <v>34</v>
      </c>
      <c r="L13" s="113" t="s">
        <v>34</v>
      </c>
      <c r="M13" s="113" t="s">
        <v>34</v>
      </c>
      <c r="N13" s="66">
        <f>SUM(B13:M13)</f>
        <v>0</v>
      </c>
      <c r="O13" s="65" t="s">
        <v>34</v>
      </c>
      <c r="P13" s="65" t="s">
        <v>34</v>
      </c>
      <c r="Q13" s="15"/>
    </row>
    <row r="14" spans="1:17" ht="12.75" customHeight="1">
      <c r="B14" s="38"/>
      <c r="C14" s="38"/>
      <c r="D14" s="38"/>
      <c r="E14" s="38"/>
      <c r="F14" s="38"/>
      <c r="G14" s="38"/>
      <c r="H14" s="38"/>
      <c r="I14" s="38"/>
      <c r="J14" s="38"/>
      <c r="K14" s="38"/>
      <c r="L14" s="38"/>
      <c r="M14" s="38"/>
      <c r="N14" s="38"/>
      <c r="O14" s="38"/>
      <c r="P14" s="38"/>
    </row>
    <row r="15" spans="1:17" ht="12.75" customHeight="1">
      <c r="B15" s="32"/>
      <c r="C15" s="32"/>
      <c r="D15" s="32"/>
      <c r="E15" s="32"/>
      <c r="F15" s="32"/>
      <c r="G15" s="32"/>
      <c r="H15" s="32"/>
      <c r="I15" s="32"/>
      <c r="J15" s="32"/>
      <c r="K15" s="32"/>
      <c r="L15" s="32"/>
      <c r="M15" s="32"/>
      <c r="N15" s="32"/>
      <c r="O15" s="32"/>
      <c r="P15" s="32"/>
    </row>
    <row r="16" spans="1:17" ht="25.5">
      <c r="B16" s="34">
        <v>39264</v>
      </c>
      <c r="C16" s="34">
        <v>39295</v>
      </c>
      <c r="D16" s="34">
        <v>39326</v>
      </c>
      <c r="E16" s="34">
        <v>39356</v>
      </c>
      <c r="F16" s="34">
        <v>39387</v>
      </c>
      <c r="G16" s="34">
        <v>39417</v>
      </c>
      <c r="H16" s="34">
        <v>39448</v>
      </c>
      <c r="I16" s="34">
        <v>39479</v>
      </c>
      <c r="J16" s="34">
        <v>39508</v>
      </c>
      <c r="K16" s="34">
        <v>39539</v>
      </c>
      <c r="L16" s="34">
        <v>39569</v>
      </c>
      <c r="M16" s="34">
        <v>39600</v>
      </c>
      <c r="N16" s="35" t="s">
        <v>258</v>
      </c>
      <c r="O16" s="56" t="s">
        <v>197</v>
      </c>
      <c r="P16" s="35" t="s">
        <v>322</v>
      </c>
    </row>
    <row r="17" spans="1:17" ht="25.5">
      <c r="A17" s="68" t="s">
        <v>235</v>
      </c>
      <c r="B17" s="48"/>
      <c r="C17" s="48"/>
      <c r="D17" s="48"/>
      <c r="E17" s="48"/>
      <c r="F17" s="48"/>
      <c r="G17" s="48"/>
      <c r="H17" s="48"/>
      <c r="I17" s="48"/>
      <c r="J17" s="48"/>
      <c r="K17" s="48"/>
      <c r="L17" s="48"/>
      <c r="M17" s="48"/>
      <c r="N17" s="48"/>
      <c r="O17" s="48"/>
      <c r="P17" s="48"/>
    </row>
    <row r="18" spans="1:17" ht="12.75" customHeight="1">
      <c r="A18" s="64" t="s">
        <v>328</v>
      </c>
      <c r="B18" s="113" t="s">
        <v>34</v>
      </c>
      <c r="C18" s="113" t="s">
        <v>34</v>
      </c>
      <c r="D18" s="113" t="s">
        <v>34</v>
      </c>
      <c r="E18" s="113" t="s">
        <v>34</v>
      </c>
      <c r="F18" s="113" t="s">
        <v>34</v>
      </c>
      <c r="G18" s="113" t="s">
        <v>34</v>
      </c>
      <c r="H18" s="113" t="s">
        <v>34</v>
      </c>
      <c r="I18" s="113" t="s">
        <v>34</v>
      </c>
      <c r="J18" s="113" t="s">
        <v>34</v>
      </c>
      <c r="K18" s="65">
        <v>0</v>
      </c>
      <c r="L18" s="65">
        <v>0</v>
      </c>
      <c r="M18" s="65">
        <v>1</v>
      </c>
      <c r="N18" s="66">
        <f>SUM(B18:M18)</f>
        <v>1</v>
      </c>
      <c r="O18" s="65" t="s">
        <v>34</v>
      </c>
      <c r="P18" s="65" t="s">
        <v>34</v>
      </c>
      <c r="Q18" s="15"/>
    </row>
    <row r="19" spans="1:17" ht="12.75" customHeight="1">
      <c r="A19" s="64" t="s">
        <v>89</v>
      </c>
      <c r="B19" s="113" t="s">
        <v>34</v>
      </c>
      <c r="C19" s="113" t="s">
        <v>34</v>
      </c>
      <c r="D19" s="113" t="s">
        <v>34</v>
      </c>
      <c r="E19" s="113" t="s">
        <v>34</v>
      </c>
      <c r="F19" s="113" t="s">
        <v>34</v>
      </c>
      <c r="G19" s="113" t="s">
        <v>34</v>
      </c>
      <c r="H19" s="113" t="s">
        <v>34</v>
      </c>
      <c r="I19" s="113" t="s">
        <v>34</v>
      </c>
      <c r="J19" s="113" t="s">
        <v>34</v>
      </c>
      <c r="K19" s="113" t="s">
        <v>34</v>
      </c>
      <c r="L19" s="113" t="s">
        <v>34</v>
      </c>
      <c r="M19" s="113" t="s">
        <v>34</v>
      </c>
      <c r="N19" s="66">
        <f>SUM(B19:M19)</f>
        <v>0</v>
      </c>
      <c r="O19" s="65" t="s">
        <v>34</v>
      </c>
      <c r="P19" s="65" t="s">
        <v>34</v>
      </c>
      <c r="Q19" s="15"/>
    </row>
    <row r="20" spans="1:17" ht="12.75" customHeight="1">
      <c r="B20" s="38"/>
      <c r="C20" s="38"/>
      <c r="D20" s="38"/>
      <c r="E20" s="38"/>
      <c r="F20" s="38"/>
      <c r="G20" s="38"/>
      <c r="H20" s="38"/>
      <c r="I20" s="38"/>
      <c r="J20" s="38"/>
      <c r="K20" s="38"/>
      <c r="L20" s="38"/>
      <c r="M20" s="38"/>
      <c r="N20" s="38"/>
      <c r="O20" s="38"/>
      <c r="P20" s="38"/>
    </row>
    <row r="21" spans="1:17" ht="12.75" customHeight="1">
      <c r="B21" s="32"/>
      <c r="C21" s="32"/>
      <c r="D21" s="32"/>
      <c r="E21" s="32"/>
      <c r="F21" s="32"/>
      <c r="G21" s="32"/>
      <c r="H21" s="32"/>
      <c r="I21" s="32"/>
      <c r="J21" s="32"/>
      <c r="K21" s="32"/>
      <c r="L21" s="32"/>
      <c r="M21" s="32"/>
      <c r="N21" s="32"/>
      <c r="O21" s="32"/>
      <c r="P21" s="32"/>
    </row>
    <row r="22" spans="1:17" ht="25.5">
      <c r="B22" s="34">
        <v>39264</v>
      </c>
      <c r="C22" s="34">
        <v>39295</v>
      </c>
      <c r="D22" s="34">
        <v>39326</v>
      </c>
      <c r="E22" s="34">
        <v>39356</v>
      </c>
      <c r="F22" s="34">
        <v>39387</v>
      </c>
      <c r="G22" s="34">
        <v>39417</v>
      </c>
      <c r="H22" s="34">
        <v>39448</v>
      </c>
      <c r="I22" s="34">
        <v>39479</v>
      </c>
      <c r="J22" s="34">
        <v>39508</v>
      </c>
      <c r="K22" s="34">
        <v>39539</v>
      </c>
      <c r="L22" s="34">
        <v>39569</v>
      </c>
      <c r="M22" s="34">
        <v>39600</v>
      </c>
      <c r="N22" s="35" t="s">
        <v>258</v>
      </c>
      <c r="O22" s="56" t="s">
        <v>197</v>
      </c>
      <c r="P22" s="35" t="s">
        <v>322</v>
      </c>
    </row>
    <row r="23" spans="1:17">
      <c r="A23" s="68" t="s">
        <v>63</v>
      </c>
      <c r="B23" s="48"/>
      <c r="C23" s="48"/>
      <c r="D23" s="48"/>
      <c r="E23" s="48"/>
      <c r="F23" s="48"/>
      <c r="G23" s="48"/>
      <c r="H23" s="48"/>
      <c r="I23" s="48"/>
      <c r="J23" s="48"/>
      <c r="K23" s="48"/>
      <c r="L23" s="48"/>
      <c r="M23" s="48"/>
      <c r="N23" s="48"/>
      <c r="O23" s="48"/>
      <c r="P23" s="48"/>
    </row>
    <row r="24" spans="1:17" ht="12.75" customHeight="1">
      <c r="A24" s="64" t="s">
        <v>328</v>
      </c>
      <c r="B24" s="113" t="s">
        <v>34</v>
      </c>
      <c r="C24" s="113" t="s">
        <v>34</v>
      </c>
      <c r="D24" s="113" t="s">
        <v>34</v>
      </c>
      <c r="E24" s="113" t="s">
        <v>34</v>
      </c>
      <c r="F24" s="113" t="s">
        <v>34</v>
      </c>
      <c r="G24" s="113" t="s">
        <v>34</v>
      </c>
      <c r="H24" s="113" t="s">
        <v>34</v>
      </c>
      <c r="I24" s="113" t="s">
        <v>34</v>
      </c>
      <c r="J24" s="113" t="s">
        <v>34</v>
      </c>
      <c r="K24" s="113" t="s">
        <v>34</v>
      </c>
      <c r="L24" s="113" t="s">
        <v>34</v>
      </c>
      <c r="M24" s="113" t="s">
        <v>34</v>
      </c>
      <c r="N24" s="66">
        <f>SUM(B24:M24)</f>
        <v>0</v>
      </c>
      <c r="O24" s="65" t="s">
        <v>34</v>
      </c>
      <c r="P24" s="65" t="s">
        <v>34</v>
      </c>
      <c r="Q24" s="15"/>
    </row>
    <row r="25" spans="1:17" ht="12.75" customHeight="1">
      <c r="A25" s="64" t="s">
        <v>89</v>
      </c>
      <c r="B25" s="113" t="s">
        <v>34</v>
      </c>
      <c r="C25" s="113" t="s">
        <v>34</v>
      </c>
      <c r="D25" s="113" t="s">
        <v>34</v>
      </c>
      <c r="E25" s="113" t="s">
        <v>34</v>
      </c>
      <c r="F25" s="113" t="s">
        <v>34</v>
      </c>
      <c r="G25" s="113" t="s">
        <v>34</v>
      </c>
      <c r="H25" s="113" t="s">
        <v>34</v>
      </c>
      <c r="I25" s="113" t="s">
        <v>34</v>
      </c>
      <c r="J25" s="113" t="s">
        <v>34</v>
      </c>
      <c r="K25" s="113" t="s">
        <v>34</v>
      </c>
      <c r="L25" s="113" t="s">
        <v>34</v>
      </c>
      <c r="M25" s="113" t="s">
        <v>34</v>
      </c>
      <c r="N25" s="66">
        <f>SUM(B25:M25)</f>
        <v>0</v>
      </c>
      <c r="O25" s="65" t="s">
        <v>34</v>
      </c>
      <c r="P25" s="65" t="s">
        <v>34</v>
      </c>
      <c r="Q25" s="15"/>
    </row>
    <row r="26" spans="1:17" ht="12.75" customHeight="1">
      <c r="B26" s="38"/>
      <c r="C26" s="38"/>
      <c r="D26" s="38"/>
      <c r="E26" s="38"/>
      <c r="F26" s="38"/>
      <c r="G26" s="38"/>
      <c r="H26" s="38"/>
      <c r="I26" s="38"/>
      <c r="J26" s="38"/>
      <c r="K26" s="38"/>
      <c r="L26" s="38"/>
      <c r="M26" s="38"/>
      <c r="N26" s="38"/>
      <c r="O26" s="38"/>
      <c r="P26" s="38"/>
    </row>
    <row r="27" spans="1:17" ht="12.75" customHeight="1">
      <c r="B27" s="32"/>
      <c r="C27" s="32"/>
      <c r="D27" s="32"/>
      <c r="E27" s="32"/>
      <c r="F27" s="32"/>
      <c r="G27" s="32"/>
      <c r="H27" s="32"/>
      <c r="I27" s="32"/>
      <c r="J27" s="32"/>
      <c r="K27" s="32"/>
      <c r="L27" s="32"/>
      <c r="M27" s="32"/>
      <c r="N27" s="32"/>
      <c r="O27" s="32"/>
      <c r="P27" s="32"/>
    </row>
    <row r="28" spans="1:17" ht="25.5">
      <c r="B28" s="34">
        <v>39264</v>
      </c>
      <c r="C28" s="34">
        <v>39295</v>
      </c>
      <c r="D28" s="34">
        <v>39326</v>
      </c>
      <c r="E28" s="34">
        <v>39356</v>
      </c>
      <c r="F28" s="34">
        <v>39387</v>
      </c>
      <c r="G28" s="34">
        <v>39417</v>
      </c>
      <c r="H28" s="34">
        <v>39448</v>
      </c>
      <c r="I28" s="34">
        <v>39479</v>
      </c>
      <c r="J28" s="34">
        <v>39508</v>
      </c>
      <c r="K28" s="34">
        <v>39539</v>
      </c>
      <c r="L28" s="34">
        <v>39569</v>
      </c>
      <c r="M28" s="34">
        <v>39600</v>
      </c>
      <c r="N28" s="35" t="s">
        <v>258</v>
      </c>
      <c r="O28" s="56" t="s">
        <v>197</v>
      </c>
      <c r="P28" s="35" t="s">
        <v>322</v>
      </c>
    </row>
    <row r="29" spans="1:17" ht="12.75" customHeight="1">
      <c r="A29" s="68" t="s">
        <v>260</v>
      </c>
      <c r="B29" s="48"/>
      <c r="C29" s="48"/>
      <c r="D29" s="48"/>
      <c r="E29" s="48"/>
      <c r="F29" s="48"/>
      <c r="G29" s="48"/>
      <c r="H29" s="48"/>
      <c r="I29" s="48"/>
      <c r="J29" s="48"/>
      <c r="K29" s="48"/>
      <c r="L29" s="48"/>
      <c r="M29" s="48"/>
      <c r="N29" s="48"/>
      <c r="O29" s="48"/>
      <c r="P29" s="48"/>
    </row>
    <row r="30" spans="1:17" ht="12.75" customHeight="1">
      <c r="A30" s="114" t="s">
        <v>328</v>
      </c>
      <c r="B30" s="113" t="s">
        <v>34</v>
      </c>
      <c r="C30" s="113" t="s">
        <v>34</v>
      </c>
      <c r="D30" s="113" t="s">
        <v>34</v>
      </c>
      <c r="E30" s="113" t="s">
        <v>34</v>
      </c>
      <c r="F30" s="113" t="s">
        <v>34</v>
      </c>
      <c r="G30" s="113" t="s">
        <v>34</v>
      </c>
      <c r="H30" s="113" t="s">
        <v>34</v>
      </c>
      <c r="I30" s="113" t="s">
        <v>34</v>
      </c>
      <c r="J30" s="113" t="s">
        <v>34</v>
      </c>
      <c r="K30" s="113" t="s">
        <v>34</v>
      </c>
      <c r="L30" s="113" t="s">
        <v>34</v>
      </c>
      <c r="M30" s="113" t="s">
        <v>34</v>
      </c>
      <c r="N30" s="65">
        <v>0</v>
      </c>
      <c r="O30" s="65"/>
      <c r="P30" s="65" t="s">
        <v>34</v>
      </c>
      <c r="Q30" s="15"/>
    </row>
    <row r="31" spans="1:17" ht="12.75" customHeight="1">
      <c r="A31" s="114" t="s">
        <v>89</v>
      </c>
      <c r="B31" s="113" t="s">
        <v>34</v>
      </c>
      <c r="C31" s="113" t="s">
        <v>34</v>
      </c>
      <c r="D31" s="113" t="s">
        <v>34</v>
      </c>
      <c r="E31" s="113" t="s">
        <v>34</v>
      </c>
      <c r="F31" s="113" t="s">
        <v>34</v>
      </c>
      <c r="G31" s="113" t="s">
        <v>34</v>
      </c>
      <c r="H31" s="113" t="s">
        <v>34</v>
      </c>
      <c r="I31" s="113" t="s">
        <v>34</v>
      </c>
      <c r="J31" s="113" t="s">
        <v>34</v>
      </c>
      <c r="K31" s="113" t="s">
        <v>34</v>
      </c>
      <c r="L31" s="113" t="s">
        <v>34</v>
      </c>
      <c r="M31" s="113" t="s">
        <v>34</v>
      </c>
      <c r="N31" s="66">
        <f>SUM(B30:M30)</f>
        <v>0</v>
      </c>
      <c r="O31" s="67">
        <v>51330</v>
      </c>
      <c r="P31" s="65" t="s">
        <v>34</v>
      </c>
      <c r="Q31" s="15"/>
    </row>
    <row r="32" spans="1:17">
      <c r="A32" s="64" t="s">
        <v>169</v>
      </c>
      <c r="B32" s="113" t="s">
        <v>34</v>
      </c>
      <c r="C32" s="113" t="s">
        <v>34</v>
      </c>
      <c r="D32" s="113" t="s">
        <v>34</v>
      </c>
      <c r="E32" s="113" t="s">
        <v>34</v>
      </c>
      <c r="F32" s="113" t="s">
        <v>34</v>
      </c>
      <c r="G32" s="113" t="s">
        <v>34</v>
      </c>
      <c r="H32" s="65">
        <v>0</v>
      </c>
      <c r="I32" s="65">
        <v>0</v>
      </c>
      <c r="J32" s="65">
        <v>0</v>
      </c>
      <c r="K32" s="65">
        <v>5</v>
      </c>
      <c r="L32" s="65">
        <v>0</v>
      </c>
      <c r="M32" s="65">
        <v>0</v>
      </c>
      <c r="N32" s="65">
        <v>5</v>
      </c>
      <c r="O32" s="65"/>
      <c r="P32" s="65"/>
      <c r="Q32" s="15"/>
    </row>
    <row r="33" spans="1:17" ht="12.75" customHeight="1">
      <c r="A33" s="64"/>
      <c r="B33" s="65"/>
      <c r="C33" s="65"/>
      <c r="D33" s="65"/>
      <c r="E33" s="65"/>
      <c r="F33" s="65"/>
      <c r="G33" s="65"/>
      <c r="H33" s="65"/>
      <c r="I33" s="65"/>
      <c r="J33" s="65"/>
      <c r="K33" s="65"/>
      <c r="L33" s="65"/>
      <c r="M33" s="65"/>
      <c r="N33" s="65"/>
      <c r="O33" s="65"/>
      <c r="P33" s="65"/>
      <c r="Q33" s="15"/>
    </row>
    <row r="34" spans="1:17" ht="12.75" customHeight="1">
      <c r="B34" s="38"/>
      <c r="C34" s="38"/>
      <c r="D34" s="38"/>
      <c r="E34" s="38"/>
      <c r="F34" s="38"/>
      <c r="G34" s="38"/>
      <c r="H34" s="38"/>
      <c r="I34" s="38"/>
      <c r="J34" s="38"/>
      <c r="K34" s="38"/>
      <c r="L34" s="38"/>
      <c r="M34" s="38"/>
      <c r="N34" s="38"/>
      <c r="O34" s="38"/>
      <c r="P34" s="38"/>
    </row>
    <row r="35" spans="1:17">
      <c r="A35" s="146" t="s">
        <v>278</v>
      </c>
      <c r="B35" s="144"/>
      <c r="C35" s="144"/>
      <c r="D35" s="144"/>
      <c r="E35" s="144"/>
      <c r="F35" s="144"/>
      <c r="G35" s="144"/>
      <c r="H35" s="144"/>
      <c r="I35" s="144"/>
      <c r="J35" s="144"/>
      <c r="K35" s="144"/>
    </row>
    <row r="36" spans="1:17" ht="12.75" customHeight="1">
      <c r="A36" s="2" t="s">
        <v>31</v>
      </c>
      <c r="B36" s="63" t="s">
        <v>310</v>
      </c>
    </row>
    <row r="38" spans="1:17">
      <c r="A38" s="147" t="s">
        <v>152</v>
      </c>
      <c r="B38" s="147"/>
      <c r="C38" s="147"/>
      <c r="D38" s="147"/>
      <c r="E38" s="147"/>
      <c r="F38" s="147"/>
      <c r="G38" s="147"/>
      <c r="H38" s="147"/>
      <c r="I38" s="147"/>
      <c r="J38" s="147"/>
      <c r="K38" s="147"/>
    </row>
  </sheetData>
  <mergeCells count="3">
    <mergeCell ref="A1:C1"/>
    <mergeCell ref="A35:K35"/>
    <mergeCell ref="A38:K38"/>
  </mergeCells>
  <pageMargins left="0.75" right="0.75" top="1" bottom="1" header="0.5" footer="0.5"/>
  <pageSetup paperSize="9" orientation="portrait" horizontalDpi="300" verticalDpi="300"/>
  <headerFooter alignWithMargins="0"/>
</worksheet>
</file>

<file path=xl/worksheets/sheet25.xml><?xml version="1.0" encoding="utf-8"?>
<worksheet xmlns="http://schemas.openxmlformats.org/spreadsheetml/2006/main" xmlns:r="http://schemas.openxmlformats.org/officeDocument/2006/relationships">
  <dimension ref="A1:Q48"/>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4.85546875" customWidth="1"/>
    <col min="2" max="2" width="6.5703125" customWidth="1"/>
    <col min="3" max="3" width="6.42578125" customWidth="1"/>
    <col min="4" max="4" width="6.85546875" customWidth="1"/>
    <col min="5" max="5" width="6.5703125" customWidth="1"/>
    <col min="6" max="6" width="6.42578125" customWidth="1"/>
    <col min="7" max="7" width="6.5703125" customWidth="1"/>
    <col min="8" max="8" width="6.42578125" customWidth="1"/>
    <col min="9" max="10" width="7.140625" customWidth="1"/>
    <col min="11" max="11" width="6.85546875" customWidth="1"/>
    <col min="12" max="12" width="6.7109375" customWidth="1"/>
    <col min="13" max="13" width="7.140625" customWidth="1"/>
    <col min="14" max="14" width="8.5703125" customWidth="1"/>
    <col min="15" max="15" width="14.42578125" customWidth="1"/>
    <col min="16" max="16" width="11.85546875" customWidth="1"/>
    <col min="17" max="17" width="9.140625" customWidth="1"/>
  </cols>
  <sheetData>
    <row r="1" spans="1:17" ht="20.25">
      <c r="A1" s="1" t="s">
        <v>249</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84"/>
      <c r="B3" s="85"/>
      <c r="C3" s="85"/>
      <c r="D3" s="85"/>
      <c r="E3" s="85"/>
      <c r="F3" s="85"/>
      <c r="G3" s="85"/>
      <c r="H3" s="85"/>
      <c r="I3" s="85"/>
      <c r="J3" s="85"/>
      <c r="K3" s="85"/>
      <c r="L3" s="85"/>
      <c r="M3" s="85"/>
      <c r="N3" s="85"/>
      <c r="O3" s="5"/>
      <c r="P3" s="5"/>
    </row>
    <row r="4" spans="1:17" ht="25.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154</v>
      </c>
      <c r="Q4" s="2"/>
    </row>
    <row r="5" spans="1:17" ht="12.75" customHeight="1">
      <c r="A5" s="36" t="s">
        <v>203</v>
      </c>
      <c r="B5" s="70"/>
      <c r="C5" s="70"/>
      <c r="D5" s="70"/>
      <c r="E5" s="70"/>
      <c r="F5" s="70"/>
      <c r="G5" s="70"/>
      <c r="H5" s="70"/>
      <c r="I5" s="70"/>
      <c r="J5" s="70"/>
      <c r="K5" s="70"/>
      <c r="L5" s="70"/>
      <c r="M5" s="70"/>
      <c r="N5" s="70"/>
      <c r="O5" s="28"/>
      <c r="P5" s="28"/>
    </row>
    <row r="6" spans="1:17" ht="12.75" customHeight="1">
      <c r="A6" s="39" t="s">
        <v>89</v>
      </c>
      <c r="B6" s="98">
        <v>1</v>
      </c>
      <c r="C6" s="98">
        <v>0</v>
      </c>
      <c r="D6" s="98">
        <v>0</v>
      </c>
      <c r="E6" s="98">
        <v>0</v>
      </c>
      <c r="F6" s="98">
        <v>0</v>
      </c>
      <c r="G6" s="98">
        <v>0</v>
      </c>
      <c r="H6" s="98">
        <v>0</v>
      </c>
      <c r="I6" s="98">
        <v>2</v>
      </c>
      <c r="J6" s="98">
        <v>0</v>
      </c>
      <c r="K6" s="98">
        <v>1</v>
      </c>
      <c r="L6" s="98">
        <v>0</v>
      </c>
      <c r="M6" s="98">
        <v>1</v>
      </c>
      <c r="N6" s="53">
        <f>SUM(B6:M6)</f>
        <v>5</v>
      </c>
      <c r="O6" s="42"/>
      <c r="P6" s="2"/>
    </row>
    <row r="7" spans="1:17" ht="12.75" customHeight="1">
      <c r="A7" s="39" t="s">
        <v>328</v>
      </c>
      <c r="B7" s="98">
        <v>3</v>
      </c>
      <c r="C7" s="98">
        <v>0</v>
      </c>
      <c r="D7" s="98">
        <v>0</v>
      </c>
      <c r="E7" s="98">
        <v>0</v>
      </c>
      <c r="F7" s="98">
        <v>0</v>
      </c>
      <c r="G7" s="98">
        <v>0</v>
      </c>
      <c r="H7" s="26">
        <v>0</v>
      </c>
      <c r="I7" s="26">
        <v>1</v>
      </c>
      <c r="J7" s="26">
        <v>0</v>
      </c>
      <c r="K7" s="26">
        <v>1</v>
      </c>
      <c r="L7" s="26">
        <v>0</v>
      </c>
      <c r="M7" s="26">
        <v>1</v>
      </c>
      <c r="N7" s="53">
        <f>SUM(B7:M7)</f>
        <v>6</v>
      </c>
      <c r="O7" s="42">
        <v>0</v>
      </c>
      <c r="P7" s="115" t="s">
        <v>34</v>
      </c>
    </row>
    <row r="8" spans="1:17" ht="12.75" customHeight="1">
      <c r="A8" s="39" t="s">
        <v>29</v>
      </c>
      <c r="B8" s="26">
        <v>0</v>
      </c>
      <c r="C8" s="26">
        <v>0</v>
      </c>
      <c r="D8" s="26">
        <v>0</v>
      </c>
      <c r="E8" s="26">
        <v>0</v>
      </c>
      <c r="F8" s="26">
        <v>0</v>
      </c>
      <c r="G8" s="26">
        <v>0</v>
      </c>
      <c r="H8" s="26">
        <v>0</v>
      </c>
      <c r="I8" s="26">
        <v>0</v>
      </c>
      <c r="J8" s="26">
        <v>0</v>
      </c>
      <c r="K8" s="26">
        <v>0</v>
      </c>
      <c r="L8" s="26">
        <v>0</v>
      </c>
      <c r="M8" s="26">
        <v>0</v>
      </c>
      <c r="N8" s="53">
        <f>SUM(B8:M8)</f>
        <v>0</v>
      </c>
      <c r="O8" s="42"/>
      <c r="P8" s="2"/>
    </row>
    <row r="9" spans="1:17" ht="12.75" customHeight="1">
      <c r="A9" s="2"/>
      <c r="B9" s="38"/>
      <c r="C9" s="38"/>
      <c r="D9" s="38"/>
      <c r="E9" s="38"/>
      <c r="F9" s="38"/>
      <c r="G9" s="38"/>
      <c r="H9" s="38"/>
      <c r="I9" s="38"/>
      <c r="J9" s="38"/>
      <c r="K9" s="38"/>
      <c r="L9" s="38"/>
      <c r="M9" s="38"/>
      <c r="N9" s="38"/>
      <c r="O9" s="43"/>
      <c r="P9" s="2"/>
    </row>
    <row r="10" spans="1:17" ht="12.75" customHeight="1">
      <c r="A10" s="5"/>
      <c r="B10" s="32"/>
      <c r="C10" s="32"/>
      <c r="D10" s="32"/>
      <c r="E10" s="32"/>
      <c r="F10" s="32"/>
      <c r="G10" s="32"/>
      <c r="H10" s="32"/>
      <c r="I10" s="32"/>
      <c r="J10" s="32"/>
      <c r="K10" s="32"/>
      <c r="L10" s="32"/>
      <c r="M10" s="32"/>
      <c r="N10" s="32"/>
      <c r="O10" s="47"/>
      <c r="P10" s="5"/>
    </row>
    <row r="11" spans="1:17" ht="25.5">
      <c r="A11" s="33"/>
      <c r="B11" s="34">
        <v>39264</v>
      </c>
      <c r="C11" s="34">
        <v>39295</v>
      </c>
      <c r="D11" s="34">
        <v>39326</v>
      </c>
      <c r="E11" s="34">
        <v>39356</v>
      </c>
      <c r="F11" s="34">
        <v>39387</v>
      </c>
      <c r="G11" s="34">
        <v>39417</v>
      </c>
      <c r="H11" s="34">
        <v>39448</v>
      </c>
      <c r="I11" s="34">
        <v>39479</v>
      </c>
      <c r="J11" s="34">
        <v>39508</v>
      </c>
      <c r="K11" s="34">
        <v>39539</v>
      </c>
      <c r="L11" s="34">
        <v>39569</v>
      </c>
      <c r="M11" s="34">
        <v>39600</v>
      </c>
      <c r="N11" s="35" t="s">
        <v>258</v>
      </c>
      <c r="O11" s="56" t="s">
        <v>197</v>
      </c>
      <c r="P11" s="35" t="s">
        <v>154</v>
      </c>
      <c r="Q11" s="2"/>
    </row>
    <row r="12" spans="1:17" ht="12.75" customHeight="1">
      <c r="A12" s="36" t="s">
        <v>272</v>
      </c>
      <c r="B12" s="70"/>
      <c r="C12" s="70"/>
      <c r="D12" s="70"/>
      <c r="E12" s="70"/>
      <c r="F12" s="70"/>
      <c r="G12" s="70"/>
      <c r="H12" s="70"/>
      <c r="I12" s="70"/>
      <c r="J12" s="70"/>
      <c r="K12" s="70"/>
      <c r="L12" s="70"/>
      <c r="M12" s="70"/>
      <c r="N12" s="70"/>
      <c r="O12" s="45"/>
      <c r="P12" s="28"/>
    </row>
    <row r="13" spans="1:17" ht="12.75" customHeight="1">
      <c r="A13" s="39" t="s">
        <v>89</v>
      </c>
      <c r="B13" s="40">
        <v>144</v>
      </c>
      <c r="C13" s="40">
        <v>39</v>
      </c>
      <c r="D13" s="40">
        <v>160</v>
      </c>
      <c r="E13" s="40">
        <v>232</v>
      </c>
      <c r="F13" s="40">
        <v>302</v>
      </c>
      <c r="G13" s="40">
        <v>95</v>
      </c>
      <c r="H13" s="40">
        <v>106</v>
      </c>
      <c r="I13" s="40">
        <v>240</v>
      </c>
      <c r="J13" s="40">
        <v>3</v>
      </c>
      <c r="K13" s="40">
        <v>1</v>
      </c>
      <c r="L13" s="40">
        <v>0</v>
      </c>
      <c r="M13" s="40">
        <v>0</v>
      </c>
      <c r="N13" s="41">
        <f>SUM(B13:M13)</f>
        <v>1322</v>
      </c>
      <c r="O13" s="42"/>
      <c r="P13" s="2"/>
    </row>
    <row r="14" spans="1:17" ht="12.75" customHeight="1">
      <c r="A14" s="39" t="s">
        <v>328</v>
      </c>
      <c r="B14" s="40">
        <v>1087</v>
      </c>
      <c r="C14" s="40">
        <v>225</v>
      </c>
      <c r="D14" s="40">
        <v>1178</v>
      </c>
      <c r="E14" s="40">
        <v>1997</v>
      </c>
      <c r="F14" s="40">
        <v>2814</v>
      </c>
      <c r="G14" s="40">
        <v>885</v>
      </c>
      <c r="H14" s="59">
        <v>455</v>
      </c>
      <c r="I14" s="59">
        <v>670</v>
      </c>
      <c r="J14" s="59">
        <v>1</v>
      </c>
      <c r="K14" s="59">
        <v>0</v>
      </c>
      <c r="L14" s="59">
        <v>0</v>
      </c>
      <c r="M14" s="59">
        <v>0</v>
      </c>
      <c r="N14" s="41">
        <f>SUM(B14:M14)</f>
        <v>9312</v>
      </c>
      <c r="O14" s="42">
        <v>0</v>
      </c>
      <c r="P14" s="115" t="s">
        <v>34</v>
      </c>
    </row>
    <row r="15" spans="1:17" ht="12.75" customHeight="1">
      <c r="A15" s="39" t="s">
        <v>29</v>
      </c>
      <c r="B15" s="59">
        <v>0</v>
      </c>
      <c r="C15" s="59">
        <v>0</v>
      </c>
      <c r="D15" s="59">
        <v>0</v>
      </c>
      <c r="E15" s="59">
        <v>0</v>
      </c>
      <c r="F15" s="59">
        <v>0</v>
      </c>
      <c r="G15" s="59">
        <v>0</v>
      </c>
      <c r="H15" s="59">
        <v>0</v>
      </c>
      <c r="I15" s="59">
        <v>0</v>
      </c>
      <c r="J15" s="59">
        <v>0</v>
      </c>
      <c r="K15" s="59">
        <v>0</v>
      </c>
      <c r="L15" s="59">
        <v>0</v>
      </c>
      <c r="M15" s="59">
        <v>0</v>
      </c>
      <c r="N15" s="41">
        <f>SUM(B15:M15)</f>
        <v>0</v>
      </c>
      <c r="O15" s="42"/>
      <c r="P15" s="2"/>
    </row>
    <row r="16" spans="1:17" ht="12.75" customHeight="1">
      <c r="A16" s="2"/>
      <c r="B16" s="38"/>
      <c r="C16" s="38"/>
      <c r="D16" s="38"/>
      <c r="E16" s="38"/>
      <c r="F16" s="38"/>
      <c r="G16" s="38"/>
      <c r="H16" s="38"/>
      <c r="I16" s="38"/>
      <c r="J16" s="38"/>
      <c r="K16" s="38"/>
      <c r="L16" s="38"/>
      <c r="M16" s="38"/>
      <c r="N16" s="38"/>
      <c r="O16" s="43"/>
      <c r="P16" s="2"/>
    </row>
    <row r="17" spans="1:17" ht="12.75" customHeight="1">
      <c r="A17" s="5"/>
      <c r="B17" s="32"/>
      <c r="C17" s="32"/>
      <c r="D17" s="32"/>
      <c r="E17" s="32"/>
      <c r="F17" s="32"/>
      <c r="G17" s="32"/>
      <c r="H17" s="32"/>
      <c r="I17" s="32"/>
      <c r="J17" s="32"/>
      <c r="K17" s="32"/>
      <c r="L17" s="32"/>
      <c r="M17" s="32"/>
      <c r="N17" s="32"/>
      <c r="O17" s="47"/>
      <c r="P17" s="5"/>
    </row>
    <row r="18" spans="1:17" ht="25.5">
      <c r="A18" s="33"/>
      <c r="B18" s="34">
        <v>39264</v>
      </c>
      <c r="C18" s="34">
        <v>39295</v>
      </c>
      <c r="D18" s="34">
        <v>39326</v>
      </c>
      <c r="E18" s="34">
        <v>39356</v>
      </c>
      <c r="F18" s="34">
        <v>39387</v>
      </c>
      <c r="G18" s="34">
        <v>39417</v>
      </c>
      <c r="H18" s="34">
        <v>39448</v>
      </c>
      <c r="I18" s="34">
        <v>39479</v>
      </c>
      <c r="J18" s="34">
        <v>39508</v>
      </c>
      <c r="K18" s="34">
        <v>39539</v>
      </c>
      <c r="L18" s="34">
        <v>39569</v>
      </c>
      <c r="M18" s="34">
        <v>39600</v>
      </c>
      <c r="N18" s="35" t="s">
        <v>258</v>
      </c>
      <c r="O18" s="56" t="s">
        <v>197</v>
      </c>
      <c r="P18" s="35" t="s">
        <v>154</v>
      </c>
      <c r="Q18" s="2"/>
    </row>
    <row r="19" spans="1:17" ht="12.75" customHeight="1">
      <c r="A19" s="36" t="s">
        <v>218</v>
      </c>
      <c r="B19" s="70"/>
      <c r="C19" s="70"/>
      <c r="D19" s="70"/>
      <c r="E19" s="70"/>
      <c r="F19" s="70"/>
      <c r="G19" s="70"/>
      <c r="H19" s="70"/>
      <c r="I19" s="70"/>
      <c r="J19" s="70"/>
      <c r="K19" s="70"/>
      <c r="L19" s="70"/>
      <c r="M19" s="70"/>
      <c r="N19" s="70"/>
      <c r="O19" s="45"/>
      <c r="P19" s="28"/>
    </row>
    <row r="20" spans="1:17" ht="12.75" customHeight="1">
      <c r="A20" s="39" t="s">
        <v>89</v>
      </c>
      <c r="B20" s="40">
        <v>141</v>
      </c>
      <c r="C20" s="40">
        <v>39</v>
      </c>
      <c r="D20" s="40">
        <v>157</v>
      </c>
      <c r="E20" s="40">
        <v>228</v>
      </c>
      <c r="F20" s="40">
        <v>274</v>
      </c>
      <c r="G20" s="40">
        <v>94</v>
      </c>
      <c r="H20" s="40">
        <v>11</v>
      </c>
      <c r="I20" s="40">
        <v>0</v>
      </c>
      <c r="J20" s="40">
        <v>0</v>
      </c>
      <c r="K20" s="40">
        <v>0</v>
      </c>
      <c r="L20" s="40">
        <v>0</v>
      </c>
      <c r="M20" s="40">
        <v>0</v>
      </c>
      <c r="N20" s="41">
        <f>SUM(B20:M20)</f>
        <v>944</v>
      </c>
      <c r="O20" s="42"/>
      <c r="P20" s="2"/>
    </row>
    <row r="21" spans="1:17" ht="12.75" customHeight="1">
      <c r="A21" s="39" t="s">
        <v>328</v>
      </c>
      <c r="B21" s="40">
        <v>351</v>
      </c>
      <c r="C21" s="40">
        <v>75</v>
      </c>
      <c r="D21" s="40">
        <v>381</v>
      </c>
      <c r="E21" s="40">
        <v>657</v>
      </c>
      <c r="F21" s="40">
        <v>890</v>
      </c>
      <c r="G21" s="40">
        <v>295</v>
      </c>
      <c r="H21" s="59">
        <v>74</v>
      </c>
      <c r="I21" s="59">
        <v>0</v>
      </c>
      <c r="J21" s="59">
        <v>0</v>
      </c>
      <c r="K21" s="59">
        <v>0</v>
      </c>
      <c r="L21" s="59">
        <v>0</v>
      </c>
      <c r="M21" s="59">
        <v>0</v>
      </c>
      <c r="N21" s="41">
        <f>SUM(B21:M21)</f>
        <v>2723</v>
      </c>
      <c r="O21" s="42">
        <v>0</v>
      </c>
      <c r="P21" s="115" t="s">
        <v>34</v>
      </c>
    </row>
    <row r="22" spans="1:17" ht="12.75" customHeight="1">
      <c r="A22" s="39" t="s">
        <v>29</v>
      </c>
      <c r="B22" s="59">
        <v>0</v>
      </c>
      <c r="C22" s="59">
        <v>0</v>
      </c>
      <c r="D22" s="59">
        <v>0</v>
      </c>
      <c r="E22" s="59">
        <v>0</v>
      </c>
      <c r="F22" s="59">
        <v>0</v>
      </c>
      <c r="G22" s="59">
        <v>0</v>
      </c>
      <c r="H22" s="59">
        <v>0</v>
      </c>
      <c r="I22" s="59">
        <v>0</v>
      </c>
      <c r="J22" s="59">
        <v>0</v>
      </c>
      <c r="K22" s="59">
        <v>0</v>
      </c>
      <c r="L22" s="59">
        <v>0</v>
      </c>
      <c r="M22" s="59">
        <v>0</v>
      </c>
      <c r="N22" s="41">
        <f>SUM(B22:M22)</f>
        <v>0</v>
      </c>
      <c r="O22" s="42"/>
      <c r="P22" s="2"/>
    </row>
    <row r="23" spans="1:17" ht="12.75" customHeight="1">
      <c r="A23" s="2"/>
      <c r="B23" s="28"/>
      <c r="C23" s="28"/>
      <c r="D23" s="28"/>
      <c r="E23" s="28"/>
      <c r="F23" s="28"/>
      <c r="G23" s="28"/>
      <c r="H23" s="28"/>
      <c r="I23" s="28"/>
      <c r="J23" s="28"/>
      <c r="K23" s="28"/>
      <c r="L23" s="28"/>
      <c r="M23" s="28"/>
      <c r="N23" s="100"/>
      <c r="O23" s="43"/>
      <c r="P23" s="2"/>
    </row>
    <row r="24" spans="1:17" ht="12.75" customHeight="1">
      <c r="A24" s="5"/>
      <c r="B24" s="32"/>
      <c r="C24" s="32"/>
      <c r="D24" s="32"/>
      <c r="E24" s="32"/>
      <c r="F24" s="32"/>
      <c r="G24" s="32"/>
      <c r="H24" s="32"/>
      <c r="I24" s="32"/>
      <c r="J24" s="32"/>
      <c r="K24" s="32"/>
      <c r="L24" s="32"/>
      <c r="M24" s="32"/>
      <c r="N24" s="32"/>
      <c r="O24" s="47"/>
      <c r="P24" s="5"/>
    </row>
    <row r="25" spans="1:17" ht="25.5">
      <c r="A25" s="33"/>
      <c r="B25" s="34">
        <v>39264</v>
      </c>
      <c r="C25" s="34">
        <v>39295</v>
      </c>
      <c r="D25" s="34">
        <v>39326</v>
      </c>
      <c r="E25" s="34">
        <v>39356</v>
      </c>
      <c r="F25" s="34">
        <v>39387</v>
      </c>
      <c r="G25" s="34">
        <v>39417</v>
      </c>
      <c r="H25" s="34">
        <v>39448</v>
      </c>
      <c r="I25" s="34">
        <v>39479</v>
      </c>
      <c r="J25" s="34">
        <v>39508</v>
      </c>
      <c r="K25" s="34">
        <v>39539</v>
      </c>
      <c r="L25" s="34">
        <v>39569</v>
      </c>
      <c r="M25" s="34">
        <v>39600</v>
      </c>
      <c r="N25" s="35" t="s">
        <v>258</v>
      </c>
      <c r="O25" s="56" t="s">
        <v>197</v>
      </c>
      <c r="P25" s="35" t="s">
        <v>154</v>
      </c>
      <c r="Q25" s="2"/>
    </row>
    <row r="26" spans="1:17" ht="12.75" customHeight="1">
      <c r="A26" s="36" t="s">
        <v>117</v>
      </c>
      <c r="B26" s="70"/>
      <c r="C26" s="70"/>
      <c r="D26" s="70"/>
      <c r="E26" s="70"/>
      <c r="F26" s="70"/>
      <c r="G26" s="70"/>
      <c r="H26" s="70"/>
      <c r="I26" s="70"/>
      <c r="J26" s="70"/>
      <c r="K26" s="70"/>
      <c r="L26" s="70"/>
      <c r="M26" s="70"/>
      <c r="N26" s="70"/>
      <c r="O26" s="45"/>
      <c r="P26" s="28"/>
    </row>
    <row r="27" spans="1:17" ht="12.75" customHeight="1">
      <c r="A27" s="39" t="s">
        <v>89</v>
      </c>
      <c r="B27" s="40" t="s">
        <v>34</v>
      </c>
      <c r="C27" s="40" t="s">
        <v>34</v>
      </c>
      <c r="D27" s="40" t="s">
        <v>34</v>
      </c>
      <c r="E27" s="40" t="s">
        <v>34</v>
      </c>
      <c r="F27" s="40" t="s">
        <v>34</v>
      </c>
      <c r="G27" s="40" t="s">
        <v>34</v>
      </c>
      <c r="H27" s="40" t="s">
        <v>34</v>
      </c>
      <c r="I27" s="40" t="s">
        <v>34</v>
      </c>
      <c r="J27" s="40" t="s">
        <v>34</v>
      </c>
      <c r="K27" s="40" t="s">
        <v>34</v>
      </c>
      <c r="L27" s="40" t="s">
        <v>34</v>
      </c>
      <c r="M27" s="40" t="s">
        <v>34</v>
      </c>
      <c r="N27" s="41">
        <f>SUM(B27:M27)</f>
        <v>0</v>
      </c>
      <c r="O27" s="42"/>
      <c r="P27" s="2"/>
    </row>
    <row r="28" spans="1:17" ht="12.75" customHeight="1">
      <c r="A28" s="39" t="s">
        <v>328</v>
      </c>
      <c r="B28" s="40" t="s">
        <v>34</v>
      </c>
      <c r="C28" s="40" t="s">
        <v>34</v>
      </c>
      <c r="D28" s="40" t="s">
        <v>34</v>
      </c>
      <c r="E28" s="40" t="s">
        <v>34</v>
      </c>
      <c r="F28" s="40" t="s">
        <v>34</v>
      </c>
      <c r="G28" s="40" t="s">
        <v>34</v>
      </c>
      <c r="H28" s="58" t="s">
        <v>34</v>
      </c>
      <c r="I28" s="58" t="s">
        <v>34</v>
      </c>
      <c r="J28" s="58" t="s">
        <v>34</v>
      </c>
      <c r="K28" s="58" t="s">
        <v>34</v>
      </c>
      <c r="L28" s="58" t="s">
        <v>34</v>
      </c>
      <c r="M28" s="58" t="s">
        <v>34</v>
      </c>
      <c r="N28" s="41">
        <f>SUM(B28:M28)</f>
        <v>0</v>
      </c>
      <c r="O28" s="42">
        <v>0</v>
      </c>
      <c r="P28" s="115" t="s">
        <v>34</v>
      </c>
    </row>
    <row r="29" spans="1:17" ht="12.75" customHeight="1">
      <c r="A29" s="39" t="s">
        <v>29</v>
      </c>
      <c r="B29" s="58" t="s">
        <v>34</v>
      </c>
      <c r="C29" s="58" t="s">
        <v>34</v>
      </c>
      <c r="D29" s="58" t="s">
        <v>34</v>
      </c>
      <c r="E29" s="58" t="s">
        <v>34</v>
      </c>
      <c r="F29" s="58" t="s">
        <v>34</v>
      </c>
      <c r="G29" s="58" t="s">
        <v>34</v>
      </c>
      <c r="H29" s="58" t="s">
        <v>34</v>
      </c>
      <c r="I29" s="58" t="s">
        <v>34</v>
      </c>
      <c r="J29" s="58" t="s">
        <v>34</v>
      </c>
      <c r="K29" s="58" t="s">
        <v>34</v>
      </c>
      <c r="L29" s="58" t="s">
        <v>34</v>
      </c>
      <c r="M29" s="58" t="s">
        <v>34</v>
      </c>
      <c r="N29" s="41">
        <f>SUM(B29:M29)</f>
        <v>0</v>
      </c>
      <c r="O29" s="42"/>
      <c r="P29" s="2"/>
    </row>
    <row r="30" spans="1:17" ht="12.75" customHeight="1">
      <c r="A30" s="2"/>
      <c r="B30" s="28"/>
      <c r="C30" s="28"/>
      <c r="D30" s="28"/>
      <c r="E30" s="28"/>
      <c r="F30" s="28"/>
      <c r="G30" s="28"/>
      <c r="H30" s="28"/>
      <c r="I30" s="28"/>
      <c r="J30" s="28"/>
      <c r="K30" s="28"/>
      <c r="L30" s="28"/>
      <c r="M30" s="28"/>
      <c r="N30" s="100"/>
      <c r="O30" s="43"/>
      <c r="P30" s="2"/>
    </row>
    <row r="31" spans="1:17" ht="12.75" customHeight="1">
      <c r="A31" s="5"/>
      <c r="B31" s="5"/>
      <c r="C31" s="5"/>
      <c r="D31" s="5"/>
      <c r="E31" s="5"/>
      <c r="F31" s="5"/>
      <c r="G31" s="5"/>
      <c r="H31" s="5"/>
      <c r="I31" s="5"/>
      <c r="J31" s="5"/>
      <c r="K31" s="5"/>
      <c r="L31" s="5"/>
      <c r="M31" s="5"/>
      <c r="N31" s="104"/>
      <c r="O31" s="47"/>
      <c r="P31" s="5"/>
    </row>
    <row r="32" spans="1:17" ht="25.5">
      <c r="A32" s="33"/>
      <c r="B32" s="34">
        <v>39264</v>
      </c>
      <c r="C32" s="34">
        <v>39295</v>
      </c>
      <c r="D32" s="34">
        <v>39326</v>
      </c>
      <c r="E32" s="34">
        <v>39356</v>
      </c>
      <c r="F32" s="34">
        <v>39387</v>
      </c>
      <c r="G32" s="34">
        <v>39417</v>
      </c>
      <c r="H32" s="34">
        <v>39448</v>
      </c>
      <c r="I32" s="34">
        <v>39479</v>
      </c>
      <c r="J32" s="34">
        <v>39508</v>
      </c>
      <c r="K32" s="34">
        <v>39539</v>
      </c>
      <c r="L32" s="34">
        <v>39569</v>
      </c>
      <c r="M32" s="34">
        <v>39600</v>
      </c>
      <c r="N32" s="35" t="s">
        <v>258</v>
      </c>
      <c r="O32" s="56" t="s">
        <v>197</v>
      </c>
      <c r="P32" s="35" t="s">
        <v>154</v>
      </c>
      <c r="Q32" s="2"/>
    </row>
    <row r="33" spans="1:17" ht="12.75" customHeight="1">
      <c r="A33" s="36" t="s">
        <v>215</v>
      </c>
      <c r="B33" s="70"/>
      <c r="C33" s="70"/>
      <c r="D33" s="70"/>
      <c r="E33" s="70"/>
      <c r="F33" s="70"/>
      <c r="G33" s="70"/>
      <c r="H33" s="70"/>
      <c r="I33" s="70"/>
      <c r="J33" s="70"/>
      <c r="K33" s="70"/>
      <c r="L33" s="70"/>
      <c r="M33" s="70"/>
      <c r="N33" s="70"/>
      <c r="O33" s="45"/>
      <c r="P33" s="28"/>
    </row>
    <row r="34" spans="1:17" ht="12.75" customHeight="1">
      <c r="A34" s="39" t="s">
        <v>89</v>
      </c>
      <c r="B34" s="98">
        <v>253</v>
      </c>
      <c r="C34" s="98">
        <v>221</v>
      </c>
      <c r="D34" s="98">
        <v>496</v>
      </c>
      <c r="E34" s="98">
        <v>967</v>
      </c>
      <c r="F34" s="98">
        <v>840</v>
      </c>
      <c r="G34" s="98">
        <v>373</v>
      </c>
      <c r="H34" s="40">
        <v>345</v>
      </c>
      <c r="I34" s="40">
        <v>847</v>
      </c>
      <c r="J34" s="40">
        <v>1150</v>
      </c>
      <c r="K34" s="40">
        <v>1018</v>
      </c>
      <c r="L34" s="40">
        <v>195</v>
      </c>
      <c r="M34" s="40">
        <v>330</v>
      </c>
      <c r="N34" s="41">
        <f>SUM(B34:M34)</f>
        <v>7035</v>
      </c>
      <c r="O34" s="42"/>
      <c r="P34" s="2"/>
    </row>
    <row r="35" spans="1:17" ht="12.75" customHeight="1">
      <c r="A35" s="39" t="s">
        <v>328</v>
      </c>
      <c r="B35" s="98">
        <v>188</v>
      </c>
      <c r="C35" s="98">
        <v>146</v>
      </c>
      <c r="D35" s="98">
        <v>336</v>
      </c>
      <c r="E35" s="98">
        <v>743</v>
      </c>
      <c r="F35" s="98">
        <v>628</v>
      </c>
      <c r="G35" s="98">
        <v>266</v>
      </c>
      <c r="H35" s="59">
        <v>228</v>
      </c>
      <c r="I35" s="59">
        <v>600</v>
      </c>
      <c r="J35" s="59">
        <v>849</v>
      </c>
      <c r="K35" s="59">
        <v>760</v>
      </c>
      <c r="L35" s="59">
        <v>139</v>
      </c>
      <c r="M35" s="59">
        <v>229</v>
      </c>
      <c r="N35" s="41">
        <f>SUM(B35:M35)</f>
        <v>5112</v>
      </c>
      <c r="O35" s="42">
        <v>12120</v>
      </c>
      <c r="P35" s="43">
        <f>O35/N35</f>
        <v>2.3708920187793425</v>
      </c>
    </row>
    <row r="36" spans="1:17" ht="12.75" customHeight="1">
      <c r="A36" s="39" t="s">
        <v>29</v>
      </c>
      <c r="B36" s="26">
        <v>0</v>
      </c>
      <c r="C36" s="26">
        <v>0</v>
      </c>
      <c r="D36" s="26">
        <v>0</v>
      </c>
      <c r="E36" s="26">
        <v>0</v>
      </c>
      <c r="F36" s="26">
        <v>0</v>
      </c>
      <c r="G36" s="26">
        <v>0</v>
      </c>
      <c r="H36" s="59">
        <v>0</v>
      </c>
      <c r="I36" s="59">
        <v>0</v>
      </c>
      <c r="J36" s="59">
        <v>0</v>
      </c>
      <c r="K36" s="59">
        <v>0</v>
      </c>
      <c r="L36" s="59">
        <v>0</v>
      </c>
      <c r="M36" s="59">
        <v>0</v>
      </c>
      <c r="N36" s="41">
        <f>SUM(B36:M36)</f>
        <v>0</v>
      </c>
      <c r="O36" s="42"/>
      <c r="P36" s="2"/>
    </row>
    <row r="37" spans="1:17" ht="12.75" customHeight="1">
      <c r="A37" s="2"/>
      <c r="B37" s="28"/>
      <c r="C37" s="28"/>
      <c r="D37" s="28"/>
      <c r="E37" s="28"/>
      <c r="F37" s="28"/>
      <c r="G37" s="28"/>
      <c r="H37" s="28"/>
      <c r="I37" s="28"/>
      <c r="J37" s="28"/>
      <c r="K37" s="28"/>
      <c r="L37" s="28"/>
      <c r="M37" s="28"/>
      <c r="N37" s="100"/>
      <c r="O37" s="43"/>
      <c r="P37" s="2"/>
    </row>
    <row r="38" spans="1:17" ht="12.75" customHeight="1">
      <c r="A38" s="2"/>
      <c r="B38" s="2"/>
      <c r="C38" s="2"/>
      <c r="D38" s="2"/>
      <c r="E38" s="2"/>
      <c r="F38" s="2"/>
      <c r="G38" s="2"/>
      <c r="H38" s="2"/>
      <c r="I38" s="2"/>
      <c r="J38" s="2"/>
      <c r="K38" s="2"/>
      <c r="L38" s="2"/>
      <c r="M38" s="2"/>
      <c r="N38" s="103"/>
      <c r="O38" s="43"/>
      <c r="P38" s="2"/>
    </row>
    <row r="39" spans="1:17" ht="12.75" customHeight="1">
      <c r="A39" s="84"/>
      <c r="B39" s="102"/>
      <c r="C39" s="102"/>
      <c r="D39" s="102"/>
      <c r="E39" s="102"/>
      <c r="F39" s="102"/>
      <c r="G39" s="102"/>
      <c r="H39" s="102"/>
      <c r="I39" s="102"/>
      <c r="J39" s="102"/>
      <c r="K39" s="102"/>
      <c r="L39" s="102"/>
      <c r="M39" s="102"/>
      <c r="N39" s="104"/>
      <c r="O39" s="47"/>
      <c r="P39" s="5"/>
    </row>
    <row r="40" spans="1:17" ht="25.5">
      <c r="A40" s="116"/>
      <c r="B40" s="34">
        <v>39264</v>
      </c>
      <c r="C40" s="34">
        <v>39295</v>
      </c>
      <c r="D40" s="34">
        <v>39326</v>
      </c>
      <c r="E40" s="34">
        <v>39356</v>
      </c>
      <c r="F40" s="34">
        <v>39387</v>
      </c>
      <c r="G40" s="34">
        <v>39417</v>
      </c>
      <c r="H40" s="34">
        <v>39448</v>
      </c>
      <c r="I40" s="34">
        <v>39479</v>
      </c>
      <c r="J40" s="34">
        <v>39508</v>
      </c>
      <c r="K40" s="34">
        <v>39539</v>
      </c>
      <c r="L40" s="34">
        <v>39569</v>
      </c>
      <c r="M40" s="34">
        <v>39600</v>
      </c>
      <c r="N40" s="35" t="s">
        <v>258</v>
      </c>
      <c r="O40" s="56" t="s">
        <v>197</v>
      </c>
      <c r="P40" s="35" t="s">
        <v>154</v>
      </c>
      <c r="Q40" s="2"/>
    </row>
    <row r="41" spans="1:17" ht="12.75" customHeight="1">
      <c r="A41" s="36" t="s">
        <v>113</v>
      </c>
      <c r="B41" s="70"/>
      <c r="C41" s="70"/>
      <c r="D41" s="70"/>
      <c r="E41" s="70"/>
      <c r="F41" s="70"/>
      <c r="G41" s="70"/>
      <c r="H41" s="70"/>
      <c r="I41" s="70"/>
      <c r="J41" s="70"/>
      <c r="K41" s="70"/>
      <c r="L41" s="70"/>
      <c r="M41" s="70"/>
      <c r="N41" s="70"/>
      <c r="O41" s="45"/>
      <c r="P41" s="28"/>
    </row>
    <row r="42" spans="1:17" ht="12.75" customHeight="1">
      <c r="A42" s="39" t="s">
        <v>89</v>
      </c>
      <c r="B42" s="40">
        <v>539</v>
      </c>
      <c r="C42" s="40">
        <v>299</v>
      </c>
      <c r="D42" s="40">
        <v>813</v>
      </c>
      <c r="E42" s="40">
        <v>1427</v>
      </c>
      <c r="F42" s="40">
        <v>1416</v>
      </c>
      <c r="G42" s="40">
        <v>562</v>
      </c>
      <c r="H42" s="40">
        <v>462</v>
      </c>
      <c r="I42" s="40">
        <v>1089</v>
      </c>
      <c r="J42" s="40">
        <v>1153</v>
      </c>
      <c r="K42" s="40">
        <v>1020</v>
      </c>
      <c r="L42" s="40">
        <v>195</v>
      </c>
      <c r="M42" s="40">
        <v>331</v>
      </c>
      <c r="N42" s="41">
        <f>SUM(B42:M42)</f>
        <v>9306</v>
      </c>
      <c r="O42" s="42"/>
      <c r="P42" s="2"/>
    </row>
    <row r="43" spans="1:17" ht="12.75" customHeight="1">
      <c r="A43" s="39" t="s">
        <v>328</v>
      </c>
      <c r="B43" s="59">
        <v>1629</v>
      </c>
      <c r="C43" s="59">
        <v>446</v>
      </c>
      <c r="D43" s="59">
        <v>1895</v>
      </c>
      <c r="E43" s="59">
        <v>3397</v>
      </c>
      <c r="F43" s="59">
        <v>4332</v>
      </c>
      <c r="G43" s="59">
        <v>1446</v>
      </c>
      <c r="H43" s="59">
        <v>757</v>
      </c>
      <c r="I43" s="59">
        <v>1271</v>
      </c>
      <c r="J43" s="59">
        <v>850</v>
      </c>
      <c r="K43" s="59">
        <v>761</v>
      </c>
      <c r="L43" s="59">
        <v>139</v>
      </c>
      <c r="M43" s="59">
        <v>230</v>
      </c>
      <c r="N43" s="41">
        <f>SUM(B43:M43)</f>
        <v>17153</v>
      </c>
      <c r="O43" s="42">
        <f>SUM(O6:O36)</f>
        <v>12120</v>
      </c>
      <c r="P43" s="43">
        <f>O43/N43</f>
        <v>0.70658193901941346</v>
      </c>
    </row>
    <row r="44" spans="1:17" ht="12.75" customHeight="1">
      <c r="A44" s="39" t="s">
        <v>29</v>
      </c>
      <c r="B44" s="59">
        <v>0</v>
      </c>
      <c r="C44" s="59">
        <v>0</v>
      </c>
      <c r="D44" s="59">
        <v>0</v>
      </c>
      <c r="E44" s="59">
        <v>0</v>
      </c>
      <c r="F44" s="59">
        <v>0</v>
      </c>
      <c r="G44" s="59">
        <v>0</v>
      </c>
      <c r="H44" s="59">
        <v>0</v>
      </c>
      <c r="I44" s="59">
        <v>0</v>
      </c>
      <c r="J44" s="59">
        <v>0</v>
      </c>
      <c r="K44" s="59">
        <v>0</v>
      </c>
      <c r="L44" s="59">
        <v>0</v>
      </c>
      <c r="M44" s="59">
        <v>0</v>
      </c>
      <c r="N44" s="41">
        <f>SUM(B44:M44)</f>
        <v>0</v>
      </c>
      <c r="O44" s="42"/>
      <c r="P44" s="2"/>
    </row>
    <row r="45" spans="1:17" ht="12.75" customHeight="1">
      <c r="A45" s="2"/>
      <c r="B45" s="38"/>
      <c r="C45" s="38"/>
      <c r="D45" s="38"/>
      <c r="E45" s="38"/>
      <c r="F45" s="38"/>
      <c r="G45" s="38"/>
      <c r="H45" s="38"/>
      <c r="I45" s="38"/>
      <c r="J45" s="38"/>
      <c r="K45" s="38"/>
      <c r="L45" s="38"/>
      <c r="M45" s="38"/>
      <c r="N45" s="38"/>
      <c r="O45" s="2"/>
      <c r="P45" s="2"/>
    </row>
    <row r="46" spans="1:17" ht="12.75" customHeight="1">
      <c r="A46" s="2"/>
      <c r="O46" s="2"/>
      <c r="P46" s="2"/>
    </row>
    <row r="47" spans="1:17" ht="12.75" customHeight="1">
      <c r="A47" s="2" t="s">
        <v>31</v>
      </c>
      <c r="B47" s="2" t="s">
        <v>310</v>
      </c>
      <c r="O47" s="2"/>
      <c r="P47" s="2"/>
    </row>
    <row r="48" spans="1:17" ht="12.75" customHeight="1">
      <c r="A48" s="2"/>
      <c r="O48" s="2"/>
      <c r="P48" s="2"/>
    </row>
  </sheetData>
  <pageMargins left="0.75" right="0.75" top="1" bottom="1" header="0.5" footer="0.5"/>
  <pageSetup paperSize="9" orientation="portrait" horizontalDpi="300" verticalDpi="300"/>
  <headerFooter alignWithMargins="0"/>
</worksheet>
</file>

<file path=xl/worksheets/sheet26.xml><?xml version="1.0" encoding="utf-8"?>
<worksheet xmlns="http://schemas.openxmlformats.org/spreadsheetml/2006/main" xmlns:r="http://schemas.openxmlformats.org/officeDocument/2006/relationships">
  <dimension ref="A1:Q23"/>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1.7109375" customWidth="1"/>
    <col min="2" max="14" width="8.5703125" customWidth="1"/>
    <col min="15" max="15" width="9.42578125" customWidth="1"/>
    <col min="16" max="16" width="8.5703125" customWidth="1"/>
    <col min="17" max="17" width="9.140625" customWidth="1"/>
  </cols>
  <sheetData>
    <row r="1" spans="1:17" ht="20.25">
      <c r="A1" s="1" t="s">
        <v>148</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32"/>
      <c r="P3" s="32"/>
    </row>
    <row r="4" spans="1:17"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284</v>
      </c>
      <c r="Q4" s="2"/>
    </row>
    <row r="5" spans="1:17" ht="12.75" customHeight="1">
      <c r="A5" s="36" t="s">
        <v>105</v>
      </c>
      <c r="B5" s="70"/>
      <c r="C5" s="70"/>
      <c r="D5" s="70"/>
      <c r="E5" s="70"/>
      <c r="F5" s="70"/>
      <c r="G5" s="70"/>
      <c r="H5" s="70"/>
      <c r="I5" s="70"/>
      <c r="J5" s="70"/>
      <c r="K5" s="70"/>
      <c r="L5" s="70"/>
      <c r="M5" s="70"/>
      <c r="N5" s="70"/>
      <c r="O5" s="38"/>
      <c r="P5" s="38"/>
    </row>
    <row r="6" spans="1:17" ht="12.75" customHeight="1">
      <c r="A6" s="39" t="s">
        <v>89</v>
      </c>
      <c r="B6" s="40">
        <v>24</v>
      </c>
      <c r="C6" s="40">
        <v>13</v>
      </c>
      <c r="D6" s="40">
        <v>44</v>
      </c>
      <c r="E6" s="40">
        <v>49</v>
      </c>
      <c r="F6" s="40">
        <v>50</v>
      </c>
      <c r="G6" s="40">
        <v>58</v>
      </c>
      <c r="H6" s="40">
        <v>10</v>
      </c>
      <c r="I6" s="40">
        <v>56</v>
      </c>
      <c r="J6" s="40">
        <v>65</v>
      </c>
      <c r="K6" s="40">
        <v>56</v>
      </c>
      <c r="L6" s="40">
        <v>55</v>
      </c>
      <c r="M6" s="40">
        <v>10</v>
      </c>
      <c r="N6" s="41">
        <f>SUM(B6:M6)</f>
        <v>490</v>
      </c>
      <c r="O6" s="42"/>
      <c r="P6" s="43"/>
    </row>
    <row r="7" spans="1:17" ht="12.75" customHeight="1">
      <c r="A7" s="39" t="s">
        <v>328</v>
      </c>
      <c r="B7" s="40">
        <v>50</v>
      </c>
      <c r="C7" s="40">
        <v>64</v>
      </c>
      <c r="D7" s="40">
        <v>67</v>
      </c>
      <c r="E7" s="40">
        <v>72</v>
      </c>
      <c r="F7" s="40">
        <v>89</v>
      </c>
      <c r="G7" s="40">
        <v>100</v>
      </c>
      <c r="H7" s="40">
        <v>33</v>
      </c>
      <c r="I7" s="40">
        <v>112</v>
      </c>
      <c r="J7" s="40">
        <v>151</v>
      </c>
      <c r="K7" s="40">
        <v>123</v>
      </c>
      <c r="L7" s="40">
        <v>95</v>
      </c>
      <c r="M7" s="40">
        <v>12</v>
      </c>
      <c r="N7" s="41">
        <f>SUM(B7:M7)</f>
        <v>968</v>
      </c>
      <c r="O7" s="42">
        <v>1500</v>
      </c>
      <c r="P7" s="43">
        <f>O7/N7</f>
        <v>1.5495867768595042</v>
      </c>
    </row>
    <row r="8" spans="1:17" ht="12.75" customHeight="1">
      <c r="A8" s="39" t="s">
        <v>29</v>
      </c>
      <c r="B8" s="40">
        <v>0</v>
      </c>
      <c r="C8" s="40">
        <v>0</v>
      </c>
      <c r="D8" s="40">
        <v>11</v>
      </c>
      <c r="E8" s="40">
        <v>0</v>
      </c>
      <c r="F8" s="40">
        <v>0</v>
      </c>
      <c r="G8" s="40">
        <v>0</v>
      </c>
      <c r="H8" s="40">
        <v>0</v>
      </c>
      <c r="I8" s="40">
        <v>0</v>
      </c>
      <c r="J8" s="40">
        <v>0</v>
      </c>
      <c r="K8" s="40">
        <v>0</v>
      </c>
      <c r="L8" s="40">
        <v>0</v>
      </c>
      <c r="M8" s="40">
        <v>0</v>
      </c>
      <c r="N8" s="41">
        <f>SUM(B8:M8)</f>
        <v>11</v>
      </c>
      <c r="O8" s="42"/>
      <c r="P8" s="43"/>
    </row>
    <row r="9" spans="1:17" ht="12.75" customHeight="1">
      <c r="A9" s="2"/>
      <c r="B9" s="38"/>
      <c r="C9" s="38"/>
      <c r="D9" s="38"/>
      <c r="E9" s="38"/>
      <c r="F9" s="38"/>
      <c r="G9" s="38"/>
      <c r="H9" s="38"/>
      <c r="I9" s="38"/>
      <c r="J9" s="38"/>
      <c r="K9" s="38"/>
      <c r="L9" s="38"/>
      <c r="M9" s="38"/>
      <c r="N9" s="38"/>
    </row>
    <row r="10" spans="1:17" ht="12.75" customHeight="1">
      <c r="A10" s="101" t="s">
        <v>324</v>
      </c>
      <c r="B10" s="85"/>
      <c r="C10" s="85"/>
      <c r="D10" s="85"/>
      <c r="E10" s="85"/>
      <c r="F10" s="85"/>
      <c r="G10" s="85"/>
      <c r="H10" s="85"/>
      <c r="I10" s="85"/>
      <c r="J10" s="85"/>
      <c r="K10" s="85"/>
      <c r="L10" s="85"/>
      <c r="M10" s="85"/>
      <c r="N10" s="85"/>
    </row>
    <row r="11" spans="1:17" ht="12.75" customHeight="1">
      <c r="A11" s="39" t="s">
        <v>89</v>
      </c>
      <c r="B11" s="40">
        <v>38</v>
      </c>
      <c r="C11" s="40">
        <v>81</v>
      </c>
      <c r="D11" s="40">
        <v>247</v>
      </c>
      <c r="E11" s="40">
        <v>331</v>
      </c>
      <c r="F11" s="40">
        <v>345</v>
      </c>
      <c r="G11" s="40">
        <v>273</v>
      </c>
      <c r="H11" s="40">
        <v>161</v>
      </c>
      <c r="I11" s="40">
        <v>480</v>
      </c>
      <c r="J11" s="40">
        <v>447</v>
      </c>
      <c r="K11" s="40">
        <v>520</v>
      </c>
      <c r="L11" s="40">
        <v>276</v>
      </c>
      <c r="M11" s="40">
        <v>185</v>
      </c>
      <c r="N11" s="41">
        <f>SUM(B11:M11)</f>
        <v>3384</v>
      </c>
      <c r="O11" s="42"/>
      <c r="P11" s="43"/>
    </row>
    <row r="12" spans="1:17" ht="12.75" customHeight="1">
      <c r="A12" s="39" t="s">
        <v>328</v>
      </c>
      <c r="B12" s="40">
        <v>84</v>
      </c>
      <c r="C12" s="40">
        <v>280</v>
      </c>
      <c r="D12" s="40">
        <v>1982</v>
      </c>
      <c r="E12" s="40">
        <v>1437</v>
      </c>
      <c r="F12" s="40">
        <v>1255</v>
      </c>
      <c r="G12" s="40">
        <v>1582</v>
      </c>
      <c r="H12" s="40">
        <v>630</v>
      </c>
      <c r="I12" s="40">
        <v>2153</v>
      </c>
      <c r="J12" s="40">
        <v>1608</v>
      </c>
      <c r="K12" s="40">
        <v>1897</v>
      </c>
      <c r="L12" s="40">
        <v>955</v>
      </c>
      <c r="M12" s="40">
        <v>645</v>
      </c>
      <c r="N12" s="41">
        <f>SUM(B12:M12)</f>
        <v>14508</v>
      </c>
      <c r="O12" s="42">
        <v>2723.09</v>
      </c>
      <c r="P12" s="43">
        <f>O12/N12</f>
        <v>0.18769575406672181</v>
      </c>
    </row>
    <row r="13" spans="1:17" ht="12.75" customHeight="1">
      <c r="A13" s="39" t="s">
        <v>29</v>
      </c>
      <c r="B13" s="40">
        <v>0</v>
      </c>
      <c r="C13" s="40">
        <v>0</v>
      </c>
      <c r="D13" s="40">
        <v>0</v>
      </c>
      <c r="E13" s="40">
        <v>0</v>
      </c>
      <c r="F13" s="40">
        <v>0</v>
      </c>
      <c r="G13" s="40">
        <v>0</v>
      </c>
      <c r="H13" s="40">
        <v>0</v>
      </c>
      <c r="I13" s="40">
        <v>0</v>
      </c>
      <c r="J13" s="40">
        <v>0</v>
      </c>
      <c r="K13" s="40">
        <v>0</v>
      </c>
      <c r="L13" s="40">
        <v>0</v>
      </c>
      <c r="M13" s="40">
        <v>0</v>
      </c>
      <c r="N13" s="41">
        <f>SUM(B13:M13)</f>
        <v>0</v>
      </c>
      <c r="O13" s="15"/>
    </row>
    <row r="14" spans="1:17" ht="12.75" customHeight="1">
      <c r="A14" s="2"/>
      <c r="B14" s="38"/>
      <c r="C14" s="38"/>
      <c r="D14" s="38"/>
      <c r="E14" s="38"/>
      <c r="F14" s="38"/>
      <c r="G14" s="38"/>
      <c r="H14" s="38"/>
      <c r="I14" s="38"/>
      <c r="J14" s="38"/>
      <c r="K14" s="38"/>
      <c r="L14" s="38"/>
      <c r="M14" s="38"/>
      <c r="N14" s="38"/>
    </row>
    <row r="15" spans="1:17" ht="12.75" customHeight="1">
      <c r="A15" s="155" t="s">
        <v>196</v>
      </c>
      <c r="B15" s="156"/>
      <c r="C15" s="156"/>
      <c r="D15" s="156"/>
      <c r="E15" s="156"/>
      <c r="F15" s="156"/>
      <c r="G15" s="85"/>
      <c r="H15" s="85"/>
      <c r="I15" s="85"/>
      <c r="J15" s="85"/>
      <c r="K15" s="85"/>
      <c r="L15" s="85"/>
      <c r="M15" s="85"/>
      <c r="N15" s="85"/>
    </row>
    <row r="16" spans="1:17" ht="12.75" customHeight="1">
      <c r="A16" s="39" t="s">
        <v>89</v>
      </c>
      <c r="B16" s="40">
        <v>0</v>
      </c>
      <c r="C16" s="40">
        <v>2</v>
      </c>
      <c r="D16" s="40">
        <v>5</v>
      </c>
      <c r="E16" s="40">
        <v>7</v>
      </c>
      <c r="F16" s="40">
        <v>5</v>
      </c>
      <c r="G16" s="40">
        <v>3</v>
      </c>
      <c r="H16" s="40">
        <v>0</v>
      </c>
      <c r="I16" s="40">
        <v>7</v>
      </c>
      <c r="J16" s="40">
        <v>6</v>
      </c>
      <c r="K16" s="40">
        <v>2</v>
      </c>
      <c r="L16" s="40">
        <v>0</v>
      </c>
      <c r="M16" s="40">
        <v>4</v>
      </c>
      <c r="N16" s="41">
        <f>SUM(B16:M16)</f>
        <v>41</v>
      </c>
      <c r="O16" s="42">
        <v>1783.15</v>
      </c>
      <c r="P16" s="43">
        <f>O16/N16</f>
        <v>43.491463414634147</v>
      </c>
    </row>
    <row r="17" spans="1:16" ht="12.75" customHeight="1">
      <c r="A17" s="39" t="s">
        <v>334</v>
      </c>
      <c r="B17" s="40">
        <v>0</v>
      </c>
      <c r="C17" s="40" t="s">
        <v>289</v>
      </c>
      <c r="D17" s="117">
        <v>4.0277777777778002E-2</v>
      </c>
      <c r="E17" s="117">
        <v>1.8055555555556001E-2</v>
      </c>
      <c r="F17" s="117">
        <v>1.1805555555555999E-2</v>
      </c>
      <c r="G17" s="117">
        <v>9.0277777777780007E-3</v>
      </c>
      <c r="H17" s="40">
        <v>0</v>
      </c>
      <c r="I17" s="117">
        <v>2.2916666666667002E-2</v>
      </c>
      <c r="J17" s="117">
        <v>6.8750000000000006E-2</v>
      </c>
      <c r="K17" s="117">
        <v>1.388888888889E-3</v>
      </c>
      <c r="L17" s="40">
        <v>0</v>
      </c>
      <c r="M17" s="117">
        <v>7.3611111111111002E-2</v>
      </c>
      <c r="N17" s="41">
        <f>SUM(B17:M17)</f>
        <v>0.24583333333333501</v>
      </c>
      <c r="O17" s="42"/>
      <c r="P17" s="43"/>
    </row>
    <row r="18" spans="1:16" ht="12.75" customHeight="1">
      <c r="A18" s="39" t="s">
        <v>29</v>
      </c>
      <c r="B18" s="40" t="s">
        <v>34</v>
      </c>
      <c r="C18" s="40" t="s">
        <v>34</v>
      </c>
      <c r="D18" s="40" t="s">
        <v>34</v>
      </c>
      <c r="E18" s="40" t="s">
        <v>34</v>
      </c>
      <c r="F18" s="40" t="s">
        <v>34</v>
      </c>
      <c r="G18" s="40" t="s">
        <v>34</v>
      </c>
      <c r="H18" s="40" t="s">
        <v>34</v>
      </c>
      <c r="I18" s="40" t="s">
        <v>34</v>
      </c>
      <c r="J18" s="40" t="s">
        <v>34</v>
      </c>
      <c r="K18" s="40" t="s">
        <v>34</v>
      </c>
      <c r="L18" s="40" t="s">
        <v>34</v>
      </c>
      <c r="M18" s="40" t="s">
        <v>72</v>
      </c>
      <c r="N18" s="41">
        <f>SUM(B18:M18)</f>
        <v>0</v>
      </c>
      <c r="O18" s="15"/>
    </row>
    <row r="19" spans="1:16" ht="12.75" customHeight="1">
      <c r="A19" s="2"/>
      <c r="B19" s="38"/>
      <c r="C19" s="38"/>
      <c r="D19" s="38"/>
      <c r="E19" s="38"/>
      <c r="F19" s="38"/>
      <c r="G19" s="38"/>
      <c r="H19" s="38"/>
      <c r="I19" s="38"/>
      <c r="J19" s="38"/>
      <c r="K19" s="38"/>
      <c r="L19" s="38"/>
      <c r="M19" s="38"/>
      <c r="N19" s="38"/>
    </row>
    <row r="20" spans="1:16" ht="12.75" customHeight="1">
      <c r="A20" s="2"/>
    </row>
    <row r="21" spans="1:16" ht="12.75" customHeight="1">
      <c r="A21" s="2"/>
    </row>
    <row r="22" spans="1:16" ht="12.75" customHeight="1">
      <c r="A22" s="2" t="s">
        <v>31</v>
      </c>
      <c r="B22" s="2" t="s">
        <v>247</v>
      </c>
    </row>
    <row r="23" spans="1:16" ht="12.75" customHeight="1">
      <c r="A23" s="2"/>
    </row>
  </sheetData>
  <mergeCells count="1">
    <mergeCell ref="A15:F15"/>
  </mergeCells>
  <pageMargins left="0.75" right="0.75" top="1" bottom="1" header="0.5" footer="0.5"/>
  <pageSetup paperSize="9" orientation="portrait" horizontalDpi="300" verticalDpi="300"/>
  <headerFooter alignWithMargins="0"/>
</worksheet>
</file>

<file path=xl/worksheets/sheet27.xml><?xml version="1.0" encoding="utf-8"?>
<worksheet xmlns="http://schemas.openxmlformats.org/spreadsheetml/2006/main" xmlns:r="http://schemas.openxmlformats.org/officeDocument/2006/relationships">
  <dimension ref="A1:Q58"/>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34.7109375" customWidth="1"/>
    <col min="2" max="2" width="6" customWidth="1"/>
    <col min="3" max="3" width="6.28515625" customWidth="1"/>
    <col min="4" max="4" width="6.85546875" customWidth="1"/>
    <col min="5" max="6" width="6.28515625" customWidth="1"/>
    <col min="7" max="8" width="6.5703125" customWidth="1"/>
    <col min="9" max="9" width="6.85546875" customWidth="1"/>
    <col min="10" max="10" width="6.5703125" customWidth="1"/>
    <col min="11" max="12" width="6.7109375" customWidth="1"/>
    <col min="13" max="13" width="6.42578125" customWidth="1"/>
    <col min="14" max="14" width="8.5703125" customWidth="1"/>
    <col min="15" max="15" width="10.85546875" customWidth="1"/>
    <col min="16" max="16" width="9.7109375" customWidth="1"/>
    <col min="17" max="17" width="9.140625" customWidth="1"/>
  </cols>
  <sheetData>
    <row r="1" spans="1:17" ht="20.25">
      <c r="A1" s="1" t="s">
        <v>312</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5"/>
      <c r="P3" s="5"/>
    </row>
    <row r="4" spans="1:17" ht="25.5">
      <c r="A4" s="51"/>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56" t="s">
        <v>154</v>
      </c>
    </row>
    <row r="5" spans="1:17" ht="12.75" customHeight="1">
      <c r="A5" s="36" t="s">
        <v>294</v>
      </c>
      <c r="B5" s="34"/>
      <c r="C5" s="34"/>
      <c r="D5" s="34"/>
      <c r="E5" s="34"/>
      <c r="F5" s="34"/>
      <c r="G5" s="34"/>
      <c r="H5" s="34"/>
      <c r="I5" s="34"/>
      <c r="J5" s="34"/>
      <c r="K5" s="34"/>
      <c r="L5" s="34"/>
      <c r="M5" s="34"/>
      <c r="N5" s="56"/>
      <c r="O5" s="56"/>
      <c r="P5" s="56"/>
    </row>
    <row r="6" spans="1:17" ht="12.75" customHeight="1">
      <c r="A6" s="39" t="s">
        <v>328</v>
      </c>
      <c r="B6" s="40">
        <v>687</v>
      </c>
      <c r="C6" s="40">
        <v>488</v>
      </c>
      <c r="D6" s="40">
        <v>754</v>
      </c>
      <c r="E6" s="40">
        <v>2149</v>
      </c>
      <c r="F6" s="40">
        <v>2460</v>
      </c>
      <c r="G6" s="40">
        <v>1882</v>
      </c>
      <c r="H6" s="40">
        <v>799</v>
      </c>
      <c r="I6" s="40">
        <v>1652</v>
      </c>
      <c r="J6" s="40">
        <v>2234</v>
      </c>
      <c r="K6" s="40">
        <v>2146</v>
      </c>
      <c r="L6" s="40">
        <v>1168</v>
      </c>
      <c r="M6" s="40">
        <v>752</v>
      </c>
      <c r="N6" s="41">
        <f>SUM(B6:M6)</f>
        <v>17171</v>
      </c>
      <c r="O6" s="118">
        <v>0</v>
      </c>
      <c r="P6" s="57" t="s">
        <v>34</v>
      </c>
    </row>
    <row r="7" spans="1:17" ht="12.75" customHeight="1">
      <c r="A7" s="2"/>
      <c r="B7" s="38"/>
      <c r="C7" s="38"/>
      <c r="D7" s="38"/>
      <c r="E7" s="38"/>
      <c r="F7" s="38"/>
      <c r="G7" s="38"/>
      <c r="H7" s="38"/>
      <c r="I7" s="38"/>
      <c r="J7" s="38"/>
      <c r="K7" s="38"/>
      <c r="L7" s="38"/>
      <c r="M7" s="38"/>
      <c r="N7" s="38"/>
      <c r="O7" s="2"/>
      <c r="P7" s="2"/>
    </row>
    <row r="8" spans="1:17" ht="12.75" customHeight="1">
      <c r="A8" s="5"/>
      <c r="B8" s="32"/>
      <c r="C8" s="32"/>
      <c r="D8" s="32"/>
      <c r="E8" s="32"/>
      <c r="F8" s="32"/>
      <c r="G8" s="32"/>
      <c r="H8" s="32"/>
      <c r="I8" s="32"/>
      <c r="J8" s="32"/>
      <c r="K8" s="32"/>
      <c r="L8" s="32"/>
      <c r="M8" s="32"/>
      <c r="N8" s="32"/>
      <c r="O8" s="5"/>
      <c r="P8" s="5"/>
    </row>
    <row r="9" spans="1:17" ht="25.5">
      <c r="A9" s="51"/>
      <c r="B9" s="34">
        <v>39264</v>
      </c>
      <c r="C9" s="34">
        <v>39295</v>
      </c>
      <c r="D9" s="34">
        <v>39326</v>
      </c>
      <c r="E9" s="34">
        <v>39356</v>
      </c>
      <c r="F9" s="34">
        <v>39387</v>
      </c>
      <c r="G9" s="34">
        <v>39417</v>
      </c>
      <c r="H9" s="34">
        <v>39448</v>
      </c>
      <c r="I9" s="34">
        <v>39479</v>
      </c>
      <c r="J9" s="34">
        <v>39508</v>
      </c>
      <c r="K9" s="34">
        <v>39539</v>
      </c>
      <c r="L9" s="34">
        <v>39569</v>
      </c>
      <c r="M9" s="34">
        <v>39600</v>
      </c>
      <c r="N9" s="35" t="s">
        <v>258</v>
      </c>
      <c r="O9" s="56" t="s">
        <v>197</v>
      </c>
      <c r="P9" s="56" t="s">
        <v>154</v>
      </c>
      <c r="Q9" s="2"/>
    </row>
    <row r="10" spans="1:17" ht="12.75" customHeight="1">
      <c r="A10" s="36" t="s">
        <v>76</v>
      </c>
      <c r="B10" s="48"/>
      <c r="C10" s="48"/>
      <c r="D10" s="48"/>
      <c r="E10" s="48"/>
      <c r="F10" s="48"/>
      <c r="G10" s="48"/>
      <c r="H10" s="48"/>
      <c r="I10" s="48"/>
      <c r="J10" s="48"/>
      <c r="K10" s="48"/>
      <c r="L10" s="48"/>
      <c r="M10" s="48"/>
      <c r="N10" s="48"/>
      <c r="O10" s="28"/>
      <c r="P10" s="28"/>
    </row>
    <row r="11" spans="1:17" ht="12.75" customHeight="1">
      <c r="A11" s="39" t="s">
        <v>328</v>
      </c>
      <c r="B11" s="40">
        <v>1895</v>
      </c>
      <c r="C11" s="40">
        <v>1031</v>
      </c>
      <c r="D11" s="40">
        <v>1396</v>
      </c>
      <c r="E11" s="40">
        <v>5248</v>
      </c>
      <c r="F11" s="40">
        <v>3894</v>
      </c>
      <c r="G11" s="40">
        <v>2486</v>
      </c>
      <c r="H11" s="40">
        <v>1770</v>
      </c>
      <c r="I11" s="40">
        <v>2264</v>
      </c>
      <c r="J11" s="40">
        <v>3359</v>
      </c>
      <c r="K11" s="40">
        <v>3394</v>
      </c>
      <c r="L11" s="40">
        <v>1577</v>
      </c>
      <c r="M11" s="40">
        <v>1168</v>
      </c>
      <c r="N11" s="41">
        <f>SUM(B11:M11)</f>
        <v>29482</v>
      </c>
      <c r="O11" s="42">
        <v>18300</v>
      </c>
      <c r="P11" s="43">
        <f>O11/N11</f>
        <v>0.62071772607014453</v>
      </c>
    </row>
    <row r="12" spans="1:17" ht="12.75" customHeight="1">
      <c r="A12" s="2"/>
      <c r="B12" s="49"/>
      <c r="C12" s="49"/>
      <c r="D12" s="49"/>
      <c r="E12" s="49"/>
      <c r="F12" s="49"/>
      <c r="G12" s="49"/>
      <c r="H12" s="49"/>
      <c r="I12" s="49"/>
      <c r="J12" s="49"/>
      <c r="K12" s="49"/>
      <c r="L12" s="49"/>
      <c r="M12" s="49"/>
      <c r="N12" s="50"/>
      <c r="O12" s="43"/>
      <c r="P12" s="43"/>
    </row>
    <row r="13" spans="1:17" ht="12.75" customHeight="1">
      <c r="A13" s="5"/>
      <c r="B13" s="5"/>
      <c r="C13" s="5"/>
      <c r="D13" s="5"/>
      <c r="E13" s="5"/>
      <c r="F13" s="5"/>
      <c r="G13" s="5"/>
      <c r="H13" s="5"/>
      <c r="I13" s="5"/>
      <c r="J13" s="5"/>
      <c r="K13" s="5"/>
      <c r="L13" s="5"/>
      <c r="M13" s="5"/>
      <c r="N13" s="104"/>
      <c r="O13" s="47"/>
      <c r="P13" s="47"/>
    </row>
    <row r="14" spans="1:17" ht="25.5">
      <c r="A14" s="51"/>
      <c r="B14" s="34">
        <v>39264</v>
      </c>
      <c r="C14" s="34">
        <v>39295</v>
      </c>
      <c r="D14" s="34">
        <v>39326</v>
      </c>
      <c r="E14" s="34">
        <v>39356</v>
      </c>
      <c r="F14" s="34">
        <v>39387</v>
      </c>
      <c r="G14" s="34">
        <v>39417</v>
      </c>
      <c r="H14" s="34">
        <v>39448</v>
      </c>
      <c r="I14" s="34">
        <v>39479</v>
      </c>
      <c r="J14" s="34">
        <v>39508</v>
      </c>
      <c r="K14" s="34">
        <v>39539</v>
      </c>
      <c r="L14" s="34">
        <v>39569</v>
      </c>
      <c r="M14" s="34">
        <v>39600</v>
      </c>
      <c r="N14" s="35" t="s">
        <v>258</v>
      </c>
      <c r="O14" s="56" t="s">
        <v>197</v>
      </c>
      <c r="P14" s="56" t="s">
        <v>154</v>
      </c>
      <c r="Q14" s="2"/>
    </row>
    <row r="15" spans="1:17" ht="12.75" customHeight="1">
      <c r="A15" s="36" t="s">
        <v>186</v>
      </c>
      <c r="B15" s="34"/>
      <c r="C15" s="34"/>
      <c r="D15" s="34"/>
      <c r="E15" s="34"/>
      <c r="F15" s="34"/>
      <c r="G15" s="34"/>
      <c r="H15" s="34"/>
      <c r="I15" s="34"/>
      <c r="J15" s="34"/>
      <c r="K15" s="34"/>
      <c r="L15" s="34"/>
      <c r="M15" s="34"/>
      <c r="N15" s="56"/>
      <c r="O15" s="56"/>
      <c r="P15" s="56"/>
    </row>
    <row r="16" spans="1:17" ht="12.75" customHeight="1">
      <c r="A16" s="39" t="s">
        <v>328</v>
      </c>
      <c r="B16" s="40">
        <v>1071</v>
      </c>
      <c r="C16" s="40">
        <v>492</v>
      </c>
      <c r="D16" s="40">
        <v>793</v>
      </c>
      <c r="E16" s="40">
        <v>2690</v>
      </c>
      <c r="F16" s="40">
        <v>2575</v>
      </c>
      <c r="G16" s="40">
        <v>1921</v>
      </c>
      <c r="H16" s="40">
        <v>694</v>
      </c>
      <c r="I16" s="40">
        <v>1485</v>
      </c>
      <c r="J16" s="40">
        <v>2007</v>
      </c>
      <c r="K16" s="40">
        <v>2105</v>
      </c>
      <c r="L16" s="40">
        <v>1139</v>
      </c>
      <c r="M16" s="40">
        <v>748</v>
      </c>
      <c r="N16" s="41">
        <f>SUM(B16:M16)</f>
        <v>17720</v>
      </c>
      <c r="O16" s="118">
        <v>0</v>
      </c>
      <c r="P16" s="57" t="s">
        <v>34</v>
      </c>
    </row>
    <row r="17" spans="1:17" ht="12.75" customHeight="1">
      <c r="A17" s="2"/>
      <c r="B17" s="100"/>
      <c r="C17" s="100"/>
      <c r="D17" s="100"/>
      <c r="E17" s="100"/>
      <c r="F17" s="100"/>
      <c r="G17" s="100"/>
      <c r="H17" s="100"/>
      <c r="I17" s="100"/>
      <c r="J17" s="100"/>
      <c r="K17" s="100"/>
      <c r="L17" s="100"/>
      <c r="M17" s="100"/>
      <c r="N17" s="100"/>
      <c r="O17" s="43"/>
      <c r="P17" s="43"/>
    </row>
    <row r="18" spans="1:17" ht="12.75" customHeight="1">
      <c r="A18" s="5"/>
      <c r="B18" s="104"/>
      <c r="C18" s="104"/>
      <c r="D18" s="104"/>
      <c r="E18" s="104"/>
      <c r="F18" s="104"/>
      <c r="G18" s="104"/>
      <c r="H18" s="104"/>
      <c r="I18" s="104"/>
      <c r="J18" s="104"/>
      <c r="K18" s="104"/>
      <c r="L18" s="104"/>
      <c r="M18" s="104"/>
      <c r="N18" s="104"/>
      <c r="O18" s="47"/>
      <c r="P18" s="47"/>
    </row>
    <row r="19" spans="1:17" ht="25.5">
      <c r="A19" s="51"/>
      <c r="B19" s="34">
        <v>39264</v>
      </c>
      <c r="C19" s="34">
        <v>39295</v>
      </c>
      <c r="D19" s="34">
        <v>39326</v>
      </c>
      <c r="E19" s="34">
        <v>39356</v>
      </c>
      <c r="F19" s="34">
        <v>39387</v>
      </c>
      <c r="G19" s="34">
        <v>39417</v>
      </c>
      <c r="H19" s="34">
        <v>39448</v>
      </c>
      <c r="I19" s="34">
        <v>39479</v>
      </c>
      <c r="J19" s="34">
        <v>39508</v>
      </c>
      <c r="K19" s="34">
        <v>39539</v>
      </c>
      <c r="L19" s="34">
        <v>39569</v>
      </c>
      <c r="M19" s="34">
        <v>39600</v>
      </c>
      <c r="N19" s="35" t="s">
        <v>258</v>
      </c>
      <c r="O19" s="56" t="s">
        <v>197</v>
      </c>
      <c r="P19" s="56" t="s">
        <v>154</v>
      </c>
      <c r="Q19" s="2"/>
    </row>
    <row r="20" spans="1:17" ht="12.75" customHeight="1">
      <c r="A20" s="36" t="s">
        <v>151</v>
      </c>
      <c r="B20" s="34"/>
      <c r="C20" s="34"/>
      <c r="D20" s="34"/>
      <c r="E20" s="34"/>
      <c r="F20" s="34"/>
      <c r="G20" s="34"/>
      <c r="H20" s="34"/>
      <c r="I20" s="34"/>
      <c r="J20" s="34"/>
      <c r="K20" s="34"/>
      <c r="L20" s="34"/>
      <c r="M20" s="34"/>
      <c r="N20" s="56"/>
      <c r="O20" s="56"/>
      <c r="P20" s="56"/>
    </row>
    <row r="21" spans="1:17" ht="12.75" customHeight="1">
      <c r="A21" s="39" t="s">
        <v>328</v>
      </c>
      <c r="B21" s="40">
        <v>778</v>
      </c>
      <c r="C21" s="40">
        <v>610</v>
      </c>
      <c r="D21" s="40">
        <v>961</v>
      </c>
      <c r="E21" s="40">
        <v>2637</v>
      </c>
      <c r="F21" s="40">
        <v>2181</v>
      </c>
      <c r="G21" s="40">
        <v>1818</v>
      </c>
      <c r="H21" s="40">
        <v>908</v>
      </c>
      <c r="I21" s="40">
        <v>1627</v>
      </c>
      <c r="J21" s="40">
        <v>2082</v>
      </c>
      <c r="K21" s="40">
        <v>2107</v>
      </c>
      <c r="L21" s="40">
        <v>1072</v>
      </c>
      <c r="M21" s="40">
        <v>782</v>
      </c>
      <c r="N21" s="41">
        <f>SUM(B21:M21)</f>
        <v>17563</v>
      </c>
      <c r="O21" s="118">
        <v>5585</v>
      </c>
      <c r="P21" s="45">
        <f>O21/N21</f>
        <v>0.31799806411205372</v>
      </c>
    </row>
    <row r="22" spans="1:17" ht="12.75" customHeight="1">
      <c r="A22" s="2"/>
      <c r="B22" s="28"/>
      <c r="C22" s="28"/>
      <c r="D22" s="28"/>
      <c r="E22" s="28"/>
      <c r="F22" s="28"/>
      <c r="G22" s="28"/>
      <c r="H22" s="28"/>
      <c r="I22" s="28"/>
      <c r="J22" s="28"/>
      <c r="K22" s="28"/>
      <c r="L22" s="28"/>
      <c r="M22" s="28"/>
      <c r="N22" s="100"/>
      <c r="O22" s="43"/>
      <c r="P22" s="43"/>
    </row>
    <row r="23" spans="1:17" ht="12.75" customHeight="1">
      <c r="A23" s="5"/>
      <c r="B23" s="5"/>
      <c r="C23" s="5"/>
      <c r="D23" s="5"/>
      <c r="E23" s="5"/>
      <c r="F23" s="5"/>
      <c r="G23" s="5"/>
      <c r="H23" s="5"/>
      <c r="I23" s="5"/>
      <c r="J23" s="5"/>
      <c r="K23" s="5"/>
      <c r="L23" s="5"/>
      <c r="M23" s="5"/>
      <c r="N23" s="104"/>
      <c r="O23" s="47"/>
      <c r="P23" s="47"/>
    </row>
    <row r="24" spans="1:17" ht="25.5">
      <c r="A24" s="51"/>
      <c r="B24" s="34">
        <v>39264</v>
      </c>
      <c r="C24" s="34">
        <v>39295</v>
      </c>
      <c r="D24" s="34">
        <v>39326</v>
      </c>
      <c r="E24" s="34">
        <v>39356</v>
      </c>
      <c r="F24" s="34">
        <v>39387</v>
      </c>
      <c r="G24" s="34">
        <v>39417</v>
      </c>
      <c r="H24" s="34">
        <v>39448</v>
      </c>
      <c r="I24" s="34">
        <v>39479</v>
      </c>
      <c r="J24" s="34">
        <v>39508</v>
      </c>
      <c r="K24" s="34">
        <v>39539</v>
      </c>
      <c r="L24" s="34">
        <v>39569</v>
      </c>
      <c r="M24" s="34">
        <v>39600</v>
      </c>
      <c r="N24" s="35" t="s">
        <v>258</v>
      </c>
      <c r="O24" s="56" t="s">
        <v>197</v>
      </c>
      <c r="P24" s="56" t="s">
        <v>154</v>
      </c>
      <c r="Q24" s="2"/>
    </row>
    <row r="25" spans="1:17" ht="12.75" customHeight="1">
      <c r="A25" s="36" t="s">
        <v>85</v>
      </c>
      <c r="B25" s="34"/>
      <c r="C25" s="34"/>
      <c r="D25" s="34"/>
      <c r="E25" s="34"/>
      <c r="F25" s="34"/>
      <c r="G25" s="34"/>
      <c r="H25" s="34"/>
      <c r="I25" s="34"/>
      <c r="J25" s="34"/>
      <c r="K25" s="34"/>
      <c r="L25" s="34"/>
      <c r="M25" s="34"/>
      <c r="N25" s="56"/>
      <c r="O25" s="56"/>
      <c r="P25" s="56"/>
    </row>
    <row r="26" spans="1:17" ht="12.75" customHeight="1">
      <c r="A26" s="39" t="s">
        <v>328</v>
      </c>
      <c r="B26" s="40">
        <v>1037</v>
      </c>
      <c r="C26" s="40">
        <v>535</v>
      </c>
      <c r="D26" s="40">
        <v>896</v>
      </c>
      <c r="E26" s="40">
        <v>2731</v>
      </c>
      <c r="F26" s="40">
        <v>2308</v>
      </c>
      <c r="G26" s="40">
        <v>1717</v>
      </c>
      <c r="H26" s="40">
        <v>684</v>
      </c>
      <c r="I26" s="40">
        <v>1697</v>
      </c>
      <c r="J26" s="40">
        <v>2269</v>
      </c>
      <c r="K26" s="40">
        <v>2119</v>
      </c>
      <c r="L26" s="40">
        <v>1055</v>
      </c>
      <c r="M26" s="40">
        <v>804</v>
      </c>
      <c r="N26" s="41">
        <f>SUM(B26:M26)</f>
        <v>17852</v>
      </c>
      <c r="O26" s="118">
        <v>3130</v>
      </c>
      <c r="P26" s="45">
        <f>O26/N26</f>
        <v>0.17533049518261259</v>
      </c>
    </row>
    <row r="27" spans="1:17" ht="12.75" customHeight="1">
      <c r="A27" s="2"/>
      <c r="B27" s="28"/>
      <c r="C27" s="28"/>
      <c r="D27" s="28"/>
      <c r="E27" s="28"/>
      <c r="F27" s="28"/>
      <c r="G27" s="28"/>
      <c r="H27" s="28"/>
      <c r="I27" s="28"/>
      <c r="J27" s="28"/>
      <c r="K27" s="28"/>
      <c r="L27" s="28"/>
      <c r="M27" s="28"/>
      <c r="N27" s="100"/>
      <c r="O27" s="43"/>
      <c r="P27" s="43"/>
    </row>
    <row r="28" spans="1:17" ht="12.75" customHeight="1">
      <c r="A28" s="5"/>
      <c r="B28" s="5"/>
      <c r="C28" s="5"/>
      <c r="D28" s="5"/>
      <c r="E28" s="5"/>
      <c r="F28" s="5"/>
      <c r="G28" s="5"/>
      <c r="H28" s="5"/>
      <c r="I28" s="5"/>
      <c r="J28" s="5"/>
      <c r="K28" s="5"/>
      <c r="L28" s="5"/>
      <c r="M28" s="5"/>
      <c r="N28" s="104"/>
      <c r="O28" s="47"/>
      <c r="P28" s="47"/>
    </row>
    <row r="29" spans="1:17" ht="25.5">
      <c r="A29" s="51"/>
      <c r="B29" s="34">
        <v>39264</v>
      </c>
      <c r="C29" s="34">
        <v>39295</v>
      </c>
      <c r="D29" s="34">
        <v>39326</v>
      </c>
      <c r="E29" s="34">
        <v>39356</v>
      </c>
      <c r="F29" s="34">
        <v>39387</v>
      </c>
      <c r="G29" s="34">
        <v>39417</v>
      </c>
      <c r="H29" s="34">
        <v>39448</v>
      </c>
      <c r="I29" s="34">
        <v>39479</v>
      </c>
      <c r="J29" s="34">
        <v>39508</v>
      </c>
      <c r="K29" s="34">
        <v>39539</v>
      </c>
      <c r="L29" s="34">
        <v>39569</v>
      </c>
      <c r="M29" s="34">
        <v>39600</v>
      </c>
      <c r="N29" s="35" t="s">
        <v>258</v>
      </c>
      <c r="O29" s="56" t="s">
        <v>197</v>
      </c>
      <c r="P29" s="56" t="s">
        <v>154</v>
      </c>
      <c r="Q29" s="2"/>
    </row>
    <row r="30" spans="1:17" ht="12.75" customHeight="1">
      <c r="A30" s="36" t="s">
        <v>297</v>
      </c>
      <c r="B30" s="34"/>
      <c r="C30" s="34"/>
      <c r="D30" s="34"/>
      <c r="E30" s="34"/>
      <c r="F30" s="34"/>
      <c r="G30" s="34"/>
      <c r="H30" s="34"/>
      <c r="I30" s="34"/>
      <c r="J30" s="34"/>
      <c r="K30" s="34"/>
      <c r="L30" s="34"/>
      <c r="M30" s="34"/>
      <c r="N30" s="56"/>
      <c r="O30" s="56"/>
      <c r="P30" s="56"/>
    </row>
    <row r="31" spans="1:17" ht="12.75" customHeight="1">
      <c r="A31" s="39" t="s">
        <v>328</v>
      </c>
      <c r="B31" s="40">
        <v>761</v>
      </c>
      <c r="C31" s="40">
        <v>489</v>
      </c>
      <c r="D31" s="40">
        <v>769</v>
      </c>
      <c r="E31" s="40">
        <v>2386</v>
      </c>
      <c r="F31" s="40">
        <v>2012</v>
      </c>
      <c r="G31" s="40">
        <v>1489</v>
      </c>
      <c r="H31" s="40">
        <v>654</v>
      </c>
      <c r="I31" s="40">
        <v>1323</v>
      </c>
      <c r="J31" s="40">
        <v>1864</v>
      </c>
      <c r="K31" s="40">
        <v>1779</v>
      </c>
      <c r="L31" s="40">
        <v>980</v>
      </c>
      <c r="M31" s="40">
        <v>597</v>
      </c>
      <c r="N31" s="41">
        <f>SUM(B31:M31)</f>
        <v>15103</v>
      </c>
      <c r="O31" s="118">
        <v>0</v>
      </c>
      <c r="P31" s="57" t="s">
        <v>34</v>
      </c>
    </row>
    <row r="32" spans="1:17" ht="12.75" customHeight="1">
      <c r="A32" s="2"/>
      <c r="B32" s="49"/>
      <c r="C32" s="49"/>
      <c r="D32" s="49"/>
      <c r="E32" s="49"/>
      <c r="F32" s="49"/>
      <c r="G32" s="49"/>
      <c r="H32" s="49"/>
      <c r="I32" s="49"/>
      <c r="J32" s="49"/>
      <c r="K32" s="49"/>
      <c r="L32" s="49"/>
      <c r="M32" s="49"/>
      <c r="N32" s="50"/>
      <c r="O32" s="43"/>
      <c r="P32" s="55"/>
    </row>
    <row r="33" spans="1:17" ht="12.75" customHeight="1">
      <c r="A33" s="5"/>
      <c r="B33" s="86"/>
      <c r="C33" s="86"/>
      <c r="D33" s="86"/>
      <c r="E33" s="86"/>
      <c r="F33" s="86"/>
      <c r="G33" s="86"/>
      <c r="H33" s="86"/>
      <c r="I33" s="86"/>
      <c r="J33" s="86"/>
      <c r="K33" s="86"/>
      <c r="L33" s="86"/>
      <c r="M33" s="86"/>
      <c r="N33" s="87"/>
      <c r="O33" s="47"/>
      <c r="P33" s="89"/>
    </row>
    <row r="34" spans="1:17" ht="25.5">
      <c r="A34" s="51"/>
      <c r="B34" s="34">
        <v>39264</v>
      </c>
      <c r="C34" s="34">
        <v>39295</v>
      </c>
      <c r="D34" s="34">
        <v>39326</v>
      </c>
      <c r="E34" s="34">
        <v>39356</v>
      </c>
      <c r="F34" s="34">
        <v>39387</v>
      </c>
      <c r="G34" s="34">
        <v>39417</v>
      </c>
      <c r="H34" s="34">
        <v>39448</v>
      </c>
      <c r="I34" s="34">
        <v>39479</v>
      </c>
      <c r="J34" s="34">
        <v>39508</v>
      </c>
      <c r="K34" s="34">
        <v>39539</v>
      </c>
      <c r="L34" s="34">
        <v>39569</v>
      </c>
      <c r="M34" s="34">
        <v>39600</v>
      </c>
      <c r="N34" s="35" t="s">
        <v>258</v>
      </c>
      <c r="O34" s="56" t="s">
        <v>197</v>
      </c>
      <c r="P34" s="56" t="s">
        <v>154</v>
      </c>
      <c r="Q34" s="2"/>
    </row>
    <row r="35" spans="1:17" ht="12.75" customHeight="1">
      <c r="A35" s="36" t="s">
        <v>261</v>
      </c>
      <c r="B35" s="34"/>
      <c r="C35" s="34"/>
      <c r="D35" s="34"/>
      <c r="E35" s="34"/>
      <c r="F35" s="34"/>
      <c r="G35" s="34"/>
      <c r="H35" s="34"/>
      <c r="I35" s="34"/>
      <c r="J35" s="34"/>
      <c r="K35" s="34"/>
      <c r="L35" s="34"/>
      <c r="M35" s="34"/>
      <c r="N35" s="56"/>
      <c r="O35" s="56"/>
      <c r="P35" s="56"/>
    </row>
    <row r="36" spans="1:17" ht="12.75" customHeight="1">
      <c r="A36" s="39" t="s">
        <v>328</v>
      </c>
      <c r="B36" s="40">
        <v>921</v>
      </c>
      <c r="C36" s="40">
        <v>566</v>
      </c>
      <c r="D36" s="40">
        <v>830</v>
      </c>
      <c r="E36" s="40">
        <v>2610</v>
      </c>
      <c r="F36" s="40">
        <v>2250</v>
      </c>
      <c r="G36" s="40">
        <v>1657</v>
      </c>
      <c r="H36" s="40">
        <v>767</v>
      </c>
      <c r="I36" s="40">
        <v>1543</v>
      </c>
      <c r="J36" s="40">
        <v>2003</v>
      </c>
      <c r="K36" s="40">
        <v>2026</v>
      </c>
      <c r="L36" s="40">
        <v>1075</v>
      </c>
      <c r="M36" s="40">
        <v>691</v>
      </c>
      <c r="N36" s="41">
        <f>SUM(B36:M36)</f>
        <v>16939</v>
      </c>
      <c r="O36" s="118">
        <v>1855</v>
      </c>
      <c r="P36" s="45">
        <f>O36/N36</f>
        <v>0.10951059684751166</v>
      </c>
    </row>
    <row r="37" spans="1:17" ht="12.75" customHeight="1">
      <c r="A37" s="2"/>
      <c r="B37" s="49"/>
      <c r="C37" s="49"/>
      <c r="D37" s="49"/>
      <c r="E37" s="49"/>
      <c r="F37" s="49"/>
      <c r="G37" s="49"/>
      <c r="H37" s="49"/>
      <c r="I37" s="49"/>
      <c r="J37" s="49"/>
      <c r="K37" s="49"/>
      <c r="L37" s="49"/>
      <c r="M37" s="49"/>
      <c r="N37" s="50"/>
      <c r="O37" s="43"/>
      <c r="P37" s="43"/>
    </row>
    <row r="38" spans="1:17" ht="12.75" customHeight="1">
      <c r="A38" s="5"/>
      <c r="B38" s="86"/>
      <c r="C38" s="86"/>
      <c r="D38" s="86"/>
      <c r="E38" s="86"/>
      <c r="F38" s="86"/>
      <c r="G38" s="86"/>
      <c r="H38" s="86"/>
      <c r="I38" s="86"/>
      <c r="J38" s="86"/>
      <c r="K38" s="86"/>
      <c r="L38" s="86"/>
      <c r="M38" s="86"/>
      <c r="N38" s="87"/>
      <c r="O38" s="47"/>
      <c r="P38" s="47"/>
    </row>
    <row r="39" spans="1:17" ht="25.5">
      <c r="A39" s="51"/>
      <c r="B39" s="34">
        <v>39264</v>
      </c>
      <c r="C39" s="34">
        <v>39295</v>
      </c>
      <c r="D39" s="34">
        <v>39326</v>
      </c>
      <c r="E39" s="34">
        <v>39356</v>
      </c>
      <c r="F39" s="34">
        <v>39387</v>
      </c>
      <c r="G39" s="34">
        <v>39417</v>
      </c>
      <c r="H39" s="34">
        <v>39448</v>
      </c>
      <c r="I39" s="34">
        <v>39479</v>
      </c>
      <c r="J39" s="34">
        <v>39508</v>
      </c>
      <c r="K39" s="34">
        <v>39539</v>
      </c>
      <c r="L39" s="34">
        <v>39569</v>
      </c>
      <c r="M39" s="34">
        <v>39600</v>
      </c>
      <c r="N39" s="35" t="s">
        <v>258</v>
      </c>
      <c r="O39" s="56" t="s">
        <v>197</v>
      </c>
      <c r="P39" s="56" t="s">
        <v>154</v>
      </c>
      <c r="Q39" s="2"/>
    </row>
    <row r="40" spans="1:17" ht="12.75" customHeight="1">
      <c r="A40" s="36" t="s">
        <v>179</v>
      </c>
      <c r="B40" s="34"/>
      <c r="C40" s="34"/>
      <c r="D40" s="34"/>
      <c r="E40" s="34"/>
      <c r="F40" s="34"/>
      <c r="G40" s="34"/>
      <c r="H40" s="34"/>
      <c r="I40" s="34"/>
      <c r="J40" s="34"/>
      <c r="K40" s="34"/>
      <c r="L40" s="34"/>
      <c r="M40" s="34"/>
      <c r="N40" s="56"/>
      <c r="O40" s="56"/>
      <c r="P40" s="56"/>
    </row>
    <row r="41" spans="1:17" ht="12.75" customHeight="1">
      <c r="A41" s="39" t="s">
        <v>328</v>
      </c>
      <c r="B41" s="40">
        <v>768</v>
      </c>
      <c r="C41" s="40">
        <v>490</v>
      </c>
      <c r="D41" s="40">
        <v>773</v>
      </c>
      <c r="E41" s="40">
        <v>2385</v>
      </c>
      <c r="F41" s="40">
        <v>2037</v>
      </c>
      <c r="G41" s="40">
        <v>1503</v>
      </c>
      <c r="H41" s="40">
        <v>654</v>
      </c>
      <c r="I41" s="40">
        <v>1329</v>
      </c>
      <c r="J41" s="40">
        <v>1868</v>
      </c>
      <c r="K41" s="40">
        <v>1787</v>
      </c>
      <c r="L41" s="40">
        <v>989</v>
      </c>
      <c r="M41" s="40">
        <v>598</v>
      </c>
      <c r="N41" s="41">
        <f>SUM(B41:M41)</f>
        <v>15181</v>
      </c>
      <c r="O41" s="118">
        <v>0</v>
      </c>
      <c r="P41" s="57" t="s">
        <v>34</v>
      </c>
    </row>
    <row r="42" spans="1:17" ht="12.75" customHeight="1">
      <c r="A42" s="2"/>
      <c r="B42" s="49"/>
      <c r="C42" s="49"/>
      <c r="D42" s="49"/>
      <c r="E42" s="49"/>
      <c r="F42" s="49"/>
      <c r="G42" s="49"/>
      <c r="H42" s="49"/>
      <c r="I42" s="49"/>
      <c r="J42" s="49"/>
      <c r="K42" s="49"/>
      <c r="L42" s="49"/>
      <c r="M42" s="49"/>
      <c r="N42" s="50"/>
      <c r="O42" s="43"/>
      <c r="P42" s="55"/>
    </row>
    <row r="43" spans="1:17" ht="12.75" customHeight="1">
      <c r="A43" s="5"/>
      <c r="B43" s="86"/>
      <c r="C43" s="86"/>
      <c r="D43" s="86"/>
      <c r="E43" s="86"/>
      <c r="F43" s="86"/>
      <c r="G43" s="86"/>
      <c r="H43" s="86"/>
      <c r="I43" s="86"/>
      <c r="J43" s="86"/>
      <c r="K43" s="86"/>
      <c r="L43" s="86"/>
      <c r="M43" s="86"/>
      <c r="N43" s="87"/>
      <c r="O43" s="47"/>
      <c r="P43" s="89"/>
    </row>
    <row r="44" spans="1:17" ht="25.5">
      <c r="A44" s="51"/>
      <c r="B44" s="34">
        <v>39264</v>
      </c>
      <c r="C44" s="34">
        <v>39295</v>
      </c>
      <c r="D44" s="34">
        <v>39326</v>
      </c>
      <c r="E44" s="34">
        <v>39356</v>
      </c>
      <c r="F44" s="34">
        <v>39387</v>
      </c>
      <c r="G44" s="34">
        <v>39417</v>
      </c>
      <c r="H44" s="34">
        <v>39448</v>
      </c>
      <c r="I44" s="34">
        <v>39479</v>
      </c>
      <c r="J44" s="34">
        <v>39508</v>
      </c>
      <c r="K44" s="34">
        <v>39539</v>
      </c>
      <c r="L44" s="34">
        <v>39569</v>
      </c>
      <c r="M44" s="34">
        <v>39600</v>
      </c>
      <c r="N44" s="35" t="s">
        <v>258</v>
      </c>
      <c r="O44" s="56" t="s">
        <v>197</v>
      </c>
      <c r="P44" s="56" t="s">
        <v>154</v>
      </c>
      <c r="Q44" s="2"/>
    </row>
    <row r="45" spans="1:17" ht="25.5">
      <c r="A45" s="96" t="s">
        <v>44</v>
      </c>
      <c r="B45" s="34"/>
      <c r="C45" s="34"/>
      <c r="D45" s="34"/>
      <c r="E45" s="34"/>
      <c r="F45" s="34"/>
      <c r="G45" s="34"/>
      <c r="H45" s="34"/>
      <c r="I45" s="34"/>
      <c r="J45" s="34"/>
      <c r="K45" s="34"/>
      <c r="L45" s="34"/>
      <c r="M45" s="34"/>
      <c r="N45" s="56"/>
      <c r="O45" s="56"/>
      <c r="P45" s="56"/>
      <c r="Q45" s="2"/>
    </row>
    <row r="46" spans="1:17" ht="12.75" customHeight="1">
      <c r="A46" s="39" t="s">
        <v>328</v>
      </c>
      <c r="B46" s="40">
        <v>28</v>
      </c>
      <c r="C46" s="40">
        <v>25</v>
      </c>
      <c r="D46" s="40">
        <v>51</v>
      </c>
      <c r="E46" s="40">
        <v>229</v>
      </c>
      <c r="F46" s="40">
        <v>147</v>
      </c>
      <c r="G46" s="40">
        <v>38</v>
      </c>
      <c r="H46" s="40">
        <v>12</v>
      </c>
      <c r="I46" s="40">
        <v>160</v>
      </c>
      <c r="J46" s="40">
        <v>168</v>
      </c>
      <c r="K46" s="40">
        <v>313</v>
      </c>
      <c r="L46" s="40">
        <v>114</v>
      </c>
      <c r="M46" s="40">
        <v>45</v>
      </c>
      <c r="N46" s="41">
        <f>SUM(B46:M46)</f>
        <v>1330</v>
      </c>
      <c r="O46" s="118">
        <v>0</v>
      </c>
      <c r="P46" s="57" t="s">
        <v>34</v>
      </c>
    </row>
    <row r="47" spans="1:17" ht="12.75" customHeight="1">
      <c r="A47" s="2"/>
      <c r="B47" s="100"/>
      <c r="C47" s="100"/>
      <c r="D47" s="100"/>
      <c r="E47" s="100"/>
      <c r="F47" s="100"/>
      <c r="G47" s="100"/>
      <c r="H47" s="100"/>
      <c r="I47" s="100"/>
      <c r="J47" s="100"/>
      <c r="K47" s="100"/>
      <c r="L47" s="100"/>
      <c r="M47" s="100"/>
      <c r="N47" s="100"/>
      <c r="O47" s="43"/>
      <c r="P47" s="43"/>
    </row>
    <row r="48" spans="1:17" ht="12.75" customHeight="1">
      <c r="A48" s="2"/>
      <c r="B48" s="103"/>
      <c r="C48" s="103"/>
      <c r="D48" s="103"/>
      <c r="E48" s="103"/>
      <c r="F48" s="103"/>
      <c r="G48" s="103"/>
      <c r="H48" s="103"/>
      <c r="I48" s="103"/>
      <c r="J48" s="103"/>
      <c r="K48" s="103"/>
      <c r="L48" s="103"/>
      <c r="M48" s="103"/>
      <c r="N48" s="103"/>
      <c r="O48" s="43"/>
      <c r="P48" s="43"/>
    </row>
    <row r="49" spans="1:17" ht="12.75" customHeight="1">
      <c r="A49" s="5"/>
      <c r="B49" s="104"/>
      <c r="C49" s="104"/>
      <c r="D49" s="104"/>
      <c r="E49" s="104"/>
      <c r="F49" s="104"/>
      <c r="G49" s="104"/>
      <c r="H49" s="104"/>
      <c r="I49" s="104"/>
      <c r="J49" s="104"/>
      <c r="K49" s="104"/>
      <c r="L49" s="104"/>
      <c r="M49" s="104"/>
      <c r="N49" s="104"/>
      <c r="O49" s="47"/>
      <c r="P49" s="47"/>
    </row>
    <row r="50" spans="1:17" ht="25.5">
      <c r="A50" s="51"/>
      <c r="B50" s="34">
        <v>39264</v>
      </c>
      <c r="C50" s="34">
        <v>39295</v>
      </c>
      <c r="D50" s="34">
        <v>39326</v>
      </c>
      <c r="E50" s="34">
        <v>39356</v>
      </c>
      <c r="F50" s="34">
        <v>39387</v>
      </c>
      <c r="G50" s="34">
        <v>39417</v>
      </c>
      <c r="H50" s="34">
        <v>39448</v>
      </c>
      <c r="I50" s="34">
        <v>39479</v>
      </c>
      <c r="J50" s="34">
        <v>39508</v>
      </c>
      <c r="K50" s="34">
        <v>39539</v>
      </c>
      <c r="L50" s="34">
        <v>39569</v>
      </c>
      <c r="M50" s="34">
        <v>39600</v>
      </c>
      <c r="N50" s="35" t="s">
        <v>258</v>
      </c>
      <c r="O50" s="56" t="s">
        <v>197</v>
      </c>
      <c r="P50" s="56" t="s">
        <v>284</v>
      </c>
      <c r="Q50" s="2"/>
    </row>
    <row r="51" spans="1:17" ht="12.75" customHeight="1">
      <c r="A51" s="36" t="s">
        <v>307</v>
      </c>
      <c r="B51" s="34"/>
      <c r="C51" s="34"/>
      <c r="D51" s="34"/>
      <c r="E51" s="34"/>
      <c r="F51" s="34"/>
      <c r="G51" s="34"/>
      <c r="H51" s="34"/>
      <c r="I51" s="34"/>
      <c r="J51" s="34"/>
      <c r="K51" s="34"/>
      <c r="L51" s="34"/>
      <c r="M51" s="34"/>
      <c r="N51" s="56"/>
      <c r="O51" s="56"/>
      <c r="P51" s="56"/>
    </row>
    <row r="52" spans="1:17" ht="12.75" customHeight="1">
      <c r="A52" s="39" t="s">
        <v>89</v>
      </c>
      <c r="B52" s="40">
        <v>1028</v>
      </c>
      <c r="C52" s="40">
        <v>488</v>
      </c>
      <c r="D52" s="40">
        <v>976</v>
      </c>
      <c r="E52" s="40">
        <v>2861</v>
      </c>
      <c r="F52" s="40">
        <v>2708</v>
      </c>
      <c r="G52" s="40">
        <v>1434</v>
      </c>
      <c r="H52" s="40">
        <v>766</v>
      </c>
      <c r="I52" s="40">
        <v>1842</v>
      </c>
      <c r="J52" s="40">
        <v>2283</v>
      </c>
      <c r="K52" s="40">
        <v>2575</v>
      </c>
      <c r="L52" s="40">
        <v>1002</v>
      </c>
      <c r="M52" s="40">
        <v>860</v>
      </c>
      <c r="N52" s="41">
        <f>SUM(B52:M52)</f>
        <v>18823</v>
      </c>
      <c r="O52" s="119"/>
      <c r="P52" s="45"/>
    </row>
    <row r="53" spans="1:17" ht="12.75" customHeight="1">
      <c r="A53" s="39" t="s">
        <v>328</v>
      </c>
      <c r="B53" s="40">
        <v>3573</v>
      </c>
      <c r="C53" s="40">
        <v>1809</v>
      </c>
      <c r="D53" s="40">
        <v>2705</v>
      </c>
      <c r="E53" s="40">
        <v>9862</v>
      </c>
      <c r="F53" s="40">
        <v>8306</v>
      </c>
      <c r="G53" s="40">
        <v>5568</v>
      </c>
      <c r="H53" s="40">
        <v>3081</v>
      </c>
      <c r="I53" s="40">
        <v>5488</v>
      </c>
      <c r="J53" s="40">
        <v>7005</v>
      </c>
      <c r="K53" s="40">
        <v>7410</v>
      </c>
      <c r="L53" s="40">
        <v>3345</v>
      </c>
      <c r="M53" s="40">
        <v>2635</v>
      </c>
      <c r="N53" s="41">
        <f>SUM(B53:M53)</f>
        <v>60787</v>
      </c>
      <c r="O53" s="42">
        <f>SUM(O11:O46)</f>
        <v>28870</v>
      </c>
      <c r="P53" s="43">
        <f>O53/N53</f>
        <v>0.4749370753615082</v>
      </c>
    </row>
    <row r="54" spans="1:17" ht="12.75" customHeight="1">
      <c r="A54" s="39" t="s">
        <v>70</v>
      </c>
      <c r="B54" s="40">
        <v>2522</v>
      </c>
      <c r="C54" s="40">
        <v>1136</v>
      </c>
      <c r="D54" s="40">
        <v>2160</v>
      </c>
      <c r="E54" s="40">
        <v>6150</v>
      </c>
      <c r="F54" s="40">
        <v>5875</v>
      </c>
      <c r="G54" s="40">
        <v>3274</v>
      </c>
      <c r="H54" s="40">
        <v>2065</v>
      </c>
      <c r="I54" s="40">
        <v>3752</v>
      </c>
      <c r="J54" s="40">
        <v>3894</v>
      </c>
      <c r="K54" s="40">
        <v>4397</v>
      </c>
      <c r="L54" s="40">
        <v>1892</v>
      </c>
      <c r="M54" s="40">
        <v>2637</v>
      </c>
      <c r="N54" s="41">
        <f>SUM(B54:M54)</f>
        <v>39754</v>
      </c>
      <c r="O54" s="54">
        <f>O53</f>
        <v>28870</v>
      </c>
      <c r="P54" s="43">
        <f>O54/N54</f>
        <v>0.7262162298133521</v>
      </c>
    </row>
    <row r="55" spans="1:17" ht="12.75" customHeight="1">
      <c r="A55" s="2"/>
      <c r="B55" s="38"/>
      <c r="C55" s="38"/>
      <c r="D55" s="38"/>
      <c r="E55" s="38"/>
      <c r="F55" s="38"/>
      <c r="G55" s="38"/>
      <c r="H55" s="38"/>
      <c r="I55" s="38"/>
      <c r="J55" s="38"/>
      <c r="K55" s="38"/>
      <c r="L55" s="38"/>
      <c r="M55" s="38"/>
      <c r="N55" s="38"/>
      <c r="O55" s="2"/>
      <c r="P55" s="2"/>
    </row>
    <row r="56" spans="1:17" ht="12.75" customHeight="1">
      <c r="A56" s="2"/>
      <c r="O56" s="2"/>
      <c r="P56" s="2"/>
    </row>
    <row r="57" spans="1:17" ht="12.75" customHeight="1">
      <c r="A57" s="2" t="s">
        <v>31</v>
      </c>
      <c r="B57" s="2" t="s">
        <v>310</v>
      </c>
      <c r="O57" s="2"/>
      <c r="P57" s="2"/>
    </row>
    <row r="58" spans="1:17" ht="12.75" customHeight="1">
      <c r="A58" s="2"/>
      <c r="O58" s="2"/>
      <c r="P58" s="2"/>
    </row>
  </sheetData>
  <pageMargins left="0.75" right="0.75" top="1" bottom="1" header="0.5" footer="0.5"/>
  <pageSetup paperSize="9" orientation="portrait" horizontalDpi="300" verticalDpi="300"/>
  <headerFooter alignWithMargins="0"/>
</worksheet>
</file>

<file path=xl/worksheets/sheet28.xml><?xml version="1.0" encoding="utf-8"?>
<worksheet xmlns="http://schemas.openxmlformats.org/spreadsheetml/2006/main" xmlns:r="http://schemas.openxmlformats.org/officeDocument/2006/relationships">
  <dimension ref="A1:Q16"/>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9.140625" customWidth="1"/>
    <col min="2" max="14" width="8.5703125" customWidth="1"/>
    <col min="15" max="15" width="15.140625" customWidth="1"/>
    <col min="16" max="16" width="8.5703125" customWidth="1"/>
    <col min="17" max="17" width="9.140625" customWidth="1"/>
  </cols>
  <sheetData>
    <row r="1" spans="1:17" ht="20.25">
      <c r="A1" s="1" t="s">
        <v>106</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5"/>
      <c r="P3" s="32"/>
    </row>
    <row r="4" spans="1:17"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154</v>
      </c>
      <c r="Q4" s="2"/>
    </row>
    <row r="5" spans="1:17" ht="12.75" customHeight="1">
      <c r="A5" s="120" t="s">
        <v>206</v>
      </c>
      <c r="B5" s="121">
        <v>62</v>
      </c>
      <c r="C5" s="121">
        <v>85</v>
      </c>
      <c r="D5" s="121">
        <v>182</v>
      </c>
      <c r="E5" s="121">
        <v>200</v>
      </c>
      <c r="F5" s="121">
        <v>103</v>
      </c>
      <c r="G5" s="121">
        <v>68</v>
      </c>
      <c r="H5" s="121">
        <v>127</v>
      </c>
      <c r="I5" s="121">
        <v>142</v>
      </c>
      <c r="J5" s="121">
        <v>126</v>
      </c>
      <c r="K5" s="121">
        <v>81</v>
      </c>
      <c r="L5" s="121">
        <v>86</v>
      </c>
      <c r="M5" s="121">
        <v>75</v>
      </c>
      <c r="N5" s="41">
        <f t="shared" ref="N5:N12" si="0">SUM(B5:M5)</f>
        <v>1337</v>
      </c>
      <c r="O5" s="118"/>
      <c r="P5" s="45"/>
    </row>
    <row r="6" spans="1:17" ht="12.75" customHeight="1">
      <c r="A6" s="39" t="s">
        <v>328</v>
      </c>
      <c r="B6" s="121">
        <v>96</v>
      </c>
      <c r="C6" s="121">
        <v>199</v>
      </c>
      <c r="D6" s="121">
        <v>461</v>
      </c>
      <c r="E6" s="121">
        <v>410</v>
      </c>
      <c r="F6" s="121">
        <v>127</v>
      </c>
      <c r="G6" s="121">
        <v>83</v>
      </c>
      <c r="H6" s="121">
        <v>176</v>
      </c>
      <c r="I6" s="121">
        <v>178</v>
      </c>
      <c r="J6" s="121">
        <v>404</v>
      </c>
      <c r="K6" s="121">
        <v>306</v>
      </c>
      <c r="L6" s="121">
        <v>898</v>
      </c>
      <c r="M6" s="121">
        <v>583</v>
      </c>
      <c r="N6" s="41">
        <f t="shared" si="0"/>
        <v>3921</v>
      </c>
      <c r="O6" s="42">
        <v>11025</v>
      </c>
      <c r="P6" s="43">
        <f>O6/N6</f>
        <v>2.8117827084927316</v>
      </c>
    </row>
    <row r="7" spans="1:17" ht="12.75" customHeight="1">
      <c r="A7" s="39" t="s">
        <v>126</v>
      </c>
      <c r="B7" s="122">
        <v>216</v>
      </c>
      <c r="C7" s="122">
        <v>2087</v>
      </c>
      <c r="D7" s="122">
        <v>519</v>
      </c>
      <c r="E7" s="122">
        <v>676</v>
      </c>
      <c r="F7" s="122">
        <v>204</v>
      </c>
      <c r="G7" s="122">
        <v>123</v>
      </c>
      <c r="H7" s="122">
        <v>222</v>
      </c>
      <c r="I7" s="122">
        <v>200</v>
      </c>
      <c r="J7" s="122">
        <v>502</v>
      </c>
      <c r="K7" s="122">
        <v>404</v>
      </c>
      <c r="L7" s="122">
        <v>1002</v>
      </c>
      <c r="M7" s="122">
        <v>865</v>
      </c>
      <c r="N7" s="41">
        <f t="shared" si="0"/>
        <v>7020</v>
      </c>
      <c r="O7" s="42"/>
      <c r="P7" s="43"/>
    </row>
    <row r="8" spans="1:17" ht="12.75" customHeight="1">
      <c r="A8" s="39" t="s">
        <v>331</v>
      </c>
      <c r="B8" s="122">
        <v>233</v>
      </c>
      <c r="C8" s="122">
        <v>2183</v>
      </c>
      <c r="D8" s="122">
        <v>797</v>
      </c>
      <c r="E8" s="122">
        <v>990</v>
      </c>
      <c r="F8" s="122">
        <v>274</v>
      </c>
      <c r="G8" s="122">
        <v>127</v>
      </c>
      <c r="H8" s="122">
        <v>223</v>
      </c>
      <c r="I8" s="122">
        <v>266</v>
      </c>
      <c r="J8" s="122">
        <v>506</v>
      </c>
      <c r="K8" s="122">
        <v>812</v>
      </c>
      <c r="L8" s="122">
        <v>1002</v>
      </c>
      <c r="M8" s="122">
        <v>915</v>
      </c>
      <c r="N8" s="41">
        <f t="shared" si="0"/>
        <v>8328</v>
      </c>
      <c r="O8" s="42"/>
      <c r="P8" s="43"/>
    </row>
    <row r="9" spans="1:17" ht="12.75" customHeight="1">
      <c r="A9" s="39" t="s">
        <v>234</v>
      </c>
      <c r="B9" s="122">
        <v>11</v>
      </c>
      <c r="C9" s="122">
        <v>108</v>
      </c>
      <c r="D9" s="122">
        <v>53</v>
      </c>
      <c r="E9" s="122">
        <v>31</v>
      </c>
      <c r="F9" s="122">
        <v>11</v>
      </c>
      <c r="G9" s="122">
        <v>17</v>
      </c>
      <c r="H9" s="122">
        <v>3</v>
      </c>
      <c r="I9" s="122">
        <v>45</v>
      </c>
      <c r="J9" s="122">
        <v>12</v>
      </c>
      <c r="K9" s="122">
        <v>90</v>
      </c>
      <c r="L9" s="122">
        <v>110</v>
      </c>
      <c r="M9" s="122">
        <v>11</v>
      </c>
      <c r="N9" s="41">
        <f t="shared" si="0"/>
        <v>502</v>
      </c>
      <c r="O9" s="42"/>
      <c r="P9" s="43"/>
    </row>
    <row r="10" spans="1:17" ht="12.75" customHeight="1">
      <c r="A10" s="39" t="s">
        <v>177</v>
      </c>
      <c r="B10" s="122">
        <v>275</v>
      </c>
      <c r="C10" s="122">
        <v>2605</v>
      </c>
      <c r="D10" s="122">
        <v>496</v>
      </c>
      <c r="E10" s="122">
        <v>494</v>
      </c>
      <c r="F10" s="122">
        <v>267</v>
      </c>
      <c r="G10" s="122">
        <v>341</v>
      </c>
      <c r="H10" s="122">
        <v>75</v>
      </c>
      <c r="I10" s="122">
        <v>1089</v>
      </c>
      <c r="J10" s="122">
        <v>300</v>
      </c>
      <c r="K10" s="122">
        <v>1961</v>
      </c>
      <c r="L10" s="122">
        <v>2650</v>
      </c>
      <c r="M10" s="122">
        <v>234</v>
      </c>
      <c r="N10" s="41">
        <f t="shared" si="0"/>
        <v>10787</v>
      </c>
      <c r="O10" s="42"/>
      <c r="P10" s="43"/>
    </row>
    <row r="11" spans="1:17" ht="12.75" customHeight="1">
      <c r="A11" s="39" t="s">
        <v>176</v>
      </c>
      <c r="B11" s="59">
        <v>23</v>
      </c>
      <c r="C11" s="59">
        <v>6</v>
      </c>
      <c r="D11" s="59">
        <v>29</v>
      </c>
      <c r="E11" s="59">
        <v>17</v>
      </c>
      <c r="F11" s="59">
        <v>13</v>
      </c>
      <c r="G11" s="59">
        <v>27</v>
      </c>
      <c r="H11" s="59">
        <v>10</v>
      </c>
      <c r="I11" s="59">
        <v>38</v>
      </c>
      <c r="J11" s="59">
        <v>23</v>
      </c>
      <c r="K11" s="59">
        <v>8</v>
      </c>
      <c r="L11" s="59">
        <v>5</v>
      </c>
      <c r="M11" s="59">
        <v>12</v>
      </c>
      <c r="N11" s="41">
        <f t="shared" si="0"/>
        <v>211</v>
      </c>
      <c r="O11" s="42"/>
      <c r="P11" s="43"/>
    </row>
    <row r="12" spans="1:17" ht="12.75" customHeight="1">
      <c r="A12" s="39" t="s">
        <v>254</v>
      </c>
      <c r="B12" s="40">
        <v>73</v>
      </c>
      <c r="C12" s="40">
        <v>193</v>
      </c>
      <c r="D12" s="40">
        <v>432</v>
      </c>
      <c r="E12" s="40">
        <v>393</v>
      </c>
      <c r="F12" s="40">
        <v>114</v>
      </c>
      <c r="G12" s="40">
        <v>56</v>
      </c>
      <c r="H12" s="40">
        <v>166</v>
      </c>
      <c r="I12" s="40">
        <v>140</v>
      </c>
      <c r="J12" s="40">
        <v>381</v>
      </c>
      <c r="K12" s="40">
        <v>298</v>
      </c>
      <c r="L12" s="40">
        <v>893</v>
      </c>
      <c r="M12" s="40">
        <v>571</v>
      </c>
      <c r="N12" s="41">
        <f t="shared" si="0"/>
        <v>3710</v>
      </c>
      <c r="O12" s="42"/>
      <c r="P12" s="43"/>
    </row>
    <row r="13" spans="1:17" ht="12.75" customHeight="1">
      <c r="A13" s="2"/>
      <c r="B13" s="38"/>
      <c r="C13" s="38"/>
      <c r="D13" s="38"/>
      <c r="E13" s="38"/>
      <c r="F13" s="38"/>
      <c r="G13" s="38"/>
      <c r="H13" s="38"/>
      <c r="I13" s="38"/>
      <c r="J13" s="38"/>
      <c r="K13" s="38"/>
      <c r="L13" s="38"/>
      <c r="M13" s="38"/>
      <c r="N13" s="38"/>
      <c r="O13" s="2"/>
    </row>
    <row r="14" spans="1:17" ht="12.75" customHeight="1">
      <c r="A14" s="123"/>
      <c r="O14" s="2"/>
    </row>
    <row r="15" spans="1:17" ht="12.75" customHeight="1">
      <c r="A15" s="2" t="s">
        <v>31</v>
      </c>
      <c r="B15" s="2" t="s">
        <v>247</v>
      </c>
      <c r="O15" s="2"/>
    </row>
    <row r="16" spans="1:17" ht="12.75" customHeight="1">
      <c r="A16" s="2"/>
      <c r="O16" s="2"/>
    </row>
  </sheetData>
  <pageMargins left="0.75" right="0.75" top="1" bottom="1" header="0.5" footer="0.5"/>
  <pageSetup paperSize="9" orientation="portrait" horizontalDpi="300" verticalDpi="300"/>
  <headerFooter alignWithMargins="0"/>
</worksheet>
</file>

<file path=xl/worksheets/sheet29.xml><?xml version="1.0" encoding="utf-8"?>
<worksheet xmlns="http://schemas.openxmlformats.org/spreadsheetml/2006/main" xmlns:r="http://schemas.openxmlformats.org/officeDocument/2006/relationships">
  <dimension ref="A1:R16"/>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36.85546875" customWidth="1"/>
    <col min="2" max="14" width="8.5703125" customWidth="1"/>
    <col min="15" max="15" width="10.85546875" customWidth="1"/>
    <col min="16" max="16" width="8.5703125" customWidth="1"/>
    <col min="17" max="17" width="18.42578125" customWidth="1"/>
    <col min="18" max="18" width="9.140625" customWidth="1"/>
  </cols>
  <sheetData>
    <row r="1" spans="1:18" ht="20.25">
      <c r="A1" s="1" t="s">
        <v>252</v>
      </c>
      <c r="B1" s="2"/>
      <c r="C1" s="2"/>
      <c r="D1" s="2"/>
      <c r="E1" s="2"/>
      <c r="F1" s="2"/>
      <c r="G1" s="2"/>
      <c r="H1" s="2"/>
      <c r="I1" s="2"/>
      <c r="J1" s="2"/>
      <c r="K1" s="2"/>
      <c r="L1" s="2"/>
      <c r="M1" s="2"/>
      <c r="N1" s="2"/>
      <c r="O1" s="2"/>
      <c r="P1" s="2"/>
      <c r="Q1" s="2"/>
      <c r="R1" s="2"/>
    </row>
    <row r="2" spans="1:18" ht="18">
      <c r="A2" s="31" t="s">
        <v>130</v>
      </c>
      <c r="B2" s="2"/>
      <c r="C2" s="2"/>
      <c r="D2" s="2"/>
      <c r="E2" s="2"/>
      <c r="F2" s="2"/>
      <c r="G2" s="2"/>
      <c r="H2" s="2"/>
      <c r="I2" s="2"/>
      <c r="J2" s="2"/>
      <c r="K2" s="2"/>
      <c r="L2" s="2"/>
      <c r="M2" s="2"/>
      <c r="N2" s="2"/>
      <c r="O2" s="2"/>
      <c r="P2" s="2"/>
      <c r="Q2" s="2"/>
      <c r="R2" s="2"/>
    </row>
    <row r="3" spans="1:18" ht="12.75" customHeight="1">
      <c r="A3" s="5"/>
      <c r="B3" s="32"/>
      <c r="C3" s="32"/>
      <c r="D3" s="32"/>
      <c r="E3" s="32"/>
      <c r="F3" s="32"/>
      <c r="G3" s="32"/>
      <c r="H3" s="32"/>
      <c r="I3" s="32"/>
      <c r="J3" s="32"/>
      <c r="K3" s="32"/>
      <c r="L3" s="32"/>
      <c r="M3" s="32"/>
      <c r="N3" s="32"/>
      <c r="O3" s="5"/>
      <c r="P3" s="32"/>
      <c r="Q3" s="2"/>
    </row>
    <row r="4" spans="1:18" ht="25.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284</v>
      </c>
      <c r="Q4" s="2"/>
      <c r="R4" s="2"/>
    </row>
    <row r="5" spans="1:18" ht="12.75" customHeight="1">
      <c r="A5" s="120" t="s">
        <v>135</v>
      </c>
      <c r="B5" s="124">
        <v>8</v>
      </c>
      <c r="C5" s="124">
        <v>19</v>
      </c>
      <c r="D5" s="124">
        <v>60</v>
      </c>
      <c r="E5" s="125">
        <v>75</v>
      </c>
      <c r="F5" s="125">
        <v>23</v>
      </c>
      <c r="G5" s="125">
        <v>11</v>
      </c>
      <c r="H5" s="125">
        <v>10</v>
      </c>
      <c r="I5" s="125">
        <v>78</v>
      </c>
      <c r="J5" s="125">
        <v>16</v>
      </c>
      <c r="K5" s="125">
        <v>21</v>
      </c>
      <c r="L5" s="125">
        <v>8</v>
      </c>
      <c r="M5" s="125">
        <v>6</v>
      </c>
      <c r="N5" s="41">
        <f t="shared" ref="N5:N11" si="0">SUM(B5:M5)</f>
        <v>335</v>
      </c>
      <c r="O5" s="126">
        <v>12485</v>
      </c>
      <c r="P5" s="22">
        <f t="shared" ref="P5:P11" si="1">O5/N5</f>
        <v>37.268656716417908</v>
      </c>
      <c r="Q5" s="9"/>
    </row>
    <row r="6" spans="1:18" ht="12.75" customHeight="1">
      <c r="A6" s="39" t="s">
        <v>52</v>
      </c>
      <c r="B6" s="124">
        <v>16</v>
      </c>
      <c r="C6" s="124">
        <v>17</v>
      </c>
      <c r="D6" s="124">
        <v>34</v>
      </c>
      <c r="E6" s="59">
        <v>57</v>
      </c>
      <c r="F6" s="59">
        <v>89</v>
      </c>
      <c r="G6" s="59">
        <v>74</v>
      </c>
      <c r="H6" s="59">
        <v>34</v>
      </c>
      <c r="I6" s="59">
        <v>58</v>
      </c>
      <c r="J6" s="59">
        <v>76</v>
      </c>
      <c r="K6" s="59">
        <v>91</v>
      </c>
      <c r="L6" s="59">
        <v>42</v>
      </c>
      <c r="M6" s="59">
        <v>23</v>
      </c>
      <c r="N6" s="41">
        <f t="shared" si="0"/>
        <v>611</v>
      </c>
      <c r="O6" s="126">
        <v>12485</v>
      </c>
      <c r="P6" s="22">
        <f t="shared" si="1"/>
        <v>20.433715220949264</v>
      </c>
      <c r="Q6" s="9"/>
    </row>
    <row r="7" spans="1:18" ht="12.75" customHeight="1">
      <c r="A7" s="127" t="s">
        <v>24</v>
      </c>
      <c r="B7" s="124">
        <v>24</v>
      </c>
      <c r="C7" s="124">
        <v>36</v>
      </c>
      <c r="D7" s="124">
        <v>94</v>
      </c>
      <c r="E7" s="40">
        <v>132</v>
      </c>
      <c r="F7" s="40">
        <v>112</v>
      </c>
      <c r="G7" s="40">
        <v>85</v>
      </c>
      <c r="H7" s="40">
        <v>44</v>
      </c>
      <c r="I7" s="40">
        <v>136</v>
      </c>
      <c r="J7" s="40">
        <v>92</v>
      </c>
      <c r="K7" s="40">
        <v>112</v>
      </c>
      <c r="L7" s="40">
        <v>50</v>
      </c>
      <c r="M7" s="40">
        <v>29</v>
      </c>
      <c r="N7" s="128">
        <f t="shared" si="0"/>
        <v>946</v>
      </c>
      <c r="O7" s="126">
        <v>12485</v>
      </c>
      <c r="P7" s="129">
        <f t="shared" si="1"/>
        <v>13.197674418604651</v>
      </c>
      <c r="Q7" s="9" t="s">
        <v>121</v>
      </c>
    </row>
    <row r="8" spans="1:18" ht="12.75" customHeight="1">
      <c r="A8" s="127" t="s">
        <v>256</v>
      </c>
      <c r="B8" s="124">
        <v>168</v>
      </c>
      <c r="C8" s="124">
        <v>93</v>
      </c>
      <c r="D8" s="124">
        <v>294</v>
      </c>
      <c r="E8" s="40">
        <v>721</v>
      </c>
      <c r="F8" s="40">
        <v>559</v>
      </c>
      <c r="G8" s="40">
        <v>340</v>
      </c>
      <c r="H8" s="40">
        <v>176</v>
      </c>
      <c r="I8" s="40">
        <v>488</v>
      </c>
      <c r="J8" s="40">
        <v>355</v>
      </c>
      <c r="K8" s="40">
        <v>640</v>
      </c>
      <c r="L8" s="40">
        <v>127</v>
      </c>
      <c r="M8" s="40">
        <v>137</v>
      </c>
      <c r="N8" s="128">
        <f t="shared" si="0"/>
        <v>4098</v>
      </c>
      <c r="O8" s="126">
        <v>12485</v>
      </c>
      <c r="P8" s="129">
        <f t="shared" si="1"/>
        <v>3.0466081015129332</v>
      </c>
      <c r="Q8" s="9" t="s">
        <v>100</v>
      </c>
    </row>
    <row r="9" spans="1:18" ht="12.75" customHeight="1">
      <c r="A9" s="39" t="s">
        <v>233</v>
      </c>
      <c r="B9" s="130">
        <v>7</v>
      </c>
      <c r="C9" s="130">
        <v>2.58</v>
      </c>
      <c r="D9" s="130">
        <v>3.13</v>
      </c>
      <c r="E9" s="131">
        <v>5.46</v>
      </c>
      <c r="F9" s="131">
        <v>4.99</v>
      </c>
      <c r="G9" s="131">
        <v>4</v>
      </c>
      <c r="H9" s="131">
        <v>4</v>
      </c>
      <c r="I9" s="131">
        <v>3.59</v>
      </c>
      <c r="J9" s="131">
        <v>3.86</v>
      </c>
      <c r="K9" s="131">
        <v>5.71</v>
      </c>
      <c r="L9" s="131">
        <v>2.54</v>
      </c>
      <c r="M9" s="131">
        <v>4.72</v>
      </c>
      <c r="N9" s="132">
        <f t="shared" si="0"/>
        <v>51.58</v>
      </c>
      <c r="O9" s="126">
        <v>12485</v>
      </c>
      <c r="P9" s="22">
        <f t="shared" si="1"/>
        <v>242.05118262892594</v>
      </c>
      <c r="Q9" s="9"/>
    </row>
    <row r="10" spans="1:18" ht="12.75" customHeight="1">
      <c r="A10" s="127" t="s">
        <v>301</v>
      </c>
      <c r="B10" s="124">
        <v>990</v>
      </c>
      <c r="C10" s="124">
        <v>296</v>
      </c>
      <c r="D10" s="124">
        <v>1903</v>
      </c>
      <c r="E10" s="59">
        <v>1701</v>
      </c>
      <c r="F10" s="59">
        <v>1408</v>
      </c>
      <c r="G10" s="59">
        <v>597</v>
      </c>
      <c r="H10" s="59">
        <v>466</v>
      </c>
      <c r="I10" s="59">
        <v>1532</v>
      </c>
      <c r="J10" s="59">
        <v>1367</v>
      </c>
      <c r="K10" s="59">
        <v>1505</v>
      </c>
      <c r="L10" s="59">
        <v>581</v>
      </c>
      <c r="M10" s="59">
        <v>788</v>
      </c>
      <c r="N10" s="128">
        <f t="shared" si="0"/>
        <v>13134</v>
      </c>
      <c r="O10" s="126">
        <v>12485</v>
      </c>
      <c r="P10" s="129">
        <f t="shared" si="1"/>
        <v>0.95058626465661644</v>
      </c>
      <c r="Q10" s="9" t="s">
        <v>111</v>
      </c>
    </row>
    <row r="11" spans="1:18" ht="12.75" customHeight="1">
      <c r="A11" s="39" t="s">
        <v>183</v>
      </c>
      <c r="B11" s="130">
        <v>41.25</v>
      </c>
      <c r="C11" s="130">
        <v>8.2200000000000006</v>
      </c>
      <c r="D11" s="130">
        <v>20.239999999999998</v>
      </c>
      <c r="E11" s="131">
        <v>12.89</v>
      </c>
      <c r="F11" s="131">
        <v>12.57</v>
      </c>
      <c r="G11" s="131">
        <v>7.02</v>
      </c>
      <c r="H11" s="131">
        <v>10.59</v>
      </c>
      <c r="I11" s="131">
        <v>11.26</v>
      </c>
      <c r="J11" s="131">
        <v>14.86</v>
      </c>
      <c r="K11" s="131">
        <v>13.44</v>
      </c>
      <c r="L11" s="131">
        <v>11.62</v>
      </c>
      <c r="M11" s="131">
        <v>27.17</v>
      </c>
      <c r="N11" s="132">
        <f t="shared" si="0"/>
        <v>191.13</v>
      </c>
      <c r="O11" s="126">
        <v>12485</v>
      </c>
      <c r="P11" s="22">
        <f t="shared" si="1"/>
        <v>65.322032124731862</v>
      </c>
      <c r="Q11" s="9"/>
    </row>
    <row r="12" spans="1:18" ht="12.75" customHeight="1">
      <c r="A12" s="2"/>
      <c r="B12" s="38"/>
      <c r="C12" s="38"/>
      <c r="D12" s="38"/>
      <c r="E12" s="38"/>
      <c r="F12" s="38"/>
      <c r="G12" s="38"/>
      <c r="H12" s="38"/>
      <c r="I12" s="38"/>
      <c r="J12" s="38"/>
      <c r="K12" s="38"/>
      <c r="L12" s="38"/>
      <c r="M12" s="38"/>
      <c r="N12" s="38"/>
      <c r="O12" s="28"/>
      <c r="P12" s="38"/>
      <c r="Q12" s="2"/>
    </row>
    <row r="13" spans="1:18" ht="12.75" customHeight="1">
      <c r="A13" s="133"/>
      <c r="B13" s="2"/>
      <c r="C13" s="2"/>
      <c r="D13" s="2"/>
      <c r="E13" s="2"/>
      <c r="F13" s="2"/>
      <c r="G13" s="2"/>
      <c r="H13" s="2"/>
      <c r="I13" s="2"/>
      <c r="J13" s="2"/>
      <c r="K13" s="2"/>
      <c r="L13" s="2"/>
      <c r="M13" s="2"/>
      <c r="N13" s="2"/>
      <c r="O13" s="2"/>
      <c r="P13" s="2"/>
      <c r="Q13" s="2"/>
      <c r="R13" s="2"/>
    </row>
    <row r="14" spans="1:18" ht="12.75" customHeight="1">
      <c r="A14" s="2"/>
      <c r="O14" s="2"/>
      <c r="Q14" s="2"/>
    </row>
    <row r="15" spans="1:18" ht="12.75" customHeight="1">
      <c r="A15" s="2" t="s">
        <v>31</v>
      </c>
      <c r="B15" s="2" t="s">
        <v>247</v>
      </c>
      <c r="O15" s="2"/>
      <c r="Q15" s="2"/>
    </row>
    <row r="16" spans="1:18" ht="12.75" customHeight="1">
      <c r="A16" s="2"/>
      <c r="O16" s="2"/>
      <c r="Q16" s="2"/>
    </row>
  </sheetData>
  <pageMargins left="0.75" right="0.75" top="1" bottom="1" header="0.5" footer="0.5"/>
  <pageSetup paperSize="9" orientation="portrait" horizontalDpi="300" verticalDpi="300"/>
  <headerFooter alignWithMargins="0"/>
</worksheet>
</file>

<file path=xl/worksheets/sheet30.xml><?xml version="1.0" encoding="utf-8"?>
<worksheet xmlns="http://schemas.openxmlformats.org/spreadsheetml/2006/main" xmlns:r="http://schemas.openxmlformats.org/officeDocument/2006/relationships">
  <dimension ref="A1:Q12"/>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4.85546875" customWidth="1"/>
    <col min="2" max="2" width="9.7109375" customWidth="1"/>
    <col min="3" max="14" width="8.5703125" customWidth="1"/>
    <col min="15" max="15" width="10.85546875" customWidth="1"/>
    <col min="16" max="16" width="8.5703125" customWidth="1"/>
    <col min="17" max="17" width="9.140625" customWidth="1"/>
  </cols>
  <sheetData>
    <row r="1" spans="1:17" ht="20.25">
      <c r="A1" s="139" t="s">
        <v>230</v>
      </c>
      <c r="B1" s="140"/>
      <c r="C1" s="140"/>
      <c r="D1" s="140"/>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5"/>
      <c r="C3" s="5"/>
      <c r="D3" s="32"/>
      <c r="E3" s="32"/>
      <c r="F3" s="32"/>
      <c r="G3" s="32"/>
      <c r="H3" s="32"/>
      <c r="I3" s="32"/>
      <c r="J3" s="32"/>
      <c r="K3" s="32"/>
      <c r="L3" s="32"/>
      <c r="M3" s="32"/>
      <c r="N3" s="32"/>
      <c r="O3" s="5"/>
      <c r="P3" s="32"/>
    </row>
    <row r="4" spans="1:17"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154</v>
      </c>
      <c r="Q4" s="2"/>
    </row>
    <row r="5" spans="1:17" ht="12.75" customHeight="1">
      <c r="A5" s="120" t="s">
        <v>89</v>
      </c>
      <c r="B5" s="59">
        <v>229</v>
      </c>
      <c r="C5" s="59">
        <v>154</v>
      </c>
      <c r="D5" s="59">
        <v>263</v>
      </c>
      <c r="E5" s="59">
        <v>232</v>
      </c>
      <c r="F5" s="59">
        <v>195</v>
      </c>
      <c r="G5" s="59">
        <v>157</v>
      </c>
      <c r="H5" s="121">
        <v>157</v>
      </c>
      <c r="I5" s="121">
        <v>160</v>
      </c>
      <c r="J5" s="121">
        <v>180</v>
      </c>
      <c r="K5" s="121">
        <v>185</v>
      </c>
      <c r="L5" s="121">
        <v>178</v>
      </c>
      <c r="M5" s="121">
        <v>198</v>
      </c>
      <c r="N5" s="41">
        <f>SUM(B5:M5)</f>
        <v>2288</v>
      </c>
      <c r="O5" s="118"/>
      <c r="P5" s="45"/>
    </row>
    <row r="6" spans="1:17" ht="12.75" customHeight="1">
      <c r="A6" s="39" t="s">
        <v>328</v>
      </c>
      <c r="B6" s="59">
        <v>724</v>
      </c>
      <c r="C6" s="59">
        <v>500</v>
      </c>
      <c r="D6" s="59">
        <v>1303</v>
      </c>
      <c r="E6" s="59">
        <v>909</v>
      </c>
      <c r="F6" s="59">
        <v>928</v>
      </c>
      <c r="G6" s="59">
        <v>603</v>
      </c>
      <c r="H6" s="59">
        <v>590</v>
      </c>
      <c r="I6" s="121">
        <v>662</v>
      </c>
      <c r="J6" s="121">
        <v>714</v>
      </c>
      <c r="K6" s="121">
        <v>616</v>
      </c>
      <c r="L6" s="121">
        <v>739</v>
      </c>
      <c r="M6" s="121">
        <v>817</v>
      </c>
      <c r="N6" s="41">
        <f>SUM(B6:M6)</f>
        <v>9105</v>
      </c>
      <c r="O6" s="42">
        <v>30460</v>
      </c>
      <c r="P6" s="43">
        <f>O6/N6</f>
        <v>3.345414607358594</v>
      </c>
    </row>
    <row r="7" spans="1:17" ht="12.75" customHeight="1">
      <c r="A7" s="39" t="s">
        <v>29</v>
      </c>
      <c r="B7" s="59">
        <v>79</v>
      </c>
      <c r="C7" s="59">
        <v>38</v>
      </c>
      <c r="D7" s="59">
        <v>284</v>
      </c>
      <c r="E7" s="59">
        <v>89</v>
      </c>
      <c r="F7" s="59">
        <v>123</v>
      </c>
      <c r="G7" s="59">
        <v>99</v>
      </c>
      <c r="H7" s="40">
        <v>88</v>
      </c>
      <c r="I7" s="40">
        <v>93</v>
      </c>
      <c r="J7" s="40">
        <v>180</v>
      </c>
      <c r="K7" s="40">
        <v>110</v>
      </c>
      <c r="L7" s="40">
        <v>123</v>
      </c>
      <c r="M7" s="40">
        <v>93</v>
      </c>
      <c r="N7" s="41">
        <f>SUM(B7:M7)</f>
        <v>1399</v>
      </c>
      <c r="O7" s="42"/>
      <c r="P7" s="43"/>
    </row>
    <row r="8" spans="1:17" ht="12.75" customHeight="1">
      <c r="A8" s="39" t="s">
        <v>124</v>
      </c>
      <c r="B8" s="59">
        <v>1</v>
      </c>
      <c r="C8" s="59">
        <v>1</v>
      </c>
      <c r="D8" s="59">
        <v>1</v>
      </c>
      <c r="E8" s="59">
        <v>1</v>
      </c>
      <c r="F8" s="59">
        <v>1</v>
      </c>
      <c r="G8" s="59">
        <v>1</v>
      </c>
      <c r="H8" s="59">
        <v>1</v>
      </c>
      <c r="I8" s="59">
        <v>1</v>
      </c>
      <c r="J8" s="59">
        <v>1</v>
      </c>
      <c r="K8" s="59">
        <v>1</v>
      </c>
      <c r="L8" s="59">
        <v>1</v>
      </c>
      <c r="M8" s="59">
        <v>1</v>
      </c>
      <c r="N8" s="41"/>
      <c r="O8" s="9"/>
    </row>
    <row r="9" spans="1:17" ht="12.75" customHeight="1">
      <c r="A9" s="2"/>
      <c r="B9" s="28"/>
      <c r="C9" s="28"/>
      <c r="D9" s="38"/>
      <c r="E9" s="38"/>
      <c r="F9" s="38"/>
      <c r="G9" s="38"/>
      <c r="H9" s="38"/>
      <c r="I9" s="38"/>
      <c r="J9" s="38"/>
      <c r="K9" s="38"/>
      <c r="L9" s="38"/>
      <c r="M9" s="38"/>
      <c r="N9" s="38"/>
      <c r="O9" s="2"/>
    </row>
    <row r="10" spans="1:17" ht="12.75" customHeight="1">
      <c r="A10" s="2"/>
      <c r="B10" s="2"/>
      <c r="C10" s="2"/>
      <c r="O10" s="2"/>
    </row>
    <row r="11" spans="1:17" ht="12.75" customHeight="1">
      <c r="A11" s="2" t="s">
        <v>31</v>
      </c>
      <c r="B11" s="2" t="s">
        <v>247</v>
      </c>
      <c r="C11" s="2"/>
      <c r="O11" s="2"/>
    </row>
    <row r="12" spans="1:17" ht="12.75" customHeight="1">
      <c r="A12" s="2"/>
      <c r="B12" s="2"/>
      <c r="C12" s="2"/>
      <c r="O12" s="2"/>
    </row>
  </sheetData>
  <mergeCells count="1">
    <mergeCell ref="A1:D1"/>
  </mergeCells>
  <pageMargins left="0.75" right="0.75" top="1" bottom="1" header="0.5" footer="0.5"/>
  <pageSetup paperSize="9" orientation="portrait" horizontalDpi="300" verticalDpi="300"/>
  <headerFooter alignWithMargins="0"/>
</worksheet>
</file>

<file path=xl/worksheets/sheet31.xml><?xml version="1.0" encoding="utf-8"?>
<worksheet xmlns="http://schemas.openxmlformats.org/spreadsheetml/2006/main" xmlns:r="http://schemas.openxmlformats.org/officeDocument/2006/relationships">
  <dimension ref="A1:Q9"/>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34.7109375" customWidth="1"/>
    <col min="2" max="2" width="9.7109375" customWidth="1"/>
    <col min="3" max="14" width="8.5703125" customWidth="1"/>
    <col min="15" max="15" width="10.85546875" customWidth="1"/>
    <col min="16" max="16" width="8.5703125" customWidth="1"/>
    <col min="17" max="17" width="9.140625" customWidth="1"/>
  </cols>
  <sheetData>
    <row r="1" spans="1:17" ht="20.25">
      <c r="A1" s="139" t="s">
        <v>82</v>
      </c>
      <c r="B1" s="140"/>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5"/>
      <c r="C3" s="5"/>
      <c r="D3" s="32"/>
      <c r="E3" s="32"/>
      <c r="F3" s="32"/>
      <c r="G3" s="32"/>
      <c r="H3" s="32"/>
      <c r="I3" s="32"/>
      <c r="J3" s="32"/>
      <c r="K3" s="32"/>
      <c r="L3" s="32"/>
      <c r="M3" s="32"/>
      <c r="N3" s="32"/>
      <c r="O3" s="5"/>
      <c r="P3" s="32"/>
    </row>
    <row r="4" spans="1:17"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35" t="s">
        <v>154</v>
      </c>
      <c r="Q4" s="2"/>
    </row>
    <row r="5" spans="1:17" ht="12.75" customHeight="1">
      <c r="A5" s="120" t="s">
        <v>77</v>
      </c>
      <c r="B5" s="59">
        <v>96</v>
      </c>
      <c r="C5" s="59">
        <v>4</v>
      </c>
      <c r="D5" s="59">
        <v>4</v>
      </c>
      <c r="E5" s="59">
        <v>50</v>
      </c>
      <c r="F5" s="59">
        <v>43</v>
      </c>
      <c r="G5" s="59">
        <v>44</v>
      </c>
      <c r="H5" s="121">
        <v>7</v>
      </c>
      <c r="I5" s="121">
        <v>0</v>
      </c>
      <c r="J5" s="121">
        <v>17</v>
      </c>
      <c r="K5" s="121">
        <v>14</v>
      </c>
      <c r="L5" s="121">
        <v>0</v>
      </c>
      <c r="M5" s="121">
        <v>0</v>
      </c>
      <c r="N5" s="41">
        <f>SUM(B5:M5)</f>
        <v>279</v>
      </c>
      <c r="O5" s="118">
        <v>0</v>
      </c>
      <c r="P5" s="57" t="s">
        <v>34</v>
      </c>
      <c r="Q5" s="2"/>
    </row>
    <row r="6" spans="1:17" ht="12.75" customHeight="1">
      <c r="A6" s="2"/>
      <c r="B6" s="28"/>
      <c r="C6" s="28"/>
      <c r="D6" s="38"/>
      <c r="E6" s="38"/>
      <c r="F6" s="38"/>
      <c r="G6" s="38"/>
      <c r="H6" s="38"/>
      <c r="I6" s="38"/>
      <c r="J6" s="38"/>
      <c r="K6" s="38"/>
      <c r="L6" s="38"/>
      <c r="M6" s="38"/>
      <c r="N6" s="38"/>
      <c r="O6" s="2"/>
    </row>
    <row r="7" spans="1:17" ht="12.75" customHeight="1">
      <c r="A7" s="2"/>
      <c r="B7" s="2"/>
      <c r="C7" s="2"/>
      <c r="O7" s="2"/>
    </row>
    <row r="8" spans="1:17" ht="12.75" customHeight="1">
      <c r="A8" s="2" t="s">
        <v>31</v>
      </c>
      <c r="B8" s="2" t="s">
        <v>247</v>
      </c>
      <c r="C8" s="2"/>
      <c r="O8" s="2"/>
    </row>
    <row r="9" spans="1:17" ht="12.75" customHeight="1">
      <c r="A9" s="2"/>
      <c r="B9" s="2"/>
      <c r="C9" s="2"/>
      <c r="O9" s="2"/>
    </row>
  </sheetData>
  <mergeCells count="1">
    <mergeCell ref="A1:B1"/>
  </mergeCells>
  <pageMargins left="0.75" right="0.75" top="1" bottom="1" header="0.5" footer="0.5"/>
  <pageSetup paperSize="9" orientation="portrait" horizontalDpi="300" verticalDpi="300"/>
  <headerFooter alignWithMargins="0"/>
</worksheet>
</file>

<file path=xl/worksheets/sheet32.xml><?xml version="1.0" encoding="utf-8"?>
<worksheet xmlns="http://schemas.openxmlformats.org/spreadsheetml/2006/main" xmlns:r="http://schemas.openxmlformats.org/officeDocument/2006/relationships">
  <dimension ref="A1:Q12"/>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7.140625" customWidth="1"/>
    <col min="2" max="2" width="10.85546875" customWidth="1"/>
    <col min="3" max="14" width="8.5703125" customWidth="1"/>
    <col min="15" max="15" width="12.85546875" customWidth="1"/>
    <col min="16" max="16" width="8.5703125" customWidth="1"/>
    <col min="17" max="17" width="9.140625" customWidth="1"/>
  </cols>
  <sheetData>
    <row r="1" spans="1:17" ht="20.25">
      <c r="A1" s="1" t="s">
        <v>214</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5"/>
      <c r="C3" s="32"/>
      <c r="D3" s="32"/>
      <c r="E3" s="32"/>
      <c r="F3" s="32"/>
      <c r="G3" s="32"/>
      <c r="H3" s="32"/>
      <c r="I3" s="32"/>
      <c r="J3" s="32"/>
      <c r="K3" s="32"/>
      <c r="L3" s="32"/>
      <c r="M3" s="32"/>
      <c r="N3" s="32"/>
      <c r="O3" s="5"/>
      <c r="P3" s="32"/>
    </row>
    <row r="4" spans="1:17"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56" t="s">
        <v>154</v>
      </c>
      <c r="Q4" s="2"/>
    </row>
    <row r="5" spans="1:17" ht="12.75" customHeight="1">
      <c r="A5" s="120" t="s">
        <v>89</v>
      </c>
      <c r="B5" s="121">
        <v>465</v>
      </c>
      <c r="C5" s="121">
        <v>344</v>
      </c>
      <c r="D5" s="121">
        <v>623</v>
      </c>
      <c r="E5" s="121">
        <v>814</v>
      </c>
      <c r="F5" s="121">
        <v>825</v>
      </c>
      <c r="G5" s="121">
        <v>494</v>
      </c>
      <c r="H5" s="121">
        <v>710</v>
      </c>
      <c r="I5" s="121">
        <v>822</v>
      </c>
      <c r="J5" s="121">
        <v>833</v>
      </c>
      <c r="K5" s="121">
        <v>883</v>
      </c>
      <c r="L5" s="121">
        <v>477</v>
      </c>
      <c r="M5" s="121">
        <v>452</v>
      </c>
      <c r="N5" s="41">
        <f>SUM(B5:M5)</f>
        <v>7742</v>
      </c>
      <c r="O5" s="119"/>
      <c r="P5" s="38"/>
    </row>
    <row r="6" spans="1:17" ht="12.75" customHeight="1">
      <c r="A6" s="39" t="s">
        <v>20</v>
      </c>
      <c r="B6" s="121">
        <v>1703</v>
      </c>
      <c r="C6" s="121">
        <v>1436</v>
      </c>
      <c r="D6" s="121">
        <v>1923</v>
      </c>
      <c r="E6" s="121">
        <v>2755</v>
      </c>
      <c r="F6" s="121">
        <v>2775</v>
      </c>
      <c r="G6" s="121">
        <v>1844</v>
      </c>
      <c r="H6" s="121">
        <v>2539</v>
      </c>
      <c r="I6" s="121">
        <v>2604</v>
      </c>
      <c r="J6" s="121">
        <v>3246</v>
      </c>
      <c r="K6" s="121">
        <v>3298</v>
      </c>
      <c r="L6" s="121">
        <v>2031</v>
      </c>
      <c r="M6" s="121">
        <v>1669</v>
      </c>
      <c r="N6" s="41">
        <f>SUM(B6:M6)</f>
        <v>27823</v>
      </c>
      <c r="O6" s="42">
        <v>102288</v>
      </c>
      <c r="P6" s="43">
        <f>O6/N6</f>
        <v>3.6763828487222803</v>
      </c>
    </row>
    <row r="7" spans="1:17" ht="12.75" customHeight="1">
      <c r="A7" s="39" t="s">
        <v>161</v>
      </c>
      <c r="B7" s="58" t="s">
        <v>34</v>
      </c>
      <c r="C7" s="58" t="s">
        <v>34</v>
      </c>
      <c r="D7" s="58" t="s">
        <v>34</v>
      </c>
      <c r="E7" s="58" t="s">
        <v>34</v>
      </c>
      <c r="F7" s="58" t="s">
        <v>34</v>
      </c>
      <c r="G7" s="58" t="s">
        <v>34</v>
      </c>
      <c r="H7" s="58" t="s">
        <v>34</v>
      </c>
      <c r="I7" s="58" t="s">
        <v>34</v>
      </c>
      <c r="J7" s="58" t="s">
        <v>34</v>
      </c>
      <c r="K7" s="58" t="s">
        <v>34</v>
      </c>
      <c r="L7" s="58" t="s">
        <v>34</v>
      </c>
      <c r="M7" s="58" t="s">
        <v>34</v>
      </c>
      <c r="N7" s="41"/>
      <c r="O7" s="42"/>
      <c r="P7" s="43"/>
    </row>
    <row r="8" spans="1:17" ht="12.75" customHeight="1">
      <c r="A8" s="39" t="s">
        <v>29</v>
      </c>
      <c r="B8" s="40">
        <v>0</v>
      </c>
      <c r="C8" s="40">
        <v>0</v>
      </c>
      <c r="D8" s="40">
        <v>0</v>
      </c>
      <c r="E8" s="40">
        <v>0</v>
      </c>
      <c r="F8" s="40">
        <v>0</v>
      </c>
      <c r="G8" s="40">
        <v>0</v>
      </c>
      <c r="H8" s="40">
        <v>0</v>
      </c>
      <c r="I8" s="40">
        <v>0</v>
      </c>
      <c r="J8" s="40">
        <v>0</v>
      </c>
      <c r="K8" s="40">
        <v>0</v>
      </c>
      <c r="L8" s="40">
        <v>0</v>
      </c>
      <c r="M8" s="40">
        <v>0</v>
      </c>
      <c r="N8" s="41">
        <f>SUM(B8:M8)</f>
        <v>0</v>
      </c>
      <c r="O8" s="42"/>
      <c r="P8" s="43"/>
    </row>
    <row r="9" spans="1:17" ht="12.75" customHeight="1">
      <c r="A9" s="2"/>
      <c r="B9" s="28"/>
      <c r="C9" s="38"/>
      <c r="D9" s="38"/>
      <c r="E9" s="38"/>
      <c r="F9" s="38"/>
      <c r="G9" s="38"/>
      <c r="H9" s="38"/>
      <c r="I9" s="38"/>
      <c r="J9" s="38"/>
      <c r="K9" s="38"/>
      <c r="L9" s="38"/>
      <c r="M9" s="38"/>
      <c r="N9" s="38"/>
      <c r="O9" s="2"/>
    </row>
    <row r="10" spans="1:17" ht="12.75" customHeight="1">
      <c r="A10" s="2"/>
      <c r="B10" s="2"/>
      <c r="O10" s="2"/>
    </row>
    <row r="11" spans="1:17" ht="12.75" customHeight="1">
      <c r="A11" s="2" t="s">
        <v>31</v>
      </c>
      <c r="B11" s="2" t="s">
        <v>247</v>
      </c>
      <c r="O11" s="2"/>
    </row>
    <row r="12" spans="1:17" ht="12.75" customHeight="1">
      <c r="A12" s="2"/>
      <c r="B12" s="2"/>
      <c r="O12" s="2"/>
    </row>
  </sheetData>
  <pageMargins left="0.75" right="0.75" top="1" bottom="1" header="0.5" footer="0.5"/>
  <pageSetup paperSize="9" orientation="portrait" horizontalDpi="300" verticalDpi="300"/>
  <headerFooter alignWithMargins="0"/>
</worksheet>
</file>

<file path=xl/worksheets/sheet33.xml><?xml version="1.0" encoding="utf-8"?>
<worksheet xmlns="http://schemas.openxmlformats.org/spreadsheetml/2006/main" xmlns:r="http://schemas.openxmlformats.org/officeDocument/2006/relationships">
  <dimension ref="A1:Q12"/>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0.5703125" customWidth="1"/>
    <col min="2" max="14" width="8.5703125" customWidth="1"/>
    <col min="15" max="16" width="11.85546875" customWidth="1"/>
    <col min="17" max="17" width="9.140625" customWidth="1"/>
  </cols>
  <sheetData>
    <row r="1" spans="1:17" ht="20.25">
      <c r="A1" s="139" t="s">
        <v>133</v>
      </c>
      <c r="B1" s="140"/>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5"/>
      <c r="P3" s="5"/>
    </row>
    <row r="4" spans="1:17" ht="25.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56" t="s">
        <v>284</v>
      </c>
      <c r="Q4" s="2"/>
    </row>
    <row r="5" spans="1:17" ht="12.75" customHeight="1">
      <c r="A5" s="36" t="s">
        <v>11</v>
      </c>
      <c r="B5" s="37"/>
      <c r="C5" s="37"/>
      <c r="D5" s="37"/>
      <c r="E5" s="37"/>
      <c r="F5" s="37"/>
      <c r="G5" s="37"/>
      <c r="H5" s="37"/>
      <c r="I5" s="37"/>
      <c r="J5" s="37"/>
      <c r="K5" s="37"/>
      <c r="L5" s="37"/>
      <c r="M5" s="37"/>
      <c r="N5" s="37"/>
      <c r="O5" s="28"/>
      <c r="P5" s="28"/>
    </row>
    <row r="6" spans="1:17" ht="12.75" customHeight="1">
      <c r="A6" s="39" t="s">
        <v>89</v>
      </c>
      <c r="B6" s="59">
        <v>35</v>
      </c>
      <c r="C6" s="59">
        <v>45</v>
      </c>
      <c r="D6" s="59">
        <v>88</v>
      </c>
      <c r="E6" s="59">
        <v>263</v>
      </c>
      <c r="F6" s="59">
        <v>118</v>
      </c>
      <c r="G6" s="59">
        <v>39</v>
      </c>
      <c r="H6" s="40">
        <v>60</v>
      </c>
      <c r="I6" s="40">
        <v>137</v>
      </c>
      <c r="J6" s="40">
        <v>120</v>
      </c>
      <c r="K6" s="40">
        <v>171</v>
      </c>
      <c r="L6" s="40">
        <v>32</v>
      </c>
      <c r="M6" s="40">
        <v>27</v>
      </c>
      <c r="N6" s="41">
        <f>SUM(B6:M6)</f>
        <v>1135</v>
      </c>
      <c r="O6" s="42"/>
      <c r="P6" s="43"/>
    </row>
    <row r="7" spans="1:17" ht="12.75" customHeight="1">
      <c r="A7" s="39" t="s">
        <v>328</v>
      </c>
      <c r="B7" s="59">
        <v>67</v>
      </c>
      <c r="C7" s="59">
        <v>442</v>
      </c>
      <c r="D7" s="59">
        <v>332</v>
      </c>
      <c r="E7" s="59">
        <v>773</v>
      </c>
      <c r="F7" s="59">
        <v>352</v>
      </c>
      <c r="G7" s="59">
        <v>118</v>
      </c>
      <c r="H7" s="40">
        <v>189</v>
      </c>
      <c r="I7" s="40">
        <v>297</v>
      </c>
      <c r="J7" s="40">
        <v>296</v>
      </c>
      <c r="K7" s="40">
        <v>415</v>
      </c>
      <c r="L7" s="40">
        <v>159</v>
      </c>
      <c r="M7" s="40">
        <v>66</v>
      </c>
      <c r="N7" s="41">
        <f>SUM(B7:M7)</f>
        <v>3506</v>
      </c>
      <c r="O7" s="42">
        <v>24867</v>
      </c>
      <c r="P7" s="43">
        <f>O7/N7</f>
        <v>7.0926982316029665</v>
      </c>
    </row>
    <row r="8" spans="1:17" ht="12.75" customHeight="1">
      <c r="A8" s="39" t="s">
        <v>29</v>
      </c>
      <c r="B8" s="59">
        <v>0</v>
      </c>
      <c r="C8" s="59">
        <v>0</v>
      </c>
      <c r="D8" s="59">
        <v>0</v>
      </c>
      <c r="E8" s="59">
        <v>0</v>
      </c>
      <c r="F8" s="59">
        <v>0</v>
      </c>
      <c r="G8" s="59">
        <v>0</v>
      </c>
      <c r="H8" s="40">
        <v>0</v>
      </c>
      <c r="I8" s="40">
        <v>10</v>
      </c>
      <c r="J8" s="40">
        <v>0</v>
      </c>
      <c r="K8" s="40">
        <v>0</v>
      </c>
      <c r="L8" s="40">
        <v>0</v>
      </c>
      <c r="M8" s="40">
        <v>0</v>
      </c>
      <c r="N8" s="41">
        <f>SUM(B8:M8)</f>
        <v>10</v>
      </c>
      <c r="O8" s="42"/>
      <c r="P8" s="43"/>
    </row>
    <row r="9" spans="1:17" ht="12.75" customHeight="1">
      <c r="A9" s="2"/>
      <c r="B9" s="100"/>
      <c r="C9" s="100"/>
      <c r="D9" s="100"/>
      <c r="E9" s="100"/>
      <c r="F9" s="100"/>
      <c r="G9" s="100"/>
      <c r="H9" s="100"/>
      <c r="I9" s="100"/>
      <c r="J9" s="100"/>
      <c r="K9" s="100"/>
      <c r="L9" s="100"/>
      <c r="M9" s="100"/>
      <c r="N9" s="100"/>
      <c r="O9" s="2"/>
      <c r="P9" s="2"/>
    </row>
    <row r="10" spans="1:17" ht="12.75" customHeight="1">
      <c r="A10" s="2"/>
      <c r="O10" s="2"/>
      <c r="P10" s="2"/>
    </row>
    <row r="11" spans="1:17" ht="12.75" customHeight="1">
      <c r="A11" s="2" t="s">
        <v>31</v>
      </c>
      <c r="B11" s="2" t="s">
        <v>310</v>
      </c>
      <c r="O11" s="2"/>
      <c r="P11" s="2"/>
    </row>
    <row r="12" spans="1:17" ht="12.75" customHeight="1">
      <c r="A12" s="2"/>
      <c r="O12" s="2"/>
      <c r="P12" s="2"/>
    </row>
  </sheetData>
  <mergeCells count="1">
    <mergeCell ref="A1:B1"/>
  </mergeCells>
  <pageMargins left="0.75" right="0.75" top="1" bottom="1" header="0.5" footer="0.5"/>
  <pageSetup paperSize="9" orientation="portrait" horizontalDpi="300" verticalDpi="300"/>
  <headerFooter alignWithMargins="0"/>
</worksheet>
</file>

<file path=xl/worksheets/sheet34.xml><?xml version="1.0" encoding="utf-8"?>
<worksheet xmlns="http://schemas.openxmlformats.org/spreadsheetml/2006/main" xmlns:r="http://schemas.openxmlformats.org/officeDocument/2006/relationships">
  <dimension ref="A1:Q55"/>
  <sheetViews>
    <sheetView zoomScaleNormal="100" workbookViewId="0">
      <pane ySplit="2" topLeftCell="A3" activePane="bottomLeft" state="frozen"/>
      <selection pane="bottomLeft" activeCell="A3" sqref="A3"/>
    </sheetView>
  </sheetViews>
  <sheetFormatPr defaultColWidth="9.140625" defaultRowHeight="12.75" customHeight="1"/>
  <cols>
    <col min="1" max="1" width="22.7109375" customWidth="1"/>
    <col min="2" max="14" width="8.5703125" customWidth="1"/>
    <col min="15" max="15" width="11.42578125" customWidth="1"/>
    <col min="16" max="16" width="8.5703125" customWidth="1"/>
    <col min="17" max="17" width="9.140625" customWidth="1"/>
  </cols>
  <sheetData>
    <row r="1" spans="1:17" ht="20.25">
      <c r="A1" s="1" t="s">
        <v>37</v>
      </c>
      <c r="B1" s="2"/>
      <c r="C1" s="2"/>
      <c r="D1" s="2"/>
      <c r="E1" s="2"/>
      <c r="F1" s="2"/>
      <c r="G1" s="2"/>
      <c r="H1" s="2"/>
      <c r="I1" s="2"/>
      <c r="J1" s="2"/>
      <c r="K1" s="2"/>
      <c r="L1" s="2"/>
      <c r="M1" s="2"/>
      <c r="N1" s="2"/>
      <c r="O1" s="2"/>
      <c r="P1" s="2"/>
      <c r="Q1" s="2"/>
    </row>
    <row r="2" spans="1:17" ht="18">
      <c r="A2" s="31" t="s">
        <v>130</v>
      </c>
      <c r="B2" s="2"/>
      <c r="C2" s="2"/>
      <c r="D2" s="2"/>
      <c r="E2" s="2"/>
      <c r="F2" s="2"/>
      <c r="G2" s="2"/>
      <c r="H2" s="2"/>
      <c r="I2" s="2"/>
      <c r="J2" s="2"/>
      <c r="K2" s="2"/>
      <c r="L2" s="2"/>
      <c r="M2" s="2"/>
      <c r="N2" s="2"/>
      <c r="O2" s="2"/>
      <c r="P2" s="2"/>
      <c r="Q2" s="2"/>
    </row>
    <row r="3" spans="1:17" ht="12.75" customHeight="1">
      <c r="A3" s="5"/>
      <c r="B3" s="32"/>
      <c r="C3" s="32"/>
      <c r="D3" s="32"/>
      <c r="E3" s="32"/>
      <c r="F3" s="32"/>
      <c r="G3" s="32"/>
      <c r="H3" s="32"/>
      <c r="I3" s="32"/>
      <c r="J3" s="32"/>
      <c r="K3" s="32"/>
      <c r="L3" s="32"/>
      <c r="M3" s="32"/>
      <c r="N3" s="32"/>
      <c r="O3" s="32"/>
      <c r="P3" s="32"/>
    </row>
    <row r="4" spans="1:17" ht="38.25">
      <c r="A4" s="33"/>
      <c r="B4" s="34">
        <v>39264</v>
      </c>
      <c r="C4" s="34">
        <v>39295</v>
      </c>
      <c r="D4" s="34">
        <v>39326</v>
      </c>
      <c r="E4" s="34">
        <v>39356</v>
      </c>
      <c r="F4" s="34">
        <v>39387</v>
      </c>
      <c r="G4" s="34">
        <v>39417</v>
      </c>
      <c r="H4" s="34">
        <v>39448</v>
      </c>
      <c r="I4" s="34">
        <v>39479</v>
      </c>
      <c r="J4" s="34">
        <v>39508</v>
      </c>
      <c r="K4" s="34">
        <v>39539</v>
      </c>
      <c r="L4" s="34">
        <v>39569</v>
      </c>
      <c r="M4" s="34">
        <v>39600</v>
      </c>
      <c r="N4" s="35" t="s">
        <v>258</v>
      </c>
      <c r="O4" s="56" t="s">
        <v>197</v>
      </c>
      <c r="P4" s="56" t="s">
        <v>154</v>
      </c>
      <c r="Q4" s="2"/>
    </row>
    <row r="5" spans="1:17" ht="12.75" customHeight="1">
      <c r="A5" s="36" t="s">
        <v>208</v>
      </c>
      <c r="B5" s="37"/>
      <c r="C5" s="37"/>
      <c r="D5" s="37"/>
      <c r="E5" s="37"/>
      <c r="F5" s="37"/>
      <c r="G5" s="37"/>
      <c r="H5" s="37"/>
      <c r="I5" s="37"/>
      <c r="J5" s="37"/>
      <c r="K5" s="37"/>
      <c r="L5" s="37"/>
      <c r="M5" s="37"/>
      <c r="N5" s="37"/>
      <c r="O5" s="38"/>
      <c r="P5" s="38"/>
    </row>
    <row r="6" spans="1:17" ht="12.75" customHeight="1">
      <c r="A6" s="39" t="s">
        <v>89</v>
      </c>
      <c r="B6" s="40">
        <v>26</v>
      </c>
      <c r="C6" s="40">
        <v>4</v>
      </c>
      <c r="D6" s="40">
        <v>78</v>
      </c>
      <c r="E6" s="40">
        <v>154</v>
      </c>
      <c r="F6" s="40">
        <v>113</v>
      </c>
      <c r="G6" s="40">
        <v>75</v>
      </c>
      <c r="H6" s="40">
        <v>11</v>
      </c>
      <c r="I6" s="40">
        <v>126</v>
      </c>
      <c r="J6" s="40">
        <v>97</v>
      </c>
      <c r="K6" s="40">
        <v>122</v>
      </c>
      <c r="L6" s="40">
        <v>12</v>
      </c>
      <c r="M6" s="40">
        <v>6</v>
      </c>
      <c r="N6" s="41">
        <f>SUM(B6:M6)</f>
        <v>824</v>
      </c>
      <c r="O6" s="42">
        <v>5814</v>
      </c>
      <c r="P6" s="43"/>
    </row>
    <row r="7" spans="1:17" ht="12.75" customHeight="1">
      <c r="A7" s="39" t="s">
        <v>328</v>
      </c>
      <c r="B7" s="59">
        <v>73</v>
      </c>
      <c r="C7" s="59">
        <v>13</v>
      </c>
      <c r="D7" s="59">
        <v>260</v>
      </c>
      <c r="E7" s="59">
        <v>629</v>
      </c>
      <c r="F7" s="59">
        <v>409</v>
      </c>
      <c r="G7" s="59">
        <v>243</v>
      </c>
      <c r="H7" s="40">
        <v>39</v>
      </c>
      <c r="I7" s="40">
        <v>506</v>
      </c>
      <c r="J7" s="40">
        <v>373</v>
      </c>
      <c r="K7" s="40">
        <v>412</v>
      </c>
      <c r="L7" s="40">
        <v>43</v>
      </c>
      <c r="M7" s="40">
        <v>16</v>
      </c>
      <c r="N7" s="41">
        <f>SUM(B7:M7)</f>
        <v>3016</v>
      </c>
      <c r="O7" s="42">
        <v>5814</v>
      </c>
      <c r="P7" s="43">
        <f>O7/N7</f>
        <v>1.9277188328912467</v>
      </c>
    </row>
    <row r="8" spans="1:17" ht="12.75" customHeight="1">
      <c r="A8" s="39" t="s">
        <v>29</v>
      </c>
      <c r="B8" s="40">
        <v>0</v>
      </c>
      <c r="C8" s="40">
        <v>0</v>
      </c>
      <c r="D8" s="40">
        <v>0</v>
      </c>
      <c r="E8" s="40">
        <v>0</v>
      </c>
      <c r="F8" s="40">
        <v>0</v>
      </c>
      <c r="G8" s="40">
        <v>0</v>
      </c>
      <c r="H8" s="40">
        <v>0</v>
      </c>
      <c r="I8" s="40">
        <v>0</v>
      </c>
      <c r="J8" s="40">
        <v>0</v>
      </c>
      <c r="K8" s="40">
        <v>0</v>
      </c>
      <c r="L8" s="40">
        <v>0</v>
      </c>
      <c r="M8" s="40">
        <v>0</v>
      </c>
      <c r="N8" s="41">
        <f>SUM(B8:M8)</f>
        <v>0</v>
      </c>
      <c r="O8" s="42"/>
      <c r="P8" s="43"/>
    </row>
    <row r="9" spans="1:17" ht="12.75" customHeight="1">
      <c r="A9" s="39" t="s">
        <v>227</v>
      </c>
      <c r="B9" s="134" t="s">
        <v>34</v>
      </c>
      <c r="C9" s="134" t="s">
        <v>34</v>
      </c>
      <c r="D9" s="134" t="s">
        <v>34</v>
      </c>
      <c r="E9" s="134" t="s">
        <v>34</v>
      </c>
      <c r="F9" s="134" t="s">
        <v>34</v>
      </c>
      <c r="G9" s="134" t="s">
        <v>34</v>
      </c>
      <c r="H9" s="134" t="s">
        <v>34</v>
      </c>
      <c r="I9" s="134" t="s">
        <v>34</v>
      </c>
      <c r="J9" s="134" t="s">
        <v>34</v>
      </c>
      <c r="K9" s="134" t="s">
        <v>34</v>
      </c>
      <c r="L9" s="134" t="s">
        <v>34</v>
      </c>
      <c r="M9" s="134" t="s">
        <v>34</v>
      </c>
      <c r="N9" s="134" t="s">
        <v>34</v>
      </c>
      <c r="O9" s="42"/>
      <c r="P9" s="43"/>
    </row>
    <row r="10" spans="1:17" ht="12.75" customHeight="1">
      <c r="A10" s="2"/>
      <c r="B10" s="135"/>
      <c r="C10" s="135"/>
      <c r="D10" s="135"/>
      <c r="E10" s="135"/>
      <c r="F10" s="135"/>
      <c r="G10" s="135"/>
      <c r="H10" s="135"/>
      <c r="I10" s="135"/>
      <c r="J10" s="135"/>
      <c r="K10" s="135"/>
      <c r="L10" s="135"/>
      <c r="M10" s="135"/>
      <c r="N10" s="28"/>
      <c r="O10" s="43"/>
      <c r="P10" s="43"/>
    </row>
    <row r="11" spans="1:17" ht="12.75" customHeight="1">
      <c r="A11" s="5"/>
      <c r="B11" s="136"/>
      <c r="C11" s="136"/>
      <c r="D11" s="136"/>
      <c r="E11" s="136"/>
      <c r="F11" s="136"/>
      <c r="G11" s="136"/>
      <c r="H11" s="136"/>
      <c r="I11" s="136"/>
      <c r="J11" s="136"/>
      <c r="K11" s="136"/>
      <c r="L11" s="136"/>
      <c r="M11" s="136"/>
      <c r="N11" s="5"/>
      <c r="O11" s="47"/>
      <c r="P11" s="47"/>
    </row>
    <row r="12" spans="1:17" ht="38.25">
      <c r="A12" s="33"/>
      <c r="B12" s="34">
        <v>39264</v>
      </c>
      <c r="C12" s="34">
        <v>39295</v>
      </c>
      <c r="D12" s="34">
        <v>39326</v>
      </c>
      <c r="E12" s="34">
        <v>39356</v>
      </c>
      <c r="F12" s="34">
        <v>39387</v>
      </c>
      <c r="G12" s="34">
        <v>39417</v>
      </c>
      <c r="H12" s="34">
        <v>39448</v>
      </c>
      <c r="I12" s="34">
        <v>39479</v>
      </c>
      <c r="J12" s="34">
        <v>39508</v>
      </c>
      <c r="K12" s="34">
        <v>39539</v>
      </c>
      <c r="L12" s="34">
        <v>39569</v>
      </c>
      <c r="M12" s="34">
        <v>39600</v>
      </c>
      <c r="N12" s="35" t="s">
        <v>258</v>
      </c>
      <c r="O12" s="56" t="s">
        <v>197</v>
      </c>
      <c r="P12" s="56" t="s">
        <v>154</v>
      </c>
    </row>
    <row r="13" spans="1:17" ht="12.75" customHeight="1">
      <c r="A13" s="148" t="s">
        <v>221</v>
      </c>
      <c r="B13" s="151"/>
      <c r="C13" s="151"/>
      <c r="D13" s="151"/>
      <c r="E13" s="48"/>
      <c r="F13" s="48"/>
      <c r="G13" s="48"/>
      <c r="H13" s="48"/>
      <c r="I13" s="48"/>
      <c r="J13" s="48"/>
      <c r="K13" s="48"/>
      <c r="L13" s="48"/>
      <c r="M13" s="48"/>
      <c r="N13" s="48"/>
      <c r="O13" s="45"/>
      <c r="P13" s="45"/>
    </row>
    <row r="14" spans="1:17" ht="12.75" customHeight="1">
      <c r="A14" s="39" t="s">
        <v>89</v>
      </c>
      <c r="B14" s="88">
        <v>12</v>
      </c>
      <c r="C14" s="88">
        <v>5</v>
      </c>
      <c r="D14" s="88">
        <v>31</v>
      </c>
      <c r="E14" s="40">
        <v>101</v>
      </c>
      <c r="F14" s="40">
        <v>39</v>
      </c>
      <c r="G14" s="40">
        <v>15</v>
      </c>
      <c r="H14" s="40">
        <v>10</v>
      </c>
      <c r="I14" s="40">
        <v>41</v>
      </c>
      <c r="J14" s="40">
        <v>34</v>
      </c>
      <c r="K14" s="40">
        <v>35</v>
      </c>
      <c r="L14" s="40">
        <v>5</v>
      </c>
      <c r="M14" s="40">
        <v>6</v>
      </c>
      <c r="N14" s="41">
        <f>SUM(B14:M14)</f>
        <v>334</v>
      </c>
      <c r="O14" s="42">
        <v>3312</v>
      </c>
      <c r="P14" s="43"/>
    </row>
    <row r="15" spans="1:17" ht="12.75" customHeight="1">
      <c r="A15" s="39" t="s">
        <v>328</v>
      </c>
      <c r="B15" s="125">
        <v>90</v>
      </c>
      <c r="C15" s="125">
        <v>16</v>
      </c>
      <c r="D15" s="125">
        <v>76</v>
      </c>
      <c r="E15" s="125">
        <v>344</v>
      </c>
      <c r="F15" s="125">
        <v>101</v>
      </c>
      <c r="G15" s="125">
        <v>37</v>
      </c>
      <c r="H15" s="40">
        <v>67</v>
      </c>
      <c r="I15" s="40">
        <v>144</v>
      </c>
      <c r="J15" s="40">
        <v>148</v>
      </c>
      <c r="K15" s="40">
        <v>129</v>
      </c>
      <c r="L15" s="40">
        <v>12</v>
      </c>
      <c r="M15" s="40">
        <v>10</v>
      </c>
      <c r="N15" s="41">
        <f>SUM(B15:M15)</f>
        <v>1174</v>
      </c>
      <c r="O15" s="42">
        <v>3312</v>
      </c>
      <c r="P15" s="43">
        <f>O15/N15</f>
        <v>2.8211243611584327</v>
      </c>
    </row>
    <row r="16" spans="1:17" ht="12.75" customHeight="1">
      <c r="A16" s="39" t="s">
        <v>29</v>
      </c>
      <c r="B16" s="40">
        <v>0</v>
      </c>
      <c r="C16" s="40">
        <v>0</v>
      </c>
      <c r="D16" s="40">
        <v>26</v>
      </c>
      <c r="E16" s="40">
        <v>8</v>
      </c>
      <c r="F16" s="40">
        <v>0</v>
      </c>
      <c r="G16" s="40">
        <v>0</v>
      </c>
      <c r="H16" s="40">
        <v>0</v>
      </c>
      <c r="I16" s="40">
        <v>0</v>
      </c>
      <c r="J16" s="40">
        <v>0</v>
      </c>
      <c r="K16" s="40">
        <v>0</v>
      </c>
      <c r="L16" s="40">
        <v>0</v>
      </c>
      <c r="M16" s="40">
        <v>0</v>
      </c>
      <c r="N16" s="41">
        <f>SUM(B16:M16)</f>
        <v>34</v>
      </c>
      <c r="O16" s="42"/>
      <c r="P16" s="43"/>
    </row>
    <row r="17" spans="1:16" ht="12.75" customHeight="1">
      <c r="A17" s="39" t="s">
        <v>227</v>
      </c>
      <c r="B17" s="134" t="s">
        <v>34</v>
      </c>
      <c r="C17" s="134" t="s">
        <v>34</v>
      </c>
      <c r="D17" s="134" t="s">
        <v>34</v>
      </c>
      <c r="E17" s="134" t="s">
        <v>34</v>
      </c>
      <c r="F17" s="134" t="s">
        <v>34</v>
      </c>
      <c r="G17" s="134" t="s">
        <v>34</v>
      </c>
      <c r="H17" s="134" t="s">
        <v>34</v>
      </c>
      <c r="I17" s="134" t="s">
        <v>34</v>
      </c>
      <c r="J17" s="134" t="s">
        <v>34</v>
      </c>
      <c r="K17" s="134" t="s">
        <v>34</v>
      </c>
      <c r="L17" s="134" t="s">
        <v>34</v>
      </c>
      <c r="M17" s="134" t="s">
        <v>34</v>
      </c>
      <c r="N17" s="134" t="s">
        <v>34</v>
      </c>
      <c r="O17" s="42"/>
      <c r="P17" s="43"/>
    </row>
    <row r="18" spans="1:16" ht="12.75" customHeight="1">
      <c r="A18" s="2"/>
      <c r="B18" s="135"/>
      <c r="C18" s="135"/>
      <c r="D18" s="135"/>
      <c r="E18" s="135"/>
      <c r="F18" s="135"/>
      <c r="G18" s="135"/>
      <c r="H18" s="135"/>
      <c r="I18" s="135"/>
      <c r="J18" s="135"/>
      <c r="K18" s="135"/>
      <c r="L18" s="135"/>
      <c r="M18" s="135"/>
      <c r="N18" s="28"/>
      <c r="O18" s="43"/>
      <c r="P18" s="43"/>
    </row>
    <row r="19" spans="1:16" ht="12.75" customHeight="1">
      <c r="A19" s="5"/>
      <c r="B19" s="136"/>
      <c r="C19" s="136"/>
      <c r="D19" s="136"/>
      <c r="E19" s="136"/>
      <c r="F19" s="136"/>
      <c r="G19" s="136"/>
      <c r="H19" s="136"/>
      <c r="I19" s="136"/>
      <c r="J19" s="136"/>
      <c r="K19" s="136"/>
      <c r="L19" s="136"/>
      <c r="M19" s="136"/>
      <c r="N19" s="5"/>
      <c r="O19" s="47"/>
      <c r="P19" s="47"/>
    </row>
    <row r="20" spans="1:16" ht="38.25">
      <c r="A20" s="33"/>
      <c r="B20" s="34">
        <v>39264</v>
      </c>
      <c r="C20" s="34">
        <v>39295</v>
      </c>
      <c r="D20" s="34">
        <v>39326</v>
      </c>
      <c r="E20" s="34">
        <v>39356</v>
      </c>
      <c r="F20" s="34">
        <v>39387</v>
      </c>
      <c r="G20" s="34">
        <v>39417</v>
      </c>
      <c r="H20" s="34">
        <v>39448</v>
      </c>
      <c r="I20" s="34">
        <v>39479</v>
      </c>
      <c r="J20" s="34">
        <v>39508</v>
      </c>
      <c r="K20" s="34">
        <v>39539</v>
      </c>
      <c r="L20" s="34">
        <v>39569</v>
      </c>
      <c r="M20" s="34">
        <v>39600</v>
      </c>
      <c r="N20" s="35" t="s">
        <v>258</v>
      </c>
      <c r="O20" s="56" t="s">
        <v>197</v>
      </c>
      <c r="P20" s="56" t="s">
        <v>154</v>
      </c>
    </row>
    <row r="21" spans="1:16" ht="12.75" customHeight="1">
      <c r="A21" s="148" t="s">
        <v>79</v>
      </c>
      <c r="B21" s="151"/>
      <c r="C21" s="48"/>
      <c r="D21" s="48"/>
      <c r="E21" s="48"/>
      <c r="F21" s="48"/>
      <c r="G21" s="48"/>
      <c r="H21" s="48"/>
      <c r="I21" s="48"/>
      <c r="J21" s="48"/>
      <c r="K21" s="48"/>
      <c r="L21" s="48"/>
      <c r="M21" s="48"/>
      <c r="N21" s="48"/>
      <c r="O21" s="45"/>
      <c r="P21" s="45"/>
    </row>
    <row r="22" spans="1:16" ht="12.75" customHeight="1">
      <c r="A22" s="39" t="s">
        <v>89</v>
      </c>
      <c r="B22" s="137">
        <v>12</v>
      </c>
      <c r="C22" s="125">
        <v>0</v>
      </c>
      <c r="D22" s="125">
        <v>9</v>
      </c>
      <c r="E22" s="125">
        <v>83</v>
      </c>
      <c r="F22" s="125">
        <v>36</v>
      </c>
      <c r="G22" s="125">
        <v>10</v>
      </c>
      <c r="H22" s="40">
        <v>4</v>
      </c>
      <c r="I22" s="40">
        <v>40</v>
      </c>
      <c r="J22" s="40">
        <v>26</v>
      </c>
      <c r="K22" s="40">
        <v>51</v>
      </c>
      <c r="L22" s="40">
        <v>21</v>
      </c>
      <c r="M22" s="40">
        <v>22</v>
      </c>
      <c r="N22" s="41">
        <f>SUM(B22:M22)</f>
        <v>314</v>
      </c>
      <c r="O22" s="42">
        <v>326</v>
      </c>
      <c r="P22" s="43"/>
    </row>
    <row r="23" spans="1:16" ht="12.75" customHeight="1">
      <c r="A23" s="39" t="s">
        <v>328</v>
      </c>
      <c r="B23" s="125">
        <v>31</v>
      </c>
      <c r="C23" s="125">
        <v>0</v>
      </c>
      <c r="D23" s="125">
        <v>17</v>
      </c>
      <c r="E23" s="125">
        <v>281</v>
      </c>
      <c r="F23" s="125">
        <v>99</v>
      </c>
      <c r="G23" s="125">
        <v>60</v>
      </c>
      <c r="H23" s="40">
        <v>7</v>
      </c>
      <c r="I23" s="40">
        <v>166</v>
      </c>
      <c r="J23" s="40">
        <v>78</v>
      </c>
      <c r="K23" s="40">
        <v>152</v>
      </c>
      <c r="L23" s="40">
        <v>117</v>
      </c>
      <c r="M23" s="40">
        <v>109</v>
      </c>
      <c r="N23" s="41">
        <f>SUM(B23:M23)</f>
        <v>1117</v>
      </c>
      <c r="O23" s="42">
        <v>326</v>
      </c>
      <c r="P23" s="43">
        <f>O23/N23</f>
        <v>0.29185317815577438</v>
      </c>
    </row>
    <row r="24" spans="1:16" ht="12.75" customHeight="1">
      <c r="A24" s="39" t="s">
        <v>29</v>
      </c>
      <c r="B24" s="40">
        <v>0</v>
      </c>
      <c r="C24" s="40">
        <v>0</v>
      </c>
      <c r="D24" s="40">
        <v>0</v>
      </c>
      <c r="E24" s="40">
        <v>0</v>
      </c>
      <c r="F24" s="40">
        <v>0</v>
      </c>
      <c r="G24" s="40">
        <v>0</v>
      </c>
      <c r="H24" s="40">
        <v>0</v>
      </c>
      <c r="I24" s="40">
        <v>5</v>
      </c>
      <c r="J24" s="40">
        <v>0</v>
      </c>
      <c r="K24" s="40">
        <v>0</v>
      </c>
      <c r="L24" s="40">
        <v>0</v>
      </c>
      <c r="M24" s="40">
        <v>0</v>
      </c>
      <c r="N24" s="41">
        <f>SUM(B24:M24)</f>
        <v>5</v>
      </c>
      <c r="O24" s="42"/>
      <c r="P24" s="43"/>
    </row>
    <row r="25" spans="1:16" ht="12.75" customHeight="1">
      <c r="A25" s="39" t="s">
        <v>227</v>
      </c>
      <c r="B25" s="65">
        <v>4</v>
      </c>
      <c r="C25" s="65">
        <v>4</v>
      </c>
      <c r="D25" s="65">
        <v>4</v>
      </c>
      <c r="E25" s="65">
        <v>4</v>
      </c>
      <c r="F25" s="65">
        <v>4</v>
      </c>
      <c r="G25" s="65">
        <v>4</v>
      </c>
      <c r="H25" s="65">
        <v>4</v>
      </c>
      <c r="I25" s="65">
        <v>4</v>
      </c>
      <c r="J25" s="65">
        <v>4</v>
      </c>
      <c r="K25" s="65">
        <v>4</v>
      </c>
      <c r="L25" s="65">
        <v>4</v>
      </c>
      <c r="M25" s="65">
        <v>4</v>
      </c>
      <c r="N25" s="65">
        <v>4</v>
      </c>
      <c r="O25" s="15"/>
    </row>
    <row r="26" spans="1:16" ht="12.75" customHeight="1">
      <c r="A26" s="2"/>
      <c r="B26" s="38"/>
      <c r="C26" s="38"/>
      <c r="D26" s="38"/>
      <c r="E26" s="38"/>
      <c r="F26" s="38"/>
      <c r="G26" s="38"/>
      <c r="H26" s="38"/>
      <c r="I26" s="38"/>
      <c r="J26" s="38"/>
      <c r="K26" s="38"/>
      <c r="L26" s="38"/>
      <c r="M26" s="38"/>
      <c r="N26" s="38"/>
    </row>
    <row r="27" spans="1:16" ht="12.75" customHeight="1">
      <c r="A27" s="5"/>
      <c r="B27" s="32"/>
      <c r="C27" s="32"/>
      <c r="D27" s="32"/>
      <c r="E27" s="32"/>
      <c r="F27" s="32"/>
      <c r="G27" s="32"/>
      <c r="H27" s="32"/>
      <c r="I27" s="32"/>
      <c r="J27" s="32"/>
      <c r="K27" s="32"/>
      <c r="L27" s="32"/>
      <c r="M27" s="32"/>
      <c r="N27" s="32"/>
      <c r="O27" s="32"/>
      <c r="P27" s="32"/>
    </row>
    <row r="28" spans="1:16" ht="38.25">
      <c r="A28" s="33"/>
      <c r="B28" s="34">
        <v>39264</v>
      </c>
      <c r="C28" s="34">
        <v>39295</v>
      </c>
      <c r="D28" s="34">
        <v>39326</v>
      </c>
      <c r="E28" s="34">
        <v>39356</v>
      </c>
      <c r="F28" s="34">
        <v>39387</v>
      </c>
      <c r="G28" s="34">
        <v>39417</v>
      </c>
      <c r="H28" s="34">
        <v>39448</v>
      </c>
      <c r="I28" s="34">
        <v>39479</v>
      </c>
      <c r="J28" s="34">
        <v>39508</v>
      </c>
      <c r="K28" s="34">
        <v>39539</v>
      </c>
      <c r="L28" s="34">
        <v>39569</v>
      </c>
      <c r="M28" s="34">
        <v>39600</v>
      </c>
      <c r="N28" s="35" t="s">
        <v>258</v>
      </c>
      <c r="O28" s="56" t="s">
        <v>197</v>
      </c>
      <c r="P28" s="56" t="s">
        <v>154</v>
      </c>
    </row>
    <row r="29" spans="1:16" ht="12.75" customHeight="1">
      <c r="A29" s="148" t="s">
        <v>229</v>
      </c>
      <c r="B29" s="157"/>
      <c r="C29" s="48"/>
      <c r="D29" s="48"/>
      <c r="E29" s="48"/>
      <c r="F29" s="48"/>
      <c r="G29" s="48"/>
      <c r="H29" s="48"/>
      <c r="I29" s="48"/>
      <c r="J29" s="48"/>
      <c r="K29" s="48"/>
      <c r="L29" s="48"/>
      <c r="M29" s="48"/>
      <c r="N29" s="48"/>
      <c r="O29" s="45"/>
      <c r="P29" s="45"/>
    </row>
    <row r="30" spans="1:16" ht="25.5">
      <c r="A30" s="39" t="s">
        <v>89</v>
      </c>
      <c r="B30" s="124" t="s">
        <v>285</v>
      </c>
      <c r="C30" s="124" t="s">
        <v>285</v>
      </c>
      <c r="D30" s="124" t="s">
        <v>285</v>
      </c>
      <c r="E30" s="124" t="s">
        <v>285</v>
      </c>
      <c r="F30" s="124" t="s">
        <v>285</v>
      </c>
      <c r="G30" s="124" t="s">
        <v>285</v>
      </c>
      <c r="H30" s="40" t="s">
        <v>285</v>
      </c>
      <c r="I30" s="40" t="s">
        <v>285</v>
      </c>
      <c r="J30" s="40" t="s">
        <v>285</v>
      </c>
      <c r="K30" s="40">
        <v>21</v>
      </c>
      <c r="L30" s="40">
        <v>2</v>
      </c>
      <c r="M30" s="40">
        <v>3</v>
      </c>
      <c r="N30" s="41">
        <f>SUM(B30:M30)</f>
        <v>26</v>
      </c>
      <c r="O30" s="42">
        <v>10454</v>
      </c>
      <c r="P30" s="43"/>
    </row>
    <row r="31" spans="1:16" ht="25.5">
      <c r="A31" s="39" t="s">
        <v>328</v>
      </c>
      <c r="B31" s="124" t="s">
        <v>285</v>
      </c>
      <c r="C31" s="124" t="s">
        <v>285</v>
      </c>
      <c r="D31" s="124" t="s">
        <v>285</v>
      </c>
      <c r="E31" s="124" t="s">
        <v>285</v>
      </c>
      <c r="F31" s="124" t="s">
        <v>285</v>
      </c>
      <c r="G31" s="124" t="s">
        <v>285</v>
      </c>
      <c r="H31" s="40" t="s">
        <v>285</v>
      </c>
      <c r="I31" s="40" t="s">
        <v>285</v>
      </c>
      <c r="J31" s="40" t="s">
        <v>285</v>
      </c>
      <c r="K31" s="40">
        <v>43</v>
      </c>
      <c r="L31" s="40">
        <v>3</v>
      </c>
      <c r="M31" s="40">
        <v>4</v>
      </c>
      <c r="N31" s="41">
        <f>SUM(B31:M31)</f>
        <v>50</v>
      </c>
      <c r="O31" s="42">
        <v>10454</v>
      </c>
      <c r="P31" s="43">
        <f>O31/N31</f>
        <v>209.08</v>
      </c>
    </row>
    <row r="32" spans="1:16" ht="25.5">
      <c r="A32" s="39" t="s">
        <v>29</v>
      </c>
      <c r="B32" s="90" t="s">
        <v>285</v>
      </c>
      <c r="C32" s="90" t="s">
        <v>285</v>
      </c>
      <c r="D32" s="90" t="s">
        <v>285</v>
      </c>
      <c r="E32" s="90" t="s">
        <v>285</v>
      </c>
      <c r="F32" s="90" t="s">
        <v>285</v>
      </c>
      <c r="G32" s="90" t="s">
        <v>285</v>
      </c>
      <c r="H32" s="90" t="s">
        <v>285</v>
      </c>
      <c r="I32" s="90" t="s">
        <v>285</v>
      </c>
      <c r="J32" s="90" t="s">
        <v>285</v>
      </c>
      <c r="K32" s="90">
        <v>0</v>
      </c>
      <c r="L32" s="90">
        <v>0</v>
      </c>
      <c r="M32" s="90">
        <v>0</v>
      </c>
      <c r="N32" s="91">
        <f>SUM(B32:M32)</f>
        <v>0</v>
      </c>
      <c r="O32" s="42"/>
      <c r="P32" s="43"/>
    </row>
    <row r="33" spans="1:16" ht="12.75" customHeight="1">
      <c r="A33" s="39" t="s">
        <v>227</v>
      </c>
      <c r="B33" s="138">
        <v>3</v>
      </c>
      <c r="C33" s="138">
        <v>3</v>
      </c>
      <c r="D33" s="138">
        <v>3</v>
      </c>
      <c r="E33" s="138">
        <v>3</v>
      </c>
      <c r="F33" s="138">
        <v>3</v>
      </c>
      <c r="G33" s="138">
        <v>3</v>
      </c>
      <c r="H33" s="138">
        <v>3</v>
      </c>
      <c r="I33" s="138">
        <v>3</v>
      </c>
      <c r="J33" s="138">
        <v>3</v>
      </c>
      <c r="K33" s="138">
        <v>3</v>
      </c>
      <c r="L33" s="138">
        <v>3</v>
      </c>
      <c r="M33" s="138">
        <v>3</v>
      </c>
      <c r="N33" s="138">
        <v>3</v>
      </c>
      <c r="O33" s="15"/>
    </row>
    <row r="34" spans="1:16" ht="12.75" customHeight="1">
      <c r="A34" s="2"/>
      <c r="B34" s="38"/>
      <c r="C34" s="38"/>
      <c r="D34" s="38"/>
      <c r="E34" s="38"/>
      <c r="F34" s="38"/>
      <c r="G34" s="38"/>
      <c r="H34" s="38"/>
      <c r="I34" s="38"/>
      <c r="J34" s="38"/>
      <c r="K34" s="38"/>
      <c r="L34" s="38"/>
      <c r="M34" s="38"/>
      <c r="N34" s="38"/>
    </row>
    <row r="35" spans="1:16" ht="12.75" customHeight="1">
      <c r="A35" s="5"/>
      <c r="B35" s="32"/>
      <c r="C35" s="32"/>
      <c r="D35" s="32"/>
      <c r="E35" s="32"/>
      <c r="F35" s="32"/>
      <c r="G35" s="32"/>
      <c r="H35" s="32"/>
      <c r="I35" s="32"/>
      <c r="J35" s="32"/>
      <c r="K35" s="32"/>
      <c r="L35" s="32"/>
      <c r="M35" s="32"/>
      <c r="N35" s="32"/>
      <c r="O35" s="32"/>
      <c r="P35" s="32"/>
    </row>
    <row r="36" spans="1:16" ht="38.25">
      <c r="A36" s="33"/>
      <c r="B36" s="34">
        <v>39264</v>
      </c>
      <c r="C36" s="34">
        <v>39295</v>
      </c>
      <c r="D36" s="34">
        <v>39326</v>
      </c>
      <c r="E36" s="34">
        <v>39356</v>
      </c>
      <c r="F36" s="34">
        <v>39387</v>
      </c>
      <c r="G36" s="34">
        <v>39417</v>
      </c>
      <c r="H36" s="34">
        <v>39448</v>
      </c>
      <c r="I36" s="34">
        <v>39479</v>
      </c>
      <c r="J36" s="34">
        <v>39508</v>
      </c>
      <c r="K36" s="34">
        <v>39539</v>
      </c>
      <c r="L36" s="34">
        <v>39569</v>
      </c>
      <c r="M36" s="34">
        <v>39600</v>
      </c>
      <c r="N36" s="35" t="s">
        <v>258</v>
      </c>
      <c r="O36" s="56" t="s">
        <v>197</v>
      </c>
      <c r="P36" s="56" t="s">
        <v>154</v>
      </c>
    </row>
    <row r="37" spans="1:16" ht="12.75" customHeight="1">
      <c r="A37" s="148" t="s">
        <v>145</v>
      </c>
      <c r="B37" s="157"/>
      <c r="C37" s="157"/>
      <c r="D37" s="157"/>
      <c r="E37" s="157"/>
      <c r="F37" s="48"/>
      <c r="G37" s="48"/>
      <c r="H37" s="48"/>
      <c r="I37" s="48"/>
      <c r="J37" s="48"/>
      <c r="K37" s="48"/>
      <c r="L37" s="48"/>
      <c r="M37" s="48"/>
      <c r="N37" s="48"/>
      <c r="O37" s="45"/>
      <c r="P37" s="45"/>
    </row>
    <row r="38" spans="1:16" ht="25.5">
      <c r="A38" s="39" t="s">
        <v>89</v>
      </c>
      <c r="B38" s="124" t="s">
        <v>285</v>
      </c>
      <c r="C38" s="124" t="s">
        <v>285</v>
      </c>
      <c r="D38" s="124" t="s">
        <v>285</v>
      </c>
      <c r="E38" s="124" t="s">
        <v>285</v>
      </c>
      <c r="F38" s="124" t="s">
        <v>285</v>
      </c>
      <c r="G38" s="124" t="s">
        <v>285</v>
      </c>
      <c r="H38" s="40" t="s">
        <v>285</v>
      </c>
      <c r="I38" s="40" t="s">
        <v>285</v>
      </c>
      <c r="J38" s="40" t="s">
        <v>285</v>
      </c>
      <c r="K38" s="40">
        <v>51</v>
      </c>
      <c r="L38" s="40">
        <v>16</v>
      </c>
      <c r="M38" s="40">
        <v>16</v>
      </c>
      <c r="N38" s="41">
        <f>SUM(B38:M38)</f>
        <v>83</v>
      </c>
      <c r="O38" s="42">
        <v>14792</v>
      </c>
      <c r="P38" s="43"/>
    </row>
    <row r="39" spans="1:16" ht="25.5">
      <c r="A39" s="39" t="s">
        <v>328</v>
      </c>
      <c r="B39" s="124" t="s">
        <v>285</v>
      </c>
      <c r="C39" s="124" t="s">
        <v>285</v>
      </c>
      <c r="D39" s="124" t="s">
        <v>285</v>
      </c>
      <c r="E39" s="124" t="s">
        <v>285</v>
      </c>
      <c r="F39" s="124" t="s">
        <v>285</v>
      </c>
      <c r="G39" s="124" t="s">
        <v>285</v>
      </c>
      <c r="H39" s="40" t="s">
        <v>285</v>
      </c>
      <c r="I39" s="40" t="s">
        <v>285</v>
      </c>
      <c r="J39" s="40" t="s">
        <v>285</v>
      </c>
      <c r="K39" s="40">
        <v>159</v>
      </c>
      <c r="L39" s="40">
        <v>31</v>
      </c>
      <c r="M39" s="40">
        <v>32</v>
      </c>
      <c r="N39" s="41">
        <f>SUM(B39:M39)</f>
        <v>222</v>
      </c>
      <c r="O39" s="42">
        <v>14792</v>
      </c>
      <c r="P39" s="43">
        <f>O39/N39</f>
        <v>66.630630630630634</v>
      </c>
    </row>
    <row r="40" spans="1:16" ht="25.5">
      <c r="A40" s="39" t="s">
        <v>29</v>
      </c>
      <c r="B40" s="40" t="s">
        <v>285</v>
      </c>
      <c r="C40" s="40" t="s">
        <v>285</v>
      </c>
      <c r="D40" s="40" t="s">
        <v>285</v>
      </c>
      <c r="E40" s="40" t="s">
        <v>285</v>
      </c>
      <c r="F40" s="40" t="s">
        <v>285</v>
      </c>
      <c r="G40" s="40" t="s">
        <v>285</v>
      </c>
      <c r="H40" s="40" t="s">
        <v>285</v>
      </c>
      <c r="I40" s="40" t="s">
        <v>285</v>
      </c>
      <c r="J40" s="40" t="s">
        <v>285</v>
      </c>
      <c r="K40" s="40">
        <v>0</v>
      </c>
      <c r="L40" s="40">
        <v>0</v>
      </c>
      <c r="M40" s="40">
        <v>0</v>
      </c>
      <c r="N40" s="41">
        <f>SUM(B40:M40)</f>
        <v>0</v>
      </c>
      <c r="O40" s="42"/>
      <c r="P40" s="43"/>
    </row>
    <row r="41" spans="1:16" ht="12.75" customHeight="1">
      <c r="A41" s="39" t="s">
        <v>227</v>
      </c>
      <c r="B41" s="65">
        <v>3</v>
      </c>
      <c r="C41" s="65">
        <v>3</v>
      </c>
      <c r="D41" s="65">
        <v>3</v>
      </c>
      <c r="E41" s="65">
        <v>3</v>
      </c>
      <c r="F41" s="65">
        <v>3</v>
      </c>
      <c r="G41" s="65">
        <v>3</v>
      </c>
      <c r="H41" s="65">
        <v>3</v>
      </c>
      <c r="I41" s="65">
        <v>3</v>
      </c>
      <c r="J41" s="65">
        <v>3</v>
      </c>
      <c r="K41" s="65">
        <v>3</v>
      </c>
      <c r="L41" s="65">
        <v>3</v>
      </c>
      <c r="M41" s="65">
        <v>3</v>
      </c>
      <c r="N41" s="65">
        <v>3</v>
      </c>
      <c r="O41" s="15"/>
    </row>
    <row r="42" spans="1:16" ht="12.75" customHeight="1">
      <c r="A42" s="2"/>
      <c r="B42" s="38"/>
      <c r="C42" s="38"/>
      <c r="D42" s="38"/>
      <c r="E42" s="38"/>
      <c r="F42" s="38"/>
      <c r="G42" s="38"/>
      <c r="H42" s="38"/>
      <c r="I42" s="38"/>
      <c r="J42" s="38"/>
      <c r="K42" s="38"/>
      <c r="L42" s="38"/>
      <c r="M42" s="38"/>
      <c r="N42" s="38"/>
    </row>
    <row r="43" spans="1:16" ht="12.75" customHeight="1">
      <c r="A43" s="5"/>
      <c r="B43" s="32"/>
      <c r="C43" s="32"/>
      <c r="D43" s="32"/>
      <c r="E43" s="32"/>
      <c r="F43" s="32"/>
      <c r="G43" s="32"/>
      <c r="H43" s="32"/>
      <c r="I43" s="32"/>
      <c r="J43" s="32"/>
      <c r="K43" s="32"/>
      <c r="L43" s="32"/>
      <c r="M43" s="32"/>
      <c r="N43" s="32"/>
      <c r="O43" s="32"/>
      <c r="P43" s="32"/>
    </row>
    <row r="44" spans="1:16" ht="38.25">
      <c r="A44" s="33"/>
      <c r="B44" s="34">
        <v>39264</v>
      </c>
      <c r="C44" s="34">
        <v>39295</v>
      </c>
      <c r="D44" s="34">
        <v>39326</v>
      </c>
      <c r="E44" s="34">
        <v>39356</v>
      </c>
      <c r="F44" s="34">
        <v>39387</v>
      </c>
      <c r="G44" s="34">
        <v>39417</v>
      </c>
      <c r="H44" s="34">
        <v>39448</v>
      </c>
      <c r="I44" s="34">
        <v>39479</v>
      </c>
      <c r="J44" s="34">
        <v>39508</v>
      </c>
      <c r="K44" s="34">
        <v>39539</v>
      </c>
      <c r="L44" s="34">
        <v>39569</v>
      </c>
      <c r="M44" s="34">
        <v>39600</v>
      </c>
      <c r="N44" s="35" t="s">
        <v>258</v>
      </c>
      <c r="O44" s="56" t="s">
        <v>197</v>
      </c>
      <c r="P44" s="56" t="s">
        <v>154</v>
      </c>
    </row>
    <row r="45" spans="1:16" ht="12.75" customHeight="1">
      <c r="A45" s="148" t="s">
        <v>268</v>
      </c>
      <c r="B45" s="157"/>
      <c r="C45" s="48"/>
      <c r="D45" s="48"/>
      <c r="E45" s="48"/>
      <c r="F45" s="48"/>
      <c r="G45" s="48"/>
      <c r="H45" s="48"/>
      <c r="I45" s="48"/>
      <c r="J45" s="48"/>
      <c r="K45" s="48"/>
      <c r="L45" s="48"/>
      <c r="M45" s="48"/>
      <c r="N45" s="48"/>
      <c r="O45" s="45"/>
      <c r="P45" s="45"/>
    </row>
    <row r="46" spans="1:16" ht="12.75" customHeight="1">
      <c r="A46" s="39" t="s">
        <v>89</v>
      </c>
      <c r="B46" s="124" t="s">
        <v>34</v>
      </c>
      <c r="C46" s="124" t="s">
        <v>34</v>
      </c>
      <c r="D46" s="124" t="s">
        <v>34</v>
      </c>
      <c r="E46" s="124" t="s">
        <v>34</v>
      </c>
      <c r="F46" s="124" t="s">
        <v>34</v>
      </c>
      <c r="G46" s="124" t="s">
        <v>34</v>
      </c>
      <c r="H46" s="124" t="s">
        <v>34</v>
      </c>
      <c r="I46" s="124" t="s">
        <v>34</v>
      </c>
      <c r="J46" s="124" t="s">
        <v>34</v>
      </c>
      <c r="K46" s="40">
        <v>14</v>
      </c>
      <c r="L46" s="40">
        <v>13</v>
      </c>
      <c r="M46" s="40">
        <v>8</v>
      </c>
      <c r="N46" s="41">
        <f>SUM(B46:M46)</f>
        <v>35</v>
      </c>
      <c r="O46" s="42">
        <v>14360</v>
      </c>
      <c r="P46" s="43"/>
    </row>
    <row r="47" spans="1:16" ht="12.75" customHeight="1">
      <c r="A47" s="39" t="s">
        <v>328</v>
      </c>
      <c r="B47" s="124" t="s">
        <v>34</v>
      </c>
      <c r="C47" s="124" t="s">
        <v>34</v>
      </c>
      <c r="D47" s="124" t="s">
        <v>34</v>
      </c>
      <c r="E47" s="124" t="s">
        <v>34</v>
      </c>
      <c r="F47" s="124" t="s">
        <v>34</v>
      </c>
      <c r="G47" s="124" t="s">
        <v>34</v>
      </c>
      <c r="H47" s="124" t="s">
        <v>34</v>
      </c>
      <c r="I47" s="124" t="s">
        <v>34</v>
      </c>
      <c r="J47" s="124" t="s">
        <v>34</v>
      </c>
      <c r="K47" s="40">
        <v>37</v>
      </c>
      <c r="L47" s="40">
        <v>37</v>
      </c>
      <c r="M47" s="40">
        <v>59</v>
      </c>
      <c r="N47" s="41">
        <f>SUM(B47:M47)</f>
        <v>133</v>
      </c>
      <c r="O47" s="42">
        <v>14360</v>
      </c>
      <c r="P47" s="43">
        <f>O47/N47</f>
        <v>107.96992481203007</v>
      </c>
    </row>
    <row r="48" spans="1:16" ht="12.75" customHeight="1">
      <c r="A48" s="39" t="s">
        <v>29</v>
      </c>
      <c r="B48" s="40" t="s">
        <v>34</v>
      </c>
      <c r="C48" s="40" t="s">
        <v>34</v>
      </c>
      <c r="D48" s="40" t="s">
        <v>34</v>
      </c>
      <c r="E48" s="40" t="s">
        <v>34</v>
      </c>
      <c r="F48" s="40" t="s">
        <v>34</v>
      </c>
      <c r="G48" s="40" t="s">
        <v>34</v>
      </c>
      <c r="H48" s="40" t="s">
        <v>34</v>
      </c>
      <c r="I48" s="40" t="s">
        <v>34</v>
      </c>
      <c r="J48" s="40" t="s">
        <v>34</v>
      </c>
      <c r="K48" s="40">
        <v>0</v>
      </c>
      <c r="L48" s="40">
        <v>12</v>
      </c>
      <c r="M48" s="40">
        <v>0</v>
      </c>
      <c r="N48" s="41">
        <f>SUM(B48:M48)</f>
        <v>12</v>
      </c>
      <c r="O48" s="42"/>
      <c r="P48" s="43"/>
    </row>
    <row r="49" spans="1:17" ht="12.75" customHeight="1">
      <c r="A49" s="39" t="s">
        <v>227</v>
      </c>
      <c r="B49" s="65">
        <v>3</v>
      </c>
      <c r="C49" s="65">
        <v>3</v>
      </c>
      <c r="D49" s="65">
        <v>3</v>
      </c>
      <c r="E49" s="65">
        <v>3</v>
      </c>
      <c r="F49" s="65">
        <v>3</v>
      </c>
      <c r="G49" s="65">
        <v>3</v>
      </c>
      <c r="H49" s="65">
        <v>3</v>
      </c>
      <c r="I49" s="65">
        <v>3</v>
      </c>
      <c r="J49" s="65">
        <v>3</v>
      </c>
      <c r="K49" s="65">
        <v>3</v>
      </c>
      <c r="L49" s="65">
        <v>3</v>
      </c>
      <c r="M49" s="65">
        <v>3</v>
      </c>
      <c r="N49" s="65">
        <v>3</v>
      </c>
      <c r="O49" s="15"/>
    </row>
    <row r="50" spans="1:17" ht="12.75" customHeight="1">
      <c r="A50" s="2"/>
      <c r="B50" s="38"/>
      <c r="C50" s="38"/>
      <c r="D50" s="38"/>
      <c r="E50" s="38"/>
      <c r="F50" s="38"/>
      <c r="G50" s="38"/>
      <c r="H50" s="38"/>
      <c r="I50" s="38"/>
      <c r="J50" s="38"/>
      <c r="K50" s="38"/>
      <c r="L50" s="38"/>
      <c r="M50" s="38"/>
      <c r="N50" s="38"/>
    </row>
    <row r="51" spans="1:17" ht="12.75" customHeight="1">
      <c r="A51" s="2"/>
    </row>
    <row r="52" spans="1:17" ht="12.75" customHeight="1">
      <c r="A52" s="140" t="s">
        <v>231</v>
      </c>
      <c r="B52" s="144"/>
      <c r="C52" s="144"/>
      <c r="D52" s="144"/>
      <c r="E52" s="144"/>
      <c r="F52" s="144"/>
      <c r="G52" s="144"/>
      <c r="H52" s="144"/>
      <c r="I52" s="144"/>
      <c r="J52" s="144"/>
      <c r="K52" s="144"/>
      <c r="L52" s="144"/>
      <c r="M52" s="144"/>
      <c r="N52" s="144"/>
      <c r="O52" s="144"/>
      <c r="P52" s="144"/>
      <c r="Q52" s="144"/>
    </row>
    <row r="53" spans="1:17" ht="12.75" customHeight="1">
      <c r="A53" s="2"/>
    </row>
    <row r="54" spans="1:17" ht="12.75" customHeight="1">
      <c r="A54" s="2" t="s">
        <v>31</v>
      </c>
      <c r="B54" s="2" t="s">
        <v>310</v>
      </c>
    </row>
    <row r="55" spans="1:17" ht="12.75" customHeight="1">
      <c r="A55" s="2"/>
    </row>
  </sheetData>
  <mergeCells count="6">
    <mergeCell ref="A13:D13"/>
    <mergeCell ref="A21:B21"/>
    <mergeCell ref="A29:B29"/>
    <mergeCell ref="A37:E37"/>
    <mergeCell ref="A45:B45"/>
    <mergeCell ref="A52:Q52"/>
  </mergeCells>
  <pageMargins left="0.75" right="0.75" top="1" bottom="1" header="0.5" footer="0.5"/>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34</vt:i4>
      </vt:variant>
    </vt:vector>
  </HeadingPairs>
  <TitlesOfParts>
    <vt:vector size="34" baseType="lpstr">
      <vt:lpstr>Summary</vt:lpstr>
      <vt:lpstr>ABC-CLIO</vt:lpstr>
      <vt:lpstr>Alexander Street</vt:lpstr>
      <vt:lpstr>ARTstor</vt:lpstr>
      <vt:lpstr>CIAO</vt:lpstr>
      <vt:lpstr>ClassificationWeb</vt:lpstr>
      <vt:lpstr>Cochrane</vt:lpstr>
      <vt:lpstr>CollegeSource</vt:lpstr>
      <vt:lpstr>Compendex(EI)</vt:lpstr>
      <vt:lpstr>CSA</vt:lpstr>
      <vt:lpstr>EBSCOhost</vt:lpstr>
      <vt:lpstr>Elsevier</vt:lpstr>
      <vt:lpstr>FirstSearch</vt:lpstr>
      <vt:lpstr>FSTA</vt:lpstr>
      <vt:lpstr>InfoTrac</vt:lpstr>
      <vt:lpstr>KCDL</vt:lpstr>
      <vt:lpstr>LexisNexis</vt:lpstr>
      <vt:lpstr>MathSciNet</vt:lpstr>
      <vt:lpstr>Mergent</vt:lpstr>
      <vt:lpstr>MetaPress</vt:lpstr>
      <vt:lpstr>MINABS</vt:lpstr>
      <vt:lpstr>MusicIndex</vt:lpstr>
      <vt:lpstr>netLibrary</vt:lpstr>
      <vt:lpstr>Newsbank</vt:lpstr>
      <vt:lpstr>OVID</vt:lpstr>
      <vt:lpstr>Oxford</vt:lpstr>
      <vt:lpstr>ProQuest</vt:lpstr>
      <vt:lpstr>ReferenceUSA</vt:lpstr>
      <vt:lpstr>RefWorks</vt:lpstr>
      <vt:lpstr>SciFinderScholar</vt:lpstr>
      <vt:lpstr>Turfgrass InfoCtr</vt:lpstr>
      <vt:lpstr>WebofScience</vt:lpstr>
      <vt:lpstr>WebSpirs</vt:lpstr>
      <vt:lpstr>WilsonWeb</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cp:lastModifiedBy>
  <dcterms:created xsi:type="dcterms:W3CDTF">2011-03-29T19:09:17Z</dcterms:created>
  <dcterms:modified xsi:type="dcterms:W3CDTF">2011-03-29T19:09:17Z</dcterms:modified>
</cp:coreProperties>
</file>