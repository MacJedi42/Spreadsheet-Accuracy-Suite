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workbookProtection workbookPassword="CBEB" lockStructure="1"/>
  <bookViews>
    <workbookView xWindow="360" yWindow="270" windowWidth="18195" windowHeight="8070"/>
  </bookViews>
  <sheets>
    <sheet name="Excess Cost" sheetId="1" r:id="rId1"/>
    <sheet name="Totals" sheetId="3" r:id="rId2"/>
    <sheet name="Form Assistant for Inter&amp;Coop" sheetId="6" r:id="rId3"/>
    <sheet name="Data" sheetId="5" state="hidden" r:id="rId4"/>
  </sheets>
  <definedNames>
    <definedName name="_xlnm._FilterDatabase" localSheetId="3" hidden="1">Data!$A$1:$Q$70</definedName>
    <definedName name="_xlnm.Print_Area" localSheetId="0">'Excess Cost'!$A$1:$I$54</definedName>
  </definedNames>
  <calcPr calcId="145621"/>
</workbook>
</file>

<file path=xl/calcChain.xml><?xml version="1.0" encoding="utf-8"?>
<calcChain xmlns="http://schemas.openxmlformats.org/spreadsheetml/2006/main">
  <c r="F36" i="1" l="1"/>
  <c r="F34" i="1"/>
  <c r="D2" i="1"/>
  <c r="P25" i="6" l="1"/>
  <c r="G13" i="6"/>
  <c r="G25" i="6" s="1"/>
  <c r="P13" i="6" l="1"/>
  <c r="H26" i="1" l="1"/>
  <c r="H24" i="1"/>
  <c r="H23" i="1"/>
  <c r="H22" i="1"/>
  <c r="H21" i="1"/>
  <c r="H12" i="1"/>
  <c r="H11" i="1"/>
  <c r="H8" i="1"/>
  <c r="H7" i="1"/>
  <c r="F13" i="1"/>
  <c r="F9" i="1"/>
  <c r="F15" i="1" l="1"/>
  <c r="I13" i="1"/>
  <c r="I9" i="1"/>
  <c r="I15" i="1" l="1"/>
  <c r="C2" i="3"/>
  <c r="D2" i="3"/>
  <c r="F31" i="3" l="1"/>
  <c r="E22" i="3"/>
  <c r="E20" i="3"/>
  <c r="E11" i="3"/>
  <c r="E7" i="3"/>
  <c r="G17" i="6" s="1"/>
  <c r="F33" i="3"/>
  <c r="E24" i="3"/>
  <c r="E21" i="3"/>
  <c r="E19" i="3"/>
  <c r="E10" i="3"/>
  <c r="E6" i="3"/>
  <c r="I36" i="1"/>
  <c r="I34" i="1"/>
  <c r="P17" i="6"/>
  <c r="I27" i="1"/>
  <c r="I29" i="1" s="1"/>
  <c r="I41" i="1" l="1"/>
  <c r="I44" i="1" s="1"/>
  <c r="F8" i="3"/>
  <c r="F25" i="3"/>
  <c r="F12" i="3"/>
  <c r="F14" i="3" l="1"/>
  <c r="F27" i="3" s="1"/>
  <c r="F38" i="3" s="1"/>
  <c r="F41" i="3" s="1"/>
  <c r="F27" i="1"/>
  <c r="F29" i="1" s="1"/>
  <c r="F41" i="1" l="1"/>
  <c r="F44" i="1" s="1"/>
</calcChain>
</file>

<file path=xl/comments1.xml><?xml version="1.0" encoding="utf-8"?>
<comments xmlns="http://schemas.openxmlformats.org/spreadsheetml/2006/main">
  <authors>
    <author>Dan D. Robinson</author>
  </authors>
  <commentList>
    <comment ref="C2" authorId="0">
      <text>
        <r>
          <rPr>
            <b/>
            <sz val="10"/>
            <color indexed="81"/>
            <rFont val="Tahoma"/>
            <family val="2"/>
          </rPr>
          <t>Dan D. Robinson:</t>
        </r>
        <r>
          <rPr>
            <sz val="10"/>
            <color indexed="81"/>
            <rFont val="Tahoma"/>
            <family val="2"/>
          </rPr>
          <t xml:space="preserve">
Only enter your LEA's 3 digit number then press the "enter" key or the arrow keys and the worksheet will automatically include the "D0."</t>
        </r>
      </text>
    </comment>
  </commentList>
</comments>
</file>

<file path=xl/sharedStrings.xml><?xml version="1.0" encoding="utf-8"?>
<sst xmlns="http://schemas.openxmlformats.org/spreadsheetml/2006/main" count="184" uniqueCount="145">
  <si>
    <t>Capital Outlay</t>
  </si>
  <si>
    <t>Debt Services</t>
  </si>
  <si>
    <t>Total Expenditures</t>
  </si>
  <si>
    <t>Less Capital Outlay &amp; Debt Services</t>
  </si>
  <si>
    <t>Total Expenditures from all Sources</t>
  </si>
  <si>
    <t>Total Capital Outlay &amp; Debt Services</t>
  </si>
  <si>
    <t xml:space="preserve"> &amp; Debt Services</t>
  </si>
  <si>
    <t>Total Expenditures less Capital Outlay</t>
  </si>
  <si>
    <t>IDEA, Part B</t>
  </si>
  <si>
    <t>ESEA Title I, Part A</t>
  </si>
  <si>
    <t>ESEA Title III, Parts A &amp; B</t>
  </si>
  <si>
    <t>State and Local special education funds</t>
  </si>
  <si>
    <t xml:space="preserve">State and local funds for programs under </t>
  </si>
  <si>
    <t>ESEA Title I, Part A, and ESEA Title III, Parts A &amp; B</t>
  </si>
  <si>
    <t>Special Education Expenditures</t>
  </si>
  <si>
    <t>Prior year's September 20 count</t>
  </si>
  <si>
    <t>Prior year's December 1 count</t>
  </si>
  <si>
    <t>Student</t>
  </si>
  <si>
    <t>Minimum amount LEA must spend in the current year</t>
  </si>
  <si>
    <t xml:space="preserve">for the education of elementary students with </t>
  </si>
  <si>
    <t>disabilities before using IDEA Part B funds</t>
  </si>
  <si>
    <t>Excess Cost Worksheet</t>
  </si>
  <si>
    <t>Year:</t>
  </si>
  <si>
    <t>Total special education deductions</t>
  </si>
  <si>
    <t xml:space="preserve">Total Expenditures less </t>
  </si>
  <si>
    <t>Coop_ServCtr</t>
  </si>
  <si>
    <t>LEA Name</t>
  </si>
  <si>
    <t>Nemaha Central</t>
  </si>
  <si>
    <t>Turner-Kansas City</t>
  </si>
  <si>
    <t>Blue Valley</t>
  </si>
  <si>
    <t>Spring Hill</t>
  </si>
  <si>
    <t>Gardner Edgerton</t>
  </si>
  <si>
    <t>De Soto</t>
  </si>
  <si>
    <t>Olathe</t>
  </si>
  <si>
    <t>Fort Scott</t>
  </si>
  <si>
    <t>Coffey County Special Services Coop</t>
  </si>
  <si>
    <t>Flint Hills Special Ed. Coop</t>
  </si>
  <si>
    <t>Wichita</t>
  </si>
  <si>
    <t>Derby</t>
  </si>
  <si>
    <t>Haysville</t>
  </si>
  <si>
    <t>Mulvane</t>
  </si>
  <si>
    <t>Beloit Special Ed. Coop</t>
  </si>
  <si>
    <t>Chautauqua &amp; Elk Co. Special Ed. Coop</t>
  </si>
  <si>
    <t>Ottawa</t>
  </si>
  <si>
    <t>Central KS Ed. in Coop</t>
  </si>
  <si>
    <t>Hutchinson</t>
  </si>
  <si>
    <t>Special Services Coop of Wamego</t>
  </si>
  <si>
    <t>Kaw Valley</t>
  </si>
  <si>
    <t>Mission Valley</t>
  </si>
  <si>
    <t>Learning Coop of North Central KS</t>
  </si>
  <si>
    <t>Holton Special Ed. Coop</t>
  </si>
  <si>
    <t>Seaman</t>
  </si>
  <si>
    <t>Wellington</t>
  </si>
  <si>
    <t>Marshall Co. Special Ed. Coop</t>
  </si>
  <si>
    <t>East Central KS Special Ed. Coop Paola</t>
  </si>
  <si>
    <t>Silver Lake</t>
  </si>
  <si>
    <t>Harvey Co.Special Ed. Coop</t>
  </si>
  <si>
    <t>Twin Lakes Ed. Coop</t>
  </si>
  <si>
    <t>Manhattan-Ogden</t>
  </si>
  <si>
    <t>Eureka</t>
  </si>
  <si>
    <t>Rice Co. Special Ed. Coop</t>
  </si>
  <si>
    <t>Russell County</t>
  </si>
  <si>
    <t>Atchison</t>
  </si>
  <si>
    <t>McPherson Co. Special Ed. Coop</t>
  </si>
  <si>
    <t>Barton Co. Special Services Coop</t>
  </si>
  <si>
    <t>Auburn Washburn</t>
  </si>
  <si>
    <t>Shawnee Heights</t>
  </si>
  <si>
    <t>Leavenworth Co. Special Ed. Coop</t>
  </si>
  <si>
    <t>Garden City</t>
  </si>
  <si>
    <t>Cowley Co. Special Services Coop</t>
  </si>
  <si>
    <t>Geary</t>
  </si>
  <si>
    <t>Liberal</t>
  </si>
  <si>
    <t>West Central KS Special Ed. Coop</t>
  </si>
  <si>
    <t>Butler Co. Special Ed. Coop</t>
  </si>
  <si>
    <t>Tri-County Special Services</t>
  </si>
  <si>
    <t>Lawrence</t>
  </si>
  <si>
    <t>Wyandotte Co.Special Ed. Coop</t>
  </si>
  <si>
    <t>Topeka</t>
  </si>
  <si>
    <t>Shawnee Mission</t>
  </si>
  <si>
    <t>Northwest KS Ed. Service Ctr</t>
  </si>
  <si>
    <t>ANW Special Ed. Coop</t>
  </si>
  <si>
    <t>South Central KS Special Ed. Coop</t>
  </si>
  <si>
    <t>Tri-County Ed. Coop</t>
  </si>
  <si>
    <t>Northeast KS Ed. Svc Center</t>
  </si>
  <si>
    <t>Reno Co. Ed. Coop</t>
  </si>
  <si>
    <t>High Plains Special Ed. Coop</t>
  </si>
  <si>
    <t>Southwest KS Area Coop</t>
  </si>
  <si>
    <t>East Central KS Coop in Ed.</t>
  </si>
  <si>
    <t>Brown Co. KS Special Ed. Interlocal</t>
  </si>
  <si>
    <t>Doniphan Co. Ed. Coop</t>
  </si>
  <si>
    <t>Marion Co. Special Ed. Coop</t>
  </si>
  <si>
    <t>Sedgwick Co. Area Ed. Services Interlocal</t>
  </si>
  <si>
    <t>Sumner Co. Ed. Services</t>
  </si>
  <si>
    <t>Three Lakes Ed. Coop</t>
  </si>
  <si>
    <t>North Central KS Special Ed. Coop</t>
  </si>
  <si>
    <t>Southeast KS Interlocal</t>
  </si>
  <si>
    <t>`</t>
  </si>
  <si>
    <t>2011-2012</t>
  </si>
  <si>
    <t>Note: The data provided on this tab is informational only and is directly populated from the annual district budgets submitted to KSDE in July.  No action is required by district officials on this tab.</t>
  </si>
  <si>
    <t xml:space="preserve">Average annual expenditure per LEA </t>
  </si>
  <si>
    <t>Secondary (9-12, NG)</t>
  </si>
  <si>
    <t>Elementary (PreK-8)</t>
  </si>
  <si>
    <t>LEA</t>
  </si>
  <si>
    <t>Total for LEA</t>
  </si>
  <si>
    <t>I certify to the best of my knowledge the information provided is accurate and correct .</t>
  </si>
  <si>
    <t>Signature of LEA's Authorized Representative:</t>
  </si>
  <si>
    <t>Print Name and Title:</t>
  </si>
  <si>
    <t>Date:</t>
  </si>
  <si>
    <t>Non-Fed Expend</t>
  </si>
  <si>
    <t>Fed Expend</t>
  </si>
  <si>
    <t>Cap_Outlay</t>
  </si>
  <si>
    <t>IDEA_Draw</t>
  </si>
  <si>
    <t>TitleI_Draw</t>
  </si>
  <si>
    <t>TitleIII_Draw</t>
  </si>
  <si>
    <t>Sped Fund</t>
  </si>
  <si>
    <t>Coop Fund</t>
  </si>
  <si>
    <t>Sped_Expend</t>
  </si>
  <si>
    <t>Bil_Expend</t>
  </si>
  <si>
    <t>PK-8_Hdct</t>
  </si>
  <si>
    <t>9-12,NG_Hdct</t>
  </si>
  <si>
    <t>Debt_Service</t>
  </si>
  <si>
    <t>Federal Funds</t>
  </si>
  <si>
    <t>State &amp; Local</t>
  </si>
  <si>
    <t>Prior school year's total expenditures from all sources less capital outlay and debt service.</t>
  </si>
  <si>
    <t>Deduct prior year's special education expenditures.</t>
  </si>
  <si>
    <t>Prior year's school enrollments.</t>
  </si>
  <si>
    <t>Current year's excess cost results.</t>
  </si>
  <si>
    <t>Child Count elementary</t>
  </si>
  <si>
    <t>Child Count Secondary</t>
  </si>
  <si>
    <t>Note: All requested data are from the prior school year (the 2010-2011 school year).</t>
  </si>
  <si>
    <t>Total</t>
  </si>
  <si>
    <t>Total state and local special education funds on the "Total" tab of the LEA worksheet</t>
  </si>
  <si>
    <t>Total Federal funds on the "Total" tab of the LEA worksheet</t>
  </si>
  <si>
    <r>
      <rPr>
        <b/>
        <u/>
        <sz val="14"/>
        <rFont val="Calibri"/>
        <family val="2"/>
        <scheme val="minor"/>
      </rPr>
      <t>BOTH COOP &amp; INTERLOCAL DIRECTORS</t>
    </r>
    <r>
      <rPr>
        <b/>
        <sz val="14"/>
        <rFont val="Calibri"/>
        <family val="2"/>
        <scheme val="minor"/>
      </rPr>
      <t xml:space="preserve"> </t>
    </r>
    <r>
      <rPr>
        <sz val="14"/>
        <rFont val="Calibri"/>
        <family val="2"/>
        <scheme val="minor"/>
      </rPr>
      <t>complete this section to determine the secondary Federal expenditures for the "Excess Cost" tab of this workbook.</t>
    </r>
  </si>
  <si>
    <r>
      <rPr>
        <b/>
        <u/>
        <sz val="14"/>
        <rFont val="Calibri"/>
        <family val="2"/>
        <scheme val="minor"/>
      </rPr>
      <t>STEP 1:</t>
    </r>
    <r>
      <rPr>
        <sz val="11"/>
        <rFont val="Calibri"/>
        <family val="2"/>
        <scheme val="minor"/>
      </rPr>
      <t xml:space="preserve">  Sum the </t>
    </r>
    <r>
      <rPr>
        <b/>
        <u/>
        <sz val="11"/>
        <rFont val="Calibri"/>
        <family val="2"/>
        <scheme val="minor"/>
      </rPr>
      <t>Elementary</t>
    </r>
    <r>
      <rPr>
        <sz val="11"/>
        <rFont val="Calibri"/>
        <family val="2"/>
        <scheme val="minor"/>
      </rPr>
      <t xml:space="preserve"> Federal expenditures from the member district worksheets and enter the total in this box </t>
    </r>
  </si>
  <si>
    <r>
      <rPr>
        <b/>
        <u/>
        <sz val="14"/>
        <rFont val="Calibri"/>
        <family val="2"/>
        <scheme val="minor"/>
      </rPr>
      <t>STEP 2:</t>
    </r>
    <r>
      <rPr>
        <sz val="11"/>
        <rFont val="Calibri"/>
        <family val="2"/>
        <scheme val="minor"/>
      </rPr>
      <t xml:space="preserve">  Sum the </t>
    </r>
    <r>
      <rPr>
        <b/>
        <u/>
        <sz val="11"/>
        <rFont val="Calibri"/>
        <family val="2"/>
        <scheme val="minor"/>
      </rPr>
      <t>Secondary</t>
    </r>
    <r>
      <rPr>
        <sz val="11"/>
        <rFont val="Calibri"/>
        <family val="2"/>
        <scheme val="minor"/>
      </rPr>
      <t xml:space="preserve"> Federal expenditures from the member district worksheets and enter the total in this box </t>
    </r>
  </si>
  <si>
    <r>
      <rPr>
        <b/>
        <u/>
        <sz val="14"/>
        <rFont val="Calibri"/>
        <family val="2"/>
        <scheme val="minor"/>
      </rPr>
      <t xml:space="preserve">Step 4: </t>
    </r>
    <r>
      <rPr>
        <sz val="11"/>
        <rFont val="Calibri"/>
        <family val="2"/>
        <scheme val="minor"/>
      </rPr>
      <t>Add the amount in Step 2 to the secondary specific expenditures identified in Step 3.  Enter that amount in the shaded cell for Secondary Federal expenditures in the "Excess Cost" tab of this workbook.</t>
    </r>
  </si>
  <si>
    <r>
      <rPr>
        <b/>
        <u/>
        <sz val="14"/>
        <color theme="0"/>
        <rFont val="Calibri"/>
        <family val="2"/>
        <scheme val="minor"/>
      </rPr>
      <t>STEP 1:</t>
    </r>
    <r>
      <rPr>
        <sz val="11"/>
        <color theme="0"/>
        <rFont val="Calibri"/>
        <family val="2"/>
        <scheme val="minor"/>
      </rPr>
      <t xml:space="preserve">  Sum the </t>
    </r>
    <r>
      <rPr>
        <b/>
        <u/>
        <sz val="11"/>
        <color theme="0"/>
        <rFont val="Calibri"/>
        <family val="2"/>
        <scheme val="minor"/>
      </rPr>
      <t>Elementary</t>
    </r>
    <r>
      <rPr>
        <sz val="11"/>
        <color theme="0"/>
        <rFont val="Calibri"/>
        <family val="2"/>
        <scheme val="minor"/>
      </rPr>
      <t xml:space="preserve"> state and local special education expenditures from the member district worksheets and enter the total in this box</t>
    </r>
  </si>
  <si>
    <r>
      <rPr>
        <b/>
        <u/>
        <sz val="14"/>
        <color theme="0"/>
        <rFont val="Calibri"/>
        <family val="2"/>
        <scheme val="minor"/>
      </rPr>
      <t>STEP 2:</t>
    </r>
    <r>
      <rPr>
        <sz val="11"/>
        <color theme="0"/>
        <rFont val="Calibri"/>
        <family val="2"/>
        <scheme val="minor"/>
      </rPr>
      <t xml:space="preserve"> Sum the </t>
    </r>
    <r>
      <rPr>
        <b/>
        <u/>
        <sz val="11"/>
        <color theme="0"/>
        <rFont val="Calibri"/>
        <family val="2"/>
        <scheme val="minor"/>
      </rPr>
      <t>Secondary</t>
    </r>
    <r>
      <rPr>
        <sz val="11"/>
        <color theme="0"/>
        <rFont val="Calibri"/>
        <family val="2"/>
        <scheme val="minor"/>
      </rPr>
      <t xml:space="preserve"> state and local special education expenditures from the member district worksheets and enter the total in this box</t>
    </r>
  </si>
  <si>
    <r>
      <rPr>
        <b/>
        <u/>
        <sz val="14"/>
        <color theme="0"/>
        <rFont val="Calibri"/>
        <family val="2"/>
        <scheme val="minor"/>
      </rPr>
      <t>Step 4:</t>
    </r>
    <r>
      <rPr>
        <sz val="11"/>
        <color theme="0"/>
        <rFont val="Calibri"/>
        <family val="2"/>
        <scheme val="minor"/>
      </rPr>
      <t xml:space="preserve"> Add the amount in Step 2 to the secondary specific expenditures identified in Step 3.  Enter that amount in the shaded cell for Secondary state and local special education expenditures in the "Excess Cost" tab of this workbook.</t>
    </r>
  </si>
  <si>
    <r>
      <rPr>
        <b/>
        <u/>
        <sz val="14"/>
        <color theme="0"/>
        <rFont val="Calibri"/>
        <family val="2"/>
        <scheme val="minor"/>
      </rPr>
      <t>COOP DIRECTORS ONLY must</t>
    </r>
    <r>
      <rPr>
        <b/>
        <sz val="14"/>
        <color theme="0"/>
        <rFont val="Calibri"/>
        <family val="2"/>
        <scheme val="minor"/>
      </rPr>
      <t xml:space="preserve"> also </t>
    </r>
    <r>
      <rPr>
        <sz val="14"/>
        <color theme="0"/>
        <rFont val="Calibri"/>
        <family val="2"/>
        <scheme val="minor"/>
      </rPr>
      <t>complete this section to determine the secondary state and local special education expenditures for the "Excess Cost" tab of this workbook.</t>
    </r>
  </si>
  <si>
    <r>
      <rPr>
        <b/>
        <u/>
        <sz val="14"/>
        <rFont val="Calibri"/>
        <family val="2"/>
        <scheme val="minor"/>
      </rPr>
      <t>STEP 3:</t>
    </r>
    <r>
      <rPr>
        <sz val="11"/>
        <rFont val="Calibri"/>
        <family val="2"/>
        <scheme val="minor"/>
      </rPr>
      <t xml:space="preserve"> This is the amount of Federal funds, which represents the IDEA portion of Federal funds spent at the Coop level and subsequently the amount of which the special ed director will need to identify secondary specific expenditures.  Refer to the Excess Cost LEA notes for guidance on identifying secondary specific expenditures.</t>
    </r>
  </si>
  <si>
    <r>
      <rPr>
        <b/>
        <u/>
        <sz val="14"/>
        <color theme="0"/>
        <rFont val="Calibri"/>
        <family val="2"/>
        <scheme val="minor"/>
      </rPr>
      <t>STEP 3:</t>
    </r>
    <r>
      <rPr>
        <sz val="11"/>
        <color theme="0"/>
        <rFont val="Calibri"/>
        <family val="2"/>
        <scheme val="minor"/>
      </rPr>
      <t xml:space="preserve"> This is the amount of state and local special education funds spent at the Coop level and subsequently the amount from which the special ed director will need to identify secondary specific expenditures. Refer to the LEA Worksheet notes for guidance on identifying secondary specific expenditures.</t>
    </r>
  </si>
  <si>
    <t>Robinson LEA</t>
  </si>
  <si>
    <t>Please return this completed worksheet and any Member District worksheets to the Special Education Team of the Kansas State Department of Education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</si>
</sst>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quot;D0&quot;###"/>
  </numFmts>
  <fonts count="40" x14ac:knownFonts="1">
    <font>
      <sz val="11"/>
      <color theme="1"/>
      <name val="Calibri"/>
      <family val="2"/>
      <scheme val="minor"/>
    </font>
    <font>
      <sz val="14"/>
      <color theme="1"/>
      <name val="Calibri"/>
      <family val="2"/>
      <scheme val="minor"/>
    </font>
    <font>
      <sz val="10"/>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Calibri"/>
      <family val="2"/>
      <scheme val="minor"/>
    </font>
    <font>
      <sz val="11"/>
      <color indexed="8"/>
      <name val="Calibri"/>
      <family val="2"/>
    </font>
    <font>
      <sz val="10"/>
      <color indexed="8"/>
      <name val="Arial"/>
      <family val="2"/>
    </font>
    <font>
      <sz val="11"/>
      <color indexed="8"/>
      <name val="Calibri"/>
      <family val="2"/>
    </font>
    <font>
      <b/>
      <sz val="14"/>
      <color theme="1"/>
      <name val="Calibri"/>
      <family val="2"/>
      <scheme val="minor"/>
    </font>
    <font>
      <sz val="10"/>
      <color indexed="8"/>
      <name val="Arial"/>
      <family val="2"/>
    </font>
    <font>
      <b/>
      <sz val="10"/>
      <color indexed="81"/>
      <name val="Tahoma"/>
      <family val="2"/>
    </font>
    <font>
      <sz val="10"/>
      <color indexed="81"/>
      <name val="Tahoma"/>
      <family val="2"/>
    </font>
    <font>
      <b/>
      <sz val="14"/>
      <color theme="0"/>
      <name val="Calibri"/>
      <family val="2"/>
      <scheme val="minor"/>
    </font>
    <font>
      <sz val="10"/>
      <color theme="0"/>
      <name val="Calibri"/>
      <family val="2"/>
      <scheme val="minor"/>
    </font>
    <font>
      <b/>
      <u/>
      <sz val="14"/>
      <color theme="0"/>
      <name val="Calibri"/>
      <family val="2"/>
      <scheme val="minor"/>
    </font>
    <font>
      <sz val="14"/>
      <color theme="0"/>
      <name val="Calibri"/>
      <family val="2"/>
      <scheme val="minor"/>
    </font>
    <font>
      <b/>
      <u/>
      <sz val="11"/>
      <color theme="0"/>
      <name val="Calibri"/>
      <family val="2"/>
      <scheme val="minor"/>
    </font>
    <font>
      <b/>
      <sz val="14"/>
      <name val="Calibri"/>
      <family val="2"/>
      <scheme val="minor"/>
    </font>
    <font>
      <sz val="11"/>
      <name val="Calibri"/>
      <family val="2"/>
      <scheme val="minor"/>
    </font>
    <font>
      <sz val="10"/>
      <name val="Calibri"/>
      <family val="2"/>
      <scheme val="minor"/>
    </font>
    <font>
      <b/>
      <u/>
      <sz val="14"/>
      <name val="Calibri"/>
      <family val="2"/>
      <scheme val="minor"/>
    </font>
    <font>
      <sz val="14"/>
      <name val="Calibri"/>
      <family val="2"/>
      <scheme val="minor"/>
    </font>
    <font>
      <b/>
      <u/>
      <sz val="11"/>
      <name val="Calibri"/>
      <family val="2"/>
      <scheme val="minor"/>
    </font>
    <font>
      <b/>
      <sz val="12"/>
      <color theme="1"/>
      <name val="Calibri"/>
      <family val="2"/>
      <scheme val="minor"/>
    </font>
  </fonts>
  <fills count="40">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0"/>
      </patternFill>
    </fill>
    <fill>
      <patternFill patternType="solid">
        <fgColor rgb="FFFFC000"/>
        <bgColor indexed="64"/>
      </patternFill>
    </fill>
    <fill>
      <patternFill patternType="solid">
        <fgColor theme="7" tint="-0.249977111117893"/>
        <bgColor indexed="64"/>
      </patternFill>
    </fill>
    <fill>
      <patternFill patternType="solid">
        <fgColor theme="3" tint="0.59999389629810485"/>
        <bgColor indexed="64"/>
      </patternFill>
    </fill>
  </fills>
  <borders count="3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top/>
      <bottom style="double">
        <color indexed="64"/>
      </bottom>
      <diagonal/>
    </border>
    <border>
      <left/>
      <right style="thin">
        <color indexed="64"/>
      </right>
      <top/>
      <bottom style="double">
        <color indexed="64"/>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double">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indexed="64"/>
      </left>
      <right/>
      <top/>
      <bottom style="thin">
        <color theme="0"/>
      </bottom>
      <diagonal/>
    </border>
    <border>
      <left style="thin">
        <color indexed="64"/>
      </left>
      <right/>
      <top/>
      <bottom style="double">
        <color theme="0"/>
      </bottom>
      <diagonal/>
    </border>
    <border>
      <left style="thin">
        <color theme="0"/>
      </left>
      <right style="thin">
        <color theme="0"/>
      </right>
      <top/>
      <bottom style="thin">
        <color theme="0"/>
      </bottom>
      <diagonal/>
    </border>
    <border>
      <left/>
      <right/>
      <top/>
      <bottom style="double">
        <color theme="0"/>
      </bottom>
      <diagonal/>
    </border>
    <border>
      <left style="thin">
        <color theme="0"/>
      </left>
      <right style="thin">
        <color theme="0"/>
      </right>
      <top style="thin">
        <color theme="0"/>
      </top>
      <bottom style="double">
        <color theme="0"/>
      </bottom>
      <diagonal/>
    </border>
    <border>
      <left style="thin">
        <color indexed="22"/>
      </left>
      <right style="thin">
        <color indexed="22"/>
      </right>
      <top/>
      <bottom/>
      <diagonal/>
    </border>
  </borders>
  <cellStyleXfs count="52">
    <xf numFmtId="0" fontId="0" fillId="0" borderId="0"/>
    <xf numFmtId="0" fontId="9" fillId="5" borderId="0" applyNumberFormat="0" applyBorder="0" applyAlignment="0" applyProtection="0"/>
    <xf numFmtId="0" fontId="10" fillId="6" borderId="0" applyNumberFormat="0" applyBorder="0" applyAlignment="0" applyProtection="0"/>
    <xf numFmtId="0" fontId="11" fillId="7" borderId="0" applyNumberFormat="0" applyBorder="0" applyAlignment="0" applyProtection="0"/>
    <xf numFmtId="0" fontId="12" fillId="8" borderId="12" applyNumberFormat="0" applyAlignment="0" applyProtection="0"/>
    <xf numFmtId="0" fontId="13" fillId="9" borderId="13" applyNumberFormat="0" applyAlignment="0" applyProtection="0"/>
    <xf numFmtId="0" fontId="14" fillId="9" borderId="12" applyNumberFormat="0" applyAlignment="0" applyProtection="0"/>
    <xf numFmtId="0" fontId="16" fillId="10" borderId="15" applyNumberFormat="0" applyAlignment="0" applyProtection="0"/>
    <xf numFmtId="0" fontId="4" fillId="11" borderId="16" applyNumberFormat="0" applyFont="0" applyAlignment="0" applyProtection="0"/>
    <xf numFmtId="0" fontId="19"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19" fillId="27" borderId="0" applyNumberFormat="0" applyBorder="0" applyAlignment="0" applyProtection="0"/>
    <xf numFmtId="0" fontId="19"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19" fillId="35" borderId="0" applyNumberFormat="0" applyBorder="0" applyAlignment="0" applyProtection="0"/>
    <xf numFmtId="0" fontId="20" fillId="0" borderId="0"/>
    <xf numFmtId="44" fontId="20" fillId="0" borderId="0" applyFont="0" applyFill="0" applyBorder="0" applyAlignment="0" applyProtection="0"/>
    <xf numFmtId="0" fontId="5" fillId="0" borderId="0" applyNumberFormat="0" applyFill="0" applyBorder="0" applyAlignment="0" applyProtection="0"/>
    <xf numFmtId="0" fontId="6" fillId="0" borderId="9" applyNumberFormat="0" applyFill="0" applyAlignment="0" applyProtection="0"/>
    <xf numFmtId="0" fontId="7" fillId="0" borderId="10" applyNumberFormat="0" applyFill="0" applyAlignment="0" applyProtection="0"/>
    <xf numFmtId="0" fontId="8" fillId="0" borderId="11" applyNumberFormat="0" applyFill="0" applyAlignment="0" applyProtection="0"/>
    <xf numFmtId="0" fontId="8" fillId="0" borderId="0" applyNumberFormat="0" applyFill="0" applyBorder="0" applyAlignment="0" applyProtection="0"/>
    <xf numFmtId="0" fontId="15" fillId="0" borderId="14" applyNumberFormat="0" applyFill="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3" fillId="0" borderId="17" applyNumberFormat="0" applyFill="0" applyAlignment="0" applyProtection="0"/>
    <xf numFmtId="0" fontId="4" fillId="0" borderId="0"/>
    <xf numFmtId="0" fontId="4" fillId="0" borderId="0"/>
    <xf numFmtId="0" fontId="20" fillId="0" borderId="0"/>
    <xf numFmtId="0" fontId="4" fillId="0" borderId="0"/>
    <xf numFmtId="0" fontId="22" fillId="0" borderId="0"/>
    <xf numFmtId="0" fontId="22" fillId="0" borderId="0"/>
    <xf numFmtId="0" fontId="25" fillId="0" borderId="0"/>
    <xf numFmtId="0" fontId="22" fillId="0" borderId="0"/>
  </cellStyleXfs>
  <cellXfs count="144">
    <xf numFmtId="0" fontId="0" fillId="0" borderId="0" xfId="0"/>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2" fillId="0" borderId="5" xfId="0" applyFont="1" applyBorder="1"/>
    <xf numFmtId="0" fontId="2" fillId="0" borderId="0" xfId="0" applyFont="1" applyBorder="1"/>
    <xf numFmtId="0" fontId="2" fillId="0" borderId="7" xfId="0" applyFont="1" applyBorder="1"/>
    <xf numFmtId="44" fontId="2" fillId="0" borderId="5" xfId="0" applyNumberFormat="1" applyFont="1" applyBorder="1"/>
    <xf numFmtId="44" fontId="2" fillId="0" borderId="8" xfId="0" applyNumberFormat="1" applyFont="1" applyBorder="1"/>
    <xf numFmtId="44" fontId="0" fillId="0" borderId="5" xfId="0" applyNumberFormat="1" applyBorder="1"/>
    <xf numFmtId="44" fontId="2" fillId="0" borderId="0" xfId="0" applyNumberFormat="1" applyFont="1" applyBorder="1"/>
    <xf numFmtId="44" fontId="2" fillId="0" borderId="7" xfId="0" applyNumberFormat="1" applyFont="1" applyBorder="1"/>
    <xf numFmtId="0" fontId="0" fillId="0" borderId="0" xfId="0" applyAlignment="1">
      <alignment horizontal="right"/>
    </xf>
    <xf numFmtId="0" fontId="3" fillId="0" borderId="0" xfId="0" applyFont="1" applyAlignment="1">
      <alignment horizontal="right"/>
    </xf>
    <xf numFmtId="0" fontId="3" fillId="0" borderId="0" xfId="0" applyFont="1"/>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0" xfId="0" applyAlignment="1">
      <alignment vertical="top" wrapText="1"/>
    </xf>
    <xf numFmtId="44" fontId="0" fillId="0" borderId="0" xfId="0" applyNumberFormat="1" applyBorder="1"/>
    <xf numFmtId="0" fontId="0" fillId="0" borderId="0" xfId="0" applyBorder="1" applyAlignment="1">
      <alignment horizontal="center" vertical="center" wrapText="1"/>
    </xf>
    <xf numFmtId="44" fontId="2" fillId="0" borderId="0" xfId="0" applyNumberFormat="1" applyFont="1" applyFill="1" applyBorder="1"/>
    <xf numFmtId="44" fontId="2" fillId="0" borderId="7" xfId="0" applyNumberFormat="1" applyFont="1" applyFill="1" applyBorder="1"/>
    <xf numFmtId="1" fontId="0" fillId="0" borderId="8" xfId="0" applyNumberFormat="1" applyBorder="1"/>
    <xf numFmtId="0" fontId="0" fillId="0" borderId="0" xfId="0"/>
    <xf numFmtId="1" fontId="0" fillId="0" borderId="5" xfId="0" applyNumberFormat="1" applyBorder="1"/>
    <xf numFmtId="0" fontId="21" fillId="0" borderId="19" xfId="48" applyFont="1" applyFill="1" applyBorder="1" applyAlignment="1">
      <alignment wrapText="1"/>
    </xf>
    <xf numFmtId="0" fontId="23" fillId="36" borderId="18" xfId="48" applyFont="1" applyFill="1" applyBorder="1" applyAlignment="1">
      <alignment horizontal="center"/>
    </xf>
    <xf numFmtId="0" fontId="24" fillId="0" borderId="0" xfId="0" applyFont="1" applyAlignment="1">
      <alignment horizontal="right"/>
    </xf>
    <xf numFmtId="0" fontId="1" fillId="0" borderId="0" xfId="0" applyFont="1" applyFill="1"/>
    <xf numFmtId="164" fontId="3" fillId="0" borderId="0" xfId="0" applyNumberFormat="1" applyFont="1" applyFill="1"/>
    <xf numFmtId="1" fontId="0" fillId="0" borderId="0" xfId="0" applyNumberFormat="1" applyFill="1" applyBorder="1"/>
    <xf numFmtId="1" fontId="0" fillId="0" borderId="7" xfId="0" applyNumberFormat="1" applyFill="1" applyBorder="1"/>
    <xf numFmtId="44" fontId="0" fillId="0" borderId="20" xfId="0" applyNumberFormat="1" applyFill="1" applyBorder="1"/>
    <xf numFmtId="44" fontId="0" fillId="0" borderId="21" xfId="0" applyNumberFormat="1" applyFill="1" applyBorder="1"/>
    <xf numFmtId="0" fontId="0" fillId="0" borderId="0" xfId="0" applyBorder="1" applyAlignment="1">
      <alignment vertical="top" wrapText="1"/>
    </xf>
    <xf numFmtId="0" fontId="0" fillId="0" borderId="0" xfId="0" applyBorder="1" applyAlignment="1">
      <alignment horizontal="right"/>
    </xf>
    <xf numFmtId="0" fontId="0" fillId="0" borderId="8" xfId="0" applyBorder="1"/>
    <xf numFmtId="0" fontId="21" fillId="36" borderId="18" xfId="49" applyFont="1" applyFill="1" applyBorder="1" applyAlignment="1">
      <alignment horizontal="center"/>
    </xf>
    <xf numFmtId="0" fontId="21" fillId="0" borderId="19" xfId="49" applyFont="1" applyFill="1" applyBorder="1" applyAlignment="1">
      <alignment horizontal="right" wrapText="1"/>
    </xf>
    <xf numFmtId="164" fontId="21" fillId="0" borderId="19" xfId="49" applyNumberFormat="1" applyFont="1" applyFill="1" applyBorder="1" applyAlignment="1">
      <alignment wrapText="1"/>
    </xf>
    <xf numFmtId="44" fontId="0" fillId="0" borderId="7" xfId="0" applyNumberFormat="1" applyBorder="1"/>
    <xf numFmtId="44" fontId="0" fillId="0" borderId="8" xfId="0" applyNumberFormat="1" applyBorder="1"/>
    <xf numFmtId="44" fontId="2" fillId="0" borderId="20" xfId="0" applyNumberFormat="1" applyFont="1" applyBorder="1"/>
    <xf numFmtId="44" fontId="2" fillId="2" borderId="23" xfId="0" applyNumberFormat="1" applyFont="1" applyFill="1" applyBorder="1" applyProtection="1">
      <protection locked="0"/>
    </xf>
    <xf numFmtId="44" fontId="2" fillId="0" borderId="7" xfId="0" applyNumberFormat="1" applyFont="1" applyFill="1" applyBorder="1" applyAlignment="1">
      <alignment horizontal="right"/>
    </xf>
    <xf numFmtId="44" fontId="2" fillId="0" borderId="0" xfId="0" applyNumberFormat="1" applyFont="1" applyBorder="1" applyAlignment="1">
      <alignment horizontal="right"/>
    </xf>
    <xf numFmtId="44" fontId="2" fillId="0" borderId="0" xfId="0" applyNumberFormat="1" applyFont="1" applyFill="1" applyBorder="1" applyAlignment="1">
      <alignment horizontal="right"/>
    </xf>
    <xf numFmtId="44" fontId="2" fillId="0" borderId="21" xfId="0" applyNumberFormat="1" applyFont="1" applyBorder="1"/>
    <xf numFmtId="0" fontId="23" fillId="36" borderId="22" xfId="49" applyFont="1" applyFill="1" applyBorder="1" applyAlignment="1">
      <alignment horizontal="center"/>
    </xf>
    <xf numFmtId="0" fontId="0" fillId="0" borderId="0" xfId="0"/>
    <xf numFmtId="0" fontId="23" fillId="0" borderId="19" xfId="50" applyFont="1" applyFill="1" applyBorder="1" applyAlignment="1">
      <alignment horizontal="right" wrapText="1"/>
    </xf>
    <xf numFmtId="1" fontId="0" fillId="2" borderId="23" xfId="0" applyNumberFormat="1" applyFill="1" applyBorder="1" applyProtection="1">
      <protection locked="0"/>
    </xf>
    <xf numFmtId="164" fontId="24" fillId="2" borderId="23" xfId="0" applyNumberFormat="1" applyFont="1" applyFill="1" applyBorder="1" applyProtection="1">
      <protection locked="0"/>
    </xf>
    <xf numFmtId="0" fontId="21" fillId="0" borderId="19" xfId="51" applyFont="1" applyFill="1" applyBorder="1" applyAlignment="1">
      <alignment horizontal="right" wrapText="1"/>
    </xf>
    <xf numFmtId="0" fontId="0" fillId="0" borderId="28" xfId="0" applyBorder="1"/>
    <xf numFmtId="0" fontId="24" fillId="0" borderId="28" xfId="0" applyFont="1" applyBorder="1" applyAlignment="1">
      <alignment vertical="center"/>
    </xf>
    <xf numFmtId="0" fontId="34" fillId="4" borderId="28" xfId="0" applyFont="1" applyFill="1" applyBorder="1"/>
    <xf numFmtId="0" fontId="34" fillId="4" borderId="0" xfId="0" applyFont="1" applyFill="1" applyBorder="1"/>
    <xf numFmtId="0" fontId="34" fillId="4" borderId="5" xfId="0" applyFont="1" applyFill="1" applyBorder="1"/>
    <xf numFmtId="0" fontId="34" fillId="4" borderId="7" xfId="0" applyFont="1" applyFill="1" applyBorder="1"/>
    <xf numFmtId="0" fontId="34" fillId="4" borderId="20" xfId="0" applyFont="1" applyFill="1" applyBorder="1"/>
    <xf numFmtId="44" fontId="34" fillId="4" borderId="23" xfId="0" applyNumberFormat="1" applyFont="1" applyFill="1" applyBorder="1"/>
    <xf numFmtId="44" fontId="34" fillId="4" borderId="24" xfId="0" applyNumberFormat="1" applyFont="1" applyFill="1" applyBorder="1"/>
    <xf numFmtId="44" fontId="34" fillId="4" borderId="5" xfId="0" applyNumberFormat="1" applyFont="1" applyFill="1" applyBorder="1"/>
    <xf numFmtId="0" fontId="34" fillId="4" borderId="8" xfId="0" applyFont="1" applyFill="1" applyBorder="1"/>
    <xf numFmtId="0" fontId="19" fillId="38" borderId="28" xfId="0" applyFont="1" applyFill="1" applyBorder="1"/>
    <xf numFmtId="0" fontId="19" fillId="38" borderId="0" xfId="0" applyFont="1" applyFill="1" applyBorder="1"/>
    <xf numFmtId="0" fontId="19" fillId="38" borderId="5" xfId="0" applyFont="1" applyFill="1" applyBorder="1"/>
    <xf numFmtId="0" fontId="19" fillId="38" borderId="7" xfId="0" applyFont="1" applyFill="1" applyBorder="1"/>
    <xf numFmtId="0" fontId="19" fillId="38" borderId="28" xfId="0" applyFont="1" applyFill="1" applyBorder="1" applyAlignment="1">
      <alignment horizontal="left" vertical="top" wrapText="1"/>
    </xf>
    <xf numFmtId="0" fontId="19" fillId="38" borderId="0" xfId="0" applyFont="1" applyFill="1" applyBorder="1" applyAlignment="1">
      <alignment horizontal="left" vertical="top" wrapText="1"/>
    </xf>
    <xf numFmtId="0" fontId="19" fillId="38" borderId="8" xfId="0" applyFont="1" applyFill="1" applyBorder="1"/>
    <xf numFmtId="44" fontId="35" fillId="39" borderId="23" xfId="0" applyNumberFormat="1" applyFont="1" applyFill="1" applyBorder="1" applyProtection="1">
      <protection locked="0"/>
    </xf>
    <xf numFmtId="44" fontId="35" fillId="39" borderId="24" xfId="0" applyNumberFormat="1" applyFont="1" applyFill="1" applyBorder="1" applyProtection="1">
      <protection locked="0"/>
    </xf>
    <xf numFmtId="0" fontId="19" fillId="38" borderId="31" xfId="0" applyFont="1" applyFill="1" applyBorder="1"/>
    <xf numFmtId="0" fontId="19" fillId="38" borderId="35" xfId="0" applyFont="1" applyFill="1" applyBorder="1"/>
    <xf numFmtId="0" fontId="19" fillId="38" borderId="4" xfId="0" applyFont="1" applyFill="1" applyBorder="1" applyAlignment="1">
      <alignment horizontal="left" vertical="top" wrapText="1"/>
    </xf>
    <xf numFmtId="0" fontId="0" fillId="0" borderId="0" xfId="0" applyFill="1"/>
    <xf numFmtId="0" fontId="39" fillId="0" borderId="0" xfId="0" applyFont="1" applyFill="1"/>
    <xf numFmtId="164" fontId="21" fillId="0" borderId="37" xfId="49" applyNumberFormat="1" applyFont="1" applyFill="1" applyBorder="1" applyAlignment="1">
      <alignment wrapText="1"/>
    </xf>
    <xf numFmtId="0" fontId="21" fillId="0" borderId="37" xfId="48" applyFont="1" applyFill="1" applyBorder="1" applyAlignment="1">
      <alignment wrapText="1"/>
    </xf>
    <xf numFmtId="0" fontId="0" fillId="0" borderId="0" xfId="0" applyBorder="1"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24" fillId="0" borderId="0" xfId="0" applyFont="1" applyAlignment="1">
      <alignment horizontal="center"/>
    </xf>
    <xf numFmtId="0" fontId="24" fillId="0" borderId="0" xfId="0" applyFont="1" applyAlignment="1">
      <alignment horizontal="left"/>
    </xf>
    <xf numFmtId="0" fontId="0" fillId="0" borderId="0" xfId="0" applyBorder="1" applyAlignment="1">
      <alignment horizontal="center"/>
    </xf>
    <xf numFmtId="0" fontId="0" fillId="0" borderId="5" xfId="0" applyBorder="1" applyAlignment="1">
      <alignment horizontal="center"/>
    </xf>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2" borderId="7" xfId="0" applyFill="1" applyBorder="1" applyAlignment="1" applyProtection="1">
      <alignment horizontal="center"/>
      <protection locked="0"/>
    </xf>
    <xf numFmtId="0" fontId="0" fillId="2" borderId="8" xfId="0" applyFill="1" applyBorder="1" applyAlignment="1" applyProtection="1">
      <alignment horizontal="center"/>
      <protection locked="0"/>
    </xf>
    <xf numFmtId="0" fontId="0" fillId="37" borderId="1" xfId="0" applyFill="1" applyBorder="1" applyAlignment="1">
      <alignment horizontal="center"/>
    </xf>
    <xf numFmtId="0" fontId="0" fillId="37" borderId="2" xfId="0" applyFill="1" applyBorder="1" applyAlignment="1">
      <alignment horizontal="center"/>
    </xf>
    <xf numFmtId="0" fontId="0" fillId="37" borderId="3" xfId="0" applyFill="1" applyBorder="1" applyAlignment="1">
      <alignment horizontal="center"/>
    </xf>
    <xf numFmtId="0" fontId="0" fillId="3" borderId="0" xfId="0" applyFill="1" applyAlignment="1">
      <alignment horizontal="center" vertical="top" wrapText="1"/>
    </xf>
    <xf numFmtId="0" fontId="3" fillId="0" borderId="0" xfId="0" applyFont="1" applyAlignment="1">
      <alignment horizontal="left"/>
    </xf>
    <xf numFmtId="0" fontId="19" fillId="38" borderId="28" xfId="0" applyFont="1" applyFill="1" applyBorder="1" applyAlignment="1">
      <alignment horizontal="left" vertical="top" wrapText="1"/>
    </xf>
    <xf numFmtId="0" fontId="19" fillId="38" borderId="0" xfId="0" applyFont="1" applyFill="1" applyBorder="1" applyAlignment="1">
      <alignment horizontal="left" vertical="top" wrapText="1"/>
    </xf>
    <xf numFmtId="0" fontId="19" fillId="38" borderId="6" xfId="0" applyFont="1" applyFill="1" applyBorder="1" applyAlignment="1">
      <alignment horizontal="left" vertical="top" wrapText="1"/>
    </xf>
    <xf numFmtId="0" fontId="19" fillId="38" borderId="7" xfId="0" applyFont="1" applyFill="1" applyBorder="1" applyAlignment="1">
      <alignment horizontal="left" vertical="top" wrapText="1"/>
    </xf>
    <xf numFmtId="0" fontId="33" fillId="4" borderId="25" xfId="0" applyFont="1" applyFill="1" applyBorder="1" applyAlignment="1">
      <alignment horizontal="center" vertical="top" wrapText="1"/>
    </xf>
    <xf numFmtId="0" fontId="33" fillId="4" borderId="26" xfId="0" applyFont="1" applyFill="1" applyBorder="1" applyAlignment="1">
      <alignment horizontal="center" vertical="top" wrapText="1"/>
    </xf>
    <xf numFmtId="0" fontId="33" fillId="4" borderId="27" xfId="0" applyFont="1" applyFill="1" applyBorder="1" applyAlignment="1">
      <alignment horizontal="center" vertical="top" wrapText="1"/>
    </xf>
    <xf numFmtId="0" fontId="33" fillId="4" borderId="28" xfId="0" applyFont="1" applyFill="1" applyBorder="1" applyAlignment="1">
      <alignment horizontal="center" vertical="top" wrapText="1"/>
    </xf>
    <xf numFmtId="0" fontId="33" fillId="4" borderId="0" xfId="0" applyFont="1" applyFill="1" applyBorder="1" applyAlignment="1">
      <alignment horizontal="center" vertical="top" wrapText="1"/>
    </xf>
    <xf numFmtId="0" fontId="33" fillId="4" borderId="5" xfId="0" applyFont="1" applyFill="1" applyBorder="1" applyAlignment="1">
      <alignment horizontal="center" vertical="top" wrapText="1"/>
    </xf>
    <xf numFmtId="0" fontId="28" fillId="38" borderId="25" xfId="0" applyFont="1" applyFill="1" applyBorder="1" applyAlignment="1">
      <alignment horizontal="center" vertical="top" wrapText="1"/>
    </xf>
    <xf numFmtId="0" fontId="28" fillId="38" borderId="26" xfId="0" applyFont="1" applyFill="1" applyBorder="1" applyAlignment="1">
      <alignment horizontal="center" vertical="top" wrapText="1"/>
    </xf>
    <xf numFmtId="0" fontId="28" fillId="38" borderId="27" xfId="0" applyFont="1" applyFill="1" applyBorder="1" applyAlignment="1">
      <alignment horizontal="center" vertical="top" wrapText="1"/>
    </xf>
    <xf numFmtId="0" fontId="28" fillId="38" borderId="28" xfId="0" applyFont="1" applyFill="1" applyBorder="1" applyAlignment="1">
      <alignment horizontal="center" vertical="top" wrapText="1"/>
    </xf>
    <xf numFmtId="0" fontId="28" fillId="38" borderId="0" xfId="0" applyFont="1" applyFill="1" applyBorder="1" applyAlignment="1">
      <alignment horizontal="center" vertical="top" wrapText="1"/>
    </xf>
    <xf numFmtId="0" fontId="28" fillId="38" borderId="5" xfId="0" applyFont="1" applyFill="1" applyBorder="1" applyAlignment="1">
      <alignment horizontal="center" vertical="top" wrapText="1"/>
    </xf>
    <xf numFmtId="0" fontId="34" fillId="4" borderId="28" xfId="0" applyFont="1" applyFill="1" applyBorder="1" applyAlignment="1">
      <alignment horizontal="left" vertical="top" wrapText="1"/>
    </xf>
    <xf numFmtId="0" fontId="34" fillId="4" borderId="0" xfId="0" applyFont="1" applyFill="1" applyBorder="1" applyAlignment="1">
      <alignment horizontal="left" vertical="top" wrapText="1"/>
    </xf>
    <xf numFmtId="0" fontId="34" fillId="4" borderId="6" xfId="0" applyFont="1" applyFill="1" applyBorder="1" applyAlignment="1">
      <alignment horizontal="left" vertical="top" wrapText="1"/>
    </xf>
    <xf numFmtId="0" fontId="34" fillId="4" borderId="7" xfId="0" applyFont="1" applyFill="1" applyBorder="1" applyAlignment="1">
      <alignment horizontal="left" vertical="top" wrapText="1"/>
    </xf>
    <xf numFmtId="0" fontId="34" fillId="4" borderId="29" xfId="0" applyFont="1" applyFill="1" applyBorder="1" applyAlignment="1">
      <alignment horizontal="left" vertical="top" wrapText="1"/>
    </xf>
    <xf numFmtId="0" fontId="34" fillId="4" borderId="20" xfId="0" applyFont="1" applyFill="1" applyBorder="1" applyAlignment="1">
      <alignment horizontal="left" vertical="top" wrapText="1"/>
    </xf>
    <xf numFmtId="0" fontId="34" fillId="4" borderId="28" xfId="0" applyFont="1" applyFill="1" applyBorder="1" applyAlignment="1">
      <alignment horizontal="left" wrapText="1"/>
    </xf>
    <xf numFmtId="0" fontId="34" fillId="4" borderId="0" xfId="0" applyFont="1" applyFill="1" applyBorder="1" applyAlignment="1">
      <alignment horizontal="left" wrapText="1"/>
    </xf>
    <xf numFmtId="0" fontId="34" fillId="4" borderId="29" xfId="0" applyFont="1" applyFill="1" applyBorder="1" applyAlignment="1">
      <alignment horizontal="left" wrapText="1"/>
    </xf>
    <xf numFmtId="0" fontId="34" fillId="4" borderId="20" xfId="0" applyFont="1" applyFill="1" applyBorder="1" applyAlignment="1">
      <alignment horizontal="left" wrapText="1"/>
    </xf>
    <xf numFmtId="0" fontId="19" fillId="38" borderId="4" xfId="0" applyFont="1" applyFill="1" applyBorder="1" applyAlignment="1">
      <alignment horizontal="left" wrapText="1"/>
    </xf>
    <xf numFmtId="0" fontId="19" fillId="38" borderId="0" xfId="0" applyFont="1" applyFill="1" applyBorder="1" applyAlignment="1">
      <alignment horizontal="left" wrapText="1"/>
    </xf>
    <xf numFmtId="0" fontId="19" fillId="38" borderId="33" xfId="0" applyFont="1" applyFill="1" applyBorder="1" applyAlignment="1">
      <alignment horizontal="left" wrapText="1"/>
    </xf>
    <xf numFmtId="0" fontId="19" fillId="38" borderId="35" xfId="0" applyFont="1" applyFill="1" applyBorder="1" applyAlignment="1">
      <alignment horizontal="left" wrapText="1"/>
    </xf>
    <xf numFmtId="0" fontId="19" fillId="38" borderId="4" xfId="0" applyFont="1" applyFill="1" applyBorder="1" applyAlignment="1">
      <alignment horizontal="left" vertical="top" wrapText="1"/>
    </xf>
    <xf numFmtId="0" fontId="19" fillId="38" borderId="32" xfId="0" applyFont="1" applyFill="1" applyBorder="1" applyAlignment="1">
      <alignment horizontal="left" vertical="top" wrapText="1"/>
    </xf>
    <xf numFmtId="0" fontId="19" fillId="38" borderId="31" xfId="0" applyFont="1" applyFill="1" applyBorder="1" applyAlignment="1">
      <alignment horizontal="left" vertical="top" wrapText="1"/>
    </xf>
    <xf numFmtId="0" fontId="19" fillId="38" borderId="33" xfId="0" applyFont="1" applyFill="1" applyBorder="1" applyAlignment="1">
      <alignment horizontal="left" vertical="top" wrapText="1"/>
    </xf>
    <xf numFmtId="0" fontId="19" fillId="38" borderId="35" xfId="0" applyFont="1" applyFill="1" applyBorder="1" applyAlignment="1">
      <alignment horizontal="left" vertical="top" wrapText="1"/>
    </xf>
    <xf numFmtId="44" fontId="29" fillId="38" borderId="34" xfId="0" applyNumberFormat="1" applyFont="1" applyFill="1" applyBorder="1" applyProtection="1"/>
    <xf numFmtId="44" fontId="19" fillId="38" borderId="36" xfId="0" applyNumberFormat="1" applyFont="1" applyFill="1" applyBorder="1" applyProtection="1"/>
    <xf numFmtId="44" fontId="29" fillId="38" borderId="30" xfId="0" applyNumberFormat="1" applyFont="1" applyFill="1" applyBorder="1" applyProtection="1"/>
  </cellXfs>
  <cellStyles count="52">
    <cellStyle name="20% - Accent1" xfId="10" builtinId="30" customBuiltin="1"/>
    <cellStyle name="20% - Accent2" xfId="14" builtinId="34" customBuiltin="1"/>
    <cellStyle name="20% - Accent3" xfId="18" builtinId="38" customBuiltin="1"/>
    <cellStyle name="20% - Accent4" xfId="22" builtinId="42" customBuiltin="1"/>
    <cellStyle name="20% - Accent5" xfId="26" builtinId="46" customBuiltin="1"/>
    <cellStyle name="20% - Accent6" xfId="30" builtinId="50" customBuiltin="1"/>
    <cellStyle name="40% - Accent1" xfId="11" builtinId="31" customBuiltin="1"/>
    <cellStyle name="40% - Accent2" xfId="15" builtinId="35" customBuiltin="1"/>
    <cellStyle name="40% - Accent3" xfId="19" builtinId="39" customBuiltin="1"/>
    <cellStyle name="40% - Accent4" xfId="23" builtinId="43" customBuiltin="1"/>
    <cellStyle name="40% - Accent5" xfId="27" builtinId="47" customBuiltin="1"/>
    <cellStyle name="40% - Accent6" xfId="31" builtinId="51" customBuiltin="1"/>
    <cellStyle name="60% - Accent1" xfId="12" builtinId="32" customBuiltin="1"/>
    <cellStyle name="60% - Accent2" xfId="16" builtinId="36" customBuiltin="1"/>
    <cellStyle name="60% - Accent3" xfId="20" builtinId="40" customBuiltin="1"/>
    <cellStyle name="60% - Accent4" xfId="24" builtinId="44" customBuiltin="1"/>
    <cellStyle name="60% - Accent5" xfId="28" builtinId="48" customBuiltin="1"/>
    <cellStyle name="60% - Accent6" xfId="32" builtinId="52" customBuiltin="1"/>
    <cellStyle name="Accent1" xfId="9" builtinId="29" customBuiltin="1"/>
    <cellStyle name="Accent2" xfId="13" builtinId="33" customBuiltin="1"/>
    <cellStyle name="Accent3" xfId="17" builtinId="37" customBuiltin="1"/>
    <cellStyle name="Accent4" xfId="21" builtinId="41" customBuiltin="1"/>
    <cellStyle name="Accent5" xfId="25" builtinId="45" customBuiltin="1"/>
    <cellStyle name="Accent6" xfId="29" builtinId="49" customBuiltin="1"/>
    <cellStyle name="Bad" xfId="2" builtinId="27" customBuiltin="1"/>
    <cellStyle name="Calculation" xfId="6" builtinId="22" customBuiltin="1"/>
    <cellStyle name="Check Cell" xfId="7" builtinId="23" customBuiltin="1"/>
    <cellStyle name="Currency 2" xfId="34"/>
    <cellStyle name="Explanatory Text 2" xfId="42"/>
    <cellStyle name="Good" xfId="1" builtinId="26" customBuiltin="1"/>
    <cellStyle name="Heading 1 2" xfId="36"/>
    <cellStyle name="Heading 2 2" xfId="37"/>
    <cellStyle name="Heading 3 2" xfId="38"/>
    <cellStyle name="Heading 4 2" xfId="39"/>
    <cellStyle name="Input" xfId="4" builtinId="20" customBuiltin="1"/>
    <cellStyle name="Linked Cell 2" xfId="40"/>
    <cellStyle name="Neutral" xfId="3" builtinId="28" customBuiltin="1"/>
    <cellStyle name="Normal" xfId="0" builtinId="0"/>
    <cellStyle name="Normal 2" xfId="44"/>
    <cellStyle name="Normal 3" xfId="45"/>
    <cellStyle name="Normal 4" xfId="46"/>
    <cellStyle name="Normal 5" xfId="47"/>
    <cellStyle name="Normal 6" xfId="33"/>
    <cellStyle name="Normal_Data_1" xfId="51"/>
    <cellStyle name="Normal_FY11 Excess Cost to Load" xfId="48"/>
    <cellStyle name="Normal_FY11 Excess Cost to Load 2" xfId="50"/>
    <cellStyle name="Normal_Sheet1" xfId="49"/>
    <cellStyle name="Note" xfId="8" builtinId="10" customBuiltin="1"/>
    <cellStyle name="Output" xfId="5" builtinId="21" customBuiltin="1"/>
    <cellStyle name="Title 2" xfId="35"/>
    <cellStyle name="Total 2" xfId="43"/>
    <cellStyle name="Warning Text 2" xfId="41"/>
  </cellStyles>
  <dxfs count="3">
    <dxf>
      <fill>
        <patternFill>
          <bgColor theme="0"/>
        </patternFill>
      </fill>
      <border>
        <left/>
        <right/>
        <top/>
        <bottom/>
        <vertical/>
        <horizontal/>
      </border>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9</xdr:col>
      <xdr:colOff>285750</xdr:colOff>
      <xdr:row>6</xdr:row>
      <xdr:rowOff>152399</xdr:rowOff>
    </xdr:from>
    <xdr:ext cx="2533650" cy="9629776"/>
    <xdr:sp macro="" textlink="">
      <xdr:nvSpPr>
        <xdr:cNvPr id="3" name="TextBox 2"/>
        <xdr:cNvSpPr txBox="1"/>
      </xdr:nvSpPr>
      <xdr:spPr>
        <a:xfrm>
          <a:off x="8001000" y="1438274"/>
          <a:ext cx="2533650" cy="962977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chemeClr val="tx1"/>
              </a:solidFill>
              <a:effectLst/>
              <a:latin typeface="+mn-lt"/>
              <a:ea typeface="+mn-ea"/>
              <a:cs typeface="+mn-cs"/>
            </a:rPr>
            <a:t>The below steps are for this tab (form).</a:t>
          </a:r>
        </a:p>
        <a:p>
          <a:r>
            <a:rPr lang="en-US" sz="1100" b="1" i="0" u="none" strike="noStrike">
              <a:solidFill>
                <a:schemeClr val="tx1"/>
              </a:solidFill>
              <a:effectLst/>
              <a:latin typeface="+mn-lt"/>
              <a:ea typeface="+mn-ea"/>
              <a:cs typeface="+mn-cs"/>
            </a:rPr>
            <a:t>STEP 1:</a:t>
          </a:r>
          <a:r>
            <a:rPr lang="en-US"/>
            <a:t> </a:t>
          </a:r>
        </a:p>
        <a:p>
          <a:r>
            <a:rPr lang="en-US" sz="1100" b="0" i="0" u="none" strike="noStrike">
              <a:solidFill>
                <a:schemeClr val="tx1"/>
              </a:solidFill>
              <a:effectLst/>
              <a:latin typeface="+mn-lt"/>
              <a:ea typeface="+mn-ea"/>
              <a:cs typeface="+mn-cs"/>
            </a:rPr>
            <a:t>Enter only the 3 digit number of your LEA in the </a:t>
          </a:r>
          <a:r>
            <a:rPr lang="en-US"/>
            <a:t> </a:t>
          </a:r>
          <a:r>
            <a:rPr lang="en-US" sz="1100" b="0" i="0" u="none" strike="noStrike">
              <a:solidFill>
                <a:schemeClr val="tx1"/>
              </a:solidFill>
              <a:effectLst/>
              <a:latin typeface="+mn-lt"/>
              <a:ea typeface="+mn-ea"/>
              <a:cs typeface="+mn-cs"/>
            </a:rPr>
            <a:t>shaded cell next to "LEA."</a:t>
          </a:r>
          <a:r>
            <a:rPr lang="en-US"/>
            <a:t> </a:t>
          </a:r>
        </a:p>
        <a:p>
          <a:r>
            <a:rPr lang="en-US" sz="1100" b="1" i="0" u="none" strike="noStrike">
              <a:solidFill>
                <a:schemeClr val="tx1"/>
              </a:solidFill>
              <a:effectLst/>
              <a:latin typeface="+mn-lt"/>
              <a:ea typeface="+mn-ea"/>
              <a:cs typeface="+mn-cs"/>
            </a:rPr>
            <a:t>Note</a:t>
          </a:r>
          <a:r>
            <a:rPr lang="en-US" sz="1100" b="0" i="0" u="none" strike="noStrike">
              <a:solidFill>
                <a:schemeClr val="tx1"/>
              </a:solidFill>
              <a:effectLst/>
              <a:latin typeface="+mn-lt"/>
              <a:ea typeface="+mn-ea"/>
              <a:cs typeface="+mn-cs"/>
            </a:rPr>
            <a:t>: After you type the three digits, press the</a:t>
          </a:r>
          <a:r>
            <a:rPr lang="en-US"/>
            <a:t> </a:t>
          </a:r>
          <a:r>
            <a:rPr lang="en-US" sz="1100" b="0" i="0" u="none" strike="noStrike">
              <a:solidFill>
                <a:schemeClr val="tx1"/>
              </a:solidFill>
              <a:effectLst/>
              <a:latin typeface="+mn-lt"/>
              <a:ea typeface="+mn-ea"/>
              <a:cs typeface="+mn-cs"/>
            </a:rPr>
            <a:t>"enter" or arrow keys and the worksheet will</a:t>
          </a:r>
          <a:r>
            <a:rPr lang="en-US"/>
            <a:t> </a:t>
          </a:r>
          <a:r>
            <a:rPr lang="en-US" sz="1100" b="0" i="0" u="none" strike="noStrike">
              <a:solidFill>
                <a:schemeClr val="tx1"/>
              </a:solidFill>
              <a:effectLst/>
              <a:latin typeface="+mn-lt"/>
              <a:ea typeface="+mn-ea"/>
              <a:cs typeface="+mn-cs"/>
            </a:rPr>
            <a:t>automatically include the "D0."</a:t>
          </a:r>
          <a:r>
            <a:rPr lang="en-US"/>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STEP 2:</a:t>
          </a:r>
        </a:p>
        <a:p>
          <a:r>
            <a:rPr lang="en-US" sz="1100" b="0" i="0" u="none" strike="noStrike">
              <a:solidFill>
                <a:schemeClr val="tx1"/>
              </a:solidFill>
              <a:effectLst/>
              <a:latin typeface="+mn-lt"/>
              <a:ea typeface="+mn-ea"/>
              <a:cs typeface="+mn-cs"/>
            </a:rPr>
            <a:t>Click the "Totals" tab located in the lower</a:t>
          </a:r>
          <a:r>
            <a:rPr lang="en-US"/>
            <a:t> </a:t>
          </a:r>
          <a:r>
            <a:rPr lang="en-US" sz="1100" b="0" i="0" u="none" strike="noStrike">
              <a:solidFill>
                <a:schemeClr val="tx1"/>
              </a:solidFill>
              <a:effectLst/>
              <a:latin typeface="+mn-lt"/>
              <a:ea typeface="+mn-ea"/>
              <a:cs typeface="+mn-cs"/>
            </a:rPr>
            <a:t>lefthand corner of the workbook to view the</a:t>
          </a:r>
          <a:r>
            <a:rPr lang="en-US"/>
            <a:t> </a:t>
          </a:r>
          <a:r>
            <a:rPr lang="en-US" sz="1100" b="0" i="0" u="none" strike="noStrike">
              <a:solidFill>
                <a:schemeClr val="tx1"/>
              </a:solidFill>
              <a:effectLst/>
              <a:latin typeface="+mn-lt"/>
              <a:ea typeface="+mn-ea"/>
              <a:cs typeface="+mn-cs"/>
            </a:rPr>
            <a:t>total expenditures per line item for your district.</a:t>
          </a:r>
          <a:r>
            <a:rPr lang="en-US"/>
            <a:t>  Refer to the LEA Worksheet Notes to</a:t>
          </a:r>
          <a:r>
            <a:rPr lang="en-US" baseline="0"/>
            <a:t> view how the figures for each line item were determined.  </a:t>
          </a:r>
        </a:p>
        <a:p>
          <a:endParaRPr lang="en-US" baseline="0"/>
        </a:p>
        <a:p>
          <a:r>
            <a:rPr lang="en-US" b="1"/>
            <a:t>STEP 3</a:t>
          </a:r>
          <a:r>
            <a:rPr lang="en-US"/>
            <a:t>:</a:t>
          </a:r>
        </a:p>
        <a:p>
          <a:r>
            <a:rPr lang="en-US" sz="1100" b="0" i="0" u="none" strike="noStrike">
              <a:solidFill>
                <a:schemeClr val="tx1"/>
              </a:solidFill>
              <a:effectLst/>
              <a:latin typeface="+mn-lt"/>
              <a:ea typeface="+mn-ea"/>
              <a:cs typeface="+mn-cs"/>
            </a:rPr>
            <a:t>Identify the secondary specific</a:t>
          </a:r>
          <a:r>
            <a:rPr lang="en-US" sz="1100" b="0" i="0" u="none" strike="noStrike" baseline="0">
              <a:solidFill>
                <a:schemeClr val="tx1"/>
              </a:solidFill>
              <a:effectLst/>
              <a:latin typeface="+mn-lt"/>
              <a:ea typeface="+mn-ea"/>
              <a:cs typeface="+mn-cs"/>
            </a:rPr>
            <a:t> expenditures for each line item.  Refer to the LEA Worksheet Notes for guidance on separating secondary specific expenditures from the total district expenditures.   </a:t>
          </a:r>
          <a:endParaRPr lang="en-US" sz="1100" b="0" i="0" u="none" strike="noStrike">
            <a:solidFill>
              <a:schemeClr val="tx1"/>
            </a:solidFill>
            <a:effectLst/>
            <a:latin typeface="+mn-lt"/>
            <a:ea typeface="+mn-ea"/>
            <a:cs typeface="+mn-cs"/>
          </a:endParaRP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STEP 4:</a:t>
          </a:r>
        </a:p>
        <a:p>
          <a:r>
            <a:rPr lang="en-US" sz="1100" b="0" i="0">
              <a:solidFill>
                <a:schemeClr val="tx1"/>
              </a:solidFill>
              <a:effectLst/>
              <a:latin typeface="+mn-lt"/>
              <a:ea typeface="+mn-ea"/>
              <a:cs typeface="+mn-cs"/>
            </a:rPr>
            <a:t>Enter the secondary expenditures in the</a:t>
          </a:r>
          <a:r>
            <a:rPr lang="en-US" sz="1100">
              <a:solidFill>
                <a:schemeClr val="tx1"/>
              </a:solidFill>
              <a:effectLst/>
              <a:latin typeface="+mn-lt"/>
              <a:ea typeface="+mn-ea"/>
              <a:cs typeface="+mn-cs"/>
            </a:rPr>
            <a:t> </a:t>
          </a:r>
          <a:r>
            <a:rPr lang="en-US" sz="1100" b="0" i="0">
              <a:solidFill>
                <a:schemeClr val="tx1"/>
              </a:solidFill>
              <a:effectLst/>
              <a:latin typeface="+mn-lt"/>
              <a:ea typeface="+mn-ea"/>
              <a:cs typeface="+mn-cs"/>
            </a:rPr>
            <a:t>shaded cells.  As you enter data in the shaded cells, an </a:t>
          </a:r>
          <a:r>
            <a:rPr lang="en-US" sz="1100">
              <a:solidFill>
                <a:schemeClr val="tx1"/>
              </a:solidFill>
              <a:effectLst/>
              <a:latin typeface="+mn-lt"/>
              <a:ea typeface="+mn-ea"/>
              <a:cs typeface="+mn-cs"/>
            </a:rPr>
            <a:t> </a:t>
          </a:r>
          <a:r>
            <a:rPr lang="en-US" sz="1100" b="0" i="0">
              <a:solidFill>
                <a:schemeClr val="tx1"/>
              </a:solidFill>
              <a:effectLst/>
              <a:latin typeface="+mn-lt"/>
              <a:ea typeface="+mn-ea"/>
              <a:cs typeface="+mn-cs"/>
            </a:rPr>
            <a:t>elementary amount will appear.</a:t>
          </a:r>
          <a:endParaRPr lang="en-US" sz="1100" b="1" i="0" u="none" strike="noStrike">
            <a:solidFill>
              <a:schemeClr val="tx1"/>
            </a:solidFill>
            <a:effectLst/>
            <a:latin typeface="+mn-lt"/>
            <a:ea typeface="+mn-ea"/>
            <a:cs typeface="+mn-cs"/>
          </a:endParaRP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Note</a:t>
          </a:r>
          <a:r>
            <a:rPr lang="en-US" sz="1100" b="0" i="0" u="none" strike="noStrike">
              <a:solidFill>
                <a:schemeClr val="tx1"/>
              </a:solidFill>
              <a:effectLst/>
              <a:latin typeface="+mn-lt"/>
              <a:ea typeface="+mn-ea"/>
              <a:cs typeface="+mn-cs"/>
            </a:rPr>
            <a:t>: </a:t>
          </a:r>
          <a:r>
            <a:rPr lang="en-US" sz="1100" b="0" i="0" u="sng" strike="noStrike">
              <a:solidFill>
                <a:schemeClr val="tx1"/>
              </a:solidFill>
              <a:effectLst/>
              <a:latin typeface="+mn-lt"/>
              <a:ea typeface="+mn-ea"/>
              <a:cs typeface="+mn-cs"/>
            </a:rPr>
            <a:t>The expenditures for </a:t>
          </a:r>
          <a:r>
            <a:rPr lang="en-US" sz="1100" b="0" i="0" u="sng" strike="noStrike" baseline="0">
              <a:solidFill>
                <a:schemeClr val="tx1"/>
              </a:solidFill>
              <a:effectLst/>
              <a:latin typeface="+mn-lt"/>
              <a:ea typeface="+mn-ea"/>
              <a:cs typeface="+mn-cs"/>
            </a:rPr>
            <a:t> a grade level (secondary or elementary) should never exceed the total for that line item.  A negative number is incorrect and should be addressed.  </a:t>
          </a:r>
          <a:r>
            <a:rPr lang="en-US" sz="1100" b="0" i="0" u="none" strike="noStrike" baseline="0">
              <a:solidFill>
                <a:schemeClr val="tx1"/>
              </a:solidFill>
              <a:effectLst/>
              <a:latin typeface="+mn-lt"/>
              <a:ea typeface="+mn-ea"/>
              <a:cs typeface="+mn-cs"/>
            </a:rPr>
            <a:t>Also, e</a:t>
          </a:r>
          <a:r>
            <a:rPr lang="en-US" sz="1100" b="0" i="0" u="none" strike="noStrike">
              <a:solidFill>
                <a:schemeClr val="tx1"/>
              </a:solidFill>
              <a:effectLst/>
              <a:latin typeface="+mn-lt"/>
              <a:ea typeface="+mn-ea"/>
              <a:cs typeface="+mn-cs"/>
            </a:rPr>
            <a:t>xcept for certain cases such as </a:t>
          </a:r>
          <a:r>
            <a:rPr lang="en-US"/>
            <a:t> </a:t>
          </a:r>
          <a:r>
            <a:rPr lang="en-US" sz="1100" b="0" i="0" u="none" strike="noStrike">
              <a:solidFill>
                <a:schemeClr val="tx1"/>
              </a:solidFill>
              <a:effectLst/>
              <a:latin typeface="+mn-lt"/>
              <a:ea typeface="+mn-ea"/>
              <a:cs typeface="+mn-cs"/>
            </a:rPr>
            <a:t>Title programs,  the expenditures</a:t>
          </a:r>
          <a:r>
            <a:rPr lang="en-US"/>
            <a:t> for a </a:t>
          </a:r>
          <a:r>
            <a:rPr lang="en-US" baseline="0"/>
            <a:t>grade level should not equal the total for that line item.</a:t>
          </a:r>
          <a:endParaRPr lang="en-US"/>
        </a:p>
        <a:p>
          <a:endParaRPr lang="en-US" sz="1100" b="0" i="0" u="none" strike="noStrike">
            <a:solidFill>
              <a:schemeClr val="tx1"/>
            </a:solidFill>
            <a:effectLst/>
            <a:latin typeface="+mn-lt"/>
            <a:ea typeface="+mn-ea"/>
            <a:cs typeface="+mn-cs"/>
          </a:endParaRPr>
        </a:p>
        <a:p>
          <a:endParaRPr lang="en-US" sz="1100" b="0" i="0" u="none" strike="noStrike">
            <a:solidFill>
              <a:schemeClr val="tx1"/>
            </a:solidFill>
            <a:effectLst/>
            <a:latin typeface="+mn-lt"/>
            <a:ea typeface="+mn-ea"/>
            <a:cs typeface="+mn-cs"/>
          </a:endParaRPr>
        </a:p>
        <a:p>
          <a:r>
            <a:rPr lang="en-US" sz="1100" b="0" i="0" u="none" strike="noStrike">
              <a:solidFill>
                <a:schemeClr val="tx1"/>
              </a:solidFill>
              <a:effectLst/>
              <a:latin typeface="+mn-lt"/>
              <a:ea typeface="+mn-ea"/>
              <a:cs typeface="+mn-cs"/>
            </a:rPr>
            <a:t>Note: Data for September 20 and December 1 counts </a:t>
          </a:r>
          <a:r>
            <a:rPr lang="en-US"/>
            <a:t> </a:t>
          </a:r>
          <a:r>
            <a:rPr lang="en-US" sz="1100" b="0" i="0" u="none" strike="noStrike">
              <a:solidFill>
                <a:schemeClr val="tx1"/>
              </a:solidFill>
              <a:effectLst/>
              <a:latin typeface="+mn-lt"/>
              <a:ea typeface="+mn-ea"/>
              <a:cs typeface="+mn-cs"/>
            </a:rPr>
            <a:t>are pre-populated, but can be altered if needed.</a:t>
          </a:r>
          <a:r>
            <a:rPr lang="en-US"/>
            <a:t> </a:t>
          </a:r>
          <a:r>
            <a:rPr lang="en-US" sz="1100" b="0" i="0" u="none" strike="noStrike">
              <a:solidFill>
                <a:schemeClr val="tx1"/>
              </a:solidFill>
              <a:effectLst/>
              <a:latin typeface="+mn-lt"/>
              <a:ea typeface="+mn-ea"/>
              <a:cs typeface="+mn-cs"/>
            </a:rPr>
            <a:t>The September 20 and December 1 counts </a:t>
          </a:r>
          <a:r>
            <a:rPr lang="en-US"/>
            <a:t> </a:t>
          </a:r>
          <a:r>
            <a:rPr lang="en-US" sz="1100" b="0" i="0" u="none" strike="noStrike">
              <a:solidFill>
                <a:schemeClr val="tx1"/>
              </a:solidFill>
              <a:effectLst/>
              <a:latin typeface="+mn-lt"/>
              <a:ea typeface="+mn-ea"/>
              <a:cs typeface="+mn-cs"/>
            </a:rPr>
            <a:t>are from the prior school year.</a:t>
          </a:r>
          <a:r>
            <a:rPr lang="en-US"/>
            <a:t> </a:t>
          </a:r>
          <a:endParaRPr lang="en-US" sz="1100"/>
        </a:p>
      </xdr:txBody>
    </xdr:sp>
    <xdr:clientData/>
  </xdr:oneCellAnchor>
  <xdr:oneCellAnchor>
    <xdr:from>
      <xdr:col>14</xdr:col>
      <xdr:colOff>66675</xdr:colOff>
      <xdr:row>6</xdr:row>
      <xdr:rowOff>161924</xdr:rowOff>
    </xdr:from>
    <xdr:ext cx="2533650" cy="9629776"/>
    <xdr:sp macro="" textlink="">
      <xdr:nvSpPr>
        <xdr:cNvPr id="4" name="TextBox 3"/>
        <xdr:cNvSpPr txBox="1"/>
      </xdr:nvSpPr>
      <xdr:spPr>
        <a:xfrm>
          <a:off x="10829925" y="1447799"/>
          <a:ext cx="2533650" cy="9629776"/>
        </a:xfrm>
        <a:prstGeom prst="rect">
          <a:avLst/>
        </a:prstGeom>
        <a:solidFill>
          <a:schemeClr val="bg1"/>
        </a:solidFill>
        <a:ln>
          <a:solidFill>
            <a:schemeClr val="tx2">
              <a:lumMod val="60000"/>
              <a:lumOff val="4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chemeClr val="tx1"/>
              </a:solidFill>
              <a:effectLst/>
              <a:latin typeface="+mn-lt"/>
              <a:ea typeface="+mn-ea"/>
              <a:cs typeface="+mn-cs"/>
            </a:rPr>
            <a:t>The below steps are for this tab (form).</a:t>
          </a:r>
        </a:p>
        <a:p>
          <a:r>
            <a:rPr lang="en-US" sz="1100" b="1" i="0" u="none" strike="noStrike">
              <a:solidFill>
                <a:schemeClr val="tx1"/>
              </a:solidFill>
              <a:effectLst/>
              <a:latin typeface="+mn-lt"/>
              <a:ea typeface="+mn-ea"/>
              <a:cs typeface="+mn-cs"/>
            </a:rPr>
            <a:t>STEP 1:</a:t>
          </a:r>
          <a:r>
            <a:rPr lang="en-US"/>
            <a:t> </a:t>
          </a:r>
        </a:p>
        <a:p>
          <a:r>
            <a:rPr lang="en-US" sz="1100" b="0" i="0" u="none" strike="noStrike">
              <a:solidFill>
                <a:schemeClr val="tx1"/>
              </a:solidFill>
              <a:effectLst/>
              <a:latin typeface="+mn-lt"/>
              <a:ea typeface="+mn-ea"/>
              <a:cs typeface="+mn-cs"/>
            </a:rPr>
            <a:t>Enter only the 3 digit number of your LEA in the </a:t>
          </a:r>
          <a:r>
            <a:rPr lang="en-US"/>
            <a:t> </a:t>
          </a:r>
          <a:r>
            <a:rPr lang="en-US" sz="1100" b="0" i="0" u="none" strike="noStrike">
              <a:solidFill>
                <a:schemeClr val="tx1"/>
              </a:solidFill>
              <a:effectLst/>
              <a:latin typeface="+mn-lt"/>
              <a:ea typeface="+mn-ea"/>
              <a:cs typeface="+mn-cs"/>
            </a:rPr>
            <a:t>shaded cell next to "LEA."</a:t>
          </a:r>
          <a:r>
            <a:rPr lang="en-US"/>
            <a:t> </a:t>
          </a:r>
        </a:p>
        <a:p>
          <a:r>
            <a:rPr lang="en-US" sz="1100" b="1" i="0" u="none" strike="noStrike">
              <a:solidFill>
                <a:schemeClr val="tx1"/>
              </a:solidFill>
              <a:effectLst/>
              <a:latin typeface="+mn-lt"/>
              <a:ea typeface="+mn-ea"/>
              <a:cs typeface="+mn-cs"/>
            </a:rPr>
            <a:t>Note</a:t>
          </a:r>
          <a:r>
            <a:rPr lang="en-US" sz="1100" b="0" i="0" u="none" strike="noStrike">
              <a:solidFill>
                <a:schemeClr val="tx1"/>
              </a:solidFill>
              <a:effectLst/>
              <a:latin typeface="+mn-lt"/>
              <a:ea typeface="+mn-ea"/>
              <a:cs typeface="+mn-cs"/>
            </a:rPr>
            <a:t>: After you type the three digits, press the</a:t>
          </a:r>
          <a:r>
            <a:rPr lang="en-US"/>
            <a:t> </a:t>
          </a:r>
          <a:r>
            <a:rPr lang="en-US" sz="1100" b="0" i="0" u="none" strike="noStrike">
              <a:solidFill>
                <a:schemeClr val="tx1"/>
              </a:solidFill>
              <a:effectLst/>
              <a:latin typeface="+mn-lt"/>
              <a:ea typeface="+mn-ea"/>
              <a:cs typeface="+mn-cs"/>
            </a:rPr>
            <a:t>"enter" or arrow keys and the worksheet will</a:t>
          </a:r>
          <a:r>
            <a:rPr lang="en-US"/>
            <a:t> </a:t>
          </a:r>
          <a:r>
            <a:rPr lang="en-US" sz="1100" b="0" i="0" u="none" strike="noStrike">
              <a:solidFill>
                <a:schemeClr val="tx1"/>
              </a:solidFill>
              <a:effectLst/>
              <a:latin typeface="+mn-lt"/>
              <a:ea typeface="+mn-ea"/>
              <a:cs typeface="+mn-cs"/>
            </a:rPr>
            <a:t>automatically include the "D0."</a:t>
          </a:r>
          <a:r>
            <a:rPr lang="en-US"/>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STEP 2:</a:t>
          </a:r>
        </a:p>
        <a:p>
          <a:r>
            <a:rPr lang="en-US" sz="1100" b="0" i="0">
              <a:solidFill>
                <a:schemeClr val="tx1"/>
              </a:solidFill>
              <a:effectLst/>
              <a:latin typeface="+mn-lt"/>
              <a:ea typeface="+mn-ea"/>
              <a:cs typeface="+mn-cs"/>
            </a:rPr>
            <a:t>Click the "Totals" tab located in the lower</a:t>
          </a:r>
          <a:r>
            <a:rPr lang="en-US" sz="1100">
              <a:solidFill>
                <a:schemeClr val="tx1"/>
              </a:solidFill>
              <a:effectLst/>
              <a:latin typeface="+mn-lt"/>
              <a:ea typeface="+mn-ea"/>
              <a:cs typeface="+mn-cs"/>
            </a:rPr>
            <a:t> </a:t>
          </a:r>
          <a:r>
            <a:rPr lang="en-US" sz="1100" b="0" i="0">
              <a:solidFill>
                <a:schemeClr val="tx1"/>
              </a:solidFill>
              <a:effectLst/>
              <a:latin typeface="+mn-lt"/>
              <a:ea typeface="+mn-ea"/>
              <a:cs typeface="+mn-cs"/>
            </a:rPr>
            <a:t>lefthand corner of the workbook to view the</a:t>
          </a:r>
          <a:r>
            <a:rPr lang="en-US" sz="1100">
              <a:solidFill>
                <a:schemeClr val="tx1"/>
              </a:solidFill>
              <a:effectLst/>
              <a:latin typeface="+mn-lt"/>
              <a:ea typeface="+mn-ea"/>
              <a:cs typeface="+mn-cs"/>
            </a:rPr>
            <a:t> </a:t>
          </a:r>
          <a:r>
            <a:rPr lang="en-US" sz="1100" b="0" i="0">
              <a:solidFill>
                <a:schemeClr val="tx1"/>
              </a:solidFill>
              <a:effectLst/>
              <a:latin typeface="+mn-lt"/>
              <a:ea typeface="+mn-ea"/>
              <a:cs typeface="+mn-cs"/>
            </a:rPr>
            <a:t>total expenditures</a:t>
          </a:r>
          <a:r>
            <a:rPr lang="en-US" sz="1100" b="0" i="0" baseline="0">
              <a:solidFill>
                <a:schemeClr val="tx1"/>
              </a:solidFill>
              <a:effectLst/>
              <a:latin typeface="+mn-lt"/>
              <a:ea typeface="+mn-ea"/>
              <a:cs typeface="+mn-cs"/>
            </a:rPr>
            <a:t> </a:t>
          </a:r>
          <a:r>
            <a:rPr lang="en-US" sz="1100" b="0" i="0">
              <a:solidFill>
                <a:schemeClr val="tx1"/>
              </a:solidFill>
              <a:effectLst/>
              <a:latin typeface="+mn-lt"/>
              <a:ea typeface="+mn-ea"/>
              <a:cs typeface="+mn-cs"/>
            </a:rPr>
            <a:t>per line item for your</a:t>
          </a:r>
          <a:r>
            <a:rPr lang="en-US" sz="1100" b="0" i="0" baseline="0">
              <a:solidFill>
                <a:schemeClr val="tx1"/>
              </a:solidFill>
              <a:effectLst/>
              <a:latin typeface="+mn-lt"/>
              <a:ea typeface="+mn-ea"/>
              <a:cs typeface="+mn-cs"/>
            </a:rPr>
            <a:t> LEA</a:t>
          </a:r>
          <a:r>
            <a:rPr lang="en-US" sz="1100" b="0" i="0">
              <a:solidFill>
                <a:schemeClr val="tx1"/>
              </a:solidFill>
              <a:effectLst/>
              <a:latin typeface="+mn-lt"/>
              <a:ea typeface="+mn-ea"/>
              <a:cs typeface="+mn-cs"/>
            </a:rPr>
            <a:t>.</a:t>
          </a:r>
          <a:r>
            <a:rPr lang="en-US" sz="1100">
              <a:solidFill>
                <a:schemeClr val="tx1"/>
              </a:solidFill>
              <a:effectLst/>
              <a:latin typeface="+mn-lt"/>
              <a:ea typeface="+mn-ea"/>
              <a:cs typeface="+mn-cs"/>
            </a:rPr>
            <a:t>  Refer to the LEA Worksheet Notes to</a:t>
          </a:r>
          <a:r>
            <a:rPr lang="en-US" sz="1100" baseline="0">
              <a:solidFill>
                <a:schemeClr val="tx1"/>
              </a:solidFill>
              <a:effectLst/>
              <a:latin typeface="+mn-lt"/>
              <a:ea typeface="+mn-ea"/>
              <a:cs typeface="+mn-cs"/>
            </a:rPr>
            <a:t> view how the figures for each line item were determined. </a:t>
          </a:r>
        </a:p>
        <a:p>
          <a:endParaRPr lang="en-US" sz="1100" b="0"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STEP 3:</a:t>
          </a:r>
        </a:p>
        <a:p>
          <a:pPr marL="0" marR="0" indent="0" defTabSz="914400" eaLnBrk="1" fontAlgn="auto" latinLnBrk="0" hangingPunct="1">
            <a:lnSpc>
              <a:spcPct val="100000"/>
            </a:lnSpc>
            <a:spcBef>
              <a:spcPts val="0"/>
            </a:spcBef>
            <a:spcAft>
              <a:spcPts val="0"/>
            </a:spcAft>
            <a:buClrTx/>
            <a:buSzTx/>
            <a:buFontTx/>
            <a:buNone/>
            <a:tabLst/>
            <a:defRPr/>
          </a:pPr>
          <a:r>
            <a:rPr lang="en-US" sz="1100" b="0" i="0">
              <a:solidFill>
                <a:schemeClr val="tx1"/>
              </a:solidFill>
              <a:effectLst/>
              <a:latin typeface="+mn-lt"/>
              <a:ea typeface="+mn-ea"/>
              <a:cs typeface="+mn-cs"/>
            </a:rPr>
            <a:t>Complete the "Form</a:t>
          </a:r>
          <a:r>
            <a:rPr lang="en-US" sz="1100" b="0" i="0" baseline="0">
              <a:solidFill>
                <a:schemeClr val="tx1"/>
              </a:solidFill>
              <a:effectLst/>
              <a:latin typeface="+mn-lt"/>
              <a:ea typeface="+mn-ea"/>
              <a:cs typeface="+mn-cs"/>
            </a:rPr>
            <a:t> Assistant for Inter&amp;Coop" tab of this workbook for the "Federal" and "State and Local Special Ed funds" line items.  Be sure to follow all steps listed in the tab.</a:t>
          </a:r>
          <a:endParaRPr lang="en-US">
            <a:effectLst/>
          </a:endParaRPr>
        </a:p>
        <a:p>
          <a:endParaRPr lang="en-US" sz="1100" b="0"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STEP 4</a:t>
          </a:r>
          <a:r>
            <a:rPr lang="en-US" sz="1100" b="0" i="0" u="none" strike="noStrike">
              <a:solidFill>
                <a:schemeClr val="tx1"/>
              </a:solidFill>
              <a:effectLst/>
              <a:latin typeface="+mn-lt"/>
              <a:ea typeface="+mn-ea"/>
              <a:cs typeface="+mn-cs"/>
            </a:rPr>
            <a:t>:</a:t>
          </a:r>
        </a:p>
        <a:p>
          <a:r>
            <a:rPr lang="en-US" sz="1100" b="0" i="0" u="none" strike="noStrike">
              <a:solidFill>
                <a:schemeClr val="tx1"/>
              </a:solidFill>
              <a:effectLst/>
              <a:latin typeface="+mn-lt"/>
              <a:ea typeface="+mn-ea"/>
              <a:cs typeface="+mn-cs"/>
            </a:rPr>
            <a:t>For the remaining line items, total the</a:t>
          </a:r>
          <a:r>
            <a:rPr lang="en-US" sz="1100" b="0" i="0" u="none" strike="noStrike" baseline="0">
              <a:solidFill>
                <a:schemeClr val="tx1"/>
              </a:solidFill>
              <a:effectLst/>
              <a:latin typeface="+mn-lt"/>
              <a:ea typeface="+mn-ea"/>
              <a:cs typeface="+mn-cs"/>
            </a:rPr>
            <a:t> secondary specific expenditures for each line item from your member district worksheets, and enter that total in the remaining shaded cells  of the corresponding line items.  Example: the sum of the "State and Local" expenditures from your member district worksheets will be entered in the "State and Local" line item of this worksheet. </a:t>
          </a:r>
          <a:endParaRPr lang="en-US" sz="1100" b="0" i="0" u="none" strike="noStrike">
            <a:solidFill>
              <a:schemeClr val="tx1"/>
            </a:solidFill>
            <a:effectLst/>
            <a:latin typeface="+mn-lt"/>
            <a:ea typeface="+mn-ea"/>
            <a:cs typeface="+mn-cs"/>
          </a:endParaRPr>
        </a:p>
        <a:p>
          <a:endParaRPr lang="en-US" baseline="0"/>
        </a:p>
        <a:p>
          <a:r>
            <a:rPr lang="en-US" sz="1100" b="1" i="0">
              <a:solidFill>
                <a:schemeClr val="tx1"/>
              </a:solidFill>
              <a:effectLst/>
              <a:latin typeface="+mn-lt"/>
              <a:ea typeface="+mn-ea"/>
              <a:cs typeface="+mn-cs"/>
            </a:rPr>
            <a:t>Note</a:t>
          </a:r>
          <a:r>
            <a:rPr lang="en-US" sz="1100" b="0" i="0">
              <a:solidFill>
                <a:schemeClr val="tx1"/>
              </a:solidFill>
              <a:effectLst/>
              <a:latin typeface="+mn-lt"/>
              <a:ea typeface="+mn-ea"/>
              <a:cs typeface="+mn-cs"/>
            </a:rPr>
            <a:t>: </a:t>
          </a:r>
          <a:r>
            <a:rPr lang="en-US" sz="1100" b="0" i="0" u="sng">
              <a:solidFill>
                <a:schemeClr val="tx1"/>
              </a:solidFill>
              <a:effectLst/>
              <a:latin typeface="+mn-lt"/>
              <a:ea typeface="+mn-ea"/>
              <a:cs typeface="+mn-cs"/>
            </a:rPr>
            <a:t>The expenditures for </a:t>
          </a:r>
          <a:r>
            <a:rPr lang="en-US" sz="1100" b="0" i="0" u="sng" baseline="0">
              <a:solidFill>
                <a:schemeClr val="tx1"/>
              </a:solidFill>
              <a:effectLst/>
              <a:latin typeface="+mn-lt"/>
              <a:ea typeface="+mn-ea"/>
              <a:cs typeface="+mn-cs"/>
            </a:rPr>
            <a:t> a grade level (secondary or elementary) should never exceed the total for that line item.  A negative number is incorrect and should be addressed.  </a:t>
          </a:r>
          <a:r>
            <a:rPr lang="en-US" sz="1100" b="0" i="0" baseline="0">
              <a:solidFill>
                <a:schemeClr val="tx1"/>
              </a:solidFill>
              <a:effectLst/>
              <a:latin typeface="+mn-lt"/>
              <a:ea typeface="+mn-ea"/>
              <a:cs typeface="+mn-cs"/>
            </a:rPr>
            <a:t>Also, e</a:t>
          </a:r>
          <a:r>
            <a:rPr lang="en-US" sz="1100" b="0" i="0">
              <a:solidFill>
                <a:schemeClr val="tx1"/>
              </a:solidFill>
              <a:effectLst/>
              <a:latin typeface="+mn-lt"/>
              <a:ea typeface="+mn-ea"/>
              <a:cs typeface="+mn-cs"/>
            </a:rPr>
            <a:t>xcept for certain cases such as </a:t>
          </a:r>
          <a:r>
            <a:rPr lang="en-US" sz="1100">
              <a:solidFill>
                <a:schemeClr val="tx1"/>
              </a:solidFill>
              <a:effectLst/>
              <a:latin typeface="+mn-lt"/>
              <a:ea typeface="+mn-ea"/>
              <a:cs typeface="+mn-cs"/>
            </a:rPr>
            <a:t> </a:t>
          </a:r>
          <a:r>
            <a:rPr lang="en-US" sz="1100" b="0" i="0">
              <a:solidFill>
                <a:schemeClr val="tx1"/>
              </a:solidFill>
              <a:effectLst/>
              <a:latin typeface="+mn-lt"/>
              <a:ea typeface="+mn-ea"/>
              <a:cs typeface="+mn-cs"/>
            </a:rPr>
            <a:t>Title programs,  the expenditures</a:t>
          </a:r>
          <a:r>
            <a:rPr lang="en-US" sz="1100">
              <a:solidFill>
                <a:schemeClr val="tx1"/>
              </a:solidFill>
              <a:effectLst/>
              <a:latin typeface="+mn-lt"/>
              <a:ea typeface="+mn-ea"/>
              <a:cs typeface="+mn-cs"/>
            </a:rPr>
            <a:t> for a </a:t>
          </a:r>
          <a:r>
            <a:rPr lang="en-US" sz="1100" baseline="0">
              <a:solidFill>
                <a:schemeClr val="tx1"/>
              </a:solidFill>
              <a:effectLst/>
              <a:latin typeface="+mn-lt"/>
              <a:ea typeface="+mn-ea"/>
              <a:cs typeface="+mn-cs"/>
            </a:rPr>
            <a:t>grade level should not equal the total for that line item.</a:t>
          </a:r>
          <a:endParaRPr lang="en-US">
            <a:effectLst/>
          </a:endParaRPr>
        </a:p>
        <a:p>
          <a:endParaRPr lang="en-US" sz="1100" b="1" i="0" u="none" strike="noStrike">
            <a:solidFill>
              <a:schemeClr val="tx1"/>
            </a:solidFill>
            <a:effectLst/>
            <a:latin typeface="+mn-lt"/>
            <a:ea typeface="+mn-ea"/>
            <a:cs typeface="+mn-cs"/>
          </a:endParaRPr>
        </a:p>
        <a:p>
          <a:endParaRPr lang="en-US" sz="1100" b="0" i="0" u="none" strike="noStrike">
            <a:solidFill>
              <a:schemeClr val="tx1"/>
            </a:solidFill>
            <a:effectLst/>
            <a:latin typeface="+mn-lt"/>
            <a:ea typeface="+mn-ea"/>
            <a:cs typeface="+mn-cs"/>
          </a:endParaRPr>
        </a:p>
        <a:p>
          <a:r>
            <a:rPr lang="en-US" sz="1100" b="0" i="0" u="none" strike="noStrike">
              <a:solidFill>
                <a:schemeClr val="tx1"/>
              </a:solidFill>
              <a:effectLst/>
              <a:latin typeface="+mn-lt"/>
              <a:ea typeface="+mn-ea"/>
              <a:cs typeface="+mn-cs"/>
            </a:rPr>
            <a:t>Note: Data for September 20 and December 1 counts </a:t>
          </a:r>
          <a:r>
            <a:rPr lang="en-US"/>
            <a:t> </a:t>
          </a:r>
          <a:r>
            <a:rPr lang="en-US" sz="1100" b="0" i="0" u="none" strike="noStrike">
              <a:solidFill>
                <a:schemeClr val="tx1"/>
              </a:solidFill>
              <a:effectLst/>
              <a:latin typeface="+mn-lt"/>
              <a:ea typeface="+mn-ea"/>
              <a:cs typeface="+mn-cs"/>
            </a:rPr>
            <a:t>are pre-populated, but can be altered if needed.</a:t>
          </a:r>
          <a:r>
            <a:rPr lang="en-US"/>
            <a:t> </a:t>
          </a:r>
          <a:r>
            <a:rPr lang="en-US" sz="1100" b="0" i="0" u="none" strike="noStrike">
              <a:solidFill>
                <a:schemeClr val="tx1"/>
              </a:solidFill>
              <a:effectLst/>
              <a:latin typeface="+mn-lt"/>
              <a:ea typeface="+mn-ea"/>
              <a:cs typeface="+mn-cs"/>
            </a:rPr>
            <a:t>The September 20 and December 1 counts </a:t>
          </a:r>
          <a:r>
            <a:rPr lang="en-US"/>
            <a:t> </a:t>
          </a:r>
          <a:r>
            <a:rPr lang="en-US" sz="1100" b="0" i="0" u="none" strike="noStrike">
              <a:solidFill>
                <a:schemeClr val="tx1"/>
              </a:solidFill>
              <a:effectLst/>
              <a:latin typeface="+mn-lt"/>
              <a:ea typeface="+mn-ea"/>
              <a:cs typeface="+mn-cs"/>
            </a:rPr>
            <a:t>are from the prior school year.</a:t>
          </a:r>
          <a:r>
            <a:rPr lang="en-US"/>
            <a:t> </a:t>
          </a:r>
          <a:endParaRPr lang="en-US" sz="1100"/>
        </a:p>
      </xdr:txBody>
    </xdr:sp>
    <xdr:clientData/>
  </xdr:oneCellAnchor>
  <xdr:twoCellAnchor>
    <xdr:from>
      <xdr:col>14</xdr:col>
      <xdr:colOff>66675</xdr:colOff>
      <xdr:row>2</xdr:row>
      <xdr:rowOff>161925</xdr:rowOff>
    </xdr:from>
    <xdr:to>
      <xdr:col>18</xdr:col>
      <xdr:colOff>238125</xdr:colOff>
      <xdr:row>6</xdr:row>
      <xdr:rowOff>114300</xdr:rowOff>
    </xdr:to>
    <xdr:sp macro="" textlink="">
      <xdr:nvSpPr>
        <xdr:cNvPr id="6" name="Down Arrow 5"/>
        <xdr:cNvSpPr/>
      </xdr:nvSpPr>
      <xdr:spPr>
        <a:xfrm>
          <a:off x="10829925" y="638175"/>
          <a:ext cx="2609850" cy="762000"/>
        </a:xfrm>
        <a:prstGeom prst="downArrow">
          <a:avLst>
            <a:gd name="adj1" fmla="val 100000"/>
            <a:gd name="adj2" fmla="val 30556"/>
          </a:avLst>
        </a:prstGeom>
        <a:solidFill>
          <a:sysClr val="window" lastClr="FFFFFF"/>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Follow</a:t>
          </a:r>
          <a:r>
            <a:rPr lang="en-US" sz="1100" baseline="0">
              <a:solidFill>
                <a:sysClr val="windowText" lastClr="000000"/>
              </a:solidFill>
            </a:rPr>
            <a:t> these steps if you are a  </a:t>
          </a:r>
          <a:r>
            <a:rPr lang="en-US" sz="1100" b="1" u="sng" baseline="0">
              <a:solidFill>
                <a:sysClr val="windowText" lastClr="000000"/>
              </a:solidFill>
            </a:rPr>
            <a:t>Coop or</a:t>
          </a:r>
        </a:p>
        <a:p>
          <a:pPr algn="ctr"/>
          <a:r>
            <a:rPr lang="en-US" sz="1100" b="1" u="sng" baseline="0">
              <a:solidFill>
                <a:sysClr val="windowText" lastClr="000000"/>
              </a:solidFill>
            </a:rPr>
            <a:t>Interlocal</a:t>
          </a:r>
          <a:endParaRPr lang="en-US" sz="1100" b="1" u="sng">
            <a:solidFill>
              <a:sysClr val="windowText" lastClr="000000"/>
            </a:solidFill>
          </a:endParaRPr>
        </a:p>
      </xdr:txBody>
    </xdr:sp>
    <xdr:clientData/>
  </xdr:twoCellAnchor>
  <xdr:twoCellAnchor>
    <xdr:from>
      <xdr:col>9</xdr:col>
      <xdr:colOff>142875</xdr:colOff>
      <xdr:row>2</xdr:row>
      <xdr:rowOff>161925</xdr:rowOff>
    </xdr:from>
    <xdr:to>
      <xdr:col>13</xdr:col>
      <xdr:colOff>504825</xdr:colOff>
      <xdr:row>6</xdr:row>
      <xdr:rowOff>114300</xdr:rowOff>
    </xdr:to>
    <xdr:sp macro="" textlink="">
      <xdr:nvSpPr>
        <xdr:cNvPr id="7" name="Down Arrow 6"/>
        <xdr:cNvSpPr/>
      </xdr:nvSpPr>
      <xdr:spPr>
        <a:xfrm>
          <a:off x="7858125" y="638175"/>
          <a:ext cx="2800350" cy="762000"/>
        </a:xfrm>
        <a:prstGeom prst="downArrow">
          <a:avLst>
            <a:gd name="adj1" fmla="val 100000"/>
            <a:gd name="adj2" fmla="val 30556"/>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effectLst/>
              <a:latin typeface="+mn-lt"/>
              <a:ea typeface="+mn-ea"/>
              <a:cs typeface="+mn-cs"/>
            </a:rPr>
            <a:t>Follow these steps if you are </a:t>
          </a:r>
          <a:r>
            <a:rPr lang="en-US" sz="1100" b="1" u="sng">
              <a:solidFill>
                <a:sysClr val="windowText" lastClr="000000"/>
              </a:solidFill>
              <a:effectLst/>
              <a:latin typeface="+mn-lt"/>
              <a:ea typeface="+mn-ea"/>
              <a:cs typeface="+mn-cs"/>
            </a:rPr>
            <a:t>a Stand-Alone</a:t>
          </a:r>
          <a:r>
            <a:rPr lang="en-US" sz="1100" b="1" u="sng" baseline="0">
              <a:solidFill>
                <a:sysClr val="windowText" lastClr="000000"/>
              </a:solidFill>
              <a:effectLst/>
              <a:latin typeface="+mn-lt"/>
              <a:ea typeface="+mn-ea"/>
              <a:cs typeface="+mn-cs"/>
            </a:rPr>
            <a:t> LEA </a:t>
          </a:r>
          <a:r>
            <a:rPr lang="en-US" sz="1100" baseline="0">
              <a:solidFill>
                <a:sysClr val="windowText" lastClr="000000"/>
              </a:solidFill>
              <a:effectLst/>
              <a:latin typeface="+mn-lt"/>
              <a:ea typeface="+mn-ea"/>
              <a:cs typeface="+mn-cs"/>
            </a:rPr>
            <a:t>(meaning not a Coop or Interlocal)</a:t>
          </a:r>
          <a:endParaRPr lang="en-US">
            <a:solidFill>
              <a:sysClr val="windowText" lastClr="000000"/>
            </a:solidFill>
            <a:effectLst/>
          </a:endParaRPr>
        </a:p>
      </xdr:txBody>
    </xdr:sp>
    <xdr:clientData/>
  </xdr:twoCellAnchor>
  <xdr:twoCellAnchor>
    <xdr:from>
      <xdr:col>9</xdr:col>
      <xdr:colOff>257175</xdr:colOff>
      <xdr:row>0</xdr:row>
      <xdr:rowOff>104775</xdr:rowOff>
    </xdr:from>
    <xdr:to>
      <xdr:col>18</xdr:col>
      <xdr:colOff>123825</xdr:colOff>
      <xdr:row>2</xdr:row>
      <xdr:rowOff>47625</xdr:rowOff>
    </xdr:to>
    <xdr:sp macro="" textlink="">
      <xdr:nvSpPr>
        <xdr:cNvPr id="8" name="TextBox 7"/>
        <xdr:cNvSpPr txBox="1"/>
      </xdr:nvSpPr>
      <xdr:spPr>
        <a:xfrm>
          <a:off x="7972425" y="104775"/>
          <a:ext cx="5353050" cy="419100"/>
        </a:xfrm>
        <a:prstGeom prst="rect">
          <a:avLst/>
        </a:prstGeom>
        <a:solidFill>
          <a:srgbClr val="FFFF00"/>
        </a:solidFill>
        <a:ln w="57150"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a:t>PLEASE READ FIRST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9525</xdr:colOff>
      <xdr:row>7</xdr:row>
      <xdr:rowOff>142875</xdr:rowOff>
    </xdr:from>
    <xdr:to>
      <xdr:col>14</xdr:col>
      <xdr:colOff>552450</xdr:colOff>
      <xdr:row>7</xdr:row>
      <xdr:rowOff>142875</xdr:rowOff>
    </xdr:to>
    <xdr:cxnSp macro="">
      <xdr:nvCxnSpPr>
        <xdr:cNvPr id="3" name="Straight Arrow Connector 2"/>
        <xdr:cNvCxnSpPr/>
      </xdr:nvCxnSpPr>
      <xdr:spPr>
        <a:xfrm>
          <a:off x="3057525" y="904875"/>
          <a:ext cx="542925" cy="0"/>
        </a:xfrm>
        <a:prstGeom prst="straightConnector1">
          <a:avLst/>
        </a:prstGeom>
        <a:ln>
          <a:solidFill>
            <a:schemeClr val="bg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0</xdr:colOff>
      <xdr:row>16</xdr:row>
      <xdr:rowOff>95250</xdr:rowOff>
    </xdr:from>
    <xdr:to>
      <xdr:col>14</xdr:col>
      <xdr:colOff>542925</xdr:colOff>
      <xdr:row>16</xdr:row>
      <xdr:rowOff>95250</xdr:rowOff>
    </xdr:to>
    <xdr:cxnSp macro="">
      <xdr:nvCxnSpPr>
        <xdr:cNvPr id="4" name="Straight Arrow Connector 3"/>
        <xdr:cNvCxnSpPr/>
      </xdr:nvCxnSpPr>
      <xdr:spPr>
        <a:xfrm>
          <a:off x="3048000" y="1238250"/>
          <a:ext cx="542925" cy="0"/>
        </a:xfrm>
        <a:prstGeom prst="straightConnector1">
          <a:avLst/>
        </a:prstGeom>
        <a:ln>
          <a:solidFill>
            <a:schemeClr val="bg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0</xdr:colOff>
      <xdr:row>24</xdr:row>
      <xdr:rowOff>266700</xdr:rowOff>
    </xdr:from>
    <xdr:to>
      <xdr:col>14</xdr:col>
      <xdr:colOff>542925</xdr:colOff>
      <xdr:row>24</xdr:row>
      <xdr:rowOff>266700</xdr:rowOff>
    </xdr:to>
    <xdr:cxnSp macro="">
      <xdr:nvCxnSpPr>
        <xdr:cNvPr id="5" name="Straight Arrow Connector 4"/>
        <xdr:cNvCxnSpPr/>
      </xdr:nvCxnSpPr>
      <xdr:spPr>
        <a:xfrm>
          <a:off x="8448675" y="5229225"/>
          <a:ext cx="542925" cy="0"/>
        </a:xfrm>
        <a:prstGeom prst="straightConnector1">
          <a:avLst/>
        </a:prstGeom>
        <a:ln>
          <a:solidFill>
            <a:schemeClr val="bg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9525</xdr:colOff>
      <xdr:row>11</xdr:row>
      <xdr:rowOff>152400</xdr:rowOff>
    </xdr:from>
    <xdr:to>
      <xdr:col>14</xdr:col>
      <xdr:colOff>552450</xdr:colOff>
      <xdr:row>11</xdr:row>
      <xdr:rowOff>152400</xdr:rowOff>
    </xdr:to>
    <xdr:cxnSp macro="">
      <xdr:nvCxnSpPr>
        <xdr:cNvPr id="6" name="Straight Arrow Connector 5"/>
        <xdr:cNvCxnSpPr/>
      </xdr:nvCxnSpPr>
      <xdr:spPr>
        <a:xfrm>
          <a:off x="3057525" y="1781175"/>
          <a:ext cx="542925" cy="0"/>
        </a:xfrm>
        <a:prstGeom prst="straightConnector1">
          <a:avLst/>
        </a:prstGeom>
        <a:ln>
          <a:solidFill>
            <a:schemeClr val="bg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600075</xdr:colOff>
      <xdr:row>7</xdr:row>
      <xdr:rowOff>171450</xdr:rowOff>
    </xdr:from>
    <xdr:to>
      <xdr:col>5</xdr:col>
      <xdr:colOff>533400</xdr:colOff>
      <xdr:row>7</xdr:row>
      <xdr:rowOff>171450</xdr:rowOff>
    </xdr:to>
    <xdr:cxnSp macro="">
      <xdr:nvCxnSpPr>
        <xdr:cNvPr id="7" name="Straight Arrow Connector 6"/>
        <xdr:cNvCxnSpPr/>
      </xdr:nvCxnSpPr>
      <xdr:spPr>
        <a:xfrm>
          <a:off x="3038475" y="1695450"/>
          <a:ext cx="542925"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600075</xdr:colOff>
      <xdr:row>11</xdr:row>
      <xdr:rowOff>161925</xdr:rowOff>
    </xdr:from>
    <xdr:to>
      <xdr:col>5</xdr:col>
      <xdr:colOff>533400</xdr:colOff>
      <xdr:row>11</xdr:row>
      <xdr:rowOff>161925</xdr:rowOff>
    </xdr:to>
    <xdr:cxnSp macro="">
      <xdr:nvCxnSpPr>
        <xdr:cNvPr id="8" name="Straight Arrow Connector 7"/>
        <xdr:cNvCxnSpPr/>
      </xdr:nvCxnSpPr>
      <xdr:spPr>
        <a:xfrm>
          <a:off x="3038475" y="2600325"/>
          <a:ext cx="542925"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600075</xdr:colOff>
      <xdr:row>16</xdr:row>
      <xdr:rowOff>95250</xdr:rowOff>
    </xdr:from>
    <xdr:to>
      <xdr:col>5</xdr:col>
      <xdr:colOff>533400</xdr:colOff>
      <xdr:row>16</xdr:row>
      <xdr:rowOff>95250</xdr:rowOff>
    </xdr:to>
    <xdr:cxnSp macro="">
      <xdr:nvCxnSpPr>
        <xdr:cNvPr id="9" name="Straight Arrow Connector 8"/>
        <xdr:cNvCxnSpPr/>
      </xdr:nvCxnSpPr>
      <xdr:spPr>
        <a:xfrm>
          <a:off x="3038475" y="3409950"/>
          <a:ext cx="542925"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24</xdr:row>
      <xdr:rowOff>285750</xdr:rowOff>
    </xdr:from>
    <xdr:to>
      <xdr:col>5</xdr:col>
      <xdr:colOff>542925</xdr:colOff>
      <xdr:row>24</xdr:row>
      <xdr:rowOff>285750</xdr:rowOff>
    </xdr:to>
    <xdr:cxnSp macro="">
      <xdr:nvCxnSpPr>
        <xdr:cNvPr id="10" name="Straight Arrow Connector 9"/>
        <xdr:cNvCxnSpPr/>
      </xdr:nvCxnSpPr>
      <xdr:spPr>
        <a:xfrm>
          <a:off x="3048000" y="5248275"/>
          <a:ext cx="542925"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54"/>
  <sheetViews>
    <sheetView tabSelected="1" workbookViewId="0">
      <selection activeCell="C2" sqref="C2"/>
    </sheetView>
  </sheetViews>
  <sheetFormatPr defaultRowHeight="15" x14ac:dyDescent="0.25"/>
  <cols>
    <col min="1" max="1" width="2.5703125" customWidth="1"/>
    <col min="3" max="3" width="10.140625" customWidth="1"/>
    <col min="4" max="4" width="26" customWidth="1"/>
    <col min="5" max="5" width="15.7109375" customWidth="1"/>
    <col min="6" max="6" width="17.42578125" customWidth="1"/>
    <col min="7" max="7" width="1.5703125" customWidth="1"/>
    <col min="8" max="8" width="15.7109375" customWidth="1"/>
    <col min="9" max="9" width="17.42578125" customWidth="1"/>
  </cols>
  <sheetData>
    <row r="1" spans="1:17" ht="18.75" x14ac:dyDescent="0.3">
      <c r="A1" s="87" t="s">
        <v>21</v>
      </c>
      <c r="B1" s="87"/>
      <c r="C1" s="87"/>
      <c r="D1" s="87"/>
      <c r="E1" s="87"/>
      <c r="F1" s="87"/>
      <c r="G1" s="87"/>
      <c r="H1" s="87"/>
      <c r="I1" s="87"/>
      <c r="K1" s="79"/>
      <c r="L1" s="79"/>
      <c r="M1" s="79"/>
      <c r="N1" s="79"/>
      <c r="O1" s="79"/>
      <c r="P1" s="79"/>
      <c r="Q1" s="79"/>
    </row>
    <row r="2" spans="1:17" ht="18.75" x14ac:dyDescent="0.3">
      <c r="A2" t="s">
        <v>96</v>
      </c>
      <c r="B2" s="29" t="s">
        <v>102</v>
      </c>
      <c r="C2" s="54"/>
      <c r="D2" s="88" t="str">
        <f>IF(ISBLANK(C2),"-",VLOOKUP(C2,Data!A2:B71,2,FALSE))</f>
        <v>-</v>
      </c>
      <c r="E2" s="88"/>
      <c r="F2" s="16"/>
      <c r="H2" s="29" t="s">
        <v>22</v>
      </c>
      <c r="I2" s="30" t="s">
        <v>97</v>
      </c>
      <c r="K2" s="79"/>
      <c r="L2" s="79"/>
      <c r="M2" s="79"/>
      <c r="N2" s="79"/>
      <c r="O2" s="79"/>
      <c r="P2" s="79"/>
      <c r="Q2" s="79"/>
    </row>
    <row r="3" spans="1:17" ht="15.75" x14ac:dyDescent="0.25">
      <c r="B3" t="s">
        <v>129</v>
      </c>
      <c r="E3" s="14"/>
      <c r="K3" s="80"/>
      <c r="L3" s="79"/>
      <c r="M3" s="79"/>
      <c r="N3" s="79"/>
      <c r="O3" s="79"/>
      <c r="P3" s="79"/>
      <c r="Q3" s="79"/>
    </row>
    <row r="4" spans="1:17" ht="18" customHeight="1" x14ac:dyDescent="0.3">
      <c r="A4" s="96" t="s">
        <v>123</v>
      </c>
      <c r="B4" s="97"/>
      <c r="C4" s="97"/>
      <c r="D4" s="97"/>
      <c r="E4" s="97"/>
      <c r="F4" s="97"/>
      <c r="G4" s="97"/>
      <c r="H4" s="97"/>
      <c r="I4" s="98"/>
      <c r="K4" s="79"/>
      <c r="L4" s="79"/>
      <c r="M4" s="79"/>
      <c r="N4" s="79"/>
      <c r="O4" s="79"/>
      <c r="P4" s="79"/>
      <c r="Q4" s="79"/>
    </row>
    <row r="5" spans="1:17" x14ac:dyDescent="0.25">
      <c r="A5" s="17"/>
      <c r="B5" s="18"/>
      <c r="C5" s="18"/>
      <c r="D5" s="18"/>
      <c r="E5" s="94" t="s">
        <v>100</v>
      </c>
      <c r="F5" s="94"/>
      <c r="G5" s="18"/>
      <c r="H5" s="94" t="s">
        <v>101</v>
      </c>
      <c r="I5" s="95"/>
      <c r="K5" s="79"/>
      <c r="L5" s="79"/>
      <c r="M5" s="79"/>
      <c r="N5" s="79"/>
      <c r="O5" s="79"/>
      <c r="P5" s="79"/>
      <c r="Q5" s="79"/>
    </row>
    <row r="6" spans="1:17" x14ac:dyDescent="0.25">
      <c r="A6" s="1" t="s">
        <v>2</v>
      </c>
      <c r="B6" s="2"/>
      <c r="C6" s="2"/>
      <c r="D6" s="2"/>
      <c r="E6" s="2"/>
      <c r="F6" s="2"/>
      <c r="G6" s="2"/>
      <c r="H6" s="2"/>
      <c r="I6" s="3"/>
      <c r="K6" s="79"/>
      <c r="L6" s="79"/>
      <c r="M6" s="79"/>
      <c r="N6" s="79"/>
      <c r="O6" s="79"/>
      <c r="P6" s="79"/>
      <c r="Q6" s="79"/>
    </row>
    <row r="7" spans="1:17" x14ac:dyDescent="0.25">
      <c r="A7" s="1"/>
      <c r="B7" s="2" t="s">
        <v>122</v>
      </c>
      <c r="C7" s="2"/>
      <c r="D7" s="2"/>
      <c r="E7" s="45"/>
      <c r="G7" s="2"/>
      <c r="H7" s="47" t="str">
        <f>IF(ISBLANK(E7),"-",Totals!E6-'Excess Cost'!E7)</f>
        <v>-</v>
      </c>
      <c r="I7" s="3"/>
      <c r="K7" s="79"/>
      <c r="L7" s="79"/>
      <c r="M7" s="79"/>
      <c r="N7" s="79"/>
      <c r="O7" s="79"/>
      <c r="P7" s="79"/>
      <c r="Q7" s="79"/>
    </row>
    <row r="8" spans="1:17" s="25" customFormat="1" x14ac:dyDescent="0.25">
      <c r="A8" s="1"/>
      <c r="B8" s="2" t="s">
        <v>121</v>
      </c>
      <c r="C8" s="2"/>
      <c r="D8" s="2"/>
      <c r="E8" s="45"/>
      <c r="G8" s="2"/>
      <c r="H8" s="46" t="str">
        <f>IF(ISBLANK(E8),"-",Totals!E7-'Excess Cost'!E8)</f>
        <v>-</v>
      </c>
      <c r="I8" s="9"/>
      <c r="K8" s="79"/>
      <c r="L8" s="79"/>
      <c r="M8" s="79"/>
      <c r="N8" s="79"/>
      <c r="O8" s="79"/>
      <c r="P8" s="79"/>
      <c r="Q8" s="79"/>
    </row>
    <row r="9" spans="1:17" x14ac:dyDescent="0.25">
      <c r="A9" s="1" t="s">
        <v>4</v>
      </c>
      <c r="B9" s="2"/>
      <c r="C9" s="2"/>
      <c r="D9" s="2"/>
      <c r="E9" s="7"/>
      <c r="F9" s="42">
        <f>SUM(E7:E8)</f>
        <v>0</v>
      </c>
      <c r="G9" s="2"/>
      <c r="H9" s="7"/>
      <c r="I9" s="43">
        <f>SUM(H7:H8)</f>
        <v>0</v>
      </c>
      <c r="K9" s="79"/>
      <c r="L9" s="79"/>
      <c r="M9" s="79"/>
      <c r="N9" s="79"/>
      <c r="O9" s="79"/>
      <c r="P9" s="79"/>
      <c r="Q9" s="79"/>
    </row>
    <row r="10" spans="1:17" ht="15.75" x14ac:dyDescent="0.25">
      <c r="A10" s="1" t="s">
        <v>3</v>
      </c>
      <c r="B10" s="2"/>
      <c r="C10" s="2"/>
      <c r="D10" s="2"/>
      <c r="E10" s="7"/>
      <c r="F10" s="7"/>
      <c r="G10" s="2"/>
      <c r="H10" s="7"/>
      <c r="I10" s="6"/>
      <c r="K10" s="80"/>
      <c r="L10" s="79"/>
      <c r="M10" s="79"/>
      <c r="N10" s="79"/>
      <c r="O10" s="79"/>
      <c r="P10" s="79"/>
      <c r="Q10" s="79"/>
    </row>
    <row r="11" spans="1:17" x14ac:dyDescent="0.25">
      <c r="A11" s="1"/>
      <c r="B11" s="2" t="s">
        <v>0</v>
      </c>
      <c r="C11" s="2"/>
      <c r="D11" s="2"/>
      <c r="E11" s="45"/>
      <c r="F11" s="7"/>
      <c r="G11" s="2"/>
      <c r="H11" s="48" t="str">
        <f>IF(ISBLANK(E11),"-",Totals!E10-'Excess Cost'!E11)</f>
        <v>-</v>
      </c>
      <c r="I11" s="6"/>
      <c r="K11" s="79"/>
      <c r="L11" s="79"/>
      <c r="M11" s="79"/>
      <c r="N11" s="79"/>
      <c r="O11" s="79"/>
      <c r="P11" s="79"/>
      <c r="Q11" s="79"/>
    </row>
    <row r="12" spans="1:17" x14ac:dyDescent="0.25">
      <c r="A12" s="1"/>
      <c r="B12" s="2" t="s">
        <v>1</v>
      </c>
      <c r="C12" s="2"/>
      <c r="D12" s="2"/>
      <c r="E12" s="45"/>
      <c r="F12" s="7"/>
      <c r="G12" s="2"/>
      <c r="H12" s="46" t="str">
        <f>IF(ISBLANK(E12),"-",Totals!E11-'Excess Cost'!E12)</f>
        <v>-</v>
      </c>
      <c r="I12" s="6"/>
      <c r="K12" s="79"/>
      <c r="L12" s="79"/>
      <c r="M12" s="79"/>
      <c r="N12" s="79"/>
      <c r="O12" s="79"/>
      <c r="P12" s="79"/>
      <c r="Q12" s="79"/>
    </row>
    <row r="13" spans="1:17" x14ac:dyDescent="0.25">
      <c r="A13" s="1" t="s">
        <v>5</v>
      </c>
      <c r="B13" s="2"/>
      <c r="C13" s="2"/>
      <c r="D13" s="2"/>
      <c r="E13" s="7"/>
      <c r="F13" s="13">
        <f>SUM(E11:E12)</f>
        <v>0</v>
      </c>
      <c r="G13" s="2"/>
      <c r="H13" s="7"/>
      <c r="I13" s="10">
        <f>SUM(H11:H12)</f>
        <v>0</v>
      </c>
      <c r="K13" s="79"/>
      <c r="L13" s="79"/>
      <c r="M13" s="79"/>
      <c r="N13" s="79"/>
    </row>
    <row r="14" spans="1:17" x14ac:dyDescent="0.25">
      <c r="A14" s="1" t="s">
        <v>7</v>
      </c>
      <c r="B14" s="2"/>
      <c r="C14" s="2"/>
      <c r="D14" s="2"/>
      <c r="E14" s="7"/>
      <c r="F14" s="12"/>
      <c r="G14" s="2"/>
      <c r="H14" s="7"/>
      <c r="I14" s="9"/>
      <c r="K14" s="79"/>
      <c r="L14" s="79"/>
      <c r="M14" s="79"/>
      <c r="N14" s="79"/>
    </row>
    <row r="15" spans="1:17" s="51" customFormat="1" ht="15.75" thickBot="1" x14ac:dyDescent="0.3">
      <c r="A15" s="1" t="s">
        <v>6</v>
      </c>
      <c r="B15" s="2"/>
      <c r="C15" s="2"/>
      <c r="D15" s="2"/>
      <c r="E15" s="7"/>
      <c r="F15" s="44">
        <f>F9-F13</f>
        <v>0</v>
      </c>
      <c r="G15" s="2"/>
      <c r="H15" s="7"/>
      <c r="I15" s="49">
        <f>I9-I13</f>
        <v>0</v>
      </c>
      <c r="K15" s="79"/>
      <c r="L15" s="79"/>
      <c r="M15" s="79"/>
      <c r="N15" s="79"/>
    </row>
    <row r="16" spans="1:17" ht="6" customHeight="1" thickTop="1" x14ac:dyDescent="0.25">
      <c r="A16" s="5"/>
      <c r="B16" s="5"/>
      <c r="C16" s="5"/>
      <c r="D16" s="5"/>
      <c r="E16" s="8"/>
      <c r="F16" s="13"/>
      <c r="G16" s="5"/>
      <c r="H16" s="8"/>
      <c r="I16" s="10"/>
      <c r="K16" s="79"/>
      <c r="L16" s="79"/>
      <c r="M16" s="79"/>
      <c r="N16" s="79"/>
    </row>
    <row r="17" spans="1:14" ht="8.25" customHeight="1" x14ac:dyDescent="0.25">
      <c r="K17" s="79"/>
      <c r="L17" s="79"/>
      <c r="M17" s="79"/>
      <c r="N17" s="79"/>
    </row>
    <row r="18" spans="1:14" ht="18" customHeight="1" x14ac:dyDescent="0.25">
      <c r="A18" s="91" t="s">
        <v>124</v>
      </c>
      <c r="B18" s="92"/>
      <c r="C18" s="92"/>
      <c r="D18" s="92"/>
      <c r="E18" s="92"/>
      <c r="F18" s="92"/>
      <c r="G18" s="92"/>
      <c r="H18" s="92"/>
      <c r="I18" s="93"/>
      <c r="K18" s="79"/>
      <c r="L18" s="79"/>
      <c r="M18" s="79"/>
      <c r="N18" s="79"/>
    </row>
    <row r="19" spans="1:14" x14ac:dyDescent="0.25">
      <c r="A19" s="1"/>
      <c r="B19" s="2"/>
      <c r="C19" s="2"/>
      <c r="D19" s="2"/>
      <c r="E19" s="89" t="s">
        <v>100</v>
      </c>
      <c r="F19" s="89"/>
      <c r="G19" s="2"/>
      <c r="H19" s="89" t="s">
        <v>101</v>
      </c>
      <c r="I19" s="90"/>
      <c r="K19" s="79"/>
      <c r="L19" s="79"/>
      <c r="M19" s="79"/>
      <c r="N19" s="79"/>
    </row>
    <row r="20" spans="1:14" x14ac:dyDescent="0.25">
      <c r="A20" s="1" t="s">
        <v>14</v>
      </c>
      <c r="B20" s="2"/>
      <c r="C20" s="2"/>
      <c r="D20" s="2"/>
      <c r="E20" s="2"/>
      <c r="F20" s="2"/>
      <c r="G20" s="2"/>
      <c r="H20" s="2"/>
      <c r="I20" s="3"/>
      <c r="K20" s="79"/>
      <c r="L20" s="79"/>
      <c r="M20" s="79"/>
      <c r="N20" s="79"/>
    </row>
    <row r="21" spans="1:14" x14ac:dyDescent="0.25">
      <c r="A21" s="1"/>
      <c r="B21" s="2" t="s">
        <v>8</v>
      </c>
      <c r="C21" s="2"/>
      <c r="D21" s="2"/>
      <c r="E21" s="45"/>
      <c r="F21" s="12"/>
      <c r="G21" s="2"/>
      <c r="H21" s="48" t="str">
        <f>IF(ISBLANK(E21),"-",Totals!E19-'Excess Cost'!E21)</f>
        <v>-</v>
      </c>
      <c r="I21" s="9"/>
      <c r="K21" s="79"/>
      <c r="L21" s="79"/>
      <c r="M21" s="79"/>
      <c r="N21" s="79"/>
    </row>
    <row r="22" spans="1:14" x14ac:dyDescent="0.25">
      <c r="A22" s="1"/>
      <c r="B22" s="2" t="s">
        <v>9</v>
      </c>
      <c r="C22" s="2"/>
      <c r="D22" s="2"/>
      <c r="E22" s="45"/>
      <c r="F22" s="12"/>
      <c r="G22" s="2"/>
      <c r="H22" s="48" t="str">
        <f>IF(ISBLANK(E22),"-",Totals!E20-'Excess Cost'!E22)</f>
        <v>-</v>
      </c>
      <c r="I22" s="9"/>
      <c r="K22" s="79"/>
      <c r="L22" s="79"/>
      <c r="M22" s="79"/>
      <c r="N22" s="79"/>
    </row>
    <row r="23" spans="1:14" x14ac:dyDescent="0.25">
      <c r="A23" s="1"/>
      <c r="B23" s="2" t="s">
        <v>10</v>
      </c>
      <c r="C23" s="2"/>
      <c r="D23" s="2"/>
      <c r="E23" s="45"/>
      <c r="F23" s="12"/>
      <c r="G23" s="2"/>
      <c r="H23" s="48" t="str">
        <f>IF(ISBLANK(E23),"-",Totals!E21-'Excess Cost'!E23)</f>
        <v>-</v>
      </c>
      <c r="I23" s="9"/>
      <c r="K23" s="79"/>
    </row>
    <row r="24" spans="1:14" x14ac:dyDescent="0.25">
      <c r="A24" s="1"/>
      <c r="B24" s="2" t="s">
        <v>11</v>
      </c>
      <c r="C24" s="2"/>
      <c r="D24" s="2"/>
      <c r="E24" s="45"/>
      <c r="F24" s="12"/>
      <c r="G24" s="2"/>
      <c r="H24" s="48" t="str">
        <f>IF(ISBLANK(E24),"-",Totals!E22-'Excess Cost'!E24)</f>
        <v>-</v>
      </c>
      <c r="I24" s="9"/>
      <c r="K24" s="79"/>
    </row>
    <row r="25" spans="1:14" x14ac:dyDescent="0.25">
      <c r="A25" s="1"/>
      <c r="B25" s="2" t="s">
        <v>12</v>
      </c>
      <c r="C25" s="2"/>
      <c r="D25" s="2"/>
      <c r="E25" s="22"/>
      <c r="F25" s="12"/>
      <c r="G25" s="2"/>
      <c r="H25" s="48"/>
      <c r="I25" s="9"/>
      <c r="K25" s="79"/>
    </row>
    <row r="26" spans="1:14" x14ac:dyDescent="0.25">
      <c r="A26" s="1"/>
      <c r="B26" s="2" t="s">
        <v>13</v>
      </c>
      <c r="C26" s="2"/>
      <c r="D26" s="2"/>
      <c r="E26" s="45"/>
      <c r="F26" s="12"/>
      <c r="G26" s="2"/>
      <c r="H26" s="46" t="str">
        <f>IF(ISBLANK(E26),"-",Totals!E24-'Excess Cost'!E26)</f>
        <v>-</v>
      </c>
      <c r="I26" s="9"/>
      <c r="K26" s="79"/>
    </row>
    <row r="27" spans="1:14" x14ac:dyDescent="0.25">
      <c r="A27" s="1" t="s">
        <v>23</v>
      </c>
      <c r="B27" s="2"/>
      <c r="C27" s="2"/>
      <c r="D27" s="2"/>
      <c r="E27" s="12"/>
      <c r="F27" s="13">
        <f>SUM(E21:E26)</f>
        <v>0</v>
      </c>
      <c r="G27" s="2"/>
      <c r="H27" s="12"/>
      <c r="I27" s="10">
        <f>SUM(H21:H26)</f>
        <v>0</v>
      </c>
      <c r="K27" s="79"/>
    </row>
    <row r="28" spans="1:14" x14ac:dyDescent="0.25">
      <c r="A28" s="1" t="s">
        <v>24</v>
      </c>
      <c r="B28" s="2"/>
      <c r="C28" s="2"/>
      <c r="D28" s="2"/>
      <c r="E28" s="12"/>
      <c r="F28" s="12"/>
      <c r="G28" s="2"/>
      <c r="H28" s="12"/>
      <c r="I28" s="9"/>
    </row>
    <row r="29" spans="1:14" s="51" customFormat="1" ht="15.75" thickBot="1" x14ac:dyDescent="0.3">
      <c r="A29" s="1" t="s">
        <v>14</v>
      </c>
      <c r="B29" s="2"/>
      <c r="C29" s="2"/>
      <c r="D29" s="2"/>
      <c r="E29" s="12"/>
      <c r="F29" s="44">
        <f>F15-F27</f>
        <v>0</v>
      </c>
      <c r="G29" s="2"/>
      <c r="H29" s="12"/>
      <c r="I29" s="49">
        <f>I15-I27</f>
        <v>0</v>
      </c>
    </row>
    <row r="30" spans="1:14" ht="5.25" customHeight="1" thickTop="1" x14ac:dyDescent="0.25">
      <c r="A30" s="5"/>
      <c r="B30" s="5"/>
      <c r="C30" s="5"/>
      <c r="D30" s="5"/>
      <c r="E30" s="13"/>
      <c r="F30" s="5"/>
      <c r="G30" s="5"/>
      <c r="H30" s="5"/>
      <c r="I30" s="38"/>
    </row>
    <row r="31" spans="1:14" ht="8.25" customHeight="1" x14ac:dyDescent="0.25"/>
    <row r="32" spans="1:14" ht="18" customHeight="1" x14ac:dyDescent="0.25">
      <c r="A32" s="91" t="s">
        <v>125</v>
      </c>
      <c r="B32" s="92"/>
      <c r="C32" s="92"/>
      <c r="D32" s="92"/>
      <c r="E32" s="92"/>
      <c r="F32" s="92"/>
      <c r="G32" s="92"/>
      <c r="H32" s="92"/>
      <c r="I32" s="93"/>
    </row>
    <row r="33" spans="1:17" x14ac:dyDescent="0.25">
      <c r="A33" s="1"/>
      <c r="B33" s="2"/>
      <c r="C33" s="2"/>
      <c r="D33" s="2"/>
      <c r="E33" s="89" t="s">
        <v>100</v>
      </c>
      <c r="F33" s="89"/>
      <c r="G33" s="2"/>
      <c r="H33" s="89" t="s">
        <v>101</v>
      </c>
      <c r="I33" s="90"/>
      <c r="K33" s="79"/>
      <c r="L33" s="79"/>
      <c r="M33" s="79"/>
      <c r="N33" s="79"/>
      <c r="O33" s="79"/>
      <c r="P33" s="79"/>
    </row>
    <row r="34" spans="1:17" x14ac:dyDescent="0.25">
      <c r="A34" s="1" t="s">
        <v>15</v>
      </c>
      <c r="B34" s="2"/>
      <c r="C34" s="2"/>
      <c r="D34" s="2"/>
      <c r="E34" s="2"/>
      <c r="F34" s="53" t="str">
        <f>IF(ISBLANK(C2),"-",VLOOKUP(C2,Data!A2:Q71,15,FALSE))</f>
        <v>-</v>
      </c>
      <c r="G34" s="2"/>
      <c r="H34" s="2"/>
      <c r="I34" s="26" t="str">
        <f>IF(ISBLANK(C2),"-",Totals!F31-'Excess Cost'!F34)</f>
        <v>-</v>
      </c>
      <c r="K34" s="79"/>
      <c r="L34" s="79"/>
      <c r="M34" s="79"/>
      <c r="N34" s="79"/>
      <c r="O34" s="79"/>
      <c r="P34" s="79"/>
    </row>
    <row r="35" spans="1:17" x14ac:dyDescent="0.25">
      <c r="A35" s="1"/>
      <c r="B35" s="2"/>
      <c r="C35" s="2"/>
      <c r="D35" s="2"/>
      <c r="E35" s="2"/>
      <c r="F35" s="2"/>
      <c r="G35" s="2"/>
      <c r="H35" s="2"/>
      <c r="I35" s="3"/>
      <c r="K35" s="79"/>
      <c r="L35" s="79"/>
      <c r="M35" s="79"/>
      <c r="N35" s="79"/>
      <c r="O35" s="79"/>
      <c r="P35" s="79"/>
    </row>
    <row r="36" spans="1:17" x14ac:dyDescent="0.25">
      <c r="A36" s="4" t="s">
        <v>16</v>
      </c>
      <c r="B36" s="5"/>
      <c r="C36" s="5"/>
      <c r="D36" s="5"/>
      <c r="E36" s="5"/>
      <c r="F36" s="53" t="str">
        <f>IF(ISBLANK(C2),"-",VLOOKUP(C2,Data!A2:Q71,17,FALSE))</f>
        <v>-</v>
      </c>
      <c r="G36" s="5"/>
      <c r="H36" s="5"/>
      <c r="I36" s="24" t="str">
        <f>IF(ISBLANK(C2),"-",Totals!F33-'Excess Cost'!F36)</f>
        <v>-</v>
      </c>
      <c r="K36" s="79"/>
      <c r="L36" s="79"/>
      <c r="M36" s="79"/>
      <c r="N36" s="79"/>
      <c r="O36" s="79"/>
      <c r="P36" s="79"/>
    </row>
    <row r="37" spans="1:17" ht="8.25" customHeight="1" x14ac:dyDescent="0.25"/>
    <row r="38" spans="1:17" x14ac:dyDescent="0.25">
      <c r="A38" s="101" t="s">
        <v>126</v>
      </c>
      <c r="B38" s="102"/>
      <c r="C38" s="102"/>
      <c r="D38" s="102"/>
      <c r="E38" s="102"/>
      <c r="F38" s="102"/>
      <c r="G38" s="102"/>
      <c r="H38" s="102"/>
      <c r="I38" s="103"/>
    </row>
    <row r="39" spans="1:17" x14ac:dyDescent="0.25">
      <c r="A39" s="1"/>
      <c r="B39" s="2"/>
      <c r="C39" s="2"/>
      <c r="D39" s="2"/>
      <c r="E39" s="89" t="s">
        <v>100</v>
      </c>
      <c r="F39" s="89"/>
      <c r="G39" s="2"/>
      <c r="H39" s="89" t="s">
        <v>101</v>
      </c>
      <c r="I39" s="90"/>
    </row>
    <row r="40" spans="1:17" x14ac:dyDescent="0.25">
      <c r="A40" s="1" t="s">
        <v>99</v>
      </c>
      <c r="B40" s="2"/>
      <c r="C40" s="2"/>
      <c r="D40" s="2"/>
      <c r="E40" s="2"/>
      <c r="F40" s="2"/>
      <c r="G40" s="2"/>
      <c r="H40" s="2"/>
      <c r="I40" s="3"/>
    </row>
    <row r="41" spans="1:17" x14ac:dyDescent="0.25">
      <c r="A41" s="1" t="s">
        <v>17</v>
      </c>
      <c r="B41" s="2"/>
      <c r="C41" s="2"/>
      <c r="D41" s="2"/>
      <c r="E41" s="2"/>
      <c r="F41" s="20">
        <f>IF(F29&gt;0,F29/F34,0)</f>
        <v>0</v>
      </c>
      <c r="G41" s="2"/>
      <c r="H41" s="2"/>
      <c r="I41" s="11">
        <f>IF(I29&gt;0,I29/I34,0)</f>
        <v>0</v>
      </c>
    </row>
    <row r="42" spans="1:17" x14ac:dyDescent="0.25">
      <c r="A42" s="1" t="s">
        <v>18</v>
      </c>
      <c r="B42" s="2"/>
      <c r="C42" s="2"/>
      <c r="D42" s="2"/>
      <c r="E42" s="2"/>
      <c r="F42" s="2"/>
      <c r="G42" s="2"/>
      <c r="H42" s="2"/>
      <c r="I42" s="3"/>
    </row>
    <row r="43" spans="1:17" x14ac:dyDescent="0.25">
      <c r="A43" s="1" t="s">
        <v>19</v>
      </c>
      <c r="B43" s="2"/>
      <c r="C43" s="2"/>
      <c r="D43" s="2"/>
      <c r="E43" s="2"/>
      <c r="F43" s="2"/>
      <c r="G43" s="2"/>
      <c r="H43" s="2"/>
      <c r="I43" s="3"/>
    </row>
    <row r="44" spans="1:17" ht="15.75" thickBot="1" x14ac:dyDescent="0.3">
      <c r="A44" s="2" t="s">
        <v>20</v>
      </c>
      <c r="B44" s="2"/>
      <c r="C44" s="2"/>
      <c r="D44" s="2"/>
      <c r="E44" s="2"/>
      <c r="F44" s="34">
        <f>IF(F29&gt;0,F36*F41,0)</f>
        <v>0</v>
      </c>
      <c r="G44" s="2"/>
      <c r="H44" s="2"/>
      <c r="I44" s="35">
        <f>IF(I29&gt;0,I41*I36,0)</f>
        <v>0</v>
      </c>
    </row>
    <row r="45" spans="1:17" ht="9.75" customHeight="1" thickTop="1" x14ac:dyDescent="0.25">
      <c r="A45" s="36"/>
      <c r="B45" s="2"/>
      <c r="C45" s="2"/>
      <c r="D45" s="2"/>
      <c r="E45" s="2"/>
      <c r="F45" s="2"/>
      <c r="G45" s="2"/>
      <c r="H45" s="2"/>
      <c r="I45" s="3"/>
    </row>
    <row r="46" spans="1:17" x14ac:dyDescent="0.25">
      <c r="A46" s="36"/>
      <c r="B46" s="2"/>
      <c r="C46" s="89" t="s">
        <v>104</v>
      </c>
      <c r="D46" s="89"/>
      <c r="E46" s="89"/>
      <c r="F46" s="89"/>
      <c r="G46" s="89"/>
      <c r="H46" s="89"/>
      <c r="I46" s="3"/>
    </row>
    <row r="47" spans="1:17" x14ac:dyDescent="0.25">
      <c r="A47" s="36"/>
      <c r="B47" s="36"/>
      <c r="C47" s="2"/>
      <c r="D47" s="2"/>
      <c r="E47" s="2"/>
      <c r="F47" s="2"/>
      <c r="G47" s="2"/>
      <c r="H47" s="2"/>
      <c r="I47" s="3"/>
    </row>
    <row r="48" spans="1:17" x14ac:dyDescent="0.25">
      <c r="A48" s="2"/>
      <c r="B48" s="2"/>
      <c r="C48" s="2"/>
      <c r="D48" s="2"/>
      <c r="E48" s="37" t="s">
        <v>105</v>
      </c>
      <c r="F48" s="5"/>
      <c r="G48" s="5"/>
      <c r="H48" s="5"/>
      <c r="I48" s="38"/>
      <c r="L48" s="79"/>
      <c r="M48" s="79"/>
      <c r="N48" s="79"/>
      <c r="O48" s="79"/>
      <c r="P48" s="79"/>
      <c r="Q48" s="79"/>
    </row>
    <row r="49" spans="1:17" x14ac:dyDescent="0.25">
      <c r="A49" s="2"/>
      <c r="B49" s="2"/>
      <c r="C49" s="2"/>
      <c r="D49" s="2"/>
      <c r="E49" s="2"/>
      <c r="F49" s="2"/>
      <c r="G49" s="2"/>
      <c r="H49" s="2"/>
      <c r="I49" s="3"/>
      <c r="K49" s="79"/>
      <c r="L49" s="79"/>
      <c r="M49" s="79"/>
      <c r="N49" s="79"/>
      <c r="O49" s="79"/>
      <c r="P49" s="79"/>
      <c r="Q49" s="79"/>
    </row>
    <row r="50" spans="1:17" x14ac:dyDescent="0.25">
      <c r="A50" s="2"/>
      <c r="B50" s="2"/>
      <c r="C50" s="2"/>
      <c r="D50" s="2"/>
      <c r="E50" s="37" t="s">
        <v>106</v>
      </c>
      <c r="F50" s="99"/>
      <c r="G50" s="99"/>
      <c r="H50" s="99"/>
      <c r="I50" s="100"/>
      <c r="K50" s="79"/>
      <c r="L50" s="79"/>
      <c r="M50" s="79"/>
      <c r="N50" s="79"/>
      <c r="O50" s="79"/>
      <c r="P50" s="79"/>
      <c r="Q50" s="79"/>
    </row>
    <row r="51" spans="1:17" x14ac:dyDescent="0.25">
      <c r="A51" s="2"/>
      <c r="B51" s="2"/>
      <c r="C51" s="2"/>
      <c r="D51" s="2"/>
      <c r="E51" s="2"/>
      <c r="F51" s="2"/>
      <c r="G51" s="2"/>
      <c r="H51" s="2"/>
      <c r="I51" s="3"/>
      <c r="K51" s="79"/>
      <c r="L51" s="79"/>
      <c r="M51" s="79"/>
      <c r="N51" s="79"/>
      <c r="O51" s="79"/>
      <c r="P51" s="79"/>
      <c r="Q51" s="79"/>
    </row>
    <row r="52" spans="1:17" x14ac:dyDescent="0.25">
      <c r="A52" s="2"/>
      <c r="B52" s="2"/>
      <c r="C52" s="2"/>
      <c r="D52" s="2"/>
      <c r="E52" s="37" t="s">
        <v>107</v>
      </c>
      <c r="F52" s="99"/>
      <c r="G52" s="99"/>
      <c r="H52" s="99"/>
      <c r="I52" s="100"/>
      <c r="K52" s="79"/>
      <c r="L52" s="79"/>
      <c r="M52" s="79"/>
      <c r="N52" s="79"/>
      <c r="O52" s="79"/>
      <c r="P52" s="79"/>
      <c r="Q52" s="79"/>
    </row>
    <row r="53" spans="1:17" s="51" customFormat="1" x14ac:dyDescent="0.25">
      <c r="A53" s="83" t="s">
        <v>144</v>
      </c>
      <c r="B53" s="83"/>
      <c r="C53" s="83"/>
      <c r="D53" s="83"/>
      <c r="E53" s="83"/>
      <c r="F53" s="83"/>
      <c r="G53" s="83"/>
      <c r="H53" s="83"/>
      <c r="I53" s="84"/>
      <c r="K53" s="79"/>
      <c r="L53" s="79"/>
      <c r="M53" s="79"/>
      <c r="N53" s="79"/>
      <c r="O53" s="79"/>
      <c r="P53" s="79"/>
      <c r="Q53" s="79"/>
    </row>
    <row r="54" spans="1:17" x14ac:dyDescent="0.25">
      <c r="A54" s="85"/>
      <c r="B54" s="85"/>
      <c r="C54" s="85"/>
      <c r="D54" s="85"/>
      <c r="E54" s="85"/>
      <c r="F54" s="85"/>
      <c r="G54" s="85"/>
      <c r="H54" s="85"/>
      <c r="I54" s="86"/>
    </row>
  </sheetData>
  <sheetProtection password="CBEB" sheet="1" objects="1" scenarios="1" selectLockedCells="1"/>
  <mergeCells count="18">
    <mergeCell ref="E39:F39"/>
    <mergeCell ref="H39:I39"/>
    <mergeCell ref="A53:I54"/>
    <mergeCell ref="A1:I1"/>
    <mergeCell ref="D2:E2"/>
    <mergeCell ref="E33:F33"/>
    <mergeCell ref="H33:I33"/>
    <mergeCell ref="A32:I32"/>
    <mergeCell ref="E5:F5"/>
    <mergeCell ref="H5:I5"/>
    <mergeCell ref="A18:I18"/>
    <mergeCell ref="E19:F19"/>
    <mergeCell ref="H19:I19"/>
    <mergeCell ref="A4:I4"/>
    <mergeCell ref="C46:H46"/>
    <mergeCell ref="F50:I50"/>
    <mergeCell ref="F52:I52"/>
    <mergeCell ref="A38:I38"/>
  </mergeCells>
  <conditionalFormatting sqref="H7">
    <cfRule type="cellIs" dxfId="2" priority="2" operator="lessThan">
      <formula>0</formula>
    </cfRule>
  </conditionalFormatting>
  <conditionalFormatting sqref="F9 H8 I9 H11:H12 I13 I15 F15 F13 H21:H24 H26 F27 I27 I29 F29 F41 F44 I44 I41">
    <cfRule type="cellIs" dxfId="1" priority="1" operator="lessThan">
      <formula>0</formula>
    </cfRule>
  </conditionalFormatting>
  <pageMargins left="0.7" right="0.7" top="0.75" bottom="0.75" header="0.3" footer="0.3"/>
  <pageSetup scale="78" orientation="portrait" r:id="rId1"/>
  <drawing r:id="rId2"/>
  <legacyDrawing r:id="rId3"/>
  <extLst>
    <ext xmlns:x14="http://schemas.microsoft.com/office/spreadsheetml/2009/9/main" uri="{CCE6A557-97BC-4b89-ADB6-D9C93CAAB3DF}">
      <x14:dataValidations xmlns:xm="http://schemas.microsoft.com/office/excel/2006/main" count="2">
        <x14:dataValidation type="whole" operator="lessThanOrEqual" allowBlank="1" showInputMessage="1" showErrorMessage="1" errorTitle="Negative Inappropriate" error="This entry is greater than the total district expenditures which will cause a negative elementary amount.">
          <x14:formula1>
            <xm:f>Totals!E6</xm:f>
          </x14:formula1>
          <xm:sqref>E11:E12 E7:E8</xm:sqref>
        </x14:dataValidation>
        <x14:dataValidation type="whole" operator="lessThanOrEqual" allowBlank="1" showInputMessage="1" showErrorMessage="1" errorTitle="Negative Inappropriate" error="This entry is greater than the total district expenditures which will cause a negative elementary amount.">
          <x14:formula1>
            <xm:f>Totals!E19</xm:f>
          </x14:formula1>
          <xm:sqref>E26 E21:E24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workbookViewId="0">
      <selection activeCell="A37" sqref="A37"/>
    </sheetView>
  </sheetViews>
  <sheetFormatPr defaultRowHeight="15" x14ac:dyDescent="0.25"/>
  <cols>
    <col min="1" max="1" width="2.5703125" style="25" customWidth="1"/>
    <col min="2" max="2" width="9.140625" style="25"/>
    <col min="3" max="3" width="10.140625" style="25" customWidth="1"/>
    <col min="4" max="4" width="26" style="25" customWidth="1"/>
    <col min="5" max="5" width="18.42578125" style="25" customWidth="1"/>
    <col min="6" max="6" width="19.7109375" style="25" customWidth="1"/>
  </cols>
  <sheetData>
    <row r="1" spans="1:14" x14ac:dyDescent="0.25">
      <c r="A1"/>
      <c r="B1"/>
      <c r="C1"/>
      <c r="D1"/>
      <c r="E1"/>
      <c r="F1"/>
    </row>
    <row r="2" spans="1:14" x14ac:dyDescent="0.25">
      <c r="B2" s="15" t="s">
        <v>102</v>
      </c>
      <c r="C2" s="31">
        <f>'Excess Cost'!C2</f>
        <v>0</v>
      </c>
      <c r="D2" s="105" t="str">
        <f>'Excess Cost'!D2:E2</f>
        <v>-</v>
      </c>
      <c r="E2" s="105"/>
      <c r="F2" s="16"/>
      <c r="H2" s="104" t="s">
        <v>98</v>
      </c>
      <c r="I2" s="104"/>
      <c r="J2" s="104"/>
      <c r="K2" s="104"/>
      <c r="L2" s="104"/>
      <c r="M2" s="104"/>
      <c r="N2" s="104"/>
    </row>
    <row r="3" spans="1:14" x14ac:dyDescent="0.25">
      <c r="E3" s="14"/>
      <c r="H3" s="104"/>
      <c r="I3" s="104"/>
      <c r="J3" s="104"/>
      <c r="K3" s="104"/>
      <c r="L3" s="104"/>
      <c r="M3" s="104"/>
      <c r="N3" s="104"/>
    </row>
    <row r="4" spans="1:14" x14ac:dyDescent="0.25">
      <c r="A4" s="17"/>
      <c r="B4" s="21"/>
      <c r="C4" s="21"/>
      <c r="D4" s="21"/>
      <c r="E4" s="94" t="s">
        <v>103</v>
      </c>
      <c r="F4" s="94"/>
      <c r="H4" s="104"/>
      <c r="I4" s="104"/>
      <c r="J4" s="104"/>
      <c r="K4" s="104"/>
      <c r="L4" s="104"/>
      <c r="M4" s="104"/>
      <c r="N4" s="104"/>
    </row>
    <row r="5" spans="1:14" x14ac:dyDescent="0.25">
      <c r="A5" s="1" t="s">
        <v>2</v>
      </c>
      <c r="B5" s="2"/>
      <c r="C5" s="2"/>
      <c r="D5" s="2"/>
      <c r="E5" s="2"/>
      <c r="F5" s="2"/>
      <c r="H5" s="104"/>
      <c r="I5" s="104"/>
      <c r="J5" s="104"/>
      <c r="K5" s="104"/>
      <c r="L5" s="104"/>
      <c r="M5" s="104"/>
      <c r="N5" s="104"/>
    </row>
    <row r="6" spans="1:14" x14ac:dyDescent="0.25">
      <c r="A6" s="1"/>
      <c r="B6" s="2" t="s">
        <v>122</v>
      </c>
      <c r="C6" s="2"/>
      <c r="D6" s="2"/>
      <c r="E6" s="22" t="e">
        <f>VLOOKUP(C2,Data!A2:O71,3,FALSE)</f>
        <v>#N/A</v>
      </c>
    </row>
    <row r="7" spans="1:14" s="25" customFormat="1" x14ac:dyDescent="0.25">
      <c r="A7" s="1"/>
      <c r="B7" s="2" t="s">
        <v>121</v>
      </c>
      <c r="C7" s="2"/>
      <c r="D7" s="2"/>
      <c r="E7" s="22" t="e">
        <f>VLOOKUP(C2,Data!A2:O71,4,FALSE)</f>
        <v>#N/A</v>
      </c>
      <c r="F7" s="22"/>
    </row>
    <row r="8" spans="1:14" x14ac:dyDescent="0.25">
      <c r="A8" s="1" t="s">
        <v>4</v>
      </c>
      <c r="B8" s="2"/>
      <c r="C8" s="2"/>
      <c r="D8" s="2"/>
      <c r="E8" s="7"/>
      <c r="F8" s="42" t="e">
        <f>SUM(E6:E7)</f>
        <v>#N/A</v>
      </c>
    </row>
    <row r="9" spans="1:14" x14ac:dyDescent="0.25">
      <c r="A9" s="1" t="s">
        <v>3</v>
      </c>
      <c r="B9" s="2"/>
      <c r="C9" s="2"/>
      <c r="D9" s="2"/>
      <c r="E9" s="7"/>
      <c r="F9" s="7"/>
    </row>
    <row r="10" spans="1:14" x14ac:dyDescent="0.25">
      <c r="A10" s="1"/>
      <c r="B10" s="2" t="s">
        <v>0</v>
      </c>
      <c r="C10" s="2"/>
      <c r="D10" s="2"/>
      <c r="E10" s="22" t="e">
        <f>VLOOKUP(C2,Data!A2:O71,5,FALSE)</f>
        <v>#N/A</v>
      </c>
      <c r="F10" s="7"/>
    </row>
    <row r="11" spans="1:14" x14ac:dyDescent="0.25">
      <c r="A11" s="1"/>
      <c r="B11" s="2" t="s">
        <v>1</v>
      </c>
      <c r="C11" s="2"/>
      <c r="D11" s="2"/>
      <c r="E11" s="23" t="e">
        <f>VLOOKUP(C2,Data!A2:O71,6,FALSE)</f>
        <v>#N/A</v>
      </c>
      <c r="F11" s="7"/>
    </row>
    <row r="12" spans="1:14" x14ac:dyDescent="0.25">
      <c r="A12" s="1" t="s">
        <v>5</v>
      </c>
      <c r="B12" s="2"/>
      <c r="C12" s="2"/>
      <c r="D12" s="2"/>
      <c r="E12" s="7"/>
      <c r="F12" s="13" t="e">
        <f>SUM(E10:E11)</f>
        <v>#N/A</v>
      </c>
    </row>
    <row r="13" spans="1:14" x14ac:dyDescent="0.25">
      <c r="A13" s="1" t="s">
        <v>7</v>
      </c>
      <c r="B13" s="2"/>
      <c r="C13" s="2"/>
      <c r="D13" s="2"/>
      <c r="E13" s="7"/>
      <c r="F13" s="12"/>
    </row>
    <row r="14" spans="1:14" x14ac:dyDescent="0.25">
      <c r="A14" s="4" t="s">
        <v>6</v>
      </c>
      <c r="B14" s="5"/>
      <c r="C14" s="5"/>
      <c r="D14" s="5"/>
      <c r="E14" s="8"/>
      <c r="F14" s="13" t="e">
        <f>F8-F12</f>
        <v>#N/A</v>
      </c>
    </row>
    <row r="16" spans="1:14" x14ac:dyDescent="0.25">
      <c r="A16"/>
      <c r="B16"/>
      <c r="C16"/>
      <c r="D16"/>
      <c r="E16"/>
      <c r="F16"/>
    </row>
    <row r="17" spans="1:6" x14ac:dyDescent="0.25">
      <c r="A17" s="1"/>
      <c r="B17" s="2"/>
      <c r="C17" s="2"/>
      <c r="D17" s="2"/>
      <c r="E17" s="89" t="s">
        <v>103</v>
      </c>
      <c r="F17" s="89"/>
    </row>
    <row r="18" spans="1:6" x14ac:dyDescent="0.25">
      <c r="A18" s="1" t="s">
        <v>14</v>
      </c>
      <c r="B18" s="2"/>
      <c r="C18" s="2"/>
      <c r="D18" s="2"/>
      <c r="E18" s="2"/>
      <c r="F18" s="2"/>
    </row>
    <row r="19" spans="1:6" x14ac:dyDescent="0.25">
      <c r="A19" s="1"/>
      <c r="B19" s="2" t="s">
        <v>8</v>
      </c>
      <c r="C19" s="2"/>
      <c r="D19" s="2"/>
      <c r="E19" s="22" t="e">
        <f>VLOOKUP(C2,Data!A2:O71,7,FALSE)</f>
        <v>#N/A</v>
      </c>
      <c r="F19" s="12"/>
    </row>
    <row r="20" spans="1:6" x14ac:dyDescent="0.25">
      <c r="A20" s="1"/>
      <c r="B20" s="2" t="s">
        <v>9</v>
      </c>
      <c r="C20" s="2"/>
      <c r="D20" s="2"/>
      <c r="E20" s="22" t="e">
        <f>VLOOKUP(C2,Data!A2:O71,8,FALSE)</f>
        <v>#N/A</v>
      </c>
      <c r="F20" s="12"/>
    </row>
    <row r="21" spans="1:6" x14ac:dyDescent="0.25">
      <c r="A21" s="1"/>
      <c r="B21" s="2" t="s">
        <v>10</v>
      </c>
      <c r="C21" s="2"/>
      <c r="D21" s="2"/>
      <c r="E21" s="22" t="e">
        <f>VLOOKUP(C2,Data!A2:O71,9,FALSE)</f>
        <v>#N/A</v>
      </c>
      <c r="F21" s="12"/>
    </row>
    <row r="22" spans="1:6" x14ac:dyDescent="0.25">
      <c r="A22" s="1"/>
      <c r="B22" s="2" t="s">
        <v>11</v>
      </c>
      <c r="C22" s="2"/>
      <c r="D22" s="2"/>
      <c r="E22" s="22" t="e">
        <f>VLOOKUP(C2,Data!A2:O71,12,FALSE)</f>
        <v>#N/A</v>
      </c>
      <c r="F22" s="12"/>
    </row>
    <row r="23" spans="1:6" x14ac:dyDescent="0.25">
      <c r="A23" s="1"/>
      <c r="B23" s="2" t="s">
        <v>12</v>
      </c>
      <c r="C23" s="2"/>
      <c r="D23" s="2"/>
      <c r="F23" s="12"/>
    </row>
    <row r="24" spans="1:6" x14ac:dyDescent="0.25">
      <c r="A24" s="1"/>
      <c r="B24" s="2" t="s">
        <v>13</v>
      </c>
      <c r="C24" s="2"/>
      <c r="D24" s="2"/>
      <c r="E24" s="22" t="e">
        <f>VLOOKUP(C2,Data!A2:O71,13,FALSE)</f>
        <v>#N/A</v>
      </c>
      <c r="F24" s="12"/>
    </row>
    <row r="25" spans="1:6" x14ac:dyDescent="0.25">
      <c r="A25" s="1" t="s">
        <v>23</v>
      </c>
      <c r="B25" s="2"/>
      <c r="C25" s="2"/>
      <c r="D25" s="2"/>
      <c r="E25" s="12"/>
      <c r="F25" s="13" t="e">
        <f>SUM(E19:E24)</f>
        <v>#N/A</v>
      </c>
    </row>
    <row r="26" spans="1:6" x14ac:dyDescent="0.25">
      <c r="A26" s="1" t="s">
        <v>24</v>
      </c>
      <c r="B26" s="2"/>
      <c r="C26" s="2"/>
      <c r="D26" s="2"/>
      <c r="E26" s="12"/>
      <c r="F26" s="12"/>
    </row>
    <row r="27" spans="1:6" x14ac:dyDescent="0.25">
      <c r="A27" s="4" t="s">
        <v>14</v>
      </c>
      <c r="B27" s="5"/>
      <c r="C27" s="5"/>
      <c r="D27" s="5"/>
      <c r="E27" s="13"/>
      <c r="F27" s="13" t="e">
        <f>F14-F25</f>
        <v>#N/A</v>
      </c>
    </row>
    <row r="29" spans="1:6" x14ac:dyDescent="0.25">
      <c r="A29"/>
      <c r="B29"/>
      <c r="C29"/>
      <c r="D29"/>
      <c r="E29"/>
      <c r="F29"/>
    </row>
    <row r="30" spans="1:6" x14ac:dyDescent="0.25">
      <c r="A30" s="1"/>
      <c r="B30" s="2"/>
      <c r="C30" s="2"/>
      <c r="D30" s="2"/>
      <c r="E30" s="89" t="s">
        <v>103</v>
      </c>
      <c r="F30" s="89"/>
    </row>
    <row r="31" spans="1:6" x14ac:dyDescent="0.25">
      <c r="A31" s="1" t="s">
        <v>15</v>
      </c>
      <c r="B31" s="2"/>
      <c r="C31" s="2"/>
      <c r="D31" s="2"/>
      <c r="E31" s="2"/>
      <c r="F31" s="32" t="e">
        <f>VLOOKUP(C2,Data!A2:Q71,14,FALSE)+VLOOKUP(C2,Data!A2:Q71,15,FALSE)</f>
        <v>#N/A</v>
      </c>
    </row>
    <row r="32" spans="1:6" x14ac:dyDescent="0.25">
      <c r="A32" s="1"/>
      <c r="B32" s="2"/>
      <c r="C32" s="2"/>
      <c r="D32" s="2"/>
      <c r="E32" s="2"/>
      <c r="F32" s="2"/>
    </row>
    <row r="33" spans="1:6" x14ac:dyDescent="0.25">
      <c r="A33" s="4" t="s">
        <v>16</v>
      </c>
      <c r="B33" s="5"/>
      <c r="C33" s="5"/>
      <c r="D33" s="5"/>
      <c r="E33" s="5"/>
      <c r="F33" s="33" t="e">
        <f>VLOOKUP(C2,Data!A2:Q71,16,FALSE)+VLOOKUP(C2,Data!A2:Q71,17,FALSE)</f>
        <v>#N/A</v>
      </c>
    </row>
    <row r="35" spans="1:6" x14ac:dyDescent="0.25">
      <c r="A35"/>
      <c r="B35"/>
      <c r="C35"/>
      <c r="D35"/>
      <c r="E35"/>
      <c r="F35"/>
    </row>
    <row r="36" spans="1:6" x14ac:dyDescent="0.25">
      <c r="A36" s="1"/>
      <c r="B36" s="2"/>
      <c r="C36" s="2"/>
      <c r="D36" s="2"/>
      <c r="E36" s="89" t="s">
        <v>103</v>
      </c>
      <c r="F36" s="89"/>
    </row>
    <row r="37" spans="1:6" x14ac:dyDescent="0.25">
      <c r="A37" s="1" t="s">
        <v>99</v>
      </c>
      <c r="B37" s="2"/>
      <c r="C37" s="2"/>
      <c r="D37" s="2"/>
      <c r="E37" s="2"/>
      <c r="F37" s="2"/>
    </row>
    <row r="38" spans="1:6" x14ac:dyDescent="0.25">
      <c r="A38" s="1" t="s">
        <v>17</v>
      </c>
      <c r="B38" s="2"/>
      <c r="C38" s="2"/>
      <c r="D38" s="2"/>
      <c r="E38" s="2"/>
      <c r="F38" s="20" t="e">
        <f>F27/F31</f>
        <v>#N/A</v>
      </c>
    </row>
    <row r="39" spans="1:6" x14ac:dyDescent="0.25">
      <c r="A39" s="1" t="s">
        <v>18</v>
      </c>
      <c r="B39" s="2"/>
      <c r="C39" s="2"/>
      <c r="D39" s="2"/>
      <c r="E39" s="2"/>
      <c r="F39" s="2"/>
    </row>
    <row r="40" spans="1:6" x14ac:dyDescent="0.25">
      <c r="A40" s="1" t="s">
        <v>19</v>
      </c>
      <c r="B40" s="2"/>
      <c r="C40" s="2"/>
      <c r="D40" s="2"/>
      <c r="E40" s="2"/>
      <c r="F40" s="2"/>
    </row>
    <row r="41" spans="1:6" ht="15.75" thickBot="1" x14ac:dyDescent="0.3">
      <c r="A41" s="2" t="s">
        <v>20</v>
      </c>
      <c r="B41" s="2"/>
      <c r="C41" s="2"/>
      <c r="D41" s="2"/>
      <c r="E41" s="2"/>
      <c r="F41" s="34" t="e">
        <f>F38*F33</f>
        <v>#N/A</v>
      </c>
    </row>
    <row r="42" spans="1:6" ht="6.75" customHeight="1" thickTop="1" x14ac:dyDescent="0.25">
      <c r="A42" s="5"/>
      <c r="B42" s="5"/>
      <c r="C42" s="5"/>
      <c r="D42" s="5"/>
      <c r="E42" s="5"/>
      <c r="F42" s="5"/>
    </row>
    <row r="43" spans="1:6" x14ac:dyDescent="0.25">
      <c r="A43"/>
      <c r="B43"/>
      <c r="C43"/>
      <c r="D43"/>
      <c r="E43"/>
      <c r="F43"/>
    </row>
    <row r="44" spans="1:6" x14ac:dyDescent="0.25">
      <c r="A44"/>
      <c r="B44"/>
      <c r="C44"/>
      <c r="D44"/>
      <c r="E44"/>
      <c r="F44"/>
    </row>
    <row r="45" spans="1:6" x14ac:dyDescent="0.25">
      <c r="A45" s="19"/>
      <c r="B45" s="19"/>
      <c r="C45" s="19"/>
      <c r="D45" s="19"/>
      <c r="E45" s="19"/>
      <c r="F45" s="19"/>
    </row>
  </sheetData>
  <sheetProtection password="CBEB" sheet="1" objects="1" scenarios="1" selectLockedCells="1"/>
  <mergeCells count="6">
    <mergeCell ref="E36:F36"/>
    <mergeCell ref="H2:N5"/>
    <mergeCell ref="D2:E2"/>
    <mergeCell ref="E4:F4"/>
    <mergeCell ref="E17:F17"/>
    <mergeCell ref="E30:F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showGridLines="0" workbookViewId="0">
      <selection activeCell="G8" sqref="G8"/>
    </sheetView>
  </sheetViews>
  <sheetFormatPr defaultRowHeight="15" x14ac:dyDescent="0.25"/>
  <cols>
    <col min="1" max="5" width="9.140625" style="51"/>
    <col min="6" max="6" width="8.7109375" style="51" customWidth="1"/>
    <col min="7" max="7" width="18" style="51" customWidth="1"/>
    <col min="8" max="8" width="4.7109375" style="51" customWidth="1"/>
    <col min="9" max="9" width="3.85546875" style="51" customWidth="1"/>
    <col min="16" max="16" width="18.7109375" customWidth="1"/>
    <col min="17" max="17" width="5.7109375" customWidth="1"/>
    <col min="18" max="18" width="7.140625" customWidth="1"/>
  </cols>
  <sheetData>
    <row r="1" spans="1:17" s="51" customFormat="1" ht="15" customHeight="1" x14ac:dyDescent="0.25">
      <c r="A1" s="110" t="s">
        <v>133</v>
      </c>
      <c r="B1" s="111"/>
      <c r="C1" s="111"/>
      <c r="D1" s="111"/>
      <c r="E1" s="111"/>
      <c r="F1" s="111"/>
      <c r="G1" s="112"/>
      <c r="H1" s="57"/>
      <c r="J1" s="116" t="s">
        <v>140</v>
      </c>
      <c r="K1" s="117"/>
      <c r="L1" s="117"/>
      <c r="M1" s="117"/>
      <c r="N1" s="117"/>
      <c r="O1" s="117"/>
      <c r="P1" s="118"/>
    </row>
    <row r="2" spans="1:17" s="51" customFormat="1" ht="15" customHeight="1" x14ac:dyDescent="0.25">
      <c r="A2" s="113"/>
      <c r="B2" s="114"/>
      <c r="C2" s="114"/>
      <c r="D2" s="114"/>
      <c r="E2" s="114"/>
      <c r="F2" s="114"/>
      <c r="G2" s="115"/>
      <c r="H2" s="57"/>
      <c r="J2" s="119"/>
      <c r="K2" s="120"/>
      <c r="L2" s="120"/>
      <c r="M2" s="120"/>
      <c r="N2" s="120"/>
      <c r="O2" s="120"/>
      <c r="P2" s="121"/>
    </row>
    <row r="3" spans="1:17" s="51" customFormat="1" ht="15" customHeight="1" x14ac:dyDescent="0.25">
      <c r="A3" s="113"/>
      <c r="B3" s="114"/>
      <c r="C3" s="114"/>
      <c r="D3" s="114"/>
      <c r="E3" s="114"/>
      <c r="F3" s="114"/>
      <c r="G3" s="115"/>
      <c r="H3" s="57"/>
      <c r="J3" s="119"/>
      <c r="K3" s="120"/>
      <c r="L3" s="120"/>
      <c r="M3" s="120"/>
      <c r="N3" s="120"/>
      <c r="O3" s="120"/>
      <c r="P3" s="121"/>
    </row>
    <row r="4" spans="1:17" s="51" customFormat="1" ht="15" customHeight="1" x14ac:dyDescent="0.25">
      <c r="A4" s="113"/>
      <c r="B4" s="114"/>
      <c r="C4" s="114"/>
      <c r="D4" s="114"/>
      <c r="E4" s="114"/>
      <c r="F4" s="114"/>
      <c r="G4" s="115"/>
      <c r="H4" s="56"/>
      <c r="J4" s="119"/>
      <c r="K4" s="120"/>
      <c r="L4" s="120"/>
      <c r="M4" s="120"/>
      <c r="N4" s="120"/>
      <c r="O4" s="120"/>
      <c r="P4" s="121"/>
    </row>
    <row r="5" spans="1:17" ht="15" customHeight="1" x14ac:dyDescent="0.25">
      <c r="A5" s="58"/>
      <c r="B5" s="59"/>
      <c r="C5" s="59"/>
      <c r="D5" s="59"/>
      <c r="E5" s="59"/>
      <c r="F5" s="59"/>
      <c r="G5" s="60"/>
      <c r="H5" s="56"/>
      <c r="J5" s="67"/>
      <c r="K5" s="68"/>
      <c r="L5" s="68"/>
      <c r="M5" s="68"/>
      <c r="N5" s="68"/>
      <c r="O5" s="68"/>
      <c r="P5" s="69"/>
      <c r="Q5" s="51"/>
    </row>
    <row r="6" spans="1:17" ht="15" customHeight="1" x14ac:dyDescent="0.25">
      <c r="A6" s="122" t="s">
        <v>134</v>
      </c>
      <c r="B6" s="123"/>
      <c r="C6" s="123"/>
      <c r="D6" s="123"/>
      <c r="E6" s="123"/>
      <c r="F6" s="59"/>
      <c r="G6" s="60"/>
      <c r="H6" s="56"/>
      <c r="J6" s="136" t="s">
        <v>137</v>
      </c>
      <c r="K6" s="107"/>
      <c r="L6" s="107"/>
      <c r="M6" s="107"/>
      <c r="N6" s="107"/>
      <c r="O6" s="68"/>
      <c r="P6" s="69"/>
    </row>
    <row r="7" spans="1:17" x14ac:dyDescent="0.25">
      <c r="A7" s="122"/>
      <c r="B7" s="123"/>
      <c r="C7" s="123"/>
      <c r="D7" s="123"/>
      <c r="E7" s="123"/>
      <c r="F7" s="59"/>
      <c r="G7" s="60"/>
      <c r="H7" s="56"/>
      <c r="J7" s="136"/>
      <c r="K7" s="107"/>
      <c r="L7" s="107"/>
      <c r="M7" s="107"/>
      <c r="N7" s="107"/>
      <c r="O7" s="68"/>
      <c r="P7" s="69"/>
    </row>
    <row r="8" spans="1:17" s="51" customFormat="1" ht="24.75" customHeight="1" x14ac:dyDescent="0.25">
      <c r="A8" s="124"/>
      <c r="B8" s="125"/>
      <c r="C8" s="125"/>
      <c r="D8" s="125"/>
      <c r="E8" s="125"/>
      <c r="F8" s="61"/>
      <c r="G8" s="74"/>
      <c r="H8" s="56"/>
      <c r="J8" s="137"/>
      <c r="K8" s="138"/>
      <c r="L8" s="138"/>
      <c r="M8" s="138"/>
      <c r="N8" s="138"/>
      <c r="O8" s="76"/>
      <c r="P8" s="74"/>
    </row>
    <row r="9" spans="1:17" s="51" customFormat="1" x14ac:dyDescent="0.25">
      <c r="A9" s="58"/>
      <c r="B9" s="59"/>
      <c r="C9" s="59"/>
      <c r="D9" s="59"/>
      <c r="E9" s="59"/>
      <c r="F9" s="59"/>
      <c r="G9" s="60"/>
      <c r="H9" s="56"/>
      <c r="J9" s="71"/>
      <c r="K9" s="72"/>
      <c r="L9" s="72"/>
      <c r="M9" s="72"/>
      <c r="N9" s="72"/>
      <c r="O9" s="68"/>
      <c r="P9" s="69"/>
    </row>
    <row r="10" spans="1:17" s="51" customFormat="1" ht="15" customHeight="1" x14ac:dyDescent="0.25">
      <c r="A10" s="122" t="s">
        <v>135</v>
      </c>
      <c r="B10" s="123"/>
      <c r="C10" s="123"/>
      <c r="D10" s="123"/>
      <c r="E10" s="123"/>
      <c r="F10" s="59"/>
      <c r="G10" s="60"/>
      <c r="H10" s="56"/>
      <c r="J10" s="136" t="s">
        <v>138</v>
      </c>
      <c r="K10" s="107"/>
      <c r="L10" s="107"/>
      <c r="M10" s="107"/>
      <c r="N10" s="107"/>
      <c r="O10" s="68"/>
      <c r="P10" s="69"/>
    </row>
    <row r="11" spans="1:17" s="51" customFormat="1" x14ac:dyDescent="0.25">
      <c r="A11" s="122"/>
      <c r="B11" s="123"/>
      <c r="C11" s="123"/>
      <c r="D11" s="123"/>
      <c r="E11" s="123"/>
      <c r="F11" s="59"/>
      <c r="G11" s="60"/>
      <c r="H11" s="56"/>
      <c r="J11" s="136"/>
      <c r="K11" s="107"/>
      <c r="L11" s="107"/>
      <c r="M11" s="107"/>
      <c r="N11" s="107"/>
      <c r="O11" s="68"/>
      <c r="P11" s="69"/>
    </row>
    <row r="12" spans="1:17" s="51" customFormat="1" ht="25.5" customHeight="1" thickBot="1" x14ac:dyDescent="0.3">
      <c r="A12" s="126"/>
      <c r="B12" s="127"/>
      <c r="C12" s="127"/>
      <c r="D12" s="127"/>
      <c r="E12" s="127"/>
      <c r="F12" s="62"/>
      <c r="G12" s="75"/>
      <c r="H12" s="56"/>
      <c r="J12" s="139"/>
      <c r="K12" s="140"/>
      <c r="L12" s="140"/>
      <c r="M12" s="140"/>
      <c r="N12" s="140"/>
      <c r="O12" s="77"/>
      <c r="P12" s="75"/>
    </row>
    <row r="13" spans="1:17" s="51" customFormat="1" ht="15.75" thickTop="1" x14ac:dyDescent="0.25">
      <c r="A13" s="58" t="s">
        <v>130</v>
      </c>
      <c r="B13" s="59"/>
      <c r="C13" s="59"/>
      <c r="D13" s="59"/>
      <c r="E13" s="59"/>
      <c r="F13" s="59"/>
      <c r="G13" s="63">
        <f>IF(ISBLANK(G12),0,SUM(G8,G12))</f>
        <v>0</v>
      </c>
      <c r="H13" s="56"/>
      <c r="J13" s="78" t="s">
        <v>130</v>
      </c>
      <c r="K13" s="72"/>
      <c r="L13" s="72"/>
      <c r="M13" s="72"/>
      <c r="N13" s="72"/>
      <c r="O13" s="68"/>
      <c r="P13" s="141">
        <f>P8+P12</f>
        <v>0</v>
      </c>
    </row>
    <row r="14" spans="1:17" s="51" customFormat="1" x14ac:dyDescent="0.25">
      <c r="A14" s="58"/>
      <c r="B14" s="59"/>
      <c r="C14" s="59"/>
      <c r="D14" s="59"/>
      <c r="E14" s="59"/>
      <c r="F14" s="59"/>
      <c r="G14" s="60"/>
      <c r="H14" s="56"/>
      <c r="J14" s="67"/>
      <c r="K14" s="68"/>
      <c r="L14" s="68"/>
      <c r="M14" s="68"/>
      <c r="N14" s="68"/>
      <c r="O14" s="68"/>
      <c r="P14" s="69"/>
    </row>
    <row r="15" spans="1:17" x14ac:dyDescent="0.25">
      <c r="A15" s="58"/>
      <c r="B15" s="59"/>
      <c r="C15" s="59"/>
      <c r="D15" s="59"/>
      <c r="E15" s="59"/>
      <c r="F15" s="59"/>
      <c r="G15" s="60"/>
      <c r="H15" s="56"/>
      <c r="J15" s="67"/>
      <c r="K15" s="68"/>
      <c r="L15" s="68"/>
      <c r="M15" s="68"/>
      <c r="N15" s="68"/>
      <c r="O15" s="68"/>
      <c r="P15" s="69"/>
    </row>
    <row r="16" spans="1:17" x14ac:dyDescent="0.25">
      <c r="A16" s="128" t="s">
        <v>132</v>
      </c>
      <c r="B16" s="129"/>
      <c r="C16" s="129"/>
      <c r="D16" s="129"/>
      <c r="E16" s="129"/>
      <c r="F16" s="59"/>
      <c r="G16" s="60"/>
      <c r="H16" s="56"/>
      <c r="J16" s="132" t="s">
        <v>131</v>
      </c>
      <c r="K16" s="133"/>
      <c r="L16" s="133"/>
      <c r="M16" s="133"/>
      <c r="N16" s="133"/>
      <c r="O16" s="68"/>
      <c r="P16" s="69"/>
    </row>
    <row r="17" spans="1:17" ht="15.75" thickBot="1" x14ac:dyDescent="0.3">
      <c r="A17" s="130"/>
      <c r="B17" s="131"/>
      <c r="C17" s="131"/>
      <c r="D17" s="131"/>
      <c r="E17" s="131"/>
      <c r="F17" s="62"/>
      <c r="G17" s="64" t="e">
        <f>Totals!E7</f>
        <v>#N/A</v>
      </c>
      <c r="H17" s="56"/>
      <c r="J17" s="134"/>
      <c r="K17" s="135"/>
      <c r="L17" s="135"/>
      <c r="M17" s="135"/>
      <c r="N17" s="135"/>
      <c r="O17" s="77"/>
      <c r="P17" s="142" t="e">
        <f>Totals!E22</f>
        <v>#N/A</v>
      </c>
    </row>
    <row r="18" spans="1:17" ht="15.75" thickTop="1" x14ac:dyDescent="0.25">
      <c r="A18" s="58"/>
      <c r="B18" s="59"/>
      <c r="C18" s="59"/>
      <c r="D18" s="59"/>
      <c r="E18" s="59"/>
      <c r="F18" s="59"/>
      <c r="G18" s="60"/>
      <c r="H18" s="56"/>
      <c r="J18" s="67"/>
      <c r="K18" s="68"/>
      <c r="L18" s="68"/>
      <c r="M18" s="68"/>
      <c r="N18" s="68"/>
      <c r="O18" s="68"/>
      <c r="P18" s="69"/>
    </row>
    <row r="19" spans="1:17" x14ac:dyDescent="0.25">
      <c r="A19" s="58"/>
      <c r="B19" s="59"/>
      <c r="C19" s="59"/>
      <c r="D19" s="59"/>
      <c r="E19" s="59"/>
      <c r="F19" s="59"/>
      <c r="G19" s="60"/>
      <c r="H19" s="56"/>
      <c r="J19" s="67"/>
      <c r="K19" s="68"/>
      <c r="L19" s="68"/>
      <c r="M19" s="68"/>
      <c r="N19" s="68"/>
      <c r="O19" s="68"/>
      <c r="P19" s="69"/>
    </row>
    <row r="20" spans="1:17" ht="15" customHeight="1" x14ac:dyDescent="0.25">
      <c r="A20" s="122" t="s">
        <v>141</v>
      </c>
      <c r="B20" s="123"/>
      <c r="C20" s="123"/>
      <c r="D20" s="123"/>
      <c r="E20" s="123"/>
      <c r="F20" s="59"/>
      <c r="G20" s="60"/>
      <c r="H20" s="56"/>
      <c r="J20" s="136" t="s">
        <v>142</v>
      </c>
      <c r="K20" s="107"/>
      <c r="L20" s="107"/>
      <c r="M20" s="107"/>
      <c r="N20" s="107"/>
      <c r="O20" s="68"/>
      <c r="P20" s="69"/>
    </row>
    <row r="21" spans="1:17" x14ac:dyDescent="0.25">
      <c r="A21" s="122"/>
      <c r="B21" s="123"/>
      <c r="C21" s="123"/>
      <c r="D21" s="123"/>
      <c r="E21" s="123"/>
      <c r="F21" s="59"/>
      <c r="G21" s="60"/>
      <c r="H21" s="56"/>
      <c r="J21" s="136"/>
      <c r="K21" s="107"/>
      <c r="L21" s="107"/>
      <c r="M21" s="107"/>
      <c r="N21" s="107"/>
      <c r="O21" s="68"/>
      <c r="P21" s="69"/>
    </row>
    <row r="22" spans="1:17" x14ac:dyDescent="0.25">
      <c r="A22" s="122"/>
      <c r="B22" s="123"/>
      <c r="C22" s="123"/>
      <c r="D22" s="123"/>
      <c r="E22" s="123"/>
      <c r="F22" s="59"/>
      <c r="G22" s="60"/>
      <c r="H22" s="56"/>
      <c r="J22" s="136"/>
      <c r="K22" s="107"/>
      <c r="L22" s="107"/>
      <c r="M22" s="107"/>
      <c r="N22" s="107"/>
      <c r="O22" s="68"/>
      <c r="P22" s="69"/>
    </row>
    <row r="23" spans="1:17" x14ac:dyDescent="0.25">
      <c r="A23" s="122"/>
      <c r="B23" s="123"/>
      <c r="C23" s="123"/>
      <c r="D23" s="123"/>
      <c r="E23" s="123"/>
      <c r="F23" s="59"/>
      <c r="G23" s="60"/>
      <c r="H23" s="56"/>
      <c r="J23" s="136"/>
      <c r="K23" s="107"/>
      <c r="L23" s="107"/>
      <c r="M23" s="107"/>
      <c r="N23" s="107"/>
      <c r="O23" s="68"/>
      <c r="P23" s="69"/>
    </row>
    <row r="24" spans="1:17" ht="23.25" customHeight="1" x14ac:dyDescent="0.25">
      <c r="A24" s="122"/>
      <c r="B24" s="123"/>
      <c r="C24" s="123"/>
      <c r="D24" s="123"/>
      <c r="E24" s="123"/>
      <c r="F24" s="59"/>
      <c r="G24" s="60"/>
      <c r="H24" s="56"/>
      <c r="J24" s="136"/>
      <c r="K24" s="107"/>
      <c r="L24" s="107"/>
      <c r="M24" s="107"/>
      <c r="N24" s="107"/>
      <c r="O24" s="68"/>
      <c r="P24" s="69"/>
    </row>
    <row r="25" spans="1:17" ht="30.75" customHeight="1" x14ac:dyDescent="0.25">
      <c r="A25" s="124"/>
      <c r="B25" s="125"/>
      <c r="C25" s="125"/>
      <c r="D25" s="125"/>
      <c r="E25" s="125"/>
      <c r="F25" s="61"/>
      <c r="G25" s="63">
        <f>IF(ISBLANK(G12), 0, G17-G13)</f>
        <v>0</v>
      </c>
      <c r="H25" s="56"/>
      <c r="J25" s="137"/>
      <c r="K25" s="138"/>
      <c r="L25" s="138"/>
      <c r="M25" s="138"/>
      <c r="N25" s="138"/>
      <c r="O25" s="76"/>
      <c r="P25" s="143">
        <f>IF(ISBLANK(P12),0,P17-P13)</f>
        <v>0</v>
      </c>
    </row>
    <row r="26" spans="1:17" x14ac:dyDescent="0.25">
      <c r="A26" s="58"/>
      <c r="B26" s="59"/>
      <c r="C26" s="59"/>
      <c r="D26" s="59"/>
      <c r="E26" s="59"/>
      <c r="F26" s="59"/>
      <c r="G26" s="65"/>
      <c r="H26" s="56"/>
      <c r="J26" s="67"/>
      <c r="K26" s="68"/>
      <c r="L26" s="68"/>
      <c r="M26" s="68"/>
      <c r="N26" s="68"/>
      <c r="O26" s="68"/>
      <c r="P26" s="69"/>
    </row>
    <row r="27" spans="1:17" x14ac:dyDescent="0.25">
      <c r="A27" s="58"/>
      <c r="B27" s="59"/>
      <c r="C27" s="59"/>
      <c r="D27" s="59"/>
      <c r="E27" s="59"/>
      <c r="F27" s="59"/>
      <c r="G27" s="60"/>
      <c r="H27" s="56"/>
      <c r="J27" s="67"/>
      <c r="K27" s="68"/>
      <c r="L27" s="68"/>
      <c r="M27" s="68"/>
      <c r="N27" s="68"/>
      <c r="O27" s="68"/>
      <c r="P27" s="69"/>
    </row>
    <row r="28" spans="1:17" x14ac:dyDescent="0.25">
      <c r="A28" s="122" t="s">
        <v>136</v>
      </c>
      <c r="B28" s="123"/>
      <c r="C28" s="123"/>
      <c r="D28" s="123"/>
      <c r="E28" s="123"/>
      <c r="F28" s="59"/>
      <c r="G28" s="60"/>
      <c r="H28" s="56"/>
      <c r="J28" s="106" t="s">
        <v>139</v>
      </c>
      <c r="K28" s="107"/>
      <c r="L28" s="107"/>
      <c r="M28" s="107"/>
      <c r="N28" s="107"/>
      <c r="O28" s="68"/>
      <c r="P28" s="69"/>
      <c r="Q28" s="51"/>
    </row>
    <row r="29" spans="1:17" x14ac:dyDescent="0.25">
      <c r="A29" s="122"/>
      <c r="B29" s="123"/>
      <c r="C29" s="123"/>
      <c r="D29" s="123"/>
      <c r="E29" s="123"/>
      <c r="F29" s="59"/>
      <c r="G29" s="60"/>
      <c r="H29" s="56"/>
      <c r="J29" s="106"/>
      <c r="K29" s="107"/>
      <c r="L29" s="107"/>
      <c r="M29" s="107"/>
      <c r="N29" s="107"/>
      <c r="O29" s="68"/>
      <c r="P29" s="69"/>
    </row>
    <row r="30" spans="1:17" x14ac:dyDescent="0.25">
      <c r="A30" s="122"/>
      <c r="B30" s="123"/>
      <c r="C30" s="123"/>
      <c r="D30" s="123"/>
      <c r="E30" s="123"/>
      <c r="F30" s="59"/>
      <c r="G30" s="60"/>
      <c r="H30" s="56"/>
      <c r="J30" s="106"/>
      <c r="K30" s="107"/>
      <c r="L30" s="107"/>
      <c r="M30" s="107"/>
      <c r="N30" s="107"/>
      <c r="O30" s="68"/>
      <c r="P30" s="69"/>
    </row>
    <row r="31" spans="1:17" x14ac:dyDescent="0.25">
      <c r="A31" s="122"/>
      <c r="B31" s="123"/>
      <c r="C31" s="123"/>
      <c r="D31" s="123"/>
      <c r="E31" s="123"/>
      <c r="F31" s="59"/>
      <c r="G31" s="60"/>
      <c r="H31" s="56"/>
      <c r="J31" s="106"/>
      <c r="K31" s="107"/>
      <c r="L31" s="107"/>
      <c r="M31" s="107"/>
      <c r="N31" s="107"/>
      <c r="O31" s="68"/>
      <c r="P31" s="69"/>
    </row>
    <row r="32" spans="1:17" ht="39" customHeight="1" x14ac:dyDescent="0.25">
      <c r="A32" s="124"/>
      <c r="B32" s="125"/>
      <c r="C32" s="125"/>
      <c r="D32" s="125"/>
      <c r="E32" s="125"/>
      <c r="F32" s="61"/>
      <c r="G32" s="66"/>
      <c r="H32" s="56"/>
      <c r="J32" s="108"/>
      <c r="K32" s="109"/>
      <c r="L32" s="109"/>
      <c r="M32" s="109"/>
      <c r="N32" s="109"/>
      <c r="O32" s="70"/>
      <c r="P32" s="73"/>
    </row>
  </sheetData>
  <sheetProtection password="CBEB" sheet="1" objects="1" scenarios="1" selectLockedCells="1"/>
  <mergeCells count="12">
    <mergeCell ref="J28:N32"/>
    <mergeCell ref="A1:G4"/>
    <mergeCell ref="J1:P4"/>
    <mergeCell ref="A6:E8"/>
    <mergeCell ref="A10:E12"/>
    <mergeCell ref="A16:E17"/>
    <mergeCell ref="A20:E25"/>
    <mergeCell ref="A28:E32"/>
    <mergeCell ref="J16:N17"/>
    <mergeCell ref="J20:N25"/>
    <mergeCell ref="J10:N12"/>
    <mergeCell ref="J6:N8"/>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EFAF28CF-B67F-4C09-BEE8-9D0ED674128F}">
            <xm:f>ISNUMBER(SEARCH("*6??",'Excess Cost'!$C$2,1))</xm:f>
            <x14:dxf>
              <fill>
                <patternFill>
                  <bgColor theme="0"/>
                </patternFill>
              </fill>
              <border>
                <left/>
                <right/>
                <top/>
                <bottom/>
                <vertical/>
                <horizontal/>
              </border>
            </x14:dxf>
          </x14:cfRule>
          <xm:sqref>J1:P32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1"/>
  <sheetViews>
    <sheetView workbookViewId="0">
      <pane ySplit="1" topLeftCell="A62" activePane="bottomLeft" state="frozen"/>
      <selection pane="bottomLeft" activeCell="D76" sqref="D76"/>
    </sheetView>
  </sheetViews>
  <sheetFormatPr defaultRowHeight="15" x14ac:dyDescent="0.25"/>
  <cols>
    <col min="2" max="2" width="24.5703125" style="25" customWidth="1"/>
    <col min="3" max="15" width="15.7109375" customWidth="1"/>
    <col min="16" max="16" width="14.28515625" customWidth="1"/>
    <col min="17" max="17" width="14.42578125" customWidth="1"/>
  </cols>
  <sheetData>
    <row r="1" spans="1:17" x14ac:dyDescent="0.25">
      <c r="A1" s="39" t="s">
        <v>25</v>
      </c>
      <c r="B1" s="28" t="s">
        <v>26</v>
      </c>
      <c r="C1" s="39" t="s">
        <v>108</v>
      </c>
      <c r="D1" s="39" t="s">
        <v>109</v>
      </c>
      <c r="E1" s="39" t="s">
        <v>110</v>
      </c>
      <c r="F1" s="39" t="s">
        <v>120</v>
      </c>
      <c r="G1" s="39" t="s">
        <v>111</v>
      </c>
      <c r="H1" s="39" t="s">
        <v>112</v>
      </c>
      <c r="I1" s="39" t="s">
        <v>113</v>
      </c>
      <c r="J1" s="39" t="s">
        <v>114</v>
      </c>
      <c r="K1" s="39" t="s">
        <v>115</v>
      </c>
      <c r="L1" s="39" t="s">
        <v>116</v>
      </c>
      <c r="M1" s="39" t="s">
        <v>117</v>
      </c>
      <c r="N1" s="39" t="s">
        <v>118</v>
      </c>
      <c r="O1" s="39" t="s">
        <v>119</v>
      </c>
      <c r="P1" s="50" t="s">
        <v>127</v>
      </c>
      <c r="Q1" s="50" t="s">
        <v>128</v>
      </c>
    </row>
    <row r="2" spans="1:17" x14ac:dyDescent="0.25">
      <c r="A2" s="41">
        <v>115</v>
      </c>
      <c r="B2" s="27" t="s">
        <v>27</v>
      </c>
      <c r="C2" s="55">
        <v>14094069</v>
      </c>
      <c r="D2" s="51">
        <v>988591</v>
      </c>
      <c r="E2" s="40">
        <v>1023779</v>
      </c>
      <c r="F2" s="40">
        <v>607132</v>
      </c>
      <c r="G2" s="51">
        <v>531512</v>
      </c>
      <c r="H2" s="40">
        <v>221084</v>
      </c>
      <c r="I2" s="40">
        <v>0</v>
      </c>
      <c r="J2" s="40">
        <v>66993</v>
      </c>
      <c r="K2" s="40">
        <v>1200712</v>
      </c>
      <c r="L2" s="40">
        <v>1267705</v>
      </c>
      <c r="M2" s="40">
        <v>0</v>
      </c>
      <c r="N2" s="40">
        <v>805</v>
      </c>
      <c r="O2" s="40">
        <v>391</v>
      </c>
      <c r="P2" s="52">
        <v>162</v>
      </c>
      <c r="Q2" s="52">
        <v>40</v>
      </c>
    </row>
    <row r="3" spans="1:17" x14ac:dyDescent="0.25">
      <c r="A3" s="41">
        <v>202</v>
      </c>
      <c r="B3" s="27" t="s">
        <v>28</v>
      </c>
      <c r="C3" s="55">
        <v>41748875</v>
      </c>
      <c r="D3" s="51">
        <v>3035148</v>
      </c>
      <c r="E3" s="40">
        <v>3767346</v>
      </c>
      <c r="F3" s="40">
        <v>3761905</v>
      </c>
      <c r="G3" s="51">
        <v>1185541</v>
      </c>
      <c r="H3" s="40">
        <v>1457336</v>
      </c>
      <c r="I3" s="40">
        <v>67046</v>
      </c>
      <c r="J3" s="40">
        <v>4109176</v>
      </c>
      <c r="K3" s="40">
        <v>0</v>
      </c>
      <c r="L3" s="40">
        <v>4109176</v>
      </c>
      <c r="M3" s="40">
        <v>456154</v>
      </c>
      <c r="N3" s="40">
        <v>2780</v>
      </c>
      <c r="O3" s="40">
        <v>1296</v>
      </c>
      <c r="P3" s="52">
        <v>345</v>
      </c>
      <c r="Q3" s="52">
        <v>152</v>
      </c>
    </row>
    <row r="4" spans="1:17" x14ac:dyDescent="0.25">
      <c r="A4" s="41">
        <v>229</v>
      </c>
      <c r="B4" s="27" t="s">
        <v>29</v>
      </c>
      <c r="C4" s="55">
        <v>252627473</v>
      </c>
      <c r="D4" s="51">
        <v>5996429</v>
      </c>
      <c r="E4" s="40">
        <v>14269149.74</v>
      </c>
      <c r="F4" s="40">
        <v>41965928</v>
      </c>
      <c r="G4" s="51">
        <v>5337596</v>
      </c>
      <c r="H4" s="40">
        <v>340546</v>
      </c>
      <c r="I4" s="40">
        <v>30806</v>
      </c>
      <c r="J4" s="40">
        <v>29746139</v>
      </c>
      <c r="K4" s="40">
        <v>0</v>
      </c>
      <c r="L4" s="40">
        <v>29746139</v>
      </c>
      <c r="M4" s="40">
        <v>1505859</v>
      </c>
      <c r="N4" s="40">
        <v>14768</v>
      </c>
      <c r="O4" s="40">
        <v>6663</v>
      </c>
      <c r="P4" s="52">
        <v>1441</v>
      </c>
      <c r="Q4" s="52">
        <v>546</v>
      </c>
    </row>
    <row r="5" spans="1:17" x14ac:dyDescent="0.25">
      <c r="A5" s="41">
        <v>230</v>
      </c>
      <c r="B5" s="27" t="s">
        <v>30</v>
      </c>
      <c r="C5" s="55">
        <v>28786006</v>
      </c>
      <c r="D5" s="51">
        <v>990796</v>
      </c>
      <c r="E5" s="40">
        <v>430068</v>
      </c>
      <c r="F5" s="40">
        <v>3810929</v>
      </c>
      <c r="G5" s="51">
        <v>772581</v>
      </c>
      <c r="H5" s="40">
        <v>183017</v>
      </c>
      <c r="I5" s="40">
        <v>0</v>
      </c>
      <c r="J5" s="40">
        <v>2125599</v>
      </c>
      <c r="K5" s="40">
        <v>0</v>
      </c>
      <c r="L5" s="40">
        <v>2125599</v>
      </c>
      <c r="M5" s="40">
        <v>26137</v>
      </c>
      <c r="N5" s="40">
        <v>1555</v>
      </c>
      <c r="O5" s="40">
        <v>2053</v>
      </c>
      <c r="P5" s="52">
        <v>209</v>
      </c>
      <c r="Q5" s="52">
        <v>109</v>
      </c>
    </row>
    <row r="6" spans="1:17" x14ac:dyDescent="0.25">
      <c r="A6" s="41">
        <v>231</v>
      </c>
      <c r="B6" s="27" t="s">
        <v>31</v>
      </c>
      <c r="C6" s="55">
        <v>58294735</v>
      </c>
      <c r="D6" s="51">
        <v>2490760</v>
      </c>
      <c r="E6" s="40">
        <v>3747688</v>
      </c>
      <c r="F6" s="40">
        <v>11399195</v>
      </c>
      <c r="G6" s="51">
        <v>1267652</v>
      </c>
      <c r="H6" s="40">
        <v>412869</v>
      </c>
      <c r="I6" s="40">
        <v>0</v>
      </c>
      <c r="J6" s="40">
        <v>7033419</v>
      </c>
      <c r="K6" s="40">
        <v>0</v>
      </c>
      <c r="L6" s="40">
        <v>7033419</v>
      </c>
      <c r="M6" s="40">
        <v>270804</v>
      </c>
      <c r="N6" s="40">
        <v>3712</v>
      </c>
      <c r="O6" s="40">
        <v>1330</v>
      </c>
      <c r="P6" s="52">
        <v>535</v>
      </c>
      <c r="Q6" s="52">
        <v>124</v>
      </c>
    </row>
    <row r="7" spans="1:17" x14ac:dyDescent="0.25">
      <c r="A7" s="41">
        <v>232</v>
      </c>
      <c r="B7" s="27" t="s">
        <v>32</v>
      </c>
      <c r="C7" s="55">
        <v>72362597</v>
      </c>
      <c r="D7" s="51">
        <v>2035001</v>
      </c>
      <c r="E7" s="40">
        <v>2210790</v>
      </c>
      <c r="F7" s="40">
        <v>16010332</v>
      </c>
      <c r="G7" s="51">
        <v>1674259</v>
      </c>
      <c r="H7" s="40">
        <v>148872</v>
      </c>
      <c r="I7" s="40">
        <v>17992</v>
      </c>
      <c r="J7" s="40">
        <v>6536322</v>
      </c>
      <c r="K7" s="40">
        <v>0</v>
      </c>
      <c r="L7" s="40">
        <v>6536322</v>
      </c>
      <c r="M7" s="40">
        <v>259117</v>
      </c>
      <c r="N7" s="40">
        <v>4926</v>
      </c>
      <c r="O7" s="40">
        <v>1742</v>
      </c>
      <c r="P7" s="52">
        <v>336</v>
      </c>
      <c r="Q7" s="52">
        <v>136</v>
      </c>
    </row>
    <row r="8" spans="1:17" x14ac:dyDescent="0.25">
      <c r="A8" s="41">
        <v>233</v>
      </c>
      <c r="B8" s="27" t="s">
        <v>33</v>
      </c>
      <c r="C8" s="55">
        <v>289378300</v>
      </c>
      <c r="D8" s="51">
        <v>14208464</v>
      </c>
      <c r="E8" s="40">
        <v>3475490</v>
      </c>
      <c r="F8" s="40">
        <v>42372540</v>
      </c>
      <c r="G8" s="51">
        <v>9311424</v>
      </c>
      <c r="H8" s="40">
        <v>2217996</v>
      </c>
      <c r="I8" s="40">
        <v>138591</v>
      </c>
      <c r="J8" s="40">
        <v>33953344</v>
      </c>
      <c r="K8" s="40">
        <v>0</v>
      </c>
      <c r="L8" s="40">
        <v>33953344</v>
      </c>
      <c r="M8" s="40">
        <v>2482521</v>
      </c>
      <c r="N8" s="40">
        <v>19530</v>
      </c>
      <c r="O8" s="40">
        <v>7835</v>
      </c>
      <c r="P8" s="52">
        <v>2382</v>
      </c>
      <c r="Q8" s="52">
        <v>814</v>
      </c>
    </row>
    <row r="9" spans="1:17" x14ac:dyDescent="0.25">
      <c r="A9" s="41">
        <v>234</v>
      </c>
      <c r="B9" s="27" t="s">
        <v>34</v>
      </c>
      <c r="C9" s="55">
        <v>17345758</v>
      </c>
      <c r="D9" s="51">
        <v>1613107</v>
      </c>
      <c r="E9" s="40">
        <v>537363</v>
      </c>
      <c r="F9" s="40">
        <v>1057041</v>
      </c>
      <c r="G9" s="51">
        <v>649891</v>
      </c>
      <c r="H9" s="40">
        <v>803285</v>
      </c>
      <c r="I9" s="40">
        <v>0</v>
      </c>
      <c r="J9" s="40">
        <v>1335376</v>
      </c>
      <c r="K9" s="40">
        <v>0</v>
      </c>
      <c r="L9" s="40">
        <v>1335376</v>
      </c>
      <c r="M9" s="40">
        <v>9645</v>
      </c>
      <c r="N9" s="40">
        <v>1406</v>
      </c>
      <c r="O9" s="40">
        <v>567</v>
      </c>
      <c r="P9" s="52">
        <v>132</v>
      </c>
      <c r="Q9" s="52">
        <v>50</v>
      </c>
    </row>
    <row r="10" spans="1:17" ht="30" x14ac:dyDescent="0.25">
      <c r="A10" s="41">
        <v>244</v>
      </c>
      <c r="B10" s="27" t="s">
        <v>35</v>
      </c>
      <c r="C10" s="55">
        <v>19487656</v>
      </c>
      <c r="D10" s="51">
        <v>897584</v>
      </c>
      <c r="E10" s="40">
        <v>1234893</v>
      </c>
      <c r="F10" s="40">
        <v>407488</v>
      </c>
      <c r="G10" s="51">
        <v>566736</v>
      </c>
      <c r="H10" s="40">
        <v>252982</v>
      </c>
      <c r="I10" s="40">
        <v>0</v>
      </c>
      <c r="J10" s="40">
        <v>2362117</v>
      </c>
      <c r="K10" s="40">
        <v>424094</v>
      </c>
      <c r="L10" s="40">
        <v>2786211</v>
      </c>
      <c r="M10" s="40">
        <v>0</v>
      </c>
      <c r="N10" s="40">
        <v>1136</v>
      </c>
      <c r="O10" s="40">
        <v>509</v>
      </c>
      <c r="P10" s="52">
        <v>235</v>
      </c>
      <c r="Q10" s="52">
        <v>92</v>
      </c>
    </row>
    <row r="11" spans="1:17" x14ac:dyDescent="0.25">
      <c r="A11" s="41">
        <v>253</v>
      </c>
      <c r="B11" s="27" t="s">
        <v>36</v>
      </c>
      <c r="C11" s="55">
        <v>80068613</v>
      </c>
      <c r="D11" s="51">
        <v>5848055</v>
      </c>
      <c r="E11" s="40">
        <v>4374022</v>
      </c>
      <c r="F11" s="40">
        <v>5273715</v>
      </c>
      <c r="G11" s="51">
        <v>2482257</v>
      </c>
      <c r="H11" s="40">
        <v>2165949</v>
      </c>
      <c r="I11" s="40">
        <v>135734</v>
      </c>
      <c r="J11" s="40">
        <v>635515</v>
      </c>
      <c r="K11" s="40">
        <v>5447328</v>
      </c>
      <c r="L11" s="40">
        <v>6082843</v>
      </c>
      <c r="M11" s="40">
        <v>1761554</v>
      </c>
      <c r="N11" s="40">
        <v>4843</v>
      </c>
      <c r="O11" s="40">
        <v>2277</v>
      </c>
      <c r="P11" s="52">
        <v>673</v>
      </c>
      <c r="Q11" s="52">
        <v>283</v>
      </c>
    </row>
    <row r="12" spans="1:17" x14ac:dyDescent="0.25">
      <c r="A12" s="41">
        <v>259</v>
      </c>
      <c r="B12" s="27" t="s">
        <v>37</v>
      </c>
      <c r="C12" s="55">
        <v>562136049</v>
      </c>
      <c r="D12" s="51">
        <v>55909231</v>
      </c>
      <c r="E12" s="40">
        <v>44848559</v>
      </c>
      <c r="F12" s="40">
        <v>45595357</v>
      </c>
      <c r="G12" s="51">
        <v>17694348</v>
      </c>
      <c r="H12" s="40">
        <v>25769412</v>
      </c>
      <c r="I12" s="40">
        <v>765087</v>
      </c>
      <c r="J12" s="40">
        <v>70145127</v>
      </c>
      <c r="K12" s="40">
        <v>0</v>
      </c>
      <c r="L12" s="40">
        <v>70145127</v>
      </c>
      <c r="M12" s="40">
        <v>10727995</v>
      </c>
      <c r="N12" s="40">
        <v>35976</v>
      </c>
      <c r="O12" s="40">
        <v>13597</v>
      </c>
      <c r="P12" s="52">
        <v>4307</v>
      </c>
      <c r="Q12" s="52">
        <v>2230</v>
      </c>
    </row>
    <row r="13" spans="1:17" x14ac:dyDescent="0.25">
      <c r="A13" s="41">
        <v>260</v>
      </c>
      <c r="B13" s="27" t="s">
        <v>38</v>
      </c>
      <c r="C13" s="55">
        <v>62424947</v>
      </c>
      <c r="D13" s="51">
        <v>3417694</v>
      </c>
      <c r="E13" s="40">
        <v>5002215</v>
      </c>
      <c r="F13" s="40">
        <v>3754676</v>
      </c>
      <c r="G13" s="51">
        <v>2063641</v>
      </c>
      <c r="H13" s="40">
        <v>1087197</v>
      </c>
      <c r="I13" s="40">
        <v>69196</v>
      </c>
      <c r="J13" s="40">
        <v>6968616</v>
      </c>
      <c r="K13" s="40">
        <v>0</v>
      </c>
      <c r="L13" s="40">
        <v>6968616</v>
      </c>
      <c r="M13" s="40">
        <v>836215</v>
      </c>
      <c r="N13" s="40">
        <v>4872</v>
      </c>
      <c r="O13" s="40">
        <v>1881</v>
      </c>
      <c r="P13" s="52">
        <v>718</v>
      </c>
      <c r="Q13" s="52">
        <v>270</v>
      </c>
    </row>
    <row r="14" spans="1:17" x14ac:dyDescent="0.25">
      <c r="A14" s="41">
        <v>261</v>
      </c>
      <c r="B14" s="27" t="s">
        <v>39</v>
      </c>
      <c r="C14" s="55">
        <v>50615514</v>
      </c>
      <c r="D14" s="51">
        <v>2489829</v>
      </c>
      <c r="E14" s="40">
        <v>3020936</v>
      </c>
      <c r="F14" s="40">
        <v>4465218</v>
      </c>
      <c r="G14" s="51">
        <v>1556369</v>
      </c>
      <c r="H14" s="40">
        <v>543743</v>
      </c>
      <c r="I14" s="40">
        <v>13200</v>
      </c>
      <c r="J14" s="40">
        <v>6509808</v>
      </c>
      <c r="K14" s="40">
        <v>0</v>
      </c>
      <c r="L14" s="40">
        <v>6509808</v>
      </c>
      <c r="M14" s="40">
        <v>183207</v>
      </c>
      <c r="N14" s="40">
        <v>3607</v>
      </c>
      <c r="O14" s="40">
        <v>1660</v>
      </c>
      <c r="P14" s="52">
        <v>560</v>
      </c>
      <c r="Q14" s="52">
        <v>223</v>
      </c>
    </row>
    <row r="15" spans="1:17" x14ac:dyDescent="0.25">
      <c r="A15" s="41">
        <v>263</v>
      </c>
      <c r="B15" s="27" t="s">
        <v>40</v>
      </c>
      <c r="C15" s="55">
        <v>17706972</v>
      </c>
      <c r="D15" s="51">
        <v>914183</v>
      </c>
      <c r="E15" s="40">
        <v>982829</v>
      </c>
      <c r="F15" s="40">
        <v>1577705</v>
      </c>
      <c r="G15" s="51">
        <v>538851</v>
      </c>
      <c r="H15" s="40">
        <v>254870</v>
      </c>
      <c r="I15" s="40">
        <v>0</v>
      </c>
      <c r="J15" s="40">
        <v>1831768</v>
      </c>
      <c r="K15" s="40">
        <v>0</v>
      </c>
      <c r="L15" s="40">
        <v>1831768</v>
      </c>
      <c r="M15" s="40">
        <v>2887</v>
      </c>
      <c r="N15" s="40">
        <v>1232</v>
      </c>
      <c r="O15" s="40">
        <v>673</v>
      </c>
      <c r="P15" s="52">
        <v>197</v>
      </c>
      <c r="Q15" s="52">
        <v>67</v>
      </c>
    </row>
    <row r="16" spans="1:17" x14ac:dyDescent="0.25">
      <c r="A16" s="41">
        <v>273</v>
      </c>
      <c r="B16" s="27" t="s">
        <v>41</v>
      </c>
      <c r="C16" s="55">
        <v>25419553</v>
      </c>
      <c r="D16" s="51">
        <v>1383289</v>
      </c>
      <c r="E16" s="40">
        <v>1487940</v>
      </c>
      <c r="F16" s="40">
        <v>379433</v>
      </c>
      <c r="G16" s="51">
        <v>739103</v>
      </c>
      <c r="H16" s="40">
        <v>481900</v>
      </c>
      <c r="I16" s="40">
        <v>0</v>
      </c>
      <c r="J16" s="40">
        <v>95401</v>
      </c>
      <c r="K16" s="40">
        <v>3064292</v>
      </c>
      <c r="L16" s="40">
        <v>3159693</v>
      </c>
      <c r="M16" s="40">
        <v>1967</v>
      </c>
      <c r="N16" s="40">
        <v>1418</v>
      </c>
      <c r="O16" s="40">
        <v>682</v>
      </c>
      <c r="P16" s="52">
        <v>272</v>
      </c>
      <c r="Q16" s="52">
        <v>87</v>
      </c>
    </row>
    <row r="17" spans="1:17" ht="30" x14ac:dyDescent="0.25">
      <c r="A17" s="41">
        <v>282</v>
      </c>
      <c r="B17" s="27" t="s">
        <v>42</v>
      </c>
      <c r="C17" s="55">
        <v>11739588</v>
      </c>
      <c r="D17" s="51">
        <v>851991</v>
      </c>
      <c r="E17" s="40">
        <v>640148</v>
      </c>
      <c r="F17" s="40">
        <v>142493</v>
      </c>
      <c r="G17" s="51">
        <v>436706</v>
      </c>
      <c r="H17" s="40">
        <v>336497</v>
      </c>
      <c r="I17" s="40">
        <v>0</v>
      </c>
      <c r="J17" s="40">
        <v>42067</v>
      </c>
      <c r="K17" s="40">
        <v>1535420</v>
      </c>
      <c r="L17" s="40">
        <v>1577487</v>
      </c>
      <c r="M17" s="40">
        <v>0</v>
      </c>
      <c r="N17" s="40">
        <v>623</v>
      </c>
      <c r="O17" s="40">
        <v>272</v>
      </c>
      <c r="P17" s="52">
        <v>128</v>
      </c>
      <c r="Q17" s="52">
        <v>55</v>
      </c>
    </row>
    <row r="18" spans="1:17" x14ac:dyDescent="0.25">
      <c r="A18" s="41">
        <v>290</v>
      </c>
      <c r="B18" s="27" t="s">
        <v>43</v>
      </c>
      <c r="C18" s="55">
        <v>25572402</v>
      </c>
      <c r="D18" s="51">
        <v>1837362</v>
      </c>
      <c r="E18" s="40">
        <v>1177770</v>
      </c>
      <c r="F18" s="40">
        <v>2609402</v>
      </c>
      <c r="G18" s="51">
        <v>826094</v>
      </c>
      <c r="H18" s="40">
        <v>619264</v>
      </c>
      <c r="I18" s="40">
        <v>0</v>
      </c>
      <c r="J18" s="40">
        <v>2504859</v>
      </c>
      <c r="K18" s="40">
        <v>0</v>
      </c>
      <c r="L18" s="40">
        <v>2504859</v>
      </c>
      <c r="M18" s="40">
        <v>47431</v>
      </c>
      <c r="N18" s="40">
        <v>1798</v>
      </c>
      <c r="O18" s="40">
        <v>736</v>
      </c>
      <c r="P18" s="52">
        <v>245</v>
      </c>
      <c r="Q18" s="52">
        <v>80</v>
      </c>
    </row>
    <row r="19" spans="1:17" x14ac:dyDescent="0.25">
      <c r="A19" s="41">
        <v>305</v>
      </c>
      <c r="B19" s="27" t="s">
        <v>44</v>
      </c>
      <c r="C19" s="55">
        <v>164012614</v>
      </c>
      <c r="D19" s="51">
        <v>15272801</v>
      </c>
      <c r="E19" s="40">
        <v>12663508</v>
      </c>
      <c r="F19" s="40">
        <v>12284302</v>
      </c>
      <c r="G19" s="51">
        <v>4436824</v>
      </c>
      <c r="H19" s="40">
        <v>2853738</v>
      </c>
      <c r="I19" s="40">
        <v>37213</v>
      </c>
      <c r="J19" s="40">
        <v>1785864</v>
      </c>
      <c r="K19" s="40">
        <v>15650407</v>
      </c>
      <c r="L19" s="40">
        <v>17436271</v>
      </c>
      <c r="M19" s="40">
        <v>859351</v>
      </c>
      <c r="N19" s="40">
        <v>10206</v>
      </c>
      <c r="O19" s="40">
        <v>4782</v>
      </c>
      <c r="P19" s="52">
        <v>1647</v>
      </c>
      <c r="Q19" s="52">
        <v>765</v>
      </c>
    </row>
    <row r="20" spans="1:17" x14ac:dyDescent="0.25">
      <c r="A20" s="41">
        <v>308</v>
      </c>
      <c r="B20" s="27" t="s">
        <v>45</v>
      </c>
      <c r="C20" s="55">
        <v>50370031</v>
      </c>
      <c r="D20" s="51">
        <v>7523339</v>
      </c>
      <c r="E20" s="40">
        <v>5327058</v>
      </c>
      <c r="F20" s="40">
        <v>5196705</v>
      </c>
      <c r="G20" s="51">
        <v>1843157</v>
      </c>
      <c r="H20" s="40">
        <v>1991587</v>
      </c>
      <c r="I20" s="40">
        <v>18224</v>
      </c>
      <c r="J20" s="40">
        <v>4023654</v>
      </c>
      <c r="K20" s="40">
        <v>0</v>
      </c>
      <c r="L20" s="40">
        <v>4023654</v>
      </c>
      <c r="M20" s="40">
        <v>280939</v>
      </c>
      <c r="N20" s="40">
        <v>3473</v>
      </c>
      <c r="O20" s="40">
        <v>1449</v>
      </c>
      <c r="P20" s="52">
        <v>686</v>
      </c>
      <c r="Q20" s="52">
        <v>186</v>
      </c>
    </row>
    <row r="21" spans="1:17" ht="30" x14ac:dyDescent="0.25">
      <c r="A21" s="41">
        <v>320</v>
      </c>
      <c r="B21" s="27" t="s">
        <v>46</v>
      </c>
      <c r="C21" s="55">
        <v>29887600</v>
      </c>
      <c r="D21" s="51">
        <v>1884842</v>
      </c>
      <c r="E21" s="40">
        <v>1370655</v>
      </c>
      <c r="F21" s="40">
        <v>2269933</v>
      </c>
      <c r="G21" s="51">
        <v>777380</v>
      </c>
      <c r="H21" s="40">
        <v>339781</v>
      </c>
      <c r="I21" s="40">
        <v>0</v>
      </c>
      <c r="J21" s="40">
        <v>206713</v>
      </c>
      <c r="K21" s="40">
        <v>3503425</v>
      </c>
      <c r="L21" s="40">
        <v>3710138</v>
      </c>
      <c r="M21" s="40">
        <v>0</v>
      </c>
      <c r="N21" s="40">
        <v>1965</v>
      </c>
      <c r="O21" s="40">
        <v>818</v>
      </c>
      <c r="P21" s="52">
        <v>320</v>
      </c>
      <c r="Q21" s="52">
        <v>106</v>
      </c>
    </row>
    <row r="22" spans="1:17" x14ac:dyDescent="0.25">
      <c r="A22" s="41">
        <v>321</v>
      </c>
      <c r="B22" s="27" t="s">
        <v>47</v>
      </c>
      <c r="C22" s="55">
        <v>14412591</v>
      </c>
      <c r="D22" s="51">
        <v>748484</v>
      </c>
      <c r="E22" s="40">
        <v>2441820</v>
      </c>
      <c r="F22" s="40">
        <v>0</v>
      </c>
      <c r="G22" s="51">
        <v>465184</v>
      </c>
      <c r="H22" s="40">
        <v>211179</v>
      </c>
      <c r="I22" s="40">
        <v>0</v>
      </c>
      <c r="J22" s="40">
        <v>1659252</v>
      </c>
      <c r="K22" s="40">
        <v>0</v>
      </c>
      <c r="L22" s="40">
        <v>1659252</v>
      </c>
      <c r="M22" s="40">
        <v>0</v>
      </c>
      <c r="N22" s="40">
        <v>834</v>
      </c>
      <c r="O22" s="40">
        <v>371</v>
      </c>
      <c r="P22" s="52">
        <v>172</v>
      </c>
      <c r="Q22" s="52">
        <v>67</v>
      </c>
    </row>
    <row r="23" spans="1:17" x14ac:dyDescent="0.25">
      <c r="A23" s="41">
        <v>330</v>
      </c>
      <c r="B23" s="27" t="s">
        <v>48</v>
      </c>
      <c r="C23" s="55">
        <v>6333541</v>
      </c>
      <c r="D23" s="51">
        <v>342197</v>
      </c>
      <c r="E23" s="40">
        <v>179184</v>
      </c>
      <c r="F23" s="40">
        <v>466998</v>
      </c>
      <c r="G23" s="51">
        <v>178415</v>
      </c>
      <c r="H23" s="40">
        <v>93237</v>
      </c>
      <c r="I23" s="40">
        <v>0</v>
      </c>
      <c r="J23" s="40">
        <v>914085</v>
      </c>
      <c r="K23" s="40">
        <v>0</v>
      </c>
      <c r="L23" s="40">
        <v>914085</v>
      </c>
      <c r="M23" s="40">
        <v>2250</v>
      </c>
      <c r="N23" s="40">
        <v>345</v>
      </c>
      <c r="O23" s="40">
        <v>156</v>
      </c>
      <c r="P23" s="52">
        <v>69</v>
      </c>
      <c r="Q23" s="52">
        <v>30</v>
      </c>
    </row>
    <row r="24" spans="1:17" ht="30" x14ac:dyDescent="0.25">
      <c r="A24" s="41">
        <v>333</v>
      </c>
      <c r="B24" s="27" t="s">
        <v>49</v>
      </c>
      <c r="C24" s="55">
        <v>31140347</v>
      </c>
      <c r="D24" s="51">
        <v>1874247</v>
      </c>
      <c r="E24" s="40">
        <v>2353566</v>
      </c>
      <c r="F24" s="40">
        <v>768446</v>
      </c>
      <c r="G24" s="51">
        <v>989423</v>
      </c>
      <c r="H24" s="40">
        <v>649343</v>
      </c>
      <c r="I24" s="40">
        <v>0</v>
      </c>
      <c r="J24" s="40">
        <v>286632</v>
      </c>
      <c r="K24" s="40">
        <v>3959583</v>
      </c>
      <c r="L24" s="40">
        <v>4246215</v>
      </c>
      <c r="M24" s="40">
        <v>8000</v>
      </c>
      <c r="N24" s="40">
        <v>1789</v>
      </c>
      <c r="O24" s="40">
        <v>810</v>
      </c>
      <c r="P24" s="52">
        <v>347</v>
      </c>
      <c r="Q24" s="52">
        <v>159</v>
      </c>
    </row>
    <row r="25" spans="1:17" x14ac:dyDescent="0.25">
      <c r="A25" s="41">
        <v>336</v>
      </c>
      <c r="B25" s="27" t="s">
        <v>50</v>
      </c>
      <c r="C25" s="55">
        <v>43828283</v>
      </c>
      <c r="D25" s="51">
        <v>2343352</v>
      </c>
      <c r="E25" s="40">
        <v>2903369</v>
      </c>
      <c r="F25" s="40">
        <v>1399649</v>
      </c>
      <c r="G25" s="51">
        <v>1222771</v>
      </c>
      <c r="H25" s="40">
        <v>644362</v>
      </c>
      <c r="I25" s="40">
        <v>0</v>
      </c>
      <c r="J25" s="40">
        <v>655430</v>
      </c>
      <c r="K25" s="40">
        <v>3708338</v>
      </c>
      <c r="L25" s="40">
        <v>4363768</v>
      </c>
      <c r="M25" s="40">
        <v>2000</v>
      </c>
      <c r="N25" s="40">
        <v>2709</v>
      </c>
      <c r="O25" s="40">
        <v>1351</v>
      </c>
      <c r="P25" s="52">
        <v>426</v>
      </c>
      <c r="Q25" s="52">
        <v>144</v>
      </c>
    </row>
    <row r="26" spans="1:17" x14ac:dyDescent="0.25">
      <c r="A26" s="41">
        <v>345</v>
      </c>
      <c r="B26" s="27" t="s">
        <v>51</v>
      </c>
      <c r="C26" s="55">
        <v>35392999</v>
      </c>
      <c r="D26" s="51">
        <v>2004366</v>
      </c>
      <c r="E26" s="40">
        <v>2211572</v>
      </c>
      <c r="F26" s="40">
        <v>2367188</v>
      </c>
      <c r="G26" s="51">
        <v>1102918</v>
      </c>
      <c r="H26" s="40">
        <v>420932</v>
      </c>
      <c r="I26" s="40">
        <v>0</v>
      </c>
      <c r="J26" s="40">
        <v>4563410</v>
      </c>
      <c r="K26" s="40">
        <v>0</v>
      </c>
      <c r="L26" s="40">
        <v>4563410</v>
      </c>
      <c r="M26" s="40">
        <v>0</v>
      </c>
      <c r="N26" s="40">
        <v>2647</v>
      </c>
      <c r="O26" s="40">
        <v>1148</v>
      </c>
      <c r="P26" s="52">
        <v>397</v>
      </c>
      <c r="Q26" s="52">
        <v>143</v>
      </c>
    </row>
    <row r="27" spans="1:17" x14ac:dyDescent="0.25">
      <c r="A27" s="41">
        <v>353</v>
      </c>
      <c r="B27" s="27" t="s">
        <v>52</v>
      </c>
      <c r="C27" s="55">
        <v>17874383</v>
      </c>
      <c r="D27" s="51">
        <v>1832356</v>
      </c>
      <c r="E27" s="40">
        <v>399856</v>
      </c>
      <c r="F27" s="40">
        <v>1761051</v>
      </c>
      <c r="G27" s="51">
        <v>629413</v>
      </c>
      <c r="H27" s="40">
        <v>574719</v>
      </c>
      <c r="I27" s="40">
        <v>0</v>
      </c>
      <c r="J27" s="40">
        <v>2266974</v>
      </c>
      <c r="K27" s="40">
        <v>0</v>
      </c>
      <c r="L27" s="40">
        <v>2266974</v>
      </c>
      <c r="M27" s="40">
        <v>0</v>
      </c>
      <c r="N27" s="40">
        <v>1199</v>
      </c>
      <c r="O27" s="40">
        <v>557</v>
      </c>
      <c r="P27" s="52">
        <v>296</v>
      </c>
      <c r="Q27" s="52">
        <v>102</v>
      </c>
    </row>
    <row r="28" spans="1:17" ht="30" x14ac:dyDescent="0.25">
      <c r="A28" s="41">
        <v>364</v>
      </c>
      <c r="B28" s="27" t="s">
        <v>53</v>
      </c>
      <c r="C28" s="55">
        <v>13782715</v>
      </c>
      <c r="D28" s="51">
        <v>720536</v>
      </c>
      <c r="E28" s="40">
        <v>870143</v>
      </c>
      <c r="F28" s="40">
        <v>285193</v>
      </c>
      <c r="G28" s="51">
        <v>433657</v>
      </c>
      <c r="H28" s="40">
        <v>219784</v>
      </c>
      <c r="I28" s="40">
        <v>0</v>
      </c>
      <c r="J28" s="40">
        <v>58878</v>
      </c>
      <c r="K28" s="40">
        <v>1879646</v>
      </c>
      <c r="L28" s="40">
        <v>1938524</v>
      </c>
      <c r="M28" s="40">
        <v>1500</v>
      </c>
      <c r="N28" s="40">
        <v>791</v>
      </c>
      <c r="O28" s="40">
        <v>335</v>
      </c>
      <c r="P28" s="52">
        <v>148</v>
      </c>
      <c r="Q28" s="52">
        <v>46</v>
      </c>
    </row>
    <row r="29" spans="1:17" ht="30" x14ac:dyDescent="0.25">
      <c r="A29" s="41">
        <v>368</v>
      </c>
      <c r="B29" s="27" t="s">
        <v>54</v>
      </c>
      <c r="C29" s="55">
        <v>92956636</v>
      </c>
      <c r="D29" s="51">
        <v>4871390</v>
      </c>
      <c r="E29" s="40">
        <v>3682001</v>
      </c>
      <c r="F29" s="40">
        <v>9137819</v>
      </c>
      <c r="G29" s="51">
        <v>2813724</v>
      </c>
      <c r="H29" s="40">
        <v>1686531</v>
      </c>
      <c r="I29" s="40">
        <v>0</v>
      </c>
      <c r="J29" s="40">
        <v>1488907</v>
      </c>
      <c r="K29" s="40">
        <v>9372915</v>
      </c>
      <c r="L29" s="40">
        <v>10861822</v>
      </c>
      <c r="M29" s="40">
        <v>69699</v>
      </c>
      <c r="N29" s="40">
        <v>5932</v>
      </c>
      <c r="O29" s="40">
        <v>2632</v>
      </c>
      <c r="P29" s="52">
        <v>946</v>
      </c>
      <c r="Q29" s="52">
        <v>353</v>
      </c>
    </row>
    <row r="30" spans="1:17" x14ac:dyDescent="0.25">
      <c r="A30" s="41">
        <v>372</v>
      </c>
      <c r="B30" s="27" t="s">
        <v>55</v>
      </c>
      <c r="C30" s="55">
        <v>7503417</v>
      </c>
      <c r="D30" s="51">
        <v>290755</v>
      </c>
      <c r="E30" s="40">
        <v>294143</v>
      </c>
      <c r="F30" s="40">
        <v>589240</v>
      </c>
      <c r="G30" s="51">
        <v>224395</v>
      </c>
      <c r="H30" s="40">
        <v>55087</v>
      </c>
      <c r="I30" s="40">
        <v>0</v>
      </c>
      <c r="J30" s="40">
        <v>693020</v>
      </c>
      <c r="K30" s="40">
        <v>0</v>
      </c>
      <c r="L30" s="40">
        <v>693020</v>
      </c>
      <c r="M30" s="40">
        <v>0</v>
      </c>
      <c r="N30" s="40">
        <v>505</v>
      </c>
      <c r="O30" s="40">
        <v>246</v>
      </c>
      <c r="P30" s="52">
        <v>70</v>
      </c>
      <c r="Q30" s="52">
        <v>31</v>
      </c>
    </row>
    <row r="31" spans="1:17" ht="30" x14ac:dyDescent="0.25">
      <c r="A31" s="41">
        <v>373</v>
      </c>
      <c r="B31" s="27" t="s">
        <v>56</v>
      </c>
      <c r="C31" s="55">
        <v>54323782</v>
      </c>
      <c r="D31" s="51">
        <v>3377932</v>
      </c>
      <c r="E31" s="40">
        <v>2612360</v>
      </c>
      <c r="F31" s="40">
        <v>5499280</v>
      </c>
      <c r="G31" s="51">
        <v>1866413</v>
      </c>
      <c r="H31" s="40">
        <v>1058802</v>
      </c>
      <c r="I31" s="40">
        <v>24224</v>
      </c>
      <c r="J31" s="40">
        <v>572150</v>
      </c>
      <c r="K31" s="40">
        <v>5215191</v>
      </c>
      <c r="L31" s="40">
        <v>5787341</v>
      </c>
      <c r="M31" s="40">
        <v>608087</v>
      </c>
      <c r="N31" s="40">
        <v>3728</v>
      </c>
      <c r="O31" s="40">
        <v>1580</v>
      </c>
      <c r="P31" s="52">
        <v>532</v>
      </c>
      <c r="Q31" s="52">
        <v>276</v>
      </c>
    </row>
    <row r="32" spans="1:17" x14ac:dyDescent="0.25">
      <c r="A32" s="41">
        <v>379</v>
      </c>
      <c r="B32" s="27" t="s">
        <v>57</v>
      </c>
      <c r="C32" s="55">
        <v>31780834</v>
      </c>
      <c r="D32" s="51">
        <v>1711537</v>
      </c>
      <c r="E32" s="40">
        <v>1534447</v>
      </c>
      <c r="F32" s="40">
        <v>1348118</v>
      </c>
      <c r="G32" s="51">
        <v>975959</v>
      </c>
      <c r="H32" s="40">
        <v>564223</v>
      </c>
      <c r="I32" s="40">
        <v>0</v>
      </c>
      <c r="J32" s="40">
        <v>240226</v>
      </c>
      <c r="K32" s="40">
        <v>3721303</v>
      </c>
      <c r="L32" s="40">
        <v>3961529</v>
      </c>
      <c r="M32" s="40">
        <v>31418</v>
      </c>
      <c r="N32" s="40">
        <v>2016</v>
      </c>
      <c r="O32" s="40">
        <v>983</v>
      </c>
      <c r="P32" s="52">
        <v>402</v>
      </c>
      <c r="Q32" s="52">
        <v>124</v>
      </c>
    </row>
    <row r="33" spans="1:17" x14ac:dyDescent="0.25">
      <c r="A33" s="41">
        <v>383</v>
      </c>
      <c r="B33" s="27" t="s">
        <v>58</v>
      </c>
      <c r="C33" s="55">
        <v>61961165</v>
      </c>
      <c r="D33" s="51">
        <v>6077211</v>
      </c>
      <c r="E33" s="40">
        <v>3961187</v>
      </c>
      <c r="F33" s="40">
        <v>5975157</v>
      </c>
      <c r="G33" s="51">
        <v>1966735</v>
      </c>
      <c r="H33" s="40">
        <v>1420000</v>
      </c>
      <c r="I33" s="40">
        <v>20351</v>
      </c>
      <c r="J33" s="40">
        <v>7140925</v>
      </c>
      <c r="K33" s="40">
        <v>0</v>
      </c>
      <c r="L33" s="40">
        <v>7140925</v>
      </c>
      <c r="M33" s="40">
        <v>240485</v>
      </c>
      <c r="N33" s="40">
        <v>4338</v>
      </c>
      <c r="O33" s="40">
        <v>1985</v>
      </c>
      <c r="P33" s="52">
        <v>718</v>
      </c>
      <c r="Q33" s="52">
        <v>252</v>
      </c>
    </row>
    <row r="34" spans="1:17" x14ac:dyDescent="0.25">
      <c r="A34" s="41">
        <v>389</v>
      </c>
      <c r="B34" s="27" t="s">
        <v>59</v>
      </c>
      <c r="C34" s="55">
        <v>7861664</v>
      </c>
      <c r="D34" s="51">
        <v>509914</v>
      </c>
      <c r="E34" s="40">
        <v>548116</v>
      </c>
      <c r="F34" s="40">
        <v>779395</v>
      </c>
      <c r="G34" s="51">
        <v>265472</v>
      </c>
      <c r="H34" s="40">
        <v>203916</v>
      </c>
      <c r="I34" s="40">
        <v>0</v>
      </c>
      <c r="J34" s="40">
        <v>609023</v>
      </c>
      <c r="K34" s="40">
        <v>0</v>
      </c>
      <c r="L34" s="40">
        <v>609023</v>
      </c>
      <c r="M34" s="40">
        <v>0</v>
      </c>
      <c r="N34" s="40">
        <v>478</v>
      </c>
      <c r="O34" s="40">
        <v>192</v>
      </c>
      <c r="P34" s="52">
        <v>72</v>
      </c>
      <c r="Q34" s="52">
        <v>31</v>
      </c>
    </row>
    <row r="35" spans="1:17" x14ac:dyDescent="0.25">
      <c r="A35" s="41">
        <v>405</v>
      </c>
      <c r="B35" s="27" t="s">
        <v>60</v>
      </c>
      <c r="C35" s="55">
        <v>22176422</v>
      </c>
      <c r="D35" s="51">
        <v>1477336</v>
      </c>
      <c r="E35" s="40">
        <v>1023471</v>
      </c>
      <c r="F35" s="40">
        <v>1585759</v>
      </c>
      <c r="G35" s="51">
        <v>670634</v>
      </c>
      <c r="H35" s="40">
        <v>489209</v>
      </c>
      <c r="I35" s="40">
        <v>19253</v>
      </c>
      <c r="J35" s="40">
        <v>51393</v>
      </c>
      <c r="K35" s="40">
        <v>2242968</v>
      </c>
      <c r="L35" s="40">
        <v>2294361</v>
      </c>
      <c r="M35" s="40">
        <v>209833</v>
      </c>
      <c r="N35" s="40">
        <v>1325</v>
      </c>
      <c r="O35" s="40">
        <v>579</v>
      </c>
      <c r="P35" s="52">
        <v>246</v>
      </c>
      <c r="Q35" s="52">
        <v>79</v>
      </c>
    </row>
    <row r="36" spans="1:17" x14ac:dyDescent="0.25">
      <c r="A36" s="41">
        <v>407</v>
      </c>
      <c r="B36" s="27" t="s">
        <v>61</v>
      </c>
      <c r="C36" s="55">
        <v>9221216</v>
      </c>
      <c r="D36" s="51">
        <v>647392</v>
      </c>
      <c r="E36" s="40">
        <v>415918</v>
      </c>
      <c r="F36" s="40">
        <v>0</v>
      </c>
      <c r="G36" s="51">
        <v>346902</v>
      </c>
      <c r="H36" s="40">
        <v>215472</v>
      </c>
      <c r="I36" s="40">
        <v>0</v>
      </c>
      <c r="J36" s="40">
        <v>894090</v>
      </c>
      <c r="K36" s="40">
        <v>0</v>
      </c>
      <c r="L36" s="40">
        <v>894090</v>
      </c>
      <c r="M36" s="40">
        <v>0</v>
      </c>
      <c r="N36" s="40">
        <v>570</v>
      </c>
      <c r="O36" s="40">
        <v>275</v>
      </c>
      <c r="P36" s="52">
        <v>120</v>
      </c>
      <c r="Q36" s="52">
        <v>57</v>
      </c>
    </row>
    <row r="37" spans="1:17" x14ac:dyDescent="0.25">
      <c r="A37" s="41">
        <v>409</v>
      </c>
      <c r="B37" s="27" t="s">
        <v>62</v>
      </c>
      <c r="C37" s="55">
        <v>19335796</v>
      </c>
      <c r="D37" s="51">
        <v>1707496</v>
      </c>
      <c r="E37" s="40">
        <v>1090846</v>
      </c>
      <c r="F37" s="40">
        <v>1846663</v>
      </c>
      <c r="G37" s="51">
        <v>978215</v>
      </c>
      <c r="H37" s="40">
        <v>630853</v>
      </c>
      <c r="I37" s="40">
        <v>0</v>
      </c>
      <c r="J37" s="40">
        <v>2268852</v>
      </c>
      <c r="K37" s="40">
        <v>0</v>
      </c>
      <c r="L37" s="40">
        <v>2268852</v>
      </c>
      <c r="M37" s="40">
        <v>0</v>
      </c>
      <c r="N37" s="40">
        <v>1236</v>
      </c>
      <c r="O37" s="40">
        <v>501</v>
      </c>
      <c r="P37" s="52">
        <v>321</v>
      </c>
      <c r="Q37" s="52">
        <v>82</v>
      </c>
    </row>
    <row r="38" spans="1:17" ht="30" x14ac:dyDescent="0.25">
      <c r="A38" s="41">
        <v>418</v>
      </c>
      <c r="B38" s="27" t="s">
        <v>63</v>
      </c>
      <c r="C38" s="55">
        <v>50511108</v>
      </c>
      <c r="D38" s="51">
        <v>3564633</v>
      </c>
      <c r="E38" s="40">
        <v>4511790</v>
      </c>
      <c r="F38" s="40">
        <v>3501910</v>
      </c>
      <c r="G38" s="51">
        <v>1525371</v>
      </c>
      <c r="H38" s="40">
        <v>551108</v>
      </c>
      <c r="I38" s="40">
        <v>0</v>
      </c>
      <c r="J38" s="40">
        <v>157519</v>
      </c>
      <c r="K38" s="40">
        <v>6318838</v>
      </c>
      <c r="L38" s="40">
        <v>6476357</v>
      </c>
      <c r="M38" s="40">
        <v>69938</v>
      </c>
      <c r="N38" s="40">
        <v>3163</v>
      </c>
      <c r="O38" s="40">
        <v>1571</v>
      </c>
      <c r="P38" s="52">
        <v>502</v>
      </c>
      <c r="Q38" s="52">
        <v>241</v>
      </c>
    </row>
    <row r="39" spans="1:17" ht="30" x14ac:dyDescent="0.25">
      <c r="A39" s="41">
        <v>428</v>
      </c>
      <c r="B39" s="27" t="s">
        <v>64</v>
      </c>
      <c r="C39" s="55">
        <v>45907028</v>
      </c>
      <c r="D39" s="51">
        <v>3814187</v>
      </c>
      <c r="E39" s="40">
        <v>1849286</v>
      </c>
      <c r="F39" s="40">
        <v>3179763</v>
      </c>
      <c r="G39" s="51">
        <v>1856451</v>
      </c>
      <c r="H39" s="40">
        <v>1137320</v>
      </c>
      <c r="I39" s="40">
        <v>59021</v>
      </c>
      <c r="J39" s="40">
        <v>102477</v>
      </c>
      <c r="K39" s="40">
        <v>4052087</v>
      </c>
      <c r="L39" s="40">
        <v>4154564</v>
      </c>
      <c r="M39" s="40">
        <v>580000</v>
      </c>
      <c r="N39" s="40">
        <v>2979</v>
      </c>
      <c r="O39" s="40">
        <v>1500</v>
      </c>
      <c r="P39" s="52">
        <v>430</v>
      </c>
      <c r="Q39" s="52">
        <v>183</v>
      </c>
    </row>
    <row r="40" spans="1:17" x14ac:dyDescent="0.25">
      <c r="A40" s="41">
        <v>437</v>
      </c>
      <c r="B40" s="27" t="s">
        <v>65</v>
      </c>
      <c r="C40" s="55">
        <v>55236723</v>
      </c>
      <c r="D40" s="51">
        <v>2468092</v>
      </c>
      <c r="E40" s="40">
        <v>1736673</v>
      </c>
      <c r="F40" s="40">
        <v>4270281</v>
      </c>
      <c r="G40" s="51">
        <v>1715810</v>
      </c>
      <c r="H40" s="40">
        <v>546897</v>
      </c>
      <c r="I40" s="40">
        <v>10509</v>
      </c>
      <c r="J40" s="40">
        <v>8365979</v>
      </c>
      <c r="K40" s="40">
        <v>0</v>
      </c>
      <c r="L40" s="40">
        <v>8365979</v>
      </c>
      <c r="M40" s="40">
        <v>145189</v>
      </c>
      <c r="N40" s="40">
        <v>4073</v>
      </c>
      <c r="O40" s="40">
        <v>1738</v>
      </c>
      <c r="P40" s="52">
        <v>577</v>
      </c>
      <c r="Q40" s="52">
        <v>251</v>
      </c>
    </row>
    <row r="41" spans="1:17" x14ac:dyDescent="0.25">
      <c r="A41" s="41">
        <v>450</v>
      </c>
      <c r="B41" s="27" t="s">
        <v>66</v>
      </c>
      <c r="C41" s="55">
        <v>34103401</v>
      </c>
      <c r="D41" s="51">
        <v>1827397</v>
      </c>
      <c r="E41" s="40">
        <v>1993301</v>
      </c>
      <c r="F41" s="40">
        <v>1784424</v>
      </c>
      <c r="G41" s="51">
        <v>1250373</v>
      </c>
      <c r="H41" s="40">
        <v>414761</v>
      </c>
      <c r="I41" s="40">
        <v>0</v>
      </c>
      <c r="J41" s="40">
        <v>3623532</v>
      </c>
      <c r="K41" s="40">
        <v>0</v>
      </c>
      <c r="L41" s="40">
        <v>3623532</v>
      </c>
      <c r="M41" s="40">
        <v>71811</v>
      </c>
      <c r="N41" s="40">
        <v>2448</v>
      </c>
      <c r="O41" s="40">
        <v>1098</v>
      </c>
      <c r="P41" s="52">
        <v>322</v>
      </c>
      <c r="Q41" s="52">
        <v>147</v>
      </c>
    </row>
    <row r="42" spans="1:17" ht="30" x14ac:dyDescent="0.25">
      <c r="A42" s="41">
        <v>453</v>
      </c>
      <c r="B42" s="27" t="s">
        <v>67</v>
      </c>
      <c r="C42" s="55">
        <v>134702110</v>
      </c>
      <c r="D42" s="51">
        <v>8190118</v>
      </c>
      <c r="E42" s="40">
        <v>11485026</v>
      </c>
      <c r="F42" s="40">
        <v>13625837</v>
      </c>
      <c r="G42" s="51">
        <v>3857058</v>
      </c>
      <c r="H42" s="40">
        <v>1913619</v>
      </c>
      <c r="I42" s="40">
        <v>11014</v>
      </c>
      <c r="J42" s="40">
        <v>2065719</v>
      </c>
      <c r="K42" s="40">
        <v>12255709</v>
      </c>
      <c r="L42" s="40">
        <v>14321428</v>
      </c>
      <c r="M42" s="40">
        <v>293762</v>
      </c>
      <c r="N42" s="40">
        <v>9244</v>
      </c>
      <c r="O42" s="40">
        <v>3957</v>
      </c>
      <c r="P42" s="52">
        <v>1486</v>
      </c>
      <c r="Q42" s="52">
        <v>508</v>
      </c>
    </row>
    <row r="43" spans="1:17" x14ac:dyDescent="0.25">
      <c r="A43" s="41">
        <v>457</v>
      </c>
      <c r="B43" s="27" t="s">
        <v>68</v>
      </c>
      <c r="C43" s="55">
        <v>75397788</v>
      </c>
      <c r="D43" s="51">
        <v>7937617</v>
      </c>
      <c r="E43" s="40">
        <v>2836758</v>
      </c>
      <c r="F43" s="40">
        <v>6073920</v>
      </c>
      <c r="G43" s="51">
        <v>2486900</v>
      </c>
      <c r="H43" s="40">
        <v>3011917</v>
      </c>
      <c r="I43" s="40">
        <v>273864</v>
      </c>
      <c r="J43" s="40">
        <v>9080968</v>
      </c>
      <c r="K43" s="40">
        <v>0</v>
      </c>
      <c r="L43" s="40">
        <v>9080968</v>
      </c>
      <c r="M43" s="40">
        <v>2289235</v>
      </c>
      <c r="N43" s="40">
        <v>5569</v>
      </c>
      <c r="O43" s="40">
        <v>1988</v>
      </c>
      <c r="P43" s="52">
        <v>697</v>
      </c>
      <c r="Q43" s="52">
        <v>177</v>
      </c>
    </row>
    <row r="44" spans="1:17" ht="30" x14ac:dyDescent="0.25">
      <c r="A44" s="41">
        <v>465</v>
      </c>
      <c r="B44" s="27" t="s">
        <v>69</v>
      </c>
      <c r="C44" s="55">
        <v>66756501</v>
      </c>
      <c r="D44" s="51">
        <v>6203407</v>
      </c>
      <c r="E44" s="40">
        <v>1950818</v>
      </c>
      <c r="F44" s="40">
        <v>5331401</v>
      </c>
      <c r="G44" s="51">
        <v>2574494</v>
      </c>
      <c r="H44" s="40">
        <v>2137024</v>
      </c>
      <c r="I44" s="40">
        <v>28586</v>
      </c>
      <c r="J44" s="40">
        <v>301106</v>
      </c>
      <c r="K44" s="40">
        <v>5941231</v>
      </c>
      <c r="L44" s="40">
        <v>6242337</v>
      </c>
      <c r="M44" s="40">
        <v>207883</v>
      </c>
      <c r="N44" s="40">
        <v>4353</v>
      </c>
      <c r="O44" s="40">
        <v>1948</v>
      </c>
      <c r="P44" s="52">
        <v>982</v>
      </c>
      <c r="Q44" s="52">
        <v>291</v>
      </c>
    </row>
    <row r="45" spans="1:17" x14ac:dyDescent="0.25">
      <c r="A45" s="41">
        <v>475</v>
      </c>
      <c r="B45" s="27" t="s">
        <v>70</v>
      </c>
      <c r="C45" s="55">
        <v>75487356</v>
      </c>
      <c r="D45" s="51">
        <v>6557315</v>
      </c>
      <c r="E45" s="40">
        <v>4141783</v>
      </c>
      <c r="F45" s="40">
        <v>2454540</v>
      </c>
      <c r="G45" s="51">
        <v>1943720</v>
      </c>
      <c r="H45" s="40">
        <v>1778072</v>
      </c>
      <c r="I45" s="40">
        <v>90106</v>
      </c>
      <c r="J45" s="40">
        <v>9144353</v>
      </c>
      <c r="K45" s="40">
        <v>0</v>
      </c>
      <c r="L45" s="40">
        <v>9144353</v>
      </c>
      <c r="M45" s="40">
        <v>1610737</v>
      </c>
      <c r="N45" s="40">
        <v>6177</v>
      </c>
      <c r="O45" s="40">
        <v>1738</v>
      </c>
      <c r="P45" s="52">
        <v>963</v>
      </c>
      <c r="Q45" s="52">
        <v>310</v>
      </c>
    </row>
    <row r="46" spans="1:17" x14ac:dyDescent="0.25">
      <c r="A46" s="41">
        <v>480</v>
      </c>
      <c r="B46" s="27" t="s">
        <v>71</v>
      </c>
      <c r="C46" s="55">
        <v>43772992</v>
      </c>
      <c r="D46" s="51">
        <v>5534485</v>
      </c>
      <c r="E46" s="40">
        <v>3581051</v>
      </c>
      <c r="F46" s="40">
        <v>2022745</v>
      </c>
      <c r="G46" s="51">
        <v>1354204</v>
      </c>
      <c r="H46" s="40">
        <v>1399295</v>
      </c>
      <c r="I46" s="40">
        <v>193206</v>
      </c>
      <c r="J46" s="40">
        <v>2724206</v>
      </c>
      <c r="K46" s="40">
        <v>0</v>
      </c>
      <c r="L46" s="40">
        <v>2724206</v>
      </c>
      <c r="M46" s="40">
        <v>2212987</v>
      </c>
      <c r="N46" s="40">
        <v>3567</v>
      </c>
      <c r="O46" s="40">
        <v>1206</v>
      </c>
      <c r="P46" s="52">
        <v>268</v>
      </c>
      <c r="Q46" s="52">
        <v>128</v>
      </c>
    </row>
    <row r="47" spans="1:17" ht="30" x14ac:dyDescent="0.25">
      <c r="A47" s="41">
        <v>489</v>
      </c>
      <c r="B47" s="27" t="s">
        <v>72</v>
      </c>
      <c r="C47" s="55">
        <v>42771605</v>
      </c>
      <c r="D47" s="51">
        <v>4414178</v>
      </c>
      <c r="E47" s="40">
        <v>3269865</v>
      </c>
      <c r="F47" s="40">
        <v>1333422</v>
      </c>
      <c r="G47" s="51">
        <v>1399537</v>
      </c>
      <c r="H47" s="40">
        <v>651300</v>
      </c>
      <c r="I47" s="40">
        <v>12611</v>
      </c>
      <c r="J47" s="40">
        <v>236511</v>
      </c>
      <c r="K47" s="40">
        <v>5150206</v>
      </c>
      <c r="L47" s="40">
        <v>5386717</v>
      </c>
      <c r="M47" s="40">
        <v>105118</v>
      </c>
      <c r="N47" s="40">
        <v>2806</v>
      </c>
      <c r="O47" s="40">
        <v>1300</v>
      </c>
      <c r="P47" s="52">
        <v>522</v>
      </c>
      <c r="Q47" s="52">
        <v>202</v>
      </c>
    </row>
    <row r="48" spans="1:17" ht="30" x14ac:dyDescent="0.25">
      <c r="A48" s="41">
        <v>490</v>
      </c>
      <c r="B48" s="27" t="s">
        <v>73</v>
      </c>
      <c r="C48" s="55">
        <v>153884104</v>
      </c>
      <c r="D48" s="51">
        <v>7347559</v>
      </c>
      <c r="E48" s="40">
        <v>10194683</v>
      </c>
      <c r="F48" s="40">
        <v>19086762</v>
      </c>
      <c r="G48" s="51">
        <v>4248137</v>
      </c>
      <c r="H48" s="40">
        <v>1806018</v>
      </c>
      <c r="I48" s="40">
        <v>0</v>
      </c>
      <c r="J48" s="40">
        <v>1586977</v>
      </c>
      <c r="K48" s="40">
        <v>11758967</v>
      </c>
      <c r="L48" s="40">
        <v>13345944</v>
      </c>
      <c r="M48" s="40">
        <v>167580</v>
      </c>
      <c r="N48" s="40">
        <v>10366</v>
      </c>
      <c r="O48" s="40">
        <v>4897</v>
      </c>
      <c r="P48" s="52">
        <v>1469</v>
      </c>
      <c r="Q48" s="52">
        <v>538</v>
      </c>
    </row>
    <row r="49" spans="1:17" ht="30" x14ac:dyDescent="0.25">
      <c r="A49" s="41">
        <v>495</v>
      </c>
      <c r="B49" s="27" t="s">
        <v>74</v>
      </c>
      <c r="C49" s="55">
        <v>17430485</v>
      </c>
      <c r="D49" s="51">
        <v>1004380</v>
      </c>
      <c r="E49" s="40">
        <v>969104</v>
      </c>
      <c r="F49" s="40">
        <v>480395</v>
      </c>
      <c r="G49" s="51">
        <v>623225</v>
      </c>
      <c r="H49" s="40">
        <v>330748</v>
      </c>
      <c r="I49" s="40">
        <v>0</v>
      </c>
      <c r="J49" s="40">
        <v>287153</v>
      </c>
      <c r="K49" s="40">
        <v>2368893</v>
      </c>
      <c r="L49" s="40">
        <v>2656046</v>
      </c>
      <c r="M49" s="40">
        <v>95063</v>
      </c>
      <c r="N49" s="40">
        <v>1060</v>
      </c>
      <c r="O49" s="40">
        <v>469</v>
      </c>
      <c r="P49" s="52">
        <v>239</v>
      </c>
      <c r="Q49" s="52">
        <v>87</v>
      </c>
    </row>
    <row r="50" spans="1:17" x14ac:dyDescent="0.25">
      <c r="A50" s="41">
        <v>497</v>
      </c>
      <c r="B50" s="27" t="s">
        <v>75</v>
      </c>
      <c r="C50" s="55">
        <v>114620653</v>
      </c>
      <c r="D50" s="51">
        <v>6941085</v>
      </c>
      <c r="E50" s="40">
        <v>7565298</v>
      </c>
      <c r="F50" s="40">
        <v>11919194</v>
      </c>
      <c r="G50" s="51">
        <v>3600634</v>
      </c>
      <c r="H50" s="40">
        <v>2463018</v>
      </c>
      <c r="I50" s="40">
        <v>28183</v>
      </c>
      <c r="J50" s="40">
        <v>14964031</v>
      </c>
      <c r="K50" s="40">
        <v>0</v>
      </c>
      <c r="L50" s="40">
        <v>14964031</v>
      </c>
      <c r="M50" s="40">
        <v>556778</v>
      </c>
      <c r="N50" s="40">
        <v>8089</v>
      </c>
      <c r="O50" s="40">
        <v>3285</v>
      </c>
      <c r="P50" s="52">
        <v>879</v>
      </c>
      <c r="Q50" s="52">
        <v>561</v>
      </c>
    </row>
    <row r="51" spans="1:17" ht="30" x14ac:dyDescent="0.25">
      <c r="A51" s="41">
        <v>500</v>
      </c>
      <c r="B51" s="27" t="s">
        <v>76</v>
      </c>
      <c r="C51" s="55">
        <v>280588276</v>
      </c>
      <c r="D51" s="51">
        <v>33508502</v>
      </c>
      <c r="E51" s="40">
        <v>34055807</v>
      </c>
      <c r="F51" s="40">
        <v>14559480</v>
      </c>
      <c r="G51" s="51">
        <v>8484628</v>
      </c>
      <c r="H51" s="40">
        <v>19704934</v>
      </c>
      <c r="I51" s="40">
        <v>529510</v>
      </c>
      <c r="J51" s="40">
        <v>3444144</v>
      </c>
      <c r="K51" s="40">
        <v>22235521</v>
      </c>
      <c r="L51" s="40">
        <v>23023762</v>
      </c>
      <c r="M51" s="40">
        <v>5554633</v>
      </c>
      <c r="N51" s="40">
        <v>18015</v>
      </c>
      <c r="O51" s="40">
        <v>6391</v>
      </c>
      <c r="P51" s="52">
        <v>2358</v>
      </c>
      <c r="Q51" s="52">
        <v>893</v>
      </c>
    </row>
    <row r="52" spans="1:17" x14ac:dyDescent="0.25">
      <c r="A52" s="41">
        <v>501</v>
      </c>
      <c r="B52" s="27" t="s">
        <v>77</v>
      </c>
      <c r="C52" s="55">
        <v>147592052</v>
      </c>
      <c r="D52" s="51">
        <v>20186458</v>
      </c>
      <c r="E52" s="40">
        <v>10810656</v>
      </c>
      <c r="F52" s="40">
        <v>6483682</v>
      </c>
      <c r="G52" s="51">
        <v>5409472</v>
      </c>
      <c r="H52" s="40">
        <v>7147271</v>
      </c>
      <c r="I52" s="40">
        <v>64503</v>
      </c>
      <c r="J52" s="40">
        <v>21923810</v>
      </c>
      <c r="K52" s="40">
        <v>0</v>
      </c>
      <c r="L52" s="40">
        <v>21923810</v>
      </c>
      <c r="M52" s="40">
        <v>2430779</v>
      </c>
      <c r="N52" s="40">
        <v>10152</v>
      </c>
      <c r="O52" s="40">
        <v>4014</v>
      </c>
      <c r="P52" s="52">
        <v>1693</v>
      </c>
      <c r="Q52" s="52">
        <v>744</v>
      </c>
    </row>
    <row r="53" spans="1:17" x14ac:dyDescent="0.25">
      <c r="A53" s="41">
        <v>512</v>
      </c>
      <c r="B53" s="27" t="s">
        <v>78</v>
      </c>
      <c r="C53" s="55">
        <v>303609968</v>
      </c>
      <c r="D53" s="51">
        <v>15111810</v>
      </c>
      <c r="E53" s="40">
        <v>30198085</v>
      </c>
      <c r="F53" s="40">
        <v>25621652</v>
      </c>
      <c r="G53" s="51">
        <v>9714168</v>
      </c>
      <c r="H53" s="40">
        <v>4161100</v>
      </c>
      <c r="I53" s="40">
        <v>215200</v>
      </c>
      <c r="J53" s="40">
        <v>33901752</v>
      </c>
      <c r="K53" s="40">
        <v>0</v>
      </c>
      <c r="L53" s="40">
        <v>33901752</v>
      </c>
      <c r="M53" s="40">
        <v>3228933</v>
      </c>
      <c r="N53" s="40">
        <v>19105</v>
      </c>
      <c r="O53" s="40">
        <v>8768</v>
      </c>
      <c r="P53" s="52">
        <v>2001</v>
      </c>
      <c r="Q53" s="52">
        <v>1002</v>
      </c>
    </row>
    <row r="54" spans="1:17" ht="30" x14ac:dyDescent="0.25">
      <c r="A54" s="41">
        <v>602</v>
      </c>
      <c r="B54" s="27" t="s">
        <v>79</v>
      </c>
      <c r="C54" s="55">
        <v>74947079</v>
      </c>
      <c r="D54" s="51">
        <v>4629311</v>
      </c>
      <c r="E54" s="40">
        <v>6467451</v>
      </c>
      <c r="F54" s="40">
        <v>1022013</v>
      </c>
      <c r="G54" s="51">
        <v>2098948</v>
      </c>
      <c r="H54" s="40">
        <v>1323377</v>
      </c>
      <c r="I54" s="40">
        <v>29087</v>
      </c>
      <c r="J54" s="40">
        <v>8479262</v>
      </c>
      <c r="K54" s="40">
        <v>0</v>
      </c>
      <c r="L54" s="40">
        <v>8479262</v>
      </c>
      <c r="M54" s="40">
        <v>242752</v>
      </c>
      <c r="N54" s="40">
        <v>3807</v>
      </c>
      <c r="O54" s="40">
        <v>2066</v>
      </c>
      <c r="P54" s="52">
        <v>833</v>
      </c>
      <c r="Q54" s="52">
        <v>278</v>
      </c>
    </row>
    <row r="55" spans="1:17" x14ac:dyDescent="0.25">
      <c r="A55" s="41">
        <v>603</v>
      </c>
      <c r="B55" s="27" t="s">
        <v>80</v>
      </c>
      <c r="C55" s="55">
        <v>65247868</v>
      </c>
      <c r="D55" s="51">
        <v>4751177</v>
      </c>
      <c r="E55" s="40">
        <v>3453572</v>
      </c>
      <c r="F55" s="40">
        <v>4262749</v>
      </c>
      <c r="G55" s="51">
        <v>2017192</v>
      </c>
      <c r="H55" s="40">
        <v>1824325</v>
      </c>
      <c r="I55" s="40">
        <v>0</v>
      </c>
      <c r="J55" s="40">
        <v>8824183</v>
      </c>
      <c r="K55" s="40">
        <v>0</v>
      </c>
      <c r="L55" s="40">
        <v>8824183</v>
      </c>
      <c r="M55" s="40">
        <v>2080</v>
      </c>
      <c r="N55" s="40">
        <v>3876</v>
      </c>
      <c r="O55" s="40">
        <v>1750</v>
      </c>
      <c r="P55" s="52">
        <v>668</v>
      </c>
      <c r="Q55" s="52">
        <v>290</v>
      </c>
    </row>
    <row r="56" spans="1:17" ht="30" x14ac:dyDescent="0.25">
      <c r="A56" s="41">
        <v>605</v>
      </c>
      <c r="B56" s="27" t="s">
        <v>81</v>
      </c>
      <c r="C56" s="55">
        <v>77186762</v>
      </c>
      <c r="D56" s="51">
        <v>7977317</v>
      </c>
      <c r="E56" s="40">
        <v>6238886</v>
      </c>
      <c r="F56" s="40">
        <v>3053076</v>
      </c>
      <c r="G56" s="51">
        <v>2399609</v>
      </c>
      <c r="H56" s="40">
        <v>1462371</v>
      </c>
      <c r="I56" s="40">
        <v>0</v>
      </c>
      <c r="J56" s="40">
        <v>8617526.4700000007</v>
      </c>
      <c r="K56" s="40">
        <v>0</v>
      </c>
      <c r="L56" s="40">
        <v>8951367.4700000007</v>
      </c>
      <c r="M56" s="40">
        <v>99362</v>
      </c>
      <c r="N56" s="40">
        <v>4213</v>
      </c>
      <c r="O56" s="40">
        <v>2227</v>
      </c>
      <c r="P56" s="52">
        <v>893</v>
      </c>
      <c r="Q56" s="52">
        <v>320</v>
      </c>
    </row>
    <row r="57" spans="1:17" x14ac:dyDescent="0.25">
      <c r="A57" s="41">
        <v>607</v>
      </c>
      <c r="B57" s="27" t="s">
        <v>82</v>
      </c>
      <c r="C57" s="55">
        <v>86905477</v>
      </c>
      <c r="D57" s="51">
        <v>7211413</v>
      </c>
      <c r="E57" s="40">
        <v>4211497</v>
      </c>
      <c r="F57" s="40">
        <v>6627969</v>
      </c>
      <c r="G57" s="51">
        <v>2939435</v>
      </c>
      <c r="H57" s="40">
        <v>2988155</v>
      </c>
      <c r="I57" s="40">
        <v>0</v>
      </c>
      <c r="J57" s="40">
        <v>9108097</v>
      </c>
      <c r="K57" s="40">
        <v>0</v>
      </c>
      <c r="L57" s="40">
        <v>9108097</v>
      </c>
      <c r="M57" s="40">
        <v>22548</v>
      </c>
      <c r="N57" s="40">
        <v>5977</v>
      </c>
      <c r="O57" s="40">
        <v>2671</v>
      </c>
      <c r="P57" s="52">
        <v>914</v>
      </c>
      <c r="Q57" s="52">
        <v>268</v>
      </c>
    </row>
    <row r="58" spans="1:17" ht="30" x14ac:dyDescent="0.25">
      <c r="A58" s="41">
        <v>608</v>
      </c>
      <c r="B58" s="27" t="s">
        <v>83</v>
      </c>
      <c r="C58" s="55">
        <v>53330422</v>
      </c>
      <c r="D58" s="51">
        <v>4907566</v>
      </c>
      <c r="E58" s="40">
        <v>2508571</v>
      </c>
      <c r="F58" s="40">
        <v>2129868</v>
      </c>
      <c r="G58" s="51">
        <v>3336625</v>
      </c>
      <c r="H58" s="40">
        <v>622641</v>
      </c>
      <c r="I58" s="40">
        <v>0</v>
      </c>
      <c r="J58" s="40">
        <v>7407484</v>
      </c>
      <c r="K58" s="40">
        <v>0</v>
      </c>
      <c r="L58" s="40">
        <v>7407484</v>
      </c>
      <c r="M58" s="40">
        <v>2066</v>
      </c>
      <c r="N58" s="40">
        <v>2977</v>
      </c>
      <c r="O58" s="40">
        <v>1527</v>
      </c>
      <c r="P58" s="52">
        <v>460</v>
      </c>
      <c r="Q58" s="52">
        <v>258</v>
      </c>
    </row>
    <row r="59" spans="1:17" x14ac:dyDescent="0.25">
      <c r="A59" s="41">
        <v>610</v>
      </c>
      <c r="B59" s="27" t="s">
        <v>84</v>
      </c>
      <c r="C59" s="55">
        <v>55221021</v>
      </c>
      <c r="D59" s="51">
        <v>3241361</v>
      </c>
      <c r="E59" s="40">
        <v>3294321</v>
      </c>
      <c r="F59" s="40">
        <v>2735386</v>
      </c>
      <c r="G59" s="51">
        <v>1662216</v>
      </c>
      <c r="H59" s="40">
        <v>831036</v>
      </c>
      <c r="I59" s="40">
        <v>0</v>
      </c>
      <c r="J59" s="40">
        <v>7258116.9100000001</v>
      </c>
      <c r="K59" s="40">
        <v>0</v>
      </c>
      <c r="L59" s="40">
        <v>7258116.9100000001</v>
      </c>
      <c r="M59" s="40">
        <v>132827</v>
      </c>
      <c r="N59" s="40">
        <v>3625</v>
      </c>
      <c r="O59" s="40">
        <v>1502</v>
      </c>
      <c r="P59" s="52">
        <v>493</v>
      </c>
      <c r="Q59" s="52">
        <v>175</v>
      </c>
    </row>
    <row r="60" spans="1:17" ht="30" x14ac:dyDescent="0.25">
      <c r="A60" s="41">
        <v>611</v>
      </c>
      <c r="B60" s="27" t="s">
        <v>85</v>
      </c>
      <c r="C60" s="55">
        <v>117600980</v>
      </c>
      <c r="D60" s="51">
        <v>8188469</v>
      </c>
      <c r="E60" s="40">
        <v>11626220</v>
      </c>
      <c r="F60" s="40">
        <v>8525316</v>
      </c>
      <c r="G60" s="51">
        <v>3020289</v>
      </c>
      <c r="H60" s="40">
        <v>2224528</v>
      </c>
      <c r="I60" s="40">
        <v>178089</v>
      </c>
      <c r="J60" s="40">
        <v>6125682</v>
      </c>
      <c r="K60" s="40">
        <v>0</v>
      </c>
      <c r="L60" s="40">
        <v>6125682</v>
      </c>
      <c r="M60" s="40">
        <v>3101695</v>
      </c>
      <c r="N60" s="40">
        <v>6910</v>
      </c>
      <c r="O60" s="40">
        <v>3036</v>
      </c>
      <c r="P60" s="52">
        <v>697</v>
      </c>
      <c r="Q60" s="52">
        <v>298</v>
      </c>
    </row>
    <row r="61" spans="1:17" x14ac:dyDescent="0.25">
      <c r="A61" s="41">
        <v>613</v>
      </c>
      <c r="B61" s="27" t="s">
        <v>86</v>
      </c>
      <c r="C61" s="55">
        <v>121729069</v>
      </c>
      <c r="D61" s="51">
        <v>10722568</v>
      </c>
      <c r="E61" s="40">
        <v>9231971</v>
      </c>
      <c r="F61" s="40">
        <v>7689338</v>
      </c>
      <c r="G61" s="51">
        <v>3572772</v>
      </c>
      <c r="H61" s="40">
        <v>3194388</v>
      </c>
      <c r="I61" s="40">
        <v>303146</v>
      </c>
      <c r="J61" s="40">
        <v>9371627</v>
      </c>
      <c r="K61" s="40">
        <v>0</v>
      </c>
      <c r="L61" s="40">
        <v>9371627</v>
      </c>
      <c r="M61" s="40">
        <v>4089810</v>
      </c>
      <c r="N61" s="40">
        <v>7860</v>
      </c>
      <c r="O61" s="40">
        <v>3197</v>
      </c>
      <c r="P61" s="52">
        <v>1005</v>
      </c>
      <c r="Q61" s="52">
        <v>372</v>
      </c>
    </row>
    <row r="62" spans="1:17" ht="30" x14ac:dyDescent="0.25">
      <c r="A62" s="41">
        <v>614</v>
      </c>
      <c r="B62" s="27" t="s">
        <v>87</v>
      </c>
      <c r="C62" s="55">
        <v>42482159</v>
      </c>
      <c r="D62" s="51">
        <v>2564755</v>
      </c>
      <c r="E62" s="40">
        <v>1601130</v>
      </c>
      <c r="F62" s="40">
        <v>6786027</v>
      </c>
      <c r="G62" s="51">
        <v>1151356</v>
      </c>
      <c r="H62" s="40">
        <v>420181</v>
      </c>
      <c r="I62" s="40">
        <v>0</v>
      </c>
      <c r="J62" s="40">
        <v>4130439</v>
      </c>
      <c r="K62" s="40">
        <v>0</v>
      </c>
      <c r="L62" s="40">
        <v>4130439</v>
      </c>
      <c r="M62" s="40">
        <v>65956</v>
      </c>
      <c r="N62" s="40">
        <v>2702</v>
      </c>
      <c r="O62" s="40">
        <v>1138</v>
      </c>
      <c r="P62" s="52">
        <v>407</v>
      </c>
      <c r="Q62" s="52">
        <v>146</v>
      </c>
    </row>
    <row r="63" spans="1:17" ht="30" x14ac:dyDescent="0.25">
      <c r="A63" s="41">
        <v>615</v>
      </c>
      <c r="B63" s="27" t="s">
        <v>88</v>
      </c>
      <c r="C63" s="55">
        <v>18326520</v>
      </c>
      <c r="D63" s="51">
        <v>1386468</v>
      </c>
      <c r="E63" s="40">
        <v>1115393.6299999999</v>
      </c>
      <c r="F63" s="40">
        <v>1054575</v>
      </c>
      <c r="G63" s="51">
        <v>612565</v>
      </c>
      <c r="H63" s="40">
        <v>470105</v>
      </c>
      <c r="I63" s="40">
        <v>15470</v>
      </c>
      <c r="J63" s="40">
        <v>1993216.5599999998</v>
      </c>
      <c r="K63" s="40">
        <v>0</v>
      </c>
      <c r="L63" s="40">
        <v>1993216.5599999998</v>
      </c>
      <c r="M63" s="40">
        <v>50787</v>
      </c>
      <c r="N63" s="40">
        <v>1030</v>
      </c>
      <c r="O63" s="40">
        <v>465</v>
      </c>
      <c r="P63" s="52">
        <v>183</v>
      </c>
      <c r="Q63" s="52">
        <v>73</v>
      </c>
    </row>
    <row r="64" spans="1:17" x14ac:dyDescent="0.25">
      <c r="A64" s="41">
        <v>616</v>
      </c>
      <c r="B64" s="27" t="s">
        <v>89</v>
      </c>
      <c r="C64" s="55">
        <v>17559222</v>
      </c>
      <c r="D64" s="51">
        <v>793774</v>
      </c>
      <c r="E64" s="40">
        <v>890319.18</v>
      </c>
      <c r="F64" s="40">
        <v>171591</v>
      </c>
      <c r="G64" s="51">
        <v>465503</v>
      </c>
      <c r="H64" s="40">
        <v>263055</v>
      </c>
      <c r="I64" s="40">
        <v>0</v>
      </c>
      <c r="J64" s="40">
        <v>1908068.0700000008</v>
      </c>
      <c r="K64" s="40">
        <v>0</v>
      </c>
      <c r="L64" s="40">
        <v>1908068.0700000008</v>
      </c>
      <c r="M64" s="40">
        <v>0</v>
      </c>
      <c r="N64" s="40">
        <v>1018</v>
      </c>
      <c r="O64" s="40">
        <v>500</v>
      </c>
      <c r="P64" s="52">
        <v>201</v>
      </c>
      <c r="Q64" s="52">
        <v>67</v>
      </c>
    </row>
    <row r="65" spans="1:17" ht="30" x14ac:dyDescent="0.25">
      <c r="A65" s="41">
        <v>617</v>
      </c>
      <c r="B65" s="27" t="s">
        <v>90</v>
      </c>
      <c r="C65" s="55">
        <v>25699837</v>
      </c>
      <c r="D65" s="51">
        <v>1536735</v>
      </c>
      <c r="E65" s="40">
        <v>1508193</v>
      </c>
      <c r="F65" s="40">
        <v>1640255</v>
      </c>
      <c r="G65" s="51">
        <v>772264</v>
      </c>
      <c r="H65" s="40">
        <v>387150</v>
      </c>
      <c r="I65" s="40">
        <v>0</v>
      </c>
      <c r="J65" s="40">
        <v>3099059</v>
      </c>
      <c r="K65" s="40">
        <v>0</v>
      </c>
      <c r="L65" s="40">
        <v>3099059</v>
      </c>
      <c r="M65" s="40">
        <v>7720</v>
      </c>
      <c r="N65" s="40">
        <v>1324</v>
      </c>
      <c r="O65" s="40">
        <v>715</v>
      </c>
      <c r="P65" s="52">
        <v>235</v>
      </c>
      <c r="Q65" s="52">
        <v>131</v>
      </c>
    </row>
    <row r="66" spans="1:17" ht="30" x14ac:dyDescent="0.25">
      <c r="A66" s="41">
        <v>618</v>
      </c>
      <c r="B66" s="27" t="s">
        <v>91</v>
      </c>
      <c r="C66" s="55">
        <v>209012403</v>
      </c>
      <c r="D66" s="51">
        <v>8103941</v>
      </c>
      <c r="E66" s="40">
        <v>15991228</v>
      </c>
      <c r="F66" s="40">
        <v>30716918</v>
      </c>
      <c r="G66" s="51">
        <v>5752701</v>
      </c>
      <c r="H66" s="40">
        <v>1254522</v>
      </c>
      <c r="I66" s="40">
        <v>26664</v>
      </c>
      <c r="J66" s="40">
        <v>20789875</v>
      </c>
      <c r="K66" s="40">
        <v>0</v>
      </c>
      <c r="L66" s="40">
        <v>20789875</v>
      </c>
      <c r="M66" s="40">
        <v>385083</v>
      </c>
      <c r="N66" s="40">
        <v>13504</v>
      </c>
      <c r="O66" s="40">
        <v>6532</v>
      </c>
      <c r="P66" s="52">
        <v>1720</v>
      </c>
      <c r="Q66" s="52">
        <v>766</v>
      </c>
    </row>
    <row r="67" spans="1:17" x14ac:dyDescent="0.25">
      <c r="A67" s="41">
        <v>619</v>
      </c>
      <c r="B67" s="27" t="s">
        <v>92</v>
      </c>
      <c r="C67" s="55">
        <v>21757222</v>
      </c>
      <c r="D67" s="51">
        <v>1169203</v>
      </c>
      <c r="E67" s="40">
        <v>1523395</v>
      </c>
      <c r="F67" s="40">
        <v>1557364</v>
      </c>
      <c r="G67" s="51">
        <v>606267</v>
      </c>
      <c r="H67" s="40">
        <v>340459</v>
      </c>
      <c r="I67" s="40">
        <v>0</v>
      </c>
      <c r="J67" s="40">
        <v>2799869</v>
      </c>
      <c r="K67" s="40">
        <v>0</v>
      </c>
      <c r="L67" s="40">
        <v>2799869</v>
      </c>
      <c r="M67" s="40">
        <v>0</v>
      </c>
      <c r="N67" s="40">
        <v>1099</v>
      </c>
      <c r="O67" s="40">
        <v>554</v>
      </c>
      <c r="P67" s="52">
        <v>227</v>
      </c>
      <c r="Q67" s="52">
        <v>98</v>
      </c>
    </row>
    <row r="68" spans="1:17" x14ac:dyDescent="0.25">
      <c r="A68" s="41">
        <v>620</v>
      </c>
      <c r="B68" s="27" t="s">
        <v>93</v>
      </c>
      <c r="C68" s="55">
        <v>39440985.439999998</v>
      </c>
      <c r="D68" s="51">
        <v>2132492</v>
      </c>
      <c r="E68" s="40">
        <v>1454144</v>
      </c>
      <c r="F68" s="40">
        <v>1379875</v>
      </c>
      <c r="G68" s="51">
        <v>1244987</v>
      </c>
      <c r="H68" s="40">
        <v>691877</v>
      </c>
      <c r="I68" s="40">
        <v>0</v>
      </c>
      <c r="J68" s="40">
        <v>5166818</v>
      </c>
      <c r="K68" s="40">
        <v>0</v>
      </c>
      <c r="L68" s="40">
        <v>5166818</v>
      </c>
      <c r="M68" s="40">
        <v>0</v>
      </c>
      <c r="N68" s="40">
        <v>2392</v>
      </c>
      <c r="O68" s="40">
        <v>1166</v>
      </c>
      <c r="P68" s="52">
        <v>496</v>
      </c>
      <c r="Q68" s="52">
        <v>170</v>
      </c>
    </row>
    <row r="69" spans="1:17" ht="30" x14ac:dyDescent="0.25">
      <c r="A69" s="41">
        <v>636</v>
      </c>
      <c r="B69" s="27" t="s">
        <v>94</v>
      </c>
      <c r="C69" s="55">
        <v>49473123</v>
      </c>
      <c r="D69" s="51">
        <v>2488651</v>
      </c>
      <c r="E69" s="40">
        <v>4946461</v>
      </c>
      <c r="F69" s="40">
        <v>636631</v>
      </c>
      <c r="G69" s="51">
        <v>1378477</v>
      </c>
      <c r="H69" s="40">
        <v>885439</v>
      </c>
      <c r="I69" s="40">
        <v>0</v>
      </c>
      <c r="J69" s="40">
        <v>5667747</v>
      </c>
      <c r="K69" s="40">
        <v>0</v>
      </c>
      <c r="L69" s="40">
        <v>5667747</v>
      </c>
      <c r="M69" s="40">
        <v>0</v>
      </c>
      <c r="N69" s="40">
        <v>2487</v>
      </c>
      <c r="O69" s="40">
        <v>1331</v>
      </c>
      <c r="P69" s="52">
        <v>530</v>
      </c>
      <c r="Q69" s="52">
        <v>183</v>
      </c>
    </row>
    <row r="70" spans="1:17" x14ac:dyDescent="0.25">
      <c r="A70" s="41">
        <v>637</v>
      </c>
      <c r="B70" s="27" t="s">
        <v>95</v>
      </c>
      <c r="C70" s="55">
        <v>136448244</v>
      </c>
      <c r="D70" s="51">
        <v>11195019</v>
      </c>
      <c r="E70" s="40">
        <v>7877272.0599999996</v>
      </c>
      <c r="F70" s="40">
        <v>4406026</v>
      </c>
      <c r="G70" s="51">
        <v>4284561</v>
      </c>
      <c r="H70" s="40">
        <v>4533003</v>
      </c>
      <c r="I70" s="40">
        <v>16983</v>
      </c>
      <c r="J70" s="40">
        <v>14608697.609999999</v>
      </c>
      <c r="K70" s="40">
        <v>0</v>
      </c>
      <c r="L70" s="40">
        <v>14608697.609999999</v>
      </c>
      <c r="M70" s="40">
        <v>311228</v>
      </c>
      <c r="N70" s="40">
        <v>9002</v>
      </c>
      <c r="O70" s="40">
        <v>3919</v>
      </c>
      <c r="P70" s="52">
        <v>1262</v>
      </c>
      <c r="Q70" s="52">
        <v>536</v>
      </c>
    </row>
    <row r="71" spans="1:17" x14ac:dyDescent="0.25">
      <c r="A71" s="81">
        <v>999</v>
      </c>
      <c r="B71" s="82" t="s">
        <v>143</v>
      </c>
      <c r="C71" s="55">
        <v>45907028</v>
      </c>
      <c r="D71" s="51">
        <v>3814187</v>
      </c>
      <c r="E71" s="40">
        <v>1849286</v>
      </c>
      <c r="F71" s="40">
        <v>3179763</v>
      </c>
      <c r="G71" s="51">
        <v>1856451</v>
      </c>
      <c r="H71" s="40">
        <v>1137320</v>
      </c>
      <c r="I71" s="40">
        <v>59021</v>
      </c>
      <c r="J71" s="40">
        <v>102477</v>
      </c>
      <c r="K71" s="40">
        <v>4052087</v>
      </c>
      <c r="L71" s="40">
        <v>4154564</v>
      </c>
      <c r="M71" s="40">
        <v>580000</v>
      </c>
      <c r="N71" s="40">
        <v>2979</v>
      </c>
      <c r="O71" s="40">
        <v>1500</v>
      </c>
      <c r="P71" s="52">
        <v>430</v>
      </c>
      <c r="Q71" s="52">
        <v>183</v>
      </c>
    </row>
  </sheetData>
  <autoFilter ref="A1:Q7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Excess Cost</vt:lpstr>
      <vt:lpstr>Totals</vt:lpstr>
      <vt:lpstr>Form Assistant for Inter&amp;Coop</vt:lpstr>
      <vt:lpstr>Data</vt:lpstr>
      <vt:lpstr>'Excess Cost'!Print_Area</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 Robinson</dc:creator>
  <cp:lastModifiedBy>Dan D. Robinson</cp:lastModifiedBy>
  <cp:lastPrinted>2012-03-07T21:32:55Z</cp:lastPrinted>
  <dcterms:created xsi:type="dcterms:W3CDTF">2011-10-10T12:25:59Z</dcterms:created>
  <dcterms:modified xsi:type="dcterms:W3CDTF">2012-03-23T22:15:44Z</dcterms:modified>
</cp:coreProperties>
</file>