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75" windowWidth="26760" windowHeight="11505"/>
  </bookViews>
  <sheets>
    <sheet name="Instructions" sheetId="2" r:id="rId1"/>
    <sheet name="Sample District" sheetId="1" r:id="rId2"/>
    <sheet name="Sample Charter" sheetId="3" r:id="rId3"/>
  </sheets>
  <definedNames>
    <definedName name="_xlnm.Print_Area" localSheetId="2">'Sample Charter'!$A$1:$N$56</definedName>
    <definedName name="_xlnm.Print_Area" localSheetId="1">'Sample District'!$A$1:$N$72</definedName>
  </definedNames>
  <calcPr calcId="125725"/>
</workbook>
</file>

<file path=xl/calcChain.xml><?xml version="1.0" encoding="utf-8"?>
<calcChain xmlns="http://schemas.openxmlformats.org/spreadsheetml/2006/main">
  <c r="D42" i="3"/>
  <c r="D41"/>
  <c r="N40"/>
  <c r="M40"/>
  <c r="L40"/>
  <c r="D40"/>
  <c r="D44" i="1"/>
  <c r="D43" i="3" l="1"/>
  <c r="L46" s="1"/>
  <c r="N46"/>
  <c r="D45"/>
  <c r="H22" s="1"/>
  <c r="H35"/>
  <c r="D58" i="1"/>
  <c r="D57"/>
  <c r="N56"/>
  <c r="M56"/>
  <c r="L56"/>
  <c r="D56"/>
  <c r="M46" i="3" l="1"/>
  <c r="D46"/>
  <c r="H39"/>
  <c r="H37"/>
  <c r="H34"/>
  <c r="H32"/>
  <c r="H30"/>
  <c r="H28"/>
  <c r="H26"/>
  <c r="H24"/>
  <c r="H21"/>
  <c r="H19"/>
  <c r="H18"/>
  <c r="H20"/>
  <c r="H17"/>
  <c r="H38"/>
  <c r="H36"/>
  <c r="H33"/>
  <c r="H31"/>
  <c r="H29"/>
  <c r="H27"/>
  <c r="H25"/>
  <c r="H23"/>
  <c r="D59" i="1"/>
  <c r="L62" s="1"/>
  <c r="D62" l="1"/>
  <c r="N62"/>
  <c r="M62"/>
  <c r="D61"/>
  <c r="H22" l="1"/>
  <c r="H24"/>
  <c r="H26"/>
  <c r="H28"/>
  <c r="H30"/>
  <c r="H32"/>
  <c r="H34"/>
  <c r="H36"/>
  <c r="H38"/>
  <c r="H40"/>
  <c r="H42"/>
  <c r="H46"/>
  <c r="H48"/>
  <c r="H50"/>
  <c r="H52"/>
  <c r="H54"/>
  <c r="H23"/>
  <c r="H25"/>
  <c r="H27"/>
  <c r="H29"/>
  <c r="H31"/>
  <c r="H33"/>
  <c r="H35"/>
  <c r="H37"/>
  <c r="H39"/>
  <c r="H41"/>
  <c r="H43"/>
  <c r="H45"/>
  <c r="H47"/>
  <c r="H49"/>
  <c r="H51"/>
  <c r="H53"/>
  <c r="H55"/>
  <c r="H44"/>
  <c r="H21"/>
</calcChain>
</file>

<file path=xl/sharedStrings.xml><?xml version="1.0" encoding="utf-8"?>
<sst xmlns="http://schemas.openxmlformats.org/spreadsheetml/2006/main" count="281" uniqueCount="96">
  <si>
    <t>School Program</t>
  </si>
  <si>
    <t>Expenditures</t>
  </si>
  <si>
    <t>Group</t>
  </si>
  <si>
    <t>3%</t>
  </si>
  <si>
    <t>Cluster</t>
  </si>
  <si>
    <t>Capital Outlay Foundation</t>
  </si>
  <si>
    <t>S</t>
  </si>
  <si>
    <t>K-12</t>
  </si>
  <si>
    <t>U</t>
  </si>
  <si>
    <t>Professional Staff</t>
  </si>
  <si>
    <t>Administrative Costs</t>
  </si>
  <si>
    <t>Foreign Exchange Students</t>
  </si>
  <si>
    <t>District's Contributions to Local Replacement Funds</t>
  </si>
  <si>
    <t>Social Security and Retirement</t>
  </si>
  <si>
    <t>Voted Leeway</t>
  </si>
  <si>
    <t>Educator Salary Adjustments</t>
  </si>
  <si>
    <t>Special Education Add-On</t>
  </si>
  <si>
    <t>R</t>
  </si>
  <si>
    <t>SpEd</t>
  </si>
  <si>
    <t>X</t>
  </si>
  <si>
    <t>Special Education Self Contained</t>
  </si>
  <si>
    <t>Special Education Preschool</t>
  </si>
  <si>
    <t>Extended Year Program Severely Disabled</t>
  </si>
  <si>
    <t>Special Education State Programs</t>
  </si>
  <si>
    <t>Extended Year Special Educators</t>
  </si>
  <si>
    <t>Career and Technology Education Add-On</t>
  </si>
  <si>
    <t>CTE</t>
  </si>
  <si>
    <t>Career and Technology Education Set-Aside</t>
  </si>
  <si>
    <t>Class Size Reduction K-8</t>
  </si>
  <si>
    <t>Pupil Transportation</t>
  </si>
  <si>
    <t>Quality Teaching Block Grant</t>
  </si>
  <si>
    <t>Interventions for Student Success</t>
  </si>
  <si>
    <t>At-Risk Homeless and Minority</t>
  </si>
  <si>
    <t>At-Risk Youth-In-Custody</t>
  </si>
  <si>
    <t>Adult High School</t>
  </si>
  <si>
    <t>Accelerated Learning Gifted and Talented</t>
  </si>
  <si>
    <t>Accelerated Learning Advanced Placement</t>
  </si>
  <si>
    <t>Accelerated Learning Concurrent Enrollment</t>
  </si>
  <si>
    <t>School Nurses</t>
  </si>
  <si>
    <t>Library Books and Electronic Resources</t>
  </si>
  <si>
    <t>Critical Languages Program</t>
  </si>
  <si>
    <t>Reading Achievement Program</t>
  </si>
  <si>
    <t>ELL Family Literacy Centers</t>
  </si>
  <si>
    <t>USTAR Centers</t>
  </si>
  <si>
    <t>Board Leeway</t>
  </si>
  <si>
    <t>Instructional Technology</t>
  </si>
  <si>
    <t>Extended Day Kindergarten</t>
  </si>
  <si>
    <t>Dual Immersion Program</t>
  </si>
  <si>
    <t>One Time Signing Bonuses</t>
  </si>
  <si>
    <t>BTS Elementary Arts</t>
  </si>
  <si>
    <t>State major programs</t>
  </si>
  <si>
    <t>Unrestricted programs</t>
  </si>
  <si>
    <t>Restricted programs</t>
  </si>
  <si>
    <t>3% of restricted programs</t>
  </si>
  <si>
    <t>Restricted program</t>
  </si>
  <si>
    <t>Yes</t>
  </si>
  <si>
    <t>Special Education cluster</t>
  </si>
  <si>
    <t>Career and Technology Education cluster</t>
  </si>
  <si>
    <t>Significant Restricted Programs</t>
  </si>
  <si>
    <t>Unrestricted program; general audit procedures considered annually</t>
  </si>
  <si>
    <t>Selected for specific audit procedures in year indicated</t>
  </si>
  <si>
    <t>Meets 3% rule; significant restricted program</t>
  </si>
  <si>
    <t>25% required annual minimum coverage</t>
  </si>
  <si>
    <t>PY 20__</t>
  </si>
  <si>
    <t>CY 20__</t>
  </si>
  <si>
    <t>Minimum School Program Schedule</t>
  </si>
  <si>
    <t>Current Year Ended June 30, 20__</t>
  </si>
  <si>
    <t>School LAND Trust Program</t>
  </si>
  <si>
    <t>Classroom Supplies and Materials</t>
  </si>
  <si>
    <t>At-Risk Student Programs (Regular)</t>
  </si>
  <si>
    <r>
      <t xml:space="preserve">District / Charter:  </t>
    </r>
    <r>
      <rPr>
        <b/>
        <sz val="11"/>
        <color theme="1"/>
        <rFont val="Times New Roman"/>
        <family val="1"/>
      </rPr>
      <t>Sample District</t>
    </r>
  </si>
  <si>
    <t>Utah State Office of Education</t>
  </si>
  <si>
    <t>Instructions</t>
  </si>
  <si>
    <t>CTE Maintenance of Effort</t>
  </si>
  <si>
    <r>
      <t xml:space="preserve">District / Charter:  </t>
    </r>
    <r>
      <rPr>
        <b/>
        <sz val="11"/>
        <color theme="1"/>
        <rFont val="Times New Roman"/>
        <family val="1"/>
      </rPr>
      <t>Sample Charter</t>
    </r>
  </si>
  <si>
    <t>Charter School Local Replacement</t>
  </si>
  <si>
    <t>Charter School Administrative Costs</t>
  </si>
  <si>
    <t>Special Education Maintenance of Effort</t>
  </si>
  <si>
    <t>State program; major if $350,000 or more</t>
  </si>
  <si>
    <t>Prepared By:</t>
  </si>
  <si>
    <t>Date Prepared:</t>
  </si>
  <si>
    <t>Total Minimum School Program</t>
  </si>
  <si>
    <t>S - Separate state programs</t>
  </si>
  <si>
    <t>U - Unrestricted</t>
  </si>
  <si>
    <t>R - Restricted</t>
  </si>
  <si>
    <t>School programs within the Minimum School Program can be classified into three groups:</t>
  </si>
  <si>
    <r>
      <t xml:space="preserve">This schedule identifies the classification of school programs within the MSP, significant restricted programs that were selected for testing for compliance in the current and prior two years, and the percent of restricted school programs tested.  Please refer to guidance provided in SOE-1 of the </t>
    </r>
    <r>
      <rPr>
        <i/>
        <sz val="11"/>
        <color theme="1"/>
        <rFont val="Times New Roman"/>
        <family val="1"/>
      </rPr>
      <t>State of Utah Legal Compliance Audit Guide.</t>
    </r>
  </si>
  <si>
    <t>Minimum School Program (MSP) Schedule</t>
  </si>
  <si>
    <r>
      <t xml:space="preserve">A </t>
    </r>
    <r>
      <rPr>
        <i/>
        <sz val="11"/>
        <color theme="1"/>
        <rFont val="Times New Roman"/>
        <family val="1"/>
      </rPr>
      <t>cluster of programs</t>
    </r>
    <r>
      <rPr>
        <sz val="11"/>
        <color theme="1"/>
        <rFont val="Times New Roman"/>
        <family val="2"/>
      </rPr>
      <t xml:space="preserve"> is a grouping of closely related restricted programs that share common compliance requirements.  A cluster should be treated as one program.</t>
    </r>
  </si>
  <si>
    <t>Only school programs within the MSP should be included on the schedule.  These programs are listed as Revenue "99" programs on the MSP Monthly Allotment.  Local and state maintenance of effort (MOE) amounts for Special Education and CTE should be included on the schedule.</t>
  </si>
  <si>
    <t>This schedule is to be submitted to Von Hortin [Von.Hortin@schools.utah.gov] at the USOE by Nov 30.</t>
  </si>
  <si>
    <t>The independent auditor of the district or charter school can use this schedule for planning and documentation of school programs selected for compliance testing.</t>
  </si>
  <si>
    <t>Unrestricted school programs have few compliance requirements or are not structured for specific program testing.  Each year, the auditor should consider applying suggested general audit procedures to unrestricted school program funds received or spent by the district or charter school.</t>
  </si>
  <si>
    <t>Program expenditures on the schedule should agree with amounts reported on the APR.</t>
  </si>
  <si>
    <t>The capital outlay foundation, a school program within the MSP, is considered a separate state program and should be considered a major program when revenues or expenditures exceed $350,000 in the current year (see SOE-2).</t>
  </si>
  <si>
    <t>A significant restricted program (a program with expenditures totaling 3% or more of total restricted programs) must be selected for testing as least once every three years.  Also, a program that has reached the 3% threshold for the first time and has not been selected in one of the prior two years must be selected for testing in the current year.  See SOE-1 for exception in 2010 and 2011.  Also, restricted programs designated as high risk by USOE or for which there were reportable audit findings in either of the preceding two years must be selected in the current year for testing.</t>
  </si>
</sst>
</file>

<file path=xl/styles.xml><?xml version="1.0" encoding="utf-8"?>
<styleSheet xmlns="http://schemas.openxmlformats.org/spreadsheetml/2006/main">
  <numFmts count="3">
    <numFmt numFmtId="43" formatCode="_(* #,##0.00_);_(* \(#,##0.00\);_(* &quot;-&quot;??_);_(@_)"/>
    <numFmt numFmtId="164" formatCode="_(* #,##0_);_(* \(#,##0\);_(* &quot;-&quot;??_);_(@_)"/>
    <numFmt numFmtId="165" formatCode="0.0%"/>
  </numFmts>
  <fonts count="6">
    <font>
      <sz val="11"/>
      <color theme="1"/>
      <name val="Times New Roman"/>
      <family val="2"/>
    </font>
    <font>
      <sz val="11"/>
      <color theme="1"/>
      <name val="Times New Roman"/>
      <family val="2"/>
    </font>
    <font>
      <b/>
      <sz val="11"/>
      <color theme="1"/>
      <name val="Times New Roman"/>
      <family val="1"/>
    </font>
    <font>
      <sz val="11"/>
      <color theme="1"/>
      <name val="Times New Roman"/>
      <family val="1"/>
    </font>
    <font>
      <sz val="11"/>
      <name val="Times New Roman"/>
      <family val="2"/>
    </font>
    <font>
      <i/>
      <sz val="11"/>
      <color theme="1"/>
      <name val="Times New Roman"/>
      <family val="1"/>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double">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6">
    <xf numFmtId="0" fontId="0" fillId="0" borderId="0" xfId="0"/>
    <xf numFmtId="164" fontId="0" fillId="0" borderId="0" xfId="1" applyNumberFormat="1" applyFont="1"/>
    <xf numFmtId="0" fontId="2" fillId="0" borderId="1" xfId="0" applyFont="1" applyBorder="1"/>
    <xf numFmtId="0" fontId="0" fillId="0" borderId="0" xfId="0" applyAlignment="1">
      <alignment horizontal="left" indent="1"/>
    </xf>
    <xf numFmtId="0" fontId="0" fillId="0" borderId="0" xfId="0" applyBorder="1"/>
    <xf numFmtId="0" fontId="0" fillId="0" borderId="0" xfId="0" applyFill="1" applyBorder="1"/>
    <xf numFmtId="0" fontId="0" fillId="0" borderId="0" xfId="0" applyAlignment="1">
      <alignment wrapText="1"/>
    </xf>
    <xf numFmtId="0" fontId="0" fillId="0" borderId="0" xfId="0" applyAlignment="1"/>
    <xf numFmtId="0" fontId="3" fillId="0" borderId="0" xfId="0" applyFont="1" applyFill="1"/>
    <xf numFmtId="0" fontId="0" fillId="0" borderId="0" xfId="0" applyFill="1"/>
    <xf numFmtId="164" fontId="0" fillId="0" borderId="0" xfId="1" applyNumberFormat="1" applyFont="1" applyFill="1"/>
    <xf numFmtId="0" fontId="3" fillId="0" borderId="0" xfId="0" applyFont="1" applyFill="1" applyBorder="1"/>
    <xf numFmtId="0" fontId="0" fillId="0" borderId="1" xfId="0" applyFill="1" applyBorder="1"/>
    <xf numFmtId="0" fontId="2" fillId="0" borderId="1" xfId="0" applyFont="1" applyFill="1" applyBorder="1"/>
    <xf numFmtId="164" fontId="0" fillId="0" borderId="1" xfId="1" applyNumberFormat="1" applyFont="1" applyFill="1" applyBorder="1"/>
    <xf numFmtId="0" fontId="0" fillId="0" borderId="0" xfId="0" applyFill="1" applyAlignment="1">
      <alignment horizontal="center"/>
    </xf>
    <xf numFmtId="164" fontId="0" fillId="0" borderId="0" xfId="1" applyNumberFormat="1" applyFont="1" applyFill="1" applyAlignment="1">
      <alignment horizontal="center"/>
    </xf>
    <xf numFmtId="164" fontId="0" fillId="0" borderId="1" xfId="1" applyNumberFormat="1" applyFont="1" applyFill="1" applyBorder="1" applyAlignment="1">
      <alignment horizontal="center"/>
    </xf>
    <xf numFmtId="164" fontId="0" fillId="0" borderId="0" xfId="1" applyNumberFormat="1" applyFont="1" applyFill="1" applyBorder="1" applyAlignment="1">
      <alignment horizontal="center"/>
    </xf>
    <xf numFmtId="164" fontId="1" fillId="0" borderId="0" xfId="1" applyNumberFormat="1" applyFont="1" applyFill="1" applyBorder="1" applyAlignment="1">
      <alignment horizontal="center"/>
    </xf>
    <xf numFmtId="164" fontId="0" fillId="0" borderId="1" xfId="1" quotePrefix="1" applyNumberFormat="1" applyFont="1" applyFill="1" applyBorder="1" applyAlignment="1">
      <alignment horizontal="center"/>
    </xf>
    <xf numFmtId="0" fontId="0" fillId="0" borderId="0" xfId="0" applyFill="1" applyBorder="1" applyAlignment="1">
      <alignment horizontal="center"/>
    </xf>
    <xf numFmtId="0" fontId="0" fillId="0" borderId="1" xfId="0" applyFill="1" applyBorder="1" applyAlignment="1">
      <alignment horizontal="center"/>
    </xf>
    <xf numFmtId="164" fontId="4" fillId="0" borderId="0" xfId="1" applyNumberFormat="1" applyFont="1" applyFill="1"/>
    <xf numFmtId="164" fontId="4" fillId="0" borderId="0" xfId="1" applyNumberFormat="1" applyFont="1" applyFill="1" applyAlignment="1">
      <alignment horizontal="center"/>
    </xf>
    <xf numFmtId="0" fontId="4" fillId="0" borderId="0" xfId="0" applyFont="1" applyFill="1" applyAlignment="1">
      <alignment horizontal="center"/>
    </xf>
    <xf numFmtId="0" fontId="0" fillId="0" borderId="0" xfId="0" applyFill="1" applyAlignment="1">
      <alignment horizontal="left" indent="1"/>
    </xf>
    <xf numFmtId="164" fontId="0" fillId="0" borderId="0" xfId="1" applyNumberFormat="1" applyFont="1" applyFill="1" applyBorder="1"/>
    <xf numFmtId="9" fontId="0" fillId="0" borderId="0" xfId="2" applyFont="1" applyFill="1" applyBorder="1" applyAlignment="1">
      <alignment horizontal="center"/>
    </xf>
    <xf numFmtId="164" fontId="0" fillId="0" borderId="2" xfId="1" applyNumberFormat="1" applyFont="1" applyFill="1" applyBorder="1"/>
    <xf numFmtId="165" fontId="0" fillId="0" borderId="0" xfId="2" applyNumberFormat="1" applyFont="1" applyFill="1"/>
    <xf numFmtId="0" fontId="0" fillId="0" borderId="1" xfId="0" applyFill="1" applyBorder="1" applyAlignment="1">
      <alignment horizontal="left" indent="1"/>
    </xf>
    <xf numFmtId="0" fontId="0" fillId="0" borderId="0" xfId="0" applyFill="1" applyBorder="1" applyAlignment="1">
      <alignment horizontal="left"/>
    </xf>
    <xf numFmtId="0" fontId="2" fillId="0" borderId="0" xfId="0" applyFont="1" applyFill="1" applyBorder="1"/>
    <xf numFmtId="0" fontId="0" fillId="0" borderId="0" xfId="0" applyAlignment="1">
      <alignment wrapText="1"/>
    </xf>
    <xf numFmtId="0" fontId="0" fillId="0" borderId="1" xfId="0" applyFill="1" applyBorder="1" applyAlignment="1">
      <alignment horizontal="center"/>
    </xf>
  </cellXfs>
  <cellStyles count="3">
    <cellStyle name="Comma" xfId="1" builtinId="3"/>
    <cellStyle name="Normal" xfId="0" builtinId="0"/>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A38"/>
  <sheetViews>
    <sheetView tabSelected="1" workbookViewId="0"/>
  </sheetViews>
  <sheetFormatPr defaultRowHeight="15"/>
  <cols>
    <col min="1" max="1" width="92.42578125" customWidth="1"/>
  </cols>
  <sheetData>
    <row r="1" spans="1:1">
      <c r="A1" t="s">
        <v>71</v>
      </c>
    </row>
    <row r="2" spans="1:1">
      <c r="A2" t="s">
        <v>87</v>
      </c>
    </row>
    <row r="3" spans="1:1">
      <c r="A3" s="2" t="s">
        <v>72</v>
      </c>
    </row>
    <row r="5" spans="1:1">
      <c r="A5" s="34" t="s">
        <v>86</v>
      </c>
    </row>
    <row r="6" spans="1:1">
      <c r="A6" s="34"/>
    </row>
    <row r="7" spans="1:1">
      <c r="A7" s="34"/>
    </row>
    <row r="8" spans="1:1">
      <c r="A8" s="34"/>
    </row>
    <row r="10" spans="1:1">
      <c r="A10" t="s">
        <v>85</v>
      </c>
    </row>
    <row r="11" spans="1:1">
      <c r="A11" s="3" t="s">
        <v>82</v>
      </c>
    </row>
    <row r="12" spans="1:1">
      <c r="A12" s="3" t="s">
        <v>83</v>
      </c>
    </row>
    <row r="13" spans="1:1">
      <c r="A13" s="3" t="s">
        <v>84</v>
      </c>
    </row>
    <row r="15" spans="1:1">
      <c r="A15" s="34" t="s">
        <v>88</v>
      </c>
    </row>
    <row r="16" spans="1:1">
      <c r="A16" s="34"/>
    </row>
    <row r="17" spans="1:1">
      <c r="A17" s="6"/>
    </row>
    <row r="18" spans="1:1" ht="45">
      <c r="A18" s="6" t="s">
        <v>94</v>
      </c>
    </row>
    <row r="19" spans="1:1">
      <c r="A19" s="6"/>
    </row>
    <row r="20" spans="1:1" ht="45">
      <c r="A20" s="6" t="s">
        <v>92</v>
      </c>
    </row>
    <row r="22" spans="1:1">
      <c r="A22" s="34" t="s">
        <v>95</v>
      </c>
    </row>
    <row r="23" spans="1:1">
      <c r="A23" s="34"/>
    </row>
    <row r="24" spans="1:1">
      <c r="A24" s="34"/>
    </row>
    <row r="25" spans="1:1">
      <c r="A25" s="34"/>
    </row>
    <row r="26" spans="1:1">
      <c r="A26" s="34"/>
    </row>
    <row r="27" spans="1:1">
      <c r="A27" s="34"/>
    </row>
    <row r="28" spans="1:1">
      <c r="A28" s="6"/>
    </row>
    <row r="29" spans="1:1">
      <c r="A29" s="34" t="s">
        <v>89</v>
      </c>
    </row>
    <row r="30" spans="1:1">
      <c r="A30" s="34"/>
    </row>
    <row r="31" spans="1:1">
      <c r="A31" s="34"/>
    </row>
    <row r="33" spans="1:1">
      <c r="A33" s="7" t="s">
        <v>93</v>
      </c>
    </row>
    <row r="35" spans="1:1">
      <c r="A35" s="34" t="s">
        <v>91</v>
      </c>
    </row>
    <row r="36" spans="1:1">
      <c r="A36" s="34"/>
    </row>
    <row r="38" spans="1:1">
      <c r="A38" t="s">
        <v>90</v>
      </c>
    </row>
  </sheetData>
  <mergeCells count="5">
    <mergeCell ref="A35:A36"/>
    <mergeCell ref="A5:A8"/>
    <mergeCell ref="A15:A16"/>
    <mergeCell ref="A22:A27"/>
    <mergeCell ref="A29:A3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pageSetUpPr fitToPage="1"/>
  </sheetPr>
  <dimension ref="A1:O72"/>
  <sheetViews>
    <sheetView zoomScaleNormal="100" workbookViewId="0"/>
  </sheetViews>
  <sheetFormatPr defaultRowHeight="15"/>
  <cols>
    <col min="1" max="1" width="6.5703125" customWidth="1"/>
    <col min="2" max="2" width="38.85546875" customWidth="1"/>
    <col min="3" max="3" width="1.28515625" customWidth="1"/>
    <col min="4" max="4" width="13.140625" style="1" bestFit="1" customWidth="1"/>
    <col min="5" max="5" width="1.28515625" style="1" customWidth="1"/>
    <col min="6" max="6" width="6.7109375" style="1" bestFit="1" customWidth="1"/>
    <col min="7" max="7" width="1.28515625" style="1" customWidth="1"/>
    <col min="8" max="8" width="5.85546875" style="1" bestFit="1" customWidth="1"/>
    <col min="9" max="9" width="1.28515625" style="1" customWidth="1"/>
    <col min="10" max="10" width="8.42578125" style="1" bestFit="1" customWidth="1"/>
    <col min="11" max="11" width="1.28515625" customWidth="1"/>
    <col min="12" max="14" width="11.28515625" bestFit="1" customWidth="1"/>
  </cols>
  <sheetData>
    <row r="1" spans="1:15">
      <c r="A1" s="8" t="s">
        <v>70</v>
      </c>
      <c r="B1" s="9"/>
      <c r="C1" s="9"/>
      <c r="D1" s="10"/>
      <c r="E1" s="10"/>
      <c r="F1" s="10"/>
      <c r="G1" s="10"/>
      <c r="H1" s="10"/>
      <c r="I1" s="10"/>
      <c r="J1" s="10"/>
      <c r="K1" s="9"/>
      <c r="L1" s="9"/>
      <c r="M1" s="9"/>
      <c r="N1" s="9"/>
      <c r="O1" s="9"/>
    </row>
    <row r="2" spans="1:15">
      <c r="A2" s="11" t="s">
        <v>66</v>
      </c>
      <c r="B2" s="9"/>
      <c r="C2" s="9"/>
      <c r="D2" s="10"/>
      <c r="E2" s="10"/>
      <c r="F2" s="10"/>
      <c r="G2" s="10"/>
      <c r="H2" s="10"/>
      <c r="I2" s="10"/>
      <c r="J2" s="10"/>
      <c r="K2" s="9"/>
      <c r="L2" s="9"/>
      <c r="M2" s="9"/>
      <c r="N2" s="9"/>
      <c r="O2" s="9"/>
    </row>
    <row r="3" spans="1:15">
      <c r="A3" s="9" t="s">
        <v>65</v>
      </c>
      <c r="B3" s="9"/>
      <c r="C3" s="9"/>
      <c r="D3" s="10"/>
      <c r="E3" s="10"/>
      <c r="F3" s="10"/>
      <c r="G3" s="10"/>
      <c r="H3" s="10"/>
      <c r="I3" s="10"/>
      <c r="J3" s="10"/>
      <c r="K3" s="9"/>
      <c r="L3" s="9"/>
      <c r="M3" s="9"/>
      <c r="N3" s="9"/>
      <c r="O3" s="9"/>
    </row>
    <row r="4" spans="1:15">
      <c r="A4" s="5" t="s">
        <v>79</v>
      </c>
      <c r="B4" s="9"/>
      <c r="C4" s="9"/>
      <c r="D4" s="10"/>
      <c r="E4" s="10"/>
      <c r="F4" s="10"/>
      <c r="G4" s="10"/>
      <c r="H4" s="10"/>
      <c r="I4" s="10"/>
      <c r="J4" s="10"/>
      <c r="K4" s="9"/>
      <c r="L4" s="9"/>
      <c r="M4" s="9"/>
      <c r="N4" s="9"/>
      <c r="O4" s="9"/>
    </row>
    <row r="5" spans="1:15">
      <c r="A5" s="12" t="s">
        <v>80</v>
      </c>
      <c r="B5" s="13"/>
      <c r="C5" s="12"/>
      <c r="D5" s="14"/>
      <c r="E5" s="14"/>
      <c r="F5" s="14"/>
      <c r="G5" s="14"/>
      <c r="H5" s="14"/>
      <c r="I5" s="14"/>
      <c r="J5" s="14"/>
      <c r="K5" s="12"/>
      <c r="L5" s="12"/>
      <c r="M5" s="12"/>
      <c r="N5" s="12"/>
      <c r="O5" s="9"/>
    </row>
    <row r="6" spans="1:15">
      <c r="A6" s="9"/>
      <c r="B6" s="9"/>
      <c r="C6" s="9"/>
      <c r="D6" s="10"/>
      <c r="E6" s="10"/>
      <c r="F6" s="10"/>
      <c r="G6" s="10"/>
      <c r="H6" s="10"/>
      <c r="I6" s="10"/>
      <c r="J6" s="10"/>
      <c r="K6" s="9"/>
      <c r="L6" s="9"/>
      <c r="M6" s="9"/>
      <c r="N6" s="9"/>
      <c r="O6" s="9"/>
    </row>
    <row r="7" spans="1:15">
      <c r="A7" s="15"/>
      <c r="B7" s="15"/>
      <c r="C7" s="15"/>
      <c r="D7" s="16"/>
      <c r="E7" s="16"/>
      <c r="F7" s="16"/>
      <c r="G7" s="16"/>
      <c r="H7" s="16"/>
      <c r="I7" s="16"/>
      <c r="J7" s="16"/>
      <c r="K7" s="9"/>
      <c r="L7" s="35" t="s">
        <v>58</v>
      </c>
      <c r="M7" s="35"/>
      <c r="N7" s="35"/>
      <c r="O7" s="9"/>
    </row>
    <row r="8" spans="1:15">
      <c r="A8" s="35" t="s">
        <v>0</v>
      </c>
      <c r="B8" s="35"/>
      <c r="C8" s="15"/>
      <c r="D8" s="17" t="s">
        <v>1</v>
      </c>
      <c r="E8" s="18"/>
      <c r="F8" s="17" t="s">
        <v>2</v>
      </c>
      <c r="G8" s="19"/>
      <c r="H8" s="20" t="s">
        <v>3</v>
      </c>
      <c r="I8" s="19"/>
      <c r="J8" s="17" t="s">
        <v>4</v>
      </c>
      <c r="K8" s="21"/>
      <c r="L8" s="22" t="s">
        <v>63</v>
      </c>
      <c r="M8" s="22" t="s">
        <v>63</v>
      </c>
      <c r="N8" s="22" t="s">
        <v>64</v>
      </c>
      <c r="O8" s="9"/>
    </row>
    <row r="9" spans="1:15">
      <c r="A9" s="9"/>
      <c r="B9" s="9"/>
      <c r="C9" s="9"/>
      <c r="D9" s="10"/>
      <c r="E9" s="10"/>
      <c r="F9" s="10"/>
      <c r="G9" s="10"/>
      <c r="H9" s="10"/>
      <c r="I9" s="10"/>
      <c r="J9" s="10"/>
      <c r="K9" s="9"/>
      <c r="L9" s="9"/>
      <c r="M9" s="9"/>
      <c r="N9" s="9"/>
      <c r="O9" s="9"/>
    </row>
    <row r="10" spans="1:15">
      <c r="A10" s="9" t="s">
        <v>5</v>
      </c>
      <c r="B10" s="9"/>
      <c r="C10" s="9"/>
      <c r="D10" s="10">
        <v>1676419</v>
      </c>
      <c r="E10" s="10"/>
      <c r="F10" s="16" t="s">
        <v>6</v>
      </c>
      <c r="G10" s="10"/>
      <c r="H10" s="10"/>
      <c r="I10" s="10"/>
      <c r="J10" s="10"/>
      <c r="K10" s="9"/>
      <c r="L10" s="9"/>
      <c r="M10" s="9"/>
      <c r="N10" s="9"/>
      <c r="O10" s="9"/>
    </row>
    <row r="11" spans="1:15">
      <c r="A11" s="9"/>
      <c r="B11" s="9"/>
      <c r="C11" s="9"/>
      <c r="D11" s="10"/>
      <c r="E11" s="10"/>
      <c r="F11" s="10"/>
      <c r="G11" s="10"/>
      <c r="H11" s="10"/>
      <c r="I11" s="10"/>
      <c r="J11" s="10"/>
      <c r="K11" s="9"/>
      <c r="L11" s="9"/>
      <c r="M11" s="9"/>
      <c r="N11" s="9"/>
      <c r="O11" s="9"/>
    </row>
    <row r="12" spans="1:15">
      <c r="A12" s="9" t="s">
        <v>7</v>
      </c>
      <c r="B12" s="9"/>
      <c r="C12" s="9"/>
      <c r="D12" s="23">
        <v>129267169</v>
      </c>
      <c r="E12" s="23"/>
      <c r="F12" s="24" t="s">
        <v>8</v>
      </c>
      <c r="G12" s="24"/>
      <c r="H12" s="24"/>
      <c r="I12" s="24"/>
      <c r="J12" s="24"/>
      <c r="K12" s="15"/>
      <c r="L12" s="15"/>
      <c r="M12" s="15"/>
      <c r="N12" s="15"/>
      <c r="O12" s="9"/>
    </row>
    <row r="13" spans="1:15">
      <c r="A13" s="9" t="s">
        <v>9</v>
      </c>
      <c r="B13" s="9"/>
      <c r="C13" s="9"/>
      <c r="D13" s="10">
        <v>12016760</v>
      </c>
      <c r="E13" s="23"/>
      <c r="F13" s="24" t="s">
        <v>8</v>
      </c>
      <c r="G13" s="24"/>
      <c r="H13" s="24"/>
      <c r="I13" s="24"/>
      <c r="J13" s="24"/>
      <c r="K13" s="15"/>
      <c r="L13" s="15"/>
      <c r="M13" s="15"/>
      <c r="N13" s="15"/>
      <c r="O13" s="9"/>
    </row>
    <row r="14" spans="1:15">
      <c r="A14" s="9" t="s">
        <v>10</v>
      </c>
      <c r="B14" s="9"/>
      <c r="C14" s="9"/>
      <c r="D14" s="23">
        <v>0</v>
      </c>
      <c r="E14" s="23"/>
      <c r="F14" s="24" t="s">
        <v>8</v>
      </c>
      <c r="G14" s="24"/>
      <c r="H14" s="24"/>
      <c r="I14" s="24"/>
      <c r="J14" s="24"/>
      <c r="K14" s="15"/>
      <c r="L14" s="15"/>
      <c r="M14" s="15"/>
      <c r="N14" s="15"/>
      <c r="O14" s="9"/>
    </row>
    <row r="15" spans="1:15">
      <c r="A15" s="9" t="s">
        <v>11</v>
      </c>
      <c r="B15" s="9"/>
      <c r="C15" s="9"/>
      <c r="D15" s="23">
        <v>87618</v>
      </c>
      <c r="E15" s="23"/>
      <c r="F15" s="24" t="s">
        <v>8</v>
      </c>
      <c r="G15" s="24"/>
      <c r="H15" s="24"/>
      <c r="I15" s="24"/>
      <c r="J15" s="24"/>
      <c r="K15" s="15"/>
      <c r="L15" s="15"/>
      <c r="M15" s="15"/>
      <c r="N15" s="15"/>
      <c r="O15" s="9"/>
    </row>
    <row r="16" spans="1:15">
      <c r="A16" s="9" t="s">
        <v>12</v>
      </c>
      <c r="B16" s="9"/>
      <c r="C16" s="9"/>
      <c r="D16" s="23">
        <v>-891142</v>
      </c>
      <c r="E16" s="23"/>
      <c r="F16" s="24" t="s">
        <v>8</v>
      </c>
      <c r="G16" s="24"/>
      <c r="H16" s="24"/>
      <c r="I16" s="24"/>
      <c r="J16" s="24"/>
      <c r="K16" s="15"/>
      <c r="L16" s="15"/>
      <c r="M16" s="15"/>
      <c r="N16" s="15"/>
      <c r="O16" s="9"/>
    </row>
    <row r="17" spans="1:15">
      <c r="A17" s="9" t="s">
        <v>13</v>
      </c>
      <c r="B17" s="9"/>
      <c r="C17" s="9"/>
      <c r="D17" s="23">
        <v>18317748</v>
      </c>
      <c r="E17" s="23"/>
      <c r="F17" s="24" t="s">
        <v>8</v>
      </c>
      <c r="G17" s="24"/>
      <c r="H17" s="24"/>
      <c r="I17" s="24"/>
      <c r="J17" s="24"/>
      <c r="K17" s="15"/>
      <c r="L17" s="15"/>
      <c r="M17" s="15"/>
      <c r="N17" s="15"/>
      <c r="O17" s="9"/>
    </row>
    <row r="18" spans="1:15">
      <c r="A18" s="9" t="s">
        <v>14</v>
      </c>
      <c r="B18" s="9"/>
      <c r="C18" s="9"/>
      <c r="D18" s="23">
        <v>5219378</v>
      </c>
      <c r="E18" s="23"/>
      <c r="F18" s="24" t="s">
        <v>8</v>
      </c>
      <c r="G18" s="24"/>
      <c r="H18" s="24"/>
      <c r="I18" s="24"/>
      <c r="J18" s="24"/>
      <c r="K18" s="15"/>
      <c r="L18" s="15"/>
      <c r="M18" s="15"/>
      <c r="N18" s="15"/>
      <c r="O18" s="9"/>
    </row>
    <row r="19" spans="1:15">
      <c r="A19" s="9" t="s">
        <v>15</v>
      </c>
      <c r="B19" s="9"/>
      <c r="C19" s="9"/>
      <c r="D19" s="10">
        <v>14568795</v>
      </c>
      <c r="E19" s="23"/>
      <c r="F19" s="24" t="s">
        <v>8</v>
      </c>
      <c r="G19" s="24"/>
      <c r="H19" s="24"/>
      <c r="I19" s="24"/>
      <c r="J19" s="24"/>
      <c r="K19" s="15"/>
      <c r="L19" s="15"/>
      <c r="M19" s="15"/>
      <c r="N19" s="15"/>
      <c r="O19" s="9"/>
    </row>
    <row r="20" spans="1:15">
      <c r="A20" s="9"/>
      <c r="B20" s="9"/>
      <c r="C20" s="9"/>
      <c r="D20" s="10"/>
      <c r="E20" s="23"/>
      <c r="F20" s="24"/>
      <c r="G20" s="24"/>
      <c r="H20" s="24"/>
      <c r="I20" s="24"/>
      <c r="J20" s="24"/>
      <c r="K20" s="15"/>
      <c r="L20" s="15"/>
      <c r="M20" s="15"/>
      <c r="N20" s="15"/>
      <c r="O20" s="9"/>
    </row>
    <row r="21" spans="1:15">
      <c r="A21" s="9" t="s">
        <v>16</v>
      </c>
      <c r="B21" s="9"/>
      <c r="C21" s="9"/>
      <c r="D21" s="10">
        <v>15253804</v>
      </c>
      <c r="E21" s="23"/>
      <c r="F21" s="24" t="s">
        <v>17</v>
      </c>
      <c r="G21" s="24"/>
      <c r="H21" s="24" t="str">
        <f t="shared" ref="H21:H55" si="0">IF(D21&gt;=D$61,"Yes"," ")</f>
        <v>Yes</v>
      </c>
      <c r="I21" s="24"/>
      <c r="J21" s="24" t="s">
        <v>18</v>
      </c>
      <c r="K21" s="15"/>
      <c r="L21" s="15"/>
      <c r="M21" s="15" t="s">
        <v>19</v>
      </c>
      <c r="N21" s="15"/>
      <c r="O21" s="9"/>
    </row>
    <row r="22" spans="1:15">
      <c r="A22" s="9" t="s">
        <v>20</v>
      </c>
      <c r="B22" s="9"/>
      <c r="C22" s="9"/>
      <c r="D22" s="10">
        <v>3221809</v>
      </c>
      <c r="E22" s="23"/>
      <c r="F22" s="24" t="s">
        <v>17</v>
      </c>
      <c r="G22" s="24"/>
      <c r="H22" s="24" t="str">
        <f t="shared" si="0"/>
        <v>Yes</v>
      </c>
      <c r="I22" s="24"/>
      <c r="J22" s="24" t="s">
        <v>18</v>
      </c>
      <c r="K22" s="15"/>
      <c r="L22" s="15"/>
      <c r="M22" s="15" t="s">
        <v>19</v>
      </c>
      <c r="N22" s="15"/>
      <c r="O22" s="9"/>
    </row>
    <row r="23" spans="1:15">
      <c r="A23" s="9" t="s">
        <v>21</v>
      </c>
      <c r="B23" s="9"/>
      <c r="C23" s="9"/>
      <c r="D23" s="10">
        <v>2543284</v>
      </c>
      <c r="E23" s="23"/>
      <c r="F23" s="24" t="s">
        <v>17</v>
      </c>
      <c r="G23" s="24"/>
      <c r="H23" s="24" t="str">
        <f t="shared" si="0"/>
        <v>Yes</v>
      </c>
      <c r="I23" s="24"/>
      <c r="J23" s="24" t="s">
        <v>18</v>
      </c>
      <c r="K23" s="15"/>
      <c r="L23" s="15"/>
      <c r="M23" s="15" t="s">
        <v>19</v>
      </c>
      <c r="N23" s="15"/>
      <c r="O23" s="9"/>
    </row>
    <row r="24" spans="1:15">
      <c r="A24" s="9" t="s">
        <v>22</v>
      </c>
      <c r="B24" s="9"/>
      <c r="C24" s="9"/>
      <c r="D24" s="10">
        <v>106270</v>
      </c>
      <c r="E24" s="23"/>
      <c r="F24" s="24" t="s">
        <v>17</v>
      </c>
      <c r="G24" s="24"/>
      <c r="H24" s="24" t="str">
        <f t="shared" si="0"/>
        <v xml:space="preserve"> </v>
      </c>
      <c r="I24" s="24"/>
      <c r="J24" s="24" t="s">
        <v>18</v>
      </c>
      <c r="K24" s="15"/>
      <c r="L24" s="15"/>
      <c r="M24" s="15" t="s">
        <v>19</v>
      </c>
      <c r="N24" s="15"/>
      <c r="O24" s="9"/>
    </row>
    <row r="25" spans="1:15">
      <c r="A25" s="9" t="s">
        <v>23</v>
      </c>
      <c r="B25" s="9"/>
      <c r="C25" s="9"/>
      <c r="D25" s="10">
        <v>313781</v>
      </c>
      <c r="E25" s="23"/>
      <c r="F25" s="24" t="s">
        <v>17</v>
      </c>
      <c r="G25" s="24"/>
      <c r="H25" s="24" t="str">
        <f t="shared" si="0"/>
        <v xml:space="preserve"> </v>
      </c>
      <c r="I25" s="24"/>
      <c r="J25" s="24" t="s">
        <v>18</v>
      </c>
      <c r="K25" s="15"/>
      <c r="L25" s="15"/>
      <c r="M25" s="15" t="s">
        <v>19</v>
      </c>
      <c r="N25" s="15"/>
      <c r="O25" s="9"/>
    </row>
    <row r="26" spans="1:15">
      <c r="A26" s="9" t="s">
        <v>24</v>
      </c>
      <c r="B26" s="9"/>
      <c r="C26" s="9"/>
      <c r="D26" s="10">
        <v>185370</v>
      </c>
      <c r="E26" s="23"/>
      <c r="F26" s="24" t="s">
        <v>17</v>
      </c>
      <c r="G26" s="24"/>
      <c r="H26" s="24" t="str">
        <f t="shared" si="0"/>
        <v xml:space="preserve"> </v>
      </c>
      <c r="I26" s="24"/>
      <c r="J26" s="24" t="s">
        <v>18</v>
      </c>
      <c r="K26" s="15"/>
      <c r="L26" s="15"/>
      <c r="M26" s="15" t="s">
        <v>19</v>
      </c>
      <c r="N26" s="15"/>
      <c r="O26" s="9"/>
    </row>
    <row r="27" spans="1:15">
      <c r="A27" s="9" t="s">
        <v>77</v>
      </c>
      <c r="B27" s="9"/>
      <c r="C27" s="9"/>
      <c r="D27" s="10">
        <v>50000</v>
      </c>
      <c r="E27" s="23"/>
      <c r="F27" s="24" t="s">
        <v>17</v>
      </c>
      <c r="G27" s="24"/>
      <c r="H27" s="24" t="str">
        <f t="shared" si="0"/>
        <v xml:space="preserve"> </v>
      </c>
      <c r="I27" s="24"/>
      <c r="J27" s="24" t="s">
        <v>18</v>
      </c>
      <c r="K27" s="15"/>
      <c r="L27" s="15"/>
      <c r="M27" s="15" t="s">
        <v>19</v>
      </c>
      <c r="N27" s="15"/>
      <c r="O27" s="9"/>
    </row>
    <row r="28" spans="1:15">
      <c r="A28" s="9" t="s">
        <v>25</v>
      </c>
      <c r="B28" s="9"/>
      <c r="C28" s="9"/>
      <c r="D28" s="10">
        <v>6862303</v>
      </c>
      <c r="E28" s="23"/>
      <c r="F28" s="24" t="s">
        <v>17</v>
      </c>
      <c r="G28" s="24"/>
      <c r="H28" s="24" t="str">
        <f t="shared" si="0"/>
        <v>Yes</v>
      </c>
      <c r="I28" s="24"/>
      <c r="J28" s="24" t="s">
        <v>26</v>
      </c>
      <c r="K28" s="15"/>
      <c r="L28" s="15"/>
      <c r="M28" s="15"/>
      <c r="N28" s="15" t="s">
        <v>19</v>
      </c>
      <c r="O28" s="9"/>
    </row>
    <row r="29" spans="1:15">
      <c r="A29" s="9" t="s">
        <v>27</v>
      </c>
      <c r="B29" s="9"/>
      <c r="C29" s="9"/>
      <c r="D29" s="10">
        <v>0</v>
      </c>
      <c r="E29" s="23"/>
      <c r="F29" s="24" t="s">
        <v>17</v>
      </c>
      <c r="G29" s="24"/>
      <c r="H29" s="24" t="str">
        <f t="shared" si="0"/>
        <v xml:space="preserve"> </v>
      </c>
      <c r="I29" s="24"/>
      <c r="J29" s="24" t="s">
        <v>26</v>
      </c>
      <c r="K29" s="15"/>
      <c r="L29" s="15"/>
      <c r="M29" s="15"/>
      <c r="N29" s="15" t="s">
        <v>19</v>
      </c>
      <c r="O29" s="9"/>
    </row>
    <row r="30" spans="1:15">
      <c r="A30" s="9" t="s">
        <v>73</v>
      </c>
      <c r="B30" s="9"/>
      <c r="C30" s="9"/>
      <c r="D30" s="10">
        <v>6217701</v>
      </c>
      <c r="E30" s="23"/>
      <c r="F30" s="24" t="s">
        <v>17</v>
      </c>
      <c r="G30" s="24"/>
      <c r="H30" s="24" t="str">
        <f t="shared" si="0"/>
        <v>Yes</v>
      </c>
      <c r="I30" s="24"/>
      <c r="J30" s="24" t="s">
        <v>26</v>
      </c>
      <c r="K30" s="15"/>
      <c r="L30" s="15"/>
      <c r="M30" s="15"/>
      <c r="N30" s="15" t="s">
        <v>19</v>
      </c>
      <c r="O30" s="9"/>
    </row>
    <row r="31" spans="1:15">
      <c r="A31" s="9" t="s">
        <v>28</v>
      </c>
      <c r="B31" s="9"/>
      <c r="C31" s="9"/>
      <c r="D31" s="10">
        <v>10417578</v>
      </c>
      <c r="E31" s="23"/>
      <c r="F31" s="24" t="s">
        <v>17</v>
      </c>
      <c r="G31" s="24"/>
      <c r="H31" s="24" t="str">
        <f t="shared" si="0"/>
        <v>Yes</v>
      </c>
      <c r="I31" s="24"/>
      <c r="J31" s="24"/>
      <c r="K31" s="15"/>
      <c r="L31" s="15" t="s">
        <v>19</v>
      </c>
      <c r="M31" s="15"/>
      <c r="N31" s="15"/>
      <c r="O31" s="9"/>
    </row>
    <row r="32" spans="1:15">
      <c r="A32" s="9" t="s">
        <v>29</v>
      </c>
      <c r="B32" s="9"/>
      <c r="C32" s="9"/>
      <c r="D32" s="10">
        <v>7137506</v>
      </c>
      <c r="E32" s="23"/>
      <c r="F32" s="24" t="s">
        <v>17</v>
      </c>
      <c r="G32" s="24"/>
      <c r="H32" s="24" t="str">
        <f t="shared" si="0"/>
        <v>Yes</v>
      </c>
      <c r="I32" s="24"/>
      <c r="J32" s="24"/>
      <c r="K32" s="15"/>
      <c r="L32" s="15" t="s">
        <v>19</v>
      </c>
      <c r="M32" s="15"/>
      <c r="N32" s="15"/>
      <c r="O32" s="9"/>
    </row>
    <row r="33" spans="1:15">
      <c r="A33" s="9" t="s">
        <v>30</v>
      </c>
      <c r="B33" s="9"/>
      <c r="C33" s="9"/>
      <c r="D33" s="10">
        <v>0</v>
      </c>
      <c r="E33" s="23"/>
      <c r="F33" s="24" t="s">
        <v>17</v>
      </c>
      <c r="G33" s="24"/>
      <c r="H33" s="24" t="str">
        <f t="shared" si="0"/>
        <v xml:space="preserve"> </v>
      </c>
      <c r="I33" s="24"/>
      <c r="J33" s="24"/>
      <c r="K33" s="25"/>
      <c r="L33" s="15"/>
      <c r="M33" s="15"/>
      <c r="N33" s="15"/>
      <c r="O33" s="9"/>
    </row>
    <row r="34" spans="1:15">
      <c r="A34" s="9" t="s">
        <v>31</v>
      </c>
      <c r="B34" s="9"/>
      <c r="C34" s="9"/>
      <c r="D34" s="10">
        <v>1419521</v>
      </c>
      <c r="E34" s="23"/>
      <c r="F34" s="24" t="s">
        <v>17</v>
      </c>
      <c r="G34" s="24"/>
      <c r="H34" s="24" t="str">
        <f t="shared" si="0"/>
        <v xml:space="preserve"> </v>
      </c>
      <c r="I34" s="24"/>
      <c r="J34" s="24"/>
      <c r="K34" s="15"/>
      <c r="L34" s="15"/>
      <c r="M34" s="15"/>
      <c r="N34" s="15"/>
      <c r="O34" s="9"/>
    </row>
    <row r="35" spans="1:15">
      <c r="A35" s="9" t="s">
        <v>69</v>
      </c>
      <c r="B35" s="9"/>
      <c r="C35" s="9"/>
      <c r="D35" s="10">
        <v>556781</v>
      </c>
      <c r="E35" s="23"/>
      <c r="F35" s="24" t="s">
        <v>17</v>
      </c>
      <c r="G35" s="24"/>
      <c r="H35" s="24" t="str">
        <f t="shared" si="0"/>
        <v xml:space="preserve"> </v>
      </c>
      <c r="I35" s="24"/>
      <c r="J35" s="24"/>
      <c r="K35" s="15"/>
      <c r="L35" s="15"/>
      <c r="M35" s="15"/>
      <c r="N35" s="15"/>
      <c r="O35" s="9"/>
    </row>
    <row r="36" spans="1:15">
      <c r="A36" s="9" t="s">
        <v>32</v>
      </c>
      <c r="B36" s="9"/>
      <c r="C36" s="9"/>
      <c r="D36" s="10">
        <v>92827</v>
      </c>
      <c r="E36" s="23"/>
      <c r="F36" s="24" t="s">
        <v>17</v>
      </c>
      <c r="G36" s="24"/>
      <c r="H36" s="24" t="str">
        <f t="shared" si="0"/>
        <v xml:space="preserve"> </v>
      </c>
      <c r="I36" s="24"/>
      <c r="J36" s="24"/>
      <c r="K36" s="15"/>
      <c r="L36" s="15"/>
      <c r="M36" s="15"/>
      <c r="N36" s="15"/>
      <c r="O36" s="9"/>
    </row>
    <row r="37" spans="1:15">
      <c r="A37" s="9" t="s">
        <v>33</v>
      </c>
      <c r="B37" s="9"/>
      <c r="C37" s="9"/>
      <c r="D37" s="10">
        <v>1162997</v>
      </c>
      <c r="E37" s="23"/>
      <c r="F37" s="24" t="s">
        <v>17</v>
      </c>
      <c r="G37" s="24"/>
      <c r="H37" s="24" t="str">
        <f t="shared" si="0"/>
        <v xml:space="preserve"> </v>
      </c>
      <c r="I37" s="24"/>
      <c r="J37" s="24"/>
      <c r="K37" s="15"/>
      <c r="L37" s="15"/>
      <c r="M37" s="15"/>
      <c r="N37" s="15" t="s">
        <v>19</v>
      </c>
      <c r="O37" s="9"/>
    </row>
    <row r="38" spans="1:15">
      <c r="A38" s="9" t="s">
        <v>34</v>
      </c>
      <c r="B38" s="9"/>
      <c r="C38" s="9"/>
      <c r="D38" s="10">
        <v>391358</v>
      </c>
      <c r="E38" s="23"/>
      <c r="F38" s="24" t="s">
        <v>17</v>
      </c>
      <c r="G38" s="24"/>
      <c r="H38" s="24" t="str">
        <f t="shared" si="0"/>
        <v xml:space="preserve"> </v>
      </c>
      <c r="I38" s="24"/>
      <c r="J38" s="24"/>
      <c r="K38" s="15"/>
      <c r="L38" s="15"/>
      <c r="M38" s="15"/>
      <c r="N38" s="15"/>
      <c r="O38" s="9"/>
    </row>
    <row r="39" spans="1:15">
      <c r="A39" s="9" t="s">
        <v>35</v>
      </c>
      <c r="B39" s="9"/>
      <c r="C39" s="9"/>
      <c r="D39" s="10">
        <v>218525</v>
      </c>
      <c r="E39" s="23"/>
      <c r="F39" s="24" t="s">
        <v>17</v>
      </c>
      <c r="G39" s="24"/>
      <c r="H39" s="24" t="str">
        <f t="shared" si="0"/>
        <v xml:space="preserve"> </v>
      </c>
      <c r="I39" s="24"/>
      <c r="J39" s="24"/>
      <c r="K39" s="15"/>
      <c r="L39" s="15"/>
      <c r="M39" s="15"/>
      <c r="N39" s="15"/>
      <c r="O39" s="9"/>
    </row>
    <row r="40" spans="1:15">
      <c r="A40" s="9" t="s">
        <v>36</v>
      </c>
      <c r="B40" s="9"/>
      <c r="C40" s="9"/>
      <c r="D40" s="10">
        <v>231718</v>
      </c>
      <c r="E40" s="23"/>
      <c r="F40" s="24" t="s">
        <v>17</v>
      </c>
      <c r="G40" s="24"/>
      <c r="H40" s="24" t="str">
        <f t="shared" si="0"/>
        <v xml:space="preserve"> </v>
      </c>
      <c r="I40" s="24"/>
      <c r="J40" s="24"/>
      <c r="K40" s="15"/>
      <c r="L40" s="15"/>
      <c r="M40" s="15"/>
      <c r="N40" s="15"/>
      <c r="O40" s="9"/>
    </row>
    <row r="41" spans="1:15">
      <c r="A41" s="9" t="s">
        <v>37</v>
      </c>
      <c r="B41" s="9"/>
      <c r="C41" s="9"/>
      <c r="D41" s="10">
        <v>477053</v>
      </c>
      <c r="E41" s="23"/>
      <c r="F41" s="24" t="s">
        <v>17</v>
      </c>
      <c r="G41" s="24"/>
      <c r="H41" s="24" t="str">
        <f t="shared" si="0"/>
        <v xml:space="preserve"> </v>
      </c>
      <c r="I41" s="24"/>
      <c r="J41" s="24"/>
      <c r="K41" s="15"/>
      <c r="L41" s="15"/>
      <c r="M41" s="15"/>
      <c r="N41" s="15"/>
      <c r="O41" s="9"/>
    </row>
    <row r="42" spans="1:15">
      <c r="A42" s="9" t="s">
        <v>38</v>
      </c>
      <c r="B42" s="9"/>
      <c r="C42" s="9"/>
      <c r="D42" s="10">
        <v>94072</v>
      </c>
      <c r="E42" s="23"/>
      <c r="F42" s="24" t="s">
        <v>17</v>
      </c>
      <c r="G42" s="24"/>
      <c r="H42" s="24" t="str">
        <f t="shared" si="0"/>
        <v xml:space="preserve"> </v>
      </c>
      <c r="I42" s="24"/>
      <c r="J42" s="24"/>
      <c r="K42" s="15"/>
      <c r="L42" s="15"/>
      <c r="M42" s="15"/>
      <c r="N42" s="15"/>
      <c r="O42" s="9"/>
    </row>
    <row r="43" spans="1:15">
      <c r="A43" s="9" t="s">
        <v>39</v>
      </c>
      <c r="B43" s="9"/>
      <c r="C43" s="9"/>
      <c r="D43" s="10">
        <v>50792</v>
      </c>
      <c r="E43" s="23"/>
      <c r="F43" s="24" t="s">
        <v>17</v>
      </c>
      <c r="G43" s="24"/>
      <c r="H43" s="24" t="str">
        <f t="shared" si="0"/>
        <v xml:space="preserve"> </v>
      </c>
      <c r="I43" s="24"/>
      <c r="J43" s="24"/>
      <c r="K43" s="15"/>
      <c r="L43" s="15"/>
      <c r="M43" s="15"/>
      <c r="N43" s="15"/>
      <c r="O43" s="9"/>
    </row>
    <row r="44" spans="1:15">
      <c r="A44" s="9" t="s">
        <v>40</v>
      </c>
      <c r="B44" s="9"/>
      <c r="C44" s="9"/>
      <c r="D44" s="10">
        <f>36000+10800+3800</f>
        <v>50600</v>
      </c>
      <c r="E44" s="23"/>
      <c r="F44" s="24" t="s">
        <v>17</v>
      </c>
      <c r="G44" s="24"/>
      <c r="H44" s="24" t="str">
        <f t="shared" si="0"/>
        <v xml:space="preserve"> </v>
      </c>
      <c r="I44" s="24"/>
      <c r="J44" s="24"/>
      <c r="K44" s="15"/>
      <c r="L44" s="15"/>
      <c r="M44" s="15"/>
      <c r="N44" s="15"/>
      <c r="O44" s="9"/>
    </row>
    <row r="45" spans="1:15">
      <c r="A45" s="9" t="s">
        <v>67</v>
      </c>
      <c r="B45" s="9"/>
      <c r="C45" s="9"/>
      <c r="D45" s="10">
        <v>2490706</v>
      </c>
      <c r="E45" s="23"/>
      <c r="F45" s="24" t="s">
        <v>17</v>
      </c>
      <c r="G45" s="24"/>
      <c r="H45" s="24" t="str">
        <f t="shared" si="0"/>
        <v>Yes</v>
      </c>
      <c r="I45" s="24"/>
      <c r="J45" s="24"/>
      <c r="K45" s="15"/>
      <c r="L45" s="15"/>
      <c r="M45" s="15"/>
      <c r="N45" s="15" t="s">
        <v>19</v>
      </c>
      <c r="O45" s="9"/>
    </row>
    <row r="46" spans="1:15">
      <c r="A46" s="9" t="s">
        <v>41</v>
      </c>
      <c r="B46" s="9"/>
      <c r="C46" s="9"/>
      <c r="D46" s="10">
        <v>1497680</v>
      </c>
      <c r="E46" s="23"/>
      <c r="F46" s="24" t="s">
        <v>17</v>
      </c>
      <c r="G46" s="24"/>
      <c r="H46" s="24" t="str">
        <f t="shared" si="0"/>
        <v xml:space="preserve"> </v>
      </c>
      <c r="I46" s="24"/>
      <c r="J46" s="24"/>
      <c r="K46" s="15"/>
      <c r="L46" s="15"/>
      <c r="M46" s="15"/>
      <c r="N46" s="15"/>
      <c r="O46" s="9"/>
    </row>
    <row r="47" spans="1:15">
      <c r="A47" s="9" t="s">
        <v>42</v>
      </c>
      <c r="B47" s="9"/>
      <c r="C47" s="9"/>
      <c r="D47" s="10">
        <v>78868</v>
      </c>
      <c r="E47" s="23"/>
      <c r="F47" s="24" t="s">
        <v>17</v>
      </c>
      <c r="G47" s="24"/>
      <c r="H47" s="24" t="str">
        <f t="shared" si="0"/>
        <v xml:space="preserve"> </v>
      </c>
      <c r="I47" s="24"/>
      <c r="J47" s="24"/>
      <c r="K47" s="15"/>
      <c r="L47" s="15"/>
      <c r="M47" s="15"/>
      <c r="N47" s="15"/>
      <c r="O47" s="9"/>
    </row>
    <row r="48" spans="1:15">
      <c r="A48" s="9" t="s">
        <v>43</v>
      </c>
      <c r="B48" s="9"/>
      <c r="C48" s="9"/>
      <c r="D48" s="10">
        <v>300000</v>
      </c>
      <c r="E48" s="23"/>
      <c r="F48" s="24" t="s">
        <v>17</v>
      </c>
      <c r="G48" s="24"/>
      <c r="H48" s="24" t="str">
        <f t="shared" si="0"/>
        <v xml:space="preserve"> </v>
      </c>
      <c r="I48" s="24"/>
      <c r="J48" s="24"/>
      <c r="K48" s="15"/>
      <c r="L48" s="15"/>
      <c r="M48" s="15"/>
      <c r="N48" s="15"/>
      <c r="O48" s="9"/>
    </row>
    <row r="49" spans="1:15">
      <c r="A49" s="9" t="s">
        <v>44</v>
      </c>
      <c r="B49" s="9"/>
      <c r="C49" s="9"/>
      <c r="D49" s="10">
        <v>1304845</v>
      </c>
      <c r="E49" s="23"/>
      <c r="F49" s="24" t="s">
        <v>17</v>
      </c>
      <c r="G49" s="24"/>
      <c r="H49" s="24" t="str">
        <f t="shared" si="0"/>
        <v xml:space="preserve"> </v>
      </c>
      <c r="I49" s="24"/>
      <c r="J49" s="24"/>
      <c r="K49" s="15"/>
      <c r="L49" s="15"/>
      <c r="M49" s="15"/>
      <c r="N49" s="15"/>
      <c r="O49" s="9"/>
    </row>
    <row r="50" spans="1:15">
      <c r="A50" s="9" t="s">
        <v>45</v>
      </c>
      <c r="B50" s="9"/>
      <c r="C50" s="9"/>
      <c r="D50" s="10">
        <v>90000</v>
      </c>
      <c r="E50" s="23"/>
      <c r="F50" s="24" t="s">
        <v>17</v>
      </c>
      <c r="G50" s="24"/>
      <c r="H50" s="24" t="str">
        <f t="shared" si="0"/>
        <v xml:space="preserve"> </v>
      </c>
      <c r="I50" s="24"/>
      <c r="J50" s="24"/>
      <c r="K50" s="15"/>
      <c r="L50" s="15"/>
      <c r="M50" s="15"/>
      <c r="N50" s="15"/>
      <c r="O50" s="9"/>
    </row>
    <row r="51" spans="1:15">
      <c r="A51" s="9" t="s">
        <v>68</v>
      </c>
      <c r="B51" s="9"/>
      <c r="C51" s="9"/>
      <c r="D51" s="10">
        <v>1004705</v>
      </c>
      <c r="E51" s="23"/>
      <c r="F51" s="24" t="s">
        <v>17</v>
      </c>
      <c r="G51" s="24"/>
      <c r="H51" s="24" t="str">
        <f t="shared" si="0"/>
        <v xml:space="preserve"> </v>
      </c>
      <c r="I51" s="24"/>
      <c r="J51" s="24"/>
      <c r="K51" s="15"/>
      <c r="L51" s="15"/>
      <c r="M51" s="15"/>
      <c r="N51" s="15"/>
      <c r="O51" s="9"/>
    </row>
    <row r="52" spans="1:15">
      <c r="A52" s="9" t="s">
        <v>46</v>
      </c>
      <c r="B52" s="9"/>
      <c r="C52" s="9"/>
      <c r="D52" s="10">
        <v>499389</v>
      </c>
      <c r="E52" s="23"/>
      <c r="F52" s="24" t="s">
        <v>17</v>
      </c>
      <c r="G52" s="24"/>
      <c r="H52" s="24" t="str">
        <f t="shared" si="0"/>
        <v xml:space="preserve"> </v>
      </c>
      <c r="I52" s="24"/>
      <c r="J52" s="24"/>
      <c r="K52" s="15"/>
      <c r="L52" s="15"/>
      <c r="M52" s="15"/>
      <c r="N52" s="15"/>
      <c r="O52" s="9"/>
    </row>
    <row r="53" spans="1:15">
      <c r="A53" s="9" t="s">
        <v>47</v>
      </c>
      <c r="B53" s="9"/>
      <c r="C53" s="9"/>
      <c r="D53" s="10">
        <v>0</v>
      </c>
      <c r="E53" s="23"/>
      <c r="F53" s="24" t="s">
        <v>17</v>
      </c>
      <c r="G53" s="24"/>
      <c r="H53" s="24" t="str">
        <f t="shared" si="0"/>
        <v xml:space="preserve"> </v>
      </c>
      <c r="I53" s="24"/>
      <c r="J53" s="24"/>
      <c r="K53" s="15"/>
      <c r="L53" s="15"/>
      <c r="M53" s="15"/>
      <c r="N53" s="15"/>
      <c r="O53" s="9"/>
    </row>
    <row r="54" spans="1:15">
      <c r="A54" s="9" t="s">
        <v>48</v>
      </c>
      <c r="B54" s="9"/>
      <c r="C54" s="9"/>
      <c r="D54" s="10">
        <v>0</v>
      </c>
      <c r="E54" s="23"/>
      <c r="F54" s="24" t="s">
        <v>17</v>
      </c>
      <c r="G54" s="24"/>
      <c r="H54" s="24" t="str">
        <f t="shared" si="0"/>
        <v xml:space="preserve"> </v>
      </c>
      <c r="I54" s="24"/>
      <c r="J54" s="24"/>
      <c r="K54" s="15"/>
      <c r="L54" s="15"/>
      <c r="M54" s="15"/>
      <c r="N54" s="15"/>
      <c r="O54" s="9"/>
    </row>
    <row r="55" spans="1:15">
      <c r="A55" s="9" t="s">
        <v>49</v>
      </c>
      <c r="B55" s="9"/>
      <c r="C55" s="9"/>
      <c r="D55" s="14">
        <v>118350</v>
      </c>
      <c r="E55" s="10"/>
      <c r="F55" s="24" t="s">
        <v>17</v>
      </c>
      <c r="G55" s="16"/>
      <c r="H55" s="24" t="str">
        <f t="shared" si="0"/>
        <v xml:space="preserve"> </v>
      </c>
      <c r="I55" s="16"/>
      <c r="J55" s="16"/>
      <c r="K55" s="15"/>
      <c r="L55" s="22"/>
      <c r="M55" s="22"/>
      <c r="N55" s="22"/>
      <c r="O55" s="9"/>
    </row>
    <row r="56" spans="1:15" ht="21" customHeight="1">
      <c r="A56" s="26" t="s">
        <v>81</v>
      </c>
      <c r="B56" s="26"/>
      <c r="C56" s="9"/>
      <c r="D56" s="10">
        <f>SUM(D10:D55)</f>
        <v>244702938</v>
      </c>
      <c r="E56" s="10"/>
      <c r="F56" s="16"/>
      <c r="G56" s="16"/>
      <c r="H56" s="16"/>
      <c r="I56" s="16"/>
      <c r="J56" s="16"/>
      <c r="K56" s="15"/>
      <c r="L56" s="16">
        <f>SUMIF(L10:L55,"X",D10:D55)</f>
        <v>17555084</v>
      </c>
      <c r="M56" s="16">
        <f>SUMIF(M10:M55,"X",D10:E55)</f>
        <v>21674318</v>
      </c>
      <c r="N56" s="16">
        <f>SUMIF(N10:N55,"X",D10:D55)</f>
        <v>16733707</v>
      </c>
      <c r="O56" s="9"/>
    </row>
    <row r="57" spans="1:15">
      <c r="A57" s="26" t="s">
        <v>50</v>
      </c>
      <c r="B57" s="26"/>
      <c r="C57" s="9"/>
      <c r="D57" s="27">
        <f>-SUMIF(F10:F55,"S",D10:D55)</f>
        <v>-1676419</v>
      </c>
      <c r="E57" s="10"/>
      <c r="F57" s="16"/>
      <c r="G57" s="16"/>
      <c r="H57" s="16"/>
      <c r="I57" s="16"/>
      <c r="J57" s="16"/>
      <c r="K57" s="15"/>
      <c r="L57" s="16"/>
      <c r="M57" s="16"/>
      <c r="N57" s="16"/>
      <c r="O57" s="9"/>
    </row>
    <row r="58" spans="1:15">
      <c r="A58" s="26" t="s">
        <v>51</v>
      </c>
      <c r="B58" s="26"/>
      <c r="C58" s="9"/>
      <c r="D58" s="14">
        <f>-SUMIF(F10:F55,"U",D10:D55)</f>
        <v>-178586326</v>
      </c>
      <c r="E58" s="27"/>
      <c r="F58" s="28"/>
      <c r="G58" s="18"/>
      <c r="H58" s="18"/>
      <c r="I58" s="18"/>
      <c r="J58" s="18"/>
      <c r="K58" s="15"/>
      <c r="L58" s="15"/>
      <c r="M58" s="15"/>
      <c r="N58" s="15"/>
      <c r="O58" s="9"/>
    </row>
    <row r="59" spans="1:15" ht="21" customHeight="1" thickBot="1">
      <c r="A59" s="26" t="s">
        <v>52</v>
      </c>
      <c r="B59" s="26"/>
      <c r="C59" s="9"/>
      <c r="D59" s="29">
        <f>SUM(D56:D58)</f>
        <v>64440193</v>
      </c>
      <c r="E59" s="27"/>
      <c r="F59" s="27"/>
      <c r="G59" s="27"/>
      <c r="H59" s="27"/>
      <c r="I59" s="27"/>
      <c r="J59" s="27"/>
      <c r="K59" s="9"/>
      <c r="L59" s="15"/>
      <c r="M59" s="15"/>
      <c r="N59" s="15"/>
      <c r="O59" s="9"/>
    </row>
    <row r="60" spans="1:15" ht="15.75" thickTop="1">
      <c r="A60" s="9"/>
      <c r="B60" s="9"/>
      <c r="C60" s="9"/>
      <c r="D60" s="10"/>
      <c r="E60" s="10"/>
      <c r="F60" s="10"/>
      <c r="G60" s="10"/>
      <c r="H60" s="10"/>
      <c r="I60" s="10"/>
      <c r="J60" s="10"/>
      <c r="K60" s="9"/>
      <c r="L60" s="9"/>
      <c r="M60" s="9"/>
      <c r="N60" s="9"/>
      <c r="O60" s="9"/>
    </row>
    <row r="61" spans="1:15">
      <c r="A61" s="26" t="s">
        <v>53</v>
      </c>
      <c r="B61" s="26"/>
      <c r="C61" s="9"/>
      <c r="D61" s="10">
        <f>+D59*0.03</f>
        <v>1933205.79</v>
      </c>
      <c r="E61" s="10"/>
      <c r="F61" s="10"/>
      <c r="G61" s="10"/>
      <c r="H61" s="10"/>
      <c r="I61" s="10"/>
      <c r="J61" s="10"/>
      <c r="K61" s="9"/>
      <c r="L61" s="9"/>
      <c r="M61" s="9"/>
      <c r="N61" s="9"/>
      <c r="O61" s="9"/>
    </row>
    <row r="62" spans="1:15">
      <c r="A62" s="26" t="s">
        <v>62</v>
      </c>
      <c r="B62" s="26"/>
      <c r="C62" s="9"/>
      <c r="D62" s="10">
        <f>+D59*0.25</f>
        <v>16110048.25</v>
      </c>
      <c r="E62" s="10"/>
      <c r="F62" s="10"/>
      <c r="G62" s="10"/>
      <c r="H62" s="10"/>
      <c r="I62" s="10"/>
      <c r="J62" s="10"/>
      <c r="K62" s="9"/>
      <c r="L62" s="30">
        <f>+L56/D59</f>
        <v>0.27242444789077525</v>
      </c>
      <c r="M62" s="30">
        <f>+M56/D59</f>
        <v>0.33634781323513419</v>
      </c>
      <c r="N62" s="30">
        <f>+N56/D59</f>
        <v>0.25967810183312146</v>
      </c>
      <c r="O62" s="9"/>
    </row>
    <row r="63" spans="1:15">
      <c r="A63" s="12"/>
      <c r="B63" s="12"/>
      <c r="C63" s="12"/>
      <c r="D63" s="14"/>
      <c r="E63" s="14"/>
      <c r="F63" s="31"/>
      <c r="G63" s="14"/>
      <c r="H63" s="14"/>
      <c r="I63" s="14"/>
      <c r="J63" s="14"/>
      <c r="K63" s="12"/>
      <c r="L63" s="12"/>
      <c r="M63" s="12"/>
      <c r="N63" s="12"/>
      <c r="O63" s="9"/>
    </row>
    <row r="64" spans="1:15">
      <c r="A64" s="9"/>
      <c r="B64" s="9"/>
      <c r="C64" s="9"/>
      <c r="D64" s="10"/>
      <c r="E64" s="10"/>
      <c r="F64" s="10"/>
      <c r="G64" s="10"/>
      <c r="H64" s="10"/>
      <c r="I64" s="10"/>
      <c r="J64" s="10"/>
      <c r="K64" s="9"/>
      <c r="L64" s="9"/>
      <c r="M64" s="9"/>
      <c r="N64" s="9"/>
      <c r="O64" s="9"/>
    </row>
    <row r="65" spans="1:15">
      <c r="A65" s="9" t="s">
        <v>6</v>
      </c>
      <c r="B65" s="9" t="s">
        <v>78</v>
      </c>
      <c r="C65" s="9"/>
      <c r="D65" s="10"/>
      <c r="E65" s="10"/>
      <c r="F65" s="10"/>
      <c r="G65" s="10"/>
      <c r="H65" s="10"/>
      <c r="I65" s="10"/>
      <c r="J65" s="10"/>
      <c r="K65" s="9"/>
      <c r="L65" s="9"/>
      <c r="M65" s="9"/>
      <c r="N65" s="9"/>
      <c r="O65" s="9"/>
    </row>
    <row r="66" spans="1:15">
      <c r="A66" s="5" t="s">
        <v>8</v>
      </c>
      <c r="B66" s="32" t="s">
        <v>59</v>
      </c>
      <c r="C66" s="5"/>
      <c r="D66" s="10"/>
      <c r="E66" s="27"/>
      <c r="F66" s="27"/>
      <c r="G66" s="27"/>
      <c r="H66" s="27"/>
      <c r="I66" s="27"/>
      <c r="J66" s="27"/>
      <c r="K66" s="5"/>
      <c r="L66" s="9"/>
      <c r="M66" s="9"/>
      <c r="N66" s="9"/>
      <c r="O66" s="9"/>
    </row>
    <row r="67" spans="1:15">
      <c r="A67" s="5" t="s">
        <v>17</v>
      </c>
      <c r="B67" s="5" t="s">
        <v>54</v>
      </c>
      <c r="C67" s="9"/>
      <c r="D67" s="10"/>
      <c r="E67" s="10"/>
      <c r="F67" s="10"/>
      <c r="G67" s="10"/>
      <c r="H67" s="10"/>
      <c r="I67" s="10"/>
      <c r="J67" s="10"/>
      <c r="K67" s="9"/>
      <c r="L67" s="9"/>
      <c r="M67" s="9"/>
      <c r="N67" s="9"/>
      <c r="O67" s="9"/>
    </row>
    <row r="68" spans="1:15">
      <c r="A68" s="5" t="s">
        <v>55</v>
      </c>
      <c r="B68" s="9" t="s">
        <v>61</v>
      </c>
      <c r="C68" s="10"/>
      <c r="D68" s="10"/>
      <c r="E68" s="9"/>
      <c r="F68" s="9"/>
      <c r="G68" s="9"/>
      <c r="H68" s="9"/>
      <c r="I68" s="9"/>
      <c r="J68" s="9"/>
      <c r="K68" s="9"/>
      <c r="L68" s="9"/>
      <c r="M68" s="9"/>
      <c r="N68" s="9"/>
      <c r="O68" s="9"/>
    </row>
    <row r="69" spans="1:15">
      <c r="A69" s="5" t="s">
        <v>18</v>
      </c>
      <c r="B69" s="5" t="s">
        <v>56</v>
      </c>
      <c r="C69" s="10"/>
      <c r="D69" s="10"/>
      <c r="E69" s="9"/>
      <c r="F69" s="9"/>
      <c r="G69" s="9"/>
      <c r="H69" s="9"/>
      <c r="I69" s="9"/>
      <c r="J69" s="9"/>
      <c r="K69" s="9"/>
      <c r="L69" s="9"/>
      <c r="M69" s="9"/>
      <c r="N69" s="9"/>
      <c r="O69" s="9"/>
    </row>
    <row r="70" spans="1:15">
      <c r="A70" s="5" t="s">
        <v>26</v>
      </c>
      <c r="B70" s="5" t="s">
        <v>57</v>
      </c>
      <c r="C70" s="5"/>
      <c r="D70" s="10"/>
      <c r="E70" s="27"/>
      <c r="F70" s="27"/>
      <c r="G70" s="27"/>
      <c r="H70" s="27"/>
      <c r="I70" s="27"/>
      <c r="J70" s="27"/>
      <c r="K70" s="5"/>
      <c r="L70" s="9"/>
      <c r="M70" s="9"/>
      <c r="N70" s="9"/>
      <c r="O70" s="9"/>
    </row>
    <row r="71" spans="1:15">
      <c r="A71" s="5" t="s">
        <v>19</v>
      </c>
      <c r="B71" s="4" t="s">
        <v>60</v>
      </c>
    </row>
    <row r="72" spans="1:15">
      <c r="A72" s="4"/>
      <c r="B72" s="4"/>
    </row>
  </sheetData>
  <mergeCells count="2">
    <mergeCell ref="L7:N7"/>
    <mergeCell ref="A8:B8"/>
  </mergeCells>
  <pageMargins left="0.75" right="0.5" top="0.75" bottom="0.5" header="0" footer="0"/>
  <pageSetup scale="69" orientation="portrait" r:id="rId1"/>
</worksheet>
</file>

<file path=xl/worksheets/sheet3.xml><?xml version="1.0" encoding="utf-8"?>
<worksheet xmlns="http://schemas.openxmlformats.org/spreadsheetml/2006/main" xmlns:r="http://schemas.openxmlformats.org/officeDocument/2006/relationships">
  <sheetPr>
    <pageSetUpPr fitToPage="1"/>
  </sheetPr>
  <dimension ref="A1:P58"/>
  <sheetViews>
    <sheetView zoomScaleNormal="100" workbookViewId="0"/>
  </sheetViews>
  <sheetFormatPr defaultRowHeight="15"/>
  <cols>
    <col min="1" max="1" width="6.5703125" customWidth="1"/>
    <col min="2" max="2" width="38.85546875" customWidth="1"/>
    <col min="3" max="3" width="1.28515625" customWidth="1"/>
    <col min="4" max="4" width="13.140625" style="1" bestFit="1" customWidth="1"/>
    <col min="5" max="5" width="1.28515625" style="1" customWidth="1"/>
    <col min="6" max="6" width="6.7109375" style="1" bestFit="1" customWidth="1"/>
    <col min="7" max="7" width="1.28515625" style="1" customWidth="1"/>
    <col min="8" max="8" width="5.85546875" style="1" bestFit="1" customWidth="1"/>
    <col min="9" max="9" width="1.28515625" style="1" customWidth="1"/>
    <col min="10" max="10" width="8.42578125" style="1" bestFit="1" customWidth="1"/>
    <col min="11" max="11" width="1.28515625" customWidth="1"/>
    <col min="12" max="14" width="11.28515625" bestFit="1" customWidth="1"/>
  </cols>
  <sheetData>
    <row r="1" spans="1:16">
      <c r="A1" s="8" t="s">
        <v>74</v>
      </c>
      <c r="B1" s="8"/>
      <c r="C1" s="9"/>
      <c r="D1" s="10"/>
      <c r="E1" s="10"/>
      <c r="F1" s="10"/>
      <c r="G1" s="10"/>
      <c r="H1" s="10"/>
      <c r="I1" s="10"/>
      <c r="J1" s="10"/>
      <c r="K1" s="9"/>
      <c r="L1" s="9"/>
      <c r="M1" s="9"/>
      <c r="N1" s="9"/>
      <c r="O1" s="9"/>
      <c r="P1" s="9"/>
    </row>
    <row r="2" spans="1:16">
      <c r="A2" s="11" t="s">
        <v>66</v>
      </c>
      <c r="B2" s="9"/>
      <c r="C2" s="9"/>
      <c r="D2" s="10"/>
      <c r="E2" s="10"/>
      <c r="F2" s="10"/>
      <c r="G2" s="10"/>
      <c r="H2" s="10"/>
      <c r="I2" s="10"/>
      <c r="J2" s="10"/>
      <c r="K2" s="9"/>
      <c r="L2" s="9"/>
      <c r="M2" s="9"/>
      <c r="N2" s="9"/>
      <c r="O2" s="9"/>
      <c r="P2" s="9"/>
    </row>
    <row r="3" spans="1:16">
      <c r="A3" s="9" t="s">
        <v>65</v>
      </c>
      <c r="B3" s="9"/>
      <c r="C3" s="9"/>
      <c r="D3" s="10"/>
      <c r="E3" s="10"/>
      <c r="F3" s="10"/>
      <c r="G3" s="10"/>
      <c r="H3" s="10"/>
      <c r="I3" s="10"/>
      <c r="J3" s="10"/>
      <c r="K3" s="9"/>
      <c r="L3" s="9"/>
      <c r="M3" s="9"/>
      <c r="N3" s="9"/>
      <c r="O3" s="9"/>
      <c r="P3" s="9"/>
    </row>
    <row r="4" spans="1:16">
      <c r="A4" s="5" t="s">
        <v>79</v>
      </c>
      <c r="B4" s="33"/>
      <c r="C4" s="5"/>
      <c r="D4" s="27"/>
      <c r="E4" s="27"/>
      <c r="F4" s="27"/>
      <c r="G4" s="27"/>
      <c r="H4" s="27"/>
      <c r="I4" s="27"/>
      <c r="J4" s="27"/>
      <c r="K4" s="5"/>
      <c r="L4" s="5"/>
      <c r="M4" s="5"/>
      <c r="N4" s="5"/>
      <c r="O4" s="9"/>
      <c r="P4" s="9"/>
    </row>
    <row r="5" spans="1:16">
      <c r="A5" s="12" t="s">
        <v>80</v>
      </c>
      <c r="B5" s="13"/>
      <c r="C5" s="12"/>
      <c r="D5" s="14"/>
      <c r="E5" s="14"/>
      <c r="F5" s="14"/>
      <c r="G5" s="14"/>
      <c r="H5" s="14"/>
      <c r="I5" s="14"/>
      <c r="J5" s="14"/>
      <c r="K5" s="12"/>
      <c r="L5" s="12"/>
      <c r="M5" s="12"/>
      <c r="N5" s="12"/>
      <c r="O5" s="9"/>
      <c r="P5" s="9"/>
    </row>
    <row r="6" spans="1:16">
      <c r="A6" s="9"/>
      <c r="B6" s="33"/>
      <c r="C6" s="5"/>
      <c r="D6" s="27"/>
      <c r="E6" s="27"/>
      <c r="F6" s="27"/>
      <c r="G6" s="27"/>
      <c r="H6" s="27"/>
      <c r="I6" s="27"/>
      <c r="J6" s="27"/>
      <c r="K6" s="5"/>
      <c r="L6" s="5"/>
      <c r="M6" s="5"/>
      <c r="N6" s="5"/>
      <c r="O6" s="9"/>
      <c r="P6" s="9"/>
    </row>
    <row r="7" spans="1:16">
      <c r="A7" s="15"/>
      <c r="B7" s="15"/>
      <c r="C7" s="15"/>
      <c r="D7" s="16"/>
      <c r="E7" s="16"/>
      <c r="F7" s="16"/>
      <c r="G7" s="16"/>
      <c r="H7" s="16"/>
      <c r="I7" s="16"/>
      <c r="J7" s="16"/>
      <c r="K7" s="9"/>
      <c r="L7" s="35" t="s">
        <v>58</v>
      </c>
      <c r="M7" s="35"/>
      <c r="N7" s="35"/>
      <c r="O7" s="9"/>
      <c r="P7" s="9"/>
    </row>
    <row r="8" spans="1:16">
      <c r="A8" s="35" t="s">
        <v>0</v>
      </c>
      <c r="B8" s="35"/>
      <c r="C8" s="15"/>
      <c r="D8" s="17" t="s">
        <v>1</v>
      </c>
      <c r="E8" s="18"/>
      <c r="F8" s="17" t="s">
        <v>2</v>
      </c>
      <c r="G8" s="19"/>
      <c r="H8" s="20" t="s">
        <v>3</v>
      </c>
      <c r="I8" s="19"/>
      <c r="J8" s="17" t="s">
        <v>4</v>
      </c>
      <c r="K8" s="21"/>
      <c r="L8" s="22" t="s">
        <v>63</v>
      </c>
      <c r="M8" s="22" t="s">
        <v>63</v>
      </c>
      <c r="N8" s="22" t="s">
        <v>64</v>
      </c>
      <c r="O8" s="9"/>
      <c r="P8" s="9"/>
    </row>
    <row r="9" spans="1:16">
      <c r="A9" s="9"/>
      <c r="B9" s="9"/>
      <c r="C9" s="9"/>
      <c r="D9" s="10"/>
      <c r="E9" s="10"/>
      <c r="F9" s="10"/>
      <c r="G9" s="10"/>
      <c r="H9" s="10"/>
      <c r="I9" s="10"/>
      <c r="J9" s="10"/>
      <c r="K9" s="9"/>
      <c r="L9" s="9"/>
      <c r="M9" s="9"/>
      <c r="N9" s="9"/>
      <c r="O9" s="9"/>
      <c r="P9" s="9"/>
    </row>
    <row r="10" spans="1:16">
      <c r="A10" s="9" t="s">
        <v>7</v>
      </c>
      <c r="B10" s="9"/>
      <c r="C10" s="9"/>
      <c r="D10" s="23">
        <v>3804347</v>
      </c>
      <c r="E10" s="23"/>
      <c r="F10" s="24" t="s">
        <v>8</v>
      </c>
      <c r="G10" s="24"/>
      <c r="H10" s="24"/>
      <c r="I10" s="24"/>
      <c r="J10" s="24"/>
      <c r="K10" s="15"/>
      <c r="L10" s="15"/>
      <c r="M10" s="15"/>
      <c r="N10" s="15"/>
      <c r="O10" s="9"/>
      <c r="P10" s="9"/>
    </row>
    <row r="11" spans="1:16">
      <c r="A11" s="9" t="s">
        <v>9</v>
      </c>
      <c r="B11" s="9"/>
      <c r="C11" s="9"/>
      <c r="D11" s="10">
        <v>205436</v>
      </c>
      <c r="E11" s="23"/>
      <c r="F11" s="24" t="s">
        <v>8</v>
      </c>
      <c r="G11" s="24"/>
      <c r="H11" s="24"/>
      <c r="I11" s="24"/>
      <c r="J11" s="24"/>
      <c r="K11" s="15"/>
      <c r="L11" s="15"/>
      <c r="M11" s="15"/>
      <c r="N11" s="15"/>
      <c r="O11" s="9"/>
      <c r="P11" s="9"/>
    </row>
    <row r="12" spans="1:16">
      <c r="A12" s="9" t="s">
        <v>13</v>
      </c>
      <c r="B12" s="9"/>
      <c r="C12" s="9"/>
      <c r="D12" s="23">
        <v>437902</v>
      </c>
      <c r="E12" s="23"/>
      <c r="F12" s="24" t="s">
        <v>8</v>
      </c>
      <c r="G12" s="24"/>
      <c r="H12" s="24"/>
      <c r="I12" s="24"/>
      <c r="J12" s="24"/>
      <c r="K12" s="15"/>
      <c r="L12" s="15"/>
      <c r="M12" s="15"/>
      <c r="N12" s="15"/>
      <c r="O12" s="9"/>
      <c r="P12" s="9"/>
    </row>
    <row r="13" spans="1:16">
      <c r="A13" s="9" t="s">
        <v>76</v>
      </c>
      <c r="B13" s="9"/>
      <c r="C13" s="9"/>
      <c r="D13" s="10">
        <v>147700</v>
      </c>
      <c r="E13" s="23"/>
      <c r="F13" s="24" t="s">
        <v>8</v>
      </c>
      <c r="G13" s="24"/>
      <c r="H13" s="24"/>
      <c r="I13" s="24"/>
      <c r="J13" s="24"/>
      <c r="K13" s="15"/>
      <c r="L13" s="15"/>
      <c r="M13" s="15"/>
      <c r="N13" s="15"/>
      <c r="O13" s="9"/>
      <c r="P13" s="9"/>
    </row>
    <row r="14" spans="1:16">
      <c r="A14" s="9" t="s">
        <v>75</v>
      </c>
      <c r="B14" s="9"/>
      <c r="C14" s="9"/>
      <c r="D14" s="10">
        <v>2131311</v>
      </c>
      <c r="E14" s="23"/>
      <c r="F14" s="24" t="s">
        <v>8</v>
      </c>
      <c r="G14" s="24"/>
      <c r="H14" s="24"/>
      <c r="I14" s="24"/>
      <c r="J14" s="24"/>
      <c r="K14" s="15"/>
      <c r="L14" s="15"/>
      <c r="M14" s="15"/>
      <c r="N14" s="15"/>
      <c r="O14" s="9"/>
      <c r="P14" s="9"/>
    </row>
    <row r="15" spans="1:16">
      <c r="A15" s="9" t="s">
        <v>15</v>
      </c>
      <c r="B15" s="9"/>
      <c r="C15" s="9"/>
      <c r="D15" s="10">
        <v>294257</v>
      </c>
      <c r="E15" s="23"/>
      <c r="F15" s="24" t="s">
        <v>8</v>
      </c>
      <c r="G15" s="24"/>
      <c r="H15" s="24"/>
      <c r="I15" s="24"/>
      <c r="J15" s="24"/>
      <c r="K15" s="15"/>
      <c r="L15" s="15"/>
      <c r="M15" s="15"/>
      <c r="N15" s="15"/>
      <c r="O15" s="9"/>
      <c r="P15" s="9"/>
    </row>
    <row r="16" spans="1:16">
      <c r="A16" s="9"/>
      <c r="B16" s="9"/>
      <c r="C16" s="9"/>
      <c r="D16" s="10"/>
      <c r="E16" s="10"/>
      <c r="F16" s="10"/>
      <c r="G16" s="10"/>
      <c r="H16" s="10"/>
      <c r="I16" s="10"/>
      <c r="J16" s="10"/>
      <c r="K16" s="9"/>
      <c r="L16" s="9"/>
      <c r="M16" s="9"/>
      <c r="N16" s="9"/>
      <c r="O16" s="9"/>
      <c r="P16" s="9"/>
    </row>
    <row r="17" spans="1:16">
      <c r="A17" s="9" t="s">
        <v>16</v>
      </c>
      <c r="B17" s="9"/>
      <c r="C17" s="9"/>
      <c r="D17" s="10">
        <v>554055</v>
      </c>
      <c r="E17" s="23"/>
      <c r="F17" s="24" t="s">
        <v>17</v>
      </c>
      <c r="G17" s="24"/>
      <c r="H17" s="24" t="str">
        <f t="shared" ref="H17:H39" si="0">IF(D17&gt;=D$45,"Yes"," ")</f>
        <v>Yes</v>
      </c>
      <c r="I17" s="24"/>
      <c r="J17" s="24" t="s">
        <v>18</v>
      </c>
      <c r="K17" s="15"/>
      <c r="L17" s="15" t="s">
        <v>19</v>
      </c>
      <c r="M17" s="15"/>
      <c r="N17" s="15" t="s">
        <v>19</v>
      </c>
      <c r="O17" s="9"/>
      <c r="P17" s="9"/>
    </row>
    <row r="18" spans="1:16">
      <c r="A18" s="9" t="s">
        <v>20</v>
      </c>
      <c r="B18" s="9"/>
      <c r="C18" s="9"/>
      <c r="D18" s="10">
        <v>85041</v>
      </c>
      <c r="E18" s="23"/>
      <c r="F18" s="24" t="s">
        <v>17</v>
      </c>
      <c r="G18" s="24"/>
      <c r="H18" s="24" t="str">
        <f t="shared" si="0"/>
        <v>Yes</v>
      </c>
      <c r="I18" s="24"/>
      <c r="J18" s="24" t="s">
        <v>18</v>
      </c>
      <c r="K18" s="15"/>
      <c r="L18" s="15" t="s">
        <v>19</v>
      </c>
      <c r="M18" s="15"/>
      <c r="N18" s="15" t="s">
        <v>19</v>
      </c>
      <c r="O18" s="9"/>
      <c r="P18" s="9"/>
    </row>
    <row r="19" spans="1:16">
      <c r="A19" s="9" t="s">
        <v>22</v>
      </c>
      <c r="B19" s="9"/>
      <c r="C19" s="9"/>
      <c r="D19" s="10">
        <v>2159</v>
      </c>
      <c r="E19" s="23"/>
      <c r="F19" s="24" t="s">
        <v>17</v>
      </c>
      <c r="G19" s="24"/>
      <c r="H19" s="24" t="str">
        <f t="shared" si="0"/>
        <v xml:space="preserve"> </v>
      </c>
      <c r="I19" s="24"/>
      <c r="J19" s="24" t="s">
        <v>18</v>
      </c>
      <c r="K19" s="15"/>
      <c r="L19" s="15" t="s">
        <v>19</v>
      </c>
      <c r="M19" s="15"/>
      <c r="N19" s="15" t="s">
        <v>19</v>
      </c>
      <c r="O19" s="9"/>
      <c r="P19" s="9"/>
    </row>
    <row r="20" spans="1:16">
      <c r="A20" s="9" t="s">
        <v>23</v>
      </c>
      <c r="B20" s="9"/>
      <c r="C20" s="9"/>
      <c r="D20" s="10">
        <v>313781</v>
      </c>
      <c r="E20" s="23"/>
      <c r="F20" s="24" t="s">
        <v>17</v>
      </c>
      <c r="G20" s="24"/>
      <c r="H20" s="24" t="str">
        <f t="shared" si="0"/>
        <v>Yes</v>
      </c>
      <c r="I20" s="24"/>
      <c r="J20" s="24" t="s">
        <v>18</v>
      </c>
      <c r="K20" s="15"/>
      <c r="L20" s="15" t="s">
        <v>19</v>
      </c>
      <c r="M20" s="15"/>
      <c r="N20" s="15" t="s">
        <v>19</v>
      </c>
      <c r="O20" s="9"/>
      <c r="P20" s="9"/>
    </row>
    <row r="21" spans="1:16">
      <c r="A21" s="9" t="s">
        <v>24</v>
      </c>
      <c r="B21" s="9"/>
      <c r="C21" s="9"/>
      <c r="D21" s="10">
        <v>3700</v>
      </c>
      <c r="E21" s="23"/>
      <c r="F21" s="24" t="s">
        <v>17</v>
      </c>
      <c r="G21" s="24"/>
      <c r="H21" s="24" t="str">
        <f t="shared" si="0"/>
        <v xml:space="preserve"> </v>
      </c>
      <c r="I21" s="24"/>
      <c r="J21" s="24" t="s">
        <v>18</v>
      </c>
      <c r="K21" s="15"/>
      <c r="L21" s="15" t="s">
        <v>19</v>
      </c>
      <c r="M21" s="15"/>
      <c r="N21" s="15" t="s">
        <v>19</v>
      </c>
      <c r="O21" s="9"/>
      <c r="P21" s="9"/>
    </row>
    <row r="22" spans="1:16">
      <c r="A22" s="9" t="s">
        <v>77</v>
      </c>
      <c r="B22" s="9"/>
      <c r="C22" s="9"/>
      <c r="D22" s="10">
        <v>0</v>
      </c>
      <c r="E22" s="23"/>
      <c r="F22" s="24" t="s">
        <v>17</v>
      </c>
      <c r="G22" s="24"/>
      <c r="H22" s="24" t="str">
        <f t="shared" si="0"/>
        <v xml:space="preserve"> </v>
      </c>
      <c r="I22" s="24"/>
      <c r="J22" s="24" t="s">
        <v>18</v>
      </c>
      <c r="K22" s="15"/>
      <c r="L22" s="15" t="s">
        <v>19</v>
      </c>
      <c r="M22" s="15"/>
      <c r="N22" s="15" t="s">
        <v>19</v>
      </c>
      <c r="O22" s="9"/>
      <c r="P22" s="9"/>
    </row>
    <row r="23" spans="1:16">
      <c r="A23" s="9" t="s">
        <v>25</v>
      </c>
      <c r="B23" s="9"/>
      <c r="C23" s="9"/>
      <c r="D23" s="10">
        <v>30892</v>
      </c>
      <c r="E23" s="23"/>
      <c r="F23" s="24" t="s">
        <v>17</v>
      </c>
      <c r="G23" s="24"/>
      <c r="H23" s="24" t="str">
        <f t="shared" si="0"/>
        <v xml:space="preserve"> </v>
      </c>
      <c r="I23" s="24"/>
      <c r="J23" s="24" t="s">
        <v>26</v>
      </c>
      <c r="K23" s="15"/>
      <c r="L23" s="15"/>
      <c r="M23" s="15" t="s">
        <v>19</v>
      </c>
      <c r="N23" s="15"/>
      <c r="O23" s="9"/>
      <c r="P23" s="9"/>
    </row>
    <row r="24" spans="1:16">
      <c r="A24" s="9" t="s">
        <v>27</v>
      </c>
      <c r="B24" s="9"/>
      <c r="C24" s="9"/>
      <c r="D24" s="10">
        <v>10000</v>
      </c>
      <c r="E24" s="23"/>
      <c r="F24" s="24" t="s">
        <v>17</v>
      </c>
      <c r="G24" s="24"/>
      <c r="H24" s="24" t="str">
        <f t="shared" si="0"/>
        <v xml:space="preserve"> </v>
      </c>
      <c r="I24" s="24"/>
      <c r="J24" s="24" t="s">
        <v>26</v>
      </c>
      <c r="K24" s="15"/>
      <c r="L24" s="15"/>
      <c r="M24" s="15" t="s">
        <v>19</v>
      </c>
      <c r="N24" s="15"/>
      <c r="O24" s="9"/>
      <c r="P24" s="9"/>
    </row>
    <row r="25" spans="1:16">
      <c r="A25" s="9" t="s">
        <v>73</v>
      </c>
      <c r="B25" s="9"/>
      <c r="C25" s="9"/>
      <c r="D25" s="10">
        <v>26316</v>
      </c>
      <c r="E25" s="23"/>
      <c r="F25" s="24" t="s">
        <v>17</v>
      </c>
      <c r="G25" s="24"/>
      <c r="H25" s="24" t="str">
        <f t="shared" si="0"/>
        <v xml:space="preserve"> </v>
      </c>
      <c r="I25" s="24"/>
      <c r="J25" s="24" t="s">
        <v>26</v>
      </c>
      <c r="K25" s="15"/>
      <c r="L25" s="15"/>
      <c r="M25" s="15" t="s">
        <v>19</v>
      </c>
      <c r="N25" s="15"/>
      <c r="O25" s="9"/>
      <c r="P25" s="9"/>
    </row>
    <row r="26" spans="1:16">
      <c r="A26" s="9" t="s">
        <v>28</v>
      </c>
      <c r="B26" s="9"/>
      <c r="C26" s="9"/>
      <c r="D26" s="10">
        <v>220784</v>
      </c>
      <c r="E26" s="23"/>
      <c r="F26" s="24" t="s">
        <v>17</v>
      </c>
      <c r="G26" s="24"/>
      <c r="H26" s="24" t="str">
        <f t="shared" si="0"/>
        <v>Yes</v>
      </c>
      <c r="I26" s="24"/>
      <c r="J26" s="24"/>
      <c r="K26" s="15"/>
      <c r="L26" s="15"/>
      <c r="M26" s="15" t="s">
        <v>19</v>
      </c>
      <c r="N26" s="15"/>
      <c r="O26" s="9"/>
      <c r="P26" s="9"/>
    </row>
    <row r="27" spans="1:16">
      <c r="A27" s="9" t="s">
        <v>31</v>
      </c>
      <c r="B27" s="9"/>
      <c r="C27" s="9"/>
      <c r="D27" s="10">
        <v>29767</v>
      </c>
      <c r="E27" s="23"/>
      <c r="F27" s="24" t="s">
        <v>17</v>
      </c>
      <c r="G27" s="24"/>
      <c r="H27" s="24" t="str">
        <f t="shared" si="0"/>
        <v xml:space="preserve"> </v>
      </c>
      <c r="I27" s="24"/>
      <c r="J27" s="24"/>
      <c r="K27" s="15"/>
      <c r="L27" s="15"/>
      <c r="M27" s="15"/>
      <c r="N27" s="15"/>
      <c r="O27" s="9"/>
      <c r="P27" s="9"/>
    </row>
    <row r="28" spans="1:16">
      <c r="A28" s="9" t="s">
        <v>69</v>
      </c>
      <c r="B28" s="9"/>
      <c r="C28" s="9"/>
      <c r="D28" s="10">
        <v>14198</v>
      </c>
      <c r="E28" s="23"/>
      <c r="F28" s="24" t="s">
        <v>17</v>
      </c>
      <c r="G28" s="24"/>
      <c r="H28" s="24" t="str">
        <f t="shared" si="0"/>
        <v xml:space="preserve"> </v>
      </c>
      <c r="I28" s="24"/>
      <c r="J28" s="24"/>
      <c r="K28" s="15"/>
      <c r="L28" s="15"/>
      <c r="M28" s="15"/>
      <c r="N28" s="15"/>
      <c r="O28" s="9"/>
      <c r="P28" s="9"/>
    </row>
    <row r="29" spans="1:16">
      <c r="A29" s="9" t="s">
        <v>32</v>
      </c>
      <c r="B29" s="9"/>
      <c r="C29" s="9"/>
      <c r="D29" s="10">
        <v>1516</v>
      </c>
      <c r="E29" s="23"/>
      <c r="F29" s="24" t="s">
        <v>17</v>
      </c>
      <c r="G29" s="24"/>
      <c r="H29" s="24" t="str">
        <f t="shared" si="0"/>
        <v xml:space="preserve"> </v>
      </c>
      <c r="I29" s="24"/>
      <c r="J29" s="24"/>
      <c r="K29" s="15"/>
      <c r="L29" s="15"/>
      <c r="M29" s="15"/>
      <c r="N29" s="15"/>
      <c r="O29" s="9"/>
      <c r="P29" s="9"/>
    </row>
    <row r="30" spans="1:16">
      <c r="A30" s="9" t="s">
        <v>35</v>
      </c>
      <c r="B30" s="9"/>
      <c r="C30" s="9"/>
      <c r="D30" s="10">
        <v>5387</v>
      </c>
      <c r="E30" s="23"/>
      <c r="F30" s="24" t="s">
        <v>17</v>
      </c>
      <c r="G30" s="24"/>
      <c r="H30" s="24" t="str">
        <f t="shared" si="0"/>
        <v xml:space="preserve"> </v>
      </c>
      <c r="I30" s="24"/>
      <c r="J30" s="24"/>
      <c r="K30" s="15"/>
      <c r="L30" s="15"/>
      <c r="M30" s="15"/>
      <c r="N30" s="15"/>
      <c r="O30" s="9"/>
      <c r="P30" s="9"/>
    </row>
    <row r="31" spans="1:16">
      <c r="A31" s="9" t="s">
        <v>36</v>
      </c>
      <c r="B31" s="9"/>
      <c r="C31" s="9"/>
      <c r="D31" s="10">
        <v>2121</v>
      </c>
      <c r="E31" s="23"/>
      <c r="F31" s="24" t="s">
        <v>17</v>
      </c>
      <c r="G31" s="24"/>
      <c r="H31" s="24" t="str">
        <f t="shared" si="0"/>
        <v xml:space="preserve"> </v>
      </c>
      <c r="I31" s="24"/>
      <c r="J31" s="24"/>
      <c r="K31" s="15"/>
      <c r="L31" s="15"/>
      <c r="M31" s="15"/>
      <c r="N31" s="15"/>
      <c r="O31" s="9"/>
      <c r="P31" s="9"/>
    </row>
    <row r="32" spans="1:16">
      <c r="A32" s="9" t="s">
        <v>37</v>
      </c>
      <c r="B32" s="9"/>
      <c r="C32" s="9"/>
      <c r="D32" s="10">
        <v>14845</v>
      </c>
      <c r="E32" s="23"/>
      <c r="F32" s="24" t="s">
        <v>17</v>
      </c>
      <c r="G32" s="24"/>
      <c r="H32" s="24" t="str">
        <f t="shared" si="0"/>
        <v xml:space="preserve"> </v>
      </c>
      <c r="I32" s="24"/>
      <c r="J32" s="24"/>
      <c r="K32" s="15"/>
      <c r="L32" s="15"/>
      <c r="M32" s="15"/>
      <c r="N32" s="15"/>
      <c r="O32" s="9"/>
      <c r="P32" s="9"/>
    </row>
    <row r="33" spans="1:16">
      <c r="A33" s="9" t="s">
        <v>38</v>
      </c>
      <c r="B33" s="9"/>
      <c r="C33" s="9"/>
      <c r="D33" s="10">
        <v>2190</v>
      </c>
      <c r="E33" s="23"/>
      <c r="F33" s="24" t="s">
        <v>17</v>
      </c>
      <c r="G33" s="24"/>
      <c r="H33" s="24" t="str">
        <f t="shared" si="0"/>
        <v xml:space="preserve"> </v>
      </c>
      <c r="I33" s="24"/>
      <c r="J33" s="24"/>
      <c r="K33" s="15"/>
      <c r="L33" s="15"/>
      <c r="M33" s="15"/>
      <c r="N33" s="15"/>
      <c r="O33" s="9"/>
      <c r="P33" s="9"/>
    </row>
    <row r="34" spans="1:16">
      <c r="A34" s="9" t="s">
        <v>39</v>
      </c>
      <c r="B34" s="9"/>
      <c r="C34" s="9"/>
      <c r="D34" s="10">
        <v>1087</v>
      </c>
      <c r="E34" s="23"/>
      <c r="F34" s="24" t="s">
        <v>17</v>
      </c>
      <c r="G34" s="24"/>
      <c r="H34" s="24" t="str">
        <f t="shared" si="0"/>
        <v xml:space="preserve"> </v>
      </c>
      <c r="I34" s="24"/>
      <c r="J34" s="24"/>
      <c r="K34" s="15"/>
      <c r="L34" s="15"/>
      <c r="M34" s="15"/>
      <c r="N34" s="15"/>
      <c r="O34" s="9"/>
      <c r="P34" s="9"/>
    </row>
    <row r="35" spans="1:16">
      <c r="A35" s="9" t="s">
        <v>40</v>
      </c>
      <c r="B35" s="9"/>
      <c r="C35" s="9"/>
      <c r="D35" s="10">
        <v>6000</v>
      </c>
      <c r="E35" s="23"/>
      <c r="F35" s="24" t="s">
        <v>17</v>
      </c>
      <c r="G35" s="24"/>
      <c r="H35" s="24" t="str">
        <f t="shared" si="0"/>
        <v xml:space="preserve"> </v>
      </c>
      <c r="I35" s="24"/>
      <c r="J35" s="24"/>
      <c r="K35" s="15"/>
      <c r="L35" s="15"/>
      <c r="M35" s="15"/>
      <c r="N35" s="15"/>
      <c r="O35" s="9"/>
      <c r="P35" s="9"/>
    </row>
    <row r="36" spans="1:16">
      <c r="A36" s="9" t="s">
        <v>67</v>
      </c>
      <c r="B36" s="9"/>
      <c r="C36" s="9"/>
      <c r="D36" s="10">
        <v>59938</v>
      </c>
      <c r="E36" s="23"/>
      <c r="F36" s="24" t="s">
        <v>17</v>
      </c>
      <c r="G36" s="24"/>
      <c r="H36" s="24" t="str">
        <f t="shared" si="0"/>
        <v>Yes</v>
      </c>
      <c r="I36" s="24"/>
      <c r="J36" s="24"/>
      <c r="K36" s="15"/>
      <c r="L36" s="15"/>
      <c r="M36" s="15" t="s">
        <v>19</v>
      </c>
      <c r="N36" s="15"/>
      <c r="O36" s="9"/>
      <c r="P36" s="9"/>
    </row>
    <row r="37" spans="1:16">
      <c r="A37" s="9" t="s">
        <v>41</v>
      </c>
      <c r="B37" s="9"/>
      <c r="C37" s="9"/>
      <c r="D37" s="10">
        <v>67759</v>
      </c>
      <c r="E37" s="23"/>
      <c r="F37" s="24" t="s">
        <v>17</v>
      </c>
      <c r="G37" s="24"/>
      <c r="H37" s="24" t="str">
        <f t="shared" si="0"/>
        <v>Yes</v>
      </c>
      <c r="I37" s="24"/>
      <c r="J37" s="24"/>
      <c r="K37" s="15"/>
      <c r="L37" s="15"/>
      <c r="M37" s="15" t="s">
        <v>19</v>
      </c>
      <c r="N37" s="15"/>
      <c r="O37" s="9"/>
      <c r="P37" s="9"/>
    </row>
    <row r="38" spans="1:16">
      <c r="A38" s="9" t="s">
        <v>68</v>
      </c>
      <c r="B38" s="9"/>
      <c r="C38" s="9"/>
      <c r="D38" s="10">
        <v>22683</v>
      </c>
      <c r="E38" s="23"/>
      <c r="F38" s="24" t="s">
        <v>17</v>
      </c>
      <c r="G38" s="24"/>
      <c r="H38" s="24" t="str">
        <f t="shared" si="0"/>
        <v xml:space="preserve"> </v>
      </c>
      <c r="I38" s="24"/>
      <c r="J38" s="24"/>
      <c r="K38" s="15"/>
      <c r="L38" s="15"/>
      <c r="M38" s="15"/>
      <c r="N38" s="15"/>
      <c r="O38" s="9"/>
      <c r="P38" s="9"/>
    </row>
    <row r="39" spans="1:16">
      <c r="A39" s="9" t="s">
        <v>46</v>
      </c>
      <c r="B39" s="9"/>
      <c r="C39" s="9"/>
      <c r="D39" s="14">
        <v>32607</v>
      </c>
      <c r="E39" s="23"/>
      <c r="F39" s="24" t="s">
        <v>17</v>
      </c>
      <c r="G39" s="24"/>
      <c r="H39" s="24" t="str">
        <f t="shared" si="0"/>
        <v xml:space="preserve"> </v>
      </c>
      <c r="I39" s="24"/>
      <c r="J39" s="24"/>
      <c r="K39" s="15"/>
      <c r="L39" s="22"/>
      <c r="M39" s="22"/>
      <c r="N39" s="22"/>
      <c r="O39" s="9"/>
      <c r="P39" s="9"/>
    </row>
    <row r="40" spans="1:16" ht="21" customHeight="1">
      <c r="A40" s="26" t="s">
        <v>81</v>
      </c>
      <c r="B40" s="26"/>
      <c r="C40" s="9"/>
      <c r="D40" s="10">
        <f>SUM(D10:D39)</f>
        <v>8527779</v>
      </c>
      <c r="E40" s="10"/>
      <c r="F40" s="16"/>
      <c r="G40" s="16"/>
      <c r="H40" s="16"/>
      <c r="I40" s="16"/>
      <c r="J40" s="16"/>
      <c r="K40" s="15"/>
      <c r="L40" s="16">
        <f>SUMIF(L10:L39,"X",D10:D39)</f>
        <v>958736</v>
      </c>
      <c r="M40" s="16">
        <f>SUMIF(M10:M39,"X",D10:E39)</f>
        <v>415689</v>
      </c>
      <c r="N40" s="16">
        <f>SUMIF(N10:N39,"X",D10:D39)</f>
        <v>958736</v>
      </c>
      <c r="O40" s="9"/>
      <c r="P40" s="9"/>
    </row>
    <row r="41" spans="1:16">
      <c r="A41" s="26" t="s">
        <v>50</v>
      </c>
      <c r="B41" s="26"/>
      <c r="C41" s="9"/>
      <c r="D41" s="27">
        <f>-SUMIF(F10:F39,"S",D10:D39)</f>
        <v>0</v>
      </c>
      <c r="E41" s="10"/>
      <c r="F41" s="16"/>
      <c r="G41" s="16"/>
      <c r="H41" s="16"/>
      <c r="I41" s="16"/>
      <c r="J41" s="16"/>
      <c r="K41" s="15"/>
      <c r="L41" s="16"/>
      <c r="M41" s="16"/>
      <c r="N41" s="16"/>
      <c r="O41" s="9"/>
      <c r="P41" s="9"/>
    </row>
    <row r="42" spans="1:16">
      <c r="A42" s="26" t="s">
        <v>51</v>
      </c>
      <c r="B42" s="26"/>
      <c r="C42" s="9"/>
      <c r="D42" s="14">
        <f>-SUMIF(F10:F39,"U",D10:D39)</f>
        <v>-7020953</v>
      </c>
      <c r="E42" s="27"/>
      <c r="F42" s="28"/>
      <c r="G42" s="18"/>
      <c r="H42" s="18"/>
      <c r="I42" s="18"/>
      <c r="J42" s="18"/>
      <c r="K42" s="15"/>
      <c r="L42" s="15"/>
      <c r="M42" s="15"/>
      <c r="N42" s="15"/>
      <c r="O42" s="9"/>
      <c r="P42" s="9"/>
    </row>
    <row r="43" spans="1:16" ht="21" customHeight="1" thickBot="1">
      <c r="A43" s="26" t="s">
        <v>52</v>
      </c>
      <c r="B43" s="26"/>
      <c r="C43" s="9"/>
      <c r="D43" s="29">
        <f>SUM(D40:D42)</f>
        <v>1506826</v>
      </c>
      <c r="E43" s="27"/>
      <c r="F43" s="27"/>
      <c r="G43" s="27"/>
      <c r="H43" s="27"/>
      <c r="I43" s="27"/>
      <c r="J43" s="27"/>
      <c r="K43" s="9"/>
      <c r="L43" s="15"/>
      <c r="M43" s="15"/>
      <c r="N43" s="15"/>
      <c r="O43" s="9"/>
      <c r="P43" s="9"/>
    </row>
    <row r="44" spans="1:16" ht="15.75" thickTop="1">
      <c r="A44" s="9"/>
      <c r="B44" s="9"/>
      <c r="C44" s="9"/>
      <c r="D44" s="10"/>
      <c r="E44" s="10"/>
      <c r="F44" s="10"/>
      <c r="G44" s="10"/>
      <c r="H44" s="10"/>
      <c r="I44" s="10"/>
      <c r="J44" s="10"/>
      <c r="K44" s="9"/>
      <c r="L44" s="9"/>
      <c r="M44" s="9"/>
      <c r="N44" s="9"/>
      <c r="O44" s="9"/>
      <c r="P44" s="9"/>
    </row>
    <row r="45" spans="1:16">
      <c r="A45" s="26" t="s">
        <v>53</v>
      </c>
      <c r="B45" s="26"/>
      <c r="C45" s="9"/>
      <c r="D45" s="10">
        <f>+D43*0.03</f>
        <v>45204.78</v>
      </c>
      <c r="E45" s="10"/>
      <c r="F45" s="10"/>
      <c r="G45" s="10"/>
      <c r="H45" s="10"/>
      <c r="I45" s="10"/>
      <c r="J45" s="10"/>
      <c r="K45" s="9"/>
      <c r="L45" s="9"/>
      <c r="M45" s="9"/>
      <c r="N45" s="9"/>
      <c r="O45" s="9"/>
      <c r="P45" s="9"/>
    </row>
    <row r="46" spans="1:16">
      <c r="A46" s="26" t="s">
        <v>62</v>
      </c>
      <c r="B46" s="26"/>
      <c r="C46" s="9"/>
      <c r="D46" s="10">
        <f>+D43*0.25</f>
        <v>376706.5</v>
      </c>
      <c r="E46" s="10"/>
      <c r="F46" s="10"/>
      <c r="G46" s="10"/>
      <c r="H46" s="10"/>
      <c r="I46" s="10"/>
      <c r="J46" s="10"/>
      <c r="K46" s="9"/>
      <c r="L46" s="30">
        <f>+L40/D43</f>
        <v>0.6362619174343952</v>
      </c>
      <c r="M46" s="30">
        <f>+M40/D43</f>
        <v>0.27587060483426751</v>
      </c>
      <c r="N46" s="30">
        <f>+N40/D43</f>
        <v>0.6362619174343952</v>
      </c>
      <c r="O46" s="9"/>
      <c r="P46" s="9"/>
    </row>
    <row r="47" spans="1:16">
      <c r="A47" s="12"/>
      <c r="B47" s="12"/>
      <c r="C47" s="12"/>
      <c r="D47" s="14"/>
      <c r="E47" s="14"/>
      <c r="F47" s="31"/>
      <c r="G47" s="14"/>
      <c r="H47" s="14"/>
      <c r="I47" s="14"/>
      <c r="J47" s="14"/>
      <c r="K47" s="12"/>
      <c r="L47" s="12"/>
      <c r="M47" s="12"/>
      <c r="N47" s="12"/>
      <c r="O47" s="9"/>
      <c r="P47" s="9"/>
    </row>
    <row r="48" spans="1:16">
      <c r="A48" s="9"/>
      <c r="B48" s="9"/>
      <c r="C48" s="9"/>
      <c r="D48" s="10"/>
      <c r="E48" s="10"/>
      <c r="F48" s="10"/>
      <c r="G48" s="10"/>
      <c r="H48" s="10"/>
      <c r="I48" s="10"/>
      <c r="J48" s="10"/>
      <c r="K48" s="9"/>
      <c r="L48" s="9"/>
      <c r="M48" s="9"/>
      <c r="N48" s="9"/>
      <c r="O48" s="9"/>
      <c r="P48" s="9"/>
    </row>
    <row r="49" spans="1:16">
      <c r="A49" s="9" t="s">
        <v>6</v>
      </c>
      <c r="B49" s="9" t="s">
        <v>78</v>
      </c>
      <c r="C49" s="9"/>
      <c r="D49" s="10"/>
      <c r="E49" s="10"/>
      <c r="F49" s="10"/>
      <c r="G49" s="10"/>
      <c r="H49" s="10"/>
      <c r="I49" s="10"/>
      <c r="J49" s="10"/>
      <c r="K49" s="9"/>
      <c r="L49" s="9"/>
      <c r="M49" s="9"/>
      <c r="N49" s="9"/>
      <c r="O49" s="9"/>
      <c r="P49" s="9"/>
    </row>
    <row r="50" spans="1:16">
      <c r="A50" s="5" t="s">
        <v>8</v>
      </c>
      <c r="B50" s="32" t="s">
        <v>59</v>
      </c>
      <c r="C50" s="5"/>
      <c r="D50" s="10"/>
      <c r="E50" s="27"/>
      <c r="F50" s="27"/>
      <c r="G50" s="27"/>
      <c r="H50" s="27"/>
      <c r="I50" s="27"/>
      <c r="J50" s="27"/>
      <c r="K50" s="5"/>
      <c r="L50" s="9"/>
      <c r="M50" s="9"/>
      <c r="N50" s="9"/>
      <c r="O50" s="9"/>
      <c r="P50" s="9"/>
    </row>
    <row r="51" spans="1:16">
      <c r="A51" s="5" t="s">
        <v>17</v>
      </c>
      <c r="B51" s="5" t="s">
        <v>54</v>
      </c>
      <c r="C51" s="9"/>
      <c r="D51" s="10"/>
      <c r="E51" s="10"/>
      <c r="F51" s="10"/>
      <c r="G51" s="10"/>
      <c r="H51" s="10"/>
      <c r="I51" s="10"/>
      <c r="J51" s="10"/>
      <c r="K51" s="9"/>
      <c r="L51" s="9"/>
      <c r="M51" s="9"/>
      <c r="N51" s="9"/>
      <c r="O51" s="9"/>
      <c r="P51" s="9"/>
    </row>
    <row r="52" spans="1:16">
      <c r="A52" s="5" t="s">
        <v>55</v>
      </c>
      <c r="B52" s="9" t="s">
        <v>61</v>
      </c>
      <c r="C52" s="10"/>
      <c r="D52" s="10"/>
      <c r="E52" s="9"/>
      <c r="F52" s="9"/>
      <c r="G52" s="9"/>
      <c r="H52" s="9"/>
      <c r="I52" s="9"/>
      <c r="J52" s="9"/>
      <c r="K52" s="9"/>
      <c r="L52" s="9"/>
      <c r="M52" s="9"/>
      <c r="N52" s="9"/>
      <c r="O52" s="9"/>
      <c r="P52" s="9"/>
    </row>
    <row r="53" spans="1:16">
      <c r="A53" s="5" t="s">
        <v>18</v>
      </c>
      <c r="B53" s="5" t="s">
        <v>56</v>
      </c>
      <c r="C53" s="10"/>
      <c r="D53" s="10"/>
      <c r="E53" s="9"/>
      <c r="F53" s="9"/>
      <c r="G53" s="9"/>
      <c r="H53" s="9"/>
      <c r="I53" s="9"/>
      <c r="J53" s="9"/>
      <c r="K53" s="9"/>
      <c r="L53" s="9"/>
      <c r="M53" s="9"/>
      <c r="N53" s="9"/>
      <c r="O53" s="9"/>
      <c r="P53" s="9"/>
    </row>
    <row r="54" spans="1:16">
      <c r="A54" s="5" t="s">
        <v>26</v>
      </c>
      <c r="B54" s="5" t="s">
        <v>57</v>
      </c>
      <c r="C54" s="5"/>
      <c r="D54" s="10"/>
      <c r="E54" s="27"/>
      <c r="F54" s="27"/>
      <c r="G54" s="27"/>
      <c r="H54" s="27"/>
      <c r="I54" s="27"/>
      <c r="J54" s="27"/>
      <c r="K54" s="5"/>
      <c r="L54" s="9"/>
      <c r="M54" s="9"/>
      <c r="N54" s="9"/>
      <c r="O54" s="9"/>
      <c r="P54" s="9"/>
    </row>
    <row r="55" spans="1:16">
      <c r="A55" s="5" t="s">
        <v>19</v>
      </c>
      <c r="B55" s="5" t="s">
        <v>60</v>
      </c>
      <c r="C55" s="9"/>
      <c r="D55" s="10"/>
      <c r="E55" s="10"/>
      <c r="F55" s="10"/>
      <c r="G55" s="10"/>
      <c r="H55" s="10"/>
      <c r="I55" s="10"/>
      <c r="J55" s="10"/>
      <c r="K55" s="9"/>
      <c r="L55" s="9"/>
      <c r="M55" s="9"/>
      <c r="N55" s="9"/>
      <c r="O55" s="9"/>
      <c r="P55" s="9"/>
    </row>
    <row r="56" spans="1:16">
      <c r="A56" s="5"/>
      <c r="B56" s="5"/>
      <c r="C56" s="9"/>
      <c r="D56" s="10"/>
      <c r="E56" s="10"/>
      <c r="F56" s="10"/>
      <c r="G56" s="10"/>
      <c r="H56" s="10"/>
      <c r="I56" s="10"/>
      <c r="J56" s="10"/>
      <c r="K56" s="9"/>
      <c r="L56" s="9"/>
      <c r="M56" s="9"/>
      <c r="N56" s="9"/>
      <c r="O56" s="9"/>
      <c r="P56" s="9"/>
    </row>
    <row r="57" spans="1:16">
      <c r="A57" s="9"/>
      <c r="B57" s="9"/>
      <c r="C57" s="9"/>
      <c r="D57" s="10"/>
      <c r="E57" s="10"/>
      <c r="F57" s="10"/>
      <c r="G57" s="10"/>
      <c r="H57" s="10"/>
      <c r="I57" s="10"/>
      <c r="J57" s="10"/>
      <c r="K57" s="9"/>
      <c r="L57" s="9"/>
      <c r="M57" s="9"/>
      <c r="N57" s="9"/>
      <c r="O57" s="9"/>
      <c r="P57" s="9"/>
    </row>
    <row r="58" spans="1:16">
      <c r="A58" s="9"/>
      <c r="B58" s="9"/>
      <c r="C58" s="9"/>
      <c r="D58" s="10"/>
      <c r="E58" s="10"/>
      <c r="F58" s="10"/>
      <c r="G58" s="10"/>
      <c r="H58" s="10"/>
      <c r="I58" s="10"/>
      <c r="J58" s="10"/>
      <c r="K58" s="9"/>
      <c r="L58" s="9"/>
      <c r="M58" s="9"/>
      <c r="N58" s="9"/>
      <c r="O58" s="9"/>
      <c r="P58" s="9"/>
    </row>
  </sheetData>
  <mergeCells count="2">
    <mergeCell ref="L7:N7"/>
    <mergeCell ref="A8:B8"/>
  </mergeCells>
  <pageMargins left="0.75" right="0.5" top="0.75" bottom="0.5" header="0" footer="0"/>
  <pageSetup scale="7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Sample District</vt:lpstr>
      <vt:lpstr>Sample Charter</vt:lpstr>
      <vt:lpstr>'Sample Charter'!Print_Area</vt:lpstr>
      <vt:lpstr>'Sample District'!Print_Area</vt:lpstr>
    </vt:vector>
  </TitlesOfParts>
  <Company>Squire &amp; Company, PC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B Bartholomew</dc:creator>
  <cp:lastModifiedBy>Windows User</cp:lastModifiedBy>
  <cp:lastPrinted>2010-05-07T23:25:54Z</cp:lastPrinted>
  <dcterms:created xsi:type="dcterms:W3CDTF">2010-04-20T01:20:47Z</dcterms:created>
  <dcterms:modified xsi:type="dcterms:W3CDTF">2010-11-16T17:47:36Z</dcterms:modified>
</cp:coreProperties>
</file>