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Layout'!$A$1:$AG$44</definedName>
  </definedNames>
  <calcPr calcId="145621"/>
</workbook>
</file>

<file path=xl/sharedStrings.xml><?xml version="1.0" encoding="utf-8"?>
<sst xmlns="http://schemas.openxmlformats.org/spreadsheetml/2006/main" count="101" uniqueCount="101">
  <si>
    <t/>
  </si>
  <si>
    <t>ID:</t>
  </si>
  <si>
    <t>07396580</t>
  </si>
  <si>
    <t>Notes/Supplemental Information:</t>
  </si>
  <si>
    <t>Preferred C dividends were paid quarterly, and there was an additional distribution paid on the redemption
 of 4 million shares. The redemption payment included a payment of accrued dividends.</t>
  </si>
  <si>
    <t>REIT Name:</t>
  </si>
  <si>
    <t>SL Green Realty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</si>
  <si>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</si>
  <si>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</si>
  <si>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</si>
  <si>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</si>
  <si>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</si>
  <si>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</si>
  <si>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</si>
  <si>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</si>
  <si>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</si>
  <si>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</si>
  <si>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</si>
  <si>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</si>
  <si>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</si>
  <si>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</si>
  <si>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</si>
  <si>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</si>
  <si>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</si>
  <si>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</si>
  <si>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</si>
  <si>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</si>
  <si>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</si>
  <si>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</si>
  <si>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</si>
  <si>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</si>
  <si>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</si>
  <si>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</si>
  <si>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</si>
  <si>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</si>
  <si>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</si>
  <si>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</si>
  <si>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</si>
  <si>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</si>
  <si>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</si>
  <si>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</si>
  <si>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</si>
  <si>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</si>
  <si>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</si>
  <si>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</si>
  <si>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</si>
  <si>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</si>
  <si>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</si>
  <si>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</si>
  <si>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</si>
  <si>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</si>
  <si>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</si>
  <si>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</si>
  <si>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</si>
  <si>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</si>
  <si>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</si>
  <si>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</si>
  <si>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</si>
  <si>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</si>
  <si>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</si>
  <si>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</si>
  <si>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</si>
  <si>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</si>
  <si>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</si>
  <si>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</si>
  <si>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</si>
  <si>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</si>
  <si>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</si>
  <si>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</si>
  <si>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</si>
  <si>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</si>
  <si>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</si>
  <si>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</si>
  <si>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</si>
  <si>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</si>
  <si>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</si>
  <si>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</si>
  <si>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</si>
  <si>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</si>
  <si>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</si>
  <si>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</si>
  <si>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</si>
  <si>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</si>
  <si>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</si>
  <si>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</si>
  <si>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 Common</t>
  </si>
  <si>
    <t>78440X101</t>
  </si>
  <si>
    <t>SLG</t>
  </si>
  <si>
    <t xml:space="preserve">                -      </t>
  </si>
  <si>
    <t xml:space="preserve">               -      </t>
  </si>
  <si>
    <t xml:space="preserve">                  -      </t>
  </si>
  <si>
    <t xml:space="preserve">                    -      </t>
  </si>
  <si>
    <t>Preferred C</t>
  </si>
  <si>
    <t>78440X309</t>
  </si>
  <si>
    <t>SLGpC</t>
  </si>
  <si>
    <t>Preferred D</t>
  </si>
  <si>
    <t>78440X408</t>
  </si>
  <si>
    <t>SLGpD</t>
  </si>
  <si>
    <t>Preferred I</t>
  </si>
  <si>
    <t>78440X507</t>
  </si>
  <si>
    <t>SLGpI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</si>
</sst>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wrapText="1"/>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9"/>
  <sheetViews>
    <sheetView tabSelected="1" zoomScale="85" zoomScaleNormal="85" zoomScaleSheetLayoutView="85" workbookViewId="0">
      <pane ySplit="18" topLeftCell="A19" activePane="bottomLeft" state="frozen"/>
      <selection pane="bottomLeft" activeCell="G21" sqref="G21"/>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1" t="s">
        <v>4</v>
      </c>
      <c r="L2" s="92"/>
      <c r="M2" s="92"/>
      <c r="N2" s="92"/>
      <c r="O2" s="92"/>
      <c r="P2" s="92"/>
      <c r="Q2" s="93"/>
    </row>
    <row r="3">
      <c r="A3" s="4" t="s">
        <v>5</v>
      </c>
      <c r="B3" s="9" t="s">
        <v>6</v>
      </c>
      <c r="C3" s="10"/>
      <c r="D3" s="10"/>
      <c r="E3" s="10"/>
      <c r="F3" s="11"/>
      <c r="G3" s="12"/>
      <c r="H3" s="13"/>
      <c r="J3" s="13"/>
      <c r="K3" s="94"/>
      <c r="L3" s="95"/>
      <c r="M3" s="95"/>
      <c r="N3" s="95"/>
      <c r="O3" s="95"/>
      <c r="P3" s="95"/>
      <c r="Q3" s="96"/>
      <c r="R3" s="13"/>
      <c r="S3" s="13"/>
      <c r="T3" s="13"/>
      <c r="U3" s="13"/>
      <c r="V3" s="13"/>
      <c r="W3" s="13"/>
      <c r="X3" s="13"/>
      <c r="Y3" s="13"/>
      <c r="Z3" s="13"/>
      <c r="AA3" s="13"/>
      <c r="AB3" s="13"/>
      <c r="AC3" s="13"/>
      <c r="AD3" s="13"/>
    </row>
    <row r="4">
      <c r="A4" s="4" t="s">
        <v>7</v>
      </c>
      <c r="B4" s="14">
        <v>2012</v>
      </c>
      <c r="C4" s="15"/>
      <c r="D4" s="15"/>
      <c r="E4" s="15"/>
      <c r="F4" s="15"/>
      <c r="G4" s="16"/>
      <c r="K4" s="94"/>
      <c r="L4" s="95"/>
      <c r="M4" s="95"/>
      <c r="N4" s="95"/>
      <c r="O4" s="95"/>
      <c r="P4" s="95"/>
      <c r="Q4" s="96"/>
    </row>
    <row r="5">
      <c r="A5" s="13"/>
      <c r="B5" s="13"/>
      <c r="C5" s="13"/>
      <c r="D5" s="13"/>
      <c r="E5" s="13"/>
      <c r="F5" s="13"/>
      <c r="G5" s="13"/>
      <c r="H5" s="13"/>
      <c r="J5" s="13"/>
      <c r="K5" s="97"/>
      <c r="L5" s="98"/>
      <c r="M5" s="98"/>
      <c r="N5" s="98"/>
      <c r="O5" s="98"/>
      <c r="P5" s="98"/>
      <c r="Q5" s="99"/>
      <c r="R5" s="13"/>
      <c r="S5" s="13"/>
      <c r="T5" s="13"/>
      <c r="U5" s="13"/>
      <c r="V5" s="13"/>
      <c r="W5" s="13"/>
      <c r="X5" s="13"/>
      <c r="Y5" s="13"/>
      <c r="Z5" s="13"/>
      <c r="AA5" s="13"/>
      <c r="AB5" s="13"/>
      <c r="AC5" s="13"/>
      <c r="AD5" s="13"/>
    </row>
    <row r="6">
      <c r="A6" s="8" t="s">
        <v>8</v>
      </c>
      <c r="B6" s="90">
        <v>41274</v>
      </c>
      <c r="C6" s="13"/>
      <c r="D6" s="17" t="s">
        <v>9</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0" t="s">
        <v>10</v>
      </c>
      <c r="B9" s="100"/>
      <c r="C9" s="100"/>
      <c r="D9" s="100"/>
      <c r="E9" s="100"/>
      <c r="F9" s="100"/>
      <c r="G9" s="100"/>
      <c r="H9" s="100"/>
      <c r="I9" s="100"/>
      <c r="J9" s="100"/>
      <c r="K9" s="100"/>
      <c r="L9" s="100"/>
      <c r="M9" s="100"/>
      <c r="N9" s="20"/>
      <c r="O9" s="20"/>
      <c r="P9" s="20"/>
      <c r="Q9" s="13"/>
      <c r="R9" s="13"/>
      <c r="S9" s="13"/>
      <c r="T9" s="13"/>
      <c r="U9" s="13"/>
      <c r="V9" s="13"/>
      <c r="W9" s="13"/>
      <c r="X9" s="13"/>
      <c r="Y9" s="13"/>
      <c r="Z9" s="13"/>
      <c r="AA9" s="13"/>
      <c r="AB9" s="13"/>
      <c r="AC9" s="13"/>
      <c r="AD9" s="13"/>
    </row>
    <row r="10">
      <c r="A10" s="100"/>
      <c r="B10" s="100"/>
      <c r="C10" s="100"/>
      <c r="D10" s="100"/>
      <c r="E10" s="100"/>
      <c r="F10" s="100"/>
      <c r="G10" s="100"/>
      <c r="H10" s="100"/>
      <c r="I10" s="100"/>
      <c r="J10" s="100"/>
      <c r="K10" s="100"/>
      <c r="L10" s="100"/>
      <c r="M10" s="100"/>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1" t="s">
        <v>11</v>
      </c>
      <c r="B13" s="101"/>
      <c r="C13" s="101"/>
      <c r="D13" s="101"/>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02" t="s">
        <v>13</v>
      </c>
      <c r="L15" s="103"/>
      <c r="M15" s="104"/>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85</v>
      </c>
      <c r="B20" s="61" t="s">
        <v>86</v>
      </c>
      <c r="C20" s="61" t="s">
        <v>87</v>
      </c>
      <c r="D20" s="62"/>
      <c r="E20" s="62"/>
      <c r="F20" s="62"/>
      <c r="G20" s="63">
        <v>40910</v>
      </c>
      <c r="H20" s="63">
        <v>40906</v>
      </c>
      <c r="I20" s="63">
        <v>40921</v>
      </c>
      <c r="J20" s="64">
        <v>0.25</v>
      </c>
      <c r="K20" s="54" t="s">
        <v>88</v>
      </c>
      <c r="L20" s="54" t="s">
        <v>89</v>
      </c>
      <c r="M20" s="54">
        <v>0.25</v>
      </c>
      <c r="N20" s="64">
        <v>0.22414</v>
      </c>
      <c r="O20" s="65">
        <v>0.006473</v>
      </c>
      <c r="P20" s="56"/>
      <c r="Q20" s="66">
        <v>0.230612</v>
      </c>
      <c r="R20" s="64" t="s">
        <v>90</v>
      </c>
      <c r="S20" s="56"/>
      <c r="T20" s="56"/>
      <c r="U20" s="64" t="s">
        <v>91</v>
      </c>
      <c r="V20" s="64">
        <v>0.019388</v>
      </c>
      <c r="W20" s="64">
        <v>0.013693</v>
      </c>
      <c r="X20" s="56"/>
      <c r="Y20" s="64"/>
      <c r="Z20" s="64"/>
      <c r="AA20" s="56"/>
      <c r="AB20" s="64"/>
      <c r="AC20" s="64"/>
      <c r="AD20" s="56"/>
      <c r="AE20" s="56"/>
      <c r="AF20" s="67"/>
      <c r="AG20" s="38"/>
    </row>
    <row r="21">
      <c r="A21" s="60" t="s">
        <v>85</v>
      </c>
      <c r="B21" s="61" t="s">
        <v>86</v>
      </c>
      <c r="C21" s="61" t="s">
        <v>87</v>
      </c>
      <c r="D21" s="62"/>
      <c r="E21" s="62"/>
      <c r="F21" s="62"/>
      <c r="G21" s="63">
        <v>40998</v>
      </c>
      <c r="H21" s="63">
        <v>40996</v>
      </c>
      <c r="I21" s="63">
        <v>41012</v>
      </c>
      <c r="J21" s="64">
        <v>0.25</v>
      </c>
      <c r="K21" s="54" t="s">
        <v>88</v>
      </c>
      <c r="L21" s="54" t="s">
        <v>89</v>
      </c>
      <c r="M21" s="54">
        <v>0.25</v>
      </c>
      <c r="N21" s="64">
        <v>0.22414</v>
      </c>
      <c r="O21" s="65">
        <v>0.006473</v>
      </c>
      <c r="P21" s="56"/>
      <c r="Q21" s="66">
        <v>0.230612</v>
      </c>
      <c r="R21" s="64" t="s">
        <v>90</v>
      </c>
      <c r="S21" s="56"/>
      <c r="T21" s="56"/>
      <c r="U21" s="64" t="s">
        <v>91</v>
      </c>
      <c r="V21" s="64">
        <v>0.019388</v>
      </c>
      <c r="W21" s="64">
        <v>0.013693</v>
      </c>
      <c r="X21" s="56"/>
      <c r="Y21" s="64"/>
      <c r="Z21" s="64"/>
      <c r="AA21" s="56"/>
      <c r="AB21" s="64"/>
      <c r="AC21" s="64"/>
      <c r="AD21" s="56"/>
      <c r="AE21" s="56"/>
      <c r="AF21" s="67"/>
      <c r="AG21" s="38"/>
    </row>
    <row r="22">
      <c r="A22" s="60" t="s">
        <v>85</v>
      </c>
      <c r="B22" s="61" t="s">
        <v>86</v>
      </c>
      <c r="C22" s="61" t="s">
        <v>87</v>
      </c>
      <c r="D22" s="62"/>
      <c r="E22" s="62"/>
      <c r="F22" s="62"/>
      <c r="G22" s="63">
        <v>41092</v>
      </c>
      <c r="H22" s="63">
        <v>41088</v>
      </c>
      <c r="I22" s="63">
        <v>41103</v>
      </c>
      <c r="J22" s="64">
        <v>0.25</v>
      </c>
      <c r="K22" s="54" t="s">
        <v>88</v>
      </c>
      <c r="L22" s="54" t="s">
        <v>89</v>
      </c>
      <c r="M22" s="54">
        <v>0.25</v>
      </c>
      <c r="N22" s="54">
        <v>0.22414</v>
      </c>
      <c r="O22" s="68">
        <v>0.006473</v>
      </c>
      <c r="P22" s="69"/>
      <c r="Q22" s="70">
        <v>0.230612</v>
      </c>
      <c r="R22" s="54" t="s">
        <v>90</v>
      </c>
      <c r="S22" s="69"/>
      <c r="T22" s="69"/>
      <c r="U22" s="54" t="s">
        <v>91</v>
      </c>
      <c r="V22" s="54">
        <v>0.019388</v>
      </c>
      <c r="W22" s="54">
        <v>0.013693</v>
      </c>
      <c r="X22" s="69"/>
      <c r="Y22" s="54"/>
      <c r="Z22" s="54"/>
      <c r="AA22" s="69"/>
      <c r="AB22" s="54"/>
      <c r="AC22" s="54"/>
      <c r="AD22" s="69"/>
      <c r="AE22" s="69"/>
      <c r="AF22" s="71"/>
      <c r="AG22" s="38"/>
    </row>
    <row r="23">
      <c r="A23" s="72" t="s">
        <v>85</v>
      </c>
      <c r="B23" s="73" t="s">
        <v>86</v>
      </c>
      <c r="C23" s="73" t="s">
        <v>87</v>
      </c>
      <c r="D23" s="74"/>
      <c r="E23" s="74"/>
      <c r="F23" s="74"/>
      <c r="G23" s="75">
        <v>41180</v>
      </c>
      <c r="H23" s="75">
        <v>41178</v>
      </c>
      <c r="I23" s="75">
        <v>41197</v>
      </c>
      <c r="J23" s="54">
        <v>0.25</v>
      </c>
      <c r="K23" s="54" t="s">
        <v>88</v>
      </c>
      <c r="L23" s="54" t="s">
        <v>89</v>
      </c>
      <c r="M23" s="54">
        <v>0.25</v>
      </c>
      <c r="N23" s="54">
        <v>0.22414</v>
      </c>
      <c r="O23" s="68">
        <v>0.006473</v>
      </c>
      <c r="P23" s="69"/>
      <c r="Q23" s="70">
        <v>0.230612</v>
      </c>
      <c r="R23" s="54" t="s">
        <v>90</v>
      </c>
      <c r="S23" s="69"/>
      <c r="T23" s="69"/>
      <c r="U23" s="54" t="s">
        <v>91</v>
      </c>
      <c r="V23" s="54">
        <v>0.019388</v>
      </c>
      <c r="W23" s="54">
        <v>0.013693</v>
      </c>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t="s">
        <v>92</v>
      </c>
      <c r="B26" s="61" t="s">
        <v>93</v>
      </c>
      <c r="C26" s="61" t="s">
        <v>94</v>
      </c>
      <c r="D26" s="62"/>
      <c r="E26" s="62"/>
      <c r="F26" s="62"/>
      <c r="G26" s="63">
        <v>40910</v>
      </c>
      <c r="H26" s="63">
        <v>40906</v>
      </c>
      <c r="I26" s="63">
        <v>40921</v>
      </c>
      <c r="J26" s="64">
        <v>0.4766</v>
      </c>
      <c r="K26" s="54" t="s">
        <v>88</v>
      </c>
      <c r="L26" s="54" t="s">
        <v>89</v>
      </c>
      <c r="M26" s="54">
        <v>0.4766</v>
      </c>
      <c r="N26" s="64">
        <v>0.4273</v>
      </c>
      <c r="O26" s="65">
        <v>0.012339</v>
      </c>
      <c r="P26" s="56"/>
      <c r="Q26" s="66">
        <v>0.439639</v>
      </c>
      <c r="R26" s="64" t="s">
        <v>90</v>
      </c>
      <c r="S26" s="56"/>
      <c r="T26" s="56"/>
      <c r="U26" s="64" t="s">
        <v>91</v>
      </c>
      <c r="V26" s="64">
        <v>0.036961</v>
      </c>
      <c r="W26" s="64">
        <v>0.026104</v>
      </c>
      <c r="X26" s="56"/>
      <c r="Y26" s="64"/>
      <c r="Z26" s="64"/>
      <c r="AA26" s="56"/>
      <c r="AB26" s="64"/>
      <c r="AC26" s="64"/>
      <c r="AD26" s="56"/>
      <c r="AE26" s="56"/>
      <c r="AF26" s="67"/>
      <c r="AG26" s="38"/>
    </row>
    <row r="27">
      <c r="A27" s="60" t="s">
        <v>92</v>
      </c>
      <c r="B27" s="61" t="s">
        <v>93</v>
      </c>
      <c r="C27" s="61" t="s">
        <v>94</v>
      </c>
      <c r="D27" s="62"/>
      <c r="E27" s="62"/>
      <c r="F27" s="62"/>
      <c r="G27" s="63">
        <v>40998</v>
      </c>
      <c r="H27" s="63">
        <v>40996</v>
      </c>
      <c r="I27" s="63">
        <v>41012</v>
      </c>
      <c r="J27" s="64">
        <v>0.4766</v>
      </c>
      <c r="K27" s="54" t="s">
        <v>88</v>
      </c>
      <c r="L27" s="54" t="s">
        <v>89</v>
      </c>
      <c r="M27" s="54">
        <v>0.4766</v>
      </c>
      <c r="N27" s="64">
        <v>0.4273</v>
      </c>
      <c r="O27" s="65">
        <v>0.012339</v>
      </c>
      <c r="P27" s="56"/>
      <c r="Q27" s="66">
        <v>0.439639</v>
      </c>
      <c r="R27" s="64" t="s">
        <v>90</v>
      </c>
      <c r="S27" s="56"/>
      <c r="T27" s="56"/>
      <c r="U27" s="64" t="s">
        <v>91</v>
      </c>
      <c r="V27" s="64">
        <v>0.036961</v>
      </c>
      <c r="W27" s="64">
        <v>0.026104</v>
      </c>
      <c r="X27" s="56"/>
      <c r="Y27" s="64"/>
      <c r="Z27" s="64"/>
      <c r="AA27" s="56"/>
      <c r="AB27" s="64"/>
      <c r="AC27" s="64"/>
      <c r="AD27" s="56"/>
      <c r="AE27" s="56"/>
      <c r="AF27" s="67"/>
      <c r="AG27" s="38"/>
    </row>
    <row r="28" s="2" customFormat="1">
      <c r="A28" s="60" t="s">
        <v>92</v>
      </c>
      <c r="B28" s="61" t="s">
        <v>93</v>
      </c>
      <c r="C28" s="61" t="s">
        <v>94</v>
      </c>
      <c r="D28" s="62"/>
      <c r="E28" s="62"/>
      <c r="F28" s="62"/>
      <c r="G28" s="63">
        <v>41089</v>
      </c>
      <c r="H28" s="63">
        <v>41088</v>
      </c>
      <c r="I28" s="63">
        <v>41103</v>
      </c>
      <c r="J28" s="64">
        <v>0.4766</v>
      </c>
      <c r="K28" s="54" t="s">
        <v>88</v>
      </c>
      <c r="L28" s="54" t="s">
        <v>89</v>
      </c>
      <c r="M28" s="54">
        <v>0.4766</v>
      </c>
      <c r="N28" s="64">
        <v>0.4273</v>
      </c>
      <c r="O28" s="65">
        <v>0.012339</v>
      </c>
      <c r="P28" s="56"/>
      <c r="Q28" s="66">
        <v>0.439639</v>
      </c>
      <c r="R28" s="64" t="s">
        <v>90</v>
      </c>
      <c r="S28" s="56"/>
      <c r="T28" s="56"/>
      <c r="U28" s="64" t="s">
        <v>91</v>
      </c>
      <c r="V28" s="64">
        <v>0.036961</v>
      </c>
      <c r="W28" s="64">
        <v>0.026104</v>
      </c>
      <c r="X28" s="56"/>
      <c r="Y28" s="64"/>
      <c r="Z28" s="64"/>
      <c r="AA28" s="56"/>
      <c r="AB28" s="64"/>
      <c r="AC28" s="64"/>
      <c r="AD28" s="56"/>
      <c r="AE28" s="56"/>
      <c r="AF28" s="67"/>
      <c r="AG28" s="38"/>
    </row>
    <row r="29">
      <c r="A29" s="60" t="s">
        <v>92</v>
      </c>
      <c r="B29" s="61" t="s">
        <v>93</v>
      </c>
      <c r="C29" s="61" t="s">
        <v>94</v>
      </c>
      <c r="D29" s="62"/>
      <c r="E29" s="62"/>
      <c r="F29" s="62"/>
      <c r="G29" s="63">
        <v>41176</v>
      </c>
      <c r="H29" s="63">
        <v>41176</v>
      </c>
      <c r="I29" s="63">
        <v>41176</v>
      </c>
      <c r="J29" s="64">
        <v>0.3707</v>
      </c>
      <c r="K29" s="54" t="s">
        <v>88</v>
      </c>
      <c r="L29" s="54" t="s">
        <v>89</v>
      </c>
      <c r="M29" s="54">
        <v>0.3707</v>
      </c>
      <c r="N29" s="54">
        <v>0.332354</v>
      </c>
      <c r="O29" s="68">
        <v>0.009597</v>
      </c>
      <c r="P29" s="69"/>
      <c r="Q29" s="70">
        <v>0.341952</v>
      </c>
      <c r="R29" s="54"/>
      <c r="S29" s="69"/>
      <c r="T29" s="69"/>
      <c r="U29" s="54"/>
      <c r="V29" s="54">
        <v>0.028748</v>
      </c>
      <c r="W29" s="54">
        <v>0.020303</v>
      </c>
      <c r="X29" s="69"/>
      <c r="Y29" s="54"/>
      <c r="Z29" s="54"/>
      <c r="AA29" s="69"/>
      <c r="AB29" s="54"/>
      <c r="AC29" s="54"/>
      <c r="AD29" s="69"/>
      <c r="AE29" s="69"/>
      <c r="AF29" s="71"/>
      <c r="AG29" s="38"/>
    </row>
    <row r="30">
      <c r="A30" s="72" t="s">
        <v>92</v>
      </c>
      <c r="B30" s="73" t="s">
        <v>93</v>
      </c>
      <c r="C30" s="73" t="s">
        <v>94</v>
      </c>
      <c r="D30" s="74"/>
      <c r="E30" s="74"/>
      <c r="F30" s="74"/>
      <c r="G30" s="75">
        <v>41180</v>
      </c>
      <c r="H30" s="75">
        <v>41178</v>
      </c>
      <c r="I30" s="75">
        <v>41197</v>
      </c>
      <c r="J30" s="54">
        <v>0.4766</v>
      </c>
      <c r="K30" s="54" t="s">
        <v>88</v>
      </c>
      <c r="L30" s="54" t="s">
        <v>89</v>
      </c>
      <c r="M30" s="54">
        <v>0.4766</v>
      </c>
      <c r="N30" s="54">
        <v>0.4273</v>
      </c>
      <c r="O30" s="68">
        <v>0.012339</v>
      </c>
      <c r="P30" s="69"/>
      <c r="Q30" s="70">
        <v>0.439639</v>
      </c>
      <c r="R30" s="54" t="s">
        <v>90</v>
      </c>
      <c r="S30" s="69"/>
      <c r="T30" s="69"/>
      <c r="U30" s="54" t="s">
        <v>91</v>
      </c>
      <c r="V30" s="54">
        <v>0.036961</v>
      </c>
      <c r="W30" s="54">
        <v>0.026104</v>
      </c>
      <c r="X30" s="69"/>
      <c r="Y30" s="54"/>
      <c r="Z30" s="54"/>
      <c r="AA30" s="69"/>
      <c r="AB30" s="54"/>
      <c r="AC30" s="54"/>
      <c r="AD30" s="69"/>
      <c r="AE30" s="69"/>
      <c r="AF30" s="71"/>
      <c r="AG30" s="38"/>
    </row>
    <row r="31">
      <c r="A31" s="84">
        <f>IF(COUNTA(M26:M30)=0,"",IF(COUNTA(F26:F30)=0,IF(COUNTA(D26:D30)=0,"Totals - Final","Totals - Estimated"),"Totals - Corrected"))</f>
      </c>
      <c r="B31" s="87">
        <f>IF(ISNA(INDEX(B26:B30,MAX(MATCH(REPT("z",255),B26:B30)))),"",INDEX(B26:B30,MAX(MATCH(REPT("z",255),B26:B30))))</f>
      </c>
      <c r="C31" s="87">
        <f>IF(ISNA(INDEX(C26:C30,MAX(MATCH(REPT("z",255),C26:C30)))),"",INDEX(C26:C30,MAX(MATCH(REPT("z",255),C26:C30))))</f>
      </c>
      <c r="D31" s="87">
        <f>IF(ISNA(INDEX(A26:A30,MAX(MATCH(REPT("z",255),A26:A30)))),"",INDEX(A26:A30,MAX(MATCH(REPT("z",255),A26:A30))))</f>
      </c>
      <c r="E31" s="85"/>
      <c r="F31" s="85"/>
      <c r="G31" s="86"/>
      <c r="H31" s="86"/>
      <c r="I31" s="86"/>
      <c r="J31" s="76">
        <f ref="J31:J31" t="array">SUM(IF(NOT(ISBLANK($B25:$B30)),J25:J30,""))</f>
      </c>
      <c r="K31" s="76">
        <f ref="K31:K31" t="array">SUM(IF(NOT(ISBLANK($B25:$B30)),K25:K30,""))</f>
      </c>
      <c r="L31" s="76">
        <f ref="L31:L31" t="array">SUM(IF(NOT(ISBLANK($B25:$B30)),L25:L30,""))</f>
      </c>
      <c r="M31" s="76">
        <f ref="M31:M31" t="array">SUM(IF(NOT(ISBLANK($B25:$B30)),M25:M30,""))</f>
      </c>
      <c r="N31" s="76">
        <f ref="N31:N31" t="array">SUM(IF(NOT(ISBLANK($B25:$B30)),N25:N30,""))</f>
      </c>
      <c r="O31" s="76">
        <f ref="O31:O31" t="array">SUM(IF(NOT(ISBLANK($B25:$B30)),O25:O30,""))</f>
      </c>
      <c r="P31" s="77"/>
      <c r="Q31" s="76">
        <f ref="Q31:Q31" t="array">SUM(IF(NOT(ISBLANK($B25:$B30)),Q25:Q30,""))</f>
      </c>
      <c r="R31" s="76">
        <f ref="R31:R31" t="array">SUM(IF(NOT(ISBLANK($B25:$B30)),R25:R30,""))</f>
      </c>
      <c r="S31" s="77"/>
      <c r="T31" s="77"/>
      <c r="U31" s="76">
        <f ref="U31:U31" t="array">SUM(IF(NOT(ISBLANK($B25:$B30)),U25:U30,""))</f>
      </c>
      <c r="V31" s="76">
        <f ref="V31:V31" t="array">SUM(IF(NOT(ISBLANK($B25:$B30)),V25:V30,""))</f>
      </c>
      <c r="W31" s="76">
        <f ref="W31:W31" t="array">SUM(IF(NOT(ISBLANK($B25:$B30)),W25:W30,""))</f>
      </c>
      <c r="X31" s="77"/>
      <c r="Y31" s="76">
        <f ref="Y31:Y31" t="array">SUM(IF(NOT(ISBLANK($B25:$B30)),Y25:Y30,""))</f>
      </c>
      <c r="Z31" s="76">
        <f ref="Z31:Z31" t="array">SUM(IF(NOT(ISBLANK($B25:$B30)),Z25:Z30,""))</f>
      </c>
      <c r="AA31" s="77"/>
      <c r="AB31" s="76">
        <f ref="AB31:AB31" t="array">SUM(IF(NOT(ISBLANK($B25:$B30)),AB25:AB30,""))</f>
      </c>
      <c r="AC31" s="76">
        <f ref="AC31:AC31" t="array">SUM(IF(NOT(ISBLANK($B25:$B30)),AC25:AC30,""))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t="s">
        <v>95</v>
      </c>
      <c r="B33" s="61" t="s">
        <v>96</v>
      </c>
      <c r="C33" s="61" t="s">
        <v>97</v>
      </c>
      <c r="D33" s="62"/>
      <c r="E33" s="62"/>
      <c r="F33" s="62"/>
      <c r="G33" s="63">
        <v>40910</v>
      </c>
      <c r="H33" s="63">
        <v>40906</v>
      </c>
      <c r="I33" s="63">
        <v>40921</v>
      </c>
      <c r="J33" s="64">
        <v>0.4922</v>
      </c>
      <c r="K33" s="54" t="s">
        <v>88</v>
      </c>
      <c r="L33" s="54" t="s">
        <v>89</v>
      </c>
      <c r="M33" s="54">
        <v>0.4922</v>
      </c>
      <c r="N33" s="64">
        <v>0.441286</v>
      </c>
      <c r="O33" s="65">
        <v>0.012743</v>
      </c>
      <c r="P33" s="56"/>
      <c r="Q33" s="66">
        <v>0.454029</v>
      </c>
      <c r="R33" s="64" t="s">
        <v>90</v>
      </c>
      <c r="S33" s="56"/>
      <c r="T33" s="56"/>
      <c r="U33" s="64" t="s">
        <v>91</v>
      </c>
      <c r="V33" s="64">
        <v>0.038171</v>
      </c>
      <c r="W33" s="64">
        <v>0.026958</v>
      </c>
      <c r="X33" s="56"/>
      <c r="Y33" s="64"/>
      <c r="Z33" s="64"/>
      <c r="AA33" s="56"/>
      <c r="AB33" s="64"/>
      <c r="AC33" s="64"/>
      <c r="AD33" s="56"/>
      <c r="AE33" s="56"/>
      <c r="AF33" s="67"/>
      <c r="AG33" s="38"/>
    </row>
    <row r="34">
      <c r="A34" s="60" t="s">
        <v>95</v>
      </c>
      <c r="B34" s="61" t="s">
        <v>96</v>
      </c>
      <c r="C34" s="61" t="s">
        <v>97</v>
      </c>
      <c r="D34" s="62"/>
      <c r="E34" s="62"/>
      <c r="F34" s="62"/>
      <c r="G34" s="63">
        <v>40998</v>
      </c>
      <c r="H34" s="63">
        <v>40996</v>
      </c>
      <c r="I34" s="63">
        <v>41012</v>
      </c>
      <c r="J34" s="64">
        <v>0.4922</v>
      </c>
      <c r="K34" s="54" t="s">
        <v>88</v>
      </c>
      <c r="L34" s="54" t="s">
        <v>89</v>
      </c>
      <c r="M34" s="54">
        <v>0.4922</v>
      </c>
      <c r="N34" s="64">
        <v>0.441286</v>
      </c>
      <c r="O34" s="65">
        <v>0.012743</v>
      </c>
      <c r="P34" s="56"/>
      <c r="Q34" s="66">
        <v>0.454029</v>
      </c>
      <c r="R34" s="64" t="s">
        <v>90</v>
      </c>
      <c r="S34" s="56"/>
      <c r="T34" s="56"/>
      <c r="U34" s="64" t="s">
        <v>91</v>
      </c>
      <c r="V34" s="64">
        <v>0.038171</v>
      </c>
      <c r="W34" s="64">
        <v>0.026958</v>
      </c>
      <c r="X34" s="56"/>
      <c r="Y34" s="64"/>
      <c r="Z34" s="64"/>
      <c r="AA34" s="56"/>
      <c r="AB34" s="64"/>
      <c r="AC34" s="64"/>
      <c r="AD34" s="56"/>
      <c r="AE34" s="56"/>
      <c r="AF34" s="67"/>
      <c r="AG34" s="38"/>
    </row>
    <row r="35">
      <c r="A35" s="72" t="s">
        <v>95</v>
      </c>
      <c r="B35" s="73" t="s">
        <v>96</v>
      </c>
      <c r="C35" s="73" t="s">
        <v>97</v>
      </c>
      <c r="D35" s="74"/>
      <c r="E35" s="74"/>
      <c r="F35" s="74"/>
      <c r="G35" s="75">
        <v>41089</v>
      </c>
      <c r="H35" s="75">
        <v>41088</v>
      </c>
      <c r="I35" s="75">
        <v>41103</v>
      </c>
      <c r="J35" s="54">
        <v>0.4922</v>
      </c>
      <c r="K35" s="54" t="s">
        <v>88</v>
      </c>
      <c r="L35" s="54" t="s">
        <v>89</v>
      </c>
      <c r="M35" s="54">
        <v>0.4922</v>
      </c>
      <c r="N35" s="54">
        <v>0.441286</v>
      </c>
      <c r="O35" s="68">
        <v>0.012743</v>
      </c>
      <c r="P35" s="69"/>
      <c r="Q35" s="70">
        <v>0.454029</v>
      </c>
      <c r="R35" s="54" t="s">
        <v>90</v>
      </c>
      <c r="S35" s="69"/>
      <c r="T35" s="69"/>
      <c r="U35" s="54" t="s">
        <v>91</v>
      </c>
      <c r="V35" s="54">
        <v>0.038171</v>
      </c>
      <c r="W35" s="54">
        <v>0.026958</v>
      </c>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t="s">
        <v>98</v>
      </c>
      <c r="B39" s="61" t="s">
        <v>99</v>
      </c>
      <c r="C39" s="61" t="s">
        <v>100</v>
      </c>
      <c r="D39" s="62"/>
      <c r="E39" s="62"/>
      <c r="F39" s="62"/>
      <c r="G39" s="63">
        <v>41180</v>
      </c>
      <c r="H39" s="63">
        <v>41178</v>
      </c>
      <c r="I39" s="63">
        <v>41197</v>
      </c>
      <c r="J39" s="64">
        <v>0.2934</v>
      </c>
      <c r="K39" s="54" t="s">
        <v>88</v>
      </c>
      <c r="L39" s="54" t="s">
        <v>89</v>
      </c>
      <c r="M39" s="54">
        <v>0.2934</v>
      </c>
      <c r="N39" s="64">
        <v>0.26305</v>
      </c>
      <c r="O39" s="65">
        <v>0.007596</v>
      </c>
      <c r="P39" s="56"/>
      <c r="Q39" s="66">
        <v>0.270646</v>
      </c>
      <c r="R39" s="64" t="s">
        <v>90</v>
      </c>
      <c r="S39" s="56"/>
      <c r="T39" s="56"/>
      <c r="U39" s="64" t="s">
        <v>91</v>
      </c>
      <c r="V39" s="64">
        <v>0.022754</v>
      </c>
      <c r="W39" s="64">
        <v>0.01607</v>
      </c>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5:AG30 A19:AG23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5:AG30 A38:AG42 A44:AG48 A50:AG54 A56:AG60 A62:AG66 A68:AG72 A74:AG78 A80:AG84 A86:AG90 A92:AG96 A98:AG102 A104:AG108 A110:AG114 A116:AG120 A122:AG126 A128:AG132 A134:AG138 A140:AG144 A146:AG150 A152:AG156 A158:AG162 A164:AG168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5:A30 A32:A36 A38:A42 A44:A48 A50:A54 A56:A60 A62:A66 A68:A72 A74:A78 A80:A84 A86:A90 A92:A96 A98:A102 A104:A108 A110:A114 A116:A120 A122:A126 A128:A132 A134:A138 A140:A144 A146:A150 A152:A156 A158:A162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30 F164:F168 F32:F36 F38:F42 F44:F48 F50:F54 F56:F60 F62:F66 F68:F72 F74:F78 F80:F84 F86:F90 F92:F96 F98:F102 F104:F108 F110:F114 F116:F120 F122:F126 F128:F132 F134:F138 F140:F144 F146:F150 F152:F156 F158:F162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30 E164:E168 E32:E36 E38:E42 E44:E48 E50:E54 E56:E60 E62:E66 E68:E72 E74:E78 E80:E84 E86:E90 E92:E96 E98:E102 E104:E108 E110:E114 E116:E120 E122:E126 E128:E132 E134:E138 E140:E144 E146:E150 E152:E156 E158:E162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30 D164:D168 D32:D36 D38:D42 D44:D48 D50:D54 D56:D60 D62:D66 D68:D72 D74:D78 D80:D84 D86:D90 D92:D96 D98:D102 D104:D108 D110:D114 D116:D120 D122:D126 D128:D132 D134:D138 D140:D144 D146:D150 D152:D156 D158:D162 D19:D23">
      <formula1>MID(D$18,2,1)</formula1>
    </dataValidation>
  </dataValidations>
  <pageMargins left="0.7" right="0.7" top="0.75" bottom="0.75" header="0.3" footer="0.3"/>
  <pageSetup paperSize="256" scale="3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Lerner, Jacob</cp:lastModifiedBy>
  <cp:lastPrinted>2013-01-18T16:52:19Z</cp:lastPrinted>
  <dcterms:created xsi:type="dcterms:W3CDTF">2012-11-27T14:14:45Z</dcterms:created>
  <dcterms:modified xsi:type="dcterms:W3CDTF">2013-01-18T19:02:19Z</dcterms:modified>
</cp:coreProperties>
</file>