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0" yWindow="0" windowWidth="38400" windowHeight="210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M6" i="1" l="1"/>
  <c r="CO55" i="1"/>
  <c r="AC157" i="1"/>
  <c r="AC89" i="1"/>
  <c r="BI89" i="1"/>
  <c r="CO89" i="1"/>
  <c r="DS18" i="1"/>
  <c r="CY24" i="1"/>
  <c r="CQ24" i="1"/>
  <c r="CQ21" i="1"/>
  <c r="CQ18" i="1"/>
  <c r="CI24" i="1"/>
  <c r="CI21" i="1"/>
  <c r="CI18" i="1"/>
  <c r="DU157" i="1"/>
  <c r="CO157" i="1"/>
  <c r="BI157" i="1"/>
  <c r="DU123" i="1"/>
  <c r="CO123" i="1"/>
  <c r="BI123" i="1"/>
  <c r="AC123" i="1"/>
  <c r="DU89" i="1"/>
  <c r="DU55" i="1"/>
  <c r="BI55" i="1"/>
  <c r="AC55" i="1"/>
  <c r="CU131" i="1"/>
  <c r="BO131" i="1"/>
  <c r="AI131" i="1"/>
  <c r="C131" i="1"/>
  <c r="CU97" i="1"/>
  <c r="BO97" i="1"/>
  <c r="AI97" i="1"/>
  <c r="C97" i="1"/>
  <c r="CU63" i="1"/>
  <c r="BO63" i="1"/>
  <c r="AI63" i="1"/>
  <c r="C63" i="1"/>
  <c r="CU29" i="1"/>
  <c r="BO29" i="1"/>
  <c r="AI29" i="1"/>
  <c r="C29" i="1"/>
</calcChain>
</file>

<file path=xl/sharedStrings.xml><?xml version="1.0" encoding="utf-8"?>
<sst xmlns="http://schemas.openxmlformats.org/spreadsheetml/2006/main" count="144" uniqueCount="39">
  <si>
    <t>Children's Studies Advising Planner</t>
  </si>
  <si>
    <t>Name:</t>
  </si>
  <si>
    <t>SID:</t>
  </si>
  <si>
    <t>Date:</t>
  </si>
  <si>
    <t>GECRs</t>
  </si>
  <si>
    <t>H- Humanites (15):</t>
  </si>
  <si>
    <t>FL- Foreign Language:</t>
  </si>
  <si>
    <t>M- Math:</t>
  </si>
  <si>
    <t>E- English:</t>
  </si>
  <si>
    <t>C- CPLA:</t>
  </si>
  <si>
    <t>Credits Needed Checklist (Leave blank if N/A):</t>
  </si>
  <si>
    <t>Start Year:</t>
  </si>
  <si>
    <t>Credits Taken:</t>
  </si>
  <si>
    <t>SS</t>
  </si>
  <si>
    <t>H</t>
  </si>
  <si>
    <t>NS</t>
  </si>
  <si>
    <t>M</t>
  </si>
  <si>
    <t>FL</t>
  </si>
  <si>
    <t>E</t>
  </si>
  <si>
    <t>C</t>
  </si>
  <si>
    <t>Advising Plan Summary (Credits Remaining- should be &lt;0):</t>
  </si>
  <si>
    <t>Major:</t>
  </si>
  <si>
    <t>Credits Remaining for BA:</t>
  </si>
  <si>
    <t>Prepared by:</t>
  </si>
  <si>
    <t>SS:</t>
  </si>
  <si>
    <t>H:</t>
  </si>
  <si>
    <t>NS:</t>
  </si>
  <si>
    <t>FL:</t>
  </si>
  <si>
    <t>E:</t>
  </si>
  <si>
    <t>M:</t>
  </si>
  <si>
    <t>C:</t>
  </si>
  <si>
    <t>Notes</t>
  </si>
  <si>
    <t>Legend:</t>
  </si>
  <si>
    <t>*Required Course for Major</t>
  </si>
  <si>
    <t>**Required for Minor</t>
  </si>
  <si>
    <t>(el) Suggested Elective</t>
  </si>
  <si>
    <t>Note: This is a preliminary plan subject to change as not all courses may be available in the listed quarters</t>
  </si>
  <si>
    <t>SS- Social Sciences (15):</t>
  </si>
  <si>
    <t>NS- Natural Sciences (10):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</si>
</sst>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theme="1"/>
      <name val="Times New Roman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0"/>
      <color rgb="FF000000"/>
      <name val="Times New Roman"/>
    </font>
    <font>
      <sz val="8"/>
      <color theme="1"/>
      <name val="Times New Roman"/>
    </font>
    <font>
      <sz val="8"/>
      <color rgb="FF000000"/>
      <name val="Times New Roman"/>
    </font>
    <font>
      <b/>
      <sz val="15"/>
      <color theme="5"/>
      <name val="Calibri"/>
      <scheme val="minor"/>
    </font>
    <font>
      <b/>
      <sz val="13"/>
      <color theme="9"/>
      <name val="Calibri"/>
      <scheme val="minor"/>
    </font>
    <font>
      <i/>
      <sz val="8"/>
      <color theme="1"/>
      <name val="Times New Roman"/>
    </font>
    <font>
      <sz val="8"/>
      <color theme="9"/>
      <name val="Times New Roman"/>
    </font>
    <font>
      <b/>
      <sz val="8"/>
      <color theme="1"/>
      <name val="Times New Roman"/>
    </font>
    <font>
      <b/>
      <sz val="9"/>
      <color rgb="FF000000"/>
      <name val="Times New Roman"/>
    </font>
    <font>
      <sz val="16"/>
      <color theme="5"/>
      <name val="Arial"/>
    </font>
    <font>
      <sz val="13"/>
      <color theme="9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</borders>
  <cellStyleXfs count="111">
    <xf numFmtId="0" fontId="0" fillId="0" borderId="0"/>
    <xf numFmtId="0" fontId="8" fillId="0" borderId="1" applyNumberFormat="0" applyFill="0" applyAlignment="0" applyProtection="0"/>
    <xf numFmtId="0" fontId="9" fillId="0" borderId="8" applyNumberFormat="0" applyFill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6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2" applyBorder="1" applyAlignment="1">
      <alignment vertical="center"/>
    </xf>
    <xf numFmtId="0" fontId="0" fillId="0" borderId="0" xfId="0" applyBorder="1"/>
    <xf numFmtId="0" fontId="6" fillId="2" borderId="0" xfId="0" applyFont="1" applyFill="1" applyAlignment="1">
      <alignment horizontal="center" vertical="center"/>
    </xf>
    <xf numFmtId="0" fontId="9" fillId="2" borderId="0" xfId="2" applyFill="1" applyBorder="1" applyAlignment="1">
      <alignment vertical="center"/>
    </xf>
    <xf numFmtId="0" fontId="0" fillId="2" borderId="0" xfId="0" applyFill="1" applyBorder="1"/>
    <xf numFmtId="0" fontId="6" fillId="2" borderId="0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vertical="center"/>
    </xf>
    <xf numFmtId="0" fontId="7" fillId="2" borderId="8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0" borderId="0" xfId="0" applyFont="1" applyBorder="1" applyAlignment="1" applyProtection="1">
      <alignment horizontal="center" vertical="center"/>
      <protection locked="0"/>
    </xf>
    <xf numFmtId="0" fontId="6" fillId="2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9" fontId="6" fillId="0" borderId="0" xfId="0" applyNumberFormat="1" applyFont="1" applyAlignment="1" applyProtection="1">
      <alignment horizontal="center" vertical="center"/>
      <protection locked="0"/>
    </xf>
    <xf numFmtId="0" fontId="13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7" fillId="0" borderId="0" xfId="0" applyFont="1" applyBorder="1" applyAlignment="1" applyProtection="1">
      <alignment horizontal="center" vertical="center"/>
      <protection locked="0"/>
    </xf>
    <xf numFmtId="0" fontId="5" fillId="3" borderId="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4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1" fillId="0" borderId="2" xfId="0" applyFont="1" applyBorder="1" applyAlignment="1" applyProtection="1">
      <alignment horizontal="left" vertical="top" wrapText="1"/>
      <protection locked="0"/>
    </xf>
    <xf numFmtId="0" fontId="11" fillId="0" borderId="3" xfId="0" applyFont="1" applyBorder="1" applyAlignment="1" applyProtection="1">
      <alignment horizontal="left" vertical="top" wrapText="1"/>
      <protection locked="0"/>
    </xf>
    <xf numFmtId="0" fontId="11" fillId="0" borderId="4" xfId="0" applyFont="1" applyBorder="1" applyAlignment="1" applyProtection="1">
      <alignment horizontal="left" vertical="top" wrapText="1"/>
      <protection locked="0"/>
    </xf>
    <xf numFmtId="0" fontId="11" fillId="0" borderId="5" xfId="0" applyFont="1" applyBorder="1" applyAlignment="1" applyProtection="1">
      <alignment horizontal="left" vertical="top" wrapText="1"/>
      <protection locked="0"/>
    </xf>
    <xf numFmtId="0" fontId="11" fillId="0" borderId="0" xfId="0" applyFont="1" applyBorder="1" applyAlignment="1" applyProtection="1">
      <alignment horizontal="left" vertical="top" wrapText="1"/>
      <protection locked="0"/>
    </xf>
    <xf numFmtId="0" fontId="11" fillId="0" borderId="6" xfId="0" applyFont="1" applyBorder="1" applyAlignment="1" applyProtection="1">
      <alignment horizontal="left" vertical="top" wrapText="1"/>
      <protection locked="0"/>
    </xf>
    <xf numFmtId="0" fontId="11" fillId="0" borderId="7" xfId="0" applyFont="1" applyBorder="1" applyAlignment="1" applyProtection="1">
      <alignment horizontal="left" vertical="top" wrapText="1"/>
      <protection locked="0"/>
    </xf>
    <xf numFmtId="0" fontId="11" fillId="0" borderId="8" xfId="0" applyFont="1" applyBorder="1" applyAlignment="1" applyProtection="1">
      <alignment horizontal="left" vertical="top" wrapText="1"/>
      <protection locked="0"/>
    </xf>
    <xf numFmtId="0" fontId="11" fillId="0" borderId="9" xfId="0" applyFont="1" applyBorder="1" applyAlignment="1" applyProtection="1">
      <alignment horizontal="left" vertical="top" wrapText="1"/>
      <protection locked="0"/>
    </xf>
    <xf numFmtId="0" fontId="12" fillId="2" borderId="3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14" fillId="2" borderId="1" xfId="1" applyFont="1" applyFill="1" applyAlignment="1">
      <alignment horizontal="center" vertical="center"/>
    </xf>
    <xf numFmtId="0" fontId="15" fillId="0" borderId="8" xfId="2" applyFont="1" applyAlignment="1" applyProtection="1">
      <alignment horizontal="center" vertical="center"/>
      <protection locked="0"/>
    </xf>
  </cellXfs>
  <cellStyles count="111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Heading 1" xfId="1" builtinId="16" customBuiltin="1"/>
    <cellStyle name="Heading 2" xfId="2" builtinId="17" customBuilti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Executive">
      <a:dk1>
        <a:sysClr val="windowText" lastClr="000000"/>
      </a:dk1>
      <a:lt1>
        <a:sysClr val="window" lastClr="FFFFFF"/>
      </a:lt1>
      <a:dk2>
        <a:srgbClr val="2F5897"/>
      </a:dk2>
      <a:lt2>
        <a:srgbClr val="E4E9EF"/>
      </a:lt2>
      <a:accent1>
        <a:srgbClr val="6076B4"/>
      </a:accent1>
      <a:accent2>
        <a:srgbClr val="9C5252"/>
      </a:accent2>
      <a:accent3>
        <a:srgbClr val="E68422"/>
      </a:accent3>
      <a:accent4>
        <a:srgbClr val="846648"/>
      </a:accent4>
      <a:accent5>
        <a:srgbClr val="63891F"/>
      </a:accent5>
      <a:accent6>
        <a:srgbClr val="758085"/>
      </a:accent6>
      <a:hlink>
        <a:srgbClr val="3399FF"/>
      </a:hlink>
      <a:folHlink>
        <a:srgbClr val="B2B2B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D180"/>
  <sheetViews>
    <sheetView tabSelected="1" view="pageLayout" zoomScale="150" workbookViewId="0">
      <selection activeCell="CP9" sqref="CP9:DZ11"/>
    </sheetView>
  </sheetViews>
  <sheetFormatPr baseColWidth="10" defaultColWidth="0.6640625" defaultRowHeight="4" customHeight="1" x14ac:dyDescent="0"/>
  <cols>
    <col min="1" max="16384" width="0.6640625" style="1"/>
  </cols>
  <sheetData>
    <row r="1" spans="1:133" ht="4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</row>
    <row r="2" spans="1:133" ht="4" customHeight="1" thickBot="1">
      <c r="A2" s="7"/>
      <c r="B2" s="74" t="s">
        <v>0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"/>
      <c r="CA2" s="45" t="s">
        <v>1</v>
      </c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75"/>
      <c r="CM2" s="75"/>
      <c r="CN2" s="75"/>
      <c r="CO2" s="75"/>
      <c r="CP2" s="75"/>
      <c r="CQ2" s="75"/>
      <c r="CR2" s="75"/>
      <c r="CS2" s="75"/>
      <c r="CT2" s="75"/>
      <c r="CU2" s="75"/>
      <c r="CV2" s="75"/>
      <c r="CW2" s="75"/>
      <c r="CX2" s="75"/>
      <c r="CY2" s="75"/>
      <c r="CZ2" s="75"/>
      <c r="DA2" s="75"/>
      <c r="DB2" s="75"/>
      <c r="DC2" s="75"/>
      <c r="DD2" s="75"/>
      <c r="DE2" s="75"/>
      <c r="DF2" s="75"/>
      <c r="DG2" s="75"/>
      <c r="DH2" s="75"/>
      <c r="DI2" s="75"/>
      <c r="DJ2" s="75"/>
      <c r="DK2" s="75"/>
      <c r="DL2" s="75"/>
      <c r="DM2" s="75"/>
      <c r="DN2" s="75"/>
      <c r="DO2" s="75"/>
      <c r="DP2" s="75"/>
      <c r="DQ2" s="75"/>
      <c r="DR2" s="75"/>
      <c r="DS2" s="75"/>
      <c r="DT2" s="75"/>
      <c r="DU2" s="75"/>
      <c r="DV2" s="75"/>
      <c r="DW2" s="75"/>
      <c r="DX2" s="75"/>
      <c r="DY2" s="75"/>
      <c r="DZ2" s="75"/>
      <c r="EA2" s="8"/>
      <c r="EB2" s="5"/>
      <c r="EC2" s="5"/>
    </row>
    <row r="3" spans="1:133" ht="4" customHeight="1" thickTop="1" thickBot="1">
      <c r="A3" s="7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75"/>
      <c r="CM3" s="75"/>
      <c r="CN3" s="75"/>
      <c r="CO3" s="75"/>
      <c r="CP3" s="75"/>
      <c r="CQ3" s="75"/>
      <c r="CR3" s="75"/>
      <c r="CS3" s="75"/>
      <c r="CT3" s="75"/>
      <c r="CU3" s="75"/>
      <c r="CV3" s="75"/>
      <c r="CW3" s="75"/>
      <c r="CX3" s="75"/>
      <c r="CY3" s="75"/>
      <c r="CZ3" s="75"/>
      <c r="DA3" s="75"/>
      <c r="DB3" s="75"/>
      <c r="DC3" s="75"/>
      <c r="DD3" s="75"/>
      <c r="DE3" s="75"/>
      <c r="DF3" s="75"/>
      <c r="DG3" s="75"/>
      <c r="DH3" s="75"/>
      <c r="DI3" s="75"/>
      <c r="DJ3" s="75"/>
      <c r="DK3" s="75"/>
      <c r="DL3" s="75"/>
      <c r="DM3" s="75"/>
      <c r="DN3" s="75"/>
      <c r="DO3" s="75"/>
      <c r="DP3" s="75"/>
      <c r="DQ3" s="75"/>
      <c r="DR3" s="75"/>
      <c r="DS3" s="75"/>
      <c r="DT3" s="75"/>
      <c r="DU3" s="75"/>
      <c r="DV3" s="75"/>
      <c r="DW3" s="75"/>
      <c r="DX3" s="75"/>
      <c r="DY3" s="75"/>
      <c r="DZ3" s="75"/>
      <c r="EA3" s="8"/>
      <c r="EB3" s="5"/>
      <c r="EC3" s="5"/>
    </row>
    <row r="4" spans="1:133" ht="4" customHeight="1" thickTop="1" thickBot="1">
      <c r="A4" s="7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75"/>
      <c r="CM4" s="75"/>
      <c r="CN4" s="75"/>
      <c r="CO4" s="75"/>
      <c r="CP4" s="75"/>
      <c r="CQ4" s="75"/>
      <c r="CR4" s="75"/>
      <c r="CS4" s="75"/>
      <c r="CT4" s="75"/>
      <c r="CU4" s="75"/>
      <c r="CV4" s="75"/>
      <c r="CW4" s="75"/>
      <c r="CX4" s="75"/>
      <c r="CY4" s="75"/>
      <c r="CZ4" s="75"/>
      <c r="DA4" s="75"/>
      <c r="DB4" s="75"/>
      <c r="DC4" s="75"/>
      <c r="DD4" s="75"/>
      <c r="DE4" s="75"/>
      <c r="DF4" s="75"/>
      <c r="DG4" s="75"/>
      <c r="DH4" s="75"/>
      <c r="DI4" s="75"/>
      <c r="DJ4" s="75"/>
      <c r="DK4" s="75"/>
      <c r="DL4" s="75"/>
      <c r="DM4" s="75"/>
      <c r="DN4" s="75"/>
      <c r="DO4" s="75"/>
      <c r="DP4" s="75"/>
      <c r="DQ4" s="75"/>
      <c r="DR4" s="75"/>
      <c r="DS4" s="75"/>
      <c r="DT4" s="75"/>
      <c r="DU4" s="75"/>
      <c r="DV4" s="75"/>
      <c r="DW4" s="75"/>
      <c r="DX4" s="75"/>
      <c r="DY4" s="75"/>
      <c r="DZ4" s="75"/>
      <c r="EA4" s="8"/>
      <c r="EB4" s="5"/>
      <c r="EC4" s="5"/>
    </row>
    <row r="5" spans="1:133" ht="4" customHeight="1" thickTop="1" thickBot="1">
      <c r="A5" s="7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4"/>
      <c r="BX5" s="74"/>
      <c r="BY5" s="74"/>
      <c r="BZ5" s="7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75"/>
      <c r="CM5" s="75"/>
      <c r="CN5" s="75"/>
      <c r="CO5" s="75"/>
      <c r="CP5" s="75"/>
      <c r="CQ5" s="75"/>
      <c r="CR5" s="75"/>
      <c r="CS5" s="75"/>
      <c r="CT5" s="75"/>
      <c r="CU5" s="75"/>
      <c r="CV5" s="75"/>
      <c r="CW5" s="75"/>
      <c r="CX5" s="75"/>
      <c r="CY5" s="75"/>
      <c r="CZ5" s="75"/>
      <c r="DA5" s="75"/>
      <c r="DB5" s="75"/>
      <c r="DC5" s="75"/>
      <c r="DD5" s="75"/>
      <c r="DE5" s="75"/>
      <c r="DF5" s="75"/>
      <c r="DG5" s="75"/>
      <c r="DH5" s="75"/>
      <c r="DI5" s="75"/>
      <c r="DJ5" s="75"/>
      <c r="DK5" s="75"/>
      <c r="DL5" s="75"/>
      <c r="DM5" s="75"/>
      <c r="DN5" s="75"/>
      <c r="DO5" s="75"/>
      <c r="DP5" s="75"/>
      <c r="DQ5" s="75"/>
      <c r="DR5" s="75"/>
      <c r="DS5" s="75"/>
      <c r="DT5" s="75"/>
      <c r="DU5" s="75"/>
      <c r="DV5" s="75"/>
      <c r="DW5" s="75"/>
      <c r="DX5" s="75"/>
      <c r="DY5" s="75"/>
      <c r="DZ5" s="75"/>
      <c r="EA5" s="9"/>
      <c r="EB5" s="6"/>
      <c r="EC5" s="6"/>
    </row>
    <row r="6" spans="1:133" ht="4" customHeight="1" thickTop="1" thickBot="1">
      <c r="A6" s="7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74"/>
      <c r="BX6" s="74"/>
      <c r="BY6" s="74"/>
      <c r="BZ6" s="7"/>
      <c r="CA6" s="45" t="s">
        <v>2</v>
      </c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5" t="s">
        <v>3</v>
      </c>
      <c r="DE6" s="45"/>
      <c r="DF6" s="45"/>
      <c r="DG6" s="45"/>
      <c r="DH6" s="45"/>
      <c r="DI6" s="45"/>
      <c r="DJ6" s="45"/>
      <c r="DK6" s="45"/>
      <c r="DL6" s="45"/>
      <c r="DM6" s="54">
        <f ca="1">TODAY()</f>
        <v>41725</v>
      </c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10"/>
      <c r="EB6" s="3"/>
      <c r="EC6" s="3"/>
    </row>
    <row r="7" spans="1:133" ht="4" customHeight="1" thickTop="1" thickBot="1">
      <c r="A7" s="7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4"/>
      <c r="BU7" s="74"/>
      <c r="BV7" s="74"/>
      <c r="BW7" s="74"/>
      <c r="BX7" s="74"/>
      <c r="BY7" s="74"/>
      <c r="BZ7" s="7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5"/>
      <c r="DE7" s="45"/>
      <c r="DF7" s="45"/>
      <c r="DG7" s="45"/>
      <c r="DH7" s="45"/>
      <c r="DI7" s="45"/>
      <c r="DJ7" s="45"/>
      <c r="DK7" s="45"/>
      <c r="DL7" s="45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11"/>
      <c r="EB7" s="4"/>
      <c r="EC7" s="4"/>
    </row>
    <row r="8" spans="1:133" ht="4" customHeight="1" thickTop="1" thickBot="1">
      <c r="A8" s="7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6"/>
      <c r="CM8" s="46"/>
      <c r="CN8" s="46"/>
      <c r="CO8" s="46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5"/>
      <c r="DE8" s="45"/>
      <c r="DF8" s="45"/>
      <c r="DG8" s="45"/>
      <c r="DH8" s="45"/>
      <c r="DI8" s="45"/>
      <c r="DJ8" s="45"/>
      <c r="DK8" s="45"/>
      <c r="DL8" s="45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11"/>
      <c r="EB8" s="4"/>
      <c r="EC8" s="4"/>
    </row>
    <row r="9" spans="1:133" ht="4" customHeight="1" thickTop="1" thickBot="1">
      <c r="A9" s="7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"/>
      <c r="CA9" s="11"/>
      <c r="CB9" s="11"/>
      <c r="CC9" s="11"/>
      <c r="CD9" s="45" t="s">
        <v>21</v>
      </c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11"/>
      <c r="EB9" s="4"/>
      <c r="EC9" s="4"/>
    </row>
    <row r="10" spans="1:133" ht="4" customHeight="1" thickTop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6"/>
      <c r="DL10" s="56"/>
      <c r="DM10" s="56"/>
      <c r="DN10" s="56"/>
      <c r="DO10" s="56"/>
      <c r="DP10" s="56"/>
      <c r="DQ10" s="56"/>
      <c r="DR10" s="56"/>
      <c r="DS10" s="56"/>
      <c r="DT10" s="56"/>
      <c r="DU10" s="56"/>
      <c r="DV10" s="56"/>
      <c r="DW10" s="56"/>
      <c r="DX10" s="56"/>
      <c r="DY10" s="56"/>
      <c r="DZ10" s="56"/>
      <c r="EA10" s="11"/>
      <c r="EB10" s="4"/>
      <c r="EC10" s="4"/>
    </row>
    <row r="11" spans="1:133" ht="4" customHeight="1">
      <c r="A11" s="7"/>
      <c r="B11" s="35" t="s">
        <v>10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7"/>
      <c r="BM11" s="7"/>
      <c r="BN11" s="35" t="s">
        <v>12</v>
      </c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7"/>
      <c r="CC11" s="12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R11" s="56"/>
      <c r="DS11" s="56"/>
      <c r="DT11" s="56"/>
      <c r="DU11" s="56"/>
      <c r="DV11" s="56"/>
      <c r="DW11" s="56"/>
      <c r="DX11" s="56"/>
      <c r="DY11" s="56"/>
      <c r="DZ11" s="56"/>
      <c r="EA11" s="11"/>
      <c r="EB11" s="4"/>
      <c r="EC11" s="4"/>
    </row>
    <row r="12" spans="1:133" ht="4" customHeight="1">
      <c r="A12" s="7"/>
      <c r="B12" s="38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40"/>
      <c r="BM12" s="7"/>
      <c r="BN12" s="38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40"/>
      <c r="CC12" s="12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</row>
    <row r="13" spans="1:133" ht="4" customHeight="1">
      <c r="A13" s="7"/>
      <c r="B13" s="38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40"/>
      <c r="BM13" s="7"/>
      <c r="BN13" s="38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40"/>
      <c r="CC13" s="12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</row>
    <row r="14" spans="1:133" ht="4" customHeight="1">
      <c r="A14" s="7"/>
      <c r="B14" s="15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6"/>
      <c r="BM14" s="7"/>
      <c r="BN14" s="15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6"/>
      <c r="CC14" s="12"/>
      <c r="CD14" s="35" t="s">
        <v>20</v>
      </c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7"/>
      <c r="EA14" s="10"/>
      <c r="EB14" s="3"/>
      <c r="EC14" s="3"/>
    </row>
    <row r="15" spans="1:133" ht="4" customHeight="1">
      <c r="A15" s="7"/>
      <c r="B15" s="15"/>
      <c r="C15" s="44" t="s">
        <v>4</v>
      </c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10"/>
      <c r="AH15" s="42" t="s">
        <v>7</v>
      </c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1"/>
      <c r="BF15" s="41"/>
      <c r="BG15" s="41"/>
      <c r="BH15" s="41"/>
      <c r="BI15" s="41"/>
      <c r="BJ15" s="41"/>
      <c r="BK15" s="41"/>
      <c r="BL15" s="16"/>
      <c r="BM15" s="7"/>
      <c r="BN15" s="15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16"/>
      <c r="CC15" s="12"/>
      <c r="CD15" s="38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40"/>
      <c r="EA15" s="10"/>
      <c r="EB15" s="3"/>
      <c r="EC15" s="3"/>
    </row>
    <row r="16" spans="1:133" ht="4" customHeight="1">
      <c r="A16" s="7"/>
      <c r="B16" s="15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10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1"/>
      <c r="BF16" s="41"/>
      <c r="BG16" s="41"/>
      <c r="BH16" s="41"/>
      <c r="BI16" s="41"/>
      <c r="BJ16" s="41"/>
      <c r="BK16" s="41"/>
      <c r="BL16" s="16"/>
      <c r="BM16" s="7"/>
      <c r="BN16" s="15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16"/>
      <c r="CC16" s="12"/>
      <c r="CD16" s="38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40"/>
      <c r="EA16" s="10"/>
      <c r="EB16" s="3"/>
      <c r="EC16" s="3"/>
    </row>
    <row r="17" spans="1:134" ht="4" customHeight="1">
      <c r="A17" s="7"/>
      <c r="B17" s="15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10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1"/>
      <c r="BF17" s="41"/>
      <c r="BG17" s="41"/>
      <c r="BH17" s="41"/>
      <c r="BI17" s="41"/>
      <c r="BJ17" s="41"/>
      <c r="BK17" s="41"/>
      <c r="BL17" s="16"/>
      <c r="BM17" s="7"/>
      <c r="BN17" s="15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16"/>
      <c r="CC17" s="12"/>
      <c r="CD17" s="15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6"/>
      <c r="EA17" s="12"/>
      <c r="EB17" s="2"/>
      <c r="EC17" s="2"/>
    </row>
    <row r="18" spans="1:134" ht="4" customHeight="1">
      <c r="A18" s="7"/>
      <c r="B18" s="15"/>
      <c r="C18" s="42" t="s">
        <v>37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1"/>
      <c r="AA18" s="41"/>
      <c r="AB18" s="41"/>
      <c r="AC18" s="41"/>
      <c r="AD18" s="41"/>
      <c r="AE18" s="41"/>
      <c r="AF18" s="41"/>
      <c r="AG18" s="10"/>
      <c r="AH18" s="42" t="s">
        <v>6</v>
      </c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1"/>
      <c r="BF18" s="41"/>
      <c r="BG18" s="41"/>
      <c r="BH18" s="41"/>
      <c r="BI18" s="41"/>
      <c r="BJ18" s="41"/>
      <c r="BK18" s="41"/>
      <c r="BL18" s="16"/>
      <c r="BM18" s="7"/>
      <c r="BN18" s="15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6"/>
      <c r="CC18" s="12"/>
      <c r="CD18" s="15"/>
      <c r="CE18" s="42" t="s">
        <v>24</v>
      </c>
      <c r="CF18" s="42"/>
      <c r="CG18" s="42"/>
      <c r="CH18" s="42"/>
      <c r="CI18" s="43">
        <f>Z18- SUM(F56+AM56+BS56+CY56+CY90+BS90+AM90+F90+F124+AM124+BS124+CY124+CY158+BS158+AM158+F158)</f>
        <v>0</v>
      </c>
      <c r="CJ18" s="43"/>
      <c r="CK18" s="43"/>
      <c r="CL18" s="43"/>
      <c r="CM18" s="42" t="s">
        <v>27</v>
      </c>
      <c r="CN18" s="42"/>
      <c r="CO18" s="42"/>
      <c r="CP18" s="42"/>
      <c r="CQ18" s="43">
        <f>BE18- SUM(V56+BC56+CI56+DO56+V90+BC90+CI90+DO90+DO124+CI124+BC124+V124+V158+BC158+CI158+DO158)</f>
        <v>0</v>
      </c>
      <c r="CR18" s="43"/>
      <c r="CS18" s="43"/>
      <c r="CT18" s="43"/>
      <c r="CU18" s="12"/>
      <c r="CV18" s="44" t="s">
        <v>22</v>
      </c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57">
        <f>180- SUM(AC55+BI55+CO55+DU55+AC89+BI89+CO89+DU89+AC123+BI123+CO123+DU123+AC157+BI157+CO157+DU157+BO15)</f>
        <v>180</v>
      </c>
      <c r="DT18" s="57"/>
      <c r="DU18" s="57"/>
      <c r="DV18" s="57"/>
      <c r="DW18" s="57"/>
      <c r="DX18" s="57"/>
      <c r="DY18" s="57"/>
      <c r="DZ18" s="22"/>
      <c r="EA18" s="10"/>
      <c r="EB18" s="3"/>
      <c r="EC18" s="2"/>
    </row>
    <row r="19" spans="1:134" ht="4" customHeight="1">
      <c r="A19" s="7"/>
      <c r="B19" s="15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1"/>
      <c r="AA19" s="41"/>
      <c r="AB19" s="41"/>
      <c r="AC19" s="41"/>
      <c r="AD19" s="41"/>
      <c r="AE19" s="41"/>
      <c r="AF19" s="41"/>
      <c r="AG19" s="10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1"/>
      <c r="BF19" s="41"/>
      <c r="BG19" s="41"/>
      <c r="BH19" s="41"/>
      <c r="BI19" s="41"/>
      <c r="BJ19" s="41"/>
      <c r="BK19" s="41"/>
      <c r="BL19" s="16"/>
      <c r="BM19" s="7"/>
      <c r="BN19" s="38" t="s">
        <v>11</v>
      </c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40"/>
      <c r="CC19" s="12"/>
      <c r="CD19" s="15"/>
      <c r="CE19" s="42"/>
      <c r="CF19" s="42"/>
      <c r="CG19" s="42"/>
      <c r="CH19" s="42"/>
      <c r="CI19" s="43"/>
      <c r="CJ19" s="43"/>
      <c r="CK19" s="43"/>
      <c r="CL19" s="43"/>
      <c r="CM19" s="42"/>
      <c r="CN19" s="42"/>
      <c r="CO19" s="42"/>
      <c r="CP19" s="42"/>
      <c r="CQ19" s="43"/>
      <c r="CR19" s="43"/>
      <c r="CS19" s="43"/>
      <c r="CT19" s="43"/>
      <c r="CU19" s="12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57"/>
      <c r="DT19" s="57"/>
      <c r="DU19" s="57"/>
      <c r="DV19" s="57"/>
      <c r="DW19" s="57"/>
      <c r="DX19" s="57"/>
      <c r="DY19" s="57"/>
      <c r="DZ19" s="22"/>
      <c r="EA19" s="10"/>
      <c r="EB19" s="3"/>
      <c r="EC19" s="2"/>
    </row>
    <row r="20" spans="1:134" ht="4" customHeight="1">
      <c r="A20" s="7"/>
      <c r="B20" s="15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1"/>
      <c r="AA20" s="41"/>
      <c r="AB20" s="41"/>
      <c r="AC20" s="41"/>
      <c r="AD20" s="41"/>
      <c r="AE20" s="41"/>
      <c r="AF20" s="41"/>
      <c r="AG20" s="10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1"/>
      <c r="BF20" s="41"/>
      <c r="BG20" s="41"/>
      <c r="BH20" s="41"/>
      <c r="BI20" s="41"/>
      <c r="BJ20" s="41"/>
      <c r="BK20" s="41"/>
      <c r="BL20" s="16"/>
      <c r="BM20" s="7"/>
      <c r="BN20" s="38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40"/>
      <c r="CC20" s="12"/>
      <c r="CD20" s="15"/>
      <c r="CE20" s="42"/>
      <c r="CF20" s="42"/>
      <c r="CG20" s="42"/>
      <c r="CH20" s="42"/>
      <c r="CI20" s="43"/>
      <c r="CJ20" s="43"/>
      <c r="CK20" s="43"/>
      <c r="CL20" s="43"/>
      <c r="CM20" s="42"/>
      <c r="CN20" s="42"/>
      <c r="CO20" s="42"/>
      <c r="CP20" s="42"/>
      <c r="CQ20" s="43"/>
      <c r="CR20" s="43"/>
      <c r="CS20" s="43"/>
      <c r="CT20" s="43"/>
      <c r="CU20" s="12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57"/>
      <c r="DT20" s="57"/>
      <c r="DU20" s="57"/>
      <c r="DV20" s="57"/>
      <c r="DW20" s="57"/>
      <c r="DX20" s="57"/>
      <c r="DY20" s="57"/>
      <c r="DZ20" s="22"/>
      <c r="EA20" s="10"/>
      <c r="EB20" s="3"/>
      <c r="EC20" s="2"/>
    </row>
    <row r="21" spans="1:134" ht="4" customHeight="1">
      <c r="A21" s="7"/>
      <c r="B21" s="15"/>
      <c r="C21" s="42" t="s">
        <v>5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1"/>
      <c r="AA21" s="41"/>
      <c r="AB21" s="41"/>
      <c r="AC21" s="41"/>
      <c r="AD21" s="41"/>
      <c r="AE21" s="41"/>
      <c r="AF21" s="41"/>
      <c r="AG21" s="10"/>
      <c r="AH21" s="42" t="s">
        <v>8</v>
      </c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1"/>
      <c r="BF21" s="41"/>
      <c r="BG21" s="41"/>
      <c r="BH21" s="41"/>
      <c r="BI21" s="41"/>
      <c r="BJ21" s="41"/>
      <c r="BK21" s="41"/>
      <c r="BL21" s="16"/>
      <c r="BM21" s="7"/>
      <c r="BN21" s="38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40"/>
      <c r="CC21" s="12"/>
      <c r="CD21" s="15"/>
      <c r="CE21" s="42" t="s">
        <v>25</v>
      </c>
      <c r="CF21" s="42"/>
      <c r="CG21" s="42"/>
      <c r="CH21" s="42"/>
      <c r="CI21" s="43">
        <f>Z21- SUM(F59+AM59+BS59+CY59+CY93+BS93+AM93+F93+F127+AM127+BS127+CY127+CY161+BS161+AM161+F161)</f>
        <v>0</v>
      </c>
      <c r="CJ21" s="43"/>
      <c r="CK21" s="43"/>
      <c r="CL21" s="43"/>
      <c r="CM21" s="42" t="s">
        <v>28</v>
      </c>
      <c r="CN21" s="42"/>
      <c r="CO21" s="42"/>
      <c r="CP21" s="42"/>
      <c r="CQ21" s="43">
        <f>BE21 - SUM(V59+BC59+CI59+DO59+DO93+CI93+BC93+V93+V127+BC127+CI127+DO127+DO161+CI161+BC161+V161)</f>
        <v>0</v>
      </c>
      <c r="CR21" s="43"/>
      <c r="CS21" s="43"/>
      <c r="CT21" s="43"/>
      <c r="CU21" s="12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  <c r="DN21" s="44"/>
      <c r="DO21" s="44"/>
      <c r="DP21" s="44"/>
      <c r="DQ21" s="44"/>
      <c r="DR21" s="44"/>
      <c r="DS21" s="57"/>
      <c r="DT21" s="57"/>
      <c r="DU21" s="57"/>
      <c r="DV21" s="57"/>
      <c r="DW21" s="57"/>
      <c r="DX21" s="57"/>
      <c r="DY21" s="57"/>
      <c r="DZ21" s="22"/>
      <c r="EA21" s="10"/>
      <c r="EB21" s="3"/>
      <c r="EC21" s="2"/>
    </row>
    <row r="22" spans="1:134" ht="4" customHeight="1">
      <c r="A22" s="7"/>
      <c r="B22" s="15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1"/>
      <c r="AA22" s="41"/>
      <c r="AB22" s="41"/>
      <c r="AC22" s="41"/>
      <c r="AD22" s="41"/>
      <c r="AE22" s="41"/>
      <c r="AF22" s="41"/>
      <c r="AG22" s="10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1"/>
      <c r="BF22" s="41"/>
      <c r="BG22" s="41"/>
      <c r="BH22" s="41"/>
      <c r="BI22" s="41"/>
      <c r="BJ22" s="41"/>
      <c r="BK22" s="41"/>
      <c r="BL22" s="16"/>
      <c r="BM22" s="7"/>
      <c r="BN22" s="23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22"/>
      <c r="CC22" s="12"/>
      <c r="CD22" s="15"/>
      <c r="CE22" s="42"/>
      <c r="CF22" s="42"/>
      <c r="CG22" s="42"/>
      <c r="CH22" s="42"/>
      <c r="CI22" s="43"/>
      <c r="CJ22" s="43"/>
      <c r="CK22" s="43"/>
      <c r="CL22" s="43"/>
      <c r="CM22" s="42"/>
      <c r="CN22" s="42"/>
      <c r="CO22" s="42"/>
      <c r="CP22" s="42"/>
      <c r="CQ22" s="43"/>
      <c r="CR22" s="43"/>
      <c r="CS22" s="43"/>
      <c r="CT22" s="43"/>
      <c r="CU22" s="12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57"/>
      <c r="DT22" s="57"/>
      <c r="DU22" s="57"/>
      <c r="DV22" s="57"/>
      <c r="DW22" s="57"/>
      <c r="DX22" s="57"/>
      <c r="DY22" s="57"/>
      <c r="DZ22" s="22"/>
      <c r="EA22" s="10"/>
      <c r="EB22" s="3"/>
      <c r="EC22" s="2"/>
    </row>
    <row r="23" spans="1:134" ht="4" customHeight="1">
      <c r="A23" s="7"/>
      <c r="B23" s="15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1"/>
      <c r="AA23" s="41"/>
      <c r="AB23" s="41"/>
      <c r="AC23" s="41"/>
      <c r="AD23" s="41"/>
      <c r="AE23" s="41"/>
      <c r="AF23" s="41"/>
      <c r="AG23" s="10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1"/>
      <c r="BF23" s="41"/>
      <c r="BG23" s="41"/>
      <c r="BH23" s="41"/>
      <c r="BI23" s="41"/>
      <c r="BJ23" s="41"/>
      <c r="BK23" s="41"/>
      <c r="BL23" s="22"/>
      <c r="BM23" s="10"/>
      <c r="BN23" s="15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16"/>
      <c r="CC23" s="12"/>
      <c r="CD23" s="15"/>
      <c r="CE23" s="42"/>
      <c r="CF23" s="42"/>
      <c r="CG23" s="42"/>
      <c r="CH23" s="42"/>
      <c r="CI23" s="43"/>
      <c r="CJ23" s="43"/>
      <c r="CK23" s="43"/>
      <c r="CL23" s="43"/>
      <c r="CM23" s="42"/>
      <c r="CN23" s="42"/>
      <c r="CO23" s="42"/>
      <c r="CP23" s="42"/>
      <c r="CQ23" s="43"/>
      <c r="CR23" s="43"/>
      <c r="CS23" s="43"/>
      <c r="CT23" s="43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6"/>
      <c r="EA23" s="12"/>
      <c r="EB23" s="2"/>
      <c r="EC23" s="2"/>
    </row>
    <row r="24" spans="1:134" ht="4" customHeight="1">
      <c r="A24" s="7"/>
      <c r="B24" s="15"/>
      <c r="C24" s="42" t="s">
        <v>38</v>
      </c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1"/>
      <c r="AA24" s="41"/>
      <c r="AB24" s="41"/>
      <c r="AC24" s="41"/>
      <c r="AD24" s="41"/>
      <c r="AE24" s="41"/>
      <c r="AF24" s="41"/>
      <c r="AG24" s="10"/>
      <c r="AH24" s="42" t="s">
        <v>9</v>
      </c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1"/>
      <c r="BF24" s="41"/>
      <c r="BG24" s="41"/>
      <c r="BH24" s="41"/>
      <c r="BI24" s="41"/>
      <c r="BJ24" s="41"/>
      <c r="BK24" s="41"/>
      <c r="BL24" s="22"/>
      <c r="BM24" s="10"/>
      <c r="BN24" s="15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16"/>
      <c r="CC24" s="12"/>
      <c r="CD24" s="15"/>
      <c r="CE24" s="42" t="s">
        <v>26</v>
      </c>
      <c r="CF24" s="42"/>
      <c r="CG24" s="42"/>
      <c r="CH24" s="42"/>
      <c r="CI24" s="43">
        <f>Z24- SUM(N56+AU56+CA56+DG56+DG90+CA90+AU90+N90+N124+AU124+CA124+DG124+DG158+CA158+AU158+N158)</f>
        <v>0</v>
      </c>
      <c r="CJ24" s="43"/>
      <c r="CK24" s="43"/>
      <c r="CL24" s="43"/>
      <c r="CM24" s="42" t="s">
        <v>29</v>
      </c>
      <c r="CN24" s="42"/>
      <c r="CO24" s="42"/>
      <c r="CP24" s="42"/>
      <c r="CQ24" s="43">
        <f>BE15- SUM(N59+AU59+CA59+DG59+DG93+CA93+AU93+N93+N127+AU127+CA127+DG127+DG161+CA161+AU161+N161)</f>
        <v>0</v>
      </c>
      <c r="CR24" s="43"/>
      <c r="CS24" s="43"/>
      <c r="CT24" s="43"/>
      <c r="CU24" s="42" t="s">
        <v>30</v>
      </c>
      <c r="CV24" s="42"/>
      <c r="CW24" s="42"/>
      <c r="CX24" s="42"/>
      <c r="CY24" s="43">
        <f>BE24- SUM(AD59+BK59+CQ59+DW59+AD93+BK93+CQ93+DW93+DW127+CQ127+BK127+AD127+AD161+BK161+CQ161+DW161)</f>
        <v>0</v>
      </c>
      <c r="CZ24" s="43"/>
      <c r="DA24" s="43"/>
      <c r="DB24" s="43"/>
      <c r="DC24" s="12"/>
      <c r="DD24" s="42" t="s">
        <v>23</v>
      </c>
      <c r="DE24" s="42"/>
      <c r="DF24" s="42"/>
      <c r="DG24" s="42"/>
      <c r="DH24" s="42"/>
      <c r="DI24" s="42"/>
      <c r="DJ24" s="42"/>
      <c r="DK24" s="42"/>
      <c r="DL24" s="42"/>
      <c r="DM24" s="42"/>
      <c r="DN24" s="42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22"/>
      <c r="EA24" s="10"/>
      <c r="EB24" s="3"/>
      <c r="EC24" s="2"/>
    </row>
    <row r="25" spans="1:134" ht="4" customHeight="1">
      <c r="A25" s="7"/>
      <c r="B25" s="15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1"/>
      <c r="AA25" s="41"/>
      <c r="AB25" s="41"/>
      <c r="AC25" s="41"/>
      <c r="AD25" s="41"/>
      <c r="AE25" s="41"/>
      <c r="AF25" s="41"/>
      <c r="AG25" s="10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1"/>
      <c r="BF25" s="41"/>
      <c r="BG25" s="41"/>
      <c r="BH25" s="41"/>
      <c r="BI25" s="41"/>
      <c r="BJ25" s="41"/>
      <c r="BK25" s="41"/>
      <c r="BL25" s="22"/>
      <c r="BM25" s="10"/>
      <c r="BN25" s="15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16"/>
      <c r="CC25" s="12"/>
      <c r="CD25" s="15"/>
      <c r="CE25" s="42"/>
      <c r="CF25" s="42"/>
      <c r="CG25" s="42"/>
      <c r="CH25" s="42"/>
      <c r="CI25" s="43"/>
      <c r="CJ25" s="43"/>
      <c r="CK25" s="43"/>
      <c r="CL25" s="43"/>
      <c r="CM25" s="42"/>
      <c r="CN25" s="42"/>
      <c r="CO25" s="42"/>
      <c r="CP25" s="42"/>
      <c r="CQ25" s="43"/>
      <c r="CR25" s="43"/>
      <c r="CS25" s="43"/>
      <c r="CT25" s="43"/>
      <c r="CU25" s="42"/>
      <c r="CV25" s="42"/>
      <c r="CW25" s="42"/>
      <c r="CX25" s="42"/>
      <c r="CY25" s="43"/>
      <c r="CZ25" s="43"/>
      <c r="DA25" s="43"/>
      <c r="DB25" s="43"/>
      <c r="DC25" s="12"/>
      <c r="DD25" s="42"/>
      <c r="DE25" s="42"/>
      <c r="DF25" s="42"/>
      <c r="DG25" s="42"/>
      <c r="DH25" s="42"/>
      <c r="DI25" s="42"/>
      <c r="DJ25" s="42"/>
      <c r="DK25" s="42"/>
      <c r="DL25" s="42"/>
      <c r="DM25" s="42"/>
      <c r="DN25" s="42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22"/>
      <c r="EA25" s="10"/>
      <c r="EB25" s="3"/>
      <c r="EC25" s="2"/>
    </row>
    <row r="26" spans="1:134" ht="4" customHeight="1">
      <c r="A26" s="7"/>
      <c r="B26" s="15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1"/>
      <c r="AA26" s="41"/>
      <c r="AB26" s="41"/>
      <c r="AC26" s="41"/>
      <c r="AD26" s="41"/>
      <c r="AE26" s="41"/>
      <c r="AF26" s="41"/>
      <c r="AG26" s="10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1"/>
      <c r="BF26" s="41"/>
      <c r="BG26" s="41"/>
      <c r="BH26" s="41"/>
      <c r="BI26" s="41"/>
      <c r="BJ26" s="41"/>
      <c r="BK26" s="41"/>
      <c r="BL26" s="22"/>
      <c r="BM26" s="10"/>
      <c r="BN26" s="15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6"/>
      <c r="CC26" s="12"/>
      <c r="CD26" s="15"/>
      <c r="CE26" s="42"/>
      <c r="CF26" s="42"/>
      <c r="CG26" s="42"/>
      <c r="CH26" s="42"/>
      <c r="CI26" s="43"/>
      <c r="CJ26" s="43"/>
      <c r="CK26" s="43"/>
      <c r="CL26" s="43"/>
      <c r="CM26" s="42"/>
      <c r="CN26" s="42"/>
      <c r="CO26" s="42"/>
      <c r="CP26" s="42"/>
      <c r="CQ26" s="43"/>
      <c r="CR26" s="43"/>
      <c r="CS26" s="43"/>
      <c r="CT26" s="43"/>
      <c r="CU26" s="42"/>
      <c r="CV26" s="42"/>
      <c r="CW26" s="42"/>
      <c r="CX26" s="42"/>
      <c r="CY26" s="43"/>
      <c r="CZ26" s="43"/>
      <c r="DA26" s="43"/>
      <c r="DB26" s="43"/>
      <c r="DC26" s="12"/>
      <c r="DD26" s="42"/>
      <c r="DE26" s="42"/>
      <c r="DF26" s="42"/>
      <c r="DG26" s="42"/>
      <c r="DH26" s="42"/>
      <c r="DI26" s="42"/>
      <c r="DJ26" s="42"/>
      <c r="DK26" s="42"/>
      <c r="DL26" s="42"/>
      <c r="DM26" s="42"/>
      <c r="DN26" s="42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22"/>
      <c r="EA26" s="10"/>
      <c r="EB26" s="3"/>
      <c r="EC26" s="2"/>
    </row>
    <row r="27" spans="1:134" ht="4" customHeight="1">
      <c r="A27" s="7"/>
      <c r="B27" s="18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9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20"/>
      <c r="BM27" s="10"/>
      <c r="BN27" s="18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21"/>
      <c r="CC27" s="12"/>
      <c r="CD27" s="18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21"/>
      <c r="EA27" s="12"/>
      <c r="EB27" s="2"/>
      <c r="EC27" s="2"/>
    </row>
    <row r="28" spans="1:134" ht="4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2"/>
      <c r="EC28" s="2"/>
      <c r="ED28" s="2"/>
    </row>
    <row r="29" spans="1:134" ht="4" customHeight="1">
      <c r="A29" s="7"/>
      <c r="B29" s="24"/>
      <c r="C29" s="53" t="str">
        <f>"Fall " &amp;BO23</f>
        <v xml:space="preserve">Fall </v>
      </c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27"/>
      <c r="AI29" s="53" t="str">
        <f xml:space="preserve"> "Winter " &amp; BO23+1</f>
        <v>Winter 1</v>
      </c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30"/>
      <c r="BO29" s="53" t="str">
        <f xml:space="preserve"> "Spring " &amp; BO23+1</f>
        <v>Spring 1</v>
      </c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30"/>
      <c r="CU29" s="53" t="str">
        <f>"Summer " &amp; BO23+1</f>
        <v>Summer 1</v>
      </c>
      <c r="CV29" s="53"/>
      <c r="CW29" s="53"/>
      <c r="CX29" s="53"/>
      <c r="CY29" s="53"/>
      <c r="CZ29" s="53"/>
      <c r="DA29" s="53"/>
      <c r="DB29" s="53"/>
      <c r="DC29" s="53"/>
      <c r="DD29" s="53"/>
      <c r="DE29" s="53"/>
      <c r="DF29" s="53"/>
      <c r="DG29" s="53"/>
      <c r="DH29" s="53"/>
      <c r="DI29" s="53"/>
      <c r="DJ29" s="53"/>
      <c r="DK29" s="53"/>
      <c r="DL29" s="53"/>
      <c r="DM29" s="53"/>
      <c r="DN29" s="53"/>
      <c r="DO29" s="53"/>
      <c r="DP29" s="53"/>
      <c r="DQ29" s="53"/>
      <c r="DR29" s="53"/>
      <c r="DS29" s="53"/>
      <c r="DT29" s="53"/>
      <c r="DU29" s="53"/>
      <c r="DV29" s="53"/>
      <c r="DW29" s="53"/>
      <c r="DX29" s="53"/>
      <c r="DY29" s="53"/>
      <c r="DZ29" s="33"/>
      <c r="EA29" s="12"/>
      <c r="EB29" s="2"/>
      <c r="EC29" s="2"/>
      <c r="ED29" s="2"/>
    </row>
    <row r="30" spans="1:134" ht="4" customHeight="1">
      <c r="A30" s="7"/>
      <c r="B30" s="25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13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14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52"/>
      <c r="CQ30" s="52"/>
      <c r="CR30" s="52"/>
      <c r="CS30" s="52"/>
      <c r="CT30" s="14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I30" s="52"/>
      <c r="DJ30" s="52"/>
      <c r="DK30" s="52"/>
      <c r="DL30" s="52"/>
      <c r="DM30" s="52"/>
      <c r="DN30" s="52"/>
      <c r="DO30" s="52"/>
      <c r="DP30" s="52"/>
      <c r="DQ30" s="52"/>
      <c r="DR30" s="52"/>
      <c r="DS30" s="52"/>
      <c r="DT30" s="52"/>
      <c r="DU30" s="52"/>
      <c r="DV30" s="52"/>
      <c r="DW30" s="52"/>
      <c r="DX30" s="52"/>
      <c r="DY30" s="52"/>
      <c r="DZ30" s="16"/>
      <c r="EA30" s="12"/>
      <c r="EB30" s="2"/>
      <c r="EC30" s="2"/>
      <c r="ED30" s="2"/>
    </row>
    <row r="31" spans="1:134" ht="4" customHeight="1">
      <c r="A31" s="7"/>
      <c r="B31" s="25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13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14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/>
      <c r="CM31" s="52"/>
      <c r="CN31" s="52"/>
      <c r="CO31" s="52"/>
      <c r="CP31" s="52"/>
      <c r="CQ31" s="52"/>
      <c r="CR31" s="52"/>
      <c r="CS31" s="52"/>
      <c r="CT31" s="14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  <c r="DJ31" s="52"/>
      <c r="DK31" s="52"/>
      <c r="DL31" s="52"/>
      <c r="DM31" s="52"/>
      <c r="DN31" s="52"/>
      <c r="DO31" s="52"/>
      <c r="DP31" s="52"/>
      <c r="DQ31" s="52"/>
      <c r="DR31" s="52"/>
      <c r="DS31" s="52"/>
      <c r="DT31" s="52"/>
      <c r="DU31" s="52"/>
      <c r="DV31" s="52"/>
      <c r="DW31" s="52"/>
      <c r="DX31" s="52"/>
      <c r="DY31" s="52"/>
      <c r="DZ31" s="16"/>
      <c r="EA31" s="12"/>
      <c r="EB31" s="2"/>
      <c r="EC31" s="2"/>
      <c r="ED31" s="2"/>
    </row>
    <row r="32" spans="1:134" ht="4" customHeight="1">
      <c r="A32" s="7"/>
      <c r="B32" s="25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13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14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52"/>
      <c r="CM32" s="52"/>
      <c r="CN32" s="52"/>
      <c r="CO32" s="52"/>
      <c r="CP32" s="52"/>
      <c r="CQ32" s="52"/>
      <c r="CR32" s="52"/>
      <c r="CS32" s="52"/>
      <c r="CT32" s="14"/>
      <c r="CU32" s="52"/>
      <c r="CV32" s="52"/>
      <c r="CW32" s="52"/>
      <c r="CX32" s="52"/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  <c r="DJ32" s="52"/>
      <c r="DK32" s="52"/>
      <c r="DL32" s="52"/>
      <c r="DM32" s="52"/>
      <c r="DN32" s="52"/>
      <c r="DO32" s="52"/>
      <c r="DP32" s="52"/>
      <c r="DQ32" s="52"/>
      <c r="DR32" s="52"/>
      <c r="DS32" s="52"/>
      <c r="DT32" s="52"/>
      <c r="DU32" s="52"/>
      <c r="DV32" s="52"/>
      <c r="DW32" s="52"/>
      <c r="DX32" s="52"/>
      <c r="DY32" s="52"/>
      <c r="DZ32" s="16"/>
      <c r="EA32" s="12"/>
      <c r="EB32" s="2"/>
      <c r="EC32" s="2"/>
      <c r="ED32" s="2"/>
    </row>
    <row r="33" spans="1:134" ht="4" customHeight="1">
      <c r="A33" s="7"/>
      <c r="B33" s="25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6"/>
      <c r="EA33" s="12"/>
      <c r="EB33" s="2"/>
      <c r="EC33" s="2"/>
      <c r="ED33" s="2"/>
    </row>
    <row r="34" spans="1:134" ht="4" customHeight="1">
      <c r="A34" s="7"/>
      <c r="B34" s="25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14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14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14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16"/>
      <c r="EA34" s="12"/>
      <c r="EB34" s="2"/>
      <c r="EC34" s="2"/>
      <c r="ED34" s="2"/>
    </row>
    <row r="35" spans="1:134" ht="4" customHeight="1">
      <c r="A35" s="7"/>
      <c r="B35" s="25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14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14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14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16"/>
      <c r="EA35" s="12"/>
      <c r="EB35" s="2"/>
      <c r="EC35" s="2"/>
      <c r="ED35" s="2"/>
    </row>
    <row r="36" spans="1:134" ht="4" customHeight="1">
      <c r="A36" s="7"/>
      <c r="B36" s="25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14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14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14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16"/>
      <c r="EA36" s="12"/>
      <c r="EB36" s="2"/>
      <c r="EC36" s="2"/>
      <c r="ED36" s="2"/>
    </row>
    <row r="37" spans="1:134" ht="4" customHeight="1">
      <c r="A37" s="7"/>
      <c r="B37" s="25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14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14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14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16"/>
      <c r="EA37" s="12"/>
      <c r="EB37" s="2"/>
      <c r="EC37" s="2"/>
      <c r="ED37" s="2"/>
    </row>
    <row r="38" spans="1:134" ht="4" customHeight="1">
      <c r="A38" s="7"/>
      <c r="B38" s="25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14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14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14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16"/>
      <c r="EA38" s="12"/>
      <c r="EB38" s="2"/>
      <c r="EC38" s="2"/>
      <c r="ED38" s="2"/>
    </row>
    <row r="39" spans="1:134" ht="4" customHeight="1">
      <c r="A39" s="7"/>
      <c r="B39" s="25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14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14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14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16"/>
      <c r="EA39" s="12"/>
      <c r="EB39" s="2"/>
      <c r="EC39" s="2"/>
      <c r="ED39" s="2"/>
    </row>
    <row r="40" spans="1:134" ht="4" customHeight="1">
      <c r="A40" s="7"/>
      <c r="B40" s="25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14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14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14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16"/>
      <c r="EA40" s="12"/>
      <c r="EB40" s="2"/>
      <c r="EC40" s="2"/>
      <c r="ED40" s="2"/>
    </row>
    <row r="41" spans="1:134" ht="4" customHeight="1">
      <c r="A41" s="7"/>
      <c r="B41" s="25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14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14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14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16"/>
      <c r="EA41" s="12"/>
      <c r="EB41" s="2"/>
      <c r="EC41" s="2"/>
      <c r="ED41" s="2"/>
    </row>
    <row r="42" spans="1:134" ht="4" customHeight="1">
      <c r="A42" s="7"/>
      <c r="B42" s="25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14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14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  <c r="CG42" s="51"/>
      <c r="CH42" s="51"/>
      <c r="CI42" s="51"/>
      <c r="CJ42" s="51"/>
      <c r="CK42" s="51"/>
      <c r="CL42" s="51"/>
      <c r="CM42" s="51"/>
      <c r="CN42" s="51"/>
      <c r="CO42" s="51"/>
      <c r="CP42" s="51"/>
      <c r="CQ42" s="51"/>
      <c r="CR42" s="51"/>
      <c r="CS42" s="51"/>
      <c r="CT42" s="14"/>
      <c r="CU42" s="51"/>
      <c r="CV42" s="51"/>
      <c r="CW42" s="51"/>
      <c r="CX42" s="51"/>
      <c r="CY42" s="51"/>
      <c r="CZ42" s="51"/>
      <c r="DA42" s="51"/>
      <c r="DB42" s="51"/>
      <c r="DC42" s="51"/>
      <c r="DD42" s="51"/>
      <c r="DE42" s="51"/>
      <c r="DF42" s="51"/>
      <c r="DG42" s="51"/>
      <c r="DH42" s="51"/>
      <c r="DI42" s="51"/>
      <c r="DJ42" s="51"/>
      <c r="DK42" s="51"/>
      <c r="DL42" s="51"/>
      <c r="DM42" s="51"/>
      <c r="DN42" s="51"/>
      <c r="DO42" s="51"/>
      <c r="DP42" s="51"/>
      <c r="DQ42" s="51"/>
      <c r="DR42" s="51"/>
      <c r="DS42" s="51"/>
      <c r="DT42" s="51"/>
      <c r="DU42" s="51"/>
      <c r="DV42" s="51"/>
      <c r="DW42" s="51"/>
      <c r="DX42" s="51"/>
      <c r="DY42" s="51"/>
      <c r="DZ42" s="16"/>
      <c r="EA42" s="12"/>
      <c r="EB42" s="2"/>
      <c r="EC42" s="2"/>
      <c r="ED42" s="2"/>
    </row>
    <row r="43" spans="1:134" ht="4" customHeight="1">
      <c r="A43" s="7"/>
      <c r="B43" s="25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14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14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1"/>
      <c r="CK43" s="51"/>
      <c r="CL43" s="51"/>
      <c r="CM43" s="51"/>
      <c r="CN43" s="51"/>
      <c r="CO43" s="51"/>
      <c r="CP43" s="51"/>
      <c r="CQ43" s="51"/>
      <c r="CR43" s="51"/>
      <c r="CS43" s="51"/>
      <c r="CT43" s="14"/>
      <c r="CU43" s="51"/>
      <c r="CV43" s="51"/>
      <c r="CW43" s="51"/>
      <c r="CX43" s="51"/>
      <c r="CY43" s="51"/>
      <c r="CZ43" s="51"/>
      <c r="DA43" s="51"/>
      <c r="DB43" s="51"/>
      <c r="DC43" s="51"/>
      <c r="DD43" s="51"/>
      <c r="DE43" s="51"/>
      <c r="DF43" s="51"/>
      <c r="DG43" s="51"/>
      <c r="DH43" s="51"/>
      <c r="DI43" s="51"/>
      <c r="DJ43" s="51"/>
      <c r="DK43" s="51"/>
      <c r="DL43" s="51"/>
      <c r="DM43" s="51"/>
      <c r="DN43" s="51"/>
      <c r="DO43" s="51"/>
      <c r="DP43" s="51"/>
      <c r="DQ43" s="51"/>
      <c r="DR43" s="51"/>
      <c r="DS43" s="51"/>
      <c r="DT43" s="51"/>
      <c r="DU43" s="51"/>
      <c r="DV43" s="51"/>
      <c r="DW43" s="51"/>
      <c r="DX43" s="51"/>
      <c r="DY43" s="51"/>
      <c r="DZ43" s="16"/>
      <c r="EA43" s="12"/>
      <c r="EB43" s="2"/>
      <c r="EC43" s="2"/>
      <c r="ED43" s="2"/>
    </row>
    <row r="44" spans="1:134" ht="4" customHeight="1">
      <c r="A44" s="7"/>
      <c r="B44" s="25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14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14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  <c r="CM44" s="51"/>
      <c r="CN44" s="51"/>
      <c r="CO44" s="51"/>
      <c r="CP44" s="51"/>
      <c r="CQ44" s="51"/>
      <c r="CR44" s="51"/>
      <c r="CS44" s="51"/>
      <c r="CT44" s="14"/>
      <c r="CU44" s="51"/>
      <c r="CV44" s="51"/>
      <c r="CW44" s="51"/>
      <c r="CX44" s="51"/>
      <c r="CY44" s="51"/>
      <c r="CZ44" s="51"/>
      <c r="DA44" s="51"/>
      <c r="DB44" s="51"/>
      <c r="DC44" s="51"/>
      <c r="DD44" s="51"/>
      <c r="DE44" s="51"/>
      <c r="DF44" s="51"/>
      <c r="DG44" s="51"/>
      <c r="DH44" s="51"/>
      <c r="DI44" s="51"/>
      <c r="DJ44" s="51"/>
      <c r="DK44" s="51"/>
      <c r="DL44" s="51"/>
      <c r="DM44" s="51"/>
      <c r="DN44" s="51"/>
      <c r="DO44" s="51"/>
      <c r="DP44" s="51"/>
      <c r="DQ44" s="51"/>
      <c r="DR44" s="51"/>
      <c r="DS44" s="51"/>
      <c r="DT44" s="51"/>
      <c r="DU44" s="51"/>
      <c r="DV44" s="51"/>
      <c r="DW44" s="51"/>
      <c r="DX44" s="51"/>
      <c r="DY44" s="51"/>
      <c r="DZ44" s="16"/>
      <c r="EA44" s="12"/>
      <c r="EB44" s="2"/>
      <c r="EC44" s="2"/>
      <c r="ED44" s="2"/>
    </row>
    <row r="45" spans="1:134" ht="4" customHeight="1">
      <c r="A45" s="7"/>
      <c r="B45" s="25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14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14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1"/>
      <c r="CH45" s="51"/>
      <c r="CI45" s="51"/>
      <c r="CJ45" s="51"/>
      <c r="CK45" s="51"/>
      <c r="CL45" s="51"/>
      <c r="CM45" s="51"/>
      <c r="CN45" s="51"/>
      <c r="CO45" s="51"/>
      <c r="CP45" s="51"/>
      <c r="CQ45" s="51"/>
      <c r="CR45" s="51"/>
      <c r="CS45" s="51"/>
      <c r="CT45" s="14"/>
      <c r="CU45" s="51"/>
      <c r="CV45" s="51"/>
      <c r="CW45" s="51"/>
      <c r="CX45" s="51"/>
      <c r="CY45" s="51"/>
      <c r="CZ45" s="51"/>
      <c r="DA45" s="51"/>
      <c r="DB45" s="51"/>
      <c r="DC45" s="51"/>
      <c r="DD45" s="51"/>
      <c r="DE45" s="51"/>
      <c r="DF45" s="51"/>
      <c r="DG45" s="51"/>
      <c r="DH45" s="51"/>
      <c r="DI45" s="51"/>
      <c r="DJ45" s="51"/>
      <c r="DK45" s="51"/>
      <c r="DL45" s="51"/>
      <c r="DM45" s="51"/>
      <c r="DN45" s="51"/>
      <c r="DO45" s="51"/>
      <c r="DP45" s="51"/>
      <c r="DQ45" s="51"/>
      <c r="DR45" s="51"/>
      <c r="DS45" s="51"/>
      <c r="DT45" s="51"/>
      <c r="DU45" s="51"/>
      <c r="DV45" s="51"/>
      <c r="DW45" s="51"/>
      <c r="DX45" s="51"/>
      <c r="DY45" s="51"/>
      <c r="DZ45" s="16"/>
      <c r="EA45" s="12"/>
      <c r="EB45" s="2"/>
      <c r="EC45" s="2"/>
      <c r="ED45" s="2"/>
    </row>
    <row r="46" spans="1:134" ht="4" customHeight="1">
      <c r="A46" s="7"/>
      <c r="B46" s="25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14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14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  <c r="CM46" s="51"/>
      <c r="CN46" s="51"/>
      <c r="CO46" s="51"/>
      <c r="CP46" s="51"/>
      <c r="CQ46" s="51"/>
      <c r="CR46" s="51"/>
      <c r="CS46" s="51"/>
      <c r="CT46" s="14"/>
      <c r="CU46" s="51"/>
      <c r="CV46" s="51"/>
      <c r="CW46" s="51"/>
      <c r="CX46" s="51"/>
      <c r="CY46" s="51"/>
      <c r="CZ46" s="51"/>
      <c r="DA46" s="51"/>
      <c r="DB46" s="51"/>
      <c r="DC46" s="51"/>
      <c r="DD46" s="51"/>
      <c r="DE46" s="51"/>
      <c r="DF46" s="51"/>
      <c r="DG46" s="51"/>
      <c r="DH46" s="51"/>
      <c r="DI46" s="51"/>
      <c r="DJ46" s="51"/>
      <c r="DK46" s="51"/>
      <c r="DL46" s="51"/>
      <c r="DM46" s="51"/>
      <c r="DN46" s="51"/>
      <c r="DO46" s="51"/>
      <c r="DP46" s="51"/>
      <c r="DQ46" s="51"/>
      <c r="DR46" s="51"/>
      <c r="DS46" s="51"/>
      <c r="DT46" s="51"/>
      <c r="DU46" s="51"/>
      <c r="DV46" s="51"/>
      <c r="DW46" s="51"/>
      <c r="DX46" s="51"/>
      <c r="DY46" s="51"/>
      <c r="DZ46" s="16"/>
      <c r="EA46" s="12"/>
      <c r="EB46" s="2"/>
      <c r="EC46" s="2"/>
      <c r="ED46" s="2"/>
    </row>
    <row r="47" spans="1:134" ht="4" customHeight="1">
      <c r="A47" s="7"/>
      <c r="B47" s="25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14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14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1"/>
      <c r="CH47" s="51"/>
      <c r="CI47" s="51"/>
      <c r="CJ47" s="51"/>
      <c r="CK47" s="51"/>
      <c r="CL47" s="51"/>
      <c r="CM47" s="51"/>
      <c r="CN47" s="51"/>
      <c r="CO47" s="51"/>
      <c r="CP47" s="51"/>
      <c r="CQ47" s="51"/>
      <c r="CR47" s="51"/>
      <c r="CS47" s="51"/>
      <c r="CT47" s="14"/>
      <c r="CU47" s="51"/>
      <c r="CV47" s="51"/>
      <c r="CW47" s="51"/>
      <c r="CX47" s="51"/>
      <c r="CY47" s="51"/>
      <c r="CZ47" s="51"/>
      <c r="DA47" s="51"/>
      <c r="DB47" s="51"/>
      <c r="DC47" s="51"/>
      <c r="DD47" s="51"/>
      <c r="DE47" s="51"/>
      <c r="DF47" s="51"/>
      <c r="DG47" s="51"/>
      <c r="DH47" s="51"/>
      <c r="DI47" s="51"/>
      <c r="DJ47" s="51"/>
      <c r="DK47" s="51"/>
      <c r="DL47" s="51"/>
      <c r="DM47" s="51"/>
      <c r="DN47" s="51"/>
      <c r="DO47" s="51"/>
      <c r="DP47" s="51"/>
      <c r="DQ47" s="51"/>
      <c r="DR47" s="51"/>
      <c r="DS47" s="51"/>
      <c r="DT47" s="51"/>
      <c r="DU47" s="51"/>
      <c r="DV47" s="51"/>
      <c r="DW47" s="51"/>
      <c r="DX47" s="51"/>
      <c r="DY47" s="51"/>
      <c r="DZ47" s="16"/>
      <c r="EA47" s="12"/>
      <c r="EB47" s="2"/>
      <c r="EC47" s="2"/>
      <c r="ED47" s="2"/>
    </row>
    <row r="48" spans="1:134" ht="4" customHeight="1">
      <c r="A48" s="7"/>
      <c r="B48" s="25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14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14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51"/>
      <c r="CG48" s="51"/>
      <c r="CH48" s="51"/>
      <c r="CI48" s="51"/>
      <c r="CJ48" s="51"/>
      <c r="CK48" s="51"/>
      <c r="CL48" s="51"/>
      <c r="CM48" s="51"/>
      <c r="CN48" s="51"/>
      <c r="CO48" s="51"/>
      <c r="CP48" s="51"/>
      <c r="CQ48" s="51"/>
      <c r="CR48" s="51"/>
      <c r="CS48" s="51"/>
      <c r="CT48" s="14"/>
      <c r="CU48" s="51"/>
      <c r="CV48" s="51"/>
      <c r="CW48" s="51"/>
      <c r="CX48" s="51"/>
      <c r="CY48" s="51"/>
      <c r="CZ48" s="51"/>
      <c r="DA48" s="51"/>
      <c r="DB48" s="51"/>
      <c r="DC48" s="51"/>
      <c r="DD48" s="51"/>
      <c r="DE48" s="51"/>
      <c r="DF48" s="51"/>
      <c r="DG48" s="51"/>
      <c r="DH48" s="51"/>
      <c r="DI48" s="51"/>
      <c r="DJ48" s="51"/>
      <c r="DK48" s="51"/>
      <c r="DL48" s="51"/>
      <c r="DM48" s="51"/>
      <c r="DN48" s="51"/>
      <c r="DO48" s="51"/>
      <c r="DP48" s="51"/>
      <c r="DQ48" s="51"/>
      <c r="DR48" s="51"/>
      <c r="DS48" s="51"/>
      <c r="DT48" s="51"/>
      <c r="DU48" s="51"/>
      <c r="DV48" s="51"/>
      <c r="DW48" s="51"/>
      <c r="DX48" s="51"/>
      <c r="DY48" s="51"/>
      <c r="DZ48" s="16"/>
      <c r="EA48" s="12"/>
      <c r="EB48" s="2"/>
      <c r="EC48" s="2"/>
      <c r="ED48" s="2"/>
    </row>
    <row r="49" spans="1:134" ht="4" customHeight="1">
      <c r="A49" s="7"/>
      <c r="B49" s="25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14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14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  <c r="CM49" s="51"/>
      <c r="CN49" s="51"/>
      <c r="CO49" s="51"/>
      <c r="CP49" s="51"/>
      <c r="CQ49" s="51"/>
      <c r="CR49" s="51"/>
      <c r="CS49" s="51"/>
      <c r="CT49" s="14"/>
      <c r="CU49" s="51"/>
      <c r="CV49" s="51"/>
      <c r="CW49" s="51"/>
      <c r="CX49" s="51"/>
      <c r="CY49" s="51"/>
      <c r="CZ49" s="51"/>
      <c r="DA49" s="51"/>
      <c r="DB49" s="51"/>
      <c r="DC49" s="51"/>
      <c r="DD49" s="51"/>
      <c r="DE49" s="51"/>
      <c r="DF49" s="51"/>
      <c r="DG49" s="51"/>
      <c r="DH49" s="51"/>
      <c r="DI49" s="51"/>
      <c r="DJ49" s="51"/>
      <c r="DK49" s="51"/>
      <c r="DL49" s="51"/>
      <c r="DM49" s="51"/>
      <c r="DN49" s="51"/>
      <c r="DO49" s="51"/>
      <c r="DP49" s="51"/>
      <c r="DQ49" s="51"/>
      <c r="DR49" s="51"/>
      <c r="DS49" s="51"/>
      <c r="DT49" s="51"/>
      <c r="DU49" s="51"/>
      <c r="DV49" s="51"/>
      <c r="DW49" s="51"/>
      <c r="DX49" s="51"/>
      <c r="DY49" s="51"/>
      <c r="DZ49" s="16"/>
      <c r="EA49" s="12"/>
      <c r="EB49" s="2"/>
      <c r="EC49" s="2"/>
      <c r="ED49" s="2"/>
    </row>
    <row r="50" spans="1:134" ht="4" customHeight="1">
      <c r="A50" s="7"/>
      <c r="B50" s="25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14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14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14"/>
      <c r="CU50" s="51"/>
      <c r="CV50" s="51"/>
      <c r="CW50" s="51"/>
      <c r="CX50" s="51"/>
      <c r="CY50" s="51"/>
      <c r="CZ50" s="51"/>
      <c r="DA50" s="51"/>
      <c r="DB50" s="51"/>
      <c r="DC50" s="51"/>
      <c r="DD50" s="51"/>
      <c r="DE50" s="51"/>
      <c r="DF50" s="51"/>
      <c r="DG50" s="51"/>
      <c r="DH50" s="51"/>
      <c r="DI50" s="51"/>
      <c r="DJ50" s="51"/>
      <c r="DK50" s="51"/>
      <c r="DL50" s="51"/>
      <c r="DM50" s="51"/>
      <c r="DN50" s="51"/>
      <c r="DO50" s="51"/>
      <c r="DP50" s="51"/>
      <c r="DQ50" s="51"/>
      <c r="DR50" s="51"/>
      <c r="DS50" s="51"/>
      <c r="DT50" s="51"/>
      <c r="DU50" s="51"/>
      <c r="DV50" s="51"/>
      <c r="DW50" s="51"/>
      <c r="DX50" s="51"/>
      <c r="DY50" s="51"/>
      <c r="DZ50" s="16"/>
      <c r="EA50" s="12"/>
      <c r="EB50" s="2"/>
      <c r="EC50" s="2"/>
      <c r="ED50" s="2"/>
    </row>
    <row r="51" spans="1:134" ht="4" customHeight="1">
      <c r="A51" s="7"/>
      <c r="B51" s="25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14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14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1"/>
      <c r="CS51" s="51"/>
      <c r="CT51" s="14"/>
      <c r="CU51" s="51"/>
      <c r="CV51" s="51"/>
      <c r="CW51" s="51"/>
      <c r="CX51" s="51"/>
      <c r="CY51" s="51"/>
      <c r="CZ51" s="51"/>
      <c r="DA51" s="51"/>
      <c r="DB51" s="51"/>
      <c r="DC51" s="51"/>
      <c r="DD51" s="51"/>
      <c r="DE51" s="51"/>
      <c r="DF51" s="51"/>
      <c r="DG51" s="51"/>
      <c r="DH51" s="51"/>
      <c r="DI51" s="51"/>
      <c r="DJ51" s="51"/>
      <c r="DK51" s="51"/>
      <c r="DL51" s="51"/>
      <c r="DM51" s="51"/>
      <c r="DN51" s="51"/>
      <c r="DO51" s="51"/>
      <c r="DP51" s="51"/>
      <c r="DQ51" s="51"/>
      <c r="DR51" s="51"/>
      <c r="DS51" s="51"/>
      <c r="DT51" s="51"/>
      <c r="DU51" s="51"/>
      <c r="DV51" s="51"/>
      <c r="DW51" s="51"/>
      <c r="DX51" s="51"/>
      <c r="DY51" s="51"/>
      <c r="DZ51" s="16"/>
      <c r="EA51" s="12"/>
      <c r="EB51" s="2"/>
      <c r="EC51" s="2"/>
      <c r="ED51" s="2"/>
    </row>
    <row r="52" spans="1:134" ht="4" customHeight="1">
      <c r="A52" s="7"/>
      <c r="B52" s="25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14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14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14"/>
      <c r="CU52" s="51"/>
      <c r="CV52" s="51"/>
      <c r="CW52" s="51"/>
      <c r="CX52" s="51"/>
      <c r="CY52" s="51"/>
      <c r="CZ52" s="51"/>
      <c r="DA52" s="51"/>
      <c r="DB52" s="51"/>
      <c r="DC52" s="51"/>
      <c r="DD52" s="51"/>
      <c r="DE52" s="51"/>
      <c r="DF52" s="51"/>
      <c r="DG52" s="51"/>
      <c r="DH52" s="51"/>
      <c r="DI52" s="51"/>
      <c r="DJ52" s="51"/>
      <c r="DK52" s="51"/>
      <c r="DL52" s="51"/>
      <c r="DM52" s="51"/>
      <c r="DN52" s="51"/>
      <c r="DO52" s="51"/>
      <c r="DP52" s="51"/>
      <c r="DQ52" s="51"/>
      <c r="DR52" s="51"/>
      <c r="DS52" s="51"/>
      <c r="DT52" s="51"/>
      <c r="DU52" s="51"/>
      <c r="DV52" s="51"/>
      <c r="DW52" s="51"/>
      <c r="DX52" s="51"/>
      <c r="DY52" s="51"/>
      <c r="DZ52" s="16"/>
      <c r="EA52" s="12"/>
      <c r="EB52" s="2"/>
      <c r="EC52" s="2"/>
      <c r="ED52" s="2"/>
    </row>
    <row r="53" spans="1:134" ht="4" customHeight="1">
      <c r="A53" s="7"/>
      <c r="B53" s="25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14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14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14"/>
      <c r="CU53" s="51"/>
      <c r="CV53" s="51"/>
      <c r="CW53" s="51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  <c r="DJ53" s="51"/>
      <c r="DK53" s="51"/>
      <c r="DL53" s="51"/>
      <c r="DM53" s="51"/>
      <c r="DN53" s="51"/>
      <c r="DO53" s="51"/>
      <c r="DP53" s="51"/>
      <c r="DQ53" s="51"/>
      <c r="DR53" s="51"/>
      <c r="DS53" s="51"/>
      <c r="DT53" s="51"/>
      <c r="DU53" s="51"/>
      <c r="DV53" s="51"/>
      <c r="DW53" s="51"/>
      <c r="DX53" s="51"/>
      <c r="DY53" s="51"/>
      <c r="DZ53" s="16"/>
      <c r="EA53" s="12"/>
      <c r="EB53" s="2"/>
      <c r="EC53" s="2"/>
      <c r="ED53" s="2"/>
    </row>
    <row r="54" spans="1:134" ht="4" customHeight="1">
      <c r="A54" s="7"/>
      <c r="B54" s="25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14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14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14"/>
      <c r="CU54" s="51"/>
      <c r="CV54" s="51"/>
      <c r="CW54" s="51"/>
      <c r="CX54" s="51"/>
      <c r="CY54" s="51"/>
      <c r="CZ54" s="51"/>
      <c r="DA54" s="51"/>
      <c r="DB54" s="51"/>
      <c r="DC54" s="51"/>
      <c r="DD54" s="51"/>
      <c r="DE54" s="51"/>
      <c r="DF54" s="51"/>
      <c r="DG54" s="51"/>
      <c r="DH54" s="51"/>
      <c r="DI54" s="51"/>
      <c r="DJ54" s="51"/>
      <c r="DK54" s="51"/>
      <c r="DL54" s="51"/>
      <c r="DM54" s="51"/>
      <c r="DN54" s="51"/>
      <c r="DO54" s="51"/>
      <c r="DP54" s="51"/>
      <c r="DQ54" s="51"/>
      <c r="DR54" s="51"/>
      <c r="DS54" s="51"/>
      <c r="DT54" s="51"/>
      <c r="DU54" s="51"/>
      <c r="DV54" s="51"/>
      <c r="DW54" s="51"/>
      <c r="DX54" s="51"/>
      <c r="DY54" s="51"/>
      <c r="DZ54" s="16"/>
      <c r="EA54" s="12"/>
      <c r="EB54" s="2"/>
      <c r="EC54" s="2"/>
      <c r="ED54" s="2"/>
    </row>
    <row r="55" spans="1:134" ht="4" customHeight="1">
      <c r="A55" s="7"/>
      <c r="B55" s="25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47">
        <f>SUM(AC34:AG54)</f>
        <v>0</v>
      </c>
      <c r="AD55" s="47"/>
      <c r="AE55" s="47"/>
      <c r="AF55" s="47"/>
      <c r="AG55" s="47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47">
        <f>SUM(BI34:BM54)</f>
        <v>0</v>
      </c>
      <c r="BJ55" s="47"/>
      <c r="BK55" s="47"/>
      <c r="BL55" s="47"/>
      <c r="BM55" s="47"/>
      <c r="BN55" s="13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47">
        <f>SUM(CO34:CS54)</f>
        <v>0</v>
      </c>
      <c r="CP55" s="47"/>
      <c r="CQ55" s="47"/>
      <c r="CR55" s="47"/>
      <c r="CS55" s="47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47">
        <f>SUM(DU34:DY54)</f>
        <v>0</v>
      </c>
      <c r="DV55" s="47"/>
      <c r="DW55" s="47"/>
      <c r="DX55" s="47"/>
      <c r="DY55" s="47"/>
      <c r="DZ55" s="16"/>
      <c r="EA55" s="12"/>
      <c r="EB55" s="2"/>
      <c r="EC55" s="2"/>
      <c r="ED55" s="2"/>
    </row>
    <row r="56" spans="1:134" ht="4" customHeight="1">
      <c r="A56" s="7"/>
      <c r="B56" s="48" t="s">
        <v>13</v>
      </c>
      <c r="C56" s="49"/>
      <c r="D56" s="49"/>
      <c r="E56" s="49"/>
      <c r="F56" s="50"/>
      <c r="G56" s="50"/>
      <c r="H56" s="50"/>
      <c r="I56" s="50"/>
      <c r="J56" s="49" t="s">
        <v>15</v>
      </c>
      <c r="K56" s="49"/>
      <c r="L56" s="49"/>
      <c r="M56" s="49"/>
      <c r="N56" s="50"/>
      <c r="O56" s="50"/>
      <c r="P56" s="50"/>
      <c r="Q56" s="50"/>
      <c r="R56" s="49" t="s">
        <v>17</v>
      </c>
      <c r="S56" s="49"/>
      <c r="T56" s="49"/>
      <c r="U56" s="49"/>
      <c r="V56" s="50"/>
      <c r="W56" s="50"/>
      <c r="X56" s="50"/>
      <c r="Y56" s="50"/>
      <c r="Z56" s="14"/>
      <c r="AA56" s="13"/>
      <c r="AB56" s="13"/>
      <c r="AC56" s="47"/>
      <c r="AD56" s="47"/>
      <c r="AE56" s="47"/>
      <c r="AF56" s="47"/>
      <c r="AG56" s="47"/>
      <c r="AH56" s="14"/>
      <c r="AI56" s="49" t="s">
        <v>13</v>
      </c>
      <c r="AJ56" s="49"/>
      <c r="AK56" s="49"/>
      <c r="AL56" s="49"/>
      <c r="AM56" s="50"/>
      <c r="AN56" s="50"/>
      <c r="AO56" s="50"/>
      <c r="AP56" s="50"/>
      <c r="AQ56" s="49" t="s">
        <v>15</v>
      </c>
      <c r="AR56" s="49"/>
      <c r="AS56" s="49"/>
      <c r="AT56" s="49"/>
      <c r="AU56" s="50"/>
      <c r="AV56" s="50"/>
      <c r="AW56" s="50"/>
      <c r="AX56" s="50"/>
      <c r="AY56" s="49" t="s">
        <v>17</v>
      </c>
      <c r="AZ56" s="49"/>
      <c r="BA56" s="49"/>
      <c r="BB56" s="49"/>
      <c r="BC56" s="50"/>
      <c r="BD56" s="50"/>
      <c r="BE56" s="50"/>
      <c r="BF56" s="50"/>
      <c r="BG56" s="14"/>
      <c r="BH56" s="13"/>
      <c r="BI56" s="47"/>
      <c r="BJ56" s="47"/>
      <c r="BK56" s="47"/>
      <c r="BL56" s="47"/>
      <c r="BM56" s="47"/>
      <c r="BN56" s="13"/>
      <c r="BO56" s="49" t="s">
        <v>13</v>
      </c>
      <c r="BP56" s="49"/>
      <c r="BQ56" s="49"/>
      <c r="BR56" s="49"/>
      <c r="BS56" s="50"/>
      <c r="BT56" s="50"/>
      <c r="BU56" s="50"/>
      <c r="BV56" s="50"/>
      <c r="BW56" s="49" t="s">
        <v>15</v>
      </c>
      <c r="BX56" s="49"/>
      <c r="BY56" s="49"/>
      <c r="BZ56" s="49"/>
      <c r="CA56" s="50"/>
      <c r="CB56" s="50"/>
      <c r="CC56" s="50"/>
      <c r="CD56" s="50"/>
      <c r="CE56" s="49" t="s">
        <v>17</v>
      </c>
      <c r="CF56" s="49"/>
      <c r="CG56" s="49"/>
      <c r="CH56" s="49"/>
      <c r="CI56" s="50"/>
      <c r="CJ56" s="50"/>
      <c r="CK56" s="50"/>
      <c r="CL56" s="50"/>
      <c r="CM56" s="14"/>
      <c r="CN56" s="13"/>
      <c r="CO56" s="47"/>
      <c r="CP56" s="47"/>
      <c r="CQ56" s="47"/>
      <c r="CR56" s="47"/>
      <c r="CS56" s="47"/>
      <c r="CT56" s="14"/>
      <c r="CU56" s="49" t="s">
        <v>13</v>
      </c>
      <c r="CV56" s="49"/>
      <c r="CW56" s="49"/>
      <c r="CX56" s="49"/>
      <c r="CY56" s="50"/>
      <c r="CZ56" s="50"/>
      <c r="DA56" s="50"/>
      <c r="DB56" s="50"/>
      <c r="DC56" s="49" t="s">
        <v>15</v>
      </c>
      <c r="DD56" s="49"/>
      <c r="DE56" s="49"/>
      <c r="DF56" s="49"/>
      <c r="DG56" s="50"/>
      <c r="DH56" s="50"/>
      <c r="DI56" s="50"/>
      <c r="DJ56" s="50"/>
      <c r="DK56" s="49" t="s">
        <v>17</v>
      </c>
      <c r="DL56" s="49"/>
      <c r="DM56" s="49"/>
      <c r="DN56" s="49"/>
      <c r="DO56" s="50"/>
      <c r="DP56" s="50"/>
      <c r="DQ56" s="50"/>
      <c r="DR56" s="50"/>
      <c r="DS56" s="14"/>
      <c r="DT56" s="13"/>
      <c r="DU56" s="47"/>
      <c r="DV56" s="47"/>
      <c r="DW56" s="47"/>
      <c r="DX56" s="47"/>
      <c r="DY56" s="47"/>
      <c r="DZ56" s="16"/>
      <c r="EA56" s="12"/>
      <c r="EB56" s="2"/>
      <c r="EC56" s="2"/>
      <c r="ED56" s="2"/>
    </row>
    <row r="57" spans="1:134" ht="4" customHeight="1">
      <c r="A57" s="7"/>
      <c r="B57" s="48"/>
      <c r="C57" s="49"/>
      <c r="D57" s="49"/>
      <c r="E57" s="49"/>
      <c r="F57" s="50"/>
      <c r="G57" s="50"/>
      <c r="H57" s="50"/>
      <c r="I57" s="50"/>
      <c r="J57" s="49"/>
      <c r="K57" s="49"/>
      <c r="L57" s="49"/>
      <c r="M57" s="49"/>
      <c r="N57" s="50"/>
      <c r="O57" s="50"/>
      <c r="P57" s="50"/>
      <c r="Q57" s="50"/>
      <c r="R57" s="49"/>
      <c r="S57" s="49"/>
      <c r="T57" s="49"/>
      <c r="U57" s="49"/>
      <c r="V57" s="50"/>
      <c r="W57" s="50"/>
      <c r="X57" s="50"/>
      <c r="Y57" s="50"/>
      <c r="Z57" s="14"/>
      <c r="AA57" s="13"/>
      <c r="AB57" s="13"/>
      <c r="AC57" s="47"/>
      <c r="AD57" s="47"/>
      <c r="AE57" s="47"/>
      <c r="AF57" s="47"/>
      <c r="AG57" s="47"/>
      <c r="AH57" s="14"/>
      <c r="AI57" s="49"/>
      <c r="AJ57" s="49"/>
      <c r="AK57" s="49"/>
      <c r="AL57" s="49"/>
      <c r="AM57" s="50"/>
      <c r="AN57" s="50"/>
      <c r="AO57" s="50"/>
      <c r="AP57" s="50"/>
      <c r="AQ57" s="49"/>
      <c r="AR57" s="49"/>
      <c r="AS57" s="49"/>
      <c r="AT57" s="49"/>
      <c r="AU57" s="50"/>
      <c r="AV57" s="50"/>
      <c r="AW57" s="50"/>
      <c r="AX57" s="50"/>
      <c r="AY57" s="49"/>
      <c r="AZ57" s="49"/>
      <c r="BA57" s="49"/>
      <c r="BB57" s="49"/>
      <c r="BC57" s="50"/>
      <c r="BD57" s="50"/>
      <c r="BE57" s="50"/>
      <c r="BF57" s="50"/>
      <c r="BG57" s="14"/>
      <c r="BH57" s="13"/>
      <c r="BI57" s="47"/>
      <c r="BJ57" s="47"/>
      <c r="BK57" s="47"/>
      <c r="BL57" s="47"/>
      <c r="BM57" s="47"/>
      <c r="BN57" s="13"/>
      <c r="BO57" s="49"/>
      <c r="BP57" s="49"/>
      <c r="BQ57" s="49"/>
      <c r="BR57" s="49"/>
      <c r="BS57" s="50"/>
      <c r="BT57" s="50"/>
      <c r="BU57" s="50"/>
      <c r="BV57" s="50"/>
      <c r="BW57" s="49"/>
      <c r="BX57" s="49"/>
      <c r="BY57" s="49"/>
      <c r="BZ57" s="49"/>
      <c r="CA57" s="50"/>
      <c r="CB57" s="50"/>
      <c r="CC57" s="50"/>
      <c r="CD57" s="50"/>
      <c r="CE57" s="49"/>
      <c r="CF57" s="49"/>
      <c r="CG57" s="49"/>
      <c r="CH57" s="49"/>
      <c r="CI57" s="50"/>
      <c r="CJ57" s="50"/>
      <c r="CK57" s="50"/>
      <c r="CL57" s="50"/>
      <c r="CM57" s="14"/>
      <c r="CN57" s="13"/>
      <c r="CO57" s="47"/>
      <c r="CP57" s="47"/>
      <c r="CQ57" s="47"/>
      <c r="CR57" s="47"/>
      <c r="CS57" s="47"/>
      <c r="CT57" s="14"/>
      <c r="CU57" s="49"/>
      <c r="CV57" s="49"/>
      <c r="CW57" s="49"/>
      <c r="CX57" s="49"/>
      <c r="CY57" s="50"/>
      <c r="CZ57" s="50"/>
      <c r="DA57" s="50"/>
      <c r="DB57" s="50"/>
      <c r="DC57" s="49"/>
      <c r="DD57" s="49"/>
      <c r="DE57" s="49"/>
      <c r="DF57" s="49"/>
      <c r="DG57" s="50"/>
      <c r="DH57" s="50"/>
      <c r="DI57" s="50"/>
      <c r="DJ57" s="50"/>
      <c r="DK57" s="49"/>
      <c r="DL57" s="49"/>
      <c r="DM57" s="49"/>
      <c r="DN57" s="49"/>
      <c r="DO57" s="50"/>
      <c r="DP57" s="50"/>
      <c r="DQ57" s="50"/>
      <c r="DR57" s="50"/>
      <c r="DS57" s="14"/>
      <c r="DT57" s="13"/>
      <c r="DU57" s="47"/>
      <c r="DV57" s="47"/>
      <c r="DW57" s="47"/>
      <c r="DX57" s="47"/>
      <c r="DY57" s="47"/>
      <c r="DZ57" s="16"/>
      <c r="EA57" s="12"/>
      <c r="EB57" s="2"/>
      <c r="EC57" s="2"/>
      <c r="ED57" s="2"/>
    </row>
    <row r="58" spans="1:134" ht="4" customHeight="1">
      <c r="A58" s="7"/>
      <c r="B58" s="48"/>
      <c r="C58" s="49"/>
      <c r="D58" s="49"/>
      <c r="E58" s="49"/>
      <c r="F58" s="50"/>
      <c r="G58" s="50"/>
      <c r="H58" s="50"/>
      <c r="I58" s="50"/>
      <c r="J58" s="49"/>
      <c r="K58" s="49"/>
      <c r="L58" s="49"/>
      <c r="M58" s="49"/>
      <c r="N58" s="50"/>
      <c r="O58" s="50"/>
      <c r="P58" s="50"/>
      <c r="Q58" s="50"/>
      <c r="R58" s="49"/>
      <c r="S58" s="49"/>
      <c r="T58" s="49"/>
      <c r="U58" s="49"/>
      <c r="V58" s="50"/>
      <c r="W58" s="50"/>
      <c r="X58" s="50"/>
      <c r="Y58" s="50"/>
      <c r="Z58" s="14"/>
      <c r="AA58" s="14"/>
      <c r="AB58" s="14"/>
      <c r="AC58" s="14"/>
      <c r="AD58" s="14"/>
      <c r="AE58" s="14"/>
      <c r="AF58" s="14"/>
      <c r="AG58" s="14"/>
      <c r="AH58" s="14"/>
      <c r="AI58" s="49"/>
      <c r="AJ58" s="49"/>
      <c r="AK58" s="49"/>
      <c r="AL58" s="49"/>
      <c r="AM58" s="50"/>
      <c r="AN58" s="50"/>
      <c r="AO58" s="50"/>
      <c r="AP58" s="50"/>
      <c r="AQ58" s="49"/>
      <c r="AR58" s="49"/>
      <c r="AS58" s="49"/>
      <c r="AT58" s="49"/>
      <c r="AU58" s="50"/>
      <c r="AV58" s="50"/>
      <c r="AW58" s="50"/>
      <c r="AX58" s="50"/>
      <c r="AY58" s="49"/>
      <c r="AZ58" s="49"/>
      <c r="BA58" s="49"/>
      <c r="BB58" s="49"/>
      <c r="BC58" s="50"/>
      <c r="BD58" s="50"/>
      <c r="BE58" s="50"/>
      <c r="BF58" s="50"/>
      <c r="BG58" s="14"/>
      <c r="BH58" s="14"/>
      <c r="BI58" s="14"/>
      <c r="BJ58" s="14"/>
      <c r="BK58" s="14"/>
      <c r="BL58" s="14"/>
      <c r="BM58" s="14"/>
      <c r="BN58" s="14"/>
      <c r="BO58" s="49"/>
      <c r="BP58" s="49"/>
      <c r="BQ58" s="49"/>
      <c r="BR58" s="49"/>
      <c r="BS58" s="50"/>
      <c r="BT58" s="50"/>
      <c r="BU58" s="50"/>
      <c r="BV58" s="50"/>
      <c r="BW58" s="49"/>
      <c r="BX58" s="49"/>
      <c r="BY58" s="49"/>
      <c r="BZ58" s="49"/>
      <c r="CA58" s="50"/>
      <c r="CB58" s="50"/>
      <c r="CC58" s="50"/>
      <c r="CD58" s="50"/>
      <c r="CE58" s="49"/>
      <c r="CF58" s="49"/>
      <c r="CG58" s="49"/>
      <c r="CH58" s="49"/>
      <c r="CI58" s="50"/>
      <c r="CJ58" s="50"/>
      <c r="CK58" s="50"/>
      <c r="CL58" s="50"/>
      <c r="CM58" s="14"/>
      <c r="CN58" s="14"/>
      <c r="CO58" s="14"/>
      <c r="CP58" s="14"/>
      <c r="CQ58" s="14"/>
      <c r="CR58" s="14"/>
      <c r="CS58" s="14"/>
      <c r="CT58" s="14"/>
      <c r="CU58" s="49"/>
      <c r="CV58" s="49"/>
      <c r="CW58" s="49"/>
      <c r="CX58" s="49"/>
      <c r="CY58" s="50"/>
      <c r="CZ58" s="50"/>
      <c r="DA58" s="50"/>
      <c r="DB58" s="50"/>
      <c r="DC58" s="49"/>
      <c r="DD58" s="49"/>
      <c r="DE58" s="49"/>
      <c r="DF58" s="49"/>
      <c r="DG58" s="50"/>
      <c r="DH58" s="50"/>
      <c r="DI58" s="50"/>
      <c r="DJ58" s="50"/>
      <c r="DK58" s="49"/>
      <c r="DL58" s="49"/>
      <c r="DM58" s="49"/>
      <c r="DN58" s="49"/>
      <c r="DO58" s="50"/>
      <c r="DP58" s="50"/>
      <c r="DQ58" s="50"/>
      <c r="DR58" s="50"/>
      <c r="DS58" s="14"/>
      <c r="DT58" s="14"/>
      <c r="DU58" s="14"/>
      <c r="DV58" s="14"/>
      <c r="DW58" s="14"/>
      <c r="DX58" s="14"/>
      <c r="DY58" s="14"/>
      <c r="DZ58" s="16"/>
      <c r="EA58" s="12"/>
      <c r="EB58" s="2"/>
      <c r="EC58" s="2"/>
      <c r="ED58" s="2"/>
    </row>
    <row r="59" spans="1:134" ht="4" customHeight="1">
      <c r="A59" s="7"/>
      <c r="B59" s="48" t="s">
        <v>14</v>
      </c>
      <c r="C59" s="49"/>
      <c r="D59" s="49"/>
      <c r="E59" s="49"/>
      <c r="F59" s="50"/>
      <c r="G59" s="50"/>
      <c r="H59" s="50"/>
      <c r="I59" s="50"/>
      <c r="J59" s="49" t="s">
        <v>16</v>
      </c>
      <c r="K59" s="49"/>
      <c r="L59" s="49"/>
      <c r="M59" s="49"/>
      <c r="N59" s="50"/>
      <c r="O59" s="50"/>
      <c r="P59" s="50"/>
      <c r="Q59" s="50"/>
      <c r="R59" s="49" t="s">
        <v>18</v>
      </c>
      <c r="S59" s="49"/>
      <c r="T59" s="49"/>
      <c r="U59" s="49"/>
      <c r="V59" s="50"/>
      <c r="W59" s="50"/>
      <c r="X59" s="50"/>
      <c r="Y59" s="50"/>
      <c r="Z59" s="49" t="s">
        <v>19</v>
      </c>
      <c r="AA59" s="49"/>
      <c r="AB59" s="49"/>
      <c r="AC59" s="49"/>
      <c r="AD59" s="50"/>
      <c r="AE59" s="50"/>
      <c r="AF59" s="50"/>
      <c r="AG59" s="50"/>
      <c r="AH59" s="14"/>
      <c r="AI59" s="49" t="s">
        <v>14</v>
      </c>
      <c r="AJ59" s="49"/>
      <c r="AK59" s="49"/>
      <c r="AL59" s="49"/>
      <c r="AM59" s="50"/>
      <c r="AN59" s="50"/>
      <c r="AO59" s="50"/>
      <c r="AP59" s="50"/>
      <c r="AQ59" s="49" t="s">
        <v>16</v>
      </c>
      <c r="AR59" s="49"/>
      <c r="AS59" s="49"/>
      <c r="AT59" s="49"/>
      <c r="AU59" s="50"/>
      <c r="AV59" s="50"/>
      <c r="AW59" s="50"/>
      <c r="AX59" s="50"/>
      <c r="AY59" s="49" t="s">
        <v>18</v>
      </c>
      <c r="AZ59" s="49"/>
      <c r="BA59" s="49"/>
      <c r="BB59" s="49"/>
      <c r="BC59" s="50"/>
      <c r="BD59" s="50"/>
      <c r="BE59" s="50"/>
      <c r="BF59" s="50"/>
      <c r="BG59" s="49" t="s">
        <v>19</v>
      </c>
      <c r="BH59" s="49"/>
      <c r="BI59" s="49"/>
      <c r="BJ59" s="49"/>
      <c r="BK59" s="50"/>
      <c r="BL59" s="50"/>
      <c r="BM59" s="50"/>
      <c r="BN59" s="13"/>
      <c r="BO59" s="49" t="s">
        <v>14</v>
      </c>
      <c r="BP59" s="49"/>
      <c r="BQ59" s="49"/>
      <c r="BR59" s="49"/>
      <c r="BS59" s="50"/>
      <c r="BT59" s="50"/>
      <c r="BU59" s="50"/>
      <c r="BV59" s="50"/>
      <c r="BW59" s="49" t="s">
        <v>16</v>
      </c>
      <c r="BX59" s="49"/>
      <c r="BY59" s="49"/>
      <c r="BZ59" s="49"/>
      <c r="CA59" s="50"/>
      <c r="CB59" s="50"/>
      <c r="CC59" s="50"/>
      <c r="CD59" s="50"/>
      <c r="CE59" s="49" t="s">
        <v>18</v>
      </c>
      <c r="CF59" s="49"/>
      <c r="CG59" s="49"/>
      <c r="CH59" s="49"/>
      <c r="CI59" s="50"/>
      <c r="CJ59" s="50"/>
      <c r="CK59" s="50"/>
      <c r="CL59" s="50"/>
      <c r="CM59" s="49" t="s">
        <v>19</v>
      </c>
      <c r="CN59" s="49"/>
      <c r="CO59" s="49"/>
      <c r="CP59" s="49"/>
      <c r="CQ59" s="50"/>
      <c r="CR59" s="50"/>
      <c r="CS59" s="50"/>
      <c r="CT59" s="14"/>
      <c r="CU59" s="49" t="s">
        <v>14</v>
      </c>
      <c r="CV59" s="49"/>
      <c r="CW59" s="49"/>
      <c r="CX59" s="49"/>
      <c r="CY59" s="50"/>
      <c r="CZ59" s="50"/>
      <c r="DA59" s="50"/>
      <c r="DB59" s="50"/>
      <c r="DC59" s="49" t="s">
        <v>16</v>
      </c>
      <c r="DD59" s="49"/>
      <c r="DE59" s="49"/>
      <c r="DF59" s="49"/>
      <c r="DG59" s="50"/>
      <c r="DH59" s="50"/>
      <c r="DI59" s="50"/>
      <c r="DJ59" s="50"/>
      <c r="DK59" s="49" t="s">
        <v>18</v>
      </c>
      <c r="DL59" s="49"/>
      <c r="DM59" s="49"/>
      <c r="DN59" s="49"/>
      <c r="DO59" s="50"/>
      <c r="DP59" s="50"/>
      <c r="DQ59" s="50"/>
      <c r="DR59" s="50"/>
      <c r="DS59" s="49" t="s">
        <v>19</v>
      </c>
      <c r="DT59" s="49"/>
      <c r="DU59" s="49"/>
      <c r="DV59" s="49"/>
      <c r="DW59" s="50"/>
      <c r="DX59" s="50"/>
      <c r="DY59" s="50"/>
      <c r="DZ59" s="16"/>
      <c r="EA59" s="12"/>
      <c r="EB59" s="2"/>
      <c r="EC59" s="2"/>
      <c r="ED59" s="2"/>
    </row>
    <row r="60" spans="1:134" ht="4" customHeight="1">
      <c r="A60" s="7"/>
      <c r="B60" s="48"/>
      <c r="C60" s="49"/>
      <c r="D60" s="49"/>
      <c r="E60" s="49"/>
      <c r="F60" s="50"/>
      <c r="G60" s="50"/>
      <c r="H60" s="50"/>
      <c r="I60" s="50"/>
      <c r="J60" s="49"/>
      <c r="K60" s="49"/>
      <c r="L60" s="49"/>
      <c r="M60" s="49"/>
      <c r="N60" s="50"/>
      <c r="O60" s="50"/>
      <c r="P60" s="50"/>
      <c r="Q60" s="50"/>
      <c r="R60" s="49"/>
      <c r="S60" s="49"/>
      <c r="T60" s="49"/>
      <c r="U60" s="49"/>
      <c r="V60" s="50"/>
      <c r="W60" s="50"/>
      <c r="X60" s="50"/>
      <c r="Y60" s="50"/>
      <c r="Z60" s="49"/>
      <c r="AA60" s="49"/>
      <c r="AB60" s="49"/>
      <c r="AC60" s="49"/>
      <c r="AD60" s="50"/>
      <c r="AE60" s="50"/>
      <c r="AF60" s="50"/>
      <c r="AG60" s="50"/>
      <c r="AH60" s="14"/>
      <c r="AI60" s="49"/>
      <c r="AJ60" s="49"/>
      <c r="AK60" s="49"/>
      <c r="AL60" s="49"/>
      <c r="AM60" s="50"/>
      <c r="AN60" s="50"/>
      <c r="AO60" s="50"/>
      <c r="AP60" s="50"/>
      <c r="AQ60" s="49"/>
      <c r="AR60" s="49"/>
      <c r="AS60" s="49"/>
      <c r="AT60" s="49"/>
      <c r="AU60" s="50"/>
      <c r="AV60" s="50"/>
      <c r="AW60" s="50"/>
      <c r="AX60" s="50"/>
      <c r="AY60" s="49"/>
      <c r="AZ60" s="49"/>
      <c r="BA60" s="49"/>
      <c r="BB60" s="49"/>
      <c r="BC60" s="50"/>
      <c r="BD60" s="50"/>
      <c r="BE60" s="50"/>
      <c r="BF60" s="50"/>
      <c r="BG60" s="49"/>
      <c r="BH60" s="49"/>
      <c r="BI60" s="49"/>
      <c r="BJ60" s="49"/>
      <c r="BK60" s="50"/>
      <c r="BL60" s="50"/>
      <c r="BM60" s="50"/>
      <c r="BN60" s="13"/>
      <c r="BO60" s="49"/>
      <c r="BP60" s="49"/>
      <c r="BQ60" s="49"/>
      <c r="BR60" s="49"/>
      <c r="BS60" s="50"/>
      <c r="BT60" s="50"/>
      <c r="BU60" s="50"/>
      <c r="BV60" s="50"/>
      <c r="BW60" s="49"/>
      <c r="BX60" s="49"/>
      <c r="BY60" s="49"/>
      <c r="BZ60" s="49"/>
      <c r="CA60" s="50"/>
      <c r="CB60" s="50"/>
      <c r="CC60" s="50"/>
      <c r="CD60" s="50"/>
      <c r="CE60" s="49"/>
      <c r="CF60" s="49"/>
      <c r="CG60" s="49"/>
      <c r="CH60" s="49"/>
      <c r="CI60" s="50"/>
      <c r="CJ60" s="50"/>
      <c r="CK60" s="50"/>
      <c r="CL60" s="50"/>
      <c r="CM60" s="49"/>
      <c r="CN60" s="49"/>
      <c r="CO60" s="49"/>
      <c r="CP60" s="49"/>
      <c r="CQ60" s="50"/>
      <c r="CR60" s="50"/>
      <c r="CS60" s="50"/>
      <c r="CT60" s="14"/>
      <c r="CU60" s="49"/>
      <c r="CV60" s="49"/>
      <c r="CW60" s="49"/>
      <c r="CX60" s="49"/>
      <c r="CY60" s="50"/>
      <c r="CZ60" s="50"/>
      <c r="DA60" s="50"/>
      <c r="DB60" s="50"/>
      <c r="DC60" s="49"/>
      <c r="DD60" s="49"/>
      <c r="DE60" s="49"/>
      <c r="DF60" s="49"/>
      <c r="DG60" s="50"/>
      <c r="DH60" s="50"/>
      <c r="DI60" s="50"/>
      <c r="DJ60" s="50"/>
      <c r="DK60" s="49"/>
      <c r="DL60" s="49"/>
      <c r="DM60" s="49"/>
      <c r="DN60" s="49"/>
      <c r="DO60" s="50"/>
      <c r="DP60" s="50"/>
      <c r="DQ60" s="50"/>
      <c r="DR60" s="50"/>
      <c r="DS60" s="49"/>
      <c r="DT60" s="49"/>
      <c r="DU60" s="49"/>
      <c r="DV60" s="49"/>
      <c r="DW60" s="50"/>
      <c r="DX60" s="50"/>
      <c r="DY60" s="50"/>
      <c r="DZ60" s="16"/>
      <c r="EA60" s="12"/>
      <c r="EB60" s="2"/>
      <c r="EC60" s="2"/>
      <c r="ED60" s="2"/>
    </row>
    <row r="61" spans="1:134" ht="4" customHeight="1">
      <c r="A61" s="7"/>
      <c r="B61" s="48"/>
      <c r="C61" s="49"/>
      <c r="D61" s="49"/>
      <c r="E61" s="49"/>
      <c r="F61" s="50"/>
      <c r="G61" s="50"/>
      <c r="H61" s="50"/>
      <c r="I61" s="50"/>
      <c r="J61" s="49"/>
      <c r="K61" s="49"/>
      <c r="L61" s="49"/>
      <c r="M61" s="49"/>
      <c r="N61" s="50"/>
      <c r="O61" s="50"/>
      <c r="P61" s="50"/>
      <c r="Q61" s="50"/>
      <c r="R61" s="49"/>
      <c r="S61" s="49"/>
      <c r="T61" s="49"/>
      <c r="U61" s="49"/>
      <c r="V61" s="50"/>
      <c r="W61" s="50"/>
      <c r="X61" s="50"/>
      <c r="Y61" s="50"/>
      <c r="Z61" s="49"/>
      <c r="AA61" s="49"/>
      <c r="AB61" s="49"/>
      <c r="AC61" s="49"/>
      <c r="AD61" s="50"/>
      <c r="AE61" s="50"/>
      <c r="AF61" s="50"/>
      <c r="AG61" s="50"/>
      <c r="AH61" s="14"/>
      <c r="AI61" s="49"/>
      <c r="AJ61" s="49"/>
      <c r="AK61" s="49"/>
      <c r="AL61" s="49"/>
      <c r="AM61" s="50"/>
      <c r="AN61" s="50"/>
      <c r="AO61" s="50"/>
      <c r="AP61" s="50"/>
      <c r="AQ61" s="49"/>
      <c r="AR61" s="49"/>
      <c r="AS61" s="49"/>
      <c r="AT61" s="49"/>
      <c r="AU61" s="50"/>
      <c r="AV61" s="50"/>
      <c r="AW61" s="50"/>
      <c r="AX61" s="50"/>
      <c r="AY61" s="49"/>
      <c r="AZ61" s="49"/>
      <c r="BA61" s="49"/>
      <c r="BB61" s="49"/>
      <c r="BC61" s="50"/>
      <c r="BD61" s="50"/>
      <c r="BE61" s="50"/>
      <c r="BF61" s="50"/>
      <c r="BG61" s="49"/>
      <c r="BH61" s="49"/>
      <c r="BI61" s="49"/>
      <c r="BJ61" s="49"/>
      <c r="BK61" s="50"/>
      <c r="BL61" s="50"/>
      <c r="BM61" s="50"/>
      <c r="BN61" s="13"/>
      <c r="BO61" s="49"/>
      <c r="BP61" s="49"/>
      <c r="BQ61" s="49"/>
      <c r="BR61" s="49"/>
      <c r="BS61" s="50"/>
      <c r="BT61" s="50"/>
      <c r="BU61" s="50"/>
      <c r="BV61" s="50"/>
      <c r="BW61" s="49"/>
      <c r="BX61" s="49"/>
      <c r="BY61" s="49"/>
      <c r="BZ61" s="49"/>
      <c r="CA61" s="50"/>
      <c r="CB61" s="50"/>
      <c r="CC61" s="50"/>
      <c r="CD61" s="50"/>
      <c r="CE61" s="49"/>
      <c r="CF61" s="49"/>
      <c r="CG61" s="49"/>
      <c r="CH61" s="49"/>
      <c r="CI61" s="50"/>
      <c r="CJ61" s="50"/>
      <c r="CK61" s="50"/>
      <c r="CL61" s="50"/>
      <c r="CM61" s="49"/>
      <c r="CN61" s="49"/>
      <c r="CO61" s="49"/>
      <c r="CP61" s="49"/>
      <c r="CQ61" s="50"/>
      <c r="CR61" s="50"/>
      <c r="CS61" s="50"/>
      <c r="CT61" s="14"/>
      <c r="CU61" s="49"/>
      <c r="CV61" s="49"/>
      <c r="CW61" s="49"/>
      <c r="CX61" s="49"/>
      <c r="CY61" s="50"/>
      <c r="CZ61" s="50"/>
      <c r="DA61" s="50"/>
      <c r="DB61" s="50"/>
      <c r="DC61" s="49"/>
      <c r="DD61" s="49"/>
      <c r="DE61" s="49"/>
      <c r="DF61" s="49"/>
      <c r="DG61" s="50"/>
      <c r="DH61" s="50"/>
      <c r="DI61" s="50"/>
      <c r="DJ61" s="50"/>
      <c r="DK61" s="49"/>
      <c r="DL61" s="49"/>
      <c r="DM61" s="49"/>
      <c r="DN61" s="49"/>
      <c r="DO61" s="50"/>
      <c r="DP61" s="50"/>
      <c r="DQ61" s="50"/>
      <c r="DR61" s="50"/>
      <c r="DS61" s="49"/>
      <c r="DT61" s="49"/>
      <c r="DU61" s="49"/>
      <c r="DV61" s="49"/>
      <c r="DW61" s="50"/>
      <c r="DX61" s="50"/>
      <c r="DY61" s="50"/>
      <c r="DZ61" s="16"/>
      <c r="EA61" s="12"/>
      <c r="EB61" s="2"/>
      <c r="EC61" s="2"/>
      <c r="ED61" s="2"/>
    </row>
    <row r="62" spans="1:134" ht="4" customHeight="1">
      <c r="A62" s="7"/>
      <c r="B62" s="15"/>
      <c r="C62" s="10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2"/>
      <c r="DY62" s="12"/>
      <c r="DZ62" s="16"/>
      <c r="EA62" s="12"/>
      <c r="EB62" s="2"/>
      <c r="EC62" s="2"/>
      <c r="ED62" s="2"/>
    </row>
    <row r="63" spans="1:134" ht="4" customHeight="1">
      <c r="A63" s="7"/>
      <c r="B63" s="25"/>
      <c r="C63" s="52" t="str">
        <f xml:space="preserve"> "Fall " &amp;BO23 +1</f>
        <v>Fall 1</v>
      </c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13"/>
      <c r="AI63" s="52" t="str">
        <f xml:space="preserve"> "Winter " &amp; BO23+2</f>
        <v>Winter 2</v>
      </c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14"/>
      <c r="BO63" s="52" t="str">
        <f xml:space="preserve"> "Spring " &amp; BO23+2</f>
        <v>Spring 2</v>
      </c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2"/>
      <c r="CL63" s="52"/>
      <c r="CM63" s="52"/>
      <c r="CN63" s="52"/>
      <c r="CO63" s="52"/>
      <c r="CP63" s="52"/>
      <c r="CQ63" s="52"/>
      <c r="CR63" s="52"/>
      <c r="CS63" s="52"/>
      <c r="CT63" s="14"/>
      <c r="CU63" s="52" t="str">
        <f xml:space="preserve"> "Summer " &amp; BO23+2</f>
        <v>Summer 2</v>
      </c>
      <c r="CV63" s="52"/>
      <c r="CW63" s="52"/>
      <c r="CX63" s="52"/>
      <c r="CY63" s="52"/>
      <c r="CZ63" s="52"/>
      <c r="DA63" s="52"/>
      <c r="DB63" s="52"/>
      <c r="DC63" s="52"/>
      <c r="DD63" s="52"/>
      <c r="DE63" s="52"/>
      <c r="DF63" s="52"/>
      <c r="DG63" s="52"/>
      <c r="DH63" s="52"/>
      <c r="DI63" s="52"/>
      <c r="DJ63" s="52"/>
      <c r="DK63" s="52"/>
      <c r="DL63" s="52"/>
      <c r="DM63" s="52"/>
      <c r="DN63" s="52"/>
      <c r="DO63" s="52"/>
      <c r="DP63" s="52"/>
      <c r="DQ63" s="52"/>
      <c r="DR63" s="52"/>
      <c r="DS63" s="52"/>
      <c r="DT63" s="52"/>
      <c r="DU63" s="52"/>
      <c r="DV63" s="52"/>
      <c r="DW63" s="52"/>
      <c r="DX63" s="52"/>
      <c r="DY63" s="52"/>
      <c r="DZ63" s="16"/>
      <c r="EA63" s="12"/>
      <c r="EB63" s="2"/>
      <c r="EC63" s="2"/>
      <c r="ED63" s="2"/>
    </row>
    <row r="64" spans="1:134" ht="4" customHeight="1">
      <c r="A64" s="7"/>
      <c r="B64" s="25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13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14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2"/>
      <c r="CL64" s="52"/>
      <c r="CM64" s="52"/>
      <c r="CN64" s="52"/>
      <c r="CO64" s="52"/>
      <c r="CP64" s="52"/>
      <c r="CQ64" s="52"/>
      <c r="CR64" s="52"/>
      <c r="CS64" s="52"/>
      <c r="CT64" s="14"/>
      <c r="CU64" s="52"/>
      <c r="CV64" s="52"/>
      <c r="CW64" s="52"/>
      <c r="CX64" s="52"/>
      <c r="CY64" s="52"/>
      <c r="CZ64" s="52"/>
      <c r="DA64" s="52"/>
      <c r="DB64" s="52"/>
      <c r="DC64" s="52"/>
      <c r="DD64" s="52"/>
      <c r="DE64" s="52"/>
      <c r="DF64" s="52"/>
      <c r="DG64" s="52"/>
      <c r="DH64" s="52"/>
      <c r="DI64" s="52"/>
      <c r="DJ64" s="52"/>
      <c r="DK64" s="52"/>
      <c r="DL64" s="52"/>
      <c r="DM64" s="52"/>
      <c r="DN64" s="52"/>
      <c r="DO64" s="52"/>
      <c r="DP64" s="52"/>
      <c r="DQ64" s="52"/>
      <c r="DR64" s="52"/>
      <c r="DS64" s="52"/>
      <c r="DT64" s="52"/>
      <c r="DU64" s="52"/>
      <c r="DV64" s="52"/>
      <c r="DW64" s="52"/>
      <c r="DX64" s="52"/>
      <c r="DY64" s="52"/>
      <c r="DZ64" s="16"/>
      <c r="EA64" s="12"/>
      <c r="EB64" s="2"/>
      <c r="EC64" s="2"/>
      <c r="ED64" s="2"/>
    </row>
    <row r="65" spans="1:134" ht="4" customHeight="1">
      <c r="A65" s="7"/>
      <c r="B65" s="25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13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14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14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2"/>
      <c r="DJ65" s="52"/>
      <c r="DK65" s="52"/>
      <c r="DL65" s="52"/>
      <c r="DM65" s="52"/>
      <c r="DN65" s="52"/>
      <c r="DO65" s="52"/>
      <c r="DP65" s="52"/>
      <c r="DQ65" s="52"/>
      <c r="DR65" s="52"/>
      <c r="DS65" s="52"/>
      <c r="DT65" s="52"/>
      <c r="DU65" s="52"/>
      <c r="DV65" s="52"/>
      <c r="DW65" s="52"/>
      <c r="DX65" s="52"/>
      <c r="DY65" s="52"/>
      <c r="DZ65" s="16"/>
      <c r="EA65" s="12"/>
      <c r="EB65" s="2"/>
      <c r="EC65" s="2"/>
      <c r="ED65" s="2"/>
    </row>
    <row r="66" spans="1:134" ht="4" customHeight="1">
      <c r="A66" s="7"/>
      <c r="B66" s="25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13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14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2"/>
      <c r="CQ66" s="52"/>
      <c r="CR66" s="52"/>
      <c r="CS66" s="52"/>
      <c r="CT66" s="14"/>
      <c r="CU66" s="52"/>
      <c r="CV66" s="52"/>
      <c r="CW66" s="52"/>
      <c r="CX66" s="52"/>
      <c r="CY66" s="52"/>
      <c r="CZ66" s="52"/>
      <c r="DA66" s="52"/>
      <c r="DB66" s="52"/>
      <c r="DC66" s="52"/>
      <c r="DD66" s="52"/>
      <c r="DE66" s="52"/>
      <c r="DF66" s="52"/>
      <c r="DG66" s="52"/>
      <c r="DH66" s="52"/>
      <c r="DI66" s="52"/>
      <c r="DJ66" s="52"/>
      <c r="DK66" s="52"/>
      <c r="DL66" s="52"/>
      <c r="DM66" s="52"/>
      <c r="DN66" s="52"/>
      <c r="DO66" s="52"/>
      <c r="DP66" s="52"/>
      <c r="DQ66" s="52"/>
      <c r="DR66" s="52"/>
      <c r="DS66" s="52"/>
      <c r="DT66" s="52"/>
      <c r="DU66" s="52"/>
      <c r="DV66" s="52"/>
      <c r="DW66" s="52"/>
      <c r="DX66" s="52"/>
      <c r="DY66" s="52"/>
      <c r="DZ66" s="16"/>
      <c r="EA66" s="12"/>
      <c r="EB66" s="2"/>
      <c r="EC66" s="2"/>
      <c r="ED66" s="2"/>
    </row>
    <row r="67" spans="1:134" ht="4" customHeight="1">
      <c r="A67" s="7"/>
      <c r="B67" s="25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6"/>
      <c r="EA67" s="12"/>
      <c r="EB67" s="2"/>
      <c r="EC67" s="2"/>
      <c r="ED67" s="2"/>
    </row>
    <row r="68" spans="1:134" ht="4" customHeight="1">
      <c r="A68" s="7"/>
      <c r="B68" s="25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14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14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  <c r="CO68" s="51"/>
      <c r="CP68" s="51"/>
      <c r="CQ68" s="51"/>
      <c r="CR68" s="51"/>
      <c r="CS68" s="51"/>
      <c r="CT68" s="14"/>
      <c r="CU68" s="51"/>
      <c r="CV68" s="51"/>
      <c r="CW68" s="51"/>
      <c r="CX68" s="51"/>
      <c r="CY68" s="51"/>
      <c r="CZ68" s="51"/>
      <c r="DA68" s="51"/>
      <c r="DB68" s="51"/>
      <c r="DC68" s="51"/>
      <c r="DD68" s="51"/>
      <c r="DE68" s="51"/>
      <c r="DF68" s="51"/>
      <c r="DG68" s="51"/>
      <c r="DH68" s="51"/>
      <c r="DI68" s="51"/>
      <c r="DJ68" s="51"/>
      <c r="DK68" s="51"/>
      <c r="DL68" s="51"/>
      <c r="DM68" s="51"/>
      <c r="DN68" s="51"/>
      <c r="DO68" s="51"/>
      <c r="DP68" s="51"/>
      <c r="DQ68" s="51"/>
      <c r="DR68" s="51"/>
      <c r="DS68" s="51"/>
      <c r="DT68" s="51"/>
      <c r="DU68" s="51"/>
      <c r="DV68" s="51"/>
      <c r="DW68" s="51"/>
      <c r="DX68" s="51"/>
      <c r="DY68" s="51"/>
      <c r="DZ68" s="16"/>
      <c r="EA68" s="12"/>
      <c r="EB68" s="2"/>
      <c r="EC68" s="2"/>
      <c r="ED68" s="2"/>
    </row>
    <row r="69" spans="1:134" ht="4" customHeight="1">
      <c r="A69" s="7"/>
      <c r="B69" s="25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14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14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P69" s="51"/>
      <c r="CQ69" s="51"/>
      <c r="CR69" s="51"/>
      <c r="CS69" s="51"/>
      <c r="CT69" s="14"/>
      <c r="CU69" s="51"/>
      <c r="CV69" s="51"/>
      <c r="CW69" s="51"/>
      <c r="CX69" s="51"/>
      <c r="CY69" s="51"/>
      <c r="CZ69" s="51"/>
      <c r="DA69" s="51"/>
      <c r="DB69" s="51"/>
      <c r="DC69" s="51"/>
      <c r="DD69" s="51"/>
      <c r="DE69" s="51"/>
      <c r="DF69" s="51"/>
      <c r="DG69" s="51"/>
      <c r="DH69" s="51"/>
      <c r="DI69" s="51"/>
      <c r="DJ69" s="51"/>
      <c r="DK69" s="51"/>
      <c r="DL69" s="51"/>
      <c r="DM69" s="51"/>
      <c r="DN69" s="51"/>
      <c r="DO69" s="51"/>
      <c r="DP69" s="51"/>
      <c r="DQ69" s="51"/>
      <c r="DR69" s="51"/>
      <c r="DS69" s="51"/>
      <c r="DT69" s="51"/>
      <c r="DU69" s="51"/>
      <c r="DV69" s="51"/>
      <c r="DW69" s="51"/>
      <c r="DX69" s="51"/>
      <c r="DY69" s="51"/>
      <c r="DZ69" s="16"/>
      <c r="EA69" s="12"/>
      <c r="EB69" s="2"/>
      <c r="EC69" s="2"/>
      <c r="ED69" s="2"/>
    </row>
    <row r="70" spans="1:134" ht="4" customHeight="1">
      <c r="A70" s="7"/>
      <c r="B70" s="25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14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14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1"/>
      <c r="CQ70" s="51"/>
      <c r="CR70" s="51"/>
      <c r="CS70" s="51"/>
      <c r="CT70" s="14"/>
      <c r="CU70" s="51"/>
      <c r="CV70" s="51"/>
      <c r="CW70" s="51"/>
      <c r="CX70" s="51"/>
      <c r="CY70" s="51"/>
      <c r="CZ70" s="51"/>
      <c r="DA70" s="51"/>
      <c r="DB70" s="51"/>
      <c r="DC70" s="51"/>
      <c r="DD70" s="51"/>
      <c r="DE70" s="51"/>
      <c r="DF70" s="51"/>
      <c r="DG70" s="51"/>
      <c r="DH70" s="51"/>
      <c r="DI70" s="51"/>
      <c r="DJ70" s="51"/>
      <c r="DK70" s="51"/>
      <c r="DL70" s="51"/>
      <c r="DM70" s="51"/>
      <c r="DN70" s="51"/>
      <c r="DO70" s="51"/>
      <c r="DP70" s="51"/>
      <c r="DQ70" s="51"/>
      <c r="DR70" s="51"/>
      <c r="DS70" s="51"/>
      <c r="DT70" s="51"/>
      <c r="DU70" s="51"/>
      <c r="DV70" s="51"/>
      <c r="DW70" s="51"/>
      <c r="DX70" s="51"/>
      <c r="DY70" s="51"/>
      <c r="DZ70" s="16"/>
      <c r="EA70" s="12"/>
      <c r="EB70" s="2"/>
      <c r="EC70" s="2"/>
      <c r="ED70" s="2"/>
    </row>
    <row r="71" spans="1:134" ht="4" customHeight="1">
      <c r="A71" s="7"/>
      <c r="B71" s="25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14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14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P71" s="51"/>
      <c r="CQ71" s="51"/>
      <c r="CR71" s="51"/>
      <c r="CS71" s="51"/>
      <c r="CT71" s="14"/>
      <c r="CU71" s="51"/>
      <c r="CV71" s="51"/>
      <c r="CW71" s="51"/>
      <c r="CX71" s="51"/>
      <c r="CY71" s="51"/>
      <c r="CZ71" s="51"/>
      <c r="DA71" s="51"/>
      <c r="DB71" s="51"/>
      <c r="DC71" s="51"/>
      <c r="DD71" s="51"/>
      <c r="DE71" s="51"/>
      <c r="DF71" s="51"/>
      <c r="DG71" s="51"/>
      <c r="DH71" s="51"/>
      <c r="DI71" s="51"/>
      <c r="DJ71" s="51"/>
      <c r="DK71" s="51"/>
      <c r="DL71" s="51"/>
      <c r="DM71" s="51"/>
      <c r="DN71" s="51"/>
      <c r="DO71" s="51"/>
      <c r="DP71" s="51"/>
      <c r="DQ71" s="51"/>
      <c r="DR71" s="51"/>
      <c r="DS71" s="51"/>
      <c r="DT71" s="51"/>
      <c r="DU71" s="51"/>
      <c r="DV71" s="51"/>
      <c r="DW71" s="51"/>
      <c r="DX71" s="51"/>
      <c r="DY71" s="51"/>
      <c r="DZ71" s="16"/>
      <c r="EA71" s="12"/>
      <c r="EB71" s="2"/>
      <c r="EC71" s="2"/>
      <c r="ED71" s="2"/>
    </row>
    <row r="72" spans="1:134" ht="4" customHeight="1">
      <c r="A72" s="7"/>
      <c r="B72" s="25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14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14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  <c r="CP72" s="51"/>
      <c r="CQ72" s="51"/>
      <c r="CR72" s="51"/>
      <c r="CS72" s="51"/>
      <c r="CT72" s="14"/>
      <c r="CU72" s="51"/>
      <c r="CV72" s="51"/>
      <c r="CW72" s="51"/>
      <c r="CX72" s="51"/>
      <c r="CY72" s="51"/>
      <c r="CZ72" s="51"/>
      <c r="DA72" s="51"/>
      <c r="DB72" s="51"/>
      <c r="DC72" s="51"/>
      <c r="DD72" s="51"/>
      <c r="DE72" s="51"/>
      <c r="DF72" s="51"/>
      <c r="DG72" s="51"/>
      <c r="DH72" s="51"/>
      <c r="DI72" s="51"/>
      <c r="DJ72" s="51"/>
      <c r="DK72" s="51"/>
      <c r="DL72" s="51"/>
      <c r="DM72" s="51"/>
      <c r="DN72" s="51"/>
      <c r="DO72" s="51"/>
      <c r="DP72" s="51"/>
      <c r="DQ72" s="51"/>
      <c r="DR72" s="51"/>
      <c r="DS72" s="51"/>
      <c r="DT72" s="51"/>
      <c r="DU72" s="51"/>
      <c r="DV72" s="51"/>
      <c r="DW72" s="51"/>
      <c r="DX72" s="51"/>
      <c r="DY72" s="51"/>
      <c r="DZ72" s="16"/>
      <c r="EA72" s="12"/>
      <c r="EB72" s="2"/>
      <c r="EC72" s="2"/>
      <c r="ED72" s="2"/>
    </row>
    <row r="73" spans="1:134" ht="4" customHeight="1">
      <c r="A73" s="7"/>
      <c r="B73" s="25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14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14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  <c r="CP73" s="51"/>
      <c r="CQ73" s="51"/>
      <c r="CR73" s="51"/>
      <c r="CS73" s="51"/>
      <c r="CT73" s="14"/>
      <c r="CU73" s="51"/>
      <c r="CV73" s="51"/>
      <c r="CW73" s="51"/>
      <c r="CX73" s="51"/>
      <c r="CY73" s="51"/>
      <c r="CZ73" s="51"/>
      <c r="DA73" s="51"/>
      <c r="DB73" s="51"/>
      <c r="DC73" s="51"/>
      <c r="DD73" s="51"/>
      <c r="DE73" s="51"/>
      <c r="DF73" s="51"/>
      <c r="DG73" s="51"/>
      <c r="DH73" s="51"/>
      <c r="DI73" s="51"/>
      <c r="DJ73" s="51"/>
      <c r="DK73" s="51"/>
      <c r="DL73" s="51"/>
      <c r="DM73" s="51"/>
      <c r="DN73" s="51"/>
      <c r="DO73" s="51"/>
      <c r="DP73" s="51"/>
      <c r="DQ73" s="51"/>
      <c r="DR73" s="51"/>
      <c r="DS73" s="51"/>
      <c r="DT73" s="51"/>
      <c r="DU73" s="51"/>
      <c r="DV73" s="51"/>
      <c r="DW73" s="51"/>
      <c r="DX73" s="51"/>
      <c r="DY73" s="51"/>
      <c r="DZ73" s="16"/>
      <c r="EA73" s="12"/>
      <c r="EB73" s="2"/>
      <c r="EC73" s="2"/>
      <c r="ED73" s="2"/>
    </row>
    <row r="74" spans="1:134" ht="4" customHeight="1">
      <c r="A74" s="7"/>
      <c r="B74" s="25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14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14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  <c r="CP74" s="51"/>
      <c r="CQ74" s="51"/>
      <c r="CR74" s="51"/>
      <c r="CS74" s="51"/>
      <c r="CT74" s="14"/>
      <c r="CU74" s="51"/>
      <c r="CV74" s="51"/>
      <c r="CW74" s="51"/>
      <c r="CX74" s="51"/>
      <c r="CY74" s="51"/>
      <c r="CZ74" s="51"/>
      <c r="DA74" s="51"/>
      <c r="DB74" s="51"/>
      <c r="DC74" s="51"/>
      <c r="DD74" s="51"/>
      <c r="DE74" s="51"/>
      <c r="DF74" s="51"/>
      <c r="DG74" s="51"/>
      <c r="DH74" s="51"/>
      <c r="DI74" s="51"/>
      <c r="DJ74" s="51"/>
      <c r="DK74" s="51"/>
      <c r="DL74" s="51"/>
      <c r="DM74" s="51"/>
      <c r="DN74" s="51"/>
      <c r="DO74" s="51"/>
      <c r="DP74" s="51"/>
      <c r="DQ74" s="51"/>
      <c r="DR74" s="51"/>
      <c r="DS74" s="51"/>
      <c r="DT74" s="51"/>
      <c r="DU74" s="51"/>
      <c r="DV74" s="51"/>
      <c r="DW74" s="51"/>
      <c r="DX74" s="51"/>
      <c r="DY74" s="51"/>
      <c r="DZ74" s="16"/>
      <c r="EA74" s="12"/>
      <c r="EB74" s="2"/>
      <c r="EC74" s="2"/>
      <c r="ED74" s="2"/>
    </row>
    <row r="75" spans="1:134" ht="4" customHeight="1">
      <c r="A75" s="7"/>
      <c r="B75" s="25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14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14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  <c r="CP75" s="51"/>
      <c r="CQ75" s="51"/>
      <c r="CR75" s="51"/>
      <c r="CS75" s="51"/>
      <c r="CT75" s="14"/>
      <c r="CU75" s="51"/>
      <c r="CV75" s="51"/>
      <c r="CW75" s="51"/>
      <c r="CX75" s="51"/>
      <c r="CY75" s="51"/>
      <c r="CZ75" s="51"/>
      <c r="DA75" s="51"/>
      <c r="DB75" s="51"/>
      <c r="DC75" s="51"/>
      <c r="DD75" s="51"/>
      <c r="DE75" s="51"/>
      <c r="DF75" s="51"/>
      <c r="DG75" s="51"/>
      <c r="DH75" s="51"/>
      <c r="DI75" s="51"/>
      <c r="DJ75" s="51"/>
      <c r="DK75" s="51"/>
      <c r="DL75" s="51"/>
      <c r="DM75" s="51"/>
      <c r="DN75" s="51"/>
      <c r="DO75" s="51"/>
      <c r="DP75" s="51"/>
      <c r="DQ75" s="51"/>
      <c r="DR75" s="51"/>
      <c r="DS75" s="51"/>
      <c r="DT75" s="51"/>
      <c r="DU75" s="51"/>
      <c r="DV75" s="51"/>
      <c r="DW75" s="51"/>
      <c r="DX75" s="51"/>
      <c r="DY75" s="51"/>
      <c r="DZ75" s="16"/>
      <c r="EA75" s="12"/>
      <c r="EB75" s="2"/>
      <c r="EC75" s="2"/>
      <c r="ED75" s="2"/>
    </row>
    <row r="76" spans="1:134" ht="4" customHeight="1">
      <c r="A76" s="7"/>
      <c r="B76" s="25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14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14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  <c r="CP76" s="51"/>
      <c r="CQ76" s="51"/>
      <c r="CR76" s="51"/>
      <c r="CS76" s="51"/>
      <c r="CT76" s="14"/>
      <c r="CU76" s="51"/>
      <c r="CV76" s="51"/>
      <c r="CW76" s="51"/>
      <c r="CX76" s="51"/>
      <c r="CY76" s="51"/>
      <c r="CZ76" s="51"/>
      <c r="DA76" s="51"/>
      <c r="DB76" s="51"/>
      <c r="DC76" s="51"/>
      <c r="DD76" s="51"/>
      <c r="DE76" s="51"/>
      <c r="DF76" s="51"/>
      <c r="DG76" s="51"/>
      <c r="DH76" s="51"/>
      <c r="DI76" s="51"/>
      <c r="DJ76" s="51"/>
      <c r="DK76" s="51"/>
      <c r="DL76" s="51"/>
      <c r="DM76" s="51"/>
      <c r="DN76" s="51"/>
      <c r="DO76" s="51"/>
      <c r="DP76" s="51"/>
      <c r="DQ76" s="51"/>
      <c r="DR76" s="51"/>
      <c r="DS76" s="51"/>
      <c r="DT76" s="51"/>
      <c r="DU76" s="51"/>
      <c r="DV76" s="51"/>
      <c r="DW76" s="51"/>
      <c r="DX76" s="51"/>
      <c r="DY76" s="51"/>
      <c r="DZ76" s="16"/>
      <c r="EA76" s="12"/>
      <c r="EB76" s="2"/>
      <c r="EC76" s="2"/>
      <c r="ED76" s="2"/>
    </row>
    <row r="77" spans="1:134" ht="4" customHeight="1">
      <c r="A77" s="7"/>
      <c r="B77" s="25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14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14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  <c r="CP77" s="51"/>
      <c r="CQ77" s="51"/>
      <c r="CR77" s="51"/>
      <c r="CS77" s="51"/>
      <c r="CT77" s="14"/>
      <c r="CU77" s="51"/>
      <c r="CV77" s="51"/>
      <c r="CW77" s="51"/>
      <c r="CX77" s="51"/>
      <c r="CY77" s="51"/>
      <c r="CZ77" s="51"/>
      <c r="DA77" s="51"/>
      <c r="DB77" s="51"/>
      <c r="DC77" s="51"/>
      <c r="DD77" s="51"/>
      <c r="DE77" s="51"/>
      <c r="DF77" s="51"/>
      <c r="DG77" s="51"/>
      <c r="DH77" s="51"/>
      <c r="DI77" s="51"/>
      <c r="DJ77" s="51"/>
      <c r="DK77" s="51"/>
      <c r="DL77" s="51"/>
      <c r="DM77" s="51"/>
      <c r="DN77" s="51"/>
      <c r="DO77" s="51"/>
      <c r="DP77" s="51"/>
      <c r="DQ77" s="51"/>
      <c r="DR77" s="51"/>
      <c r="DS77" s="51"/>
      <c r="DT77" s="51"/>
      <c r="DU77" s="51"/>
      <c r="DV77" s="51"/>
      <c r="DW77" s="51"/>
      <c r="DX77" s="51"/>
      <c r="DY77" s="51"/>
      <c r="DZ77" s="16"/>
      <c r="EA77" s="12"/>
      <c r="EB77" s="2"/>
      <c r="EC77" s="2"/>
      <c r="ED77" s="2"/>
    </row>
    <row r="78" spans="1:134" ht="4" customHeight="1">
      <c r="A78" s="7"/>
      <c r="B78" s="25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14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14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P78" s="51"/>
      <c r="CQ78" s="51"/>
      <c r="CR78" s="51"/>
      <c r="CS78" s="51"/>
      <c r="CT78" s="14"/>
      <c r="CU78" s="51"/>
      <c r="CV78" s="51"/>
      <c r="CW78" s="51"/>
      <c r="CX78" s="51"/>
      <c r="CY78" s="51"/>
      <c r="CZ78" s="51"/>
      <c r="DA78" s="51"/>
      <c r="DB78" s="51"/>
      <c r="DC78" s="51"/>
      <c r="DD78" s="51"/>
      <c r="DE78" s="51"/>
      <c r="DF78" s="51"/>
      <c r="DG78" s="51"/>
      <c r="DH78" s="51"/>
      <c r="DI78" s="51"/>
      <c r="DJ78" s="51"/>
      <c r="DK78" s="51"/>
      <c r="DL78" s="51"/>
      <c r="DM78" s="51"/>
      <c r="DN78" s="51"/>
      <c r="DO78" s="51"/>
      <c r="DP78" s="51"/>
      <c r="DQ78" s="51"/>
      <c r="DR78" s="51"/>
      <c r="DS78" s="51"/>
      <c r="DT78" s="51"/>
      <c r="DU78" s="51"/>
      <c r="DV78" s="51"/>
      <c r="DW78" s="51"/>
      <c r="DX78" s="51"/>
      <c r="DY78" s="51"/>
      <c r="DZ78" s="16"/>
      <c r="EA78" s="13"/>
      <c r="EB78" s="2"/>
      <c r="EC78" s="2"/>
      <c r="ED78" s="2"/>
    </row>
    <row r="79" spans="1:134" ht="4" customHeight="1">
      <c r="A79" s="7"/>
      <c r="B79" s="25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14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14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  <c r="CP79" s="51"/>
      <c r="CQ79" s="51"/>
      <c r="CR79" s="51"/>
      <c r="CS79" s="51"/>
      <c r="CT79" s="14"/>
      <c r="CU79" s="51"/>
      <c r="CV79" s="51"/>
      <c r="CW79" s="51"/>
      <c r="CX79" s="51"/>
      <c r="CY79" s="51"/>
      <c r="CZ79" s="51"/>
      <c r="DA79" s="51"/>
      <c r="DB79" s="51"/>
      <c r="DC79" s="51"/>
      <c r="DD79" s="51"/>
      <c r="DE79" s="51"/>
      <c r="DF79" s="51"/>
      <c r="DG79" s="51"/>
      <c r="DH79" s="51"/>
      <c r="DI79" s="51"/>
      <c r="DJ79" s="51"/>
      <c r="DK79" s="51"/>
      <c r="DL79" s="51"/>
      <c r="DM79" s="51"/>
      <c r="DN79" s="51"/>
      <c r="DO79" s="51"/>
      <c r="DP79" s="51"/>
      <c r="DQ79" s="51"/>
      <c r="DR79" s="51"/>
      <c r="DS79" s="51"/>
      <c r="DT79" s="51"/>
      <c r="DU79" s="51"/>
      <c r="DV79" s="51"/>
      <c r="DW79" s="51"/>
      <c r="DX79" s="51"/>
      <c r="DY79" s="51"/>
      <c r="DZ79" s="16"/>
      <c r="EA79" s="13"/>
      <c r="EB79" s="2"/>
      <c r="EC79" s="2"/>
      <c r="ED79" s="2"/>
    </row>
    <row r="80" spans="1:134" ht="4" customHeight="1">
      <c r="A80" s="7"/>
      <c r="B80" s="25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14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14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  <c r="CM80" s="51"/>
      <c r="CN80" s="51"/>
      <c r="CO80" s="51"/>
      <c r="CP80" s="51"/>
      <c r="CQ80" s="51"/>
      <c r="CR80" s="51"/>
      <c r="CS80" s="51"/>
      <c r="CT80" s="14"/>
      <c r="CU80" s="51"/>
      <c r="CV80" s="51"/>
      <c r="CW80" s="51"/>
      <c r="CX80" s="51"/>
      <c r="CY80" s="51"/>
      <c r="CZ80" s="51"/>
      <c r="DA80" s="51"/>
      <c r="DB80" s="51"/>
      <c r="DC80" s="51"/>
      <c r="DD80" s="51"/>
      <c r="DE80" s="51"/>
      <c r="DF80" s="51"/>
      <c r="DG80" s="51"/>
      <c r="DH80" s="51"/>
      <c r="DI80" s="51"/>
      <c r="DJ80" s="51"/>
      <c r="DK80" s="51"/>
      <c r="DL80" s="51"/>
      <c r="DM80" s="51"/>
      <c r="DN80" s="51"/>
      <c r="DO80" s="51"/>
      <c r="DP80" s="51"/>
      <c r="DQ80" s="51"/>
      <c r="DR80" s="51"/>
      <c r="DS80" s="51"/>
      <c r="DT80" s="51"/>
      <c r="DU80" s="51"/>
      <c r="DV80" s="51"/>
      <c r="DW80" s="51"/>
      <c r="DX80" s="51"/>
      <c r="DY80" s="51"/>
      <c r="DZ80" s="16"/>
      <c r="EA80" s="13"/>
      <c r="EB80" s="2"/>
      <c r="EC80" s="2"/>
      <c r="ED80" s="2"/>
    </row>
    <row r="81" spans="1:134" ht="4" customHeight="1">
      <c r="A81" s="7"/>
      <c r="B81" s="25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14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14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51"/>
      <c r="CE81" s="51"/>
      <c r="CF81" s="51"/>
      <c r="CG81" s="51"/>
      <c r="CH81" s="51"/>
      <c r="CI81" s="51"/>
      <c r="CJ81" s="51"/>
      <c r="CK81" s="51"/>
      <c r="CL81" s="51"/>
      <c r="CM81" s="51"/>
      <c r="CN81" s="51"/>
      <c r="CO81" s="51"/>
      <c r="CP81" s="51"/>
      <c r="CQ81" s="51"/>
      <c r="CR81" s="51"/>
      <c r="CS81" s="51"/>
      <c r="CT81" s="14"/>
      <c r="CU81" s="51"/>
      <c r="CV81" s="51"/>
      <c r="CW81" s="51"/>
      <c r="CX81" s="51"/>
      <c r="CY81" s="51"/>
      <c r="CZ81" s="51"/>
      <c r="DA81" s="51"/>
      <c r="DB81" s="51"/>
      <c r="DC81" s="51"/>
      <c r="DD81" s="51"/>
      <c r="DE81" s="51"/>
      <c r="DF81" s="51"/>
      <c r="DG81" s="51"/>
      <c r="DH81" s="51"/>
      <c r="DI81" s="51"/>
      <c r="DJ81" s="51"/>
      <c r="DK81" s="51"/>
      <c r="DL81" s="51"/>
      <c r="DM81" s="51"/>
      <c r="DN81" s="51"/>
      <c r="DO81" s="51"/>
      <c r="DP81" s="51"/>
      <c r="DQ81" s="51"/>
      <c r="DR81" s="51"/>
      <c r="DS81" s="51"/>
      <c r="DT81" s="51"/>
      <c r="DU81" s="51"/>
      <c r="DV81" s="51"/>
      <c r="DW81" s="51"/>
      <c r="DX81" s="51"/>
      <c r="DY81" s="51"/>
      <c r="DZ81" s="16"/>
      <c r="EA81" s="13"/>
      <c r="EB81" s="2"/>
      <c r="EC81" s="2"/>
      <c r="ED81" s="2"/>
    </row>
    <row r="82" spans="1:134" ht="4" customHeight="1">
      <c r="A82" s="7"/>
      <c r="B82" s="25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14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14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  <c r="CF82" s="51"/>
      <c r="CG82" s="51"/>
      <c r="CH82" s="51"/>
      <c r="CI82" s="51"/>
      <c r="CJ82" s="51"/>
      <c r="CK82" s="51"/>
      <c r="CL82" s="51"/>
      <c r="CM82" s="51"/>
      <c r="CN82" s="51"/>
      <c r="CO82" s="51"/>
      <c r="CP82" s="51"/>
      <c r="CQ82" s="51"/>
      <c r="CR82" s="51"/>
      <c r="CS82" s="51"/>
      <c r="CT82" s="14"/>
      <c r="CU82" s="51"/>
      <c r="CV82" s="51"/>
      <c r="CW82" s="51"/>
      <c r="CX82" s="51"/>
      <c r="CY82" s="51"/>
      <c r="CZ82" s="51"/>
      <c r="DA82" s="51"/>
      <c r="DB82" s="51"/>
      <c r="DC82" s="51"/>
      <c r="DD82" s="51"/>
      <c r="DE82" s="51"/>
      <c r="DF82" s="51"/>
      <c r="DG82" s="51"/>
      <c r="DH82" s="51"/>
      <c r="DI82" s="51"/>
      <c r="DJ82" s="51"/>
      <c r="DK82" s="51"/>
      <c r="DL82" s="51"/>
      <c r="DM82" s="51"/>
      <c r="DN82" s="51"/>
      <c r="DO82" s="51"/>
      <c r="DP82" s="51"/>
      <c r="DQ82" s="51"/>
      <c r="DR82" s="51"/>
      <c r="DS82" s="51"/>
      <c r="DT82" s="51"/>
      <c r="DU82" s="51"/>
      <c r="DV82" s="51"/>
      <c r="DW82" s="51"/>
      <c r="DX82" s="51"/>
      <c r="DY82" s="51"/>
      <c r="DZ82" s="16"/>
      <c r="EA82" s="14"/>
      <c r="EB82" s="2"/>
      <c r="EC82" s="2"/>
      <c r="ED82" s="2"/>
    </row>
    <row r="83" spans="1:134" ht="4" customHeight="1">
      <c r="A83" s="7"/>
      <c r="B83" s="25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14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14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  <c r="CM83" s="51"/>
      <c r="CN83" s="51"/>
      <c r="CO83" s="51"/>
      <c r="CP83" s="51"/>
      <c r="CQ83" s="51"/>
      <c r="CR83" s="51"/>
      <c r="CS83" s="51"/>
      <c r="CT83" s="14"/>
      <c r="CU83" s="51"/>
      <c r="CV83" s="51"/>
      <c r="CW83" s="51"/>
      <c r="CX83" s="51"/>
      <c r="CY83" s="51"/>
      <c r="CZ83" s="51"/>
      <c r="DA83" s="51"/>
      <c r="DB83" s="51"/>
      <c r="DC83" s="51"/>
      <c r="DD83" s="51"/>
      <c r="DE83" s="51"/>
      <c r="DF83" s="51"/>
      <c r="DG83" s="51"/>
      <c r="DH83" s="51"/>
      <c r="DI83" s="51"/>
      <c r="DJ83" s="51"/>
      <c r="DK83" s="51"/>
      <c r="DL83" s="51"/>
      <c r="DM83" s="51"/>
      <c r="DN83" s="51"/>
      <c r="DO83" s="51"/>
      <c r="DP83" s="51"/>
      <c r="DQ83" s="51"/>
      <c r="DR83" s="51"/>
      <c r="DS83" s="51"/>
      <c r="DT83" s="51"/>
      <c r="DU83" s="51"/>
      <c r="DV83" s="51"/>
      <c r="DW83" s="51"/>
      <c r="DX83" s="51"/>
      <c r="DY83" s="51"/>
      <c r="DZ83" s="16"/>
      <c r="EA83" s="13"/>
      <c r="EB83" s="2"/>
      <c r="EC83" s="2"/>
      <c r="ED83" s="2"/>
    </row>
    <row r="84" spans="1:134" ht="4" customHeight="1">
      <c r="A84" s="7"/>
      <c r="B84" s="25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14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14"/>
      <c r="BO84" s="51"/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1"/>
      <c r="CA84" s="51"/>
      <c r="CB84" s="51"/>
      <c r="CC84" s="51"/>
      <c r="CD84" s="51"/>
      <c r="CE84" s="51"/>
      <c r="CF84" s="51"/>
      <c r="CG84" s="51"/>
      <c r="CH84" s="51"/>
      <c r="CI84" s="51"/>
      <c r="CJ84" s="51"/>
      <c r="CK84" s="51"/>
      <c r="CL84" s="51"/>
      <c r="CM84" s="51"/>
      <c r="CN84" s="51"/>
      <c r="CO84" s="51"/>
      <c r="CP84" s="51"/>
      <c r="CQ84" s="51"/>
      <c r="CR84" s="51"/>
      <c r="CS84" s="51"/>
      <c r="CT84" s="14"/>
      <c r="CU84" s="51"/>
      <c r="CV84" s="51"/>
      <c r="CW84" s="51"/>
      <c r="CX84" s="51"/>
      <c r="CY84" s="51"/>
      <c r="CZ84" s="51"/>
      <c r="DA84" s="51"/>
      <c r="DB84" s="51"/>
      <c r="DC84" s="51"/>
      <c r="DD84" s="51"/>
      <c r="DE84" s="51"/>
      <c r="DF84" s="51"/>
      <c r="DG84" s="51"/>
      <c r="DH84" s="51"/>
      <c r="DI84" s="51"/>
      <c r="DJ84" s="51"/>
      <c r="DK84" s="51"/>
      <c r="DL84" s="51"/>
      <c r="DM84" s="51"/>
      <c r="DN84" s="51"/>
      <c r="DO84" s="51"/>
      <c r="DP84" s="51"/>
      <c r="DQ84" s="51"/>
      <c r="DR84" s="51"/>
      <c r="DS84" s="51"/>
      <c r="DT84" s="51"/>
      <c r="DU84" s="51"/>
      <c r="DV84" s="51"/>
      <c r="DW84" s="51"/>
      <c r="DX84" s="51"/>
      <c r="DY84" s="51"/>
      <c r="DZ84" s="16"/>
      <c r="EA84" s="13"/>
      <c r="EB84" s="2"/>
      <c r="EC84" s="2"/>
      <c r="ED84" s="2"/>
    </row>
    <row r="85" spans="1:134" ht="4" customHeight="1">
      <c r="A85" s="7"/>
      <c r="B85" s="25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14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14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  <c r="CC85" s="51"/>
      <c r="CD85" s="51"/>
      <c r="CE85" s="51"/>
      <c r="CF85" s="51"/>
      <c r="CG85" s="51"/>
      <c r="CH85" s="51"/>
      <c r="CI85" s="51"/>
      <c r="CJ85" s="51"/>
      <c r="CK85" s="51"/>
      <c r="CL85" s="51"/>
      <c r="CM85" s="51"/>
      <c r="CN85" s="51"/>
      <c r="CO85" s="51"/>
      <c r="CP85" s="51"/>
      <c r="CQ85" s="51"/>
      <c r="CR85" s="51"/>
      <c r="CS85" s="51"/>
      <c r="CT85" s="14"/>
      <c r="CU85" s="51"/>
      <c r="CV85" s="51"/>
      <c r="CW85" s="51"/>
      <c r="CX85" s="51"/>
      <c r="CY85" s="51"/>
      <c r="CZ85" s="51"/>
      <c r="DA85" s="51"/>
      <c r="DB85" s="51"/>
      <c r="DC85" s="51"/>
      <c r="DD85" s="51"/>
      <c r="DE85" s="51"/>
      <c r="DF85" s="51"/>
      <c r="DG85" s="51"/>
      <c r="DH85" s="51"/>
      <c r="DI85" s="51"/>
      <c r="DJ85" s="51"/>
      <c r="DK85" s="51"/>
      <c r="DL85" s="51"/>
      <c r="DM85" s="51"/>
      <c r="DN85" s="51"/>
      <c r="DO85" s="51"/>
      <c r="DP85" s="51"/>
      <c r="DQ85" s="51"/>
      <c r="DR85" s="51"/>
      <c r="DS85" s="51"/>
      <c r="DT85" s="51"/>
      <c r="DU85" s="51"/>
      <c r="DV85" s="51"/>
      <c r="DW85" s="51"/>
      <c r="DX85" s="51"/>
      <c r="DY85" s="51"/>
      <c r="DZ85" s="16"/>
      <c r="EA85" s="13"/>
      <c r="EB85" s="2"/>
      <c r="EC85" s="2"/>
      <c r="ED85" s="2"/>
    </row>
    <row r="86" spans="1:134" ht="4" customHeight="1">
      <c r="A86" s="7"/>
      <c r="B86" s="25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14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14"/>
      <c r="BO86" s="51"/>
      <c r="BP86" s="51"/>
      <c r="BQ86" s="51"/>
      <c r="BR86" s="51"/>
      <c r="BS86" s="51"/>
      <c r="BT86" s="51"/>
      <c r="BU86" s="51"/>
      <c r="BV86" s="51"/>
      <c r="BW86" s="51"/>
      <c r="BX86" s="51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  <c r="CM86" s="51"/>
      <c r="CN86" s="51"/>
      <c r="CO86" s="51"/>
      <c r="CP86" s="51"/>
      <c r="CQ86" s="51"/>
      <c r="CR86" s="51"/>
      <c r="CS86" s="51"/>
      <c r="CT86" s="14"/>
      <c r="CU86" s="51"/>
      <c r="CV86" s="51"/>
      <c r="CW86" s="51"/>
      <c r="CX86" s="51"/>
      <c r="CY86" s="51"/>
      <c r="CZ86" s="51"/>
      <c r="DA86" s="51"/>
      <c r="DB86" s="51"/>
      <c r="DC86" s="51"/>
      <c r="DD86" s="51"/>
      <c r="DE86" s="51"/>
      <c r="DF86" s="51"/>
      <c r="DG86" s="51"/>
      <c r="DH86" s="51"/>
      <c r="DI86" s="51"/>
      <c r="DJ86" s="51"/>
      <c r="DK86" s="51"/>
      <c r="DL86" s="51"/>
      <c r="DM86" s="51"/>
      <c r="DN86" s="51"/>
      <c r="DO86" s="51"/>
      <c r="DP86" s="51"/>
      <c r="DQ86" s="51"/>
      <c r="DR86" s="51"/>
      <c r="DS86" s="51"/>
      <c r="DT86" s="51"/>
      <c r="DU86" s="51"/>
      <c r="DV86" s="51"/>
      <c r="DW86" s="51"/>
      <c r="DX86" s="51"/>
      <c r="DY86" s="51"/>
      <c r="DZ86" s="16"/>
      <c r="EA86" s="13"/>
      <c r="EB86" s="2"/>
      <c r="EC86" s="2"/>
      <c r="ED86" s="2"/>
    </row>
    <row r="87" spans="1:134" ht="4" customHeight="1">
      <c r="A87" s="7"/>
      <c r="B87" s="25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14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14"/>
      <c r="BO87" s="51"/>
      <c r="BP87" s="51"/>
      <c r="BQ87" s="51"/>
      <c r="BR87" s="51"/>
      <c r="BS87" s="51"/>
      <c r="BT87" s="51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  <c r="CM87" s="51"/>
      <c r="CN87" s="51"/>
      <c r="CO87" s="51"/>
      <c r="CP87" s="51"/>
      <c r="CQ87" s="51"/>
      <c r="CR87" s="51"/>
      <c r="CS87" s="51"/>
      <c r="CT87" s="14"/>
      <c r="CU87" s="51"/>
      <c r="CV87" s="51"/>
      <c r="CW87" s="51"/>
      <c r="CX87" s="51"/>
      <c r="CY87" s="51"/>
      <c r="CZ87" s="51"/>
      <c r="DA87" s="51"/>
      <c r="DB87" s="51"/>
      <c r="DC87" s="51"/>
      <c r="DD87" s="51"/>
      <c r="DE87" s="51"/>
      <c r="DF87" s="51"/>
      <c r="DG87" s="51"/>
      <c r="DH87" s="51"/>
      <c r="DI87" s="51"/>
      <c r="DJ87" s="51"/>
      <c r="DK87" s="51"/>
      <c r="DL87" s="51"/>
      <c r="DM87" s="51"/>
      <c r="DN87" s="51"/>
      <c r="DO87" s="51"/>
      <c r="DP87" s="51"/>
      <c r="DQ87" s="51"/>
      <c r="DR87" s="51"/>
      <c r="DS87" s="51"/>
      <c r="DT87" s="51"/>
      <c r="DU87" s="51"/>
      <c r="DV87" s="51"/>
      <c r="DW87" s="51"/>
      <c r="DX87" s="51"/>
      <c r="DY87" s="51"/>
      <c r="DZ87" s="16"/>
      <c r="EA87" s="13"/>
      <c r="EB87" s="2"/>
      <c r="EC87" s="2"/>
      <c r="ED87" s="2"/>
    </row>
    <row r="88" spans="1:134" ht="4" customHeight="1">
      <c r="A88" s="7"/>
      <c r="B88" s="25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14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14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  <c r="CM88" s="51"/>
      <c r="CN88" s="51"/>
      <c r="CO88" s="51"/>
      <c r="CP88" s="51"/>
      <c r="CQ88" s="51"/>
      <c r="CR88" s="51"/>
      <c r="CS88" s="51"/>
      <c r="CT88" s="14"/>
      <c r="CU88" s="51"/>
      <c r="CV88" s="51"/>
      <c r="CW88" s="51"/>
      <c r="CX88" s="51"/>
      <c r="CY88" s="51"/>
      <c r="CZ88" s="51"/>
      <c r="DA88" s="51"/>
      <c r="DB88" s="51"/>
      <c r="DC88" s="51"/>
      <c r="DD88" s="51"/>
      <c r="DE88" s="51"/>
      <c r="DF88" s="51"/>
      <c r="DG88" s="51"/>
      <c r="DH88" s="51"/>
      <c r="DI88" s="51"/>
      <c r="DJ88" s="51"/>
      <c r="DK88" s="51"/>
      <c r="DL88" s="51"/>
      <c r="DM88" s="51"/>
      <c r="DN88" s="51"/>
      <c r="DO88" s="51"/>
      <c r="DP88" s="51"/>
      <c r="DQ88" s="51"/>
      <c r="DR88" s="51"/>
      <c r="DS88" s="51"/>
      <c r="DT88" s="51"/>
      <c r="DU88" s="51"/>
      <c r="DV88" s="51"/>
      <c r="DW88" s="51"/>
      <c r="DX88" s="51"/>
      <c r="DY88" s="51"/>
      <c r="DZ88" s="16"/>
      <c r="EA88" s="13"/>
      <c r="EB88" s="2"/>
      <c r="EC88" s="2"/>
      <c r="ED88" s="2"/>
    </row>
    <row r="89" spans="1:134" ht="4" customHeight="1">
      <c r="A89" s="7"/>
      <c r="B89" s="25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47">
        <f>SUM(AC68:AG88)</f>
        <v>0</v>
      </c>
      <c r="AD89" s="47"/>
      <c r="AE89" s="47"/>
      <c r="AF89" s="47"/>
      <c r="AG89" s="47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47">
        <f>SUM(BI68:BM88)</f>
        <v>0</v>
      </c>
      <c r="BJ89" s="47"/>
      <c r="BK89" s="47"/>
      <c r="BL89" s="47"/>
      <c r="BM89" s="47"/>
      <c r="BN89" s="13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47">
        <f>SUM(CO68:CS88)</f>
        <v>0</v>
      </c>
      <c r="CP89" s="47"/>
      <c r="CQ89" s="47"/>
      <c r="CR89" s="47"/>
      <c r="CS89" s="47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47">
        <f>SUM(DU68:DY88)</f>
        <v>0</v>
      </c>
      <c r="DV89" s="47"/>
      <c r="DW89" s="47"/>
      <c r="DX89" s="47"/>
      <c r="DY89" s="47"/>
      <c r="DZ89" s="16"/>
      <c r="EA89" s="13"/>
      <c r="EB89" s="2"/>
      <c r="EC89" s="2"/>
      <c r="ED89" s="2"/>
    </row>
    <row r="90" spans="1:134" ht="4" customHeight="1">
      <c r="A90" s="7"/>
      <c r="B90" s="48" t="s">
        <v>13</v>
      </c>
      <c r="C90" s="49"/>
      <c r="D90" s="49"/>
      <c r="E90" s="49"/>
      <c r="F90" s="50"/>
      <c r="G90" s="50"/>
      <c r="H90" s="50"/>
      <c r="I90" s="50"/>
      <c r="J90" s="49" t="s">
        <v>15</v>
      </c>
      <c r="K90" s="49"/>
      <c r="L90" s="49"/>
      <c r="M90" s="49"/>
      <c r="N90" s="50"/>
      <c r="O90" s="50"/>
      <c r="P90" s="50"/>
      <c r="Q90" s="50"/>
      <c r="R90" s="49" t="s">
        <v>17</v>
      </c>
      <c r="S90" s="49"/>
      <c r="T90" s="49"/>
      <c r="U90" s="49"/>
      <c r="V90" s="50"/>
      <c r="W90" s="50"/>
      <c r="X90" s="50"/>
      <c r="Y90" s="50"/>
      <c r="Z90" s="14"/>
      <c r="AA90" s="13"/>
      <c r="AB90" s="13"/>
      <c r="AC90" s="47"/>
      <c r="AD90" s="47"/>
      <c r="AE90" s="47"/>
      <c r="AF90" s="47"/>
      <c r="AG90" s="47"/>
      <c r="AH90" s="14"/>
      <c r="AI90" s="49" t="s">
        <v>13</v>
      </c>
      <c r="AJ90" s="49"/>
      <c r="AK90" s="49"/>
      <c r="AL90" s="49"/>
      <c r="AM90" s="50"/>
      <c r="AN90" s="50"/>
      <c r="AO90" s="50"/>
      <c r="AP90" s="50"/>
      <c r="AQ90" s="49" t="s">
        <v>15</v>
      </c>
      <c r="AR90" s="49"/>
      <c r="AS90" s="49"/>
      <c r="AT90" s="49"/>
      <c r="AU90" s="50"/>
      <c r="AV90" s="50"/>
      <c r="AW90" s="50"/>
      <c r="AX90" s="50"/>
      <c r="AY90" s="49" t="s">
        <v>17</v>
      </c>
      <c r="AZ90" s="49"/>
      <c r="BA90" s="49"/>
      <c r="BB90" s="49"/>
      <c r="BC90" s="50"/>
      <c r="BD90" s="50"/>
      <c r="BE90" s="50"/>
      <c r="BF90" s="50"/>
      <c r="BG90" s="14"/>
      <c r="BH90" s="13"/>
      <c r="BI90" s="47"/>
      <c r="BJ90" s="47"/>
      <c r="BK90" s="47"/>
      <c r="BL90" s="47"/>
      <c r="BM90" s="47"/>
      <c r="BN90" s="13"/>
      <c r="BO90" s="49" t="s">
        <v>13</v>
      </c>
      <c r="BP90" s="49"/>
      <c r="BQ90" s="49"/>
      <c r="BR90" s="49"/>
      <c r="BS90" s="50"/>
      <c r="BT90" s="50"/>
      <c r="BU90" s="50"/>
      <c r="BV90" s="50"/>
      <c r="BW90" s="49" t="s">
        <v>15</v>
      </c>
      <c r="BX90" s="49"/>
      <c r="BY90" s="49"/>
      <c r="BZ90" s="49"/>
      <c r="CA90" s="50"/>
      <c r="CB90" s="50"/>
      <c r="CC90" s="50"/>
      <c r="CD90" s="50"/>
      <c r="CE90" s="49" t="s">
        <v>17</v>
      </c>
      <c r="CF90" s="49"/>
      <c r="CG90" s="49"/>
      <c r="CH90" s="49"/>
      <c r="CI90" s="50"/>
      <c r="CJ90" s="50"/>
      <c r="CK90" s="50"/>
      <c r="CL90" s="50"/>
      <c r="CM90" s="14"/>
      <c r="CN90" s="13"/>
      <c r="CO90" s="47"/>
      <c r="CP90" s="47"/>
      <c r="CQ90" s="47"/>
      <c r="CR90" s="47"/>
      <c r="CS90" s="47"/>
      <c r="CT90" s="14"/>
      <c r="CU90" s="49" t="s">
        <v>13</v>
      </c>
      <c r="CV90" s="49"/>
      <c r="CW90" s="49"/>
      <c r="CX90" s="49"/>
      <c r="CY90" s="50"/>
      <c r="CZ90" s="50"/>
      <c r="DA90" s="50"/>
      <c r="DB90" s="50"/>
      <c r="DC90" s="49" t="s">
        <v>15</v>
      </c>
      <c r="DD90" s="49"/>
      <c r="DE90" s="49"/>
      <c r="DF90" s="49"/>
      <c r="DG90" s="50"/>
      <c r="DH90" s="50"/>
      <c r="DI90" s="50"/>
      <c r="DJ90" s="50"/>
      <c r="DK90" s="49" t="s">
        <v>17</v>
      </c>
      <c r="DL90" s="49"/>
      <c r="DM90" s="49"/>
      <c r="DN90" s="49"/>
      <c r="DO90" s="50"/>
      <c r="DP90" s="50"/>
      <c r="DQ90" s="50"/>
      <c r="DR90" s="50"/>
      <c r="DS90" s="14"/>
      <c r="DT90" s="13"/>
      <c r="DU90" s="47"/>
      <c r="DV90" s="47"/>
      <c r="DW90" s="47"/>
      <c r="DX90" s="47"/>
      <c r="DY90" s="47"/>
      <c r="DZ90" s="16"/>
      <c r="EA90" s="13"/>
      <c r="EB90" s="2"/>
      <c r="EC90" s="2"/>
      <c r="ED90" s="2"/>
    </row>
    <row r="91" spans="1:134" ht="4" customHeight="1">
      <c r="A91" s="7"/>
      <c r="B91" s="48"/>
      <c r="C91" s="49"/>
      <c r="D91" s="49"/>
      <c r="E91" s="49"/>
      <c r="F91" s="50"/>
      <c r="G91" s="50"/>
      <c r="H91" s="50"/>
      <c r="I91" s="50"/>
      <c r="J91" s="49"/>
      <c r="K91" s="49"/>
      <c r="L91" s="49"/>
      <c r="M91" s="49"/>
      <c r="N91" s="50"/>
      <c r="O91" s="50"/>
      <c r="P91" s="50"/>
      <c r="Q91" s="50"/>
      <c r="R91" s="49"/>
      <c r="S91" s="49"/>
      <c r="T91" s="49"/>
      <c r="U91" s="49"/>
      <c r="V91" s="50"/>
      <c r="W91" s="50"/>
      <c r="X91" s="50"/>
      <c r="Y91" s="50"/>
      <c r="Z91" s="14"/>
      <c r="AA91" s="13"/>
      <c r="AB91" s="13"/>
      <c r="AC91" s="47"/>
      <c r="AD91" s="47"/>
      <c r="AE91" s="47"/>
      <c r="AF91" s="47"/>
      <c r="AG91" s="47"/>
      <c r="AH91" s="14"/>
      <c r="AI91" s="49"/>
      <c r="AJ91" s="49"/>
      <c r="AK91" s="49"/>
      <c r="AL91" s="49"/>
      <c r="AM91" s="50"/>
      <c r="AN91" s="50"/>
      <c r="AO91" s="50"/>
      <c r="AP91" s="50"/>
      <c r="AQ91" s="49"/>
      <c r="AR91" s="49"/>
      <c r="AS91" s="49"/>
      <c r="AT91" s="49"/>
      <c r="AU91" s="50"/>
      <c r="AV91" s="50"/>
      <c r="AW91" s="50"/>
      <c r="AX91" s="50"/>
      <c r="AY91" s="49"/>
      <c r="AZ91" s="49"/>
      <c r="BA91" s="49"/>
      <c r="BB91" s="49"/>
      <c r="BC91" s="50"/>
      <c r="BD91" s="50"/>
      <c r="BE91" s="50"/>
      <c r="BF91" s="50"/>
      <c r="BG91" s="14"/>
      <c r="BH91" s="13"/>
      <c r="BI91" s="47"/>
      <c r="BJ91" s="47"/>
      <c r="BK91" s="47"/>
      <c r="BL91" s="47"/>
      <c r="BM91" s="47"/>
      <c r="BN91" s="13"/>
      <c r="BO91" s="49"/>
      <c r="BP91" s="49"/>
      <c r="BQ91" s="49"/>
      <c r="BR91" s="49"/>
      <c r="BS91" s="50"/>
      <c r="BT91" s="50"/>
      <c r="BU91" s="50"/>
      <c r="BV91" s="50"/>
      <c r="BW91" s="49"/>
      <c r="BX91" s="49"/>
      <c r="BY91" s="49"/>
      <c r="BZ91" s="49"/>
      <c r="CA91" s="50"/>
      <c r="CB91" s="50"/>
      <c r="CC91" s="50"/>
      <c r="CD91" s="50"/>
      <c r="CE91" s="49"/>
      <c r="CF91" s="49"/>
      <c r="CG91" s="49"/>
      <c r="CH91" s="49"/>
      <c r="CI91" s="50"/>
      <c r="CJ91" s="50"/>
      <c r="CK91" s="50"/>
      <c r="CL91" s="50"/>
      <c r="CM91" s="14"/>
      <c r="CN91" s="13"/>
      <c r="CO91" s="47"/>
      <c r="CP91" s="47"/>
      <c r="CQ91" s="47"/>
      <c r="CR91" s="47"/>
      <c r="CS91" s="47"/>
      <c r="CT91" s="14"/>
      <c r="CU91" s="49"/>
      <c r="CV91" s="49"/>
      <c r="CW91" s="49"/>
      <c r="CX91" s="49"/>
      <c r="CY91" s="50"/>
      <c r="CZ91" s="50"/>
      <c r="DA91" s="50"/>
      <c r="DB91" s="50"/>
      <c r="DC91" s="49"/>
      <c r="DD91" s="49"/>
      <c r="DE91" s="49"/>
      <c r="DF91" s="49"/>
      <c r="DG91" s="50"/>
      <c r="DH91" s="50"/>
      <c r="DI91" s="50"/>
      <c r="DJ91" s="50"/>
      <c r="DK91" s="49"/>
      <c r="DL91" s="49"/>
      <c r="DM91" s="49"/>
      <c r="DN91" s="49"/>
      <c r="DO91" s="50"/>
      <c r="DP91" s="50"/>
      <c r="DQ91" s="50"/>
      <c r="DR91" s="50"/>
      <c r="DS91" s="14"/>
      <c r="DT91" s="13"/>
      <c r="DU91" s="47"/>
      <c r="DV91" s="47"/>
      <c r="DW91" s="47"/>
      <c r="DX91" s="47"/>
      <c r="DY91" s="47"/>
      <c r="DZ91" s="16"/>
      <c r="EA91" s="13"/>
      <c r="EB91" s="2"/>
      <c r="EC91" s="2"/>
      <c r="ED91" s="2"/>
    </row>
    <row r="92" spans="1:134" ht="4" customHeight="1">
      <c r="A92" s="7"/>
      <c r="B92" s="48"/>
      <c r="C92" s="49"/>
      <c r="D92" s="49"/>
      <c r="E92" s="49"/>
      <c r="F92" s="50"/>
      <c r="G92" s="50"/>
      <c r="H92" s="50"/>
      <c r="I92" s="50"/>
      <c r="J92" s="49"/>
      <c r="K92" s="49"/>
      <c r="L92" s="49"/>
      <c r="M92" s="49"/>
      <c r="N92" s="50"/>
      <c r="O92" s="50"/>
      <c r="P92" s="50"/>
      <c r="Q92" s="50"/>
      <c r="R92" s="49"/>
      <c r="S92" s="49"/>
      <c r="T92" s="49"/>
      <c r="U92" s="49"/>
      <c r="V92" s="50"/>
      <c r="W92" s="50"/>
      <c r="X92" s="50"/>
      <c r="Y92" s="50"/>
      <c r="Z92" s="14"/>
      <c r="AA92" s="14"/>
      <c r="AB92" s="14"/>
      <c r="AC92" s="14"/>
      <c r="AD92" s="14"/>
      <c r="AE92" s="14"/>
      <c r="AF92" s="14"/>
      <c r="AG92" s="14"/>
      <c r="AH92" s="14"/>
      <c r="AI92" s="49"/>
      <c r="AJ92" s="49"/>
      <c r="AK92" s="49"/>
      <c r="AL92" s="49"/>
      <c r="AM92" s="50"/>
      <c r="AN92" s="50"/>
      <c r="AO92" s="50"/>
      <c r="AP92" s="50"/>
      <c r="AQ92" s="49"/>
      <c r="AR92" s="49"/>
      <c r="AS92" s="49"/>
      <c r="AT92" s="49"/>
      <c r="AU92" s="50"/>
      <c r="AV92" s="50"/>
      <c r="AW92" s="50"/>
      <c r="AX92" s="50"/>
      <c r="AY92" s="49"/>
      <c r="AZ92" s="49"/>
      <c r="BA92" s="49"/>
      <c r="BB92" s="49"/>
      <c r="BC92" s="50"/>
      <c r="BD92" s="50"/>
      <c r="BE92" s="50"/>
      <c r="BF92" s="50"/>
      <c r="BG92" s="14"/>
      <c r="BH92" s="14"/>
      <c r="BI92" s="14"/>
      <c r="BJ92" s="14"/>
      <c r="BK92" s="14"/>
      <c r="BL92" s="14"/>
      <c r="BM92" s="14"/>
      <c r="BN92" s="14"/>
      <c r="BO92" s="49"/>
      <c r="BP92" s="49"/>
      <c r="BQ92" s="49"/>
      <c r="BR92" s="49"/>
      <c r="BS92" s="50"/>
      <c r="BT92" s="50"/>
      <c r="BU92" s="50"/>
      <c r="BV92" s="50"/>
      <c r="BW92" s="49"/>
      <c r="BX92" s="49"/>
      <c r="BY92" s="49"/>
      <c r="BZ92" s="49"/>
      <c r="CA92" s="50"/>
      <c r="CB92" s="50"/>
      <c r="CC92" s="50"/>
      <c r="CD92" s="50"/>
      <c r="CE92" s="49"/>
      <c r="CF92" s="49"/>
      <c r="CG92" s="49"/>
      <c r="CH92" s="49"/>
      <c r="CI92" s="50"/>
      <c r="CJ92" s="50"/>
      <c r="CK92" s="50"/>
      <c r="CL92" s="50"/>
      <c r="CM92" s="14"/>
      <c r="CN92" s="14"/>
      <c r="CO92" s="14"/>
      <c r="CP92" s="14"/>
      <c r="CQ92" s="14"/>
      <c r="CR92" s="14"/>
      <c r="CS92" s="14"/>
      <c r="CT92" s="14"/>
      <c r="CU92" s="49"/>
      <c r="CV92" s="49"/>
      <c r="CW92" s="49"/>
      <c r="CX92" s="49"/>
      <c r="CY92" s="50"/>
      <c r="CZ92" s="50"/>
      <c r="DA92" s="50"/>
      <c r="DB92" s="50"/>
      <c r="DC92" s="49"/>
      <c r="DD92" s="49"/>
      <c r="DE92" s="49"/>
      <c r="DF92" s="49"/>
      <c r="DG92" s="50"/>
      <c r="DH92" s="50"/>
      <c r="DI92" s="50"/>
      <c r="DJ92" s="50"/>
      <c r="DK92" s="49"/>
      <c r="DL92" s="49"/>
      <c r="DM92" s="49"/>
      <c r="DN92" s="49"/>
      <c r="DO92" s="50"/>
      <c r="DP92" s="50"/>
      <c r="DQ92" s="50"/>
      <c r="DR92" s="50"/>
      <c r="DS92" s="14"/>
      <c r="DT92" s="14"/>
      <c r="DU92" s="14"/>
      <c r="DV92" s="14"/>
      <c r="DW92" s="14"/>
      <c r="DX92" s="14"/>
      <c r="DY92" s="14"/>
      <c r="DZ92" s="16"/>
      <c r="EA92" s="13"/>
      <c r="EB92" s="2"/>
      <c r="EC92" s="2"/>
      <c r="ED92" s="2"/>
    </row>
    <row r="93" spans="1:134" ht="4" customHeight="1">
      <c r="A93" s="7"/>
      <c r="B93" s="48" t="s">
        <v>14</v>
      </c>
      <c r="C93" s="49"/>
      <c r="D93" s="49"/>
      <c r="E93" s="49"/>
      <c r="F93" s="50"/>
      <c r="G93" s="50"/>
      <c r="H93" s="50"/>
      <c r="I93" s="50"/>
      <c r="J93" s="49" t="s">
        <v>16</v>
      </c>
      <c r="K93" s="49"/>
      <c r="L93" s="49"/>
      <c r="M93" s="49"/>
      <c r="N93" s="50"/>
      <c r="O93" s="50"/>
      <c r="P93" s="50"/>
      <c r="Q93" s="50"/>
      <c r="R93" s="49" t="s">
        <v>18</v>
      </c>
      <c r="S93" s="49"/>
      <c r="T93" s="49"/>
      <c r="U93" s="49"/>
      <c r="V93" s="50"/>
      <c r="W93" s="50"/>
      <c r="X93" s="50"/>
      <c r="Y93" s="50"/>
      <c r="Z93" s="49" t="s">
        <v>19</v>
      </c>
      <c r="AA93" s="49"/>
      <c r="AB93" s="49"/>
      <c r="AC93" s="49"/>
      <c r="AD93" s="50"/>
      <c r="AE93" s="50"/>
      <c r="AF93" s="50"/>
      <c r="AG93" s="50"/>
      <c r="AH93" s="14"/>
      <c r="AI93" s="49" t="s">
        <v>14</v>
      </c>
      <c r="AJ93" s="49"/>
      <c r="AK93" s="49"/>
      <c r="AL93" s="49"/>
      <c r="AM93" s="50"/>
      <c r="AN93" s="50"/>
      <c r="AO93" s="50"/>
      <c r="AP93" s="50"/>
      <c r="AQ93" s="49" t="s">
        <v>16</v>
      </c>
      <c r="AR93" s="49"/>
      <c r="AS93" s="49"/>
      <c r="AT93" s="49"/>
      <c r="AU93" s="50"/>
      <c r="AV93" s="50"/>
      <c r="AW93" s="50"/>
      <c r="AX93" s="50"/>
      <c r="AY93" s="49" t="s">
        <v>18</v>
      </c>
      <c r="AZ93" s="49"/>
      <c r="BA93" s="49"/>
      <c r="BB93" s="49"/>
      <c r="BC93" s="50"/>
      <c r="BD93" s="50"/>
      <c r="BE93" s="50"/>
      <c r="BF93" s="50"/>
      <c r="BG93" s="49" t="s">
        <v>19</v>
      </c>
      <c r="BH93" s="49"/>
      <c r="BI93" s="49"/>
      <c r="BJ93" s="49"/>
      <c r="BK93" s="50"/>
      <c r="BL93" s="50"/>
      <c r="BM93" s="50"/>
      <c r="BN93" s="13"/>
      <c r="BO93" s="49" t="s">
        <v>14</v>
      </c>
      <c r="BP93" s="49"/>
      <c r="BQ93" s="49"/>
      <c r="BR93" s="49"/>
      <c r="BS93" s="50"/>
      <c r="BT93" s="50"/>
      <c r="BU93" s="50"/>
      <c r="BV93" s="50"/>
      <c r="BW93" s="49" t="s">
        <v>16</v>
      </c>
      <c r="BX93" s="49"/>
      <c r="BY93" s="49"/>
      <c r="BZ93" s="49"/>
      <c r="CA93" s="50"/>
      <c r="CB93" s="50"/>
      <c r="CC93" s="50"/>
      <c r="CD93" s="50"/>
      <c r="CE93" s="49" t="s">
        <v>18</v>
      </c>
      <c r="CF93" s="49"/>
      <c r="CG93" s="49"/>
      <c r="CH93" s="49"/>
      <c r="CI93" s="50"/>
      <c r="CJ93" s="50"/>
      <c r="CK93" s="50"/>
      <c r="CL93" s="50"/>
      <c r="CM93" s="49" t="s">
        <v>19</v>
      </c>
      <c r="CN93" s="49"/>
      <c r="CO93" s="49"/>
      <c r="CP93" s="49"/>
      <c r="CQ93" s="50"/>
      <c r="CR93" s="50"/>
      <c r="CS93" s="50"/>
      <c r="CT93" s="14"/>
      <c r="CU93" s="49" t="s">
        <v>14</v>
      </c>
      <c r="CV93" s="49"/>
      <c r="CW93" s="49"/>
      <c r="CX93" s="49"/>
      <c r="CY93" s="50"/>
      <c r="CZ93" s="50"/>
      <c r="DA93" s="50"/>
      <c r="DB93" s="50"/>
      <c r="DC93" s="49" t="s">
        <v>16</v>
      </c>
      <c r="DD93" s="49"/>
      <c r="DE93" s="49"/>
      <c r="DF93" s="49"/>
      <c r="DG93" s="50"/>
      <c r="DH93" s="50"/>
      <c r="DI93" s="50"/>
      <c r="DJ93" s="50"/>
      <c r="DK93" s="49" t="s">
        <v>18</v>
      </c>
      <c r="DL93" s="49"/>
      <c r="DM93" s="49"/>
      <c r="DN93" s="49"/>
      <c r="DO93" s="50"/>
      <c r="DP93" s="50"/>
      <c r="DQ93" s="50"/>
      <c r="DR93" s="50"/>
      <c r="DS93" s="49" t="s">
        <v>19</v>
      </c>
      <c r="DT93" s="49"/>
      <c r="DU93" s="49"/>
      <c r="DV93" s="49"/>
      <c r="DW93" s="50"/>
      <c r="DX93" s="50"/>
      <c r="DY93" s="50"/>
      <c r="DZ93" s="16"/>
      <c r="EA93" s="13"/>
      <c r="EB93" s="2"/>
      <c r="EC93" s="2"/>
      <c r="ED93" s="2"/>
    </row>
    <row r="94" spans="1:134" ht="4" customHeight="1">
      <c r="A94" s="7"/>
      <c r="B94" s="48"/>
      <c r="C94" s="49"/>
      <c r="D94" s="49"/>
      <c r="E94" s="49"/>
      <c r="F94" s="50"/>
      <c r="G94" s="50"/>
      <c r="H94" s="50"/>
      <c r="I94" s="50"/>
      <c r="J94" s="49"/>
      <c r="K94" s="49"/>
      <c r="L94" s="49"/>
      <c r="M94" s="49"/>
      <c r="N94" s="50"/>
      <c r="O94" s="50"/>
      <c r="P94" s="50"/>
      <c r="Q94" s="50"/>
      <c r="R94" s="49"/>
      <c r="S94" s="49"/>
      <c r="T94" s="49"/>
      <c r="U94" s="49"/>
      <c r="V94" s="50"/>
      <c r="W94" s="50"/>
      <c r="X94" s="50"/>
      <c r="Y94" s="50"/>
      <c r="Z94" s="49"/>
      <c r="AA94" s="49"/>
      <c r="AB94" s="49"/>
      <c r="AC94" s="49"/>
      <c r="AD94" s="50"/>
      <c r="AE94" s="50"/>
      <c r="AF94" s="50"/>
      <c r="AG94" s="50"/>
      <c r="AH94" s="14"/>
      <c r="AI94" s="49"/>
      <c r="AJ94" s="49"/>
      <c r="AK94" s="49"/>
      <c r="AL94" s="49"/>
      <c r="AM94" s="50"/>
      <c r="AN94" s="50"/>
      <c r="AO94" s="50"/>
      <c r="AP94" s="50"/>
      <c r="AQ94" s="49"/>
      <c r="AR94" s="49"/>
      <c r="AS94" s="49"/>
      <c r="AT94" s="49"/>
      <c r="AU94" s="50"/>
      <c r="AV94" s="50"/>
      <c r="AW94" s="50"/>
      <c r="AX94" s="50"/>
      <c r="AY94" s="49"/>
      <c r="AZ94" s="49"/>
      <c r="BA94" s="49"/>
      <c r="BB94" s="49"/>
      <c r="BC94" s="50"/>
      <c r="BD94" s="50"/>
      <c r="BE94" s="50"/>
      <c r="BF94" s="50"/>
      <c r="BG94" s="49"/>
      <c r="BH94" s="49"/>
      <c r="BI94" s="49"/>
      <c r="BJ94" s="49"/>
      <c r="BK94" s="50"/>
      <c r="BL94" s="50"/>
      <c r="BM94" s="50"/>
      <c r="BN94" s="13"/>
      <c r="BO94" s="49"/>
      <c r="BP94" s="49"/>
      <c r="BQ94" s="49"/>
      <c r="BR94" s="49"/>
      <c r="BS94" s="50"/>
      <c r="BT94" s="50"/>
      <c r="BU94" s="50"/>
      <c r="BV94" s="50"/>
      <c r="BW94" s="49"/>
      <c r="BX94" s="49"/>
      <c r="BY94" s="49"/>
      <c r="BZ94" s="49"/>
      <c r="CA94" s="50"/>
      <c r="CB94" s="50"/>
      <c r="CC94" s="50"/>
      <c r="CD94" s="50"/>
      <c r="CE94" s="49"/>
      <c r="CF94" s="49"/>
      <c r="CG94" s="49"/>
      <c r="CH94" s="49"/>
      <c r="CI94" s="50"/>
      <c r="CJ94" s="50"/>
      <c r="CK94" s="50"/>
      <c r="CL94" s="50"/>
      <c r="CM94" s="49"/>
      <c r="CN94" s="49"/>
      <c r="CO94" s="49"/>
      <c r="CP94" s="49"/>
      <c r="CQ94" s="50"/>
      <c r="CR94" s="50"/>
      <c r="CS94" s="50"/>
      <c r="CT94" s="14"/>
      <c r="CU94" s="49"/>
      <c r="CV94" s="49"/>
      <c r="CW94" s="49"/>
      <c r="CX94" s="49"/>
      <c r="CY94" s="50"/>
      <c r="CZ94" s="50"/>
      <c r="DA94" s="50"/>
      <c r="DB94" s="50"/>
      <c r="DC94" s="49"/>
      <c r="DD94" s="49"/>
      <c r="DE94" s="49"/>
      <c r="DF94" s="49"/>
      <c r="DG94" s="50"/>
      <c r="DH94" s="50"/>
      <c r="DI94" s="50"/>
      <c r="DJ94" s="50"/>
      <c r="DK94" s="49"/>
      <c r="DL94" s="49"/>
      <c r="DM94" s="49"/>
      <c r="DN94" s="49"/>
      <c r="DO94" s="50"/>
      <c r="DP94" s="50"/>
      <c r="DQ94" s="50"/>
      <c r="DR94" s="50"/>
      <c r="DS94" s="49"/>
      <c r="DT94" s="49"/>
      <c r="DU94" s="49"/>
      <c r="DV94" s="49"/>
      <c r="DW94" s="50"/>
      <c r="DX94" s="50"/>
      <c r="DY94" s="50"/>
      <c r="DZ94" s="16"/>
      <c r="EA94" s="13"/>
      <c r="EB94" s="2"/>
      <c r="EC94" s="2"/>
      <c r="ED94" s="2"/>
    </row>
    <row r="95" spans="1:134" ht="4" customHeight="1">
      <c r="A95" s="7"/>
      <c r="B95" s="48"/>
      <c r="C95" s="49"/>
      <c r="D95" s="49"/>
      <c r="E95" s="49"/>
      <c r="F95" s="50"/>
      <c r="G95" s="50"/>
      <c r="H95" s="50"/>
      <c r="I95" s="50"/>
      <c r="J95" s="49"/>
      <c r="K95" s="49"/>
      <c r="L95" s="49"/>
      <c r="M95" s="49"/>
      <c r="N95" s="50"/>
      <c r="O95" s="50"/>
      <c r="P95" s="50"/>
      <c r="Q95" s="50"/>
      <c r="R95" s="49"/>
      <c r="S95" s="49"/>
      <c r="T95" s="49"/>
      <c r="U95" s="49"/>
      <c r="V95" s="50"/>
      <c r="W95" s="50"/>
      <c r="X95" s="50"/>
      <c r="Y95" s="50"/>
      <c r="Z95" s="49"/>
      <c r="AA95" s="49"/>
      <c r="AB95" s="49"/>
      <c r="AC95" s="49"/>
      <c r="AD95" s="50"/>
      <c r="AE95" s="50"/>
      <c r="AF95" s="50"/>
      <c r="AG95" s="50"/>
      <c r="AH95" s="14"/>
      <c r="AI95" s="49"/>
      <c r="AJ95" s="49"/>
      <c r="AK95" s="49"/>
      <c r="AL95" s="49"/>
      <c r="AM95" s="50"/>
      <c r="AN95" s="50"/>
      <c r="AO95" s="50"/>
      <c r="AP95" s="50"/>
      <c r="AQ95" s="49"/>
      <c r="AR95" s="49"/>
      <c r="AS95" s="49"/>
      <c r="AT95" s="49"/>
      <c r="AU95" s="50"/>
      <c r="AV95" s="50"/>
      <c r="AW95" s="50"/>
      <c r="AX95" s="50"/>
      <c r="AY95" s="49"/>
      <c r="AZ95" s="49"/>
      <c r="BA95" s="49"/>
      <c r="BB95" s="49"/>
      <c r="BC95" s="50"/>
      <c r="BD95" s="50"/>
      <c r="BE95" s="50"/>
      <c r="BF95" s="50"/>
      <c r="BG95" s="49"/>
      <c r="BH95" s="49"/>
      <c r="BI95" s="49"/>
      <c r="BJ95" s="49"/>
      <c r="BK95" s="50"/>
      <c r="BL95" s="50"/>
      <c r="BM95" s="50"/>
      <c r="BN95" s="13"/>
      <c r="BO95" s="49"/>
      <c r="BP95" s="49"/>
      <c r="BQ95" s="49"/>
      <c r="BR95" s="49"/>
      <c r="BS95" s="50"/>
      <c r="BT95" s="50"/>
      <c r="BU95" s="50"/>
      <c r="BV95" s="50"/>
      <c r="BW95" s="49"/>
      <c r="BX95" s="49"/>
      <c r="BY95" s="49"/>
      <c r="BZ95" s="49"/>
      <c r="CA95" s="50"/>
      <c r="CB95" s="50"/>
      <c r="CC95" s="50"/>
      <c r="CD95" s="50"/>
      <c r="CE95" s="49"/>
      <c r="CF95" s="49"/>
      <c r="CG95" s="49"/>
      <c r="CH95" s="49"/>
      <c r="CI95" s="50"/>
      <c r="CJ95" s="50"/>
      <c r="CK95" s="50"/>
      <c r="CL95" s="50"/>
      <c r="CM95" s="49"/>
      <c r="CN95" s="49"/>
      <c r="CO95" s="49"/>
      <c r="CP95" s="49"/>
      <c r="CQ95" s="50"/>
      <c r="CR95" s="50"/>
      <c r="CS95" s="50"/>
      <c r="CT95" s="14"/>
      <c r="CU95" s="49"/>
      <c r="CV95" s="49"/>
      <c r="CW95" s="49"/>
      <c r="CX95" s="49"/>
      <c r="CY95" s="50"/>
      <c r="CZ95" s="50"/>
      <c r="DA95" s="50"/>
      <c r="DB95" s="50"/>
      <c r="DC95" s="49"/>
      <c r="DD95" s="49"/>
      <c r="DE95" s="49"/>
      <c r="DF95" s="49"/>
      <c r="DG95" s="50"/>
      <c r="DH95" s="50"/>
      <c r="DI95" s="50"/>
      <c r="DJ95" s="50"/>
      <c r="DK95" s="49"/>
      <c r="DL95" s="49"/>
      <c r="DM95" s="49"/>
      <c r="DN95" s="49"/>
      <c r="DO95" s="50"/>
      <c r="DP95" s="50"/>
      <c r="DQ95" s="50"/>
      <c r="DR95" s="50"/>
      <c r="DS95" s="49"/>
      <c r="DT95" s="49"/>
      <c r="DU95" s="49"/>
      <c r="DV95" s="49"/>
      <c r="DW95" s="50"/>
      <c r="DX95" s="50"/>
      <c r="DY95" s="50"/>
      <c r="DZ95" s="16"/>
      <c r="EA95" s="13"/>
      <c r="EB95" s="2"/>
      <c r="EC95" s="2"/>
      <c r="ED95" s="2"/>
    </row>
    <row r="96" spans="1:134" ht="4" customHeight="1">
      <c r="A96" s="7"/>
      <c r="B96" s="15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6"/>
      <c r="EA96" s="13"/>
      <c r="EB96" s="2"/>
      <c r="EC96" s="2"/>
      <c r="ED96" s="2"/>
    </row>
    <row r="97" spans="1:134" ht="4" customHeight="1">
      <c r="A97" s="7"/>
      <c r="B97" s="25"/>
      <c r="C97" s="52" t="str">
        <f xml:space="preserve"> "Fall " &amp; BO23+2</f>
        <v>Fall 2</v>
      </c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13"/>
      <c r="AI97" s="52" t="str">
        <f xml:space="preserve"> "Winter " &amp; BO23+3</f>
        <v>Winter 3</v>
      </c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14"/>
      <c r="BO97" s="52" t="str">
        <f xml:space="preserve"> "Spring " &amp; BO23+3</f>
        <v>Spring 3</v>
      </c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52"/>
      <c r="CK97" s="52"/>
      <c r="CL97" s="52"/>
      <c r="CM97" s="52"/>
      <c r="CN97" s="52"/>
      <c r="CO97" s="52"/>
      <c r="CP97" s="52"/>
      <c r="CQ97" s="52"/>
      <c r="CR97" s="52"/>
      <c r="CS97" s="52"/>
      <c r="CT97" s="14"/>
      <c r="CU97" s="52" t="str">
        <f>"Summer " &amp; BO23+3</f>
        <v>Summer 3</v>
      </c>
      <c r="CV97" s="52"/>
      <c r="CW97" s="52"/>
      <c r="CX97" s="52"/>
      <c r="CY97" s="52"/>
      <c r="CZ97" s="52"/>
      <c r="DA97" s="52"/>
      <c r="DB97" s="52"/>
      <c r="DC97" s="52"/>
      <c r="DD97" s="52"/>
      <c r="DE97" s="52"/>
      <c r="DF97" s="52"/>
      <c r="DG97" s="52"/>
      <c r="DH97" s="52"/>
      <c r="DI97" s="52"/>
      <c r="DJ97" s="52"/>
      <c r="DK97" s="52"/>
      <c r="DL97" s="52"/>
      <c r="DM97" s="52"/>
      <c r="DN97" s="52"/>
      <c r="DO97" s="52"/>
      <c r="DP97" s="52"/>
      <c r="DQ97" s="52"/>
      <c r="DR97" s="52"/>
      <c r="DS97" s="52"/>
      <c r="DT97" s="52"/>
      <c r="DU97" s="52"/>
      <c r="DV97" s="52"/>
      <c r="DW97" s="52"/>
      <c r="DX97" s="52"/>
      <c r="DY97" s="52"/>
      <c r="DZ97" s="16"/>
      <c r="EA97" s="13"/>
      <c r="EB97" s="2"/>
      <c r="EC97" s="2"/>
      <c r="ED97" s="2"/>
    </row>
    <row r="98" spans="1:134" ht="4" customHeight="1">
      <c r="A98" s="7"/>
      <c r="B98" s="25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13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14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52"/>
      <c r="CM98" s="52"/>
      <c r="CN98" s="52"/>
      <c r="CO98" s="52"/>
      <c r="CP98" s="52"/>
      <c r="CQ98" s="52"/>
      <c r="CR98" s="52"/>
      <c r="CS98" s="52"/>
      <c r="CT98" s="14"/>
      <c r="CU98" s="52"/>
      <c r="CV98" s="52"/>
      <c r="CW98" s="52"/>
      <c r="CX98" s="52"/>
      <c r="CY98" s="52"/>
      <c r="CZ98" s="52"/>
      <c r="DA98" s="52"/>
      <c r="DB98" s="52"/>
      <c r="DC98" s="52"/>
      <c r="DD98" s="52"/>
      <c r="DE98" s="52"/>
      <c r="DF98" s="52"/>
      <c r="DG98" s="52"/>
      <c r="DH98" s="52"/>
      <c r="DI98" s="52"/>
      <c r="DJ98" s="52"/>
      <c r="DK98" s="52"/>
      <c r="DL98" s="52"/>
      <c r="DM98" s="52"/>
      <c r="DN98" s="52"/>
      <c r="DO98" s="52"/>
      <c r="DP98" s="52"/>
      <c r="DQ98" s="52"/>
      <c r="DR98" s="52"/>
      <c r="DS98" s="52"/>
      <c r="DT98" s="52"/>
      <c r="DU98" s="52"/>
      <c r="DV98" s="52"/>
      <c r="DW98" s="52"/>
      <c r="DX98" s="52"/>
      <c r="DY98" s="52"/>
      <c r="DZ98" s="16"/>
      <c r="EA98" s="13"/>
      <c r="EB98" s="2"/>
      <c r="EC98" s="2"/>
      <c r="ED98" s="2"/>
    </row>
    <row r="99" spans="1:134" ht="4" customHeight="1">
      <c r="A99" s="7"/>
      <c r="B99" s="25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13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14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  <c r="CK99" s="52"/>
      <c r="CL99" s="52"/>
      <c r="CM99" s="52"/>
      <c r="CN99" s="52"/>
      <c r="CO99" s="52"/>
      <c r="CP99" s="52"/>
      <c r="CQ99" s="52"/>
      <c r="CR99" s="52"/>
      <c r="CS99" s="52"/>
      <c r="CT99" s="14"/>
      <c r="CU99" s="52"/>
      <c r="CV99" s="52"/>
      <c r="CW99" s="52"/>
      <c r="CX99" s="52"/>
      <c r="CY99" s="52"/>
      <c r="CZ99" s="52"/>
      <c r="DA99" s="52"/>
      <c r="DB99" s="52"/>
      <c r="DC99" s="52"/>
      <c r="DD99" s="52"/>
      <c r="DE99" s="52"/>
      <c r="DF99" s="52"/>
      <c r="DG99" s="52"/>
      <c r="DH99" s="52"/>
      <c r="DI99" s="52"/>
      <c r="DJ99" s="52"/>
      <c r="DK99" s="52"/>
      <c r="DL99" s="52"/>
      <c r="DM99" s="52"/>
      <c r="DN99" s="52"/>
      <c r="DO99" s="52"/>
      <c r="DP99" s="52"/>
      <c r="DQ99" s="52"/>
      <c r="DR99" s="52"/>
      <c r="DS99" s="52"/>
      <c r="DT99" s="52"/>
      <c r="DU99" s="52"/>
      <c r="DV99" s="52"/>
      <c r="DW99" s="52"/>
      <c r="DX99" s="52"/>
      <c r="DY99" s="52"/>
      <c r="DZ99" s="16"/>
      <c r="EA99" s="13"/>
      <c r="EB99" s="2"/>
      <c r="EC99" s="2"/>
      <c r="ED99" s="2"/>
    </row>
    <row r="100" spans="1:134" ht="4" customHeight="1">
      <c r="A100" s="7"/>
      <c r="B100" s="25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13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14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52"/>
      <c r="CJ100" s="52"/>
      <c r="CK100" s="52"/>
      <c r="CL100" s="52"/>
      <c r="CM100" s="52"/>
      <c r="CN100" s="52"/>
      <c r="CO100" s="52"/>
      <c r="CP100" s="52"/>
      <c r="CQ100" s="52"/>
      <c r="CR100" s="52"/>
      <c r="CS100" s="52"/>
      <c r="CT100" s="14"/>
      <c r="CU100" s="52"/>
      <c r="CV100" s="52"/>
      <c r="CW100" s="52"/>
      <c r="CX100" s="52"/>
      <c r="CY100" s="52"/>
      <c r="CZ100" s="52"/>
      <c r="DA100" s="52"/>
      <c r="DB100" s="52"/>
      <c r="DC100" s="52"/>
      <c r="DD100" s="52"/>
      <c r="DE100" s="52"/>
      <c r="DF100" s="52"/>
      <c r="DG100" s="52"/>
      <c r="DH100" s="52"/>
      <c r="DI100" s="52"/>
      <c r="DJ100" s="52"/>
      <c r="DK100" s="52"/>
      <c r="DL100" s="52"/>
      <c r="DM100" s="52"/>
      <c r="DN100" s="52"/>
      <c r="DO100" s="52"/>
      <c r="DP100" s="52"/>
      <c r="DQ100" s="52"/>
      <c r="DR100" s="52"/>
      <c r="DS100" s="52"/>
      <c r="DT100" s="52"/>
      <c r="DU100" s="52"/>
      <c r="DV100" s="52"/>
      <c r="DW100" s="52"/>
      <c r="DX100" s="52"/>
      <c r="DY100" s="52"/>
      <c r="DZ100" s="16"/>
      <c r="EA100" s="13"/>
      <c r="EB100" s="2"/>
      <c r="EC100" s="2"/>
      <c r="ED100" s="2"/>
    </row>
    <row r="101" spans="1:134" ht="4" customHeight="1">
      <c r="A101" s="7"/>
      <c r="B101" s="25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6"/>
      <c r="EA101" s="13"/>
      <c r="EB101" s="2"/>
      <c r="EC101" s="2"/>
      <c r="ED101" s="2"/>
    </row>
    <row r="102" spans="1:134" ht="4" customHeight="1">
      <c r="A102" s="7"/>
      <c r="B102" s="25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14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14"/>
      <c r="BO102" s="51"/>
      <c r="BP102" s="51"/>
      <c r="BQ102" s="51"/>
      <c r="BR102" s="51"/>
      <c r="BS102" s="51"/>
      <c r="BT102" s="51"/>
      <c r="BU102" s="51"/>
      <c r="BV102" s="51"/>
      <c r="BW102" s="51"/>
      <c r="BX102" s="51"/>
      <c r="BY102" s="51"/>
      <c r="BZ102" s="51"/>
      <c r="CA102" s="51"/>
      <c r="CB102" s="51"/>
      <c r="CC102" s="51"/>
      <c r="CD102" s="51"/>
      <c r="CE102" s="51"/>
      <c r="CF102" s="51"/>
      <c r="CG102" s="51"/>
      <c r="CH102" s="51"/>
      <c r="CI102" s="51"/>
      <c r="CJ102" s="51"/>
      <c r="CK102" s="51"/>
      <c r="CL102" s="51"/>
      <c r="CM102" s="51"/>
      <c r="CN102" s="51"/>
      <c r="CO102" s="51"/>
      <c r="CP102" s="51"/>
      <c r="CQ102" s="51"/>
      <c r="CR102" s="51"/>
      <c r="CS102" s="51"/>
      <c r="CT102" s="14"/>
      <c r="CU102" s="51"/>
      <c r="CV102" s="51"/>
      <c r="CW102" s="51"/>
      <c r="CX102" s="51"/>
      <c r="CY102" s="51"/>
      <c r="CZ102" s="51"/>
      <c r="DA102" s="51"/>
      <c r="DB102" s="51"/>
      <c r="DC102" s="51"/>
      <c r="DD102" s="51"/>
      <c r="DE102" s="51"/>
      <c r="DF102" s="51"/>
      <c r="DG102" s="51"/>
      <c r="DH102" s="51"/>
      <c r="DI102" s="51"/>
      <c r="DJ102" s="51"/>
      <c r="DK102" s="51"/>
      <c r="DL102" s="51"/>
      <c r="DM102" s="51"/>
      <c r="DN102" s="51"/>
      <c r="DO102" s="51"/>
      <c r="DP102" s="51"/>
      <c r="DQ102" s="51"/>
      <c r="DR102" s="51"/>
      <c r="DS102" s="51"/>
      <c r="DT102" s="51"/>
      <c r="DU102" s="51"/>
      <c r="DV102" s="51"/>
      <c r="DW102" s="51"/>
      <c r="DX102" s="51"/>
      <c r="DY102" s="51"/>
      <c r="DZ102" s="16"/>
      <c r="EA102" s="13"/>
      <c r="EB102" s="2"/>
      <c r="EC102" s="2"/>
      <c r="ED102" s="2"/>
    </row>
    <row r="103" spans="1:134" ht="4" customHeight="1">
      <c r="A103" s="7"/>
      <c r="B103" s="25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14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14"/>
      <c r="BO103" s="51"/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  <c r="CF103" s="51"/>
      <c r="CG103" s="51"/>
      <c r="CH103" s="51"/>
      <c r="CI103" s="51"/>
      <c r="CJ103" s="51"/>
      <c r="CK103" s="51"/>
      <c r="CL103" s="51"/>
      <c r="CM103" s="51"/>
      <c r="CN103" s="51"/>
      <c r="CO103" s="51"/>
      <c r="CP103" s="51"/>
      <c r="CQ103" s="51"/>
      <c r="CR103" s="51"/>
      <c r="CS103" s="51"/>
      <c r="CT103" s="14"/>
      <c r="CU103" s="51"/>
      <c r="CV103" s="51"/>
      <c r="CW103" s="51"/>
      <c r="CX103" s="51"/>
      <c r="CY103" s="51"/>
      <c r="CZ103" s="51"/>
      <c r="DA103" s="51"/>
      <c r="DB103" s="51"/>
      <c r="DC103" s="51"/>
      <c r="DD103" s="51"/>
      <c r="DE103" s="51"/>
      <c r="DF103" s="51"/>
      <c r="DG103" s="51"/>
      <c r="DH103" s="51"/>
      <c r="DI103" s="51"/>
      <c r="DJ103" s="51"/>
      <c r="DK103" s="51"/>
      <c r="DL103" s="51"/>
      <c r="DM103" s="51"/>
      <c r="DN103" s="51"/>
      <c r="DO103" s="51"/>
      <c r="DP103" s="51"/>
      <c r="DQ103" s="51"/>
      <c r="DR103" s="51"/>
      <c r="DS103" s="51"/>
      <c r="DT103" s="51"/>
      <c r="DU103" s="51"/>
      <c r="DV103" s="51"/>
      <c r="DW103" s="51"/>
      <c r="DX103" s="51"/>
      <c r="DY103" s="51"/>
      <c r="DZ103" s="16"/>
      <c r="EA103" s="13"/>
      <c r="EB103" s="2"/>
      <c r="EC103" s="2"/>
      <c r="ED103" s="2"/>
    </row>
    <row r="104" spans="1:134" ht="4" customHeight="1">
      <c r="A104" s="7"/>
      <c r="B104" s="25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14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14"/>
      <c r="BO104" s="51"/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51"/>
      <c r="CM104" s="51"/>
      <c r="CN104" s="51"/>
      <c r="CO104" s="51"/>
      <c r="CP104" s="51"/>
      <c r="CQ104" s="51"/>
      <c r="CR104" s="51"/>
      <c r="CS104" s="51"/>
      <c r="CT104" s="14"/>
      <c r="CU104" s="51"/>
      <c r="CV104" s="51"/>
      <c r="CW104" s="51"/>
      <c r="CX104" s="51"/>
      <c r="CY104" s="51"/>
      <c r="CZ104" s="51"/>
      <c r="DA104" s="51"/>
      <c r="DB104" s="51"/>
      <c r="DC104" s="51"/>
      <c r="DD104" s="51"/>
      <c r="DE104" s="51"/>
      <c r="DF104" s="51"/>
      <c r="DG104" s="51"/>
      <c r="DH104" s="51"/>
      <c r="DI104" s="51"/>
      <c r="DJ104" s="51"/>
      <c r="DK104" s="51"/>
      <c r="DL104" s="51"/>
      <c r="DM104" s="51"/>
      <c r="DN104" s="51"/>
      <c r="DO104" s="51"/>
      <c r="DP104" s="51"/>
      <c r="DQ104" s="51"/>
      <c r="DR104" s="51"/>
      <c r="DS104" s="51"/>
      <c r="DT104" s="51"/>
      <c r="DU104" s="51"/>
      <c r="DV104" s="51"/>
      <c r="DW104" s="51"/>
      <c r="DX104" s="51"/>
      <c r="DY104" s="51"/>
      <c r="DZ104" s="34"/>
      <c r="EA104" s="13"/>
      <c r="EB104" s="2"/>
      <c r="EC104" s="2"/>
      <c r="ED104" s="2"/>
    </row>
    <row r="105" spans="1:134" ht="4" customHeight="1">
      <c r="A105" s="7"/>
      <c r="B105" s="25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14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14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  <c r="CK105" s="51"/>
      <c r="CL105" s="51"/>
      <c r="CM105" s="51"/>
      <c r="CN105" s="51"/>
      <c r="CO105" s="51"/>
      <c r="CP105" s="51"/>
      <c r="CQ105" s="51"/>
      <c r="CR105" s="51"/>
      <c r="CS105" s="51"/>
      <c r="CT105" s="14"/>
      <c r="CU105" s="51"/>
      <c r="CV105" s="51"/>
      <c r="CW105" s="51"/>
      <c r="CX105" s="51"/>
      <c r="CY105" s="51"/>
      <c r="CZ105" s="51"/>
      <c r="DA105" s="51"/>
      <c r="DB105" s="51"/>
      <c r="DC105" s="51"/>
      <c r="DD105" s="51"/>
      <c r="DE105" s="51"/>
      <c r="DF105" s="51"/>
      <c r="DG105" s="51"/>
      <c r="DH105" s="51"/>
      <c r="DI105" s="51"/>
      <c r="DJ105" s="51"/>
      <c r="DK105" s="51"/>
      <c r="DL105" s="51"/>
      <c r="DM105" s="51"/>
      <c r="DN105" s="51"/>
      <c r="DO105" s="51"/>
      <c r="DP105" s="51"/>
      <c r="DQ105" s="51"/>
      <c r="DR105" s="51"/>
      <c r="DS105" s="51"/>
      <c r="DT105" s="51"/>
      <c r="DU105" s="51"/>
      <c r="DV105" s="51"/>
      <c r="DW105" s="51"/>
      <c r="DX105" s="51"/>
      <c r="DY105" s="51"/>
      <c r="DZ105" s="34"/>
      <c r="EA105" s="13"/>
      <c r="EB105" s="2"/>
      <c r="EC105" s="2"/>
      <c r="ED105" s="2"/>
    </row>
    <row r="106" spans="1:134" ht="4" customHeight="1">
      <c r="A106" s="7"/>
      <c r="B106" s="25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14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  <c r="BN106" s="14"/>
      <c r="BO106" s="51"/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  <c r="CF106" s="51"/>
      <c r="CG106" s="51"/>
      <c r="CH106" s="51"/>
      <c r="CI106" s="51"/>
      <c r="CJ106" s="51"/>
      <c r="CK106" s="51"/>
      <c r="CL106" s="51"/>
      <c r="CM106" s="51"/>
      <c r="CN106" s="51"/>
      <c r="CO106" s="51"/>
      <c r="CP106" s="51"/>
      <c r="CQ106" s="51"/>
      <c r="CR106" s="51"/>
      <c r="CS106" s="51"/>
      <c r="CT106" s="14"/>
      <c r="CU106" s="51"/>
      <c r="CV106" s="51"/>
      <c r="CW106" s="51"/>
      <c r="CX106" s="51"/>
      <c r="CY106" s="51"/>
      <c r="CZ106" s="51"/>
      <c r="DA106" s="51"/>
      <c r="DB106" s="51"/>
      <c r="DC106" s="51"/>
      <c r="DD106" s="51"/>
      <c r="DE106" s="51"/>
      <c r="DF106" s="51"/>
      <c r="DG106" s="51"/>
      <c r="DH106" s="51"/>
      <c r="DI106" s="51"/>
      <c r="DJ106" s="51"/>
      <c r="DK106" s="51"/>
      <c r="DL106" s="51"/>
      <c r="DM106" s="51"/>
      <c r="DN106" s="51"/>
      <c r="DO106" s="51"/>
      <c r="DP106" s="51"/>
      <c r="DQ106" s="51"/>
      <c r="DR106" s="51"/>
      <c r="DS106" s="51"/>
      <c r="DT106" s="51"/>
      <c r="DU106" s="51"/>
      <c r="DV106" s="51"/>
      <c r="DW106" s="51"/>
      <c r="DX106" s="51"/>
      <c r="DY106" s="51"/>
      <c r="DZ106" s="34"/>
      <c r="EA106" s="13"/>
      <c r="EB106" s="2"/>
      <c r="EC106" s="2"/>
      <c r="ED106" s="2"/>
    </row>
    <row r="107" spans="1:134" ht="4" customHeight="1">
      <c r="A107" s="7"/>
      <c r="B107" s="25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14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  <c r="BN107" s="14"/>
      <c r="BO107" s="51"/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  <c r="CF107" s="51"/>
      <c r="CG107" s="51"/>
      <c r="CH107" s="51"/>
      <c r="CI107" s="51"/>
      <c r="CJ107" s="51"/>
      <c r="CK107" s="51"/>
      <c r="CL107" s="51"/>
      <c r="CM107" s="51"/>
      <c r="CN107" s="51"/>
      <c r="CO107" s="51"/>
      <c r="CP107" s="51"/>
      <c r="CQ107" s="51"/>
      <c r="CR107" s="51"/>
      <c r="CS107" s="51"/>
      <c r="CT107" s="14"/>
      <c r="CU107" s="51"/>
      <c r="CV107" s="51"/>
      <c r="CW107" s="51"/>
      <c r="CX107" s="51"/>
      <c r="CY107" s="51"/>
      <c r="CZ107" s="51"/>
      <c r="DA107" s="51"/>
      <c r="DB107" s="51"/>
      <c r="DC107" s="51"/>
      <c r="DD107" s="51"/>
      <c r="DE107" s="51"/>
      <c r="DF107" s="51"/>
      <c r="DG107" s="51"/>
      <c r="DH107" s="51"/>
      <c r="DI107" s="51"/>
      <c r="DJ107" s="51"/>
      <c r="DK107" s="51"/>
      <c r="DL107" s="51"/>
      <c r="DM107" s="51"/>
      <c r="DN107" s="51"/>
      <c r="DO107" s="51"/>
      <c r="DP107" s="51"/>
      <c r="DQ107" s="51"/>
      <c r="DR107" s="51"/>
      <c r="DS107" s="51"/>
      <c r="DT107" s="51"/>
      <c r="DU107" s="51"/>
      <c r="DV107" s="51"/>
      <c r="DW107" s="51"/>
      <c r="DX107" s="51"/>
      <c r="DY107" s="51"/>
      <c r="DZ107" s="26"/>
      <c r="EA107" s="14"/>
      <c r="EB107" s="2"/>
      <c r="EC107" s="2"/>
      <c r="ED107" s="2"/>
    </row>
    <row r="108" spans="1:134" ht="4" customHeight="1">
      <c r="A108" s="7"/>
      <c r="B108" s="25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14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14"/>
      <c r="BO108" s="51"/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  <c r="CM108" s="51"/>
      <c r="CN108" s="51"/>
      <c r="CO108" s="51"/>
      <c r="CP108" s="51"/>
      <c r="CQ108" s="51"/>
      <c r="CR108" s="51"/>
      <c r="CS108" s="51"/>
      <c r="CT108" s="14"/>
      <c r="CU108" s="51"/>
      <c r="CV108" s="51"/>
      <c r="CW108" s="51"/>
      <c r="CX108" s="51"/>
      <c r="CY108" s="51"/>
      <c r="CZ108" s="51"/>
      <c r="DA108" s="51"/>
      <c r="DB108" s="51"/>
      <c r="DC108" s="51"/>
      <c r="DD108" s="51"/>
      <c r="DE108" s="51"/>
      <c r="DF108" s="51"/>
      <c r="DG108" s="51"/>
      <c r="DH108" s="51"/>
      <c r="DI108" s="51"/>
      <c r="DJ108" s="51"/>
      <c r="DK108" s="51"/>
      <c r="DL108" s="51"/>
      <c r="DM108" s="51"/>
      <c r="DN108" s="51"/>
      <c r="DO108" s="51"/>
      <c r="DP108" s="51"/>
      <c r="DQ108" s="51"/>
      <c r="DR108" s="51"/>
      <c r="DS108" s="51"/>
      <c r="DT108" s="51"/>
      <c r="DU108" s="51"/>
      <c r="DV108" s="51"/>
      <c r="DW108" s="51"/>
      <c r="DX108" s="51"/>
      <c r="DY108" s="51"/>
      <c r="DZ108" s="34"/>
      <c r="EA108" s="13"/>
      <c r="EB108" s="2"/>
      <c r="EC108" s="2"/>
      <c r="ED108" s="2"/>
    </row>
    <row r="109" spans="1:134" ht="4" customHeight="1">
      <c r="A109" s="7"/>
      <c r="B109" s="25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14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14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  <c r="CM109" s="51"/>
      <c r="CN109" s="51"/>
      <c r="CO109" s="51"/>
      <c r="CP109" s="51"/>
      <c r="CQ109" s="51"/>
      <c r="CR109" s="51"/>
      <c r="CS109" s="51"/>
      <c r="CT109" s="14"/>
      <c r="CU109" s="51"/>
      <c r="CV109" s="51"/>
      <c r="CW109" s="51"/>
      <c r="CX109" s="51"/>
      <c r="CY109" s="51"/>
      <c r="CZ109" s="51"/>
      <c r="DA109" s="51"/>
      <c r="DB109" s="51"/>
      <c r="DC109" s="51"/>
      <c r="DD109" s="51"/>
      <c r="DE109" s="51"/>
      <c r="DF109" s="51"/>
      <c r="DG109" s="51"/>
      <c r="DH109" s="51"/>
      <c r="DI109" s="51"/>
      <c r="DJ109" s="51"/>
      <c r="DK109" s="51"/>
      <c r="DL109" s="51"/>
      <c r="DM109" s="51"/>
      <c r="DN109" s="51"/>
      <c r="DO109" s="51"/>
      <c r="DP109" s="51"/>
      <c r="DQ109" s="51"/>
      <c r="DR109" s="51"/>
      <c r="DS109" s="51"/>
      <c r="DT109" s="51"/>
      <c r="DU109" s="51"/>
      <c r="DV109" s="51"/>
      <c r="DW109" s="51"/>
      <c r="DX109" s="51"/>
      <c r="DY109" s="51"/>
      <c r="DZ109" s="34"/>
      <c r="EA109" s="13"/>
      <c r="EB109" s="2"/>
      <c r="EC109" s="2"/>
      <c r="ED109" s="2"/>
    </row>
    <row r="110" spans="1:134" ht="4" customHeight="1">
      <c r="A110" s="7"/>
      <c r="B110" s="25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14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14"/>
      <c r="BO110" s="51"/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  <c r="CF110" s="51"/>
      <c r="CG110" s="51"/>
      <c r="CH110" s="51"/>
      <c r="CI110" s="51"/>
      <c r="CJ110" s="51"/>
      <c r="CK110" s="51"/>
      <c r="CL110" s="51"/>
      <c r="CM110" s="51"/>
      <c r="CN110" s="51"/>
      <c r="CO110" s="51"/>
      <c r="CP110" s="51"/>
      <c r="CQ110" s="51"/>
      <c r="CR110" s="51"/>
      <c r="CS110" s="51"/>
      <c r="CT110" s="14"/>
      <c r="CU110" s="51"/>
      <c r="CV110" s="51"/>
      <c r="CW110" s="51"/>
      <c r="CX110" s="51"/>
      <c r="CY110" s="51"/>
      <c r="CZ110" s="51"/>
      <c r="DA110" s="51"/>
      <c r="DB110" s="51"/>
      <c r="DC110" s="51"/>
      <c r="DD110" s="51"/>
      <c r="DE110" s="51"/>
      <c r="DF110" s="51"/>
      <c r="DG110" s="51"/>
      <c r="DH110" s="51"/>
      <c r="DI110" s="51"/>
      <c r="DJ110" s="51"/>
      <c r="DK110" s="51"/>
      <c r="DL110" s="51"/>
      <c r="DM110" s="51"/>
      <c r="DN110" s="51"/>
      <c r="DO110" s="51"/>
      <c r="DP110" s="51"/>
      <c r="DQ110" s="51"/>
      <c r="DR110" s="51"/>
      <c r="DS110" s="51"/>
      <c r="DT110" s="51"/>
      <c r="DU110" s="51"/>
      <c r="DV110" s="51"/>
      <c r="DW110" s="51"/>
      <c r="DX110" s="51"/>
      <c r="DY110" s="51"/>
      <c r="DZ110" s="34"/>
      <c r="EA110" s="13"/>
      <c r="EB110" s="2"/>
      <c r="EC110" s="2"/>
      <c r="ED110" s="2"/>
    </row>
    <row r="111" spans="1:134" ht="4" customHeight="1">
      <c r="A111" s="7"/>
      <c r="B111" s="25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14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14"/>
      <c r="BO111" s="51"/>
      <c r="BP111" s="51"/>
      <c r="BQ111" s="51"/>
      <c r="BR111" s="51"/>
      <c r="BS111" s="51"/>
      <c r="BT111" s="51"/>
      <c r="BU111" s="51"/>
      <c r="BV111" s="51"/>
      <c r="BW111" s="51"/>
      <c r="BX111" s="51"/>
      <c r="BY111" s="51"/>
      <c r="BZ111" s="51"/>
      <c r="CA111" s="51"/>
      <c r="CB111" s="51"/>
      <c r="CC111" s="51"/>
      <c r="CD111" s="51"/>
      <c r="CE111" s="51"/>
      <c r="CF111" s="51"/>
      <c r="CG111" s="51"/>
      <c r="CH111" s="51"/>
      <c r="CI111" s="51"/>
      <c r="CJ111" s="51"/>
      <c r="CK111" s="51"/>
      <c r="CL111" s="51"/>
      <c r="CM111" s="51"/>
      <c r="CN111" s="51"/>
      <c r="CO111" s="51"/>
      <c r="CP111" s="51"/>
      <c r="CQ111" s="51"/>
      <c r="CR111" s="51"/>
      <c r="CS111" s="51"/>
      <c r="CT111" s="14"/>
      <c r="CU111" s="51"/>
      <c r="CV111" s="51"/>
      <c r="CW111" s="51"/>
      <c r="CX111" s="51"/>
      <c r="CY111" s="51"/>
      <c r="CZ111" s="51"/>
      <c r="DA111" s="51"/>
      <c r="DB111" s="51"/>
      <c r="DC111" s="51"/>
      <c r="DD111" s="51"/>
      <c r="DE111" s="51"/>
      <c r="DF111" s="51"/>
      <c r="DG111" s="51"/>
      <c r="DH111" s="51"/>
      <c r="DI111" s="51"/>
      <c r="DJ111" s="51"/>
      <c r="DK111" s="51"/>
      <c r="DL111" s="51"/>
      <c r="DM111" s="51"/>
      <c r="DN111" s="51"/>
      <c r="DO111" s="51"/>
      <c r="DP111" s="51"/>
      <c r="DQ111" s="51"/>
      <c r="DR111" s="51"/>
      <c r="DS111" s="51"/>
      <c r="DT111" s="51"/>
      <c r="DU111" s="51"/>
      <c r="DV111" s="51"/>
      <c r="DW111" s="51"/>
      <c r="DX111" s="51"/>
      <c r="DY111" s="51"/>
      <c r="DZ111" s="16"/>
      <c r="EA111" s="12"/>
      <c r="EB111" s="2"/>
      <c r="EC111" s="2"/>
      <c r="ED111" s="2"/>
    </row>
    <row r="112" spans="1:134" ht="4" customHeight="1">
      <c r="A112" s="7"/>
      <c r="B112" s="25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14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14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  <c r="CI112" s="51"/>
      <c r="CJ112" s="51"/>
      <c r="CK112" s="51"/>
      <c r="CL112" s="51"/>
      <c r="CM112" s="51"/>
      <c r="CN112" s="51"/>
      <c r="CO112" s="51"/>
      <c r="CP112" s="51"/>
      <c r="CQ112" s="51"/>
      <c r="CR112" s="51"/>
      <c r="CS112" s="51"/>
      <c r="CT112" s="14"/>
      <c r="CU112" s="51"/>
      <c r="CV112" s="51"/>
      <c r="CW112" s="51"/>
      <c r="CX112" s="51"/>
      <c r="CY112" s="51"/>
      <c r="CZ112" s="51"/>
      <c r="DA112" s="51"/>
      <c r="DB112" s="51"/>
      <c r="DC112" s="51"/>
      <c r="DD112" s="51"/>
      <c r="DE112" s="51"/>
      <c r="DF112" s="51"/>
      <c r="DG112" s="51"/>
      <c r="DH112" s="51"/>
      <c r="DI112" s="51"/>
      <c r="DJ112" s="51"/>
      <c r="DK112" s="51"/>
      <c r="DL112" s="51"/>
      <c r="DM112" s="51"/>
      <c r="DN112" s="51"/>
      <c r="DO112" s="51"/>
      <c r="DP112" s="51"/>
      <c r="DQ112" s="51"/>
      <c r="DR112" s="51"/>
      <c r="DS112" s="51"/>
      <c r="DT112" s="51"/>
      <c r="DU112" s="51"/>
      <c r="DV112" s="51"/>
      <c r="DW112" s="51"/>
      <c r="DX112" s="51"/>
      <c r="DY112" s="51"/>
      <c r="DZ112" s="16"/>
      <c r="EA112" s="12"/>
      <c r="EB112" s="2"/>
      <c r="EC112" s="2"/>
      <c r="ED112" s="2"/>
    </row>
    <row r="113" spans="1:134" ht="4" customHeight="1">
      <c r="A113" s="7"/>
      <c r="B113" s="25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14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14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  <c r="CL113" s="51"/>
      <c r="CM113" s="51"/>
      <c r="CN113" s="51"/>
      <c r="CO113" s="51"/>
      <c r="CP113" s="51"/>
      <c r="CQ113" s="51"/>
      <c r="CR113" s="51"/>
      <c r="CS113" s="51"/>
      <c r="CT113" s="14"/>
      <c r="CU113" s="51"/>
      <c r="CV113" s="51"/>
      <c r="CW113" s="51"/>
      <c r="CX113" s="51"/>
      <c r="CY113" s="51"/>
      <c r="CZ113" s="51"/>
      <c r="DA113" s="51"/>
      <c r="DB113" s="51"/>
      <c r="DC113" s="51"/>
      <c r="DD113" s="51"/>
      <c r="DE113" s="51"/>
      <c r="DF113" s="51"/>
      <c r="DG113" s="51"/>
      <c r="DH113" s="51"/>
      <c r="DI113" s="51"/>
      <c r="DJ113" s="51"/>
      <c r="DK113" s="51"/>
      <c r="DL113" s="51"/>
      <c r="DM113" s="51"/>
      <c r="DN113" s="51"/>
      <c r="DO113" s="51"/>
      <c r="DP113" s="51"/>
      <c r="DQ113" s="51"/>
      <c r="DR113" s="51"/>
      <c r="DS113" s="51"/>
      <c r="DT113" s="51"/>
      <c r="DU113" s="51"/>
      <c r="DV113" s="51"/>
      <c r="DW113" s="51"/>
      <c r="DX113" s="51"/>
      <c r="DY113" s="51"/>
      <c r="DZ113" s="16"/>
      <c r="EA113" s="12"/>
      <c r="EB113" s="2"/>
      <c r="EC113" s="2"/>
      <c r="ED113" s="2"/>
    </row>
    <row r="114" spans="1:134" ht="4" customHeight="1">
      <c r="A114" s="7"/>
      <c r="B114" s="25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14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14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  <c r="CF114" s="51"/>
      <c r="CG114" s="51"/>
      <c r="CH114" s="51"/>
      <c r="CI114" s="51"/>
      <c r="CJ114" s="51"/>
      <c r="CK114" s="51"/>
      <c r="CL114" s="51"/>
      <c r="CM114" s="51"/>
      <c r="CN114" s="51"/>
      <c r="CO114" s="51"/>
      <c r="CP114" s="51"/>
      <c r="CQ114" s="51"/>
      <c r="CR114" s="51"/>
      <c r="CS114" s="51"/>
      <c r="CT114" s="14"/>
      <c r="CU114" s="51"/>
      <c r="CV114" s="51"/>
      <c r="CW114" s="51"/>
      <c r="CX114" s="51"/>
      <c r="CY114" s="51"/>
      <c r="CZ114" s="51"/>
      <c r="DA114" s="51"/>
      <c r="DB114" s="51"/>
      <c r="DC114" s="51"/>
      <c r="DD114" s="51"/>
      <c r="DE114" s="51"/>
      <c r="DF114" s="51"/>
      <c r="DG114" s="51"/>
      <c r="DH114" s="51"/>
      <c r="DI114" s="51"/>
      <c r="DJ114" s="51"/>
      <c r="DK114" s="51"/>
      <c r="DL114" s="51"/>
      <c r="DM114" s="51"/>
      <c r="DN114" s="51"/>
      <c r="DO114" s="51"/>
      <c r="DP114" s="51"/>
      <c r="DQ114" s="51"/>
      <c r="DR114" s="51"/>
      <c r="DS114" s="51"/>
      <c r="DT114" s="51"/>
      <c r="DU114" s="51"/>
      <c r="DV114" s="51"/>
      <c r="DW114" s="51"/>
      <c r="DX114" s="51"/>
      <c r="DY114" s="51"/>
      <c r="DZ114" s="16"/>
      <c r="EA114" s="12"/>
      <c r="EB114" s="2"/>
      <c r="EC114" s="2"/>
      <c r="ED114" s="2"/>
    </row>
    <row r="115" spans="1:134" ht="4" customHeight="1">
      <c r="A115" s="7"/>
      <c r="B115" s="25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14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14"/>
      <c r="BO115" s="51"/>
      <c r="BP115" s="51"/>
      <c r="BQ115" s="51"/>
      <c r="BR115" s="51"/>
      <c r="BS115" s="51"/>
      <c r="BT115" s="51"/>
      <c r="BU115" s="51"/>
      <c r="BV115" s="51"/>
      <c r="BW115" s="51"/>
      <c r="BX115" s="51"/>
      <c r="BY115" s="51"/>
      <c r="BZ115" s="51"/>
      <c r="CA115" s="51"/>
      <c r="CB115" s="51"/>
      <c r="CC115" s="51"/>
      <c r="CD115" s="51"/>
      <c r="CE115" s="51"/>
      <c r="CF115" s="51"/>
      <c r="CG115" s="51"/>
      <c r="CH115" s="51"/>
      <c r="CI115" s="51"/>
      <c r="CJ115" s="51"/>
      <c r="CK115" s="51"/>
      <c r="CL115" s="51"/>
      <c r="CM115" s="51"/>
      <c r="CN115" s="51"/>
      <c r="CO115" s="51"/>
      <c r="CP115" s="51"/>
      <c r="CQ115" s="51"/>
      <c r="CR115" s="51"/>
      <c r="CS115" s="51"/>
      <c r="CT115" s="14"/>
      <c r="CU115" s="51"/>
      <c r="CV115" s="51"/>
      <c r="CW115" s="51"/>
      <c r="CX115" s="51"/>
      <c r="CY115" s="51"/>
      <c r="CZ115" s="51"/>
      <c r="DA115" s="51"/>
      <c r="DB115" s="51"/>
      <c r="DC115" s="51"/>
      <c r="DD115" s="51"/>
      <c r="DE115" s="51"/>
      <c r="DF115" s="51"/>
      <c r="DG115" s="51"/>
      <c r="DH115" s="51"/>
      <c r="DI115" s="51"/>
      <c r="DJ115" s="51"/>
      <c r="DK115" s="51"/>
      <c r="DL115" s="51"/>
      <c r="DM115" s="51"/>
      <c r="DN115" s="51"/>
      <c r="DO115" s="51"/>
      <c r="DP115" s="51"/>
      <c r="DQ115" s="51"/>
      <c r="DR115" s="51"/>
      <c r="DS115" s="51"/>
      <c r="DT115" s="51"/>
      <c r="DU115" s="51"/>
      <c r="DV115" s="51"/>
      <c r="DW115" s="51"/>
      <c r="DX115" s="51"/>
      <c r="DY115" s="51"/>
      <c r="DZ115" s="16"/>
      <c r="EA115" s="12"/>
      <c r="EB115" s="2"/>
      <c r="EC115" s="2"/>
      <c r="ED115" s="2"/>
    </row>
    <row r="116" spans="1:134" ht="4" customHeight="1">
      <c r="A116" s="7"/>
      <c r="B116" s="25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14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14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  <c r="CF116" s="51"/>
      <c r="CG116" s="51"/>
      <c r="CH116" s="51"/>
      <c r="CI116" s="51"/>
      <c r="CJ116" s="51"/>
      <c r="CK116" s="51"/>
      <c r="CL116" s="51"/>
      <c r="CM116" s="51"/>
      <c r="CN116" s="51"/>
      <c r="CO116" s="51"/>
      <c r="CP116" s="51"/>
      <c r="CQ116" s="51"/>
      <c r="CR116" s="51"/>
      <c r="CS116" s="51"/>
      <c r="CT116" s="14"/>
      <c r="CU116" s="51"/>
      <c r="CV116" s="51"/>
      <c r="CW116" s="51"/>
      <c r="CX116" s="51"/>
      <c r="CY116" s="51"/>
      <c r="CZ116" s="51"/>
      <c r="DA116" s="51"/>
      <c r="DB116" s="51"/>
      <c r="DC116" s="51"/>
      <c r="DD116" s="51"/>
      <c r="DE116" s="51"/>
      <c r="DF116" s="51"/>
      <c r="DG116" s="51"/>
      <c r="DH116" s="51"/>
      <c r="DI116" s="51"/>
      <c r="DJ116" s="51"/>
      <c r="DK116" s="51"/>
      <c r="DL116" s="51"/>
      <c r="DM116" s="51"/>
      <c r="DN116" s="51"/>
      <c r="DO116" s="51"/>
      <c r="DP116" s="51"/>
      <c r="DQ116" s="51"/>
      <c r="DR116" s="51"/>
      <c r="DS116" s="51"/>
      <c r="DT116" s="51"/>
      <c r="DU116" s="51"/>
      <c r="DV116" s="51"/>
      <c r="DW116" s="51"/>
      <c r="DX116" s="51"/>
      <c r="DY116" s="51"/>
      <c r="DZ116" s="16"/>
      <c r="EA116" s="12"/>
      <c r="EB116" s="2"/>
      <c r="EC116" s="2"/>
      <c r="ED116" s="2"/>
    </row>
    <row r="117" spans="1:134" ht="4" customHeight="1">
      <c r="A117" s="7"/>
      <c r="B117" s="25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14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14"/>
      <c r="BO117" s="51"/>
      <c r="BP117" s="51"/>
      <c r="BQ117" s="51"/>
      <c r="BR117" s="51"/>
      <c r="BS117" s="51"/>
      <c r="BT117" s="51"/>
      <c r="BU117" s="51"/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  <c r="CF117" s="51"/>
      <c r="CG117" s="51"/>
      <c r="CH117" s="51"/>
      <c r="CI117" s="51"/>
      <c r="CJ117" s="51"/>
      <c r="CK117" s="51"/>
      <c r="CL117" s="51"/>
      <c r="CM117" s="51"/>
      <c r="CN117" s="51"/>
      <c r="CO117" s="51"/>
      <c r="CP117" s="51"/>
      <c r="CQ117" s="51"/>
      <c r="CR117" s="51"/>
      <c r="CS117" s="51"/>
      <c r="CT117" s="14"/>
      <c r="CU117" s="51"/>
      <c r="CV117" s="51"/>
      <c r="CW117" s="51"/>
      <c r="CX117" s="51"/>
      <c r="CY117" s="51"/>
      <c r="CZ117" s="51"/>
      <c r="DA117" s="51"/>
      <c r="DB117" s="51"/>
      <c r="DC117" s="51"/>
      <c r="DD117" s="51"/>
      <c r="DE117" s="51"/>
      <c r="DF117" s="51"/>
      <c r="DG117" s="51"/>
      <c r="DH117" s="51"/>
      <c r="DI117" s="51"/>
      <c r="DJ117" s="51"/>
      <c r="DK117" s="51"/>
      <c r="DL117" s="51"/>
      <c r="DM117" s="51"/>
      <c r="DN117" s="51"/>
      <c r="DO117" s="51"/>
      <c r="DP117" s="51"/>
      <c r="DQ117" s="51"/>
      <c r="DR117" s="51"/>
      <c r="DS117" s="51"/>
      <c r="DT117" s="51"/>
      <c r="DU117" s="51"/>
      <c r="DV117" s="51"/>
      <c r="DW117" s="51"/>
      <c r="DX117" s="51"/>
      <c r="DY117" s="51"/>
      <c r="DZ117" s="16"/>
      <c r="EA117" s="12"/>
      <c r="EB117" s="2"/>
      <c r="EC117" s="2"/>
      <c r="ED117" s="2"/>
    </row>
    <row r="118" spans="1:134" ht="4" customHeight="1">
      <c r="A118" s="7"/>
      <c r="B118" s="25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14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  <c r="BN118" s="14"/>
      <c r="BO118" s="51"/>
      <c r="BP118" s="51"/>
      <c r="BQ118" s="51"/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1"/>
      <c r="CL118" s="51"/>
      <c r="CM118" s="51"/>
      <c r="CN118" s="51"/>
      <c r="CO118" s="51"/>
      <c r="CP118" s="51"/>
      <c r="CQ118" s="51"/>
      <c r="CR118" s="51"/>
      <c r="CS118" s="51"/>
      <c r="CT118" s="14"/>
      <c r="CU118" s="51"/>
      <c r="CV118" s="51"/>
      <c r="CW118" s="51"/>
      <c r="CX118" s="51"/>
      <c r="CY118" s="51"/>
      <c r="CZ118" s="51"/>
      <c r="DA118" s="51"/>
      <c r="DB118" s="51"/>
      <c r="DC118" s="51"/>
      <c r="DD118" s="51"/>
      <c r="DE118" s="51"/>
      <c r="DF118" s="51"/>
      <c r="DG118" s="51"/>
      <c r="DH118" s="51"/>
      <c r="DI118" s="51"/>
      <c r="DJ118" s="51"/>
      <c r="DK118" s="51"/>
      <c r="DL118" s="51"/>
      <c r="DM118" s="51"/>
      <c r="DN118" s="51"/>
      <c r="DO118" s="51"/>
      <c r="DP118" s="51"/>
      <c r="DQ118" s="51"/>
      <c r="DR118" s="51"/>
      <c r="DS118" s="51"/>
      <c r="DT118" s="51"/>
      <c r="DU118" s="51"/>
      <c r="DV118" s="51"/>
      <c r="DW118" s="51"/>
      <c r="DX118" s="51"/>
      <c r="DY118" s="51"/>
      <c r="DZ118" s="16"/>
      <c r="EA118" s="12"/>
      <c r="EB118" s="2"/>
      <c r="EC118" s="2"/>
      <c r="ED118" s="2"/>
    </row>
    <row r="119" spans="1:134" ht="4" customHeight="1">
      <c r="A119" s="7"/>
      <c r="B119" s="25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14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  <c r="BL119" s="51"/>
      <c r="BM119" s="51"/>
      <c r="BN119" s="14"/>
      <c r="BO119" s="51"/>
      <c r="BP119" s="51"/>
      <c r="BQ119" s="51"/>
      <c r="BR119" s="51"/>
      <c r="BS119" s="51"/>
      <c r="BT119" s="51"/>
      <c r="BU119" s="51"/>
      <c r="BV119" s="51"/>
      <c r="BW119" s="51"/>
      <c r="BX119" s="51"/>
      <c r="BY119" s="51"/>
      <c r="BZ119" s="51"/>
      <c r="CA119" s="51"/>
      <c r="CB119" s="51"/>
      <c r="CC119" s="51"/>
      <c r="CD119" s="51"/>
      <c r="CE119" s="51"/>
      <c r="CF119" s="51"/>
      <c r="CG119" s="51"/>
      <c r="CH119" s="51"/>
      <c r="CI119" s="51"/>
      <c r="CJ119" s="51"/>
      <c r="CK119" s="51"/>
      <c r="CL119" s="51"/>
      <c r="CM119" s="51"/>
      <c r="CN119" s="51"/>
      <c r="CO119" s="51"/>
      <c r="CP119" s="51"/>
      <c r="CQ119" s="51"/>
      <c r="CR119" s="51"/>
      <c r="CS119" s="51"/>
      <c r="CT119" s="14"/>
      <c r="CU119" s="51"/>
      <c r="CV119" s="51"/>
      <c r="CW119" s="51"/>
      <c r="CX119" s="51"/>
      <c r="CY119" s="51"/>
      <c r="CZ119" s="51"/>
      <c r="DA119" s="51"/>
      <c r="DB119" s="51"/>
      <c r="DC119" s="51"/>
      <c r="DD119" s="51"/>
      <c r="DE119" s="51"/>
      <c r="DF119" s="51"/>
      <c r="DG119" s="51"/>
      <c r="DH119" s="51"/>
      <c r="DI119" s="51"/>
      <c r="DJ119" s="51"/>
      <c r="DK119" s="51"/>
      <c r="DL119" s="51"/>
      <c r="DM119" s="51"/>
      <c r="DN119" s="51"/>
      <c r="DO119" s="51"/>
      <c r="DP119" s="51"/>
      <c r="DQ119" s="51"/>
      <c r="DR119" s="51"/>
      <c r="DS119" s="51"/>
      <c r="DT119" s="51"/>
      <c r="DU119" s="51"/>
      <c r="DV119" s="51"/>
      <c r="DW119" s="51"/>
      <c r="DX119" s="51"/>
      <c r="DY119" s="51"/>
      <c r="DZ119" s="16"/>
      <c r="EA119" s="12"/>
      <c r="EB119" s="2"/>
      <c r="EC119" s="2"/>
      <c r="ED119" s="2"/>
    </row>
    <row r="120" spans="1:134" ht="4" customHeight="1">
      <c r="A120" s="7"/>
      <c r="B120" s="25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14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  <c r="BL120" s="51"/>
      <c r="BM120" s="51"/>
      <c r="BN120" s="14"/>
      <c r="BO120" s="51"/>
      <c r="BP120" s="51"/>
      <c r="BQ120" s="51"/>
      <c r="BR120" s="51"/>
      <c r="BS120" s="51"/>
      <c r="BT120" s="51"/>
      <c r="BU120" s="51"/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  <c r="CF120" s="51"/>
      <c r="CG120" s="51"/>
      <c r="CH120" s="51"/>
      <c r="CI120" s="51"/>
      <c r="CJ120" s="51"/>
      <c r="CK120" s="51"/>
      <c r="CL120" s="51"/>
      <c r="CM120" s="51"/>
      <c r="CN120" s="51"/>
      <c r="CO120" s="51"/>
      <c r="CP120" s="51"/>
      <c r="CQ120" s="51"/>
      <c r="CR120" s="51"/>
      <c r="CS120" s="51"/>
      <c r="CT120" s="14"/>
      <c r="CU120" s="51"/>
      <c r="CV120" s="51"/>
      <c r="CW120" s="51"/>
      <c r="CX120" s="51"/>
      <c r="CY120" s="51"/>
      <c r="CZ120" s="51"/>
      <c r="DA120" s="51"/>
      <c r="DB120" s="51"/>
      <c r="DC120" s="51"/>
      <c r="DD120" s="51"/>
      <c r="DE120" s="51"/>
      <c r="DF120" s="51"/>
      <c r="DG120" s="51"/>
      <c r="DH120" s="51"/>
      <c r="DI120" s="51"/>
      <c r="DJ120" s="51"/>
      <c r="DK120" s="51"/>
      <c r="DL120" s="51"/>
      <c r="DM120" s="51"/>
      <c r="DN120" s="51"/>
      <c r="DO120" s="51"/>
      <c r="DP120" s="51"/>
      <c r="DQ120" s="51"/>
      <c r="DR120" s="51"/>
      <c r="DS120" s="51"/>
      <c r="DT120" s="51"/>
      <c r="DU120" s="51"/>
      <c r="DV120" s="51"/>
      <c r="DW120" s="51"/>
      <c r="DX120" s="51"/>
      <c r="DY120" s="51"/>
      <c r="DZ120" s="16"/>
      <c r="EA120" s="12"/>
      <c r="EB120" s="2"/>
      <c r="EC120" s="2"/>
      <c r="ED120" s="2"/>
    </row>
    <row r="121" spans="1:134" ht="4" customHeight="1">
      <c r="A121" s="7"/>
      <c r="B121" s="25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14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14"/>
      <c r="BO121" s="51"/>
      <c r="BP121" s="51"/>
      <c r="BQ121" s="51"/>
      <c r="BR121" s="51"/>
      <c r="BS121" s="51"/>
      <c r="BT121" s="51"/>
      <c r="BU121" s="51"/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  <c r="CF121" s="51"/>
      <c r="CG121" s="51"/>
      <c r="CH121" s="51"/>
      <c r="CI121" s="51"/>
      <c r="CJ121" s="51"/>
      <c r="CK121" s="51"/>
      <c r="CL121" s="51"/>
      <c r="CM121" s="51"/>
      <c r="CN121" s="51"/>
      <c r="CO121" s="51"/>
      <c r="CP121" s="51"/>
      <c r="CQ121" s="51"/>
      <c r="CR121" s="51"/>
      <c r="CS121" s="51"/>
      <c r="CT121" s="14"/>
      <c r="CU121" s="51"/>
      <c r="CV121" s="51"/>
      <c r="CW121" s="51"/>
      <c r="CX121" s="51"/>
      <c r="CY121" s="51"/>
      <c r="CZ121" s="51"/>
      <c r="DA121" s="51"/>
      <c r="DB121" s="51"/>
      <c r="DC121" s="51"/>
      <c r="DD121" s="51"/>
      <c r="DE121" s="51"/>
      <c r="DF121" s="51"/>
      <c r="DG121" s="51"/>
      <c r="DH121" s="51"/>
      <c r="DI121" s="51"/>
      <c r="DJ121" s="51"/>
      <c r="DK121" s="51"/>
      <c r="DL121" s="51"/>
      <c r="DM121" s="51"/>
      <c r="DN121" s="51"/>
      <c r="DO121" s="51"/>
      <c r="DP121" s="51"/>
      <c r="DQ121" s="51"/>
      <c r="DR121" s="51"/>
      <c r="DS121" s="51"/>
      <c r="DT121" s="51"/>
      <c r="DU121" s="51"/>
      <c r="DV121" s="51"/>
      <c r="DW121" s="51"/>
      <c r="DX121" s="51"/>
      <c r="DY121" s="51"/>
      <c r="DZ121" s="16"/>
      <c r="EA121" s="12"/>
      <c r="EB121" s="2"/>
      <c r="EC121" s="2"/>
      <c r="ED121" s="2"/>
    </row>
    <row r="122" spans="1:134" ht="4" customHeight="1">
      <c r="A122" s="7"/>
      <c r="B122" s="25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14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14"/>
      <c r="BO122" s="51"/>
      <c r="BP122" s="51"/>
      <c r="BQ122" s="51"/>
      <c r="BR122" s="51"/>
      <c r="BS122" s="51"/>
      <c r="BT122" s="51"/>
      <c r="BU122" s="51"/>
      <c r="BV122" s="51"/>
      <c r="BW122" s="51"/>
      <c r="BX122" s="51"/>
      <c r="BY122" s="51"/>
      <c r="BZ122" s="51"/>
      <c r="CA122" s="51"/>
      <c r="CB122" s="51"/>
      <c r="CC122" s="51"/>
      <c r="CD122" s="51"/>
      <c r="CE122" s="51"/>
      <c r="CF122" s="51"/>
      <c r="CG122" s="51"/>
      <c r="CH122" s="51"/>
      <c r="CI122" s="51"/>
      <c r="CJ122" s="51"/>
      <c r="CK122" s="51"/>
      <c r="CL122" s="51"/>
      <c r="CM122" s="51"/>
      <c r="CN122" s="51"/>
      <c r="CO122" s="51"/>
      <c r="CP122" s="51"/>
      <c r="CQ122" s="51"/>
      <c r="CR122" s="51"/>
      <c r="CS122" s="51"/>
      <c r="CT122" s="14"/>
      <c r="CU122" s="51"/>
      <c r="CV122" s="51"/>
      <c r="CW122" s="51"/>
      <c r="CX122" s="51"/>
      <c r="CY122" s="51"/>
      <c r="CZ122" s="51"/>
      <c r="DA122" s="51"/>
      <c r="DB122" s="51"/>
      <c r="DC122" s="51"/>
      <c r="DD122" s="51"/>
      <c r="DE122" s="51"/>
      <c r="DF122" s="51"/>
      <c r="DG122" s="51"/>
      <c r="DH122" s="51"/>
      <c r="DI122" s="51"/>
      <c r="DJ122" s="51"/>
      <c r="DK122" s="51"/>
      <c r="DL122" s="51"/>
      <c r="DM122" s="51"/>
      <c r="DN122" s="51"/>
      <c r="DO122" s="51"/>
      <c r="DP122" s="51"/>
      <c r="DQ122" s="51"/>
      <c r="DR122" s="51"/>
      <c r="DS122" s="51"/>
      <c r="DT122" s="51"/>
      <c r="DU122" s="51"/>
      <c r="DV122" s="51"/>
      <c r="DW122" s="51"/>
      <c r="DX122" s="51"/>
      <c r="DY122" s="51"/>
      <c r="DZ122" s="16"/>
      <c r="EA122" s="12"/>
      <c r="EB122" s="2"/>
      <c r="EC122" s="2"/>
      <c r="ED122" s="2"/>
    </row>
    <row r="123" spans="1:134" ht="4" customHeight="1">
      <c r="A123" s="7"/>
      <c r="B123" s="25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47">
        <f>SUM(AC102:AG122)</f>
        <v>0</v>
      </c>
      <c r="AD123" s="47"/>
      <c r="AE123" s="47"/>
      <c r="AF123" s="47"/>
      <c r="AG123" s="47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47">
        <f>SUM(BI102:BM122)</f>
        <v>0</v>
      </c>
      <c r="BJ123" s="47"/>
      <c r="BK123" s="47"/>
      <c r="BL123" s="47"/>
      <c r="BM123" s="47"/>
      <c r="BN123" s="13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47">
        <f>SUM(CO102:CS122)</f>
        <v>0</v>
      </c>
      <c r="CP123" s="47"/>
      <c r="CQ123" s="47"/>
      <c r="CR123" s="47"/>
      <c r="CS123" s="47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47">
        <f>SUM(DU102:DY122)</f>
        <v>0</v>
      </c>
      <c r="DV123" s="47"/>
      <c r="DW123" s="47"/>
      <c r="DX123" s="47"/>
      <c r="DY123" s="47"/>
      <c r="DZ123" s="16"/>
      <c r="EA123" s="12"/>
      <c r="EB123" s="2"/>
      <c r="EC123" s="2"/>
      <c r="ED123" s="2"/>
    </row>
    <row r="124" spans="1:134" ht="4" customHeight="1">
      <c r="A124" s="7"/>
      <c r="B124" s="48" t="s">
        <v>13</v>
      </c>
      <c r="C124" s="49"/>
      <c r="D124" s="49"/>
      <c r="E124" s="49"/>
      <c r="F124" s="50"/>
      <c r="G124" s="50"/>
      <c r="H124" s="50"/>
      <c r="I124" s="50"/>
      <c r="J124" s="49" t="s">
        <v>15</v>
      </c>
      <c r="K124" s="49"/>
      <c r="L124" s="49"/>
      <c r="M124" s="49"/>
      <c r="N124" s="50"/>
      <c r="O124" s="50"/>
      <c r="P124" s="50"/>
      <c r="Q124" s="50"/>
      <c r="R124" s="49" t="s">
        <v>17</v>
      </c>
      <c r="S124" s="49"/>
      <c r="T124" s="49"/>
      <c r="U124" s="49"/>
      <c r="V124" s="50"/>
      <c r="W124" s="50"/>
      <c r="X124" s="50"/>
      <c r="Y124" s="50"/>
      <c r="Z124" s="14"/>
      <c r="AA124" s="13"/>
      <c r="AB124" s="13"/>
      <c r="AC124" s="47"/>
      <c r="AD124" s="47"/>
      <c r="AE124" s="47"/>
      <c r="AF124" s="47"/>
      <c r="AG124" s="47"/>
      <c r="AH124" s="14"/>
      <c r="AI124" s="49" t="s">
        <v>13</v>
      </c>
      <c r="AJ124" s="49"/>
      <c r="AK124" s="49"/>
      <c r="AL124" s="49"/>
      <c r="AM124" s="50"/>
      <c r="AN124" s="50"/>
      <c r="AO124" s="50"/>
      <c r="AP124" s="50"/>
      <c r="AQ124" s="49" t="s">
        <v>15</v>
      </c>
      <c r="AR124" s="49"/>
      <c r="AS124" s="49"/>
      <c r="AT124" s="49"/>
      <c r="AU124" s="50"/>
      <c r="AV124" s="50"/>
      <c r="AW124" s="50"/>
      <c r="AX124" s="50"/>
      <c r="AY124" s="49" t="s">
        <v>17</v>
      </c>
      <c r="AZ124" s="49"/>
      <c r="BA124" s="49"/>
      <c r="BB124" s="49"/>
      <c r="BC124" s="50"/>
      <c r="BD124" s="50"/>
      <c r="BE124" s="50"/>
      <c r="BF124" s="50"/>
      <c r="BG124" s="14"/>
      <c r="BH124" s="13"/>
      <c r="BI124" s="47"/>
      <c r="BJ124" s="47"/>
      <c r="BK124" s="47"/>
      <c r="BL124" s="47"/>
      <c r="BM124" s="47"/>
      <c r="BN124" s="13"/>
      <c r="BO124" s="49" t="s">
        <v>13</v>
      </c>
      <c r="BP124" s="49"/>
      <c r="BQ124" s="49"/>
      <c r="BR124" s="49"/>
      <c r="BS124" s="50"/>
      <c r="BT124" s="50"/>
      <c r="BU124" s="50"/>
      <c r="BV124" s="50"/>
      <c r="BW124" s="49" t="s">
        <v>15</v>
      </c>
      <c r="BX124" s="49"/>
      <c r="BY124" s="49"/>
      <c r="BZ124" s="49"/>
      <c r="CA124" s="50"/>
      <c r="CB124" s="50"/>
      <c r="CC124" s="50"/>
      <c r="CD124" s="50"/>
      <c r="CE124" s="49" t="s">
        <v>17</v>
      </c>
      <c r="CF124" s="49"/>
      <c r="CG124" s="49"/>
      <c r="CH124" s="49"/>
      <c r="CI124" s="50"/>
      <c r="CJ124" s="50"/>
      <c r="CK124" s="50"/>
      <c r="CL124" s="50"/>
      <c r="CM124" s="14"/>
      <c r="CN124" s="13"/>
      <c r="CO124" s="47"/>
      <c r="CP124" s="47"/>
      <c r="CQ124" s="47"/>
      <c r="CR124" s="47"/>
      <c r="CS124" s="47"/>
      <c r="CT124" s="14"/>
      <c r="CU124" s="49" t="s">
        <v>13</v>
      </c>
      <c r="CV124" s="49"/>
      <c r="CW124" s="49"/>
      <c r="CX124" s="49"/>
      <c r="CY124" s="50"/>
      <c r="CZ124" s="50"/>
      <c r="DA124" s="50"/>
      <c r="DB124" s="50"/>
      <c r="DC124" s="49" t="s">
        <v>15</v>
      </c>
      <c r="DD124" s="49"/>
      <c r="DE124" s="49"/>
      <c r="DF124" s="49"/>
      <c r="DG124" s="50"/>
      <c r="DH124" s="50"/>
      <c r="DI124" s="50"/>
      <c r="DJ124" s="50"/>
      <c r="DK124" s="49" t="s">
        <v>17</v>
      </c>
      <c r="DL124" s="49"/>
      <c r="DM124" s="49"/>
      <c r="DN124" s="49"/>
      <c r="DO124" s="50"/>
      <c r="DP124" s="50"/>
      <c r="DQ124" s="50"/>
      <c r="DR124" s="50"/>
      <c r="DS124" s="14"/>
      <c r="DT124" s="13"/>
      <c r="DU124" s="47"/>
      <c r="DV124" s="47"/>
      <c r="DW124" s="47"/>
      <c r="DX124" s="47"/>
      <c r="DY124" s="47"/>
      <c r="DZ124" s="16"/>
      <c r="EA124" s="12"/>
      <c r="EB124" s="2"/>
      <c r="EC124" s="2"/>
      <c r="ED124" s="2"/>
    </row>
    <row r="125" spans="1:134" ht="4" customHeight="1">
      <c r="A125" s="7"/>
      <c r="B125" s="48"/>
      <c r="C125" s="49"/>
      <c r="D125" s="49"/>
      <c r="E125" s="49"/>
      <c r="F125" s="50"/>
      <c r="G125" s="50"/>
      <c r="H125" s="50"/>
      <c r="I125" s="50"/>
      <c r="J125" s="49"/>
      <c r="K125" s="49"/>
      <c r="L125" s="49"/>
      <c r="M125" s="49"/>
      <c r="N125" s="50"/>
      <c r="O125" s="50"/>
      <c r="P125" s="50"/>
      <c r="Q125" s="50"/>
      <c r="R125" s="49"/>
      <c r="S125" s="49"/>
      <c r="T125" s="49"/>
      <c r="U125" s="49"/>
      <c r="V125" s="50"/>
      <c r="W125" s="50"/>
      <c r="X125" s="50"/>
      <c r="Y125" s="50"/>
      <c r="Z125" s="14"/>
      <c r="AA125" s="13"/>
      <c r="AB125" s="13"/>
      <c r="AC125" s="47"/>
      <c r="AD125" s="47"/>
      <c r="AE125" s="47"/>
      <c r="AF125" s="47"/>
      <c r="AG125" s="47"/>
      <c r="AH125" s="14"/>
      <c r="AI125" s="49"/>
      <c r="AJ125" s="49"/>
      <c r="AK125" s="49"/>
      <c r="AL125" s="49"/>
      <c r="AM125" s="50"/>
      <c r="AN125" s="50"/>
      <c r="AO125" s="50"/>
      <c r="AP125" s="50"/>
      <c r="AQ125" s="49"/>
      <c r="AR125" s="49"/>
      <c r="AS125" s="49"/>
      <c r="AT125" s="49"/>
      <c r="AU125" s="50"/>
      <c r="AV125" s="50"/>
      <c r="AW125" s="50"/>
      <c r="AX125" s="50"/>
      <c r="AY125" s="49"/>
      <c r="AZ125" s="49"/>
      <c r="BA125" s="49"/>
      <c r="BB125" s="49"/>
      <c r="BC125" s="50"/>
      <c r="BD125" s="50"/>
      <c r="BE125" s="50"/>
      <c r="BF125" s="50"/>
      <c r="BG125" s="14"/>
      <c r="BH125" s="13"/>
      <c r="BI125" s="47"/>
      <c r="BJ125" s="47"/>
      <c r="BK125" s="47"/>
      <c r="BL125" s="47"/>
      <c r="BM125" s="47"/>
      <c r="BN125" s="13"/>
      <c r="BO125" s="49"/>
      <c r="BP125" s="49"/>
      <c r="BQ125" s="49"/>
      <c r="BR125" s="49"/>
      <c r="BS125" s="50"/>
      <c r="BT125" s="50"/>
      <c r="BU125" s="50"/>
      <c r="BV125" s="50"/>
      <c r="BW125" s="49"/>
      <c r="BX125" s="49"/>
      <c r="BY125" s="49"/>
      <c r="BZ125" s="49"/>
      <c r="CA125" s="50"/>
      <c r="CB125" s="50"/>
      <c r="CC125" s="50"/>
      <c r="CD125" s="50"/>
      <c r="CE125" s="49"/>
      <c r="CF125" s="49"/>
      <c r="CG125" s="49"/>
      <c r="CH125" s="49"/>
      <c r="CI125" s="50"/>
      <c r="CJ125" s="50"/>
      <c r="CK125" s="50"/>
      <c r="CL125" s="50"/>
      <c r="CM125" s="14"/>
      <c r="CN125" s="13"/>
      <c r="CO125" s="47"/>
      <c r="CP125" s="47"/>
      <c r="CQ125" s="47"/>
      <c r="CR125" s="47"/>
      <c r="CS125" s="47"/>
      <c r="CT125" s="14"/>
      <c r="CU125" s="49"/>
      <c r="CV125" s="49"/>
      <c r="CW125" s="49"/>
      <c r="CX125" s="49"/>
      <c r="CY125" s="50"/>
      <c r="CZ125" s="50"/>
      <c r="DA125" s="50"/>
      <c r="DB125" s="50"/>
      <c r="DC125" s="49"/>
      <c r="DD125" s="49"/>
      <c r="DE125" s="49"/>
      <c r="DF125" s="49"/>
      <c r="DG125" s="50"/>
      <c r="DH125" s="50"/>
      <c r="DI125" s="50"/>
      <c r="DJ125" s="50"/>
      <c r="DK125" s="49"/>
      <c r="DL125" s="49"/>
      <c r="DM125" s="49"/>
      <c r="DN125" s="49"/>
      <c r="DO125" s="50"/>
      <c r="DP125" s="50"/>
      <c r="DQ125" s="50"/>
      <c r="DR125" s="50"/>
      <c r="DS125" s="14"/>
      <c r="DT125" s="13"/>
      <c r="DU125" s="47"/>
      <c r="DV125" s="47"/>
      <c r="DW125" s="47"/>
      <c r="DX125" s="47"/>
      <c r="DY125" s="47"/>
      <c r="DZ125" s="16"/>
      <c r="EA125" s="12"/>
      <c r="EB125" s="2"/>
      <c r="EC125" s="2"/>
      <c r="ED125" s="2"/>
    </row>
    <row r="126" spans="1:134" ht="4" customHeight="1">
      <c r="A126" s="7"/>
      <c r="B126" s="48"/>
      <c r="C126" s="49"/>
      <c r="D126" s="49"/>
      <c r="E126" s="49"/>
      <c r="F126" s="50"/>
      <c r="G126" s="50"/>
      <c r="H126" s="50"/>
      <c r="I126" s="50"/>
      <c r="J126" s="49"/>
      <c r="K126" s="49"/>
      <c r="L126" s="49"/>
      <c r="M126" s="49"/>
      <c r="N126" s="50"/>
      <c r="O126" s="50"/>
      <c r="P126" s="50"/>
      <c r="Q126" s="50"/>
      <c r="R126" s="49"/>
      <c r="S126" s="49"/>
      <c r="T126" s="49"/>
      <c r="U126" s="49"/>
      <c r="V126" s="50"/>
      <c r="W126" s="50"/>
      <c r="X126" s="50"/>
      <c r="Y126" s="50"/>
      <c r="Z126" s="14"/>
      <c r="AA126" s="14"/>
      <c r="AB126" s="14"/>
      <c r="AC126" s="14"/>
      <c r="AD126" s="14"/>
      <c r="AE126" s="14"/>
      <c r="AF126" s="14"/>
      <c r="AG126" s="14"/>
      <c r="AH126" s="14"/>
      <c r="AI126" s="49"/>
      <c r="AJ126" s="49"/>
      <c r="AK126" s="49"/>
      <c r="AL126" s="49"/>
      <c r="AM126" s="50"/>
      <c r="AN126" s="50"/>
      <c r="AO126" s="50"/>
      <c r="AP126" s="50"/>
      <c r="AQ126" s="49"/>
      <c r="AR126" s="49"/>
      <c r="AS126" s="49"/>
      <c r="AT126" s="49"/>
      <c r="AU126" s="50"/>
      <c r="AV126" s="50"/>
      <c r="AW126" s="50"/>
      <c r="AX126" s="50"/>
      <c r="AY126" s="49"/>
      <c r="AZ126" s="49"/>
      <c r="BA126" s="49"/>
      <c r="BB126" s="49"/>
      <c r="BC126" s="50"/>
      <c r="BD126" s="50"/>
      <c r="BE126" s="50"/>
      <c r="BF126" s="50"/>
      <c r="BG126" s="14"/>
      <c r="BH126" s="14"/>
      <c r="BI126" s="14"/>
      <c r="BJ126" s="14"/>
      <c r="BK126" s="14"/>
      <c r="BL126" s="14"/>
      <c r="BM126" s="14"/>
      <c r="BN126" s="14"/>
      <c r="BO126" s="49"/>
      <c r="BP126" s="49"/>
      <c r="BQ126" s="49"/>
      <c r="BR126" s="49"/>
      <c r="BS126" s="50"/>
      <c r="BT126" s="50"/>
      <c r="BU126" s="50"/>
      <c r="BV126" s="50"/>
      <c r="BW126" s="49"/>
      <c r="BX126" s="49"/>
      <c r="BY126" s="49"/>
      <c r="BZ126" s="49"/>
      <c r="CA126" s="50"/>
      <c r="CB126" s="50"/>
      <c r="CC126" s="50"/>
      <c r="CD126" s="50"/>
      <c r="CE126" s="49"/>
      <c r="CF126" s="49"/>
      <c r="CG126" s="49"/>
      <c r="CH126" s="49"/>
      <c r="CI126" s="50"/>
      <c r="CJ126" s="50"/>
      <c r="CK126" s="50"/>
      <c r="CL126" s="50"/>
      <c r="CM126" s="14"/>
      <c r="CN126" s="14"/>
      <c r="CO126" s="14"/>
      <c r="CP126" s="14"/>
      <c r="CQ126" s="14"/>
      <c r="CR126" s="14"/>
      <c r="CS126" s="14"/>
      <c r="CT126" s="14"/>
      <c r="CU126" s="49"/>
      <c r="CV126" s="49"/>
      <c r="CW126" s="49"/>
      <c r="CX126" s="49"/>
      <c r="CY126" s="50"/>
      <c r="CZ126" s="50"/>
      <c r="DA126" s="50"/>
      <c r="DB126" s="50"/>
      <c r="DC126" s="49"/>
      <c r="DD126" s="49"/>
      <c r="DE126" s="49"/>
      <c r="DF126" s="49"/>
      <c r="DG126" s="50"/>
      <c r="DH126" s="50"/>
      <c r="DI126" s="50"/>
      <c r="DJ126" s="50"/>
      <c r="DK126" s="49"/>
      <c r="DL126" s="49"/>
      <c r="DM126" s="49"/>
      <c r="DN126" s="49"/>
      <c r="DO126" s="50"/>
      <c r="DP126" s="50"/>
      <c r="DQ126" s="50"/>
      <c r="DR126" s="50"/>
      <c r="DS126" s="14"/>
      <c r="DT126" s="14"/>
      <c r="DU126" s="14"/>
      <c r="DV126" s="14"/>
      <c r="DW126" s="14"/>
      <c r="DX126" s="14"/>
      <c r="DY126" s="14"/>
      <c r="DZ126" s="16"/>
      <c r="EA126" s="12"/>
      <c r="EB126" s="2"/>
      <c r="EC126" s="2"/>
      <c r="ED126" s="2"/>
    </row>
    <row r="127" spans="1:134" ht="4" customHeight="1">
      <c r="A127" s="7"/>
      <c r="B127" s="48" t="s">
        <v>14</v>
      </c>
      <c r="C127" s="49"/>
      <c r="D127" s="49"/>
      <c r="E127" s="49"/>
      <c r="F127" s="50"/>
      <c r="G127" s="50"/>
      <c r="H127" s="50"/>
      <c r="I127" s="50"/>
      <c r="J127" s="49" t="s">
        <v>16</v>
      </c>
      <c r="K127" s="49"/>
      <c r="L127" s="49"/>
      <c r="M127" s="49"/>
      <c r="N127" s="50"/>
      <c r="O127" s="50"/>
      <c r="P127" s="50"/>
      <c r="Q127" s="50"/>
      <c r="R127" s="49" t="s">
        <v>18</v>
      </c>
      <c r="S127" s="49"/>
      <c r="T127" s="49"/>
      <c r="U127" s="49"/>
      <c r="V127" s="50"/>
      <c r="W127" s="50"/>
      <c r="X127" s="50"/>
      <c r="Y127" s="50"/>
      <c r="Z127" s="49" t="s">
        <v>19</v>
      </c>
      <c r="AA127" s="49"/>
      <c r="AB127" s="49"/>
      <c r="AC127" s="49"/>
      <c r="AD127" s="50"/>
      <c r="AE127" s="50"/>
      <c r="AF127" s="50"/>
      <c r="AG127" s="50"/>
      <c r="AH127" s="14"/>
      <c r="AI127" s="49" t="s">
        <v>14</v>
      </c>
      <c r="AJ127" s="49"/>
      <c r="AK127" s="49"/>
      <c r="AL127" s="49"/>
      <c r="AM127" s="50"/>
      <c r="AN127" s="50"/>
      <c r="AO127" s="50"/>
      <c r="AP127" s="50"/>
      <c r="AQ127" s="49" t="s">
        <v>16</v>
      </c>
      <c r="AR127" s="49"/>
      <c r="AS127" s="49"/>
      <c r="AT127" s="49"/>
      <c r="AU127" s="50"/>
      <c r="AV127" s="50"/>
      <c r="AW127" s="50"/>
      <c r="AX127" s="50"/>
      <c r="AY127" s="49" t="s">
        <v>18</v>
      </c>
      <c r="AZ127" s="49"/>
      <c r="BA127" s="49"/>
      <c r="BB127" s="49"/>
      <c r="BC127" s="50"/>
      <c r="BD127" s="50"/>
      <c r="BE127" s="50"/>
      <c r="BF127" s="50"/>
      <c r="BG127" s="49" t="s">
        <v>19</v>
      </c>
      <c r="BH127" s="49"/>
      <c r="BI127" s="49"/>
      <c r="BJ127" s="49"/>
      <c r="BK127" s="50"/>
      <c r="BL127" s="50"/>
      <c r="BM127" s="50"/>
      <c r="BN127" s="13"/>
      <c r="BO127" s="49" t="s">
        <v>14</v>
      </c>
      <c r="BP127" s="49"/>
      <c r="BQ127" s="49"/>
      <c r="BR127" s="49"/>
      <c r="BS127" s="50"/>
      <c r="BT127" s="50"/>
      <c r="BU127" s="50"/>
      <c r="BV127" s="50"/>
      <c r="BW127" s="49" t="s">
        <v>16</v>
      </c>
      <c r="BX127" s="49"/>
      <c r="BY127" s="49"/>
      <c r="BZ127" s="49"/>
      <c r="CA127" s="50"/>
      <c r="CB127" s="50"/>
      <c r="CC127" s="50"/>
      <c r="CD127" s="50"/>
      <c r="CE127" s="49" t="s">
        <v>18</v>
      </c>
      <c r="CF127" s="49"/>
      <c r="CG127" s="49"/>
      <c r="CH127" s="49"/>
      <c r="CI127" s="50"/>
      <c r="CJ127" s="50"/>
      <c r="CK127" s="50"/>
      <c r="CL127" s="50"/>
      <c r="CM127" s="49" t="s">
        <v>19</v>
      </c>
      <c r="CN127" s="49"/>
      <c r="CO127" s="49"/>
      <c r="CP127" s="49"/>
      <c r="CQ127" s="50"/>
      <c r="CR127" s="50"/>
      <c r="CS127" s="50"/>
      <c r="CT127" s="14"/>
      <c r="CU127" s="49" t="s">
        <v>14</v>
      </c>
      <c r="CV127" s="49"/>
      <c r="CW127" s="49"/>
      <c r="CX127" s="49"/>
      <c r="CY127" s="50"/>
      <c r="CZ127" s="50"/>
      <c r="DA127" s="50"/>
      <c r="DB127" s="50"/>
      <c r="DC127" s="49" t="s">
        <v>16</v>
      </c>
      <c r="DD127" s="49"/>
      <c r="DE127" s="49"/>
      <c r="DF127" s="49"/>
      <c r="DG127" s="50"/>
      <c r="DH127" s="50"/>
      <c r="DI127" s="50"/>
      <c r="DJ127" s="50"/>
      <c r="DK127" s="49" t="s">
        <v>18</v>
      </c>
      <c r="DL127" s="49"/>
      <c r="DM127" s="49"/>
      <c r="DN127" s="49"/>
      <c r="DO127" s="50"/>
      <c r="DP127" s="50"/>
      <c r="DQ127" s="50"/>
      <c r="DR127" s="50"/>
      <c r="DS127" s="49" t="s">
        <v>19</v>
      </c>
      <c r="DT127" s="49"/>
      <c r="DU127" s="49"/>
      <c r="DV127" s="49"/>
      <c r="DW127" s="50"/>
      <c r="DX127" s="50"/>
      <c r="DY127" s="50"/>
      <c r="DZ127" s="16"/>
      <c r="EA127" s="12"/>
      <c r="EB127" s="2"/>
      <c r="EC127" s="2"/>
      <c r="ED127" s="2"/>
    </row>
    <row r="128" spans="1:134" ht="4" customHeight="1">
      <c r="A128" s="7"/>
      <c r="B128" s="48"/>
      <c r="C128" s="49"/>
      <c r="D128" s="49"/>
      <c r="E128" s="49"/>
      <c r="F128" s="50"/>
      <c r="G128" s="50"/>
      <c r="H128" s="50"/>
      <c r="I128" s="50"/>
      <c r="J128" s="49"/>
      <c r="K128" s="49"/>
      <c r="L128" s="49"/>
      <c r="M128" s="49"/>
      <c r="N128" s="50"/>
      <c r="O128" s="50"/>
      <c r="P128" s="50"/>
      <c r="Q128" s="50"/>
      <c r="R128" s="49"/>
      <c r="S128" s="49"/>
      <c r="T128" s="49"/>
      <c r="U128" s="49"/>
      <c r="V128" s="50"/>
      <c r="W128" s="50"/>
      <c r="X128" s="50"/>
      <c r="Y128" s="50"/>
      <c r="Z128" s="49"/>
      <c r="AA128" s="49"/>
      <c r="AB128" s="49"/>
      <c r="AC128" s="49"/>
      <c r="AD128" s="50"/>
      <c r="AE128" s="50"/>
      <c r="AF128" s="50"/>
      <c r="AG128" s="50"/>
      <c r="AH128" s="14"/>
      <c r="AI128" s="49"/>
      <c r="AJ128" s="49"/>
      <c r="AK128" s="49"/>
      <c r="AL128" s="49"/>
      <c r="AM128" s="50"/>
      <c r="AN128" s="50"/>
      <c r="AO128" s="50"/>
      <c r="AP128" s="50"/>
      <c r="AQ128" s="49"/>
      <c r="AR128" s="49"/>
      <c r="AS128" s="49"/>
      <c r="AT128" s="49"/>
      <c r="AU128" s="50"/>
      <c r="AV128" s="50"/>
      <c r="AW128" s="50"/>
      <c r="AX128" s="50"/>
      <c r="AY128" s="49"/>
      <c r="AZ128" s="49"/>
      <c r="BA128" s="49"/>
      <c r="BB128" s="49"/>
      <c r="BC128" s="50"/>
      <c r="BD128" s="50"/>
      <c r="BE128" s="50"/>
      <c r="BF128" s="50"/>
      <c r="BG128" s="49"/>
      <c r="BH128" s="49"/>
      <c r="BI128" s="49"/>
      <c r="BJ128" s="49"/>
      <c r="BK128" s="50"/>
      <c r="BL128" s="50"/>
      <c r="BM128" s="50"/>
      <c r="BN128" s="13"/>
      <c r="BO128" s="49"/>
      <c r="BP128" s="49"/>
      <c r="BQ128" s="49"/>
      <c r="BR128" s="49"/>
      <c r="BS128" s="50"/>
      <c r="BT128" s="50"/>
      <c r="BU128" s="50"/>
      <c r="BV128" s="50"/>
      <c r="BW128" s="49"/>
      <c r="BX128" s="49"/>
      <c r="BY128" s="49"/>
      <c r="BZ128" s="49"/>
      <c r="CA128" s="50"/>
      <c r="CB128" s="50"/>
      <c r="CC128" s="50"/>
      <c r="CD128" s="50"/>
      <c r="CE128" s="49"/>
      <c r="CF128" s="49"/>
      <c r="CG128" s="49"/>
      <c r="CH128" s="49"/>
      <c r="CI128" s="50"/>
      <c r="CJ128" s="50"/>
      <c r="CK128" s="50"/>
      <c r="CL128" s="50"/>
      <c r="CM128" s="49"/>
      <c r="CN128" s="49"/>
      <c r="CO128" s="49"/>
      <c r="CP128" s="49"/>
      <c r="CQ128" s="50"/>
      <c r="CR128" s="50"/>
      <c r="CS128" s="50"/>
      <c r="CT128" s="14"/>
      <c r="CU128" s="49"/>
      <c r="CV128" s="49"/>
      <c r="CW128" s="49"/>
      <c r="CX128" s="49"/>
      <c r="CY128" s="50"/>
      <c r="CZ128" s="50"/>
      <c r="DA128" s="50"/>
      <c r="DB128" s="50"/>
      <c r="DC128" s="49"/>
      <c r="DD128" s="49"/>
      <c r="DE128" s="49"/>
      <c r="DF128" s="49"/>
      <c r="DG128" s="50"/>
      <c r="DH128" s="50"/>
      <c r="DI128" s="50"/>
      <c r="DJ128" s="50"/>
      <c r="DK128" s="49"/>
      <c r="DL128" s="49"/>
      <c r="DM128" s="49"/>
      <c r="DN128" s="49"/>
      <c r="DO128" s="50"/>
      <c r="DP128" s="50"/>
      <c r="DQ128" s="50"/>
      <c r="DR128" s="50"/>
      <c r="DS128" s="49"/>
      <c r="DT128" s="49"/>
      <c r="DU128" s="49"/>
      <c r="DV128" s="49"/>
      <c r="DW128" s="50"/>
      <c r="DX128" s="50"/>
      <c r="DY128" s="50"/>
      <c r="DZ128" s="16"/>
      <c r="EA128" s="12"/>
      <c r="EB128" s="2"/>
      <c r="EC128" s="2"/>
      <c r="ED128" s="2"/>
    </row>
    <row r="129" spans="1:134" ht="4" customHeight="1">
      <c r="A129" s="7"/>
      <c r="B129" s="48"/>
      <c r="C129" s="49"/>
      <c r="D129" s="49"/>
      <c r="E129" s="49"/>
      <c r="F129" s="50"/>
      <c r="G129" s="50"/>
      <c r="H129" s="50"/>
      <c r="I129" s="50"/>
      <c r="J129" s="49"/>
      <c r="K129" s="49"/>
      <c r="L129" s="49"/>
      <c r="M129" s="49"/>
      <c r="N129" s="50"/>
      <c r="O129" s="50"/>
      <c r="P129" s="50"/>
      <c r="Q129" s="50"/>
      <c r="R129" s="49"/>
      <c r="S129" s="49"/>
      <c r="T129" s="49"/>
      <c r="U129" s="49"/>
      <c r="V129" s="50"/>
      <c r="W129" s="50"/>
      <c r="X129" s="50"/>
      <c r="Y129" s="50"/>
      <c r="Z129" s="49"/>
      <c r="AA129" s="49"/>
      <c r="AB129" s="49"/>
      <c r="AC129" s="49"/>
      <c r="AD129" s="50"/>
      <c r="AE129" s="50"/>
      <c r="AF129" s="50"/>
      <c r="AG129" s="50"/>
      <c r="AH129" s="14"/>
      <c r="AI129" s="49"/>
      <c r="AJ129" s="49"/>
      <c r="AK129" s="49"/>
      <c r="AL129" s="49"/>
      <c r="AM129" s="50"/>
      <c r="AN129" s="50"/>
      <c r="AO129" s="50"/>
      <c r="AP129" s="50"/>
      <c r="AQ129" s="49"/>
      <c r="AR129" s="49"/>
      <c r="AS129" s="49"/>
      <c r="AT129" s="49"/>
      <c r="AU129" s="50"/>
      <c r="AV129" s="50"/>
      <c r="AW129" s="50"/>
      <c r="AX129" s="50"/>
      <c r="AY129" s="49"/>
      <c r="AZ129" s="49"/>
      <c r="BA129" s="49"/>
      <c r="BB129" s="49"/>
      <c r="BC129" s="50"/>
      <c r="BD129" s="50"/>
      <c r="BE129" s="50"/>
      <c r="BF129" s="50"/>
      <c r="BG129" s="49"/>
      <c r="BH129" s="49"/>
      <c r="BI129" s="49"/>
      <c r="BJ129" s="49"/>
      <c r="BK129" s="50"/>
      <c r="BL129" s="50"/>
      <c r="BM129" s="50"/>
      <c r="BN129" s="13"/>
      <c r="BO129" s="49"/>
      <c r="BP129" s="49"/>
      <c r="BQ129" s="49"/>
      <c r="BR129" s="49"/>
      <c r="BS129" s="50"/>
      <c r="BT129" s="50"/>
      <c r="BU129" s="50"/>
      <c r="BV129" s="50"/>
      <c r="BW129" s="49"/>
      <c r="BX129" s="49"/>
      <c r="BY129" s="49"/>
      <c r="BZ129" s="49"/>
      <c r="CA129" s="50"/>
      <c r="CB129" s="50"/>
      <c r="CC129" s="50"/>
      <c r="CD129" s="50"/>
      <c r="CE129" s="49"/>
      <c r="CF129" s="49"/>
      <c r="CG129" s="49"/>
      <c r="CH129" s="49"/>
      <c r="CI129" s="50"/>
      <c r="CJ129" s="50"/>
      <c r="CK129" s="50"/>
      <c r="CL129" s="50"/>
      <c r="CM129" s="49"/>
      <c r="CN129" s="49"/>
      <c r="CO129" s="49"/>
      <c r="CP129" s="49"/>
      <c r="CQ129" s="50"/>
      <c r="CR129" s="50"/>
      <c r="CS129" s="50"/>
      <c r="CT129" s="14"/>
      <c r="CU129" s="49"/>
      <c r="CV129" s="49"/>
      <c r="CW129" s="49"/>
      <c r="CX129" s="49"/>
      <c r="CY129" s="50"/>
      <c r="CZ129" s="50"/>
      <c r="DA129" s="50"/>
      <c r="DB129" s="50"/>
      <c r="DC129" s="49"/>
      <c r="DD129" s="49"/>
      <c r="DE129" s="49"/>
      <c r="DF129" s="49"/>
      <c r="DG129" s="50"/>
      <c r="DH129" s="50"/>
      <c r="DI129" s="50"/>
      <c r="DJ129" s="50"/>
      <c r="DK129" s="49"/>
      <c r="DL129" s="49"/>
      <c r="DM129" s="49"/>
      <c r="DN129" s="49"/>
      <c r="DO129" s="50"/>
      <c r="DP129" s="50"/>
      <c r="DQ129" s="50"/>
      <c r="DR129" s="50"/>
      <c r="DS129" s="49"/>
      <c r="DT129" s="49"/>
      <c r="DU129" s="49"/>
      <c r="DV129" s="49"/>
      <c r="DW129" s="50"/>
      <c r="DX129" s="50"/>
      <c r="DY129" s="50"/>
      <c r="DZ129" s="16"/>
      <c r="EA129" s="12"/>
      <c r="EB129" s="2"/>
      <c r="EC129" s="2"/>
      <c r="ED129" s="2"/>
    </row>
    <row r="130" spans="1:134" ht="4" customHeight="1">
      <c r="A130" s="7"/>
      <c r="B130" s="15"/>
      <c r="C130" s="12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2"/>
      <c r="DY130" s="12"/>
      <c r="DZ130" s="16"/>
      <c r="EA130" s="12"/>
      <c r="EB130" s="2"/>
      <c r="EC130" s="2"/>
      <c r="ED130" s="2"/>
    </row>
    <row r="131" spans="1:134" ht="4" customHeight="1">
      <c r="A131" s="7"/>
      <c r="B131" s="25"/>
      <c r="C131" s="52" t="str">
        <f>"Fall " &amp; BO23+3</f>
        <v>Fall 3</v>
      </c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13"/>
      <c r="AI131" s="52" t="str">
        <f>"Winter " &amp; BO23+4</f>
        <v>Winter 4</v>
      </c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14"/>
      <c r="BO131" s="52" t="str">
        <f>"Spring " &amp; BO23+4</f>
        <v>Spring 4</v>
      </c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52"/>
      <c r="CJ131" s="52"/>
      <c r="CK131" s="52"/>
      <c r="CL131" s="52"/>
      <c r="CM131" s="52"/>
      <c r="CN131" s="52"/>
      <c r="CO131" s="52"/>
      <c r="CP131" s="52"/>
      <c r="CQ131" s="52"/>
      <c r="CR131" s="52"/>
      <c r="CS131" s="52"/>
      <c r="CT131" s="14"/>
      <c r="CU131" s="52" t="str">
        <f xml:space="preserve"> "Summer " &amp; BO23+4</f>
        <v>Summer 4</v>
      </c>
      <c r="CV131" s="52"/>
      <c r="CW131" s="52"/>
      <c r="CX131" s="52"/>
      <c r="CY131" s="52"/>
      <c r="CZ131" s="52"/>
      <c r="DA131" s="52"/>
      <c r="DB131" s="52"/>
      <c r="DC131" s="52"/>
      <c r="DD131" s="52"/>
      <c r="DE131" s="52"/>
      <c r="DF131" s="52"/>
      <c r="DG131" s="52"/>
      <c r="DH131" s="52"/>
      <c r="DI131" s="52"/>
      <c r="DJ131" s="52"/>
      <c r="DK131" s="52"/>
      <c r="DL131" s="52"/>
      <c r="DM131" s="52"/>
      <c r="DN131" s="52"/>
      <c r="DO131" s="52"/>
      <c r="DP131" s="52"/>
      <c r="DQ131" s="52"/>
      <c r="DR131" s="52"/>
      <c r="DS131" s="52"/>
      <c r="DT131" s="52"/>
      <c r="DU131" s="52"/>
      <c r="DV131" s="52"/>
      <c r="DW131" s="52"/>
      <c r="DX131" s="52"/>
      <c r="DY131" s="52"/>
      <c r="DZ131" s="16"/>
      <c r="EA131" s="12"/>
      <c r="EB131" s="2"/>
      <c r="EC131" s="2"/>
      <c r="ED131" s="2"/>
    </row>
    <row r="132" spans="1:134" ht="4" customHeight="1">
      <c r="A132" s="7"/>
      <c r="B132" s="25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13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14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52"/>
      <c r="CJ132" s="52"/>
      <c r="CK132" s="52"/>
      <c r="CL132" s="52"/>
      <c r="CM132" s="52"/>
      <c r="CN132" s="52"/>
      <c r="CO132" s="52"/>
      <c r="CP132" s="52"/>
      <c r="CQ132" s="52"/>
      <c r="CR132" s="52"/>
      <c r="CS132" s="52"/>
      <c r="CT132" s="14"/>
      <c r="CU132" s="52"/>
      <c r="CV132" s="52"/>
      <c r="CW132" s="52"/>
      <c r="CX132" s="52"/>
      <c r="CY132" s="52"/>
      <c r="CZ132" s="52"/>
      <c r="DA132" s="52"/>
      <c r="DB132" s="52"/>
      <c r="DC132" s="52"/>
      <c r="DD132" s="52"/>
      <c r="DE132" s="52"/>
      <c r="DF132" s="52"/>
      <c r="DG132" s="52"/>
      <c r="DH132" s="52"/>
      <c r="DI132" s="52"/>
      <c r="DJ132" s="52"/>
      <c r="DK132" s="52"/>
      <c r="DL132" s="52"/>
      <c r="DM132" s="52"/>
      <c r="DN132" s="52"/>
      <c r="DO132" s="52"/>
      <c r="DP132" s="52"/>
      <c r="DQ132" s="52"/>
      <c r="DR132" s="52"/>
      <c r="DS132" s="52"/>
      <c r="DT132" s="52"/>
      <c r="DU132" s="52"/>
      <c r="DV132" s="52"/>
      <c r="DW132" s="52"/>
      <c r="DX132" s="52"/>
      <c r="DY132" s="52"/>
      <c r="DZ132" s="16"/>
      <c r="EA132" s="12"/>
      <c r="EB132" s="2"/>
      <c r="EC132" s="2"/>
      <c r="ED132" s="2"/>
    </row>
    <row r="133" spans="1:134" ht="4" customHeight="1">
      <c r="A133" s="7"/>
      <c r="B133" s="25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13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14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2"/>
      <c r="CE133" s="52"/>
      <c r="CF133" s="52"/>
      <c r="CG133" s="52"/>
      <c r="CH133" s="52"/>
      <c r="CI133" s="52"/>
      <c r="CJ133" s="52"/>
      <c r="CK133" s="52"/>
      <c r="CL133" s="52"/>
      <c r="CM133" s="52"/>
      <c r="CN133" s="52"/>
      <c r="CO133" s="52"/>
      <c r="CP133" s="52"/>
      <c r="CQ133" s="52"/>
      <c r="CR133" s="52"/>
      <c r="CS133" s="52"/>
      <c r="CT133" s="14"/>
      <c r="CU133" s="52"/>
      <c r="CV133" s="52"/>
      <c r="CW133" s="52"/>
      <c r="CX133" s="52"/>
      <c r="CY133" s="52"/>
      <c r="CZ133" s="52"/>
      <c r="DA133" s="52"/>
      <c r="DB133" s="52"/>
      <c r="DC133" s="52"/>
      <c r="DD133" s="52"/>
      <c r="DE133" s="52"/>
      <c r="DF133" s="52"/>
      <c r="DG133" s="52"/>
      <c r="DH133" s="52"/>
      <c r="DI133" s="52"/>
      <c r="DJ133" s="52"/>
      <c r="DK133" s="52"/>
      <c r="DL133" s="52"/>
      <c r="DM133" s="52"/>
      <c r="DN133" s="52"/>
      <c r="DO133" s="52"/>
      <c r="DP133" s="52"/>
      <c r="DQ133" s="52"/>
      <c r="DR133" s="52"/>
      <c r="DS133" s="52"/>
      <c r="DT133" s="52"/>
      <c r="DU133" s="52"/>
      <c r="DV133" s="52"/>
      <c r="DW133" s="52"/>
      <c r="DX133" s="52"/>
      <c r="DY133" s="52"/>
      <c r="DZ133" s="16"/>
      <c r="EA133" s="12"/>
      <c r="EB133" s="2"/>
      <c r="EC133" s="2"/>
      <c r="ED133" s="2"/>
    </row>
    <row r="134" spans="1:134" ht="4" customHeight="1">
      <c r="A134" s="7"/>
      <c r="B134" s="25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13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14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2"/>
      <c r="CE134" s="52"/>
      <c r="CF134" s="52"/>
      <c r="CG134" s="52"/>
      <c r="CH134" s="52"/>
      <c r="CI134" s="52"/>
      <c r="CJ134" s="52"/>
      <c r="CK134" s="52"/>
      <c r="CL134" s="52"/>
      <c r="CM134" s="52"/>
      <c r="CN134" s="52"/>
      <c r="CO134" s="52"/>
      <c r="CP134" s="52"/>
      <c r="CQ134" s="52"/>
      <c r="CR134" s="52"/>
      <c r="CS134" s="52"/>
      <c r="CT134" s="14"/>
      <c r="CU134" s="52"/>
      <c r="CV134" s="52"/>
      <c r="CW134" s="52"/>
      <c r="CX134" s="52"/>
      <c r="CY134" s="52"/>
      <c r="CZ134" s="52"/>
      <c r="DA134" s="52"/>
      <c r="DB134" s="52"/>
      <c r="DC134" s="52"/>
      <c r="DD134" s="52"/>
      <c r="DE134" s="52"/>
      <c r="DF134" s="52"/>
      <c r="DG134" s="52"/>
      <c r="DH134" s="52"/>
      <c r="DI134" s="52"/>
      <c r="DJ134" s="52"/>
      <c r="DK134" s="52"/>
      <c r="DL134" s="52"/>
      <c r="DM134" s="52"/>
      <c r="DN134" s="52"/>
      <c r="DO134" s="52"/>
      <c r="DP134" s="52"/>
      <c r="DQ134" s="52"/>
      <c r="DR134" s="52"/>
      <c r="DS134" s="52"/>
      <c r="DT134" s="52"/>
      <c r="DU134" s="52"/>
      <c r="DV134" s="52"/>
      <c r="DW134" s="52"/>
      <c r="DX134" s="52"/>
      <c r="DY134" s="52"/>
      <c r="DZ134" s="16"/>
      <c r="EA134" s="12"/>
      <c r="EB134" s="2"/>
      <c r="EC134" s="2"/>
      <c r="ED134" s="2"/>
    </row>
    <row r="135" spans="1:134" ht="4" customHeight="1">
      <c r="A135" s="7"/>
      <c r="B135" s="25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6"/>
      <c r="EA135" s="12"/>
      <c r="EB135" s="2"/>
      <c r="EC135" s="2"/>
      <c r="ED135" s="2"/>
    </row>
    <row r="136" spans="1:134" ht="4" customHeight="1">
      <c r="A136" s="7"/>
      <c r="B136" s="25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14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14"/>
      <c r="BO136" s="51"/>
      <c r="BP136" s="51"/>
      <c r="BQ136" s="51"/>
      <c r="BR136" s="51"/>
      <c r="BS136" s="51"/>
      <c r="BT136" s="51"/>
      <c r="BU136" s="51"/>
      <c r="BV136" s="51"/>
      <c r="BW136" s="51"/>
      <c r="BX136" s="51"/>
      <c r="BY136" s="51"/>
      <c r="BZ136" s="51"/>
      <c r="CA136" s="51"/>
      <c r="CB136" s="51"/>
      <c r="CC136" s="51"/>
      <c r="CD136" s="51"/>
      <c r="CE136" s="51"/>
      <c r="CF136" s="51"/>
      <c r="CG136" s="51"/>
      <c r="CH136" s="51"/>
      <c r="CI136" s="51"/>
      <c r="CJ136" s="51"/>
      <c r="CK136" s="51"/>
      <c r="CL136" s="51"/>
      <c r="CM136" s="51"/>
      <c r="CN136" s="51"/>
      <c r="CO136" s="51"/>
      <c r="CP136" s="51"/>
      <c r="CQ136" s="51"/>
      <c r="CR136" s="51"/>
      <c r="CS136" s="51"/>
      <c r="CT136" s="14"/>
      <c r="CU136" s="51"/>
      <c r="CV136" s="51"/>
      <c r="CW136" s="51"/>
      <c r="CX136" s="51"/>
      <c r="CY136" s="51"/>
      <c r="CZ136" s="51"/>
      <c r="DA136" s="51"/>
      <c r="DB136" s="51"/>
      <c r="DC136" s="51"/>
      <c r="DD136" s="51"/>
      <c r="DE136" s="51"/>
      <c r="DF136" s="51"/>
      <c r="DG136" s="51"/>
      <c r="DH136" s="51"/>
      <c r="DI136" s="51"/>
      <c r="DJ136" s="51"/>
      <c r="DK136" s="51"/>
      <c r="DL136" s="51"/>
      <c r="DM136" s="51"/>
      <c r="DN136" s="51"/>
      <c r="DO136" s="51"/>
      <c r="DP136" s="51"/>
      <c r="DQ136" s="51"/>
      <c r="DR136" s="51"/>
      <c r="DS136" s="51"/>
      <c r="DT136" s="51"/>
      <c r="DU136" s="51"/>
      <c r="DV136" s="51"/>
      <c r="DW136" s="51"/>
      <c r="DX136" s="51"/>
      <c r="DY136" s="51"/>
      <c r="DZ136" s="16"/>
      <c r="EA136" s="12"/>
      <c r="EB136" s="2"/>
      <c r="EC136" s="2"/>
      <c r="ED136" s="2"/>
    </row>
    <row r="137" spans="1:134" ht="4" customHeight="1">
      <c r="A137" s="7"/>
      <c r="B137" s="25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14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14"/>
      <c r="BO137" s="51"/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1"/>
      <c r="CA137" s="51"/>
      <c r="CB137" s="51"/>
      <c r="CC137" s="51"/>
      <c r="CD137" s="51"/>
      <c r="CE137" s="51"/>
      <c r="CF137" s="51"/>
      <c r="CG137" s="51"/>
      <c r="CH137" s="51"/>
      <c r="CI137" s="51"/>
      <c r="CJ137" s="51"/>
      <c r="CK137" s="51"/>
      <c r="CL137" s="51"/>
      <c r="CM137" s="51"/>
      <c r="CN137" s="51"/>
      <c r="CO137" s="51"/>
      <c r="CP137" s="51"/>
      <c r="CQ137" s="51"/>
      <c r="CR137" s="51"/>
      <c r="CS137" s="51"/>
      <c r="CT137" s="14"/>
      <c r="CU137" s="51"/>
      <c r="CV137" s="51"/>
      <c r="CW137" s="51"/>
      <c r="CX137" s="51"/>
      <c r="CY137" s="51"/>
      <c r="CZ137" s="51"/>
      <c r="DA137" s="51"/>
      <c r="DB137" s="51"/>
      <c r="DC137" s="51"/>
      <c r="DD137" s="51"/>
      <c r="DE137" s="51"/>
      <c r="DF137" s="51"/>
      <c r="DG137" s="51"/>
      <c r="DH137" s="51"/>
      <c r="DI137" s="51"/>
      <c r="DJ137" s="51"/>
      <c r="DK137" s="51"/>
      <c r="DL137" s="51"/>
      <c r="DM137" s="51"/>
      <c r="DN137" s="51"/>
      <c r="DO137" s="51"/>
      <c r="DP137" s="51"/>
      <c r="DQ137" s="51"/>
      <c r="DR137" s="51"/>
      <c r="DS137" s="51"/>
      <c r="DT137" s="51"/>
      <c r="DU137" s="51"/>
      <c r="DV137" s="51"/>
      <c r="DW137" s="51"/>
      <c r="DX137" s="51"/>
      <c r="DY137" s="51"/>
      <c r="DZ137" s="16"/>
      <c r="EA137" s="12"/>
      <c r="EB137" s="2"/>
      <c r="EC137" s="2"/>
      <c r="ED137" s="2"/>
    </row>
    <row r="138" spans="1:134" ht="4" customHeight="1">
      <c r="A138" s="7"/>
      <c r="B138" s="25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14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14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1"/>
      <c r="CA138" s="51"/>
      <c r="CB138" s="51"/>
      <c r="CC138" s="51"/>
      <c r="CD138" s="51"/>
      <c r="CE138" s="51"/>
      <c r="CF138" s="51"/>
      <c r="CG138" s="51"/>
      <c r="CH138" s="51"/>
      <c r="CI138" s="51"/>
      <c r="CJ138" s="51"/>
      <c r="CK138" s="51"/>
      <c r="CL138" s="51"/>
      <c r="CM138" s="51"/>
      <c r="CN138" s="51"/>
      <c r="CO138" s="51"/>
      <c r="CP138" s="51"/>
      <c r="CQ138" s="51"/>
      <c r="CR138" s="51"/>
      <c r="CS138" s="51"/>
      <c r="CT138" s="14"/>
      <c r="CU138" s="51"/>
      <c r="CV138" s="51"/>
      <c r="CW138" s="51"/>
      <c r="CX138" s="51"/>
      <c r="CY138" s="51"/>
      <c r="CZ138" s="51"/>
      <c r="DA138" s="51"/>
      <c r="DB138" s="51"/>
      <c r="DC138" s="51"/>
      <c r="DD138" s="51"/>
      <c r="DE138" s="51"/>
      <c r="DF138" s="51"/>
      <c r="DG138" s="51"/>
      <c r="DH138" s="51"/>
      <c r="DI138" s="51"/>
      <c r="DJ138" s="51"/>
      <c r="DK138" s="51"/>
      <c r="DL138" s="51"/>
      <c r="DM138" s="51"/>
      <c r="DN138" s="51"/>
      <c r="DO138" s="51"/>
      <c r="DP138" s="51"/>
      <c r="DQ138" s="51"/>
      <c r="DR138" s="51"/>
      <c r="DS138" s="51"/>
      <c r="DT138" s="51"/>
      <c r="DU138" s="51"/>
      <c r="DV138" s="51"/>
      <c r="DW138" s="51"/>
      <c r="DX138" s="51"/>
      <c r="DY138" s="51"/>
      <c r="DZ138" s="16"/>
      <c r="EA138" s="12"/>
      <c r="EB138" s="2"/>
      <c r="EC138" s="2"/>
      <c r="ED138" s="2"/>
    </row>
    <row r="139" spans="1:134" ht="4" customHeight="1">
      <c r="A139" s="7"/>
      <c r="B139" s="25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14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14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51"/>
      <c r="CE139" s="51"/>
      <c r="CF139" s="51"/>
      <c r="CG139" s="51"/>
      <c r="CH139" s="51"/>
      <c r="CI139" s="51"/>
      <c r="CJ139" s="51"/>
      <c r="CK139" s="51"/>
      <c r="CL139" s="51"/>
      <c r="CM139" s="51"/>
      <c r="CN139" s="51"/>
      <c r="CO139" s="51"/>
      <c r="CP139" s="51"/>
      <c r="CQ139" s="51"/>
      <c r="CR139" s="51"/>
      <c r="CS139" s="51"/>
      <c r="CT139" s="14"/>
      <c r="CU139" s="51"/>
      <c r="CV139" s="51"/>
      <c r="CW139" s="51"/>
      <c r="CX139" s="51"/>
      <c r="CY139" s="51"/>
      <c r="CZ139" s="51"/>
      <c r="DA139" s="51"/>
      <c r="DB139" s="51"/>
      <c r="DC139" s="51"/>
      <c r="DD139" s="51"/>
      <c r="DE139" s="51"/>
      <c r="DF139" s="51"/>
      <c r="DG139" s="51"/>
      <c r="DH139" s="51"/>
      <c r="DI139" s="51"/>
      <c r="DJ139" s="51"/>
      <c r="DK139" s="51"/>
      <c r="DL139" s="51"/>
      <c r="DM139" s="51"/>
      <c r="DN139" s="51"/>
      <c r="DO139" s="51"/>
      <c r="DP139" s="51"/>
      <c r="DQ139" s="51"/>
      <c r="DR139" s="51"/>
      <c r="DS139" s="51"/>
      <c r="DT139" s="51"/>
      <c r="DU139" s="51"/>
      <c r="DV139" s="51"/>
      <c r="DW139" s="51"/>
      <c r="DX139" s="51"/>
      <c r="DY139" s="51"/>
      <c r="DZ139" s="16"/>
      <c r="EA139" s="12"/>
      <c r="EB139" s="2"/>
      <c r="EC139" s="2"/>
      <c r="ED139" s="2"/>
    </row>
    <row r="140" spans="1:134" ht="4" customHeight="1">
      <c r="A140" s="7"/>
      <c r="B140" s="25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14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14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51"/>
      <c r="CC140" s="51"/>
      <c r="CD140" s="51"/>
      <c r="CE140" s="51"/>
      <c r="CF140" s="51"/>
      <c r="CG140" s="51"/>
      <c r="CH140" s="51"/>
      <c r="CI140" s="51"/>
      <c r="CJ140" s="51"/>
      <c r="CK140" s="51"/>
      <c r="CL140" s="51"/>
      <c r="CM140" s="51"/>
      <c r="CN140" s="51"/>
      <c r="CO140" s="51"/>
      <c r="CP140" s="51"/>
      <c r="CQ140" s="51"/>
      <c r="CR140" s="51"/>
      <c r="CS140" s="51"/>
      <c r="CT140" s="14"/>
      <c r="CU140" s="51"/>
      <c r="CV140" s="51"/>
      <c r="CW140" s="51"/>
      <c r="CX140" s="51"/>
      <c r="CY140" s="51"/>
      <c r="CZ140" s="51"/>
      <c r="DA140" s="51"/>
      <c r="DB140" s="51"/>
      <c r="DC140" s="51"/>
      <c r="DD140" s="51"/>
      <c r="DE140" s="51"/>
      <c r="DF140" s="51"/>
      <c r="DG140" s="51"/>
      <c r="DH140" s="51"/>
      <c r="DI140" s="51"/>
      <c r="DJ140" s="51"/>
      <c r="DK140" s="51"/>
      <c r="DL140" s="51"/>
      <c r="DM140" s="51"/>
      <c r="DN140" s="51"/>
      <c r="DO140" s="51"/>
      <c r="DP140" s="51"/>
      <c r="DQ140" s="51"/>
      <c r="DR140" s="51"/>
      <c r="DS140" s="51"/>
      <c r="DT140" s="51"/>
      <c r="DU140" s="51"/>
      <c r="DV140" s="51"/>
      <c r="DW140" s="51"/>
      <c r="DX140" s="51"/>
      <c r="DY140" s="51"/>
      <c r="DZ140" s="16"/>
      <c r="EA140" s="12"/>
      <c r="EB140" s="2"/>
      <c r="EC140" s="2"/>
      <c r="ED140" s="2"/>
    </row>
    <row r="141" spans="1:134" ht="4" customHeight="1">
      <c r="A141" s="7"/>
      <c r="B141" s="25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14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  <c r="BL141" s="51"/>
      <c r="BM141" s="51"/>
      <c r="BN141" s="14"/>
      <c r="BO141" s="51"/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1"/>
      <c r="CA141" s="51"/>
      <c r="CB141" s="51"/>
      <c r="CC141" s="51"/>
      <c r="CD141" s="51"/>
      <c r="CE141" s="51"/>
      <c r="CF141" s="51"/>
      <c r="CG141" s="51"/>
      <c r="CH141" s="51"/>
      <c r="CI141" s="51"/>
      <c r="CJ141" s="51"/>
      <c r="CK141" s="51"/>
      <c r="CL141" s="51"/>
      <c r="CM141" s="51"/>
      <c r="CN141" s="51"/>
      <c r="CO141" s="51"/>
      <c r="CP141" s="51"/>
      <c r="CQ141" s="51"/>
      <c r="CR141" s="51"/>
      <c r="CS141" s="51"/>
      <c r="CT141" s="14"/>
      <c r="CU141" s="51"/>
      <c r="CV141" s="51"/>
      <c r="CW141" s="51"/>
      <c r="CX141" s="51"/>
      <c r="CY141" s="51"/>
      <c r="CZ141" s="51"/>
      <c r="DA141" s="51"/>
      <c r="DB141" s="51"/>
      <c r="DC141" s="51"/>
      <c r="DD141" s="51"/>
      <c r="DE141" s="51"/>
      <c r="DF141" s="51"/>
      <c r="DG141" s="51"/>
      <c r="DH141" s="51"/>
      <c r="DI141" s="51"/>
      <c r="DJ141" s="51"/>
      <c r="DK141" s="51"/>
      <c r="DL141" s="51"/>
      <c r="DM141" s="51"/>
      <c r="DN141" s="51"/>
      <c r="DO141" s="51"/>
      <c r="DP141" s="51"/>
      <c r="DQ141" s="51"/>
      <c r="DR141" s="51"/>
      <c r="DS141" s="51"/>
      <c r="DT141" s="51"/>
      <c r="DU141" s="51"/>
      <c r="DV141" s="51"/>
      <c r="DW141" s="51"/>
      <c r="DX141" s="51"/>
      <c r="DY141" s="51"/>
      <c r="DZ141" s="16"/>
      <c r="EA141" s="12"/>
      <c r="EB141" s="2"/>
      <c r="EC141" s="2"/>
      <c r="ED141" s="2"/>
    </row>
    <row r="142" spans="1:134" ht="4" customHeight="1">
      <c r="A142" s="7"/>
      <c r="B142" s="25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14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  <c r="BN142" s="14"/>
      <c r="BO142" s="51"/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1"/>
      <c r="CA142" s="51"/>
      <c r="CB142" s="51"/>
      <c r="CC142" s="51"/>
      <c r="CD142" s="51"/>
      <c r="CE142" s="51"/>
      <c r="CF142" s="51"/>
      <c r="CG142" s="51"/>
      <c r="CH142" s="51"/>
      <c r="CI142" s="51"/>
      <c r="CJ142" s="51"/>
      <c r="CK142" s="51"/>
      <c r="CL142" s="51"/>
      <c r="CM142" s="51"/>
      <c r="CN142" s="51"/>
      <c r="CO142" s="51"/>
      <c r="CP142" s="51"/>
      <c r="CQ142" s="51"/>
      <c r="CR142" s="51"/>
      <c r="CS142" s="51"/>
      <c r="CT142" s="14"/>
      <c r="CU142" s="51"/>
      <c r="CV142" s="51"/>
      <c r="CW142" s="51"/>
      <c r="CX142" s="51"/>
      <c r="CY142" s="51"/>
      <c r="CZ142" s="51"/>
      <c r="DA142" s="51"/>
      <c r="DB142" s="51"/>
      <c r="DC142" s="51"/>
      <c r="DD142" s="51"/>
      <c r="DE142" s="51"/>
      <c r="DF142" s="51"/>
      <c r="DG142" s="51"/>
      <c r="DH142" s="51"/>
      <c r="DI142" s="51"/>
      <c r="DJ142" s="51"/>
      <c r="DK142" s="51"/>
      <c r="DL142" s="51"/>
      <c r="DM142" s="51"/>
      <c r="DN142" s="51"/>
      <c r="DO142" s="51"/>
      <c r="DP142" s="51"/>
      <c r="DQ142" s="51"/>
      <c r="DR142" s="51"/>
      <c r="DS142" s="51"/>
      <c r="DT142" s="51"/>
      <c r="DU142" s="51"/>
      <c r="DV142" s="51"/>
      <c r="DW142" s="51"/>
      <c r="DX142" s="51"/>
      <c r="DY142" s="51"/>
      <c r="DZ142" s="16"/>
      <c r="EA142" s="12"/>
      <c r="EB142" s="2"/>
      <c r="EC142" s="2"/>
      <c r="ED142" s="2"/>
    </row>
    <row r="143" spans="1:134" ht="4" customHeight="1">
      <c r="A143" s="7"/>
      <c r="B143" s="25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14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  <c r="BL143" s="51"/>
      <c r="BM143" s="51"/>
      <c r="BN143" s="14"/>
      <c r="BO143" s="51"/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  <c r="CC143" s="51"/>
      <c r="CD143" s="51"/>
      <c r="CE143" s="51"/>
      <c r="CF143" s="51"/>
      <c r="CG143" s="51"/>
      <c r="CH143" s="51"/>
      <c r="CI143" s="51"/>
      <c r="CJ143" s="51"/>
      <c r="CK143" s="51"/>
      <c r="CL143" s="51"/>
      <c r="CM143" s="51"/>
      <c r="CN143" s="51"/>
      <c r="CO143" s="51"/>
      <c r="CP143" s="51"/>
      <c r="CQ143" s="51"/>
      <c r="CR143" s="51"/>
      <c r="CS143" s="51"/>
      <c r="CT143" s="14"/>
      <c r="CU143" s="51"/>
      <c r="CV143" s="51"/>
      <c r="CW143" s="51"/>
      <c r="CX143" s="51"/>
      <c r="CY143" s="51"/>
      <c r="CZ143" s="51"/>
      <c r="DA143" s="51"/>
      <c r="DB143" s="51"/>
      <c r="DC143" s="51"/>
      <c r="DD143" s="51"/>
      <c r="DE143" s="51"/>
      <c r="DF143" s="51"/>
      <c r="DG143" s="51"/>
      <c r="DH143" s="51"/>
      <c r="DI143" s="51"/>
      <c r="DJ143" s="51"/>
      <c r="DK143" s="51"/>
      <c r="DL143" s="51"/>
      <c r="DM143" s="51"/>
      <c r="DN143" s="51"/>
      <c r="DO143" s="51"/>
      <c r="DP143" s="51"/>
      <c r="DQ143" s="51"/>
      <c r="DR143" s="51"/>
      <c r="DS143" s="51"/>
      <c r="DT143" s="51"/>
      <c r="DU143" s="51"/>
      <c r="DV143" s="51"/>
      <c r="DW143" s="51"/>
      <c r="DX143" s="51"/>
      <c r="DY143" s="51"/>
      <c r="DZ143" s="16"/>
      <c r="EA143" s="12"/>
      <c r="EB143" s="2"/>
      <c r="EC143" s="2"/>
      <c r="ED143" s="2"/>
    </row>
    <row r="144" spans="1:134" ht="4" customHeight="1">
      <c r="A144" s="7"/>
      <c r="B144" s="25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14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  <c r="BL144" s="51"/>
      <c r="BM144" s="51"/>
      <c r="BN144" s="14"/>
      <c r="BO144" s="51"/>
      <c r="BP144" s="51"/>
      <c r="BQ144" s="51"/>
      <c r="BR144" s="51"/>
      <c r="BS144" s="51"/>
      <c r="BT144" s="51"/>
      <c r="BU144" s="51"/>
      <c r="BV144" s="51"/>
      <c r="BW144" s="51"/>
      <c r="BX144" s="51"/>
      <c r="BY144" s="51"/>
      <c r="BZ144" s="51"/>
      <c r="CA144" s="51"/>
      <c r="CB144" s="51"/>
      <c r="CC144" s="51"/>
      <c r="CD144" s="51"/>
      <c r="CE144" s="51"/>
      <c r="CF144" s="51"/>
      <c r="CG144" s="51"/>
      <c r="CH144" s="51"/>
      <c r="CI144" s="51"/>
      <c r="CJ144" s="51"/>
      <c r="CK144" s="51"/>
      <c r="CL144" s="51"/>
      <c r="CM144" s="51"/>
      <c r="CN144" s="51"/>
      <c r="CO144" s="51"/>
      <c r="CP144" s="51"/>
      <c r="CQ144" s="51"/>
      <c r="CR144" s="51"/>
      <c r="CS144" s="51"/>
      <c r="CT144" s="14"/>
      <c r="CU144" s="51"/>
      <c r="CV144" s="51"/>
      <c r="CW144" s="51"/>
      <c r="CX144" s="51"/>
      <c r="CY144" s="51"/>
      <c r="CZ144" s="51"/>
      <c r="DA144" s="51"/>
      <c r="DB144" s="51"/>
      <c r="DC144" s="51"/>
      <c r="DD144" s="51"/>
      <c r="DE144" s="51"/>
      <c r="DF144" s="51"/>
      <c r="DG144" s="51"/>
      <c r="DH144" s="51"/>
      <c r="DI144" s="51"/>
      <c r="DJ144" s="51"/>
      <c r="DK144" s="51"/>
      <c r="DL144" s="51"/>
      <c r="DM144" s="51"/>
      <c r="DN144" s="51"/>
      <c r="DO144" s="51"/>
      <c r="DP144" s="51"/>
      <c r="DQ144" s="51"/>
      <c r="DR144" s="51"/>
      <c r="DS144" s="51"/>
      <c r="DT144" s="51"/>
      <c r="DU144" s="51"/>
      <c r="DV144" s="51"/>
      <c r="DW144" s="51"/>
      <c r="DX144" s="51"/>
      <c r="DY144" s="51"/>
      <c r="DZ144" s="16"/>
      <c r="EA144" s="12"/>
      <c r="EB144" s="2"/>
      <c r="EC144" s="2"/>
      <c r="ED144" s="2"/>
    </row>
    <row r="145" spans="1:134" ht="4" customHeight="1">
      <c r="A145" s="7"/>
      <c r="B145" s="25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14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  <c r="BI145" s="51"/>
      <c r="BJ145" s="51"/>
      <c r="BK145" s="51"/>
      <c r="BL145" s="51"/>
      <c r="BM145" s="51"/>
      <c r="BN145" s="14"/>
      <c r="BO145" s="51"/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1"/>
      <c r="CA145" s="51"/>
      <c r="CB145" s="51"/>
      <c r="CC145" s="51"/>
      <c r="CD145" s="51"/>
      <c r="CE145" s="51"/>
      <c r="CF145" s="51"/>
      <c r="CG145" s="51"/>
      <c r="CH145" s="51"/>
      <c r="CI145" s="51"/>
      <c r="CJ145" s="51"/>
      <c r="CK145" s="51"/>
      <c r="CL145" s="51"/>
      <c r="CM145" s="51"/>
      <c r="CN145" s="51"/>
      <c r="CO145" s="51"/>
      <c r="CP145" s="51"/>
      <c r="CQ145" s="51"/>
      <c r="CR145" s="51"/>
      <c r="CS145" s="51"/>
      <c r="CT145" s="14"/>
      <c r="CU145" s="51"/>
      <c r="CV145" s="51"/>
      <c r="CW145" s="51"/>
      <c r="CX145" s="51"/>
      <c r="CY145" s="51"/>
      <c r="CZ145" s="51"/>
      <c r="DA145" s="51"/>
      <c r="DB145" s="51"/>
      <c r="DC145" s="51"/>
      <c r="DD145" s="51"/>
      <c r="DE145" s="51"/>
      <c r="DF145" s="51"/>
      <c r="DG145" s="51"/>
      <c r="DH145" s="51"/>
      <c r="DI145" s="51"/>
      <c r="DJ145" s="51"/>
      <c r="DK145" s="51"/>
      <c r="DL145" s="51"/>
      <c r="DM145" s="51"/>
      <c r="DN145" s="51"/>
      <c r="DO145" s="51"/>
      <c r="DP145" s="51"/>
      <c r="DQ145" s="51"/>
      <c r="DR145" s="51"/>
      <c r="DS145" s="51"/>
      <c r="DT145" s="51"/>
      <c r="DU145" s="51"/>
      <c r="DV145" s="51"/>
      <c r="DW145" s="51"/>
      <c r="DX145" s="51"/>
      <c r="DY145" s="51"/>
      <c r="DZ145" s="16"/>
      <c r="EA145" s="12"/>
      <c r="EB145" s="2"/>
      <c r="EC145" s="2"/>
      <c r="ED145" s="2"/>
    </row>
    <row r="146" spans="1:134" ht="4" customHeight="1">
      <c r="A146" s="7"/>
      <c r="B146" s="25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14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  <c r="BN146" s="14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  <c r="CC146" s="51"/>
      <c r="CD146" s="51"/>
      <c r="CE146" s="51"/>
      <c r="CF146" s="51"/>
      <c r="CG146" s="51"/>
      <c r="CH146" s="51"/>
      <c r="CI146" s="51"/>
      <c r="CJ146" s="51"/>
      <c r="CK146" s="51"/>
      <c r="CL146" s="51"/>
      <c r="CM146" s="51"/>
      <c r="CN146" s="51"/>
      <c r="CO146" s="51"/>
      <c r="CP146" s="51"/>
      <c r="CQ146" s="51"/>
      <c r="CR146" s="51"/>
      <c r="CS146" s="51"/>
      <c r="CT146" s="14"/>
      <c r="CU146" s="51"/>
      <c r="CV146" s="51"/>
      <c r="CW146" s="51"/>
      <c r="CX146" s="51"/>
      <c r="CY146" s="51"/>
      <c r="CZ146" s="51"/>
      <c r="DA146" s="51"/>
      <c r="DB146" s="51"/>
      <c r="DC146" s="51"/>
      <c r="DD146" s="51"/>
      <c r="DE146" s="51"/>
      <c r="DF146" s="51"/>
      <c r="DG146" s="51"/>
      <c r="DH146" s="51"/>
      <c r="DI146" s="51"/>
      <c r="DJ146" s="51"/>
      <c r="DK146" s="51"/>
      <c r="DL146" s="51"/>
      <c r="DM146" s="51"/>
      <c r="DN146" s="51"/>
      <c r="DO146" s="51"/>
      <c r="DP146" s="51"/>
      <c r="DQ146" s="51"/>
      <c r="DR146" s="51"/>
      <c r="DS146" s="51"/>
      <c r="DT146" s="51"/>
      <c r="DU146" s="51"/>
      <c r="DV146" s="51"/>
      <c r="DW146" s="51"/>
      <c r="DX146" s="51"/>
      <c r="DY146" s="51"/>
      <c r="DZ146" s="16"/>
      <c r="EA146" s="12"/>
      <c r="EB146" s="2"/>
      <c r="EC146" s="2"/>
      <c r="ED146" s="2"/>
    </row>
    <row r="147" spans="1:134" ht="4" customHeight="1">
      <c r="A147" s="7"/>
      <c r="B147" s="25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14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1"/>
      <c r="BJ147" s="51"/>
      <c r="BK147" s="51"/>
      <c r="BL147" s="51"/>
      <c r="BM147" s="51"/>
      <c r="BN147" s="14"/>
      <c r="BO147" s="51"/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1"/>
      <c r="CA147" s="51"/>
      <c r="CB147" s="51"/>
      <c r="CC147" s="51"/>
      <c r="CD147" s="51"/>
      <c r="CE147" s="51"/>
      <c r="CF147" s="51"/>
      <c r="CG147" s="51"/>
      <c r="CH147" s="51"/>
      <c r="CI147" s="51"/>
      <c r="CJ147" s="51"/>
      <c r="CK147" s="51"/>
      <c r="CL147" s="51"/>
      <c r="CM147" s="51"/>
      <c r="CN147" s="51"/>
      <c r="CO147" s="51"/>
      <c r="CP147" s="51"/>
      <c r="CQ147" s="51"/>
      <c r="CR147" s="51"/>
      <c r="CS147" s="51"/>
      <c r="CT147" s="14"/>
      <c r="CU147" s="51"/>
      <c r="CV147" s="51"/>
      <c r="CW147" s="51"/>
      <c r="CX147" s="51"/>
      <c r="CY147" s="51"/>
      <c r="CZ147" s="51"/>
      <c r="DA147" s="51"/>
      <c r="DB147" s="51"/>
      <c r="DC147" s="51"/>
      <c r="DD147" s="51"/>
      <c r="DE147" s="51"/>
      <c r="DF147" s="51"/>
      <c r="DG147" s="51"/>
      <c r="DH147" s="51"/>
      <c r="DI147" s="51"/>
      <c r="DJ147" s="51"/>
      <c r="DK147" s="51"/>
      <c r="DL147" s="51"/>
      <c r="DM147" s="51"/>
      <c r="DN147" s="51"/>
      <c r="DO147" s="51"/>
      <c r="DP147" s="51"/>
      <c r="DQ147" s="51"/>
      <c r="DR147" s="51"/>
      <c r="DS147" s="51"/>
      <c r="DT147" s="51"/>
      <c r="DU147" s="51"/>
      <c r="DV147" s="51"/>
      <c r="DW147" s="51"/>
      <c r="DX147" s="51"/>
      <c r="DY147" s="51"/>
      <c r="DZ147" s="16"/>
      <c r="EA147" s="12"/>
      <c r="EB147" s="2"/>
      <c r="EC147" s="2"/>
      <c r="ED147" s="2"/>
    </row>
    <row r="148" spans="1:134" ht="4" customHeight="1">
      <c r="A148" s="7"/>
      <c r="B148" s="25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14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  <c r="BI148" s="51"/>
      <c r="BJ148" s="51"/>
      <c r="BK148" s="51"/>
      <c r="BL148" s="51"/>
      <c r="BM148" s="51"/>
      <c r="BN148" s="14"/>
      <c r="BO148" s="51"/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1"/>
      <c r="CA148" s="51"/>
      <c r="CB148" s="51"/>
      <c r="CC148" s="51"/>
      <c r="CD148" s="51"/>
      <c r="CE148" s="51"/>
      <c r="CF148" s="51"/>
      <c r="CG148" s="51"/>
      <c r="CH148" s="51"/>
      <c r="CI148" s="51"/>
      <c r="CJ148" s="51"/>
      <c r="CK148" s="51"/>
      <c r="CL148" s="51"/>
      <c r="CM148" s="51"/>
      <c r="CN148" s="51"/>
      <c r="CO148" s="51"/>
      <c r="CP148" s="51"/>
      <c r="CQ148" s="51"/>
      <c r="CR148" s="51"/>
      <c r="CS148" s="51"/>
      <c r="CT148" s="14"/>
      <c r="CU148" s="51"/>
      <c r="CV148" s="51"/>
      <c r="CW148" s="51"/>
      <c r="CX148" s="51"/>
      <c r="CY148" s="51"/>
      <c r="CZ148" s="51"/>
      <c r="DA148" s="51"/>
      <c r="DB148" s="51"/>
      <c r="DC148" s="51"/>
      <c r="DD148" s="51"/>
      <c r="DE148" s="51"/>
      <c r="DF148" s="51"/>
      <c r="DG148" s="51"/>
      <c r="DH148" s="51"/>
      <c r="DI148" s="51"/>
      <c r="DJ148" s="51"/>
      <c r="DK148" s="51"/>
      <c r="DL148" s="51"/>
      <c r="DM148" s="51"/>
      <c r="DN148" s="51"/>
      <c r="DO148" s="51"/>
      <c r="DP148" s="51"/>
      <c r="DQ148" s="51"/>
      <c r="DR148" s="51"/>
      <c r="DS148" s="51"/>
      <c r="DT148" s="51"/>
      <c r="DU148" s="51"/>
      <c r="DV148" s="51"/>
      <c r="DW148" s="51"/>
      <c r="DX148" s="51"/>
      <c r="DY148" s="51"/>
      <c r="DZ148" s="16"/>
      <c r="EA148" s="12"/>
      <c r="EB148" s="2"/>
      <c r="EC148" s="2"/>
      <c r="ED148" s="2"/>
    </row>
    <row r="149" spans="1:134" ht="4" customHeight="1">
      <c r="A149" s="7"/>
      <c r="B149" s="25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14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1"/>
      <c r="BJ149" s="51"/>
      <c r="BK149" s="51"/>
      <c r="BL149" s="51"/>
      <c r="BM149" s="51"/>
      <c r="BN149" s="14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  <c r="CC149" s="51"/>
      <c r="CD149" s="51"/>
      <c r="CE149" s="51"/>
      <c r="CF149" s="51"/>
      <c r="CG149" s="51"/>
      <c r="CH149" s="51"/>
      <c r="CI149" s="51"/>
      <c r="CJ149" s="51"/>
      <c r="CK149" s="51"/>
      <c r="CL149" s="51"/>
      <c r="CM149" s="51"/>
      <c r="CN149" s="51"/>
      <c r="CO149" s="51"/>
      <c r="CP149" s="51"/>
      <c r="CQ149" s="51"/>
      <c r="CR149" s="51"/>
      <c r="CS149" s="51"/>
      <c r="CT149" s="14"/>
      <c r="CU149" s="51"/>
      <c r="CV149" s="51"/>
      <c r="CW149" s="51"/>
      <c r="CX149" s="51"/>
      <c r="CY149" s="51"/>
      <c r="CZ149" s="51"/>
      <c r="DA149" s="51"/>
      <c r="DB149" s="51"/>
      <c r="DC149" s="51"/>
      <c r="DD149" s="51"/>
      <c r="DE149" s="51"/>
      <c r="DF149" s="51"/>
      <c r="DG149" s="51"/>
      <c r="DH149" s="51"/>
      <c r="DI149" s="51"/>
      <c r="DJ149" s="51"/>
      <c r="DK149" s="51"/>
      <c r="DL149" s="51"/>
      <c r="DM149" s="51"/>
      <c r="DN149" s="51"/>
      <c r="DO149" s="51"/>
      <c r="DP149" s="51"/>
      <c r="DQ149" s="51"/>
      <c r="DR149" s="51"/>
      <c r="DS149" s="51"/>
      <c r="DT149" s="51"/>
      <c r="DU149" s="51"/>
      <c r="DV149" s="51"/>
      <c r="DW149" s="51"/>
      <c r="DX149" s="51"/>
      <c r="DY149" s="51"/>
      <c r="DZ149" s="16"/>
      <c r="EA149" s="12"/>
      <c r="EB149" s="2"/>
      <c r="EC149" s="2"/>
      <c r="ED149" s="2"/>
    </row>
    <row r="150" spans="1:134" ht="4" customHeight="1">
      <c r="A150" s="7"/>
      <c r="B150" s="25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14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1"/>
      <c r="BJ150" s="51"/>
      <c r="BK150" s="51"/>
      <c r="BL150" s="51"/>
      <c r="BM150" s="51"/>
      <c r="BN150" s="14"/>
      <c r="BO150" s="51"/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1"/>
      <c r="CA150" s="51"/>
      <c r="CB150" s="51"/>
      <c r="CC150" s="51"/>
      <c r="CD150" s="51"/>
      <c r="CE150" s="51"/>
      <c r="CF150" s="51"/>
      <c r="CG150" s="51"/>
      <c r="CH150" s="51"/>
      <c r="CI150" s="51"/>
      <c r="CJ150" s="51"/>
      <c r="CK150" s="51"/>
      <c r="CL150" s="51"/>
      <c r="CM150" s="51"/>
      <c r="CN150" s="51"/>
      <c r="CO150" s="51"/>
      <c r="CP150" s="51"/>
      <c r="CQ150" s="51"/>
      <c r="CR150" s="51"/>
      <c r="CS150" s="51"/>
      <c r="CT150" s="14"/>
      <c r="CU150" s="51"/>
      <c r="CV150" s="51"/>
      <c r="CW150" s="51"/>
      <c r="CX150" s="51"/>
      <c r="CY150" s="51"/>
      <c r="CZ150" s="51"/>
      <c r="DA150" s="51"/>
      <c r="DB150" s="51"/>
      <c r="DC150" s="51"/>
      <c r="DD150" s="51"/>
      <c r="DE150" s="51"/>
      <c r="DF150" s="51"/>
      <c r="DG150" s="51"/>
      <c r="DH150" s="51"/>
      <c r="DI150" s="51"/>
      <c r="DJ150" s="51"/>
      <c r="DK150" s="51"/>
      <c r="DL150" s="51"/>
      <c r="DM150" s="51"/>
      <c r="DN150" s="51"/>
      <c r="DO150" s="51"/>
      <c r="DP150" s="51"/>
      <c r="DQ150" s="51"/>
      <c r="DR150" s="51"/>
      <c r="DS150" s="51"/>
      <c r="DT150" s="51"/>
      <c r="DU150" s="51"/>
      <c r="DV150" s="51"/>
      <c r="DW150" s="51"/>
      <c r="DX150" s="51"/>
      <c r="DY150" s="51"/>
      <c r="DZ150" s="16"/>
      <c r="EA150" s="12"/>
      <c r="EB150" s="2"/>
      <c r="EC150" s="2"/>
      <c r="ED150" s="2"/>
    </row>
    <row r="151" spans="1:134" ht="4" customHeight="1">
      <c r="A151" s="7"/>
      <c r="B151" s="25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14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  <c r="BI151" s="51"/>
      <c r="BJ151" s="51"/>
      <c r="BK151" s="51"/>
      <c r="BL151" s="51"/>
      <c r="BM151" s="51"/>
      <c r="BN151" s="14"/>
      <c r="BO151" s="51"/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1"/>
      <c r="CA151" s="51"/>
      <c r="CB151" s="51"/>
      <c r="CC151" s="51"/>
      <c r="CD151" s="51"/>
      <c r="CE151" s="51"/>
      <c r="CF151" s="51"/>
      <c r="CG151" s="51"/>
      <c r="CH151" s="51"/>
      <c r="CI151" s="51"/>
      <c r="CJ151" s="51"/>
      <c r="CK151" s="51"/>
      <c r="CL151" s="51"/>
      <c r="CM151" s="51"/>
      <c r="CN151" s="51"/>
      <c r="CO151" s="51"/>
      <c r="CP151" s="51"/>
      <c r="CQ151" s="51"/>
      <c r="CR151" s="51"/>
      <c r="CS151" s="51"/>
      <c r="CT151" s="14"/>
      <c r="CU151" s="51"/>
      <c r="CV151" s="51"/>
      <c r="CW151" s="51"/>
      <c r="CX151" s="51"/>
      <c r="CY151" s="51"/>
      <c r="CZ151" s="51"/>
      <c r="DA151" s="51"/>
      <c r="DB151" s="51"/>
      <c r="DC151" s="51"/>
      <c r="DD151" s="51"/>
      <c r="DE151" s="51"/>
      <c r="DF151" s="51"/>
      <c r="DG151" s="51"/>
      <c r="DH151" s="51"/>
      <c r="DI151" s="51"/>
      <c r="DJ151" s="51"/>
      <c r="DK151" s="51"/>
      <c r="DL151" s="51"/>
      <c r="DM151" s="51"/>
      <c r="DN151" s="51"/>
      <c r="DO151" s="51"/>
      <c r="DP151" s="51"/>
      <c r="DQ151" s="51"/>
      <c r="DR151" s="51"/>
      <c r="DS151" s="51"/>
      <c r="DT151" s="51"/>
      <c r="DU151" s="51"/>
      <c r="DV151" s="51"/>
      <c r="DW151" s="51"/>
      <c r="DX151" s="51"/>
      <c r="DY151" s="51"/>
      <c r="DZ151" s="16"/>
      <c r="EA151" s="12"/>
      <c r="EB151" s="2"/>
      <c r="EC151" s="2"/>
      <c r="ED151" s="2"/>
    </row>
    <row r="152" spans="1:134" ht="4" customHeight="1">
      <c r="A152" s="7"/>
      <c r="B152" s="25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14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  <c r="BI152" s="51"/>
      <c r="BJ152" s="51"/>
      <c r="BK152" s="51"/>
      <c r="BL152" s="51"/>
      <c r="BM152" s="51"/>
      <c r="BN152" s="14"/>
      <c r="BO152" s="51"/>
      <c r="BP152" s="51"/>
      <c r="BQ152" s="51"/>
      <c r="BR152" s="51"/>
      <c r="BS152" s="51"/>
      <c r="BT152" s="51"/>
      <c r="BU152" s="51"/>
      <c r="BV152" s="51"/>
      <c r="BW152" s="51"/>
      <c r="BX152" s="51"/>
      <c r="BY152" s="51"/>
      <c r="BZ152" s="51"/>
      <c r="CA152" s="51"/>
      <c r="CB152" s="51"/>
      <c r="CC152" s="51"/>
      <c r="CD152" s="51"/>
      <c r="CE152" s="51"/>
      <c r="CF152" s="51"/>
      <c r="CG152" s="51"/>
      <c r="CH152" s="51"/>
      <c r="CI152" s="51"/>
      <c r="CJ152" s="51"/>
      <c r="CK152" s="51"/>
      <c r="CL152" s="51"/>
      <c r="CM152" s="51"/>
      <c r="CN152" s="51"/>
      <c r="CO152" s="51"/>
      <c r="CP152" s="51"/>
      <c r="CQ152" s="51"/>
      <c r="CR152" s="51"/>
      <c r="CS152" s="51"/>
      <c r="CT152" s="14"/>
      <c r="CU152" s="51"/>
      <c r="CV152" s="51"/>
      <c r="CW152" s="51"/>
      <c r="CX152" s="51"/>
      <c r="CY152" s="51"/>
      <c r="CZ152" s="51"/>
      <c r="DA152" s="51"/>
      <c r="DB152" s="51"/>
      <c r="DC152" s="51"/>
      <c r="DD152" s="51"/>
      <c r="DE152" s="51"/>
      <c r="DF152" s="51"/>
      <c r="DG152" s="51"/>
      <c r="DH152" s="51"/>
      <c r="DI152" s="51"/>
      <c r="DJ152" s="51"/>
      <c r="DK152" s="51"/>
      <c r="DL152" s="51"/>
      <c r="DM152" s="51"/>
      <c r="DN152" s="51"/>
      <c r="DO152" s="51"/>
      <c r="DP152" s="51"/>
      <c r="DQ152" s="51"/>
      <c r="DR152" s="51"/>
      <c r="DS152" s="51"/>
      <c r="DT152" s="51"/>
      <c r="DU152" s="51"/>
      <c r="DV152" s="51"/>
      <c r="DW152" s="51"/>
      <c r="DX152" s="51"/>
      <c r="DY152" s="51"/>
      <c r="DZ152" s="16"/>
      <c r="EA152" s="12"/>
      <c r="EB152" s="2"/>
      <c r="EC152" s="2"/>
      <c r="ED152" s="2"/>
    </row>
    <row r="153" spans="1:134" ht="4" customHeight="1">
      <c r="A153" s="7"/>
      <c r="B153" s="25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14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51"/>
      <c r="BD153" s="51"/>
      <c r="BE153" s="51"/>
      <c r="BF153" s="51"/>
      <c r="BG153" s="51"/>
      <c r="BH153" s="51"/>
      <c r="BI153" s="51"/>
      <c r="BJ153" s="51"/>
      <c r="BK153" s="51"/>
      <c r="BL153" s="51"/>
      <c r="BM153" s="51"/>
      <c r="BN153" s="14"/>
      <c r="BO153" s="51"/>
      <c r="BP153" s="51"/>
      <c r="BQ153" s="51"/>
      <c r="BR153" s="51"/>
      <c r="BS153" s="51"/>
      <c r="BT153" s="51"/>
      <c r="BU153" s="51"/>
      <c r="BV153" s="51"/>
      <c r="BW153" s="51"/>
      <c r="BX153" s="51"/>
      <c r="BY153" s="51"/>
      <c r="BZ153" s="51"/>
      <c r="CA153" s="51"/>
      <c r="CB153" s="51"/>
      <c r="CC153" s="51"/>
      <c r="CD153" s="51"/>
      <c r="CE153" s="51"/>
      <c r="CF153" s="51"/>
      <c r="CG153" s="51"/>
      <c r="CH153" s="51"/>
      <c r="CI153" s="51"/>
      <c r="CJ153" s="51"/>
      <c r="CK153" s="51"/>
      <c r="CL153" s="51"/>
      <c r="CM153" s="51"/>
      <c r="CN153" s="51"/>
      <c r="CO153" s="51"/>
      <c r="CP153" s="51"/>
      <c r="CQ153" s="51"/>
      <c r="CR153" s="51"/>
      <c r="CS153" s="51"/>
      <c r="CT153" s="14"/>
      <c r="CU153" s="51"/>
      <c r="CV153" s="51"/>
      <c r="CW153" s="51"/>
      <c r="CX153" s="51"/>
      <c r="CY153" s="51"/>
      <c r="CZ153" s="51"/>
      <c r="DA153" s="51"/>
      <c r="DB153" s="51"/>
      <c r="DC153" s="51"/>
      <c r="DD153" s="51"/>
      <c r="DE153" s="51"/>
      <c r="DF153" s="51"/>
      <c r="DG153" s="51"/>
      <c r="DH153" s="51"/>
      <c r="DI153" s="51"/>
      <c r="DJ153" s="51"/>
      <c r="DK153" s="51"/>
      <c r="DL153" s="51"/>
      <c r="DM153" s="51"/>
      <c r="DN153" s="51"/>
      <c r="DO153" s="51"/>
      <c r="DP153" s="51"/>
      <c r="DQ153" s="51"/>
      <c r="DR153" s="51"/>
      <c r="DS153" s="51"/>
      <c r="DT153" s="51"/>
      <c r="DU153" s="51"/>
      <c r="DV153" s="51"/>
      <c r="DW153" s="51"/>
      <c r="DX153" s="51"/>
      <c r="DY153" s="51"/>
      <c r="DZ153" s="16"/>
      <c r="EA153" s="12"/>
      <c r="EB153" s="2"/>
      <c r="EC153" s="2"/>
      <c r="ED153" s="2"/>
    </row>
    <row r="154" spans="1:134" ht="4" customHeight="1">
      <c r="A154" s="7"/>
      <c r="B154" s="25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14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  <c r="BI154" s="51"/>
      <c r="BJ154" s="51"/>
      <c r="BK154" s="51"/>
      <c r="BL154" s="51"/>
      <c r="BM154" s="51"/>
      <c r="BN154" s="14"/>
      <c r="BO154" s="51"/>
      <c r="BP154" s="51"/>
      <c r="BQ154" s="51"/>
      <c r="BR154" s="51"/>
      <c r="BS154" s="51"/>
      <c r="BT154" s="51"/>
      <c r="BU154" s="51"/>
      <c r="BV154" s="51"/>
      <c r="BW154" s="51"/>
      <c r="BX154" s="51"/>
      <c r="BY154" s="51"/>
      <c r="BZ154" s="51"/>
      <c r="CA154" s="51"/>
      <c r="CB154" s="51"/>
      <c r="CC154" s="51"/>
      <c r="CD154" s="51"/>
      <c r="CE154" s="51"/>
      <c r="CF154" s="51"/>
      <c r="CG154" s="51"/>
      <c r="CH154" s="51"/>
      <c r="CI154" s="51"/>
      <c r="CJ154" s="51"/>
      <c r="CK154" s="51"/>
      <c r="CL154" s="51"/>
      <c r="CM154" s="51"/>
      <c r="CN154" s="51"/>
      <c r="CO154" s="51"/>
      <c r="CP154" s="51"/>
      <c r="CQ154" s="51"/>
      <c r="CR154" s="51"/>
      <c r="CS154" s="51"/>
      <c r="CT154" s="14"/>
      <c r="CU154" s="51"/>
      <c r="CV154" s="51"/>
      <c r="CW154" s="51"/>
      <c r="CX154" s="51"/>
      <c r="CY154" s="51"/>
      <c r="CZ154" s="51"/>
      <c r="DA154" s="51"/>
      <c r="DB154" s="51"/>
      <c r="DC154" s="51"/>
      <c r="DD154" s="51"/>
      <c r="DE154" s="51"/>
      <c r="DF154" s="51"/>
      <c r="DG154" s="51"/>
      <c r="DH154" s="51"/>
      <c r="DI154" s="51"/>
      <c r="DJ154" s="51"/>
      <c r="DK154" s="51"/>
      <c r="DL154" s="51"/>
      <c r="DM154" s="51"/>
      <c r="DN154" s="51"/>
      <c r="DO154" s="51"/>
      <c r="DP154" s="51"/>
      <c r="DQ154" s="51"/>
      <c r="DR154" s="51"/>
      <c r="DS154" s="51"/>
      <c r="DT154" s="51"/>
      <c r="DU154" s="51"/>
      <c r="DV154" s="51"/>
      <c r="DW154" s="51"/>
      <c r="DX154" s="51"/>
      <c r="DY154" s="51"/>
      <c r="DZ154" s="16"/>
      <c r="EA154" s="12"/>
      <c r="EB154" s="2"/>
      <c r="EC154" s="2"/>
      <c r="ED154" s="2"/>
    </row>
    <row r="155" spans="1:134" ht="4" customHeight="1">
      <c r="A155" s="7"/>
      <c r="B155" s="25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14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1"/>
      <c r="BJ155" s="51"/>
      <c r="BK155" s="51"/>
      <c r="BL155" s="51"/>
      <c r="BM155" s="51"/>
      <c r="BN155" s="14"/>
      <c r="BO155" s="51"/>
      <c r="BP155" s="51"/>
      <c r="BQ155" s="51"/>
      <c r="BR155" s="51"/>
      <c r="BS155" s="51"/>
      <c r="BT155" s="51"/>
      <c r="BU155" s="51"/>
      <c r="BV155" s="51"/>
      <c r="BW155" s="51"/>
      <c r="BX155" s="51"/>
      <c r="BY155" s="51"/>
      <c r="BZ155" s="51"/>
      <c r="CA155" s="51"/>
      <c r="CB155" s="51"/>
      <c r="CC155" s="51"/>
      <c r="CD155" s="51"/>
      <c r="CE155" s="51"/>
      <c r="CF155" s="51"/>
      <c r="CG155" s="51"/>
      <c r="CH155" s="51"/>
      <c r="CI155" s="51"/>
      <c r="CJ155" s="51"/>
      <c r="CK155" s="51"/>
      <c r="CL155" s="51"/>
      <c r="CM155" s="51"/>
      <c r="CN155" s="51"/>
      <c r="CO155" s="51"/>
      <c r="CP155" s="51"/>
      <c r="CQ155" s="51"/>
      <c r="CR155" s="51"/>
      <c r="CS155" s="51"/>
      <c r="CT155" s="14"/>
      <c r="CU155" s="51"/>
      <c r="CV155" s="51"/>
      <c r="CW155" s="51"/>
      <c r="CX155" s="51"/>
      <c r="CY155" s="51"/>
      <c r="CZ155" s="51"/>
      <c r="DA155" s="51"/>
      <c r="DB155" s="51"/>
      <c r="DC155" s="51"/>
      <c r="DD155" s="51"/>
      <c r="DE155" s="51"/>
      <c r="DF155" s="51"/>
      <c r="DG155" s="51"/>
      <c r="DH155" s="51"/>
      <c r="DI155" s="51"/>
      <c r="DJ155" s="51"/>
      <c r="DK155" s="51"/>
      <c r="DL155" s="51"/>
      <c r="DM155" s="51"/>
      <c r="DN155" s="51"/>
      <c r="DO155" s="51"/>
      <c r="DP155" s="51"/>
      <c r="DQ155" s="51"/>
      <c r="DR155" s="51"/>
      <c r="DS155" s="51"/>
      <c r="DT155" s="51"/>
      <c r="DU155" s="51"/>
      <c r="DV155" s="51"/>
      <c r="DW155" s="51"/>
      <c r="DX155" s="51"/>
      <c r="DY155" s="51"/>
      <c r="DZ155" s="16"/>
      <c r="EA155" s="12"/>
      <c r="EB155" s="2"/>
      <c r="EC155" s="2"/>
      <c r="ED155" s="2"/>
    </row>
    <row r="156" spans="1:134" ht="4" customHeight="1">
      <c r="A156" s="7"/>
      <c r="B156" s="25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14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1"/>
      <c r="BK156" s="51"/>
      <c r="BL156" s="51"/>
      <c r="BM156" s="51"/>
      <c r="BN156" s="14"/>
      <c r="BO156" s="51"/>
      <c r="BP156" s="51"/>
      <c r="BQ156" s="51"/>
      <c r="BR156" s="51"/>
      <c r="BS156" s="51"/>
      <c r="BT156" s="51"/>
      <c r="BU156" s="51"/>
      <c r="BV156" s="51"/>
      <c r="BW156" s="51"/>
      <c r="BX156" s="51"/>
      <c r="BY156" s="51"/>
      <c r="BZ156" s="51"/>
      <c r="CA156" s="51"/>
      <c r="CB156" s="51"/>
      <c r="CC156" s="51"/>
      <c r="CD156" s="51"/>
      <c r="CE156" s="51"/>
      <c r="CF156" s="51"/>
      <c r="CG156" s="51"/>
      <c r="CH156" s="51"/>
      <c r="CI156" s="51"/>
      <c r="CJ156" s="51"/>
      <c r="CK156" s="51"/>
      <c r="CL156" s="51"/>
      <c r="CM156" s="51"/>
      <c r="CN156" s="51"/>
      <c r="CO156" s="51"/>
      <c r="CP156" s="51"/>
      <c r="CQ156" s="51"/>
      <c r="CR156" s="51"/>
      <c r="CS156" s="51"/>
      <c r="CT156" s="14"/>
      <c r="CU156" s="51"/>
      <c r="CV156" s="51"/>
      <c r="CW156" s="51"/>
      <c r="CX156" s="51"/>
      <c r="CY156" s="51"/>
      <c r="CZ156" s="51"/>
      <c r="DA156" s="51"/>
      <c r="DB156" s="51"/>
      <c r="DC156" s="51"/>
      <c r="DD156" s="51"/>
      <c r="DE156" s="51"/>
      <c r="DF156" s="51"/>
      <c r="DG156" s="51"/>
      <c r="DH156" s="51"/>
      <c r="DI156" s="51"/>
      <c r="DJ156" s="51"/>
      <c r="DK156" s="51"/>
      <c r="DL156" s="51"/>
      <c r="DM156" s="51"/>
      <c r="DN156" s="51"/>
      <c r="DO156" s="51"/>
      <c r="DP156" s="51"/>
      <c r="DQ156" s="51"/>
      <c r="DR156" s="51"/>
      <c r="DS156" s="51"/>
      <c r="DT156" s="51"/>
      <c r="DU156" s="51"/>
      <c r="DV156" s="51"/>
      <c r="DW156" s="51"/>
      <c r="DX156" s="51"/>
      <c r="DY156" s="51"/>
      <c r="DZ156" s="16"/>
      <c r="EA156" s="12"/>
      <c r="EB156" s="2"/>
      <c r="EC156" s="2"/>
      <c r="ED156" s="2"/>
    </row>
    <row r="157" spans="1:134" ht="4" customHeight="1">
      <c r="A157" s="7"/>
      <c r="B157" s="25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47">
        <f>SUM(AC136:AG156)</f>
        <v>0</v>
      </c>
      <c r="AD157" s="47"/>
      <c r="AE157" s="47"/>
      <c r="AF157" s="47"/>
      <c r="AG157" s="47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47">
        <f>SUM(BI136:BM156)</f>
        <v>0</v>
      </c>
      <c r="BJ157" s="47"/>
      <c r="BK157" s="47"/>
      <c r="BL157" s="47"/>
      <c r="BM157" s="47"/>
      <c r="BN157" s="13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47">
        <f>SUM(CO136:CS156)</f>
        <v>0</v>
      </c>
      <c r="CP157" s="47"/>
      <c r="CQ157" s="47"/>
      <c r="CR157" s="47"/>
      <c r="CS157" s="47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  <c r="DM157" s="14"/>
      <c r="DN157" s="14"/>
      <c r="DO157" s="14"/>
      <c r="DP157" s="14"/>
      <c r="DQ157" s="14"/>
      <c r="DR157" s="14"/>
      <c r="DS157" s="14"/>
      <c r="DT157" s="14"/>
      <c r="DU157" s="47">
        <f>SUM(DU136:DY156)</f>
        <v>0</v>
      </c>
      <c r="DV157" s="47"/>
      <c r="DW157" s="47"/>
      <c r="DX157" s="47"/>
      <c r="DY157" s="47"/>
      <c r="DZ157" s="16"/>
      <c r="EA157" s="12"/>
      <c r="EB157" s="2"/>
      <c r="EC157" s="2"/>
      <c r="ED157" s="2"/>
    </row>
    <row r="158" spans="1:134" ht="4" customHeight="1">
      <c r="A158" s="7"/>
      <c r="B158" s="48" t="s">
        <v>13</v>
      </c>
      <c r="C158" s="49"/>
      <c r="D158" s="49"/>
      <c r="E158" s="49"/>
      <c r="F158" s="50"/>
      <c r="G158" s="50"/>
      <c r="H158" s="50"/>
      <c r="I158" s="50"/>
      <c r="J158" s="49" t="s">
        <v>15</v>
      </c>
      <c r="K158" s="49"/>
      <c r="L158" s="49"/>
      <c r="M158" s="49"/>
      <c r="N158" s="50"/>
      <c r="O158" s="50"/>
      <c r="P158" s="50"/>
      <c r="Q158" s="50"/>
      <c r="R158" s="49" t="s">
        <v>17</v>
      </c>
      <c r="S158" s="49"/>
      <c r="T158" s="49"/>
      <c r="U158" s="49"/>
      <c r="V158" s="50"/>
      <c r="W158" s="50"/>
      <c r="X158" s="50"/>
      <c r="Y158" s="50"/>
      <c r="Z158" s="14"/>
      <c r="AA158" s="13"/>
      <c r="AB158" s="13"/>
      <c r="AC158" s="47"/>
      <c r="AD158" s="47"/>
      <c r="AE158" s="47"/>
      <c r="AF158" s="47"/>
      <c r="AG158" s="47"/>
      <c r="AH158" s="14"/>
      <c r="AI158" s="49" t="s">
        <v>13</v>
      </c>
      <c r="AJ158" s="49"/>
      <c r="AK158" s="49"/>
      <c r="AL158" s="49"/>
      <c r="AM158" s="50"/>
      <c r="AN158" s="50"/>
      <c r="AO158" s="50"/>
      <c r="AP158" s="50"/>
      <c r="AQ158" s="49" t="s">
        <v>15</v>
      </c>
      <c r="AR158" s="49"/>
      <c r="AS158" s="49"/>
      <c r="AT158" s="49"/>
      <c r="AU158" s="50"/>
      <c r="AV158" s="50"/>
      <c r="AW158" s="50"/>
      <c r="AX158" s="50"/>
      <c r="AY158" s="49" t="s">
        <v>17</v>
      </c>
      <c r="AZ158" s="49"/>
      <c r="BA158" s="49"/>
      <c r="BB158" s="49"/>
      <c r="BC158" s="50"/>
      <c r="BD158" s="50"/>
      <c r="BE158" s="50"/>
      <c r="BF158" s="50"/>
      <c r="BG158" s="14"/>
      <c r="BH158" s="13"/>
      <c r="BI158" s="47"/>
      <c r="BJ158" s="47"/>
      <c r="BK158" s="47"/>
      <c r="BL158" s="47"/>
      <c r="BM158" s="47"/>
      <c r="BN158" s="13"/>
      <c r="BO158" s="49" t="s">
        <v>13</v>
      </c>
      <c r="BP158" s="49"/>
      <c r="BQ158" s="49"/>
      <c r="BR158" s="49"/>
      <c r="BS158" s="50"/>
      <c r="BT158" s="50"/>
      <c r="BU158" s="50"/>
      <c r="BV158" s="50"/>
      <c r="BW158" s="49" t="s">
        <v>15</v>
      </c>
      <c r="BX158" s="49"/>
      <c r="BY158" s="49"/>
      <c r="BZ158" s="49"/>
      <c r="CA158" s="50"/>
      <c r="CB158" s="50"/>
      <c r="CC158" s="50"/>
      <c r="CD158" s="50"/>
      <c r="CE158" s="49" t="s">
        <v>17</v>
      </c>
      <c r="CF158" s="49"/>
      <c r="CG158" s="49"/>
      <c r="CH158" s="49"/>
      <c r="CI158" s="50"/>
      <c r="CJ158" s="50"/>
      <c r="CK158" s="50"/>
      <c r="CL158" s="50"/>
      <c r="CM158" s="14"/>
      <c r="CN158" s="13"/>
      <c r="CO158" s="47"/>
      <c r="CP158" s="47"/>
      <c r="CQ158" s="47"/>
      <c r="CR158" s="47"/>
      <c r="CS158" s="47"/>
      <c r="CT158" s="14"/>
      <c r="CU158" s="49" t="s">
        <v>13</v>
      </c>
      <c r="CV158" s="49"/>
      <c r="CW158" s="49"/>
      <c r="CX158" s="49"/>
      <c r="CY158" s="50"/>
      <c r="CZ158" s="50"/>
      <c r="DA158" s="50"/>
      <c r="DB158" s="50"/>
      <c r="DC158" s="49" t="s">
        <v>15</v>
      </c>
      <c r="DD158" s="49"/>
      <c r="DE158" s="49"/>
      <c r="DF158" s="49"/>
      <c r="DG158" s="50"/>
      <c r="DH158" s="50"/>
      <c r="DI158" s="50"/>
      <c r="DJ158" s="50"/>
      <c r="DK158" s="49" t="s">
        <v>17</v>
      </c>
      <c r="DL158" s="49"/>
      <c r="DM158" s="49"/>
      <c r="DN158" s="49"/>
      <c r="DO158" s="50"/>
      <c r="DP158" s="50"/>
      <c r="DQ158" s="50"/>
      <c r="DR158" s="50"/>
      <c r="DS158" s="14"/>
      <c r="DT158" s="13"/>
      <c r="DU158" s="47"/>
      <c r="DV158" s="47"/>
      <c r="DW158" s="47"/>
      <c r="DX158" s="47"/>
      <c r="DY158" s="47"/>
      <c r="DZ158" s="16"/>
      <c r="EA158" s="12"/>
      <c r="EB158" s="2"/>
      <c r="EC158" s="2"/>
      <c r="ED158" s="2"/>
    </row>
    <row r="159" spans="1:134" ht="4" customHeight="1">
      <c r="A159" s="7"/>
      <c r="B159" s="48"/>
      <c r="C159" s="49"/>
      <c r="D159" s="49"/>
      <c r="E159" s="49"/>
      <c r="F159" s="50"/>
      <c r="G159" s="50"/>
      <c r="H159" s="50"/>
      <c r="I159" s="50"/>
      <c r="J159" s="49"/>
      <c r="K159" s="49"/>
      <c r="L159" s="49"/>
      <c r="M159" s="49"/>
      <c r="N159" s="50"/>
      <c r="O159" s="50"/>
      <c r="P159" s="50"/>
      <c r="Q159" s="50"/>
      <c r="R159" s="49"/>
      <c r="S159" s="49"/>
      <c r="T159" s="49"/>
      <c r="U159" s="49"/>
      <c r="V159" s="50"/>
      <c r="W159" s="50"/>
      <c r="X159" s="50"/>
      <c r="Y159" s="50"/>
      <c r="Z159" s="14"/>
      <c r="AA159" s="13"/>
      <c r="AB159" s="13"/>
      <c r="AC159" s="47"/>
      <c r="AD159" s="47"/>
      <c r="AE159" s="47"/>
      <c r="AF159" s="47"/>
      <c r="AG159" s="47"/>
      <c r="AH159" s="14"/>
      <c r="AI159" s="49"/>
      <c r="AJ159" s="49"/>
      <c r="AK159" s="49"/>
      <c r="AL159" s="49"/>
      <c r="AM159" s="50"/>
      <c r="AN159" s="50"/>
      <c r="AO159" s="50"/>
      <c r="AP159" s="50"/>
      <c r="AQ159" s="49"/>
      <c r="AR159" s="49"/>
      <c r="AS159" s="49"/>
      <c r="AT159" s="49"/>
      <c r="AU159" s="50"/>
      <c r="AV159" s="50"/>
      <c r="AW159" s="50"/>
      <c r="AX159" s="50"/>
      <c r="AY159" s="49"/>
      <c r="AZ159" s="49"/>
      <c r="BA159" s="49"/>
      <c r="BB159" s="49"/>
      <c r="BC159" s="50"/>
      <c r="BD159" s="50"/>
      <c r="BE159" s="50"/>
      <c r="BF159" s="50"/>
      <c r="BG159" s="14"/>
      <c r="BH159" s="13"/>
      <c r="BI159" s="47"/>
      <c r="BJ159" s="47"/>
      <c r="BK159" s="47"/>
      <c r="BL159" s="47"/>
      <c r="BM159" s="47"/>
      <c r="BN159" s="13"/>
      <c r="BO159" s="49"/>
      <c r="BP159" s="49"/>
      <c r="BQ159" s="49"/>
      <c r="BR159" s="49"/>
      <c r="BS159" s="50"/>
      <c r="BT159" s="50"/>
      <c r="BU159" s="50"/>
      <c r="BV159" s="50"/>
      <c r="BW159" s="49"/>
      <c r="BX159" s="49"/>
      <c r="BY159" s="49"/>
      <c r="BZ159" s="49"/>
      <c r="CA159" s="50"/>
      <c r="CB159" s="50"/>
      <c r="CC159" s="50"/>
      <c r="CD159" s="50"/>
      <c r="CE159" s="49"/>
      <c r="CF159" s="49"/>
      <c r="CG159" s="49"/>
      <c r="CH159" s="49"/>
      <c r="CI159" s="50"/>
      <c r="CJ159" s="50"/>
      <c r="CK159" s="50"/>
      <c r="CL159" s="50"/>
      <c r="CM159" s="14"/>
      <c r="CN159" s="13"/>
      <c r="CO159" s="47"/>
      <c r="CP159" s="47"/>
      <c r="CQ159" s="47"/>
      <c r="CR159" s="47"/>
      <c r="CS159" s="47"/>
      <c r="CT159" s="14"/>
      <c r="CU159" s="49"/>
      <c r="CV159" s="49"/>
      <c r="CW159" s="49"/>
      <c r="CX159" s="49"/>
      <c r="CY159" s="50"/>
      <c r="CZ159" s="50"/>
      <c r="DA159" s="50"/>
      <c r="DB159" s="50"/>
      <c r="DC159" s="49"/>
      <c r="DD159" s="49"/>
      <c r="DE159" s="49"/>
      <c r="DF159" s="49"/>
      <c r="DG159" s="50"/>
      <c r="DH159" s="50"/>
      <c r="DI159" s="50"/>
      <c r="DJ159" s="50"/>
      <c r="DK159" s="49"/>
      <c r="DL159" s="49"/>
      <c r="DM159" s="49"/>
      <c r="DN159" s="49"/>
      <c r="DO159" s="50"/>
      <c r="DP159" s="50"/>
      <c r="DQ159" s="50"/>
      <c r="DR159" s="50"/>
      <c r="DS159" s="14"/>
      <c r="DT159" s="13"/>
      <c r="DU159" s="47"/>
      <c r="DV159" s="47"/>
      <c r="DW159" s="47"/>
      <c r="DX159" s="47"/>
      <c r="DY159" s="47"/>
      <c r="DZ159" s="16"/>
      <c r="EA159" s="12"/>
      <c r="EB159" s="2"/>
      <c r="EC159" s="2"/>
      <c r="ED159" s="2"/>
    </row>
    <row r="160" spans="1:134" ht="4" customHeight="1">
      <c r="A160" s="7"/>
      <c r="B160" s="48"/>
      <c r="C160" s="49"/>
      <c r="D160" s="49"/>
      <c r="E160" s="49"/>
      <c r="F160" s="50"/>
      <c r="G160" s="50"/>
      <c r="H160" s="50"/>
      <c r="I160" s="50"/>
      <c r="J160" s="49"/>
      <c r="K160" s="49"/>
      <c r="L160" s="49"/>
      <c r="M160" s="49"/>
      <c r="N160" s="50"/>
      <c r="O160" s="50"/>
      <c r="P160" s="50"/>
      <c r="Q160" s="50"/>
      <c r="R160" s="49"/>
      <c r="S160" s="49"/>
      <c r="T160" s="49"/>
      <c r="U160" s="49"/>
      <c r="V160" s="50"/>
      <c r="W160" s="50"/>
      <c r="X160" s="50"/>
      <c r="Y160" s="50"/>
      <c r="Z160" s="14"/>
      <c r="AA160" s="14"/>
      <c r="AB160" s="14"/>
      <c r="AC160" s="14"/>
      <c r="AD160" s="14"/>
      <c r="AE160" s="14"/>
      <c r="AF160" s="14"/>
      <c r="AG160" s="14"/>
      <c r="AH160" s="14"/>
      <c r="AI160" s="49"/>
      <c r="AJ160" s="49"/>
      <c r="AK160" s="49"/>
      <c r="AL160" s="49"/>
      <c r="AM160" s="50"/>
      <c r="AN160" s="50"/>
      <c r="AO160" s="50"/>
      <c r="AP160" s="50"/>
      <c r="AQ160" s="49"/>
      <c r="AR160" s="49"/>
      <c r="AS160" s="49"/>
      <c r="AT160" s="49"/>
      <c r="AU160" s="50"/>
      <c r="AV160" s="50"/>
      <c r="AW160" s="50"/>
      <c r="AX160" s="50"/>
      <c r="AY160" s="49"/>
      <c r="AZ160" s="49"/>
      <c r="BA160" s="49"/>
      <c r="BB160" s="49"/>
      <c r="BC160" s="50"/>
      <c r="BD160" s="50"/>
      <c r="BE160" s="50"/>
      <c r="BF160" s="50"/>
      <c r="BG160" s="14"/>
      <c r="BH160" s="14"/>
      <c r="BI160" s="14"/>
      <c r="BJ160" s="14"/>
      <c r="BK160" s="14"/>
      <c r="BL160" s="14"/>
      <c r="BM160" s="14"/>
      <c r="BN160" s="14"/>
      <c r="BO160" s="49"/>
      <c r="BP160" s="49"/>
      <c r="BQ160" s="49"/>
      <c r="BR160" s="49"/>
      <c r="BS160" s="50"/>
      <c r="BT160" s="50"/>
      <c r="BU160" s="50"/>
      <c r="BV160" s="50"/>
      <c r="BW160" s="49"/>
      <c r="BX160" s="49"/>
      <c r="BY160" s="49"/>
      <c r="BZ160" s="49"/>
      <c r="CA160" s="50"/>
      <c r="CB160" s="50"/>
      <c r="CC160" s="50"/>
      <c r="CD160" s="50"/>
      <c r="CE160" s="49"/>
      <c r="CF160" s="49"/>
      <c r="CG160" s="49"/>
      <c r="CH160" s="49"/>
      <c r="CI160" s="50"/>
      <c r="CJ160" s="50"/>
      <c r="CK160" s="50"/>
      <c r="CL160" s="50"/>
      <c r="CM160" s="14"/>
      <c r="CN160" s="14"/>
      <c r="CO160" s="14"/>
      <c r="CP160" s="14"/>
      <c r="CQ160" s="14"/>
      <c r="CR160" s="14"/>
      <c r="CS160" s="14"/>
      <c r="CT160" s="14"/>
      <c r="CU160" s="49"/>
      <c r="CV160" s="49"/>
      <c r="CW160" s="49"/>
      <c r="CX160" s="49"/>
      <c r="CY160" s="50"/>
      <c r="CZ160" s="50"/>
      <c r="DA160" s="50"/>
      <c r="DB160" s="50"/>
      <c r="DC160" s="49"/>
      <c r="DD160" s="49"/>
      <c r="DE160" s="49"/>
      <c r="DF160" s="49"/>
      <c r="DG160" s="50"/>
      <c r="DH160" s="50"/>
      <c r="DI160" s="50"/>
      <c r="DJ160" s="50"/>
      <c r="DK160" s="49"/>
      <c r="DL160" s="49"/>
      <c r="DM160" s="49"/>
      <c r="DN160" s="49"/>
      <c r="DO160" s="50"/>
      <c r="DP160" s="50"/>
      <c r="DQ160" s="50"/>
      <c r="DR160" s="50"/>
      <c r="DS160" s="14"/>
      <c r="DT160" s="14"/>
      <c r="DU160" s="14"/>
      <c r="DV160" s="14"/>
      <c r="DW160" s="14"/>
      <c r="DX160" s="14"/>
      <c r="DY160" s="14"/>
      <c r="DZ160" s="16"/>
      <c r="EA160" s="12"/>
      <c r="EB160" s="2"/>
      <c r="EC160" s="2"/>
      <c r="ED160" s="2"/>
    </row>
    <row r="161" spans="1:134" ht="4" customHeight="1">
      <c r="A161" s="7"/>
      <c r="B161" s="48" t="s">
        <v>14</v>
      </c>
      <c r="C161" s="49"/>
      <c r="D161" s="49"/>
      <c r="E161" s="49"/>
      <c r="F161" s="50"/>
      <c r="G161" s="50"/>
      <c r="H161" s="50"/>
      <c r="I161" s="50"/>
      <c r="J161" s="49" t="s">
        <v>16</v>
      </c>
      <c r="K161" s="49"/>
      <c r="L161" s="49"/>
      <c r="M161" s="49"/>
      <c r="N161" s="50"/>
      <c r="O161" s="50"/>
      <c r="P161" s="50"/>
      <c r="Q161" s="50"/>
      <c r="R161" s="49" t="s">
        <v>18</v>
      </c>
      <c r="S161" s="49"/>
      <c r="T161" s="49"/>
      <c r="U161" s="49"/>
      <c r="V161" s="50"/>
      <c r="W161" s="50"/>
      <c r="X161" s="50"/>
      <c r="Y161" s="50"/>
      <c r="Z161" s="49" t="s">
        <v>19</v>
      </c>
      <c r="AA161" s="49"/>
      <c r="AB161" s="49"/>
      <c r="AC161" s="49"/>
      <c r="AD161" s="50"/>
      <c r="AE161" s="50"/>
      <c r="AF161" s="50"/>
      <c r="AG161" s="50"/>
      <c r="AH161" s="14"/>
      <c r="AI161" s="49" t="s">
        <v>14</v>
      </c>
      <c r="AJ161" s="49"/>
      <c r="AK161" s="49"/>
      <c r="AL161" s="49"/>
      <c r="AM161" s="50"/>
      <c r="AN161" s="50"/>
      <c r="AO161" s="50"/>
      <c r="AP161" s="50"/>
      <c r="AQ161" s="49" t="s">
        <v>16</v>
      </c>
      <c r="AR161" s="49"/>
      <c r="AS161" s="49"/>
      <c r="AT161" s="49"/>
      <c r="AU161" s="50"/>
      <c r="AV161" s="50"/>
      <c r="AW161" s="50"/>
      <c r="AX161" s="50"/>
      <c r="AY161" s="49" t="s">
        <v>18</v>
      </c>
      <c r="AZ161" s="49"/>
      <c r="BA161" s="49"/>
      <c r="BB161" s="49"/>
      <c r="BC161" s="50"/>
      <c r="BD161" s="50"/>
      <c r="BE161" s="50"/>
      <c r="BF161" s="50"/>
      <c r="BG161" s="49" t="s">
        <v>19</v>
      </c>
      <c r="BH161" s="49"/>
      <c r="BI161" s="49"/>
      <c r="BJ161" s="49"/>
      <c r="BK161" s="50"/>
      <c r="BL161" s="50"/>
      <c r="BM161" s="50"/>
      <c r="BN161" s="13"/>
      <c r="BO161" s="49" t="s">
        <v>14</v>
      </c>
      <c r="BP161" s="49"/>
      <c r="BQ161" s="49"/>
      <c r="BR161" s="49"/>
      <c r="BS161" s="50"/>
      <c r="BT161" s="50"/>
      <c r="BU161" s="50"/>
      <c r="BV161" s="50"/>
      <c r="BW161" s="49" t="s">
        <v>16</v>
      </c>
      <c r="BX161" s="49"/>
      <c r="BY161" s="49"/>
      <c r="BZ161" s="49"/>
      <c r="CA161" s="50"/>
      <c r="CB161" s="50"/>
      <c r="CC161" s="50"/>
      <c r="CD161" s="50"/>
      <c r="CE161" s="49" t="s">
        <v>18</v>
      </c>
      <c r="CF161" s="49"/>
      <c r="CG161" s="49"/>
      <c r="CH161" s="49"/>
      <c r="CI161" s="50"/>
      <c r="CJ161" s="50"/>
      <c r="CK161" s="50"/>
      <c r="CL161" s="50"/>
      <c r="CM161" s="49" t="s">
        <v>19</v>
      </c>
      <c r="CN161" s="49"/>
      <c r="CO161" s="49"/>
      <c r="CP161" s="49"/>
      <c r="CQ161" s="50"/>
      <c r="CR161" s="50"/>
      <c r="CS161" s="50"/>
      <c r="CT161" s="14"/>
      <c r="CU161" s="49" t="s">
        <v>14</v>
      </c>
      <c r="CV161" s="49"/>
      <c r="CW161" s="49"/>
      <c r="CX161" s="49"/>
      <c r="CY161" s="50"/>
      <c r="CZ161" s="50"/>
      <c r="DA161" s="50"/>
      <c r="DB161" s="50"/>
      <c r="DC161" s="49" t="s">
        <v>16</v>
      </c>
      <c r="DD161" s="49"/>
      <c r="DE161" s="49"/>
      <c r="DF161" s="49"/>
      <c r="DG161" s="50"/>
      <c r="DH161" s="50"/>
      <c r="DI161" s="50"/>
      <c r="DJ161" s="50"/>
      <c r="DK161" s="49" t="s">
        <v>18</v>
      </c>
      <c r="DL161" s="49"/>
      <c r="DM161" s="49"/>
      <c r="DN161" s="49"/>
      <c r="DO161" s="50"/>
      <c r="DP161" s="50"/>
      <c r="DQ161" s="50"/>
      <c r="DR161" s="50"/>
      <c r="DS161" s="49" t="s">
        <v>19</v>
      </c>
      <c r="DT161" s="49"/>
      <c r="DU161" s="49"/>
      <c r="DV161" s="49"/>
      <c r="DW161" s="50"/>
      <c r="DX161" s="50"/>
      <c r="DY161" s="50"/>
      <c r="DZ161" s="16"/>
      <c r="EA161" s="12"/>
      <c r="EB161" s="2"/>
      <c r="EC161" s="2"/>
      <c r="ED161" s="2"/>
    </row>
    <row r="162" spans="1:134" ht="4" customHeight="1">
      <c r="A162" s="7"/>
      <c r="B162" s="48"/>
      <c r="C162" s="49"/>
      <c r="D162" s="49"/>
      <c r="E162" s="49"/>
      <c r="F162" s="50"/>
      <c r="G162" s="50"/>
      <c r="H162" s="50"/>
      <c r="I162" s="50"/>
      <c r="J162" s="49"/>
      <c r="K162" s="49"/>
      <c r="L162" s="49"/>
      <c r="M162" s="49"/>
      <c r="N162" s="50"/>
      <c r="O162" s="50"/>
      <c r="P162" s="50"/>
      <c r="Q162" s="50"/>
      <c r="R162" s="49"/>
      <c r="S162" s="49"/>
      <c r="T162" s="49"/>
      <c r="U162" s="49"/>
      <c r="V162" s="50"/>
      <c r="W162" s="50"/>
      <c r="X162" s="50"/>
      <c r="Y162" s="50"/>
      <c r="Z162" s="49"/>
      <c r="AA162" s="49"/>
      <c r="AB162" s="49"/>
      <c r="AC162" s="49"/>
      <c r="AD162" s="50"/>
      <c r="AE162" s="50"/>
      <c r="AF162" s="50"/>
      <c r="AG162" s="50"/>
      <c r="AH162" s="14"/>
      <c r="AI162" s="49"/>
      <c r="AJ162" s="49"/>
      <c r="AK162" s="49"/>
      <c r="AL162" s="49"/>
      <c r="AM162" s="50"/>
      <c r="AN162" s="50"/>
      <c r="AO162" s="50"/>
      <c r="AP162" s="50"/>
      <c r="AQ162" s="49"/>
      <c r="AR162" s="49"/>
      <c r="AS162" s="49"/>
      <c r="AT162" s="49"/>
      <c r="AU162" s="50"/>
      <c r="AV162" s="50"/>
      <c r="AW162" s="50"/>
      <c r="AX162" s="50"/>
      <c r="AY162" s="49"/>
      <c r="AZ162" s="49"/>
      <c r="BA162" s="49"/>
      <c r="BB162" s="49"/>
      <c r="BC162" s="50"/>
      <c r="BD162" s="50"/>
      <c r="BE162" s="50"/>
      <c r="BF162" s="50"/>
      <c r="BG162" s="49"/>
      <c r="BH162" s="49"/>
      <c r="BI162" s="49"/>
      <c r="BJ162" s="49"/>
      <c r="BK162" s="50"/>
      <c r="BL162" s="50"/>
      <c r="BM162" s="50"/>
      <c r="BN162" s="13"/>
      <c r="BO162" s="49"/>
      <c r="BP162" s="49"/>
      <c r="BQ162" s="49"/>
      <c r="BR162" s="49"/>
      <c r="BS162" s="50"/>
      <c r="BT162" s="50"/>
      <c r="BU162" s="50"/>
      <c r="BV162" s="50"/>
      <c r="BW162" s="49"/>
      <c r="BX162" s="49"/>
      <c r="BY162" s="49"/>
      <c r="BZ162" s="49"/>
      <c r="CA162" s="50"/>
      <c r="CB162" s="50"/>
      <c r="CC162" s="50"/>
      <c r="CD162" s="50"/>
      <c r="CE162" s="49"/>
      <c r="CF162" s="49"/>
      <c r="CG162" s="49"/>
      <c r="CH162" s="49"/>
      <c r="CI162" s="50"/>
      <c r="CJ162" s="50"/>
      <c r="CK162" s="50"/>
      <c r="CL162" s="50"/>
      <c r="CM162" s="49"/>
      <c r="CN162" s="49"/>
      <c r="CO162" s="49"/>
      <c r="CP162" s="49"/>
      <c r="CQ162" s="50"/>
      <c r="CR162" s="50"/>
      <c r="CS162" s="50"/>
      <c r="CT162" s="14"/>
      <c r="CU162" s="49"/>
      <c r="CV162" s="49"/>
      <c r="CW162" s="49"/>
      <c r="CX162" s="49"/>
      <c r="CY162" s="50"/>
      <c r="CZ162" s="50"/>
      <c r="DA162" s="50"/>
      <c r="DB162" s="50"/>
      <c r="DC162" s="49"/>
      <c r="DD162" s="49"/>
      <c r="DE162" s="49"/>
      <c r="DF162" s="49"/>
      <c r="DG162" s="50"/>
      <c r="DH162" s="50"/>
      <c r="DI162" s="50"/>
      <c r="DJ162" s="50"/>
      <c r="DK162" s="49"/>
      <c r="DL162" s="49"/>
      <c r="DM162" s="49"/>
      <c r="DN162" s="49"/>
      <c r="DO162" s="50"/>
      <c r="DP162" s="50"/>
      <c r="DQ162" s="50"/>
      <c r="DR162" s="50"/>
      <c r="DS162" s="49"/>
      <c r="DT162" s="49"/>
      <c r="DU162" s="49"/>
      <c r="DV162" s="49"/>
      <c r="DW162" s="50"/>
      <c r="DX162" s="50"/>
      <c r="DY162" s="50"/>
      <c r="DZ162" s="16"/>
      <c r="EA162" s="12"/>
      <c r="EB162" s="2"/>
      <c r="EC162" s="2"/>
      <c r="ED162" s="2"/>
    </row>
    <row r="163" spans="1:134" ht="4" customHeight="1">
      <c r="A163" s="7"/>
      <c r="B163" s="48"/>
      <c r="C163" s="49"/>
      <c r="D163" s="49"/>
      <c r="E163" s="49"/>
      <c r="F163" s="50"/>
      <c r="G163" s="50"/>
      <c r="H163" s="50"/>
      <c r="I163" s="50"/>
      <c r="J163" s="49"/>
      <c r="K163" s="49"/>
      <c r="L163" s="49"/>
      <c r="M163" s="49"/>
      <c r="N163" s="50"/>
      <c r="O163" s="50"/>
      <c r="P163" s="50"/>
      <c r="Q163" s="50"/>
      <c r="R163" s="49"/>
      <c r="S163" s="49"/>
      <c r="T163" s="49"/>
      <c r="U163" s="49"/>
      <c r="V163" s="50"/>
      <c r="W163" s="50"/>
      <c r="X163" s="50"/>
      <c r="Y163" s="50"/>
      <c r="Z163" s="49"/>
      <c r="AA163" s="49"/>
      <c r="AB163" s="49"/>
      <c r="AC163" s="49"/>
      <c r="AD163" s="50"/>
      <c r="AE163" s="50"/>
      <c r="AF163" s="50"/>
      <c r="AG163" s="50"/>
      <c r="AH163" s="14"/>
      <c r="AI163" s="49"/>
      <c r="AJ163" s="49"/>
      <c r="AK163" s="49"/>
      <c r="AL163" s="49"/>
      <c r="AM163" s="50"/>
      <c r="AN163" s="50"/>
      <c r="AO163" s="50"/>
      <c r="AP163" s="50"/>
      <c r="AQ163" s="49"/>
      <c r="AR163" s="49"/>
      <c r="AS163" s="49"/>
      <c r="AT163" s="49"/>
      <c r="AU163" s="50"/>
      <c r="AV163" s="50"/>
      <c r="AW163" s="50"/>
      <c r="AX163" s="50"/>
      <c r="AY163" s="49"/>
      <c r="AZ163" s="49"/>
      <c r="BA163" s="49"/>
      <c r="BB163" s="49"/>
      <c r="BC163" s="50"/>
      <c r="BD163" s="50"/>
      <c r="BE163" s="50"/>
      <c r="BF163" s="50"/>
      <c r="BG163" s="49"/>
      <c r="BH163" s="49"/>
      <c r="BI163" s="49"/>
      <c r="BJ163" s="49"/>
      <c r="BK163" s="50"/>
      <c r="BL163" s="50"/>
      <c r="BM163" s="50"/>
      <c r="BN163" s="13"/>
      <c r="BO163" s="49"/>
      <c r="BP163" s="49"/>
      <c r="BQ163" s="49"/>
      <c r="BR163" s="49"/>
      <c r="BS163" s="50"/>
      <c r="BT163" s="50"/>
      <c r="BU163" s="50"/>
      <c r="BV163" s="50"/>
      <c r="BW163" s="49"/>
      <c r="BX163" s="49"/>
      <c r="BY163" s="49"/>
      <c r="BZ163" s="49"/>
      <c r="CA163" s="50"/>
      <c r="CB163" s="50"/>
      <c r="CC163" s="50"/>
      <c r="CD163" s="50"/>
      <c r="CE163" s="49"/>
      <c r="CF163" s="49"/>
      <c r="CG163" s="49"/>
      <c r="CH163" s="49"/>
      <c r="CI163" s="50"/>
      <c r="CJ163" s="50"/>
      <c r="CK163" s="50"/>
      <c r="CL163" s="50"/>
      <c r="CM163" s="49"/>
      <c r="CN163" s="49"/>
      <c r="CO163" s="49"/>
      <c r="CP163" s="49"/>
      <c r="CQ163" s="50"/>
      <c r="CR163" s="50"/>
      <c r="CS163" s="50"/>
      <c r="CT163" s="14"/>
      <c r="CU163" s="49"/>
      <c r="CV163" s="49"/>
      <c r="CW163" s="49"/>
      <c r="CX163" s="49"/>
      <c r="CY163" s="50"/>
      <c r="CZ163" s="50"/>
      <c r="DA163" s="50"/>
      <c r="DB163" s="50"/>
      <c r="DC163" s="49"/>
      <c r="DD163" s="49"/>
      <c r="DE163" s="49"/>
      <c r="DF163" s="49"/>
      <c r="DG163" s="50"/>
      <c r="DH163" s="50"/>
      <c r="DI163" s="50"/>
      <c r="DJ163" s="50"/>
      <c r="DK163" s="49"/>
      <c r="DL163" s="49"/>
      <c r="DM163" s="49"/>
      <c r="DN163" s="49"/>
      <c r="DO163" s="50"/>
      <c r="DP163" s="50"/>
      <c r="DQ163" s="50"/>
      <c r="DR163" s="50"/>
      <c r="DS163" s="49"/>
      <c r="DT163" s="49"/>
      <c r="DU163" s="49"/>
      <c r="DV163" s="49"/>
      <c r="DW163" s="50"/>
      <c r="DX163" s="50"/>
      <c r="DY163" s="50"/>
      <c r="DZ163" s="16"/>
      <c r="EA163" s="12"/>
      <c r="EB163" s="2"/>
      <c r="EC163" s="2"/>
      <c r="ED163" s="2"/>
    </row>
    <row r="164" spans="1:134" ht="4" customHeight="1">
      <c r="A164" s="7"/>
      <c r="B164" s="18"/>
      <c r="C164" s="19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8"/>
      <c r="DF164" s="28"/>
      <c r="DG164" s="28"/>
      <c r="DH164" s="28"/>
      <c r="DI164" s="28"/>
      <c r="DJ164" s="28"/>
      <c r="DK164" s="28"/>
      <c r="DL164" s="28"/>
      <c r="DM164" s="28"/>
      <c r="DN164" s="28"/>
      <c r="DO164" s="28"/>
      <c r="DP164" s="28"/>
      <c r="DQ164" s="28"/>
      <c r="DR164" s="28"/>
      <c r="DS164" s="28"/>
      <c r="DT164" s="28"/>
      <c r="DU164" s="28"/>
      <c r="DV164" s="28"/>
      <c r="DW164" s="28"/>
      <c r="DX164" s="19"/>
      <c r="DY164" s="19"/>
      <c r="DZ164" s="21"/>
      <c r="EA164" s="12"/>
      <c r="EB164" s="2"/>
      <c r="EC164" s="2"/>
      <c r="ED164" s="2"/>
    </row>
    <row r="165" spans="1:134" ht="4" customHeight="1">
      <c r="A165" s="7"/>
      <c r="B165" s="12"/>
      <c r="C165" s="12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2"/>
      <c r="DY165" s="12"/>
      <c r="DZ165" s="12"/>
      <c r="EA165" s="12"/>
      <c r="EB165" s="2"/>
      <c r="EC165" s="2"/>
      <c r="ED165" s="2"/>
    </row>
    <row r="166" spans="1:134" ht="4" customHeight="1">
      <c r="A166" s="7"/>
      <c r="B166" s="31"/>
      <c r="C166" s="68" t="s">
        <v>32</v>
      </c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32"/>
      <c r="AO166" s="14"/>
      <c r="AP166" s="14"/>
      <c r="AQ166" s="59" t="s">
        <v>31</v>
      </c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60"/>
      <c r="BJ166" s="60"/>
      <c r="BK166" s="60"/>
      <c r="BL166" s="60"/>
      <c r="BM166" s="60"/>
      <c r="BN166" s="60"/>
      <c r="BO166" s="60"/>
      <c r="BP166" s="60"/>
      <c r="BQ166" s="60"/>
      <c r="BR166" s="60"/>
      <c r="BS166" s="60"/>
      <c r="BT166" s="60"/>
      <c r="BU166" s="60"/>
      <c r="BV166" s="60"/>
      <c r="BW166" s="60"/>
      <c r="BX166" s="60"/>
      <c r="BY166" s="60"/>
      <c r="BZ166" s="60"/>
      <c r="CA166" s="60"/>
      <c r="CB166" s="60"/>
      <c r="CC166" s="60"/>
      <c r="CD166" s="60"/>
      <c r="CE166" s="60"/>
      <c r="CF166" s="60"/>
      <c r="CG166" s="60"/>
      <c r="CH166" s="60"/>
      <c r="CI166" s="60"/>
      <c r="CJ166" s="60"/>
      <c r="CK166" s="60"/>
      <c r="CL166" s="60"/>
      <c r="CM166" s="60"/>
      <c r="CN166" s="60"/>
      <c r="CO166" s="60"/>
      <c r="CP166" s="60"/>
      <c r="CQ166" s="60"/>
      <c r="CR166" s="60"/>
      <c r="CS166" s="60"/>
      <c r="CT166" s="60"/>
      <c r="CU166" s="60"/>
      <c r="CV166" s="60"/>
      <c r="CW166" s="60"/>
      <c r="CX166" s="60"/>
      <c r="CY166" s="60"/>
      <c r="CZ166" s="60"/>
      <c r="DA166" s="60"/>
      <c r="DB166" s="60"/>
      <c r="DC166" s="60"/>
      <c r="DD166" s="60"/>
      <c r="DE166" s="60"/>
      <c r="DF166" s="60"/>
      <c r="DG166" s="60"/>
      <c r="DH166" s="60"/>
      <c r="DI166" s="60"/>
      <c r="DJ166" s="60"/>
      <c r="DK166" s="60"/>
      <c r="DL166" s="60"/>
      <c r="DM166" s="60"/>
      <c r="DN166" s="60"/>
      <c r="DO166" s="60"/>
      <c r="DP166" s="60"/>
      <c r="DQ166" s="60"/>
      <c r="DR166" s="60"/>
      <c r="DS166" s="60"/>
      <c r="DT166" s="60"/>
      <c r="DU166" s="60"/>
      <c r="DV166" s="60"/>
      <c r="DW166" s="60"/>
      <c r="DX166" s="60"/>
      <c r="DY166" s="60"/>
      <c r="DZ166" s="61"/>
      <c r="EA166" s="12"/>
      <c r="EB166" s="2"/>
      <c r="EC166" s="2"/>
      <c r="ED166" s="2"/>
    </row>
    <row r="167" spans="1:134" ht="4" customHeight="1">
      <c r="A167" s="7"/>
      <c r="B167" s="23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22"/>
      <c r="AO167" s="14"/>
      <c r="AP167" s="14"/>
      <c r="AQ167" s="62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  <c r="BD167" s="63"/>
      <c r="BE167" s="63"/>
      <c r="BF167" s="63"/>
      <c r="BG167" s="63"/>
      <c r="BH167" s="63"/>
      <c r="BI167" s="63"/>
      <c r="BJ167" s="63"/>
      <c r="BK167" s="63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  <c r="CB167" s="63"/>
      <c r="CC167" s="63"/>
      <c r="CD167" s="63"/>
      <c r="CE167" s="63"/>
      <c r="CF167" s="63"/>
      <c r="CG167" s="63"/>
      <c r="CH167" s="63"/>
      <c r="CI167" s="63"/>
      <c r="CJ167" s="63"/>
      <c r="CK167" s="63"/>
      <c r="CL167" s="63"/>
      <c r="CM167" s="63"/>
      <c r="CN167" s="63"/>
      <c r="CO167" s="63"/>
      <c r="CP167" s="63"/>
      <c r="CQ167" s="63"/>
      <c r="CR167" s="63"/>
      <c r="CS167" s="63"/>
      <c r="CT167" s="63"/>
      <c r="CU167" s="63"/>
      <c r="CV167" s="63"/>
      <c r="CW167" s="63"/>
      <c r="CX167" s="63"/>
      <c r="CY167" s="63"/>
      <c r="CZ167" s="63"/>
      <c r="DA167" s="63"/>
      <c r="DB167" s="63"/>
      <c r="DC167" s="63"/>
      <c r="DD167" s="63"/>
      <c r="DE167" s="63"/>
      <c r="DF167" s="63"/>
      <c r="DG167" s="63"/>
      <c r="DH167" s="63"/>
      <c r="DI167" s="63"/>
      <c r="DJ167" s="63"/>
      <c r="DK167" s="63"/>
      <c r="DL167" s="63"/>
      <c r="DM167" s="63"/>
      <c r="DN167" s="63"/>
      <c r="DO167" s="63"/>
      <c r="DP167" s="63"/>
      <c r="DQ167" s="63"/>
      <c r="DR167" s="63"/>
      <c r="DS167" s="63"/>
      <c r="DT167" s="63"/>
      <c r="DU167" s="63"/>
      <c r="DV167" s="63"/>
      <c r="DW167" s="63"/>
      <c r="DX167" s="63"/>
      <c r="DY167" s="63"/>
      <c r="DZ167" s="64"/>
      <c r="EA167" s="12"/>
      <c r="EB167" s="2"/>
      <c r="EC167" s="2"/>
      <c r="ED167" s="2"/>
    </row>
    <row r="168" spans="1:134" ht="4" customHeight="1">
      <c r="A168" s="7"/>
      <c r="B168" s="23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22"/>
      <c r="AO168" s="14"/>
      <c r="AP168" s="14"/>
      <c r="AQ168" s="62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  <c r="BI168" s="63"/>
      <c r="BJ168" s="63"/>
      <c r="BK168" s="63"/>
      <c r="BL168" s="63"/>
      <c r="BM168" s="63"/>
      <c r="BN168" s="63"/>
      <c r="BO168" s="63"/>
      <c r="BP168" s="63"/>
      <c r="BQ168" s="63"/>
      <c r="BR168" s="63"/>
      <c r="BS168" s="63"/>
      <c r="BT168" s="63"/>
      <c r="BU168" s="63"/>
      <c r="BV168" s="63"/>
      <c r="BW168" s="63"/>
      <c r="BX168" s="63"/>
      <c r="BY168" s="63"/>
      <c r="BZ168" s="63"/>
      <c r="CA168" s="63"/>
      <c r="CB168" s="63"/>
      <c r="CC168" s="63"/>
      <c r="CD168" s="63"/>
      <c r="CE168" s="63"/>
      <c r="CF168" s="63"/>
      <c r="CG168" s="63"/>
      <c r="CH168" s="63"/>
      <c r="CI168" s="63"/>
      <c r="CJ168" s="63"/>
      <c r="CK168" s="63"/>
      <c r="CL168" s="63"/>
      <c r="CM168" s="63"/>
      <c r="CN168" s="63"/>
      <c r="CO168" s="63"/>
      <c r="CP168" s="63"/>
      <c r="CQ168" s="63"/>
      <c r="CR168" s="63"/>
      <c r="CS168" s="63"/>
      <c r="CT168" s="63"/>
      <c r="CU168" s="63"/>
      <c r="CV168" s="63"/>
      <c r="CW168" s="63"/>
      <c r="CX168" s="63"/>
      <c r="CY168" s="63"/>
      <c r="CZ168" s="63"/>
      <c r="DA168" s="63"/>
      <c r="DB168" s="63"/>
      <c r="DC168" s="63"/>
      <c r="DD168" s="63"/>
      <c r="DE168" s="63"/>
      <c r="DF168" s="63"/>
      <c r="DG168" s="63"/>
      <c r="DH168" s="63"/>
      <c r="DI168" s="63"/>
      <c r="DJ168" s="63"/>
      <c r="DK168" s="63"/>
      <c r="DL168" s="63"/>
      <c r="DM168" s="63"/>
      <c r="DN168" s="63"/>
      <c r="DO168" s="63"/>
      <c r="DP168" s="63"/>
      <c r="DQ168" s="63"/>
      <c r="DR168" s="63"/>
      <c r="DS168" s="63"/>
      <c r="DT168" s="63"/>
      <c r="DU168" s="63"/>
      <c r="DV168" s="63"/>
      <c r="DW168" s="63"/>
      <c r="DX168" s="63"/>
      <c r="DY168" s="63"/>
      <c r="DZ168" s="64"/>
      <c r="EA168" s="12"/>
      <c r="EB168" s="2"/>
      <c r="EC168" s="2"/>
      <c r="ED168" s="2"/>
    </row>
    <row r="169" spans="1:134" ht="4" customHeight="1">
      <c r="A169" s="7"/>
      <c r="B169" s="23"/>
      <c r="C169" s="70" t="s">
        <v>33</v>
      </c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1"/>
      <c r="AO169" s="14"/>
      <c r="AP169" s="14"/>
      <c r="AQ169" s="62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  <c r="BI169" s="63"/>
      <c r="BJ169" s="63"/>
      <c r="BK169" s="63"/>
      <c r="BL169" s="63"/>
      <c r="BM169" s="63"/>
      <c r="BN169" s="63"/>
      <c r="BO169" s="63"/>
      <c r="BP169" s="63"/>
      <c r="BQ169" s="63"/>
      <c r="BR169" s="63"/>
      <c r="BS169" s="63"/>
      <c r="BT169" s="63"/>
      <c r="BU169" s="63"/>
      <c r="BV169" s="63"/>
      <c r="BW169" s="63"/>
      <c r="BX169" s="63"/>
      <c r="BY169" s="63"/>
      <c r="BZ169" s="63"/>
      <c r="CA169" s="63"/>
      <c r="CB169" s="63"/>
      <c r="CC169" s="63"/>
      <c r="CD169" s="63"/>
      <c r="CE169" s="63"/>
      <c r="CF169" s="63"/>
      <c r="CG169" s="63"/>
      <c r="CH169" s="63"/>
      <c r="CI169" s="63"/>
      <c r="CJ169" s="63"/>
      <c r="CK169" s="63"/>
      <c r="CL169" s="63"/>
      <c r="CM169" s="63"/>
      <c r="CN169" s="63"/>
      <c r="CO169" s="63"/>
      <c r="CP169" s="63"/>
      <c r="CQ169" s="63"/>
      <c r="CR169" s="63"/>
      <c r="CS169" s="63"/>
      <c r="CT169" s="63"/>
      <c r="CU169" s="63"/>
      <c r="CV169" s="63"/>
      <c r="CW169" s="63"/>
      <c r="CX169" s="63"/>
      <c r="CY169" s="63"/>
      <c r="CZ169" s="63"/>
      <c r="DA169" s="63"/>
      <c r="DB169" s="63"/>
      <c r="DC169" s="63"/>
      <c r="DD169" s="63"/>
      <c r="DE169" s="63"/>
      <c r="DF169" s="63"/>
      <c r="DG169" s="63"/>
      <c r="DH169" s="63"/>
      <c r="DI169" s="63"/>
      <c r="DJ169" s="63"/>
      <c r="DK169" s="63"/>
      <c r="DL169" s="63"/>
      <c r="DM169" s="63"/>
      <c r="DN169" s="63"/>
      <c r="DO169" s="63"/>
      <c r="DP169" s="63"/>
      <c r="DQ169" s="63"/>
      <c r="DR169" s="63"/>
      <c r="DS169" s="63"/>
      <c r="DT169" s="63"/>
      <c r="DU169" s="63"/>
      <c r="DV169" s="63"/>
      <c r="DW169" s="63"/>
      <c r="DX169" s="63"/>
      <c r="DY169" s="63"/>
      <c r="DZ169" s="64"/>
      <c r="EA169" s="12"/>
      <c r="EB169" s="2"/>
      <c r="EC169" s="2"/>
      <c r="ED169" s="2"/>
    </row>
    <row r="170" spans="1:134" ht="4" customHeight="1">
      <c r="A170" s="7"/>
      <c r="B170" s="23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1"/>
      <c r="AO170" s="14"/>
      <c r="AP170" s="14"/>
      <c r="AQ170" s="62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  <c r="BI170" s="63"/>
      <c r="BJ170" s="63"/>
      <c r="BK170" s="63"/>
      <c r="BL170" s="63"/>
      <c r="BM170" s="63"/>
      <c r="BN170" s="63"/>
      <c r="BO170" s="63"/>
      <c r="BP170" s="63"/>
      <c r="BQ170" s="63"/>
      <c r="BR170" s="63"/>
      <c r="BS170" s="63"/>
      <c r="BT170" s="63"/>
      <c r="BU170" s="63"/>
      <c r="BV170" s="63"/>
      <c r="BW170" s="63"/>
      <c r="BX170" s="63"/>
      <c r="BY170" s="63"/>
      <c r="BZ170" s="63"/>
      <c r="CA170" s="63"/>
      <c r="CB170" s="63"/>
      <c r="CC170" s="63"/>
      <c r="CD170" s="63"/>
      <c r="CE170" s="63"/>
      <c r="CF170" s="63"/>
      <c r="CG170" s="63"/>
      <c r="CH170" s="63"/>
      <c r="CI170" s="63"/>
      <c r="CJ170" s="63"/>
      <c r="CK170" s="63"/>
      <c r="CL170" s="63"/>
      <c r="CM170" s="63"/>
      <c r="CN170" s="63"/>
      <c r="CO170" s="63"/>
      <c r="CP170" s="63"/>
      <c r="CQ170" s="63"/>
      <c r="CR170" s="63"/>
      <c r="CS170" s="63"/>
      <c r="CT170" s="63"/>
      <c r="CU170" s="63"/>
      <c r="CV170" s="63"/>
      <c r="CW170" s="63"/>
      <c r="CX170" s="63"/>
      <c r="CY170" s="63"/>
      <c r="CZ170" s="63"/>
      <c r="DA170" s="63"/>
      <c r="DB170" s="63"/>
      <c r="DC170" s="63"/>
      <c r="DD170" s="63"/>
      <c r="DE170" s="63"/>
      <c r="DF170" s="63"/>
      <c r="DG170" s="63"/>
      <c r="DH170" s="63"/>
      <c r="DI170" s="63"/>
      <c r="DJ170" s="63"/>
      <c r="DK170" s="63"/>
      <c r="DL170" s="63"/>
      <c r="DM170" s="63"/>
      <c r="DN170" s="63"/>
      <c r="DO170" s="63"/>
      <c r="DP170" s="63"/>
      <c r="DQ170" s="63"/>
      <c r="DR170" s="63"/>
      <c r="DS170" s="63"/>
      <c r="DT170" s="63"/>
      <c r="DU170" s="63"/>
      <c r="DV170" s="63"/>
      <c r="DW170" s="63"/>
      <c r="DX170" s="63"/>
      <c r="DY170" s="63"/>
      <c r="DZ170" s="64"/>
      <c r="EA170" s="12"/>
      <c r="EB170" s="2"/>
      <c r="EC170" s="2"/>
      <c r="ED170" s="2"/>
    </row>
    <row r="171" spans="1:134" ht="4" customHeight="1">
      <c r="A171" s="7"/>
      <c r="B171" s="23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1"/>
      <c r="AO171" s="14"/>
      <c r="AP171" s="14"/>
      <c r="AQ171" s="62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  <c r="BI171" s="63"/>
      <c r="BJ171" s="63"/>
      <c r="BK171" s="63"/>
      <c r="BL171" s="63"/>
      <c r="BM171" s="63"/>
      <c r="BN171" s="63"/>
      <c r="BO171" s="63"/>
      <c r="BP171" s="63"/>
      <c r="BQ171" s="63"/>
      <c r="BR171" s="63"/>
      <c r="BS171" s="63"/>
      <c r="BT171" s="63"/>
      <c r="BU171" s="63"/>
      <c r="BV171" s="63"/>
      <c r="BW171" s="63"/>
      <c r="BX171" s="63"/>
      <c r="BY171" s="63"/>
      <c r="BZ171" s="63"/>
      <c r="CA171" s="63"/>
      <c r="CB171" s="63"/>
      <c r="CC171" s="63"/>
      <c r="CD171" s="63"/>
      <c r="CE171" s="63"/>
      <c r="CF171" s="63"/>
      <c r="CG171" s="63"/>
      <c r="CH171" s="63"/>
      <c r="CI171" s="63"/>
      <c r="CJ171" s="63"/>
      <c r="CK171" s="63"/>
      <c r="CL171" s="63"/>
      <c r="CM171" s="63"/>
      <c r="CN171" s="63"/>
      <c r="CO171" s="63"/>
      <c r="CP171" s="63"/>
      <c r="CQ171" s="63"/>
      <c r="CR171" s="63"/>
      <c r="CS171" s="63"/>
      <c r="CT171" s="63"/>
      <c r="CU171" s="63"/>
      <c r="CV171" s="63"/>
      <c r="CW171" s="63"/>
      <c r="CX171" s="63"/>
      <c r="CY171" s="63"/>
      <c r="CZ171" s="63"/>
      <c r="DA171" s="63"/>
      <c r="DB171" s="63"/>
      <c r="DC171" s="63"/>
      <c r="DD171" s="63"/>
      <c r="DE171" s="63"/>
      <c r="DF171" s="63"/>
      <c r="DG171" s="63"/>
      <c r="DH171" s="63"/>
      <c r="DI171" s="63"/>
      <c r="DJ171" s="63"/>
      <c r="DK171" s="63"/>
      <c r="DL171" s="63"/>
      <c r="DM171" s="63"/>
      <c r="DN171" s="63"/>
      <c r="DO171" s="63"/>
      <c r="DP171" s="63"/>
      <c r="DQ171" s="63"/>
      <c r="DR171" s="63"/>
      <c r="DS171" s="63"/>
      <c r="DT171" s="63"/>
      <c r="DU171" s="63"/>
      <c r="DV171" s="63"/>
      <c r="DW171" s="63"/>
      <c r="DX171" s="63"/>
      <c r="DY171" s="63"/>
      <c r="DZ171" s="64"/>
      <c r="EA171" s="12"/>
      <c r="EB171" s="2"/>
      <c r="EC171" s="2"/>
      <c r="ED171" s="2"/>
    </row>
    <row r="172" spans="1:134" ht="4" customHeight="1">
      <c r="A172" s="7"/>
      <c r="B172" s="23"/>
      <c r="C172" s="70" t="s">
        <v>34</v>
      </c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1"/>
      <c r="AO172" s="14"/>
      <c r="AP172" s="14"/>
      <c r="AQ172" s="62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  <c r="BI172" s="63"/>
      <c r="BJ172" s="63"/>
      <c r="BK172" s="63"/>
      <c r="BL172" s="63"/>
      <c r="BM172" s="63"/>
      <c r="BN172" s="63"/>
      <c r="BO172" s="63"/>
      <c r="BP172" s="63"/>
      <c r="BQ172" s="63"/>
      <c r="BR172" s="63"/>
      <c r="BS172" s="63"/>
      <c r="BT172" s="63"/>
      <c r="BU172" s="63"/>
      <c r="BV172" s="63"/>
      <c r="BW172" s="63"/>
      <c r="BX172" s="63"/>
      <c r="BY172" s="63"/>
      <c r="BZ172" s="63"/>
      <c r="CA172" s="63"/>
      <c r="CB172" s="63"/>
      <c r="CC172" s="63"/>
      <c r="CD172" s="63"/>
      <c r="CE172" s="63"/>
      <c r="CF172" s="63"/>
      <c r="CG172" s="63"/>
      <c r="CH172" s="63"/>
      <c r="CI172" s="63"/>
      <c r="CJ172" s="63"/>
      <c r="CK172" s="63"/>
      <c r="CL172" s="63"/>
      <c r="CM172" s="63"/>
      <c r="CN172" s="63"/>
      <c r="CO172" s="63"/>
      <c r="CP172" s="63"/>
      <c r="CQ172" s="63"/>
      <c r="CR172" s="63"/>
      <c r="CS172" s="63"/>
      <c r="CT172" s="63"/>
      <c r="CU172" s="63"/>
      <c r="CV172" s="63"/>
      <c r="CW172" s="63"/>
      <c r="CX172" s="63"/>
      <c r="CY172" s="63"/>
      <c r="CZ172" s="63"/>
      <c r="DA172" s="63"/>
      <c r="DB172" s="63"/>
      <c r="DC172" s="63"/>
      <c r="DD172" s="63"/>
      <c r="DE172" s="63"/>
      <c r="DF172" s="63"/>
      <c r="DG172" s="63"/>
      <c r="DH172" s="63"/>
      <c r="DI172" s="63"/>
      <c r="DJ172" s="63"/>
      <c r="DK172" s="63"/>
      <c r="DL172" s="63"/>
      <c r="DM172" s="63"/>
      <c r="DN172" s="63"/>
      <c r="DO172" s="63"/>
      <c r="DP172" s="63"/>
      <c r="DQ172" s="63"/>
      <c r="DR172" s="63"/>
      <c r="DS172" s="63"/>
      <c r="DT172" s="63"/>
      <c r="DU172" s="63"/>
      <c r="DV172" s="63"/>
      <c r="DW172" s="63"/>
      <c r="DX172" s="63"/>
      <c r="DY172" s="63"/>
      <c r="DZ172" s="64"/>
      <c r="EA172" s="12"/>
      <c r="EB172" s="2"/>
      <c r="EC172" s="2"/>
      <c r="ED172" s="2"/>
    </row>
    <row r="173" spans="1:134" ht="4" customHeight="1">
      <c r="A173" s="7"/>
      <c r="B173" s="23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1"/>
      <c r="AO173" s="14"/>
      <c r="AP173" s="14"/>
      <c r="AQ173" s="62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  <c r="BI173" s="63"/>
      <c r="BJ173" s="63"/>
      <c r="BK173" s="63"/>
      <c r="BL173" s="63"/>
      <c r="BM173" s="63"/>
      <c r="BN173" s="63"/>
      <c r="BO173" s="63"/>
      <c r="BP173" s="63"/>
      <c r="BQ173" s="63"/>
      <c r="BR173" s="63"/>
      <c r="BS173" s="63"/>
      <c r="BT173" s="63"/>
      <c r="BU173" s="63"/>
      <c r="BV173" s="63"/>
      <c r="BW173" s="63"/>
      <c r="BX173" s="63"/>
      <c r="BY173" s="63"/>
      <c r="BZ173" s="63"/>
      <c r="CA173" s="63"/>
      <c r="CB173" s="63"/>
      <c r="CC173" s="63"/>
      <c r="CD173" s="63"/>
      <c r="CE173" s="63"/>
      <c r="CF173" s="63"/>
      <c r="CG173" s="63"/>
      <c r="CH173" s="63"/>
      <c r="CI173" s="63"/>
      <c r="CJ173" s="63"/>
      <c r="CK173" s="63"/>
      <c r="CL173" s="63"/>
      <c r="CM173" s="63"/>
      <c r="CN173" s="63"/>
      <c r="CO173" s="63"/>
      <c r="CP173" s="63"/>
      <c r="CQ173" s="63"/>
      <c r="CR173" s="63"/>
      <c r="CS173" s="63"/>
      <c r="CT173" s="63"/>
      <c r="CU173" s="63"/>
      <c r="CV173" s="63"/>
      <c r="CW173" s="63"/>
      <c r="CX173" s="63"/>
      <c r="CY173" s="63"/>
      <c r="CZ173" s="63"/>
      <c r="DA173" s="63"/>
      <c r="DB173" s="63"/>
      <c r="DC173" s="63"/>
      <c r="DD173" s="63"/>
      <c r="DE173" s="63"/>
      <c r="DF173" s="63"/>
      <c r="DG173" s="63"/>
      <c r="DH173" s="63"/>
      <c r="DI173" s="63"/>
      <c r="DJ173" s="63"/>
      <c r="DK173" s="63"/>
      <c r="DL173" s="63"/>
      <c r="DM173" s="63"/>
      <c r="DN173" s="63"/>
      <c r="DO173" s="63"/>
      <c r="DP173" s="63"/>
      <c r="DQ173" s="63"/>
      <c r="DR173" s="63"/>
      <c r="DS173" s="63"/>
      <c r="DT173" s="63"/>
      <c r="DU173" s="63"/>
      <c r="DV173" s="63"/>
      <c r="DW173" s="63"/>
      <c r="DX173" s="63"/>
      <c r="DY173" s="63"/>
      <c r="DZ173" s="64"/>
      <c r="EA173" s="12"/>
      <c r="EB173" s="2"/>
      <c r="EC173" s="2"/>
      <c r="ED173" s="2"/>
    </row>
    <row r="174" spans="1:134" ht="4" customHeight="1">
      <c r="A174" s="7"/>
      <c r="B174" s="23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1"/>
      <c r="AO174" s="14"/>
      <c r="AP174" s="14"/>
      <c r="AQ174" s="62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  <c r="BD174" s="63"/>
      <c r="BE174" s="63"/>
      <c r="BF174" s="63"/>
      <c r="BG174" s="63"/>
      <c r="BH174" s="63"/>
      <c r="BI174" s="63"/>
      <c r="BJ174" s="63"/>
      <c r="BK174" s="63"/>
      <c r="BL174" s="63"/>
      <c r="BM174" s="63"/>
      <c r="BN174" s="63"/>
      <c r="BO174" s="63"/>
      <c r="BP174" s="63"/>
      <c r="BQ174" s="63"/>
      <c r="BR174" s="63"/>
      <c r="BS174" s="63"/>
      <c r="BT174" s="63"/>
      <c r="BU174" s="63"/>
      <c r="BV174" s="63"/>
      <c r="BW174" s="63"/>
      <c r="BX174" s="63"/>
      <c r="BY174" s="63"/>
      <c r="BZ174" s="63"/>
      <c r="CA174" s="63"/>
      <c r="CB174" s="63"/>
      <c r="CC174" s="63"/>
      <c r="CD174" s="63"/>
      <c r="CE174" s="63"/>
      <c r="CF174" s="63"/>
      <c r="CG174" s="63"/>
      <c r="CH174" s="63"/>
      <c r="CI174" s="63"/>
      <c r="CJ174" s="63"/>
      <c r="CK174" s="63"/>
      <c r="CL174" s="63"/>
      <c r="CM174" s="63"/>
      <c r="CN174" s="63"/>
      <c r="CO174" s="63"/>
      <c r="CP174" s="63"/>
      <c r="CQ174" s="63"/>
      <c r="CR174" s="63"/>
      <c r="CS174" s="63"/>
      <c r="CT174" s="63"/>
      <c r="CU174" s="63"/>
      <c r="CV174" s="63"/>
      <c r="CW174" s="63"/>
      <c r="CX174" s="63"/>
      <c r="CY174" s="63"/>
      <c r="CZ174" s="63"/>
      <c r="DA174" s="63"/>
      <c r="DB174" s="63"/>
      <c r="DC174" s="63"/>
      <c r="DD174" s="63"/>
      <c r="DE174" s="63"/>
      <c r="DF174" s="63"/>
      <c r="DG174" s="63"/>
      <c r="DH174" s="63"/>
      <c r="DI174" s="63"/>
      <c r="DJ174" s="63"/>
      <c r="DK174" s="63"/>
      <c r="DL174" s="63"/>
      <c r="DM174" s="63"/>
      <c r="DN174" s="63"/>
      <c r="DO174" s="63"/>
      <c r="DP174" s="63"/>
      <c r="DQ174" s="63"/>
      <c r="DR174" s="63"/>
      <c r="DS174" s="63"/>
      <c r="DT174" s="63"/>
      <c r="DU174" s="63"/>
      <c r="DV174" s="63"/>
      <c r="DW174" s="63"/>
      <c r="DX174" s="63"/>
      <c r="DY174" s="63"/>
      <c r="DZ174" s="64"/>
      <c r="EA174" s="12"/>
      <c r="EB174" s="2"/>
      <c r="EC174" s="2"/>
      <c r="ED174" s="2"/>
    </row>
    <row r="175" spans="1:134" ht="4" customHeight="1">
      <c r="A175" s="7"/>
      <c r="B175" s="23"/>
      <c r="C175" s="70" t="s">
        <v>35</v>
      </c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1"/>
      <c r="AO175" s="14"/>
      <c r="AP175" s="14"/>
      <c r="AQ175" s="62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  <c r="BI175" s="63"/>
      <c r="BJ175" s="63"/>
      <c r="BK175" s="63"/>
      <c r="BL175" s="63"/>
      <c r="BM175" s="63"/>
      <c r="BN175" s="63"/>
      <c r="BO175" s="63"/>
      <c r="BP175" s="63"/>
      <c r="BQ175" s="63"/>
      <c r="BR175" s="63"/>
      <c r="BS175" s="63"/>
      <c r="BT175" s="63"/>
      <c r="BU175" s="63"/>
      <c r="BV175" s="63"/>
      <c r="BW175" s="63"/>
      <c r="BX175" s="63"/>
      <c r="BY175" s="63"/>
      <c r="BZ175" s="63"/>
      <c r="CA175" s="63"/>
      <c r="CB175" s="63"/>
      <c r="CC175" s="63"/>
      <c r="CD175" s="63"/>
      <c r="CE175" s="63"/>
      <c r="CF175" s="63"/>
      <c r="CG175" s="63"/>
      <c r="CH175" s="63"/>
      <c r="CI175" s="63"/>
      <c r="CJ175" s="63"/>
      <c r="CK175" s="63"/>
      <c r="CL175" s="63"/>
      <c r="CM175" s="63"/>
      <c r="CN175" s="63"/>
      <c r="CO175" s="63"/>
      <c r="CP175" s="63"/>
      <c r="CQ175" s="63"/>
      <c r="CR175" s="63"/>
      <c r="CS175" s="63"/>
      <c r="CT175" s="63"/>
      <c r="CU175" s="63"/>
      <c r="CV175" s="63"/>
      <c r="CW175" s="63"/>
      <c r="CX175" s="63"/>
      <c r="CY175" s="63"/>
      <c r="CZ175" s="63"/>
      <c r="DA175" s="63"/>
      <c r="DB175" s="63"/>
      <c r="DC175" s="63"/>
      <c r="DD175" s="63"/>
      <c r="DE175" s="63"/>
      <c r="DF175" s="63"/>
      <c r="DG175" s="63"/>
      <c r="DH175" s="63"/>
      <c r="DI175" s="63"/>
      <c r="DJ175" s="63"/>
      <c r="DK175" s="63"/>
      <c r="DL175" s="63"/>
      <c r="DM175" s="63"/>
      <c r="DN175" s="63"/>
      <c r="DO175" s="63"/>
      <c r="DP175" s="63"/>
      <c r="DQ175" s="63"/>
      <c r="DR175" s="63"/>
      <c r="DS175" s="63"/>
      <c r="DT175" s="63"/>
      <c r="DU175" s="63"/>
      <c r="DV175" s="63"/>
      <c r="DW175" s="63"/>
      <c r="DX175" s="63"/>
      <c r="DY175" s="63"/>
      <c r="DZ175" s="64"/>
      <c r="EA175" s="12"/>
      <c r="EB175" s="2"/>
      <c r="EC175" s="2"/>
      <c r="ED175" s="2"/>
    </row>
    <row r="176" spans="1:134" ht="4" customHeight="1">
      <c r="A176" s="7"/>
      <c r="B176" s="23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1"/>
      <c r="AO176" s="14"/>
      <c r="AP176" s="14"/>
      <c r="AQ176" s="62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  <c r="BI176" s="63"/>
      <c r="BJ176" s="63"/>
      <c r="BK176" s="63"/>
      <c r="BL176" s="63"/>
      <c r="BM176" s="63"/>
      <c r="BN176" s="63"/>
      <c r="BO176" s="63"/>
      <c r="BP176" s="63"/>
      <c r="BQ176" s="63"/>
      <c r="BR176" s="63"/>
      <c r="BS176" s="63"/>
      <c r="BT176" s="63"/>
      <c r="BU176" s="63"/>
      <c r="BV176" s="63"/>
      <c r="BW176" s="63"/>
      <c r="BX176" s="63"/>
      <c r="BY176" s="63"/>
      <c r="BZ176" s="63"/>
      <c r="CA176" s="63"/>
      <c r="CB176" s="63"/>
      <c r="CC176" s="63"/>
      <c r="CD176" s="63"/>
      <c r="CE176" s="63"/>
      <c r="CF176" s="63"/>
      <c r="CG176" s="63"/>
      <c r="CH176" s="63"/>
      <c r="CI176" s="63"/>
      <c r="CJ176" s="63"/>
      <c r="CK176" s="63"/>
      <c r="CL176" s="63"/>
      <c r="CM176" s="63"/>
      <c r="CN176" s="63"/>
      <c r="CO176" s="63"/>
      <c r="CP176" s="63"/>
      <c r="CQ176" s="63"/>
      <c r="CR176" s="63"/>
      <c r="CS176" s="63"/>
      <c r="CT176" s="63"/>
      <c r="CU176" s="63"/>
      <c r="CV176" s="63"/>
      <c r="CW176" s="63"/>
      <c r="CX176" s="63"/>
      <c r="CY176" s="63"/>
      <c r="CZ176" s="63"/>
      <c r="DA176" s="63"/>
      <c r="DB176" s="63"/>
      <c r="DC176" s="63"/>
      <c r="DD176" s="63"/>
      <c r="DE176" s="63"/>
      <c r="DF176" s="63"/>
      <c r="DG176" s="63"/>
      <c r="DH176" s="63"/>
      <c r="DI176" s="63"/>
      <c r="DJ176" s="63"/>
      <c r="DK176" s="63"/>
      <c r="DL176" s="63"/>
      <c r="DM176" s="63"/>
      <c r="DN176" s="63"/>
      <c r="DO176" s="63"/>
      <c r="DP176" s="63"/>
      <c r="DQ176" s="63"/>
      <c r="DR176" s="63"/>
      <c r="DS176" s="63"/>
      <c r="DT176" s="63"/>
      <c r="DU176" s="63"/>
      <c r="DV176" s="63"/>
      <c r="DW176" s="63"/>
      <c r="DX176" s="63"/>
      <c r="DY176" s="63"/>
      <c r="DZ176" s="64"/>
      <c r="EA176" s="12"/>
      <c r="EB176" s="2"/>
      <c r="EC176" s="2"/>
      <c r="ED176" s="2"/>
    </row>
    <row r="177" spans="1:134" ht="4" customHeight="1">
      <c r="A177" s="7"/>
      <c r="B177" s="18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3"/>
      <c r="AO177" s="12"/>
      <c r="AP177" s="12"/>
      <c r="AQ177" s="65"/>
      <c r="AR177" s="66"/>
      <c r="AS177" s="66"/>
      <c r="AT177" s="66"/>
      <c r="AU177" s="66"/>
      <c r="AV177" s="66"/>
      <c r="AW177" s="66"/>
      <c r="AX177" s="66"/>
      <c r="AY177" s="66"/>
      <c r="AZ177" s="66"/>
      <c r="BA177" s="66"/>
      <c r="BB177" s="66"/>
      <c r="BC177" s="66"/>
      <c r="BD177" s="66"/>
      <c r="BE177" s="66"/>
      <c r="BF177" s="66"/>
      <c r="BG177" s="66"/>
      <c r="BH177" s="66"/>
      <c r="BI177" s="66"/>
      <c r="BJ177" s="66"/>
      <c r="BK177" s="66"/>
      <c r="BL177" s="66"/>
      <c r="BM177" s="66"/>
      <c r="BN177" s="66"/>
      <c r="BO177" s="66"/>
      <c r="BP177" s="66"/>
      <c r="BQ177" s="66"/>
      <c r="BR177" s="66"/>
      <c r="BS177" s="66"/>
      <c r="BT177" s="66"/>
      <c r="BU177" s="66"/>
      <c r="BV177" s="66"/>
      <c r="BW177" s="66"/>
      <c r="BX177" s="66"/>
      <c r="BY177" s="66"/>
      <c r="BZ177" s="66"/>
      <c r="CA177" s="66"/>
      <c r="CB177" s="66"/>
      <c r="CC177" s="66"/>
      <c r="CD177" s="66"/>
      <c r="CE177" s="66"/>
      <c r="CF177" s="66"/>
      <c r="CG177" s="66"/>
      <c r="CH177" s="66"/>
      <c r="CI177" s="66"/>
      <c r="CJ177" s="66"/>
      <c r="CK177" s="66"/>
      <c r="CL177" s="66"/>
      <c r="CM177" s="66"/>
      <c r="CN177" s="66"/>
      <c r="CO177" s="66"/>
      <c r="CP177" s="66"/>
      <c r="CQ177" s="66"/>
      <c r="CR177" s="66"/>
      <c r="CS177" s="66"/>
      <c r="CT177" s="66"/>
      <c r="CU177" s="66"/>
      <c r="CV177" s="66"/>
      <c r="CW177" s="66"/>
      <c r="CX177" s="66"/>
      <c r="CY177" s="66"/>
      <c r="CZ177" s="66"/>
      <c r="DA177" s="66"/>
      <c r="DB177" s="66"/>
      <c r="DC177" s="66"/>
      <c r="DD177" s="66"/>
      <c r="DE177" s="66"/>
      <c r="DF177" s="66"/>
      <c r="DG177" s="66"/>
      <c r="DH177" s="66"/>
      <c r="DI177" s="66"/>
      <c r="DJ177" s="66"/>
      <c r="DK177" s="66"/>
      <c r="DL177" s="66"/>
      <c r="DM177" s="66"/>
      <c r="DN177" s="66"/>
      <c r="DO177" s="66"/>
      <c r="DP177" s="66"/>
      <c r="DQ177" s="66"/>
      <c r="DR177" s="66"/>
      <c r="DS177" s="66"/>
      <c r="DT177" s="66"/>
      <c r="DU177" s="66"/>
      <c r="DV177" s="66"/>
      <c r="DW177" s="66"/>
      <c r="DX177" s="66"/>
      <c r="DY177" s="66"/>
      <c r="DZ177" s="67"/>
      <c r="EA177" s="12"/>
      <c r="EB177" s="2"/>
      <c r="EC177" s="2"/>
      <c r="ED177" s="2"/>
    </row>
    <row r="178" spans="1:134" ht="4" customHeight="1">
      <c r="A178" s="7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2"/>
      <c r="EC178" s="2"/>
      <c r="ED178" s="2"/>
    </row>
    <row r="179" spans="1:134" ht="4" customHeight="1">
      <c r="A179" s="7"/>
      <c r="B179" s="58" t="s">
        <v>36</v>
      </c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  <c r="BC179" s="58"/>
      <c r="BD179" s="58"/>
      <c r="BE179" s="58"/>
      <c r="BF179" s="58"/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  <c r="BQ179" s="58"/>
      <c r="BR179" s="58"/>
      <c r="BS179" s="58"/>
      <c r="BT179" s="58"/>
      <c r="BU179" s="58"/>
      <c r="BV179" s="58"/>
      <c r="BW179" s="58"/>
      <c r="BX179" s="58"/>
      <c r="BY179" s="58"/>
      <c r="BZ179" s="58"/>
      <c r="CA179" s="58"/>
      <c r="CB179" s="58"/>
      <c r="CC179" s="58"/>
      <c r="CD179" s="58"/>
      <c r="CE179" s="58"/>
      <c r="CF179" s="58"/>
      <c r="CG179" s="58"/>
      <c r="CH179" s="58"/>
      <c r="CI179" s="58"/>
      <c r="CJ179" s="58"/>
      <c r="CK179" s="58"/>
      <c r="CL179" s="58"/>
      <c r="CM179" s="58"/>
      <c r="CN179" s="58"/>
      <c r="CO179" s="58"/>
      <c r="CP179" s="58"/>
      <c r="CQ179" s="58"/>
      <c r="CR179" s="58"/>
      <c r="CS179" s="58"/>
      <c r="CT179" s="58"/>
      <c r="CU179" s="58"/>
      <c r="CV179" s="58"/>
      <c r="CW179" s="58"/>
      <c r="CX179" s="58"/>
      <c r="CY179" s="58"/>
      <c r="CZ179" s="58"/>
      <c r="DA179" s="58"/>
      <c r="DB179" s="58"/>
      <c r="DC179" s="58"/>
      <c r="DD179" s="58"/>
      <c r="DE179" s="58"/>
      <c r="DF179" s="58"/>
      <c r="DG179" s="58"/>
      <c r="DH179" s="58"/>
      <c r="DI179" s="58"/>
      <c r="DJ179" s="58"/>
      <c r="DK179" s="58"/>
      <c r="DL179" s="58"/>
      <c r="DM179" s="58"/>
      <c r="DN179" s="58"/>
      <c r="DO179" s="58"/>
      <c r="DP179" s="58"/>
      <c r="DQ179" s="58"/>
      <c r="DR179" s="58"/>
      <c r="DS179" s="58"/>
      <c r="DT179" s="58"/>
      <c r="DU179" s="58"/>
      <c r="DV179" s="58"/>
      <c r="DW179" s="58"/>
      <c r="DX179" s="58"/>
      <c r="DY179" s="58"/>
      <c r="DZ179" s="12"/>
      <c r="EA179" s="12"/>
      <c r="EB179" s="2"/>
      <c r="EC179" s="2"/>
      <c r="ED179" s="2"/>
    </row>
    <row r="180" spans="1:134" ht="4" customHeight="1">
      <c r="A180" s="7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58"/>
      <c r="BE180" s="58"/>
      <c r="BF180" s="58"/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8"/>
      <c r="BR180" s="58"/>
      <c r="BS180" s="58"/>
      <c r="BT180" s="58"/>
      <c r="BU180" s="58"/>
      <c r="BV180" s="58"/>
      <c r="BW180" s="58"/>
      <c r="BX180" s="58"/>
      <c r="BY180" s="58"/>
      <c r="BZ180" s="58"/>
      <c r="CA180" s="58"/>
      <c r="CB180" s="58"/>
      <c r="CC180" s="58"/>
      <c r="CD180" s="58"/>
      <c r="CE180" s="58"/>
      <c r="CF180" s="58"/>
      <c r="CG180" s="58"/>
      <c r="CH180" s="58"/>
      <c r="CI180" s="58"/>
      <c r="CJ180" s="58"/>
      <c r="CK180" s="58"/>
      <c r="CL180" s="58"/>
      <c r="CM180" s="58"/>
      <c r="CN180" s="58"/>
      <c r="CO180" s="58"/>
      <c r="CP180" s="58"/>
      <c r="CQ180" s="58"/>
      <c r="CR180" s="58"/>
      <c r="CS180" s="58"/>
      <c r="CT180" s="58"/>
      <c r="CU180" s="58"/>
      <c r="CV180" s="58"/>
      <c r="CW180" s="58"/>
      <c r="CX180" s="58"/>
      <c r="CY180" s="58"/>
      <c r="CZ180" s="58"/>
      <c r="DA180" s="58"/>
      <c r="DB180" s="58"/>
      <c r="DC180" s="58"/>
      <c r="DD180" s="58"/>
      <c r="DE180" s="58"/>
      <c r="DF180" s="58"/>
      <c r="DG180" s="58"/>
      <c r="DH180" s="58"/>
      <c r="DI180" s="58"/>
      <c r="DJ180" s="58"/>
      <c r="DK180" s="58"/>
      <c r="DL180" s="58"/>
      <c r="DM180" s="58"/>
      <c r="DN180" s="58"/>
      <c r="DO180" s="58"/>
      <c r="DP180" s="58"/>
      <c r="DQ180" s="58"/>
      <c r="DR180" s="58"/>
      <c r="DS180" s="58"/>
      <c r="DT180" s="58"/>
      <c r="DU180" s="58"/>
      <c r="DV180" s="58"/>
      <c r="DW180" s="58"/>
      <c r="DX180" s="58"/>
      <c r="DY180" s="58"/>
      <c r="DZ180" s="12"/>
      <c r="EA180" s="12"/>
      <c r="EB180" s="2"/>
      <c r="EC180" s="2"/>
      <c r="ED180" s="2"/>
    </row>
  </sheetData>
  <sheetProtection sheet="1" objects="1" scenarios="1" selectLockedCells="1"/>
  <mergeCells count="534">
    <mergeCell ref="BC161:BF163"/>
    <mergeCell ref="BG161:BJ163"/>
    <mergeCell ref="BK161:BM163"/>
    <mergeCell ref="AQ161:AT163"/>
    <mergeCell ref="AU161:AX163"/>
    <mergeCell ref="DC158:DF160"/>
    <mergeCell ref="B179:DY180"/>
    <mergeCell ref="AQ166:DZ177"/>
    <mergeCell ref="DS161:DV163"/>
    <mergeCell ref="DW161:DY163"/>
    <mergeCell ref="C166:P168"/>
    <mergeCell ref="C169:AN171"/>
    <mergeCell ref="C172:AN174"/>
    <mergeCell ref="C175:AN177"/>
    <mergeCell ref="CU161:CX163"/>
    <mergeCell ref="CY161:DB163"/>
    <mergeCell ref="DC161:DF163"/>
    <mergeCell ref="DG161:DJ163"/>
    <mergeCell ref="DK161:DN163"/>
    <mergeCell ref="DO161:DR163"/>
    <mergeCell ref="BW161:BZ163"/>
    <mergeCell ref="CA161:CD163"/>
    <mergeCell ref="CE161:CH163"/>
    <mergeCell ref="CI161:CL163"/>
    <mergeCell ref="CM161:CP163"/>
    <mergeCell ref="CQ161:CS163"/>
    <mergeCell ref="AY161:BB163"/>
    <mergeCell ref="DG158:DJ160"/>
    <mergeCell ref="DK158:DN160"/>
    <mergeCell ref="DO158:DR160"/>
    <mergeCell ref="B161:E163"/>
    <mergeCell ref="F161:I163"/>
    <mergeCell ref="J161:M163"/>
    <mergeCell ref="N161:Q163"/>
    <mergeCell ref="R161:U163"/>
    <mergeCell ref="V161:Y163"/>
    <mergeCell ref="BW158:BZ160"/>
    <mergeCell ref="CA158:CD160"/>
    <mergeCell ref="CE158:CH160"/>
    <mergeCell ref="CI158:CL160"/>
    <mergeCell ref="CU158:CX160"/>
    <mergeCell ref="CY158:DB160"/>
    <mergeCell ref="AC157:AG159"/>
    <mergeCell ref="BI157:BM159"/>
    <mergeCell ref="CO157:CS159"/>
    <mergeCell ref="BO161:BR163"/>
    <mergeCell ref="BS161:BV163"/>
    <mergeCell ref="Z161:AC163"/>
    <mergeCell ref="AD161:AG163"/>
    <mergeCell ref="AI161:AL163"/>
    <mergeCell ref="AM161:AP163"/>
    <mergeCell ref="DS59:DV61"/>
    <mergeCell ref="DW59:DY61"/>
    <mergeCell ref="CL2:DZ5"/>
    <mergeCell ref="DM6:DZ8"/>
    <mergeCell ref="CP9:DZ11"/>
    <mergeCell ref="CD14:DZ16"/>
    <mergeCell ref="DD24:DN26"/>
    <mergeCell ref="DS18:DY22"/>
    <mergeCell ref="BW59:BZ61"/>
    <mergeCell ref="CA59:CD61"/>
    <mergeCell ref="CE59:CH61"/>
    <mergeCell ref="CI59:CL61"/>
    <mergeCell ref="CM59:CP61"/>
    <mergeCell ref="CQ59:CS61"/>
    <mergeCell ref="CU56:CX58"/>
    <mergeCell ref="CY56:DB58"/>
    <mergeCell ref="DC56:DF58"/>
    <mergeCell ref="DG56:DJ58"/>
    <mergeCell ref="DK56:DN58"/>
    <mergeCell ref="DO56:DR58"/>
    <mergeCell ref="BO49:CN51"/>
    <mergeCell ref="CO49:CS51"/>
    <mergeCell ref="CU49:DT51"/>
    <mergeCell ref="DU49:DY51"/>
    <mergeCell ref="Z59:AC61"/>
    <mergeCell ref="AD59:AG61"/>
    <mergeCell ref="AI59:AL61"/>
    <mergeCell ref="AM59:AP61"/>
    <mergeCell ref="AQ59:AT61"/>
    <mergeCell ref="AU59:AX61"/>
    <mergeCell ref="B59:E61"/>
    <mergeCell ref="F59:I61"/>
    <mergeCell ref="J59:M61"/>
    <mergeCell ref="N59:Q61"/>
    <mergeCell ref="R59:U61"/>
    <mergeCell ref="V59:Y61"/>
    <mergeCell ref="R56:U58"/>
    <mergeCell ref="V56:Y58"/>
    <mergeCell ref="AI56:AL58"/>
    <mergeCell ref="AM56:AP58"/>
    <mergeCell ref="AQ56:AT58"/>
    <mergeCell ref="AU56:AX58"/>
    <mergeCell ref="CU52:DT54"/>
    <mergeCell ref="DU52:DY54"/>
    <mergeCell ref="AC55:AG57"/>
    <mergeCell ref="BI55:BM57"/>
    <mergeCell ref="CO55:CS57"/>
    <mergeCell ref="DU55:DY57"/>
    <mergeCell ref="AY56:BB58"/>
    <mergeCell ref="BC56:BF58"/>
    <mergeCell ref="BO56:BR58"/>
    <mergeCell ref="BS56:BV58"/>
    <mergeCell ref="C52:AB54"/>
    <mergeCell ref="AC52:AG54"/>
    <mergeCell ref="AI52:BH54"/>
    <mergeCell ref="BI52:BM54"/>
    <mergeCell ref="BO52:CN54"/>
    <mergeCell ref="CO52:CS54"/>
    <mergeCell ref="C43:AB45"/>
    <mergeCell ref="AC43:AG45"/>
    <mergeCell ref="AI43:BH45"/>
    <mergeCell ref="BI43:BM45"/>
    <mergeCell ref="BO43:CN45"/>
    <mergeCell ref="CO43:CS45"/>
    <mergeCell ref="CU43:DT45"/>
    <mergeCell ref="DU43:DY45"/>
    <mergeCell ref="C46:AB48"/>
    <mergeCell ref="AC46:AG48"/>
    <mergeCell ref="AI46:BH48"/>
    <mergeCell ref="BI46:BM48"/>
    <mergeCell ref="BO46:CN48"/>
    <mergeCell ref="CO46:CS48"/>
    <mergeCell ref="CU46:DT48"/>
    <mergeCell ref="DU46:DY48"/>
    <mergeCell ref="C37:AB39"/>
    <mergeCell ref="AC37:AG39"/>
    <mergeCell ref="AI37:BH39"/>
    <mergeCell ref="BI37:BM39"/>
    <mergeCell ref="BO37:CN39"/>
    <mergeCell ref="CO37:CS39"/>
    <mergeCell ref="CU37:DT39"/>
    <mergeCell ref="DU37:DY39"/>
    <mergeCell ref="BO40:CN42"/>
    <mergeCell ref="CO40:CS42"/>
    <mergeCell ref="CU40:DT42"/>
    <mergeCell ref="DU40:DY42"/>
    <mergeCell ref="CU29:DY32"/>
    <mergeCell ref="C34:AB36"/>
    <mergeCell ref="AC34:AG36"/>
    <mergeCell ref="AI34:BH36"/>
    <mergeCell ref="BI34:BM36"/>
    <mergeCell ref="BO34:CN36"/>
    <mergeCell ref="CO34:CS36"/>
    <mergeCell ref="CU34:DT36"/>
    <mergeCell ref="DU34:DY36"/>
    <mergeCell ref="CU59:CX61"/>
    <mergeCell ref="CY59:DB61"/>
    <mergeCell ref="DC59:DF61"/>
    <mergeCell ref="DG59:DJ61"/>
    <mergeCell ref="DO24:DY26"/>
    <mergeCell ref="C63:AG66"/>
    <mergeCell ref="AI63:BM66"/>
    <mergeCell ref="BO63:CS66"/>
    <mergeCell ref="CU63:DY66"/>
    <mergeCell ref="AY59:BB61"/>
    <mergeCell ref="BC59:BF61"/>
    <mergeCell ref="BG59:BJ61"/>
    <mergeCell ref="BK59:BM61"/>
    <mergeCell ref="BW56:BZ58"/>
    <mergeCell ref="CA56:CD58"/>
    <mergeCell ref="CE56:CH58"/>
    <mergeCell ref="CI56:CL58"/>
    <mergeCell ref="B56:E58"/>
    <mergeCell ref="F56:I58"/>
    <mergeCell ref="J56:M58"/>
    <mergeCell ref="N56:Q58"/>
    <mergeCell ref="C29:AG32"/>
    <mergeCell ref="AI29:BM32"/>
    <mergeCell ref="BO29:CS32"/>
    <mergeCell ref="C68:AB70"/>
    <mergeCell ref="AC68:AG70"/>
    <mergeCell ref="AI68:BH70"/>
    <mergeCell ref="BI68:BM70"/>
    <mergeCell ref="BO68:CN70"/>
    <mergeCell ref="CO68:CS70"/>
    <mergeCell ref="CU68:DT70"/>
    <mergeCell ref="DU68:DY70"/>
    <mergeCell ref="C71:AB73"/>
    <mergeCell ref="AC71:AG73"/>
    <mergeCell ref="AI71:BH73"/>
    <mergeCell ref="BI71:BM73"/>
    <mergeCell ref="BO71:CN73"/>
    <mergeCell ref="CO71:CS73"/>
    <mergeCell ref="CU71:DT73"/>
    <mergeCell ref="DU71:DY73"/>
    <mergeCell ref="C74:AB76"/>
    <mergeCell ref="AC74:AG76"/>
    <mergeCell ref="AI74:BH76"/>
    <mergeCell ref="BI74:BM76"/>
    <mergeCell ref="BO74:CN76"/>
    <mergeCell ref="CO74:CS76"/>
    <mergeCell ref="CU74:DT76"/>
    <mergeCell ref="DU74:DY76"/>
    <mergeCell ref="C77:AB79"/>
    <mergeCell ref="AC77:AG79"/>
    <mergeCell ref="AI77:BH79"/>
    <mergeCell ref="BI77:BM79"/>
    <mergeCell ref="BO77:CN79"/>
    <mergeCell ref="CO77:CS79"/>
    <mergeCell ref="CU77:DT79"/>
    <mergeCell ref="DU77:DY79"/>
    <mergeCell ref="BO80:CN82"/>
    <mergeCell ref="CO80:CS82"/>
    <mergeCell ref="CU80:DT82"/>
    <mergeCell ref="DU80:DY82"/>
    <mergeCell ref="C83:AB85"/>
    <mergeCell ref="AC83:AG85"/>
    <mergeCell ref="AI83:BH85"/>
    <mergeCell ref="BI83:BM85"/>
    <mergeCell ref="BO83:CN85"/>
    <mergeCell ref="CO83:CS85"/>
    <mergeCell ref="CU83:DT85"/>
    <mergeCell ref="DU83:DY85"/>
    <mergeCell ref="C86:AB88"/>
    <mergeCell ref="AC86:AG88"/>
    <mergeCell ref="AI86:BH88"/>
    <mergeCell ref="BI86:BM88"/>
    <mergeCell ref="BO86:CN88"/>
    <mergeCell ref="CO86:CS88"/>
    <mergeCell ref="CU86:DT88"/>
    <mergeCell ref="DU86:DY88"/>
    <mergeCell ref="C40:AB42"/>
    <mergeCell ref="AC40:AG42"/>
    <mergeCell ref="AI40:BH42"/>
    <mergeCell ref="BI40:BM42"/>
    <mergeCell ref="DK59:DN61"/>
    <mergeCell ref="DO59:DR61"/>
    <mergeCell ref="BO59:BR61"/>
    <mergeCell ref="BS59:BV61"/>
    <mergeCell ref="C49:AB51"/>
    <mergeCell ref="AC49:AG51"/>
    <mergeCell ref="AI49:BH51"/>
    <mergeCell ref="BI49:BM51"/>
    <mergeCell ref="C80:AB82"/>
    <mergeCell ref="AC80:AG82"/>
    <mergeCell ref="AI80:BH82"/>
    <mergeCell ref="BI80:BM82"/>
    <mergeCell ref="AC89:AG91"/>
    <mergeCell ref="BI89:BM91"/>
    <mergeCell ref="B90:E92"/>
    <mergeCell ref="F90:I92"/>
    <mergeCell ref="J90:M92"/>
    <mergeCell ref="N90:Q92"/>
    <mergeCell ref="CO89:CS91"/>
    <mergeCell ref="DU89:DY91"/>
    <mergeCell ref="R90:U92"/>
    <mergeCell ref="V90:Y92"/>
    <mergeCell ref="AI90:AL92"/>
    <mergeCell ref="AM90:AP92"/>
    <mergeCell ref="AQ90:AT92"/>
    <mergeCell ref="AU90:AX92"/>
    <mergeCell ref="AY90:BB92"/>
    <mergeCell ref="BC90:BF92"/>
    <mergeCell ref="BO90:BR92"/>
    <mergeCell ref="BS90:BV92"/>
    <mergeCell ref="BW90:BZ92"/>
    <mergeCell ref="CA90:CD92"/>
    <mergeCell ref="CE90:CH92"/>
    <mergeCell ref="CI90:CL92"/>
    <mergeCell ref="CU90:CX92"/>
    <mergeCell ref="CY90:DB92"/>
    <mergeCell ref="DC90:DF92"/>
    <mergeCell ref="DG90:DJ92"/>
    <mergeCell ref="DK90:DN92"/>
    <mergeCell ref="DO90:DR92"/>
    <mergeCell ref="B93:E95"/>
    <mergeCell ref="F93:I95"/>
    <mergeCell ref="J93:M95"/>
    <mergeCell ref="N93:Q95"/>
    <mergeCell ref="R93:U95"/>
    <mergeCell ref="V93:Y95"/>
    <mergeCell ref="Z93:AC95"/>
    <mergeCell ref="AD93:AG95"/>
    <mergeCell ref="AI93:AL95"/>
    <mergeCell ref="AM93:AP95"/>
    <mergeCell ref="AQ93:AT95"/>
    <mergeCell ref="AU93:AX95"/>
    <mergeCell ref="AY93:BB95"/>
    <mergeCell ref="BC93:BF95"/>
    <mergeCell ref="BG93:BJ95"/>
    <mergeCell ref="BK93:BM95"/>
    <mergeCell ref="BO93:BR95"/>
    <mergeCell ref="BS93:BV95"/>
    <mergeCell ref="BW93:BZ95"/>
    <mergeCell ref="CA93:CD95"/>
    <mergeCell ref="DO93:DR95"/>
    <mergeCell ref="DS93:DV95"/>
    <mergeCell ref="DW93:DY95"/>
    <mergeCell ref="C97:AG100"/>
    <mergeCell ref="AI97:BM100"/>
    <mergeCell ref="BO97:CS100"/>
    <mergeCell ref="CU97:DY100"/>
    <mergeCell ref="C102:AB104"/>
    <mergeCell ref="AC102:AG104"/>
    <mergeCell ref="AI102:BH104"/>
    <mergeCell ref="BI102:BM104"/>
    <mergeCell ref="BO102:CN104"/>
    <mergeCell ref="CO102:CS104"/>
    <mergeCell ref="CU102:DT104"/>
    <mergeCell ref="DU102:DY104"/>
    <mergeCell ref="CE93:CH95"/>
    <mergeCell ref="CI93:CL95"/>
    <mergeCell ref="CM93:CP95"/>
    <mergeCell ref="CQ93:CS95"/>
    <mergeCell ref="CU93:CX95"/>
    <mergeCell ref="CY93:DB95"/>
    <mergeCell ref="DC93:DF95"/>
    <mergeCell ref="DG93:DJ95"/>
    <mergeCell ref="DK93:DN95"/>
    <mergeCell ref="C105:AB107"/>
    <mergeCell ref="AC105:AG107"/>
    <mergeCell ref="AI105:BH107"/>
    <mergeCell ref="BI105:BM107"/>
    <mergeCell ref="BO105:CN107"/>
    <mergeCell ref="CO105:CS107"/>
    <mergeCell ref="CU105:DT107"/>
    <mergeCell ref="DU105:DY107"/>
    <mergeCell ref="C108:AB110"/>
    <mergeCell ref="AC108:AG110"/>
    <mergeCell ref="AI108:BH110"/>
    <mergeCell ref="BI108:BM110"/>
    <mergeCell ref="BO108:CN110"/>
    <mergeCell ref="CO108:CS110"/>
    <mergeCell ref="CU108:DT110"/>
    <mergeCell ref="DU108:DY110"/>
    <mergeCell ref="C111:AB113"/>
    <mergeCell ref="AC111:AG113"/>
    <mergeCell ref="AI111:BH113"/>
    <mergeCell ref="BI111:BM113"/>
    <mergeCell ref="BO111:CN113"/>
    <mergeCell ref="CO111:CS113"/>
    <mergeCell ref="CU111:DT113"/>
    <mergeCell ref="DU111:DY113"/>
    <mergeCell ref="C114:AB116"/>
    <mergeCell ref="AC114:AG116"/>
    <mergeCell ref="AI114:BH116"/>
    <mergeCell ref="BI114:BM116"/>
    <mergeCell ref="BO114:CN116"/>
    <mergeCell ref="CO114:CS116"/>
    <mergeCell ref="CU114:DT116"/>
    <mergeCell ref="DU114:DY116"/>
    <mergeCell ref="C117:AB119"/>
    <mergeCell ref="AC117:AG119"/>
    <mergeCell ref="AI117:BH119"/>
    <mergeCell ref="BI117:BM119"/>
    <mergeCell ref="BO117:CN119"/>
    <mergeCell ref="CO117:CS119"/>
    <mergeCell ref="CU117:DT119"/>
    <mergeCell ref="DU117:DY119"/>
    <mergeCell ref="C120:AB122"/>
    <mergeCell ref="AC120:AG122"/>
    <mergeCell ref="AI120:BH122"/>
    <mergeCell ref="BI120:BM122"/>
    <mergeCell ref="BO120:CN122"/>
    <mergeCell ref="CO120:CS122"/>
    <mergeCell ref="CU120:DT122"/>
    <mergeCell ref="DU120:DY122"/>
    <mergeCell ref="AC123:AG125"/>
    <mergeCell ref="BI123:BM125"/>
    <mergeCell ref="CO123:CS125"/>
    <mergeCell ref="DU123:DY125"/>
    <mergeCell ref="AI124:AL126"/>
    <mergeCell ref="AM124:AP126"/>
    <mergeCell ref="AQ124:AT126"/>
    <mergeCell ref="AU124:AX126"/>
    <mergeCell ref="B124:E126"/>
    <mergeCell ref="F124:I126"/>
    <mergeCell ref="J124:M126"/>
    <mergeCell ref="N124:Q126"/>
    <mergeCell ref="R124:U126"/>
    <mergeCell ref="V124:Y126"/>
    <mergeCell ref="AY124:BB126"/>
    <mergeCell ref="BC124:BF126"/>
    <mergeCell ref="BO124:BR126"/>
    <mergeCell ref="BS124:BV126"/>
    <mergeCell ref="BW124:BZ126"/>
    <mergeCell ref="CA124:CD126"/>
    <mergeCell ref="CE124:CH126"/>
    <mergeCell ref="CI124:CL126"/>
    <mergeCell ref="CU124:CX126"/>
    <mergeCell ref="CY124:DB126"/>
    <mergeCell ref="DC124:DF126"/>
    <mergeCell ref="DG124:DJ126"/>
    <mergeCell ref="DK124:DN126"/>
    <mergeCell ref="DO124:DR126"/>
    <mergeCell ref="B127:E129"/>
    <mergeCell ref="F127:I129"/>
    <mergeCell ref="J127:M129"/>
    <mergeCell ref="N127:Q129"/>
    <mergeCell ref="R127:U129"/>
    <mergeCell ref="V127:Y129"/>
    <mergeCell ref="Z127:AC129"/>
    <mergeCell ref="AD127:AG129"/>
    <mergeCell ref="AI127:AL129"/>
    <mergeCell ref="AM127:AP129"/>
    <mergeCell ref="AQ127:AT129"/>
    <mergeCell ref="AU127:AX129"/>
    <mergeCell ref="AY127:BB129"/>
    <mergeCell ref="BC127:BF129"/>
    <mergeCell ref="BG127:BJ129"/>
    <mergeCell ref="BK127:BM129"/>
    <mergeCell ref="BO127:BR129"/>
    <mergeCell ref="BS127:BV129"/>
    <mergeCell ref="BW127:BZ129"/>
    <mergeCell ref="CA127:CD129"/>
    <mergeCell ref="DO127:DR129"/>
    <mergeCell ref="DS127:DV129"/>
    <mergeCell ref="DW127:DY129"/>
    <mergeCell ref="C131:AG134"/>
    <mergeCell ref="AI131:BM134"/>
    <mergeCell ref="BO131:CS134"/>
    <mergeCell ref="CU131:DY134"/>
    <mergeCell ref="C136:AB138"/>
    <mergeCell ref="AC136:AG138"/>
    <mergeCell ref="AI136:BH138"/>
    <mergeCell ref="BI136:BM138"/>
    <mergeCell ref="BO136:CN138"/>
    <mergeCell ref="CO136:CS138"/>
    <mergeCell ref="CU136:DT138"/>
    <mergeCell ref="DU136:DY138"/>
    <mergeCell ref="CE127:CH129"/>
    <mergeCell ref="CI127:CL129"/>
    <mergeCell ref="CM127:CP129"/>
    <mergeCell ref="CQ127:CS129"/>
    <mergeCell ref="CU127:CX129"/>
    <mergeCell ref="CY127:DB129"/>
    <mergeCell ref="DC127:DF129"/>
    <mergeCell ref="DG127:DJ129"/>
    <mergeCell ref="DK127:DN129"/>
    <mergeCell ref="C139:AB141"/>
    <mergeCell ref="AC139:AG141"/>
    <mergeCell ref="AI139:BH141"/>
    <mergeCell ref="BI139:BM141"/>
    <mergeCell ref="BO139:CN141"/>
    <mergeCell ref="CO139:CS141"/>
    <mergeCell ref="CU139:DT141"/>
    <mergeCell ref="DU139:DY141"/>
    <mergeCell ref="C142:AB144"/>
    <mergeCell ref="AC142:AG144"/>
    <mergeCell ref="AI142:BH144"/>
    <mergeCell ref="BI142:BM144"/>
    <mergeCell ref="BO142:CN144"/>
    <mergeCell ref="CO142:CS144"/>
    <mergeCell ref="CU142:DT144"/>
    <mergeCell ref="DU142:DY144"/>
    <mergeCell ref="C145:AB147"/>
    <mergeCell ref="AC145:AG147"/>
    <mergeCell ref="AI145:BH147"/>
    <mergeCell ref="BI145:BM147"/>
    <mergeCell ref="BO145:CN147"/>
    <mergeCell ref="CO145:CS147"/>
    <mergeCell ref="CU145:DT147"/>
    <mergeCell ref="DU145:DY147"/>
    <mergeCell ref="C148:AB150"/>
    <mergeCell ref="AC148:AG150"/>
    <mergeCell ref="AI148:BH150"/>
    <mergeCell ref="BI148:BM150"/>
    <mergeCell ref="BO148:CN150"/>
    <mergeCell ref="CO148:CS150"/>
    <mergeCell ref="CU148:DT150"/>
    <mergeCell ref="DU148:DY150"/>
    <mergeCell ref="CU151:DT153"/>
    <mergeCell ref="DU151:DY153"/>
    <mergeCell ref="C154:AB156"/>
    <mergeCell ref="AC154:AG156"/>
    <mergeCell ref="AI154:BH156"/>
    <mergeCell ref="BI154:BM156"/>
    <mergeCell ref="BO154:CN156"/>
    <mergeCell ref="CO154:CS156"/>
    <mergeCell ref="CU154:DT156"/>
    <mergeCell ref="DU154:DY156"/>
    <mergeCell ref="DU157:DY159"/>
    <mergeCell ref="B158:E160"/>
    <mergeCell ref="F158:I160"/>
    <mergeCell ref="J158:M160"/>
    <mergeCell ref="N158:Q160"/>
    <mergeCell ref="R158:U160"/>
    <mergeCell ref="V158:Y160"/>
    <mergeCell ref="CQ18:CT20"/>
    <mergeCell ref="CQ21:CT23"/>
    <mergeCell ref="CQ24:CT26"/>
    <mergeCell ref="AI158:AL160"/>
    <mergeCell ref="AM158:AP160"/>
    <mergeCell ref="AQ158:AT160"/>
    <mergeCell ref="AU158:AX160"/>
    <mergeCell ref="AY158:BB160"/>
    <mergeCell ref="BC158:BF160"/>
    <mergeCell ref="BO158:BR160"/>
    <mergeCell ref="BS158:BV160"/>
    <mergeCell ref="C151:AB153"/>
    <mergeCell ref="AC151:AG153"/>
    <mergeCell ref="AI151:BH153"/>
    <mergeCell ref="BI151:BM153"/>
    <mergeCell ref="BO151:CN153"/>
    <mergeCell ref="CO151:CS153"/>
    <mergeCell ref="CA6:CK8"/>
    <mergeCell ref="CL6:DC8"/>
    <mergeCell ref="DD6:DL8"/>
    <mergeCell ref="CD9:CO11"/>
    <mergeCell ref="CI24:CL26"/>
    <mergeCell ref="CY24:DB26"/>
    <mergeCell ref="CM18:CP20"/>
    <mergeCell ref="CM21:CP23"/>
    <mergeCell ref="CM24:CP26"/>
    <mergeCell ref="CV18:DR22"/>
    <mergeCell ref="BO23:CA25"/>
    <mergeCell ref="CU24:CX26"/>
    <mergeCell ref="B2:BY9"/>
    <mergeCell ref="CA2:CK5"/>
    <mergeCell ref="B11:BL13"/>
    <mergeCell ref="BN11:CB13"/>
    <mergeCell ref="BO15:CA17"/>
    <mergeCell ref="BN19:CB21"/>
    <mergeCell ref="CE18:CH20"/>
    <mergeCell ref="CE21:CH23"/>
    <mergeCell ref="CE24:CH26"/>
    <mergeCell ref="CI18:CL20"/>
    <mergeCell ref="CI21:CL23"/>
    <mergeCell ref="AH15:BD17"/>
    <mergeCell ref="AH18:BD20"/>
    <mergeCell ref="AH21:BD23"/>
    <mergeCell ref="AH24:BD26"/>
    <mergeCell ref="BE15:BK17"/>
    <mergeCell ref="BE18:BK20"/>
    <mergeCell ref="BE21:BK23"/>
    <mergeCell ref="BE24:BK26"/>
    <mergeCell ref="C15:AF17"/>
    <mergeCell ref="C18:Y20"/>
    <mergeCell ref="C21:Y23"/>
    <mergeCell ref="C24:Y26"/>
    <mergeCell ref="Z18:AF20"/>
    <mergeCell ref="Z21:AF23"/>
    <mergeCell ref="Z24:AF26"/>
  </mergeCells>
  <phoneticPr fontId="1" type="noConversion"/>
  <conditionalFormatting sqref="AC55:AG57">
    <cfRule type="cellIs" dxfId="39" priority="57" operator="greaterThan">
      <formula>18</formula>
    </cfRule>
    <cfRule type="colorScale" priority="58">
      <colorScale>
        <cfvo type="min"/>
        <cfvo type="num" val="&quot;&gt;18&quot;"/>
        <color rgb="FFFF7128"/>
        <color rgb="FFFF6600"/>
      </colorScale>
    </cfRule>
  </conditionalFormatting>
  <conditionalFormatting sqref="BI55:BM57">
    <cfRule type="cellIs" dxfId="38" priority="53" operator="greaterThan">
      <formula>18</formula>
    </cfRule>
    <cfRule type="colorScale" priority="54">
      <colorScale>
        <cfvo type="min"/>
        <cfvo type="num" val="&quot;&gt;18&quot;"/>
        <color rgb="FFFF7128"/>
        <color rgb="FFFF6600"/>
      </colorScale>
    </cfRule>
  </conditionalFormatting>
  <conditionalFormatting sqref="DU55:DY57">
    <cfRule type="cellIs" dxfId="37" priority="51" operator="greaterThan">
      <formula>18</formula>
    </cfRule>
    <cfRule type="colorScale" priority="52">
      <colorScale>
        <cfvo type="min"/>
        <cfvo type="num" val="&quot;&gt;18&quot;"/>
        <color rgb="FFFF7128"/>
        <color rgb="FFFF6600"/>
      </colorScale>
    </cfRule>
  </conditionalFormatting>
  <conditionalFormatting sqref="AC89:AG91">
    <cfRule type="cellIs" dxfId="36" priority="49" operator="greaterThan">
      <formula>18</formula>
    </cfRule>
    <cfRule type="colorScale" priority="50">
      <colorScale>
        <cfvo type="min"/>
        <cfvo type="num" val="&quot;&gt;18&quot;"/>
        <color rgb="FFFF7128"/>
        <color rgb="FFFF6600"/>
      </colorScale>
    </cfRule>
  </conditionalFormatting>
  <conditionalFormatting sqref="BI89:BM91">
    <cfRule type="cellIs" dxfId="35" priority="47" operator="greaterThan">
      <formula>18</formula>
    </cfRule>
    <cfRule type="colorScale" priority="48">
      <colorScale>
        <cfvo type="min"/>
        <cfvo type="num" val="&quot;&gt;18&quot;"/>
        <color rgb="FFFF7128"/>
        <color rgb="FFFF6600"/>
      </colorScale>
    </cfRule>
  </conditionalFormatting>
  <conditionalFormatting sqref="CO89:CS91">
    <cfRule type="cellIs" dxfId="34" priority="45" operator="greaterThan">
      <formula>18</formula>
    </cfRule>
    <cfRule type="colorScale" priority="46">
      <colorScale>
        <cfvo type="min"/>
        <cfvo type="num" val="&quot;&gt;18&quot;"/>
        <color rgb="FFFF7128"/>
        <color rgb="FFFF6600"/>
      </colorScale>
    </cfRule>
  </conditionalFormatting>
  <conditionalFormatting sqref="DU89:DY91">
    <cfRule type="cellIs" dxfId="33" priority="43" operator="greaterThan">
      <formula>18</formula>
    </cfRule>
    <cfRule type="colorScale" priority="44">
      <colorScale>
        <cfvo type="min"/>
        <cfvo type="num" val="&quot;&gt;18&quot;"/>
        <color rgb="FFFF7128"/>
        <color rgb="FFFF6600"/>
      </colorScale>
    </cfRule>
  </conditionalFormatting>
  <conditionalFormatting sqref="AC123:AG125">
    <cfRule type="cellIs" dxfId="32" priority="41" operator="greaterThan">
      <formula>18</formula>
    </cfRule>
    <cfRule type="colorScale" priority="42">
      <colorScale>
        <cfvo type="min"/>
        <cfvo type="num" val="&quot;&gt;18&quot;"/>
        <color rgb="FFFF7128"/>
        <color rgb="FFFF6600"/>
      </colorScale>
    </cfRule>
  </conditionalFormatting>
  <conditionalFormatting sqref="BI123:BM125">
    <cfRule type="cellIs" dxfId="31" priority="39" operator="greaterThan">
      <formula>18</formula>
    </cfRule>
    <cfRule type="colorScale" priority="40">
      <colorScale>
        <cfvo type="min"/>
        <cfvo type="num" val="&quot;&gt;18&quot;"/>
        <color rgb="FFFF7128"/>
        <color rgb="FFFF6600"/>
      </colorScale>
    </cfRule>
  </conditionalFormatting>
  <conditionalFormatting sqref="CO123:CS125">
    <cfRule type="cellIs" dxfId="30" priority="37" operator="greaterThan">
      <formula>18</formula>
    </cfRule>
    <cfRule type="colorScale" priority="38">
      <colorScale>
        <cfvo type="min"/>
        <cfvo type="num" val="&quot;&gt;18&quot;"/>
        <color rgb="FFFF7128"/>
        <color rgb="FFFF6600"/>
      </colorScale>
    </cfRule>
  </conditionalFormatting>
  <conditionalFormatting sqref="DU123:DY125">
    <cfRule type="cellIs" dxfId="29" priority="35" operator="greaterThan">
      <formula>18</formula>
    </cfRule>
    <cfRule type="colorScale" priority="36">
      <colorScale>
        <cfvo type="min"/>
        <cfvo type="num" val="&quot;&gt;18&quot;"/>
        <color rgb="FFFF7128"/>
        <color rgb="FFFF6600"/>
      </colorScale>
    </cfRule>
  </conditionalFormatting>
  <conditionalFormatting sqref="AC157:AG159">
    <cfRule type="cellIs" dxfId="28" priority="33" operator="greaterThan">
      <formula>18</formula>
    </cfRule>
    <cfRule type="colorScale" priority="34">
      <colorScale>
        <cfvo type="min"/>
        <cfvo type="num" val="&quot;&gt;18&quot;"/>
        <color rgb="FFFF7128"/>
        <color rgb="FFFF6600"/>
      </colorScale>
    </cfRule>
  </conditionalFormatting>
  <conditionalFormatting sqref="BI157:BM159">
    <cfRule type="cellIs" dxfId="27" priority="31" operator="greaterThan">
      <formula>18</formula>
    </cfRule>
    <cfRule type="colorScale" priority="32">
      <colorScale>
        <cfvo type="min"/>
        <cfvo type="num" val="&quot;&gt;18&quot;"/>
        <color rgb="FFFF7128"/>
        <color rgb="FFFF6600"/>
      </colorScale>
    </cfRule>
  </conditionalFormatting>
  <conditionalFormatting sqref="CO157:CS159">
    <cfRule type="cellIs" dxfId="26" priority="29" operator="greaterThan">
      <formula>18</formula>
    </cfRule>
    <cfRule type="colorScale" priority="30">
      <colorScale>
        <cfvo type="min"/>
        <cfvo type="num" val="&quot;&gt;18&quot;"/>
        <color rgb="FFFF7128"/>
        <color rgb="FFFF6600"/>
      </colorScale>
    </cfRule>
  </conditionalFormatting>
  <conditionalFormatting sqref="DU157:DY159">
    <cfRule type="cellIs" dxfId="25" priority="27" operator="greaterThan">
      <formula>18</formula>
    </cfRule>
    <cfRule type="colorScale" priority="28">
      <colorScale>
        <cfvo type="min"/>
        <cfvo type="num" val="&quot;&gt;18&quot;"/>
        <color rgb="FFFF7128"/>
        <color rgb="FFFF6600"/>
      </colorScale>
    </cfRule>
  </conditionalFormatting>
  <conditionalFormatting sqref="DS18:DY22">
    <cfRule type="cellIs" dxfId="24" priority="22" operator="between">
      <formula>0.5</formula>
      <formula>180</formula>
    </cfRule>
    <cfRule type="colorScale" priority="23">
      <colorScale>
        <cfvo type="num" val="&quot;&lt;.5&quot;"/>
        <cfvo type="num" val="&quot;&gt;1&quot;"/>
        <color theme="8" tint="0.59999389629810485"/>
        <color rgb="FFFF6600"/>
      </colorScale>
    </cfRule>
    <cfRule type="cellIs" dxfId="23" priority="26" operator="lessThan">
      <formula>0</formula>
    </cfRule>
  </conditionalFormatting>
  <conditionalFormatting sqref="CI18:CL26 CQ18:CT26 CY24:DB26">
    <cfRule type="cellIs" dxfId="22" priority="25" operator="lessThan">
      <formula>0</formula>
    </cfRule>
  </conditionalFormatting>
  <conditionalFormatting sqref="CI18:CL26 CQ18:CT26 CY24:DB26">
    <cfRule type="cellIs" dxfId="21" priority="24" operator="lessThanOrEqual">
      <formula>0</formula>
    </cfRule>
  </conditionalFormatting>
  <conditionalFormatting sqref="CO55:CS57">
    <cfRule type="cellIs" dxfId="20" priority="20" operator="greaterThan">
      <formula>18</formula>
    </cfRule>
    <cfRule type="colorScale" priority="21">
      <colorScale>
        <cfvo type="min"/>
        <cfvo type="num" val="&quot;&gt;18&quot;"/>
        <color rgb="FFFF7128"/>
        <color rgb="FFFF6600"/>
      </colorScale>
    </cfRule>
  </conditionalFormatting>
  <conditionalFormatting sqref="CI18:CL20">
    <cfRule type="cellIs" dxfId="19" priority="19" operator="greaterThan">
      <formula>0.5</formula>
    </cfRule>
  </conditionalFormatting>
  <conditionalFormatting sqref="CI21:CL23">
    <cfRule type="cellIs" dxfId="18" priority="18" operator="greaterThan">
      <formula>0.5</formula>
    </cfRule>
  </conditionalFormatting>
  <conditionalFormatting sqref="CI24:CL26">
    <cfRule type="cellIs" dxfId="17" priority="17" operator="greaterThan">
      <formula>0.5</formula>
    </cfRule>
  </conditionalFormatting>
  <conditionalFormatting sqref="CQ18:CT20">
    <cfRule type="cellIs" dxfId="16" priority="16" operator="greaterThan">
      <formula>0.5</formula>
    </cfRule>
  </conditionalFormatting>
  <conditionalFormatting sqref="CQ21:CT23">
    <cfRule type="cellIs" dxfId="15" priority="15" operator="greaterThan">
      <formula>0.5</formula>
    </cfRule>
  </conditionalFormatting>
  <conditionalFormatting sqref="CQ24:CT26">
    <cfRule type="cellIs" dxfId="14" priority="14" operator="greaterThan">
      <formula>0.5</formula>
    </cfRule>
  </conditionalFormatting>
  <conditionalFormatting sqref="CY24:DB26">
    <cfRule type="cellIs" dxfId="13" priority="13" operator="greaterThan">
      <formula>0.5</formula>
    </cfRule>
  </conditionalFormatting>
  <conditionalFormatting sqref="V56:Y58">
    <cfRule type="cellIs" dxfId="12" priority="12" operator="greaterThan">
      <formula>5</formula>
    </cfRule>
  </conditionalFormatting>
  <conditionalFormatting sqref="BC56:BF58">
    <cfRule type="cellIs" dxfId="11" priority="11" operator="greaterThan">
      <formula>5</formula>
    </cfRule>
  </conditionalFormatting>
  <conditionalFormatting sqref="CI56:CL58">
    <cfRule type="cellIs" dxfId="9" priority="10" operator="greaterThan">
      <formula>5</formula>
    </cfRule>
  </conditionalFormatting>
  <conditionalFormatting sqref="DO56:DR58">
    <cfRule type="cellIs" dxfId="8" priority="9" operator="greaterThan">
      <formula>5</formula>
    </cfRule>
  </conditionalFormatting>
  <conditionalFormatting sqref="DO90:DR92">
    <cfRule type="cellIs" dxfId="7" priority="8" operator="greaterThan">
      <formula>5</formula>
    </cfRule>
  </conditionalFormatting>
  <conditionalFormatting sqref="CI90:CL92">
    <cfRule type="cellIs" dxfId="6" priority="7" operator="greaterThan">
      <formula>5</formula>
    </cfRule>
  </conditionalFormatting>
  <conditionalFormatting sqref="BC90:BF92">
    <cfRule type="cellIs" dxfId="5" priority="6" operator="greaterThan">
      <formula>5</formula>
    </cfRule>
  </conditionalFormatting>
  <conditionalFormatting sqref="V90:Y92">
    <cfRule type="cellIs" dxfId="4" priority="5" operator="greaterThan">
      <formula>5</formula>
    </cfRule>
  </conditionalFormatting>
  <conditionalFormatting sqref="V124:Y126">
    <cfRule type="cellIs" dxfId="3" priority="4" operator="greaterThan">
      <formula>5</formula>
    </cfRule>
  </conditionalFormatting>
  <conditionalFormatting sqref="BC124:BF126">
    <cfRule type="cellIs" dxfId="2" priority="3" operator="greaterThan">
      <formula>5</formula>
    </cfRule>
  </conditionalFormatting>
  <conditionalFormatting sqref="CI124:CL126">
    <cfRule type="cellIs" dxfId="1" priority="2" operator="greaterThan">
      <formula>5</formula>
    </cfRule>
  </conditionalFormatting>
  <conditionalFormatting sqref="DO124:DR126">
    <cfRule type="cellIs" dxfId="0" priority="1" operator="greaterThan">
      <formula>5</formula>
    </cfRule>
  </conditionalFormatting>
  <pageMargins left="0.5" right="0.5" top="0.5" bottom="0.5" header="0" footer="0"/>
  <pageSetup orientation="portrait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Eastern Washington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Liebing</dc:creator>
  <cp:lastModifiedBy>Trevor Liebing</cp:lastModifiedBy>
  <dcterms:created xsi:type="dcterms:W3CDTF">2014-03-26T18:03:28Z</dcterms:created>
  <dcterms:modified xsi:type="dcterms:W3CDTF">2014-03-27T18:18:52Z</dcterms:modified>
</cp:coreProperties>
</file>