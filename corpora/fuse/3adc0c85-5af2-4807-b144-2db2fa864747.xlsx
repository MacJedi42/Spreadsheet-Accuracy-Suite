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/>
  <bookViews>
    <workbookView xWindow="-12" yWindow="-12" windowWidth="12792" windowHeight="11016" activeTab="1"/>
  </bookViews>
  <sheets>
    <sheet name="Rev by Prod Group" sheetId="1" r:id="rId1"/>
    <sheet name="Product Groupings_class" sheetId="2" r:id="rId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1" i="1" l="1"/>
  <c r="P13" i="1"/>
  <c r="M13" i="1"/>
  <c r="N13" i="1"/>
  <c r="O13" i="1"/>
  <c r="Q13" i="1"/>
  <c r="Q24" i="1"/>
  <c r="Q11" i="1"/>
  <c r="Q22" i="1"/>
  <c r="Q9" i="1"/>
  <c r="Q20" i="1"/>
  <c r="Q7" i="1"/>
  <c r="Q18" i="1"/>
  <c r="Q5" i="1"/>
  <c r="Q16" i="1"/>
  <c r="P24" i="1"/>
  <c r="P22" i="1"/>
  <c r="P20" i="1"/>
  <c r="P18" i="1"/>
  <c r="P16" i="1"/>
  <c r="O24" i="1"/>
  <c r="O22" i="1"/>
  <c r="O20" i="1"/>
  <c r="O18" i="1"/>
  <c r="O16" i="1"/>
  <c r="N24" i="1"/>
  <c r="N22" i="1"/>
  <c r="N20" i="1"/>
  <c r="N18" i="1"/>
  <c r="N16" i="1"/>
  <c r="G5" i="1"/>
  <c r="L5" i="1"/>
  <c r="G7" i="1"/>
  <c r="L7" i="1"/>
  <c r="G9" i="1"/>
  <c r="L9" i="1"/>
  <c r="G11" i="1"/>
  <c r="L11" i="1"/>
  <c r="C13" i="1"/>
  <c r="D13" i="1"/>
  <c r="E13" i="1"/>
  <c r="F13" i="1"/>
  <c r="G13" i="1"/>
  <c r="H13" i="1"/>
  <c r="I13" i="1"/>
  <c r="J13" i="1"/>
  <c r="K13" i="1"/>
  <c r="L13" i="1"/>
  <c r="C16" i="1"/>
  <c r="D16" i="1"/>
  <c r="E16" i="1"/>
  <c r="F16" i="1"/>
  <c r="G16" i="1"/>
  <c r="H16" i="1"/>
  <c r="I16" i="1"/>
  <c r="J16" i="1"/>
  <c r="K16" i="1"/>
  <c r="M16" i="1"/>
  <c r="C18" i="1"/>
  <c r="D18" i="1"/>
  <c r="E18" i="1"/>
  <c r="F18" i="1"/>
  <c r="G18" i="1"/>
  <c r="H18" i="1"/>
  <c r="I18" i="1"/>
  <c r="J18" i="1"/>
  <c r="K18" i="1"/>
  <c r="M18" i="1"/>
  <c r="C20" i="1"/>
  <c r="D20" i="1"/>
  <c r="E20" i="1"/>
  <c r="F20" i="1"/>
  <c r="G20" i="1"/>
  <c r="H20" i="1"/>
  <c r="I20" i="1"/>
  <c r="J20" i="1"/>
  <c r="K20" i="1"/>
  <c r="M20" i="1"/>
  <c r="C22" i="1"/>
  <c r="D22" i="1"/>
  <c r="E22" i="1"/>
  <c r="F22" i="1"/>
  <c r="G22" i="1"/>
  <c r="H22" i="1"/>
  <c r="I22" i="1"/>
  <c r="J22" i="1"/>
  <c r="K22" i="1"/>
  <c r="M22" i="1"/>
  <c r="C24" i="1"/>
  <c r="D24" i="1"/>
  <c r="E24" i="1"/>
  <c r="F24" i="1"/>
  <c r="G24" i="1"/>
  <c r="H24" i="1"/>
  <c r="I24" i="1"/>
  <c r="J24" i="1"/>
  <c r="K24" i="1"/>
  <c r="M24" i="1"/>
  <c r="L16" i="1"/>
  <c r="L18" i="1"/>
  <c r="L20" i="1"/>
  <c r="L22" i="1"/>
  <c r="L24" i="1"/>
</calcChain>
</file>

<file path=xl/sharedStrings.xml><?xml version="1.0" encoding="utf-8"?>
<sst xmlns="http://schemas.openxmlformats.org/spreadsheetml/2006/main" count="113" uniqueCount="86">
  <si>
    <t xml:space="preserve"> Net Revenue by Product Grouping </t>
  </si>
  <si>
    <t>(in millions)</t>
  </si>
  <si>
    <t>1Q09</t>
  </si>
  <si>
    <t>2Q09</t>
  </si>
  <si>
    <t>3Q09</t>
  </si>
  <si>
    <t>4Q09</t>
  </si>
  <si>
    <t>FY09</t>
  </si>
  <si>
    <t>1Q10</t>
  </si>
  <si>
    <t>2Q10</t>
  </si>
  <si>
    <t>3Q10</t>
  </si>
  <si>
    <t>4Q10</t>
  </si>
  <si>
    <t>FY10</t>
  </si>
  <si>
    <t>1Q11</t>
  </si>
  <si>
    <t>2Q11</t>
  </si>
  <si>
    <t>Desktop Solutions</t>
  </si>
  <si>
    <t>Data Center and Cloud Solutions</t>
  </si>
  <si>
    <t xml:space="preserve">Online Services </t>
  </si>
  <si>
    <t>Other Enterprise**</t>
  </si>
  <si>
    <t>Total Net Revenue*</t>
  </si>
  <si>
    <t>Percentage of Total Net Revenue</t>
  </si>
  <si>
    <t>Total Net Revenue</t>
  </si>
  <si>
    <t>*amounts may not add due to rounding</t>
  </si>
  <si>
    <t>Note:  This document should be read in conjunction with the Company's SEC Filings.</t>
  </si>
  <si>
    <t>Desktop</t>
  </si>
  <si>
    <t xml:space="preserve">          Includes Application Virtualization and Desktop Virtualization Products</t>
  </si>
  <si>
    <t>Solutions</t>
  </si>
  <si>
    <t xml:space="preserve">Application </t>
  </si>
  <si>
    <t>Password Manager</t>
  </si>
  <si>
    <t>Virtualization</t>
  </si>
  <si>
    <t>Products</t>
  </si>
  <si>
    <t>XenApp Fundamentals</t>
  </si>
  <si>
    <t>Support</t>
  </si>
  <si>
    <t xml:space="preserve">Desktop </t>
  </si>
  <si>
    <t>XenDesktop</t>
  </si>
  <si>
    <t>License Updates</t>
  </si>
  <si>
    <t>Data Center</t>
  </si>
  <si>
    <t xml:space="preserve">and Cloud </t>
  </si>
  <si>
    <t>NetScaler</t>
  </si>
  <si>
    <t>Branch Repeater</t>
  </si>
  <si>
    <t>Networking</t>
  </si>
  <si>
    <t>Application Firewall</t>
  </si>
  <si>
    <t>Maintenance</t>
  </si>
  <si>
    <t>Server</t>
  </si>
  <si>
    <t>Citrix XenServer</t>
  </si>
  <si>
    <t>Virtualizaton</t>
  </si>
  <si>
    <t>Other</t>
  </si>
  <si>
    <t>Application Gateway</t>
  </si>
  <si>
    <t>Provisioning Server</t>
  </si>
  <si>
    <t>Enterprise</t>
  </si>
  <si>
    <t>EdgeSight</t>
  </si>
  <si>
    <t>EasyCall</t>
  </si>
  <si>
    <t>Consulting</t>
  </si>
  <si>
    <t>Education</t>
  </si>
  <si>
    <t>Go ToMyPC</t>
  </si>
  <si>
    <t>Go ToMeeting</t>
  </si>
  <si>
    <t>Services</t>
  </si>
  <si>
    <t>Go ToAssist</t>
  </si>
  <si>
    <t>Go ToWebinar</t>
  </si>
  <si>
    <t>GoToTraining</t>
  </si>
  <si>
    <t>Audio Services</t>
  </si>
  <si>
    <t>Video Conferencing</t>
  </si>
  <si>
    <t>Integrated Toll</t>
  </si>
  <si>
    <t>Netviewer remote support</t>
  </si>
  <si>
    <t>Netviewer collaboration</t>
  </si>
  <si>
    <t>3Q11</t>
  </si>
  <si>
    <t>CloudStack</t>
  </si>
  <si>
    <t>CloudPortal</t>
  </si>
  <si>
    <t>GoToManage</t>
  </si>
  <si>
    <t>and</t>
  </si>
  <si>
    <t>Cloud Infrastructure</t>
  </si>
  <si>
    <t>Cloud</t>
  </si>
  <si>
    <t>Essentials for Hyper-V</t>
  </si>
  <si>
    <t>ShareFile</t>
  </si>
  <si>
    <t>Online</t>
  </si>
  <si>
    <t>** Includes Edgesight, Provisioning Server, Interval Zero, Freight, Enterprise Education, Consulting Services and ShareFile revenues</t>
  </si>
  <si>
    <t>FY11</t>
  </si>
  <si>
    <t>4Q11</t>
  </si>
  <si>
    <t>2012 PRODUCT GROUPINGS</t>
  </si>
  <si>
    <t>VDI-in-a-Box</t>
  </si>
  <si>
    <t>AppDNA</t>
  </si>
  <si>
    <t>CloudGateway</t>
  </si>
  <si>
    <t>CloudBridge</t>
  </si>
  <si>
    <t>Access Gateway</t>
  </si>
  <si>
    <t>CloudConnector</t>
  </si>
  <si>
    <t>XenApp</t>
  </si>
  <si>
    <t xml:space="preserve">      Includes Cloud Networking, Server Virtualization and Cloud Infrastructure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</si>
</sst>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"/>
    <numFmt numFmtId="165" formatCode="&quot;$&quot;#,##0.0_);\(&quot;$&quot;#,##0.0\)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indexed="55"/>
      </top>
      <bottom style="thin">
        <color indexed="55"/>
      </bottom>
      <diagonal/>
    </border>
    <border>
      <left style="medium">
        <color auto="1"/>
      </left>
      <right/>
      <top style="thin">
        <color indexed="55"/>
      </top>
      <bottom/>
      <diagonal/>
    </border>
    <border>
      <left style="thin">
        <color auto="1"/>
      </left>
      <right style="thin">
        <color auto="1"/>
      </right>
      <top style="thin">
        <color indexed="55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indexed="55"/>
      </top>
      <bottom style="thin">
        <color indexed="55"/>
      </bottom>
      <diagonal/>
    </border>
    <border>
      <left style="thin">
        <color auto="1"/>
      </left>
      <right/>
      <top style="thin">
        <color indexed="55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2" borderId="1" xfId="3" applyFont="1" applyFill="1" applyBorder="1"/>
    <xf numFmtId="0" fontId="4" fillId="2" borderId="2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1" fillId="0" borderId="4" xfId="3" applyFont="1" applyBorder="1"/>
    <xf numFmtId="164" fontId="1" fillId="0" borderId="5" xfId="2" applyNumberFormat="1" applyFont="1" applyBorder="1" applyAlignment="1">
      <alignment horizontal="right"/>
    </xf>
    <xf numFmtId="164" fontId="3" fillId="0" borderId="5" xfId="2" applyNumberFormat="1" applyFont="1" applyBorder="1" applyAlignment="1">
      <alignment horizontal="right"/>
    </xf>
    <xf numFmtId="0" fontId="1" fillId="0" borderId="4" xfId="3" applyFont="1" applyBorder="1" applyAlignment="1">
      <alignment horizontal="left"/>
    </xf>
    <xf numFmtId="9" fontId="5" fillId="0" borderId="5" xfId="4" applyFont="1" applyBorder="1" applyAlignment="1">
      <alignment horizontal="right"/>
    </xf>
    <xf numFmtId="9" fontId="6" fillId="0" borderId="5" xfId="4" applyFont="1" applyBorder="1" applyAlignment="1">
      <alignment horizontal="right"/>
    </xf>
    <xf numFmtId="164" fontId="5" fillId="0" borderId="5" xfId="2" applyNumberFormat="1" applyFont="1" applyBorder="1" applyAlignment="1">
      <alignment horizontal="right"/>
    </xf>
    <xf numFmtId="164" fontId="6" fillId="0" borderId="5" xfId="2" applyNumberFormat="1" applyFont="1" applyBorder="1" applyAlignment="1">
      <alignment horizontal="right"/>
    </xf>
    <xf numFmtId="0" fontId="1" fillId="0" borderId="6" xfId="3" applyFont="1" applyBorder="1" applyAlignment="1">
      <alignment horizontal="left"/>
    </xf>
    <xf numFmtId="164" fontId="1" fillId="0" borderId="7" xfId="2" applyNumberFormat="1" applyFont="1" applyBorder="1" applyAlignment="1">
      <alignment horizontal="right"/>
    </xf>
    <xf numFmtId="164" fontId="3" fillId="0" borderId="7" xfId="2" applyNumberFormat="1" applyFont="1" applyBorder="1" applyAlignment="1">
      <alignment horizontal="right"/>
    </xf>
    <xf numFmtId="0" fontId="3" fillId="0" borderId="8" xfId="3" applyFont="1" applyBorder="1"/>
    <xf numFmtId="165" fontId="3" fillId="0" borderId="9" xfId="1" applyNumberFormat="1" applyFont="1" applyBorder="1" applyAlignment="1">
      <alignment horizontal="right"/>
    </xf>
    <xf numFmtId="165" fontId="3" fillId="0" borderId="10" xfId="1" applyNumberFormat="1" applyFont="1" applyBorder="1" applyAlignment="1">
      <alignment horizontal="right"/>
    </xf>
    <xf numFmtId="0" fontId="0" fillId="0" borderId="11" xfId="0" applyBorder="1"/>
    <xf numFmtId="9" fontId="1" fillId="0" borderId="5" xfId="4" applyFont="1" applyBorder="1" applyAlignment="1">
      <alignment horizontal="right"/>
    </xf>
    <xf numFmtId="9" fontId="1" fillId="0" borderId="12" xfId="4" applyFont="1" applyBorder="1" applyAlignment="1">
      <alignment horizontal="right"/>
    </xf>
    <xf numFmtId="9" fontId="5" fillId="0" borderId="12" xfId="4" applyFont="1" applyBorder="1" applyAlignment="1">
      <alignment horizontal="right"/>
    </xf>
    <xf numFmtId="9" fontId="1" fillId="0" borderId="7" xfId="4" applyFont="1" applyBorder="1" applyAlignment="1">
      <alignment horizontal="right"/>
    </xf>
    <xf numFmtId="9" fontId="1" fillId="0" borderId="13" xfId="4" applyFont="1" applyBorder="1" applyAlignment="1">
      <alignment horizontal="right"/>
    </xf>
    <xf numFmtId="9" fontId="3" fillId="0" borderId="9" xfId="4" applyFont="1" applyBorder="1" applyAlignment="1">
      <alignment horizontal="right"/>
    </xf>
    <xf numFmtId="9" fontId="3" fillId="0" borderId="10" xfId="4" applyFont="1" applyBorder="1" applyAlignment="1">
      <alignment horizontal="right"/>
    </xf>
    <xf numFmtId="0" fontId="1" fillId="0" borderId="0" xfId="0" applyFont="1" applyFill="1"/>
    <xf numFmtId="9" fontId="1" fillId="0" borderId="0" xfId="4" applyFont="1" applyFill="1"/>
    <xf numFmtId="0" fontId="1" fillId="0" borderId="0" xfId="0" applyFont="1"/>
    <xf numFmtId="0" fontId="7" fillId="0" borderId="0" xfId="0" applyFont="1"/>
    <xf numFmtId="0" fontId="7" fillId="0" borderId="0" xfId="0" applyFont="1" applyBorder="1"/>
    <xf numFmtId="0" fontId="7" fillId="2" borderId="14" xfId="0" applyFont="1" applyFill="1" applyBorder="1"/>
    <xf numFmtId="0" fontId="7" fillId="0" borderId="11" xfId="0" applyFont="1" applyBorder="1"/>
    <xf numFmtId="0" fontId="7" fillId="0" borderId="15" xfId="0" applyFont="1" applyBorder="1"/>
    <xf numFmtId="0" fontId="8" fillId="2" borderId="16" xfId="0" applyFont="1" applyFill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2" borderId="18" xfId="0" applyFont="1" applyFill="1" applyBorder="1"/>
    <xf numFmtId="0" fontId="7" fillId="0" borderId="19" xfId="0" applyFont="1" applyBorder="1"/>
    <xf numFmtId="0" fontId="7" fillId="0" borderId="20" xfId="0" applyFont="1" applyBorder="1"/>
    <xf numFmtId="0" fontId="7" fillId="3" borderId="21" xfId="0" applyFont="1" applyFill="1" applyBorder="1"/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3" borderId="24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3" borderId="26" xfId="0" applyFont="1" applyFill="1" applyBorder="1"/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7" fillId="0" borderId="27" xfId="0" applyFont="1" applyBorder="1"/>
    <xf numFmtId="0" fontId="7" fillId="0" borderId="28" xfId="0" applyFont="1" applyBorder="1"/>
    <xf numFmtId="0" fontId="8" fillId="0" borderId="0" xfId="0" applyFont="1" applyBorder="1" applyAlignment="1"/>
    <xf numFmtId="0" fontId="8" fillId="0" borderId="17" xfId="0" applyFont="1" applyBorder="1" applyAlignment="1"/>
    <xf numFmtId="0" fontId="7" fillId="0" borderId="11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2" borderId="16" xfId="0" applyFont="1" applyFill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8" fillId="2" borderId="14" xfId="0" applyFont="1" applyFill="1" applyBorder="1"/>
    <xf numFmtId="0" fontId="8" fillId="0" borderId="17" xfId="0" applyFont="1" applyBorder="1"/>
    <xf numFmtId="0" fontId="8" fillId="2" borderId="18" xfId="0" applyFont="1" applyFill="1" applyBorder="1"/>
    <xf numFmtId="0" fontId="8" fillId="0" borderId="19" xfId="0" applyFont="1" applyBorder="1"/>
    <xf numFmtId="0" fontId="8" fillId="0" borderId="20" xfId="0" applyFont="1" applyBorder="1"/>
    <xf numFmtId="0" fontId="0" fillId="0" borderId="4" xfId="3" applyFont="1" applyBorder="1" applyAlignment="1">
      <alignment horizontal="left"/>
    </xf>
    <xf numFmtId="0" fontId="8" fillId="2" borderId="29" xfId="0" applyFont="1" applyFill="1" applyBorder="1" applyAlignment="1">
      <alignment horizontal="centerContinuous" vertical="center"/>
    </xf>
    <xf numFmtId="0" fontId="8" fillId="2" borderId="30" xfId="0" applyFont="1" applyFill="1" applyBorder="1" applyAlignment="1">
      <alignment horizontal="centerContinuous" vertical="center"/>
    </xf>
    <xf numFmtId="0" fontId="8" fillId="2" borderId="31" xfId="0" applyFont="1" applyFill="1" applyBorder="1" applyAlignment="1">
      <alignment horizontal="centerContinuous" vertical="center"/>
    </xf>
    <xf numFmtId="164" fontId="5" fillId="0" borderId="5" xfId="4" applyNumberFormat="1" applyFont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/>
  </cellXfs>
  <cellStyles count="5">
    <cellStyle name="Comma" xfId="1" builtinId="3"/>
    <cellStyle name="Currency" xfId="2" builtinId="4"/>
    <cellStyle name="Normal" xfId="0" builtinId="0"/>
    <cellStyle name="Normal_Q208 Cheatsheets v1" xfId="3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9"/>
  <sheetViews>
    <sheetView showGridLines="0" topLeftCell="B1" zoomScale="80" zoomScaleNormal="80" zoomScalePageLayoutView="80" workbookViewId="0">
      <selection activeCell="G17" sqref="G17:Q17"/>
    </sheetView>
  </sheetViews>
  <sheetFormatPr defaultColWidth="8.88671875" defaultRowHeight="13.2" outlineLevelCol="1" x14ac:dyDescent="0.25"/>
  <cols>
    <col min="1" max="1" width="3.44140625" customWidth="1"/>
    <col min="2" max="2" width="30.6640625" customWidth="1"/>
    <col min="3" max="6" width="10.88671875" hidden="1" customWidth="1" outlineLevel="1"/>
    <col min="7" max="7" width="10.88671875" customWidth="1" collapsed="1"/>
    <col min="8" max="11" width="10.88671875" hidden="1" customWidth="1" outlineLevel="1"/>
    <col min="12" max="12" width="10.88671875" customWidth="1" collapsed="1"/>
    <col min="13" max="16" width="10.88671875" customWidth="1" outlineLevel="1"/>
    <col min="17" max="17" width="10.88671875" customWidth="1"/>
  </cols>
  <sheetData>
    <row r="1" spans="2:17" ht="6.75" customHeight="1" x14ac:dyDescent="0.25"/>
    <row r="2" spans="2:17" ht="15.6" x14ac:dyDescent="0.3">
      <c r="B2" s="1" t="s">
        <v>0</v>
      </c>
    </row>
    <row r="3" spans="2:17" ht="11.25" customHeight="1" thickBot="1" x14ac:dyDescent="0.35">
      <c r="B3" s="1"/>
    </row>
    <row r="4" spans="2:17" ht="13.8" x14ac:dyDescent="0.25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8</v>
      </c>
      <c r="J4" s="4" t="s">
        <v>9</v>
      </c>
      <c r="K4" s="4" t="s">
        <v>10</v>
      </c>
      <c r="L4" s="3" t="s">
        <v>11</v>
      </c>
      <c r="M4" s="3" t="s">
        <v>12</v>
      </c>
      <c r="N4" s="3" t="s">
        <v>13</v>
      </c>
      <c r="O4" s="3" t="s">
        <v>64</v>
      </c>
      <c r="P4" s="3" t="s">
        <v>76</v>
      </c>
      <c r="Q4" s="3" t="s">
        <v>75</v>
      </c>
    </row>
    <row r="5" spans="2:17" x14ac:dyDescent="0.25">
      <c r="B5" s="5" t="s">
        <v>14</v>
      </c>
      <c r="C5" s="6">
        <v>236.23784703000001</v>
      </c>
      <c r="D5" s="6">
        <v>244.58433102000001</v>
      </c>
      <c r="E5" s="6">
        <v>250.78905791999998</v>
      </c>
      <c r="F5" s="6">
        <v>283.62257241000003</v>
      </c>
      <c r="G5" s="7">
        <f>SUM(C5:F5)</f>
        <v>1015.23380838</v>
      </c>
      <c r="H5" s="6">
        <v>255.910403</v>
      </c>
      <c r="I5" s="6">
        <v>279.76853311000002</v>
      </c>
      <c r="J5" s="6">
        <v>277.08982900000001</v>
      </c>
      <c r="K5" s="6">
        <v>324.55690199999998</v>
      </c>
      <c r="L5" s="7">
        <f>SUM(H5:K5)</f>
        <v>1137.32566711</v>
      </c>
      <c r="M5" s="6">
        <v>289.10000000000002</v>
      </c>
      <c r="N5" s="6">
        <v>304.64999999999998</v>
      </c>
      <c r="O5" s="6">
        <v>315.98200000000003</v>
      </c>
      <c r="P5" s="6">
        <v>369.04700000000003</v>
      </c>
      <c r="Q5" s="7">
        <f>SUM(M5:P5)</f>
        <v>1278.779</v>
      </c>
    </row>
    <row r="6" spans="2:17" x14ac:dyDescent="0.25">
      <c r="B6" s="8"/>
      <c r="C6" s="9"/>
      <c r="D6" s="9"/>
      <c r="E6" s="9"/>
      <c r="F6" s="9"/>
      <c r="G6" s="10"/>
      <c r="H6" s="9"/>
      <c r="I6" s="9"/>
      <c r="J6" s="9"/>
      <c r="K6" s="9"/>
      <c r="L6" s="10"/>
      <c r="M6" s="72"/>
      <c r="N6" s="72"/>
      <c r="O6" s="72"/>
      <c r="P6" s="72"/>
      <c r="Q6" s="10"/>
    </row>
    <row r="7" spans="2:17" x14ac:dyDescent="0.25">
      <c r="B7" s="5" t="s">
        <v>15</v>
      </c>
      <c r="C7" s="6">
        <v>47.165540970000002</v>
      </c>
      <c r="D7" s="6">
        <v>59.419313979999998</v>
      </c>
      <c r="E7" s="6">
        <v>57.281128079999995</v>
      </c>
      <c r="F7" s="6">
        <v>67.529872589999997</v>
      </c>
      <c r="G7" s="7">
        <f>SUM(C7:F7)</f>
        <v>231.39585561999999</v>
      </c>
      <c r="H7" s="6">
        <v>58.204726999999998</v>
      </c>
      <c r="I7" s="6">
        <v>70.743404889999994</v>
      </c>
      <c r="J7" s="6">
        <v>84.239774999999995</v>
      </c>
      <c r="K7" s="6">
        <v>85.461363000000006</v>
      </c>
      <c r="L7" s="7">
        <f>SUM(H7:K7)</f>
        <v>298.64926988999997</v>
      </c>
      <c r="M7" s="6">
        <v>77.67</v>
      </c>
      <c r="N7" s="6">
        <v>93.26</v>
      </c>
      <c r="O7" s="6">
        <v>111.155</v>
      </c>
      <c r="P7" s="6">
        <v>103.437</v>
      </c>
      <c r="Q7" s="7">
        <f>SUM(M7:P7)</f>
        <v>385.52200000000005</v>
      </c>
    </row>
    <row r="8" spans="2:17" x14ac:dyDescent="0.25">
      <c r="B8" s="8"/>
      <c r="C8" s="11"/>
      <c r="D8" s="11"/>
      <c r="E8" s="11"/>
      <c r="F8" s="11"/>
      <c r="G8" s="12"/>
      <c r="H8" s="11"/>
      <c r="I8" s="11"/>
      <c r="J8" s="11"/>
      <c r="K8" s="11"/>
      <c r="L8" s="12"/>
      <c r="M8" s="11"/>
      <c r="N8" s="11"/>
      <c r="O8" s="11"/>
      <c r="P8" s="11"/>
      <c r="Q8" s="12"/>
    </row>
    <row r="9" spans="2:17" x14ac:dyDescent="0.25">
      <c r="B9" s="8" t="s">
        <v>16</v>
      </c>
      <c r="C9" s="6">
        <v>71.980403999999993</v>
      </c>
      <c r="D9" s="6">
        <v>75.349282000000002</v>
      </c>
      <c r="E9" s="6">
        <v>78.879097000000002</v>
      </c>
      <c r="F9" s="6">
        <v>81.968040000000002</v>
      </c>
      <c r="G9" s="7">
        <f>SUM(C9:F9)</f>
        <v>308.17682300000001</v>
      </c>
      <c r="H9" s="6">
        <v>84.950411000000003</v>
      </c>
      <c r="I9" s="6">
        <v>89.210601999999994</v>
      </c>
      <c r="J9" s="6">
        <v>91.659755000000004</v>
      </c>
      <c r="K9" s="6">
        <v>94.796323000000001</v>
      </c>
      <c r="L9" s="7">
        <f>SUM(H9:K9)</f>
        <v>360.61709099999996</v>
      </c>
      <c r="M9" s="6">
        <v>99.772000000000006</v>
      </c>
      <c r="N9" s="6">
        <v>106.48</v>
      </c>
      <c r="O9" s="6">
        <v>109.557</v>
      </c>
      <c r="P9" s="6">
        <v>111.938</v>
      </c>
      <c r="Q9" s="7">
        <f>SUM(M9:P9)</f>
        <v>427.74700000000001</v>
      </c>
    </row>
    <row r="10" spans="2:17" x14ac:dyDescent="0.25">
      <c r="B10" s="8"/>
      <c r="C10" s="6"/>
      <c r="D10" s="6"/>
      <c r="E10" s="6"/>
      <c r="F10" s="6"/>
      <c r="G10" s="7"/>
      <c r="H10" s="6"/>
      <c r="I10" s="6"/>
      <c r="J10" s="6"/>
      <c r="K10" s="6"/>
      <c r="L10" s="7"/>
      <c r="M10" s="6"/>
      <c r="N10" s="6"/>
      <c r="O10" s="6"/>
      <c r="P10" s="6"/>
      <c r="Q10" s="7"/>
    </row>
    <row r="11" spans="2:17" x14ac:dyDescent="0.25">
      <c r="B11" s="68" t="s">
        <v>17</v>
      </c>
      <c r="C11" s="6">
        <v>13.674383000000001</v>
      </c>
      <c r="D11" s="6">
        <v>13.474437</v>
      </c>
      <c r="E11" s="6">
        <v>14.093400000000001</v>
      </c>
      <c r="F11" s="6">
        <v>18.038806999999998</v>
      </c>
      <c r="G11" s="7">
        <f>SUM(C11:F11)</f>
        <v>59.281027000000002</v>
      </c>
      <c r="H11" s="6">
        <v>15.206910000000001</v>
      </c>
      <c r="I11" s="6">
        <v>18.709949999999999</v>
      </c>
      <c r="J11" s="6">
        <v>19.243241999999999</v>
      </c>
      <c r="K11" s="6">
        <v>24.909229</v>
      </c>
      <c r="L11" s="7">
        <f>SUM(H11:K11)</f>
        <v>78.069330999999991</v>
      </c>
      <c r="M11" s="6">
        <v>24.332000000000001</v>
      </c>
      <c r="N11" s="6">
        <v>26.401</v>
      </c>
      <c r="O11" s="6">
        <v>28.652999999999999</v>
      </c>
      <c r="P11" s="6">
        <f>32.477+2.466643</f>
        <v>34.943642999999994</v>
      </c>
      <c r="Q11" s="7">
        <f>SUM(M11:P11)</f>
        <v>114.32964299999999</v>
      </c>
    </row>
    <row r="12" spans="2:17" x14ac:dyDescent="0.25">
      <c r="B12" s="13"/>
      <c r="C12" s="14"/>
      <c r="D12" s="14"/>
      <c r="E12" s="14"/>
      <c r="F12" s="14"/>
      <c r="G12" s="15"/>
      <c r="H12" s="14"/>
      <c r="I12" s="14"/>
      <c r="J12" s="14"/>
      <c r="K12" s="14"/>
      <c r="L12" s="15"/>
      <c r="M12" s="14"/>
      <c r="N12" s="14"/>
      <c r="O12" s="14"/>
      <c r="P12" s="14"/>
      <c r="Q12" s="15"/>
    </row>
    <row r="13" spans="2:17" ht="13.8" thickBot="1" x14ac:dyDescent="0.3">
      <c r="B13" s="16" t="s">
        <v>18</v>
      </c>
      <c r="C13" s="17">
        <f>C9+C7+C5+C11</f>
        <v>369.05817499999995</v>
      </c>
      <c r="D13" s="17">
        <f>D9+D7+D5+D11</f>
        <v>392.82736400000005</v>
      </c>
      <c r="E13" s="17">
        <f>E9+E7+E5+E11</f>
        <v>401.04268299999995</v>
      </c>
      <c r="F13" s="17">
        <f>F9+F7+F5+F11</f>
        <v>451.15929200000005</v>
      </c>
      <c r="G13" s="17">
        <f>SUM(C13:F13)</f>
        <v>1614.0875140000001</v>
      </c>
      <c r="H13" s="17">
        <f>H9+H7+H5+H11</f>
        <v>414.27245099999999</v>
      </c>
      <c r="I13" s="18">
        <f>I9+I7+I5+I11</f>
        <v>458.43248999999997</v>
      </c>
      <c r="J13" s="18">
        <f>J9+J7+J5+J11</f>
        <v>472.23260100000005</v>
      </c>
      <c r="K13" s="18">
        <f>K9+K7+K5+K11</f>
        <v>529.72381699999994</v>
      </c>
      <c r="L13" s="17">
        <f>SUM(H13:K13)</f>
        <v>1874.6613590000002</v>
      </c>
      <c r="M13" s="17">
        <f>M9+M7+M5+M11</f>
        <v>490.87400000000002</v>
      </c>
      <c r="N13" s="17">
        <f>N9+N7+N5+N11</f>
        <v>530.79099999999994</v>
      </c>
      <c r="O13" s="17">
        <f>O9+O7+O5+O11</f>
        <v>565.34699999999998</v>
      </c>
      <c r="P13" s="17">
        <f>P9+P7+P5+P11</f>
        <v>619.36564299999998</v>
      </c>
      <c r="Q13" s="17">
        <f>SUM(M13:P13)</f>
        <v>2206.3776429999998</v>
      </c>
    </row>
    <row r="14" spans="2:17" ht="13.8" thickBot="1" x14ac:dyDescent="0.3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2:17" ht="13.8" x14ac:dyDescent="0.25">
      <c r="B15" s="2" t="s">
        <v>19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4" t="s">
        <v>8</v>
      </c>
      <c r="J15" s="4" t="s">
        <v>9</v>
      </c>
      <c r="K15" s="4" t="s">
        <v>10</v>
      </c>
      <c r="L15" s="3" t="s">
        <v>11</v>
      </c>
      <c r="M15" s="3" t="s">
        <v>12</v>
      </c>
      <c r="N15" s="3" t="s">
        <v>13</v>
      </c>
      <c r="O15" s="3" t="s">
        <v>64</v>
      </c>
      <c r="P15" s="3" t="s">
        <v>76</v>
      </c>
      <c r="Q15" s="3" t="s">
        <v>75</v>
      </c>
    </row>
    <row r="16" spans="2:17" x14ac:dyDescent="0.25">
      <c r="B16" s="5" t="s">
        <v>14</v>
      </c>
      <c r="C16" s="20">
        <f t="shared" ref="C16:L16" si="0">C5/C$13</f>
        <v>0.64011005048187875</v>
      </c>
      <c r="D16" s="20">
        <f t="shared" si="0"/>
        <v>0.62262549260697631</v>
      </c>
      <c r="E16" s="20">
        <f t="shared" si="0"/>
        <v>0.62534255965966601</v>
      </c>
      <c r="F16" s="20">
        <f t="shared" si="0"/>
        <v>0.62865284488034001</v>
      </c>
      <c r="G16" s="20">
        <f t="shared" si="0"/>
        <v>0.62898312487658581</v>
      </c>
      <c r="H16" s="20">
        <f t="shared" si="0"/>
        <v>0.61773454252694204</v>
      </c>
      <c r="I16" s="21">
        <f t="shared" si="0"/>
        <v>0.61027204487622599</v>
      </c>
      <c r="J16" s="21">
        <f t="shared" si="0"/>
        <v>0.58676556513301792</v>
      </c>
      <c r="K16" s="21">
        <f t="shared" si="0"/>
        <v>0.6126907863763279</v>
      </c>
      <c r="L16" s="20">
        <f t="shared" si="0"/>
        <v>0.60668326129935446</v>
      </c>
      <c r="M16" s="20">
        <f>M5/M$13</f>
        <v>0.58894950639064203</v>
      </c>
      <c r="N16" s="20">
        <f>N5/N$13</f>
        <v>0.57395472040784412</v>
      </c>
      <c r="O16" s="20">
        <f>O5/O$13</f>
        <v>0.55891691297557078</v>
      </c>
      <c r="P16" s="20">
        <f>P5/P$13</f>
        <v>0.59584674121163683</v>
      </c>
      <c r="Q16" s="20">
        <f t="shared" ref="Q16" si="1">Q5/Q$13</f>
        <v>0.57958301202746554</v>
      </c>
    </row>
    <row r="17" spans="2:17" x14ac:dyDescent="0.25">
      <c r="B17" s="8"/>
      <c r="C17" s="9"/>
      <c r="D17" s="9"/>
      <c r="E17" s="9"/>
      <c r="F17" s="9"/>
      <c r="G17" s="9"/>
      <c r="H17" s="9"/>
      <c r="I17" s="22"/>
      <c r="J17" s="22"/>
      <c r="K17" s="22"/>
      <c r="L17" s="9"/>
      <c r="M17" s="9"/>
      <c r="N17" s="9"/>
      <c r="O17" s="9"/>
      <c r="P17" s="9"/>
      <c r="Q17" s="9"/>
    </row>
    <row r="18" spans="2:17" x14ac:dyDescent="0.25">
      <c r="B18" s="5" t="s">
        <v>15</v>
      </c>
      <c r="C18" s="20">
        <f t="shared" ref="C18:L18" si="2">C7/C$13</f>
        <v>0.12779974585307591</v>
      </c>
      <c r="D18" s="20">
        <f t="shared" si="2"/>
        <v>0.15126062852383163</v>
      </c>
      <c r="E18" s="20">
        <f t="shared" si="2"/>
        <v>0.14283050285697396</v>
      </c>
      <c r="F18" s="20">
        <f t="shared" si="2"/>
        <v>0.1496807752548738</v>
      </c>
      <c r="G18" s="20">
        <f t="shared" si="2"/>
        <v>0.14336016703738655</v>
      </c>
      <c r="H18" s="20">
        <f t="shared" si="2"/>
        <v>0.14049866666127891</v>
      </c>
      <c r="I18" s="21">
        <f t="shared" si="2"/>
        <v>0.15431586205855521</v>
      </c>
      <c r="J18" s="21">
        <f t="shared" si="2"/>
        <v>0.17838619108806505</v>
      </c>
      <c r="K18" s="21">
        <f t="shared" si="2"/>
        <v>0.16133192478298558</v>
      </c>
      <c r="L18" s="20">
        <f t="shared" si="2"/>
        <v>0.1593083830614124</v>
      </c>
      <c r="M18" s="20">
        <f>M7/M$13</f>
        <v>0.15822797703687708</v>
      </c>
      <c r="N18" s="20">
        <f>N7/N$13</f>
        <v>0.17570004012878895</v>
      </c>
      <c r="O18" s="20">
        <f>O7/O$13</f>
        <v>0.196613761106011</v>
      </c>
      <c r="P18" s="20">
        <f>P7/P$13</f>
        <v>0.16700474294793907</v>
      </c>
      <c r="Q18" s="20">
        <f t="shared" ref="Q18" si="3">Q7/Q$13</f>
        <v>0.17473074077917497</v>
      </c>
    </row>
    <row r="19" spans="2:17" x14ac:dyDescent="0.25">
      <c r="B19" s="8"/>
      <c r="C19" s="9"/>
      <c r="D19" s="9"/>
      <c r="E19" s="9"/>
      <c r="F19" s="9"/>
      <c r="G19" s="9"/>
      <c r="H19" s="9"/>
      <c r="I19" s="22"/>
      <c r="J19" s="22"/>
      <c r="K19" s="22"/>
      <c r="L19" s="9"/>
      <c r="M19" s="9"/>
      <c r="N19" s="9"/>
      <c r="O19" s="9"/>
      <c r="P19" s="9"/>
      <c r="Q19" s="9"/>
    </row>
    <row r="20" spans="2:17" x14ac:dyDescent="0.25">
      <c r="B20" s="8" t="s">
        <v>16</v>
      </c>
      <c r="C20" s="20">
        <f t="shared" ref="C20:L20" si="4">C9/C$13</f>
        <v>0.19503809663611976</v>
      </c>
      <c r="D20" s="20">
        <f t="shared" si="4"/>
        <v>0.19181271190669902</v>
      </c>
      <c r="E20" s="20">
        <f t="shared" si="4"/>
        <v>0.19668504212555352</v>
      </c>
      <c r="F20" s="20">
        <f t="shared" si="4"/>
        <v>0.18168314706904007</v>
      </c>
      <c r="G20" s="20">
        <f t="shared" si="4"/>
        <v>0.19092943866239462</v>
      </c>
      <c r="H20" s="20">
        <f t="shared" si="4"/>
        <v>0.20505928114442734</v>
      </c>
      <c r="I20" s="21">
        <f t="shared" si="4"/>
        <v>0.19459921350687862</v>
      </c>
      <c r="J20" s="21">
        <f t="shared" si="4"/>
        <v>0.19409874457185136</v>
      </c>
      <c r="K20" s="21">
        <f t="shared" si="4"/>
        <v>0.17895423984683703</v>
      </c>
      <c r="L20" s="20">
        <f t="shared" si="4"/>
        <v>0.1923638577542153</v>
      </c>
      <c r="M20" s="20">
        <f>M9/M$13</f>
        <v>0.2032537881411523</v>
      </c>
      <c r="N20" s="20">
        <f>N9/N$13</f>
        <v>0.20060626498942147</v>
      </c>
      <c r="O20" s="20">
        <f>O9/O$13</f>
        <v>0.19378717849391613</v>
      </c>
      <c r="P20" s="20">
        <f>P9/P$13</f>
        <v>0.18073007643402655</v>
      </c>
      <c r="Q20" s="20">
        <f t="shared" ref="Q20" si="5">Q9/Q$13</f>
        <v>0.19386844376214524</v>
      </c>
    </row>
    <row r="21" spans="2:17" x14ac:dyDescent="0.25">
      <c r="B21" s="8"/>
      <c r="C21" s="20"/>
      <c r="D21" s="20"/>
      <c r="E21" s="20"/>
      <c r="F21" s="20"/>
      <c r="G21" s="9"/>
      <c r="H21" s="20"/>
      <c r="I21" s="21"/>
      <c r="J21" s="21"/>
      <c r="K21" s="21"/>
      <c r="L21" s="9"/>
      <c r="M21" s="9"/>
      <c r="N21" s="9"/>
      <c r="O21" s="9"/>
      <c r="P21" s="9"/>
      <c r="Q21" s="9"/>
    </row>
    <row r="22" spans="2:17" x14ac:dyDescent="0.25">
      <c r="B22" s="68" t="s">
        <v>17</v>
      </c>
      <c r="C22" s="20">
        <f t="shared" ref="C22:L22" si="6">C11/C$13</f>
        <v>3.7052107028925731E-2</v>
      </c>
      <c r="D22" s="20">
        <f t="shared" si="6"/>
        <v>3.4301166962492968E-2</v>
      </c>
      <c r="E22" s="20">
        <f t="shared" si="6"/>
        <v>3.5141895357806596E-2</v>
      </c>
      <c r="F22" s="20">
        <f t="shared" si="6"/>
        <v>3.9983232795746115E-2</v>
      </c>
      <c r="G22" s="20">
        <f t="shared" si="6"/>
        <v>3.6727269423632997E-2</v>
      </c>
      <c r="H22" s="20">
        <f t="shared" si="6"/>
        <v>3.6707509667351743E-2</v>
      </c>
      <c r="I22" s="21">
        <f t="shared" si="6"/>
        <v>4.0812879558340204E-2</v>
      </c>
      <c r="J22" s="21">
        <f t="shared" si="6"/>
        <v>4.074949920706554E-2</v>
      </c>
      <c r="K22" s="21">
        <f t="shared" si="6"/>
        <v>4.702304899384957E-2</v>
      </c>
      <c r="L22" s="20">
        <f t="shared" si="6"/>
        <v>4.1644497885017742E-2</v>
      </c>
      <c r="M22" s="20">
        <f>M11/M$13</f>
        <v>4.9568728431328611E-2</v>
      </c>
      <c r="N22" s="20">
        <f>N11/N$13</f>
        <v>4.9738974473945492E-2</v>
      </c>
      <c r="O22" s="20">
        <f>O11/O$13</f>
        <v>5.0682147424502118E-2</v>
      </c>
      <c r="P22" s="20">
        <f>P11/P$13</f>
        <v>5.6418439406397611E-2</v>
      </c>
      <c r="Q22" s="20">
        <f t="shared" ref="Q22" si="7">Q11/Q$13</f>
        <v>5.1817803431214338E-2</v>
      </c>
    </row>
    <row r="23" spans="2:17" x14ac:dyDescent="0.25">
      <c r="B23" s="13"/>
      <c r="C23" s="23"/>
      <c r="D23" s="23"/>
      <c r="E23" s="23"/>
      <c r="F23" s="23"/>
      <c r="G23" s="9"/>
      <c r="H23" s="23"/>
      <c r="I23" s="24"/>
      <c r="J23" s="24"/>
      <c r="K23" s="24"/>
      <c r="L23" s="9"/>
      <c r="M23" s="9"/>
      <c r="N23" s="9"/>
      <c r="O23" s="9"/>
      <c r="P23" s="9"/>
      <c r="Q23" s="9"/>
    </row>
    <row r="24" spans="2:17" ht="13.8" thickBot="1" x14ac:dyDescent="0.3">
      <c r="B24" s="16" t="s">
        <v>20</v>
      </c>
      <c r="C24" s="25">
        <f t="shared" ref="C24:L24" si="8">C13/C$13</f>
        <v>1</v>
      </c>
      <c r="D24" s="25">
        <f t="shared" si="8"/>
        <v>1</v>
      </c>
      <c r="E24" s="25">
        <f t="shared" si="8"/>
        <v>1</v>
      </c>
      <c r="F24" s="25">
        <f t="shared" si="8"/>
        <v>1</v>
      </c>
      <c r="G24" s="25">
        <f t="shared" si="8"/>
        <v>1</v>
      </c>
      <c r="H24" s="25">
        <f t="shared" si="8"/>
        <v>1</v>
      </c>
      <c r="I24" s="26">
        <f t="shared" si="8"/>
        <v>1</v>
      </c>
      <c r="J24" s="26">
        <f t="shared" si="8"/>
        <v>1</v>
      </c>
      <c r="K24" s="26">
        <f t="shared" si="8"/>
        <v>1</v>
      </c>
      <c r="L24" s="25">
        <f t="shared" si="8"/>
        <v>1</v>
      </c>
      <c r="M24" s="25">
        <f>M13/M$13</f>
        <v>1</v>
      </c>
      <c r="N24" s="25">
        <f>N13/N$13</f>
        <v>1</v>
      </c>
      <c r="O24" s="25">
        <f>O13/O$13</f>
        <v>1</v>
      </c>
      <c r="P24" s="25">
        <f>P13/P$13</f>
        <v>1</v>
      </c>
      <c r="Q24" s="25">
        <f t="shared" ref="Q24" si="9">Q13/Q$13</f>
        <v>1</v>
      </c>
    </row>
    <row r="26" spans="2:17" x14ac:dyDescent="0.25">
      <c r="B26" s="27" t="s">
        <v>21</v>
      </c>
      <c r="C26" s="27"/>
      <c r="D26" s="27"/>
      <c r="E26" s="27"/>
      <c r="F26" s="27"/>
      <c r="G26" s="28"/>
      <c r="L26" s="28"/>
    </row>
    <row r="27" spans="2:17" x14ac:dyDescent="0.25">
      <c r="B27" t="s">
        <v>74</v>
      </c>
      <c r="C27" s="29"/>
      <c r="D27" s="29"/>
      <c r="E27" s="29"/>
      <c r="F27" s="29"/>
      <c r="G27" s="29"/>
      <c r="L27" s="29"/>
    </row>
    <row r="28" spans="2:17" x14ac:dyDescent="0.25">
      <c r="B28" s="27"/>
      <c r="C28" s="27"/>
      <c r="D28" s="27"/>
      <c r="E28" s="27"/>
      <c r="F28" s="27"/>
      <c r="G28" s="27"/>
      <c r="L28" s="27"/>
    </row>
    <row r="29" spans="2:17" x14ac:dyDescent="0.25">
      <c r="B29" s="27" t="s">
        <v>22</v>
      </c>
      <c r="C29" s="27"/>
      <c r="D29" s="27"/>
      <c r="E29" s="27"/>
      <c r="F29" s="27"/>
      <c r="G29" s="27"/>
      <c r="L29" s="27"/>
    </row>
  </sheetData>
  <pageMargins left="0.75" right="0.75" top="1" bottom="1" header="0.5" footer="0.5"/>
  <pageSetup scale="64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5"/>
  <sheetViews>
    <sheetView showGridLines="0" tabSelected="1" topLeftCell="A19" workbookViewId="0">
      <selection activeCell="D29" sqref="D29"/>
    </sheetView>
  </sheetViews>
  <sheetFormatPr defaultColWidth="8.88671875" defaultRowHeight="13.8" x14ac:dyDescent="0.3"/>
  <cols>
    <col min="1" max="1" width="1.6640625" style="30" customWidth="1"/>
    <col min="2" max="2" width="22.33203125" style="30" customWidth="1"/>
    <col min="3" max="3" width="20.6640625" style="30" customWidth="1"/>
    <col min="4" max="4" width="27" style="30" customWidth="1"/>
    <col min="5" max="5" width="3.109375" style="30" customWidth="1"/>
    <col min="6" max="6" width="25.88671875" style="30" customWidth="1"/>
    <col min="7" max="7" width="1.6640625" style="30" customWidth="1"/>
    <col min="8" max="16384" width="8.88671875" style="30"/>
  </cols>
  <sheetData>
    <row r="1" spans="2:6" ht="9" customHeight="1" thickBot="1" x14ac:dyDescent="0.35"/>
    <row r="2" spans="2:6" ht="15.75" customHeight="1" thickBot="1" x14ac:dyDescent="0.35">
      <c r="B2" s="69" t="s">
        <v>77</v>
      </c>
      <c r="C2" s="70"/>
      <c r="D2" s="70"/>
      <c r="E2" s="70"/>
      <c r="F2" s="71"/>
    </row>
    <row r="3" spans="2:6" ht="14.4" thickBot="1" x14ac:dyDescent="0.35">
      <c r="B3" s="31"/>
      <c r="C3" s="31"/>
      <c r="D3" s="31"/>
      <c r="E3" s="31"/>
      <c r="F3" s="31"/>
    </row>
    <row r="4" spans="2:6" ht="5.25" customHeight="1" x14ac:dyDescent="0.3">
      <c r="B4" s="32"/>
      <c r="C4" s="33"/>
      <c r="D4" s="33"/>
      <c r="E4" s="33"/>
      <c r="F4" s="34"/>
    </row>
    <row r="5" spans="2:6" x14ac:dyDescent="0.3">
      <c r="B5" s="35" t="s">
        <v>23</v>
      </c>
      <c r="C5" s="36"/>
      <c r="D5" s="37" t="s">
        <v>24</v>
      </c>
      <c r="E5" s="38"/>
      <c r="F5" s="39"/>
    </row>
    <row r="6" spans="2:6" x14ac:dyDescent="0.3">
      <c r="B6" s="35" t="s">
        <v>25</v>
      </c>
      <c r="E6" s="38"/>
      <c r="F6" s="40"/>
    </row>
    <row r="7" spans="2:6" ht="5.25" customHeight="1" thickBot="1" x14ac:dyDescent="0.35">
      <c r="B7" s="41"/>
      <c r="C7" s="42"/>
      <c r="D7" s="42"/>
      <c r="E7" s="42"/>
      <c r="F7" s="43"/>
    </row>
    <row r="8" spans="2:6" ht="5.25" customHeight="1" x14ac:dyDescent="0.3">
      <c r="B8" s="31"/>
      <c r="C8" s="31"/>
      <c r="D8" s="31"/>
      <c r="E8" s="31"/>
      <c r="F8" s="31"/>
    </row>
    <row r="9" spans="2:6" ht="6" customHeight="1" x14ac:dyDescent="0.3">
      <c r="C9" s="44"/>
      <c r="D9" s="45"/>
      <c r="E9" s="45"/>
      <c r="F9" s="46"/>
    </row>
    <row r="10" spans="2:6" x14ac:dyDescent="0.3">
      <c r="C10" s="47" t="s">
        <v>26</v>
      </c>
      <c r="D10" s="48" t="s">
        <v>84</v>
      </c>
      <c r="E10" s="48"/>
      <c r="F10" s="49" t="s">
        <v>34</v>
      </c>
    </row>
    <row r="11" spans="2:6" x14ac:dyDescent="0.3">
      <c r="C11" s="47"/>
      <c r="D11" s="48"/>
      <c r="E11" s="48"/>
      <c r="F11" s="49"/>
    </row>
    <row r="12" spans="2:6" x14ac:dyDescent="0.3">
      <c r="C12" s="47" t="s">
        <v>28</v>
      </c>
      <c r="D12" s="48" t="s">
        <v>30</v>
      </c>
      <c r="E12" s="48"/>
      <c r="F12" s="49" t="s">
        <v>31</v>
      </c>
    </row>
    <row r="13" spans="2:6" x14ac:dyDescent="0.3">
      <c r="C13" s="47"/>
      <c r="D13" s="48"/>
      <c r="E13" s="48"/>
      <c r="F13" s="49"/>
    </row>
    <row r="14" spans="2:6" x14ac:dyDescent="0.3">
      <c r="C14" s="47" t="s">
        <v>29</v>
      </c>
      <c r="D14" s="48" t="s">
        <v>27</v>
      </c>
      <c r="E14" s="48"/>
      <c r="F14" s="49"/>
    </row>
    <row r="15" spans="2:6" ht="5.25" customHeight="1" x14ac:dyDescent="0.3">
      <c r="C15" s="50"/>
      <c r="D15" s="51"/>
      <c r="E15" s="51"/>
      <c r="F15" s="52"/>
    </row>
    <row r="16" spans="2:6" ht="6" customHeight="1" x14ac:dyDescent="0.3">
      <c r="B16" s="31"/>
      <c r="C16" s="31"/>
      <c r="D16" s="31"/>
      <c r="E16" s="31"/>
      <c r="F16" s="31"/>
    </row>
    <row r="17" spans="2:6" ht="5.25" customHeight="1" x14ac:dyDescent="0.3">
      <c r="C17" s="44"/>
      <c r="D17" s="45"/>
      <c r="E17" s="45"/>
      <c r="F17" s="46"/>
    </row>
    <row r="18" spans="2:6" x14ac:dyDescent="0.3">
      <c r="C18" s="47"/>
      <c r="D18" s="48" t="s">
        <v>33</v>
      </c>
      <c r="E18" s="38"/>
      <c r="F18" s="49" t="s">
        <v>34</v>
      </c>
    </row>
    <row r="19" spans="2:6" x14ac:dyDescent="0.3">
      <c r="C19" s="47" t="s">
        <v>32</v>
      </c>
      <c r="D19" s="48"/>
      <c r="E19" s="38"/>
      <c r="F19" s="49"/>
    </row>
    <row r="20" spans="2:6" x14ac:dyDescent="0.3">
      <c r="C20" s="47" t="s">
        <v>28</v>
      </c>
      <c r="D20" s="48" t="s">
        <v>78</v>
      </c>
      <c r="E20" s="38"/>
      <c r="F20" s="49" t="s">
        <v>31</v>
      </c>
    </row>
    <row r="21" spans="2:6" x14ac:dyDescent="0.3">
      <c r="C21" s="47" t="s">
        <v>29</v>
      </c>
      <c r="D21" s="38"/>
      <c r="E21" s="38"/>
      <c r="F21" s="53"/>
    </row>
    <row r="22" spans="2:6" x14ac:dyDescent="0.3">
      <c r="C22" s="47"/>
      <c r="D22" s="48" t="s">
        <v>79</v>
      </c>
      <c r="E22" s="38"/>
      <c r="F22" s="53"/>
    </row>
    <row r="23" spans="2:6" ht="6" customHeight="1" x14ac:dyDescent="0.3">
      <c r="C23" s="50"/>
      <c r="D23" s="54"/>
      <c r="E23" s="54"/>
      <c r="F23" s="55"/>
    </row>
    <row r="24" spans="2:6" x14ac:dyDescent="0.3">
      <c r="B24" s="31"/>
      <c r="C24" s="31"/>
      <c r="D24" s="31"/>
      <c r="E24" s="31"/>
      <c r="F24" s="31"/>
    </row>
    <row r="25" spans="2:6" ht="14.4" thickBot="1" x14ac:dyDescent="0.35">
      <c r="B25" s="31"/>
      <c r="C25" s="31"/>
      <c r="D25" s="31"/>
      <c r="E25" s="31"/>
      <c r="F25" s="31"/>
    </row>
    <row r="26" spans="2:6" ht="5.25" customHeight="1" x14ac:dyDescent="0.3">
      <c r="B26" s="32"/>
      <c r="C26" s="33"/>
      <c r="D26" s="33"/>
      <c r="E26" s="33"/>
      <c r="F26" s="34"/>
    </row>
    <row r="27" spans="2:6" x14ac:dyDescent="0.3">
      <c r="B27" s="35" t="s">
        <v>35</v>
      </c>
      <c r="E27" s="56"/>
      <c r="F27" s="57"/>
    </row>
    <row r="28" spans="2:6" x14ac:dyDescent="0.3">
      <c r="B28" s="35" t="s">
        <v>36</v>
      </c>
      <c r="C28" s="36"/>
      <c r="D28" s="37" t="s">
        <v>85</v>
      </c>
      <c r="E28" s="56"/>
      <c r="F28" s="57"/>
    </row>
    <row r="29" spans="2:6" x14ac:dyDescent="0.3">
      <c r="B29" s="35" t="s">
        <v>25</v>
      </c>
      <c r="C29" s="36"/>
      <c r="D29" s="56"/>
      <c r="E29" s="56"/>
      <c r="F29" s="57"/>
    </row>
    <row r="30" spans="2:6" ht="7.5" customHeight="1" thickBot="1" x14ac:dyDescent="0.35">
      <c r="B30" s="41"/>
      <c r="C30" s="42"/>
      <c r="D30" s="42"/>
      <c r="E30" s="42"/>
      <c r="F30" s="43"/>
    </row>
    <row r="31" spans="2:6" ht="6.75" customHeight="1" x14ac:dyDescent="0.3">
      <c r="B31" s="31"/>
      <c r="C31" s="31"/>
      <c r="D31" s="31"/>
      <c r="E31" s="31"/>
      <c r="F31" s="31"/>
    </row>
    <row r="32" spans="2:6" ht="5.25" customHeight="1" x14ac:dyDescent="0.3">
      <c r="C32" s="44"/>
      <c r="D32" s="45"/>
      <c r="E32" s="45"/>
      <c r="F32" s="46"/>
    </row>
    <row r="33" spans="2:6" x14ac:dyDescent="0.3">
      <c r="C33" s="47" t="s">
        <v>70</v>
      </c>
      <c r="D33" s="48" t="s">
        <v>37</v>
      </c>
      <c r="E33" s="48"/>
      <c r="F33" s="49" t="s">
        <v>38</v>
      </c>
    </row>
    <row r="34" spans="2:6" x14ac:dyDescent="0.3">
      <c r="C34" s="47" t="s">
        <v>39</v>
      </c>
      <c r="D34" s="48"/>
      <c r="E34" s="48"/>
      <c r="F34" s="49"/>
    </row>
    <row r="35" spans="2:6" x14ac:dyDescent="0.3">
      <c r="C35" s="47"/>
      <c r="D35" s="48" t="s">
        <v>80</v>
      </c>
      <c r="E35" s="48"/>
      <c r="F35" s="49" t="s">
        <v>81</v>
      </c>
    </row>
    <row r="36" spans="2:6" x14ac:dyDescent="0.3">
      <c r="C36" s="47"/>
      <c r="D36" s="48"/>
      <c r="E36" s="48"/>
      <c r="F36" s="49"/>
    </row>
    <row r="37" spans="2:6" x14ac:dyDescent="0.3">
      <c r="C37" s="47" t="s">
        <v>29</v>
      </c>
      <c r="D37" s="48" t="s">
        <v>82</v>
      </c>
      <c r="E37" s="48"/>
      <c r="F37" s="49" t="s">
        <v>40</v>
      </c>
    </row>
    <row r="38" spans="2:6" x14ac:dyDescent="0.3">
      <c r="C38" s="47"/>
      <c r="D38" s="48"/>
      <c r="E38" s="48"/>
      <c r="F38" s="49"/>
    </row>
    <row r="39" spans="2:6" x14ac:dyDescent="0.3">
      <c r="C39" s="47"/>
      <c r="D39" s="48" t="s">
        <v>83</v>
      </c>
      <c r="E39" s="48"/>
      <c r="F39" s="49" t="s">
        <v>41</v>
      </c>
    </row>
    <row r="40" spans="2:6" ht="5.25" customHeight="1" x14ac:dyDescent="0.3">
      <c r="C40" s="50"/>
      <c r="D40" s="51"/>
      <c r="E40" s="51"/>
      <c r="F40" s="52"/>
    </row>
    <row r="41" spans="2:6" ht="7.5" customHeight="1" x14ac:dyDescent="0.3">
      <c r="B41" s="31"/>
      <c r="C41" s="31"/>
      <c r="D41" s="36"/>
      <c r="E41" s="36"/>
      <c r="F41" s="36"/>
    </row>
    <row r="42" spans="2:6" ht="4.5" customHeight="1" x14ac:dyDescent="0.3">
      <c r="C42" s="44"/>
      <c r="D42" s="45"/>
      <c r="E42" s="45"/>
      <c r="F42" s="46"/>
    </row>
    <row r="43" spans="2:6" x14ac:dyDescent="0.3">
      <c r="C43" s="47" t="s">
        <v>42</v>
      </c>
      <c r="D43" s="48" t="s">
        <v>43</v>
      </c>
      <c r="E43" s="48"/>
      <c r="F43" s="49" t="s">
        <v>66</v>
      </c>
    </row>
    <row r="44" spans="2:6" x14ac:dyDescent="0.3">
      <c r="C44" s="47" t="s">
        <v>44</v>
      </c>
      <c r="D44" s="48"/>
      <c r="E44" s="48"/>
      <c r="F44" s="49"/>
    </row>
    <row r="45" spans="2:6" x14ac:dyDescent="0.3">
      <c r="C45" s="47" t="s">
        <v>68</v>
      </c>
      <c r="D45" s="48" t="s">
        <v>65</v>
      </c>
      <c r="E45" s="48"/>
      <c r="F45" s="49" t="s">
        <v>34</v>
      </c>
    </row>
    <row r="46" spans="2:6" x14ac:dyDescent="0.3">
      <c r="C46" s="47" t="s">
        <v>69</v>
      </c>
      <c r="D46" s="48"/>
      <c r="E46" s="48"/>
      <c r="F46" s="49"/>
    </row>
    <row r="47" spans="2:6" x14ac:dyDescent="0.3">
      <c r="C47" s="47" t="s">
        <v>29</v>
      </c>
      <c r="D47" s="48" t="s">
        <v>71</v>
      </c>
      <c r="E47" s="48"/>
      <c r="F47" s="49"/>
    </row>
    <row r="48" spans="2:6" ht="5.25" customHeight="1" x14ac:dyDescent="0.3">
      <c r="C48" s="50"/>
      <c r="D48" s="51"/>
      <c r="E48" s="51"/>
      <c r="F48" s="52"/>
    </row>
    <row r="49" spans="2:6" s="74" customFormat="1" ht="5.25" customHeight="1" x14ac:dyDescent="0.3">
      <c r="D49" s="73"/>
      <c r="E49" s="73"/>
      <c r="F49" s="73"/>
    </row>
    <row r="50" spans="2:6" ht="14.4" thickBot="1" x14ac:dyDescent="0.35">
      <c r="B50" s="31"/>
      <c r="C50" s="31"/>
      <c r="D50" s="36"/>
      <c r="E50" s="36"/>
      <c r="F50" s="36"/>
    </row>
    <row r="51" spans="2:6" ht="6" customHeight="1" x14ac:dyDescent="0.3">
      <c r="B51" s="32"/>
      <c r="C51" s="33"/>
      <c r="D51" s="58"/>
      <c r="E51" s="58"/>
      <c r="F51" s="59"/>
    </row>
    <row r="52" spans="2:6" x14ac:dyDescent="0.3">
      <c r="B52" s="35" t="s">
        <v>45</v>
      </c>
      <c r="C52" s="31"/>
      <c r="D52" s="38" t="s">
        <v>46</v>
      </c>
      <c r="E52" s="38"/>
      <c r="F52" s="39" t="s">
        <v>47</v>
      </c>
    </row>
    <row r="53" spans="2:6" x14ac:dyDescent="0.3">
      <c r="B53" s="35" t="s">
        <v>48</v>
      </c>
      <c r="C53" s="31"/>
      <c r="D53" s="38"/>
      <c r="E53" s="38"/>
      <c r="F53" s="39"/>
    </row>
    <row r="54" spans="2:6" x14ac:dyDescent="0.3">
      <c r="B54" s="35"/>
      <c r="C54" s="31"/>
      <c r="D54" s="38" t="s">
        <v>49</v>
      </c>
      <c r="E54" s="38"/>
      <c r="F54" s="39" t="s">
        <v>50</v>
      </c>
    </row>
    <row r="55" spans="2:6" x14ac:dyDescent="0.3">
      <c r="B55" s="35"/>
      <c r="C55" s="31"/>
      <c r="D55" s="38"/>
      <c r="E55" s="38"/>
      <c r="F55" s="39"/>
    </row>
    <row r="56" spans="2:6" x14ac:dyDescent="0.3">
      <c r="B56" s="60"/>
      <c r="C56" s="31"/>
      <c r="D56" s="38" t="s">
        <v>51</v>
      </c>
      <c r="E56" s="38"/>
      <c r="F56" s="39" t="s">
        <v>52</v>
      </c>
    </row>
    <row r="57" spans="2:6" x14ac:dyDescent="0.3">
      <c r="B57" s="60"/>
      <c r="C57" s="31"/>
      <c r="D57" s="38"/>
      <c r="E57" s="38"/>
      <c r="F57" s="39"/>
    </row>
    <row r="58" spans="2:6" x14ac:dyDescent="0.3">
      <c r="B58" s="60"/>
      <c r="C58" s="31"/>
      <c r="D58" s="36" t="s">
        <v>72</v>
      </c>
      <c r="E58" s="38"/>
      <c r="F58" s="39"/>
    </row>
    <row r="59" spans="2:6" ht="9.9" customHeight="1" thickBot="1" x14ac:dyDescent="0.35">
      <c r="B59" s="41"/>
      <c r="C59" s="42"/>
      <c r="D59" s="61"/>
      <c r="E59" s="61"/>
      <c r="F59" s="62"/>
    </row>
    <row r="60" spans="2:6" ht="11.25" customHeight="1" x14ac:dyDescent="0.3"/>
    <row r="61" spans="2:6" ht="12" customHeight="1" thickBot="1" x14ac:dyDescent="0.35"/>
    <row r="62" spans="2:6" ht="9.9" customHeight="1" x14ac:dyDescent="0.3">
      <c r="B62" s="63"/>
      <c r="C62" s="33"/>
      <c r="D62" s="33"/>
      <c r="E62" s="33"/>
      <c r="F62" s="34"/>
    </row>
    <row r="63" spans="2:6" x14ac:dyDescent="0.3">
      <c r="B63" s="35"/>
      <c r="C63" s="31"/>
      <c r="D63" s="36" t="s">
        <v>53</v>
      </c>
      <c r="E63" s="36"/>
      <c r="F63" s="64" t="s">
        <v>54</v>
      </c>
    </row>
    <row r="64" spans="2:6" x14ac:dyDescent="0.3">
      <c r="B64" s="35" t="s">
        <v>73</v>
      </c>
      <c r="C64" s="31"/>
      <c r="D64" s="31"/>
      <c r="E64" s="36"/>
      <c r="F64" s="64"/>
    </row>
    <row r="65" spans="2:6" x14ac:dyDescent="0.3">
      <c r="B65" s="35" t="s">
        <v>55</v>
      </c>
      <c r="C65" s="31"/>
      <c r="D65" s="36" t="s">
        <v>56</v>
      </c>
      <c r="E65" s="36"/>
      <c r="F65" s="64" t="s">
        <v>57</v>
      </c>
    </row>
    <row r="66" spans="2:6" x14ac:dyDescent="0.3">
      <c r="B66" s="35"/>
      <c r="C66" s="31"/>
      <c r="D66" s="36"/>
      <c r="E66" s="36"/>
      <c r="F66" s="64"/>
    </row>
    <row r="67" spans="2:6" x14ac:dyDescent="0.3">
      <c r="B67" s="35"/>
      <c r="C67" s="31"/>
      <c r="D67" s="36" t="s">
        <v>67</v>
      </c>
      <c r="E67" s="36"/>
      <c r="F67" s="64" t="s">
        <v>59</v>
      </c>
    </row>
    <row r="68" spans="2:6" x14ac:dyDescent="0.3">
      <c r="B68" s="35"/>
      <c r="C68" s="31"/>
      <c r="D68" s="36"/>
      <c r="E68" s="36"/>
      <c r="F68" s="64"/>
    </row>
    <row r="69" spans="2:6" x14ac:dyDescent="0.3">
      <c r="B69" s="35"/>
      <c r="C69" s="31"/>
      <c r="D69" s="36" t="s">
        <v>58</v>
      </c>
      <c r="E69" s="36"/>
      <c r="F69" s="64" t="s">
        <v>61</v>
      </c>
    </row>
    <row r="70" spans="2:6" x14ac:dyDescent="0.3">
      <c r="B70" s="35"/>
      <c r="C70" s="31"/>
      <c r="D70" s="36"/>
      <c r="E70" s="36"/>
      <c r="F70" s="64"/>
    </row>
    <row r="71" spans="2:6" x14ac:dyDescent="0.3">
      <c r="B71" s="35"/>
      <c r="C71" s="31"/>
      <c r="D71" s="36" t="s">
        <v>60</v>
      </c>
      <c r="E71" s="36"/>
      <c r="F71" s="64" t="s">
        <v>63</v>
      </c>
    </row>
    <row r="72" spans="2:6" x14ac:dyDescent="0.3">
      <c r="B72" s="35"/>
      <c r="C72" s="31"/>
      <c r="D72" s="36"/>
      <c r="E72" s="36"/>
      <c r="F72" s="64"/>
    </row>
    <row r="73" spans="2:6" x14ac:dyDescent="0.3">
      <c r="B73" s="35"/>
      <c r="C73" s="31"/>
      <c r="D73" s="36" t="s">
        <v>62</v>
      </c>
      <c r="E73" s="36"/>
      <c r="F73" s="64"/>
    </row>
    <row r="74" spans="2:6" ht="14.4" thickBot="1" x14ac:dyDescent="0.35">
      <c r="B74" s="65"/>
      <c r="C74" s="42"/>
      <c r="D74" s="66"/>
      <c r="E74" s="66"/>
      <c r="F74" s="67"/>
    </row>
    <row r="75" spans="2:6" x14ac:dyDescent="0.3">
      <c r="B75" s="31"/>
      <c r="C75" s="31"/>
      <c r="D75" s="36"/>
      <c r="E75" s="36"/>
      <c r="F75" s="36"/>
    </row>
  </sheetData>
  <pageMargins left="0.75" right="0.75" top="1" bottom="1" header="0.5" footer="0.5"/>
  <pageSetup scale="86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 by Prod Group</vt:lpstr>
      <vt:lpstr>Product Groupings_class</vt:lpstr>
    </vt:vector>
  </TitlesOfParts>
  <Company>Citrix Systems,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sharonru</dc:creator>
  <cp:lastModifiedBy>Citrix Systems, Inc</cp:lastModifiedBy>
  <cp:lastPrinted>2011-10-26T21:56:02Z</cp:lastPrinted>
  <dcterms:created xsi:type="dcterms:W3CDTF">2011-01-25T15:55:58Z</dcterms:created>
  <dcterms:modified xsi:type="dcterms:W3CDTF">2012-03-27T20:09:28Z</dcterms:modified>
</cp:coreProperties>
</file>