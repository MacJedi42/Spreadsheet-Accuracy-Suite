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5" windowWidth="16275" windowHeight="11565"/>
  </bookViews>
  <sheets>
    <sheet name="Table 2.3" sheetId="1" r:id="rId1"/>
  </sheets>
  <externalReferences>
    <externalReference r:id="rId2"/>
    <externalReference r:id="rId3"/>
  </externalReferences>
  <definedNames>
    <definedName name="_xlnm.Print_Area" localSheetId="0">'Table 2.3'!$A$3:$L$60</definedName>
  </definedNames>
  <calcPr calcId="145621"/>
</workbook>
</file>

<file path=xl/calcChain.xml><?xml version="1.0" encoding="utf-8"?>
<calcChain xmlns="http://schemas.openxmlformats.org/spreadsheetml/2006/main">
  <c r="I59" i="1" l="1"/>
  <c r="E43" i="1"/>
  <c r="D43" i="1"/>
  <c r="C43" i="1"/>
  <c r="B43" i="1"/>
  <c r="F41" i="1"/>
  <c r="E41" i="1"/>
  <c r="D41" i="1"/>
  <c r="C41" i="1"/>
  <c r="B41" i="1"/>
  <c r="F40" i="1"/>
  <c r="E40" i="1"/>
  <c r="D40" i="1"/>
  <c r="C40" i="1"/>
  <c r="B40" i="1"/>
  <c r="F39" i="1"/>
  <c r="E39" i="1"/>
  <c r="D39" i="1"/>
  <c r="C39" i="1"/>
  <c r="B39" i="1"/>
  <c r="F38" i="1"/>
  <c r="E38" i="1"/>
  <c r="D38" i="1"/>
  <c r="C38" i="1"/>
  <c r="B38" i="1"/>
  <c r="F34" i="1"/>
  <c r="E34" i="1"/>
  <c r="D34" i="1"/>
  <c r="C34" i="1"/>
  <c r="B34" i="1"/>
  <c r="F33" i="1"/>
  <c r="E33" i="1"/>
  <c r="D33" i="1"/>
  <c r="C33" i="1"/>
  <c r="B33" i="1"/>
  <c r="F32" i="1"/>
  <c r="E32" i="1"/>
  <c r="D32" i="1"/>
  <c r="C32" i="1"/>
  <c r="B32" i="1"/>
  <c r="F31" i="1"/>
  <c r="E31" i="1"/>
  <c r="D31" i="1"/>
  <c r="C31" i="1"/>
  <c r="B31" i="1"/>
  <c r="E27" i="1"/>
  <c r="D27" i="1"/>
  <c r="C27" i="1"/>
  <c r="B27" i="1"/>
  <c r="F25" i="1"/>
  <c r="E25" i="1"/>
  <c r="D25" i="1"/>
  <c r="C25" i="1"/>
  <c r="B25" i="1"/>
  <c r="F24" i="1"/>
  <c r="E24" i="1"/>
  <c r="D24" i="1"/>
  <c r="C24" i="1"/>
  <c r="B24" i="1"/>
  <c r="F23" i="1"/>
  <c r="E23" i="1"/>
  <c r="D23" i="1"/>
  <c r="C23" i="1"/>
  <c r="B23" i="1"/>
  <c r="F22" i="1"/>
  <c r="E22" i="1"/>
  <c r="D22" i="1"/>
  <c r="C22" i="1"/>
  <c r="B22" i="1"/>
</calcChain>
</file>

<file path=xl/sharedStrings.xml><?xml version="1.0" encoding="utf-8"?>
<sst xmlns="http://schemas.openxmlformats.org/spreadsheetml/2006/main" count="30" uniqueCount="21">
  <si>
    <t>Monthly Statistical Bulletin</t>
  </si>
  <si>
    <t>2.3 Wage price index</t>
  </si>
  <si>
    <t>Quarter</t>
  </si>
  <si>
    <t>2008–09</t>
  </si>
  <si>
    <t>2009–10</t>
  </si>
  <si>
    <t>2010–11</t>
  </si>
  <si>
    <t>2011–12</t>
  </si>
  <si>
    <t>2012–13</t>
  </si>
  <si>
    <t>Wage price index (a) (b) – index</t>
  </si>
  <si>
    <t>September</t>
  </si>
  <si>
    <t>December</t>
  </si>
  <si>
    <t>March</t>
  </si>
  <si>
    <t>June</t>
  </si>
  <si>
    <t>Annual average</t>
  </si>
  <si>
    <t>Quarterly change (b) – per cent</t>
  </si>
  <si>
    <t>Annual change (b) – per cent</t>
  </si>
  <si>
    <t>(a) Total hourly rate of pay excluding bonuses, all sectors. Index base: 2008–09 = 100.0.</t>
  </si>
  <si>
    <t>(b) Quarterly figures are seasonally adjusted.</t>
  </si>
  <si>
    <r>
      <t xml:space="preserve">Source: ABS, </t>
    </r>
    <r>
      <rPr>
        <i/>
        <sz val="8"/>
        <color rgb="FF0070C0"/>
        <rFont val="Times New Roman"/>
        <family val="1"/>
      </rPr>
      <t xml:space="preserve">Wage </t>
    </r>
    <r>
      <rPr>
        <sz val="8"/>
        <color rgb="FF0070C0"/>
        <rFont val="Times New Roman"/>
        <family val="1"/>
      </rPr>
      <t>P</t>
    </r>
    <r>
      <rPr>
        <i/>
        <sz val="8"/>
        <color indexed="30"/>
        <rFont val="Times New Roman"/>
        <family val="1"/>
      </rPr>
      <t>rice Index, Australia</t>
    </r>
    <r>
      <rPr>
        <sz val="8"/>
        <color indexed="30"/>
        <rFont val="Times New Roman"/>
        <family val="1"/>
      </rPr>
      <t>, Cat. no. 6345.0</t>
    </r>
  </si>
  <si>
    <r>
      <t xml:space="preserve">Note: Prior to September quarter 2012, this publication was known as </t>
    </r>
    <r>
      <rPr>
        <i/>
        <sz val="8"/>
        <rFont val="Times New Roman"/>
        <family val="1"/>
      </rPr>
      <t>Labour Price Index</t>
    </r>
    <r>
      <rPr>
        <sz val="8"/>
        <rFont val="Times New Roman"/>
        <family val="1"/>
      </rPr>
      <t>. The catalogue number (6345.0) remains unchanged.</t>
    </r>
  </si>
  <si>
    <t>Update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</si>
</sst>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20" x14ac:knownFonts="1">
    <font>
      <sz val="10"/>
      <name val="Arial"/>
    </font>
    <font>
      <u/>
      <sz val="7.5"/>
      <color indexed="12"/>
      <name val="Arial"/>
      <family val="2"/>
    </font>
    <font>
      <u/>
      <sz val="11"/>
      <color indexed="12"/>
      <name val="Times New Roman"/>
      <family val="1"/>
    </font>
    <font>
      <b/>
      <sz val="18"/>
      <color rgb="FF0070C0"/>
      <name val="Times New Roman"/>
      <family val="1"/>
    </font>
    <font>
      <sz val="10"/>
      <name val="Times New Roman"/>
      <family val="1"/>
    </font>
    <font>
      <b/>
      <sz val="10"/>
      <color rgb="FF0070C0"/>
      <name val="Times New Roman"/>
      <family val="1"/>
    </font>
    <font>
      <b/>
      <sz val="9"/>
      <color rgb="FF0070C0"/>
      <name val="Times New Roman"/>
      <family val="1"/>
    </font>
    <font>
      <sz val="8"/>
      <name val="Arial"/>
      <family val="2"/>
    </font>
    <font>
      <b/>
      <sz val="10"/>
      <name val="Times New Roman"/>
      <family val="1"/>
    </font>
    <font>
      <sz val="9"/>
      <name val="Times New Roman"/>
      <family val="1"/>
    </font>
    <font>
      <sz val="9"/>
      <color rgb="FF0070C0"/>
      <name val="Times New Roman"/>
      <family val="1"/>
    </font>
    <font>
      <b/>
      <sz val="9"/>
      <name val="Times New Roman"/>
      <family val="1"/>
    </font>
    <font>
      <sz val="10"/>
      <color rgb="FF0070C0"/>
      <name val="Times New Roman"/>
      <family val="1"/>
    </font>
    <font>
      <sz val="8"/>
      <name val="Times New Roman"/>
      <family val="1"/>
    </font>
    <font>
      <sz val="8"/>
      <color rgb="FF0070C0"/>
      <name val="Times New Roman"/>
      <family val="1"/>
    </font>
    <font>
      <i/>
      <sz val="8"/>
      <color rgb="FF0070C0"/>
      <name val="Times New Roman"/>
      <family val="1"/>
    </font>
    <font>
      <i/>
      <sz val="8"/>
      <color indexed="30"/>
      <name val="Times New Roman"/>
      <family val="1"/>
    </font>
    <font>
      <sz val="8"/>
      <color indexed="30"/>
      <name val="Times New Roman"/>
      <family val="1"/>
    </font>
    <font>
      <i/>
      <sz val="8"/>
      <name val="Times New Roman"/>
      <family val="1"/>
    </font>
    <font>
      <b/>
      <sz val="8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0070C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0070C0"/>
      </top>
      <bottom style="thin">
        <color rgb="FF0070C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3">
    <xf numFmtId="0" fontId="0" fillId="0" borderId="0" xfId="0"/>
    <xf numFmtId="0" fontId="2" fillId="0" borderId="0" xfId="1" applyFont="1" applyAlignment="1" applyProtection="1"/>
    <xf numFmtId="0" fontId="3" fillId="0" borderId="1" xfId="0" applyFont="1" applyBorder="1"/>
    <xf numFmtId="0" fontId="4" fillId="0" borderId="1" xfId="0" applyFont="1" applyBorder="1"/>
    <xf numFmtId="0" fontId="0" fillId="0" borderId="1" xfId="0" applyBorder="1"/>
    <xf numFmtId="0" fontId="4" fillId="0" borderId="0" xfId="0" applyFont="1"/>
    <xf numFmtId="0" fontId="0" fillId="0" borderId="2" xfId="0" applyBorder="1"/>
    <xf numFmtId="0" fontId="5" fillId="0" borderId="3" xfId="0" applyFont="1" applyBorder="1"/>
    <xf numFmtId="0" fontId="5" fillId="0" borderId="3" xfId="0" applyFont="1" applyBorder="1" applyAlignment="1">
      <alignment horizontal="right"/>
    </xf>
    <xf numFmtId="0" fontId="6" fillId="0" borderId="0" xfId="0" quotePrefix="1" applyFont="1" applyAlignment="1">
      <alignment horizontal="left"/>
    </xf>
    <xf numFmtId="0" fontId="7" fillId="0" borderId="0" xfId="0" applyFont="1" applyAlignment="1">
      <alignment horizontal="left"/>
    </xf>
    <xf numFmtId="0" fontId="7" fillId="0" borderId="2" xfId="0" applyFont="1" applyBorder="1" applyAlignment="1">
      <alignment horizontal="left"/>
    </xf>
    <xf numFmtId="0" fontId="8" fillId="0" borderId="0" xfId="0" applyFont="1" applyAlignment="1">
      <alignment horizontal="centerContinuous"/>
    </xf>
    <xf numFmtId="0" fontId="9" fillId="0" borderId="0" xfId="0" applyFont="1"/>
    <xf numFmtId="164" fontId="9" fillId="0" borderId="0" xfId="0" applyNumberFormat="1" applyFont="1"/>
    <xf numFmtId="0" fontId="10" fillId="0" borderId="1" xfId="0" applyFont="1" applyBorder="1"/>
    <xf numFmtId="164" fontId="9" fillId="0" borderId="1" xfId="0" applyNumberFormat="1" applyFont="1" applyBorder="1"/>
    <xf numFmtId="0" fontId="9" fillId="0" borderId="1" xfId="0" applyFont="1" applyBorder="1"/>
    <xf numFmtId="0" fontId="6" fillId="0" borderId="0" xfId="0" applyFont="1" applyAlignment="1">
      <alignment horizontal="left"/>
    </xf>
    <xf numFmtId="0" fontId="9" fillId="0" borderId="0" xfId="0" applyFont="1" applyAlignment="1">
      <alignment horizontal="centerContinuous"/>
    </xf>
    <xf numFmtId="0" fontId="11" fillId="0" borderId="0" xfId="0" applyFont="1" applyAlignment="1">
      <alignment horizontal="centerContinuous"/>
    </xf>
    <xf numFmtId="0" fontId="9" fillId="0" borderId="0" xfId="0" applyFont="1" applyBorder="1"/>
    <xf numFmtId="164" fontId="9" fillId="0" borderId="0" xfId="0" applyNumberFormat="1" applyFont="1" applyBorder="1"/>
    <xf numFmtId="0" fontId="12" fillId="0" borderId="1" xfId="0" applyFont="1" applyBorder="1"/>
    <xf numFmtId="0" fontId="4" fillId="0" borderId="0" xfId="0" applyFont="1" applyBorder="1"/>
    <xf numFmtId="0" fontId="13" fillId="0" borderId="0" xfId="0" quotePrefix="1" applyFont="1" applyAlignment="1">
      <alignment horizontal="left"/>
    </xf>
    <xf numFmtId="0" fontId="13" fillId="0" borderId="0" xfId="0" applyFont="1" applyBorder="1"/>
    <xf numFmtId="0" fontId="13" fillId="0" borderId="0" xfId="0" applyFont="1"/>
    <xf numFmtId="0" fontId="14" fillId="0" borderId="0" xfId="1" applyFont="1" applyAlignment="1" applyProtection="1"/>
    <xf numFmtId="0" fontId="1" fillId="0" borderId="0" xfId="1" applyAlignment="1" applyProtection="1"/>
    <xf numFmtId="0" fontId="13" fillId="0" borderId="0" xfId="0" applyFont="1" applyAlignment="1">
      <alignment horizontal="left" vertical="top" wrapText="1"/>
    </xf>
    <xf numFmtId="0" fontId="19" fillId="0" borderId="0" xfId="0" quotePrefix="1" applyFont="1" applyAlignment="1">
      <alignment horizontal="left"/>
    </xf>
    <xf numFmtId="0" fontId="0" fillId="0" borderId="0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AU" sz="900" b="1"/>
              <a:t>Annual change – per cent </a:t>
            </a:r>
          </a:p>
        </c:rich>
      </c:tx>
      <c:layout>
        <c:manualLayout>
          <c:xMode val="edge"/>
          <c:yMode val="edge"/>
          <c:x val="1.2499951153748454E-2"/>
          <c:y val="1.730094692227071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0000109863415334E-2"/>
          <c:y val="0.12110747105365872"/>
          <c:w val="0.84500103149541506"/>
          <c:h val="0.73702546669799596"/>
        </c:manualLayout>
      </c:layout>
      <c:lineChart>
        <c:grouping val="standard"/>
        <c:varyColors val="0"/>
        <c:ser>
          <c:idx val="0"/>
          <c:order val="0"/>
          <c:spPr>
            <a:ln w="31750">
              <a:solidFill>
                <a:srgbClr val="0070C0"/>
              </a:solidFill>
              <a:prstDash val="solid"/>
            </a:ln>
          </c:spPr>
          <c:marker>
            <c:symbol val="none"/>
          </c:marker>
          <c:cat>
            <c:strRef>
              <c:f>'[1]Data 2.3'!$A$49:$A$69</c:f>
              <c:strCache>
                <c:ptCount val="21"/>
                <c:pt idx="0">
                  <c:v>Jun 08</c:v>
                </c:pt>
                <c:pt idx="1">
                  <c:v>Sep-08</c:v>
                </c:pt>
                <c:pt idx="2">
                  <c:v>Dec-08</c:v>
                </c:pt>
                <c:pt idx="3">
                  <c:v>Mar-09</c:v>
                </c:pt>
                <c:pt idx="4">
                  <c:v>Jun 09</c:v>
                </c:pt>
                <c:pt idx="5">
                  <c:v>Sep-09</c:v>
                </c:pt>
                <c:pt idx="6">
                  <c:v>Dec-09</c:v>
                </c:pt>
                <c:pt idx="7">
                  <c:v>Mar-10</c:v>
                </c:pt>
                <c:pt idx="8">
                  <c:v>Jun 10</c:v>
                </c:pt>
                <c:pt idx="9">
                  <c:v>Sep-10</c:v>
                </c:pt>
                <c:pt idx="10">
                  <c:v>Dec-10</c:v>
                </c:pt>
                <c:pt idx="11">
                  <c:v>Mar-11</c:v>
                </c:pt>
                <c:pt idx="12">
                  <c:v>Jun 11</c:v>
                </c:pt>
                <c:pt idx="13">
                  <c:v>Sep-11</c:v>
                </c:pt>
                <c:pt idx="14">
                  <c:v>Dec-11</c:v>
                </c:pt>
                <c:pt idx="15">
                  <c:v>Mar-12</c:v>
                </c:pt>
                <c:pt idx="16">
                  <c:v>Jun-12</c:v>
                </c:pt>
                <c:pt idx="17">
                  <c:v>Sep-12</c:v>
                </c:pt>
                <c:pt idx="18">
                  <c:v>Dec-12</c:v>
                </c:pt>
                <c:pt idx="19">
                  <c:v>Mar-13</c:v>
                </c:pt>
                <c:pt idx="20">
                  <c:v>Jun-13</c:v>
                </c:pt>
              </c:strCache>
            </c:strRef>
          </c:cat>
          <c:val>
            <c:numRef>
              <c:f>'[1]Data 2.3'!$I$49:$I$69</c:f>
              <c:numCache>
                <c:formatCode>0.0</c:formatCode>
                <c:ptCount val="21"/>
                <c:pt idx="0">
                  <c:v>4.2</c:v>
                </c:pt>
                <c:pt idx="1">
                  <c:v>4.0999999999999996</c:v>
                </c:pt>
                <c:pt idx="2">
                  <c:v>4.3</c:v>
                </c:pt>
                <c:pt idx="3">
                  <c:v>4.2</c:v>
                </c:pt>
                <c:pt idx="4">
                  <c:v>3.8</c:v>
                </c:pt>
                <c:pt idx="5">
                  <c:v>3.3</c:v>
                </c:pt>
                <c:pt idx="6">
                  <c:v>2.9</c:v>
                </c:pt>
                <c:pt idx="7">
                  <c:v>2.9</c:v>
                </c:pt>
                <c:pt idx="8">
                  <c:v>3</c:v>
                </c:pt>
                <c:pt idx="9">
                  <c:v>3.5</c:v>
                </c:pt>
                <c:pt idx="10">
                  <c:v>3.9</c:v>
                </c:pt>
                <c:pt idx="11">
                  <c:v>3.9</c:v>
                </c:pt>
                <c:pt idx="12">
                  <c:v>3.9</c:v>
                </c:pt>
                <c:pt idx="13">
                  <c:v>3.6</c:v>
                </c:pt>
                <c:pt idx="14">
                  <c:v>3.6</c:v>
                </c:pt>
                <c:pt idx="15">
                  <c:v>3.6</c:v>
                </c:pt>
                <c:pt idx="16">
                  <c:v>3.7</c:v>
                </c:pt>
                <c:pt idx="17">
                  <c:v>3.7</c:v>
                </c:pt>
                <c:pt idx="18">
                  <c:v>3.4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8095872"/>
        <c:axId val="118097408"/>
      </c:lineChart>
      <c:catAx>
        <c:axId val="1180958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1">
                <a:solidFill>
                  <a:srgbClr val="0070C0"/>
                </a:solidFill>
              </a:defRPr>
            </a:pPr>
            <a:endParaRPr lang="en-US"/>
          </a:p>
        </c:txPr>
        <c:crossAx val="118097408"/>
        <c:crosses val="autoZero"/>
        <c:auto val="0"/>
        <c:lblAlgn val="ctr"/>
        <c:lblOffset val="100"/>
        <c:tickLblSkip val="4"/>
        <c:tickMarkSkip val="1"/>
        <c:noMultiLvlLbl val="0"/>
      </c:catAx>
      <c:valAx>
        <c:axId val="118097408"/>
        <c:scaling>
          <c:orientation val="minMax"/>
          <c:max val="4.4000000000000004"/>
          <c:min val="2.8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1"/>
            </a:pPr>
            <a:endParaRPr lang="en-US"/>
          </a:p>
        </c:txPr>
        <c:crossAx val="118095872"/>
        <c:crosses val="autoZero"/>
        <c:crossBetween val="midCat"/>
        <c:majorUnit val="0.4"/>
      </c:valAx>
      <c:spPr>
        <a:noFill/>
        <a:ln w="25400">
          <a:noFill/>
        </a:ln>
      </c:spPr>
    </c:plotArea>
    <c:plotVisOnly val="1"/>
    <c:dispBlanksAs val="gap"/>
    <c:showDLblsOverMax val="0"/>
  </c:chart>
  <c:spPr>
    <a:gradFill>
      <a:gsLst>
        <a:gs pos="0">
          <a:srgbClr val="4F81BD">
            <a:tint val="66000"/>
            <a:satMod val="160000"/>
          </a:srgbClr>
        </a:gs>
        <a:gs pos="50000">
          <a:srgbClr val="4F81BD">
            <a:tint val="44500"/>
            <a:satMod val="160000"/>
          </a:srgbClr>
        </a:gs>
        <a:gs pos="100000">
          <a:srgbClr val="4F81BD">
            <a:tint val="23500"/>
            <a:satMod val="160000"/>
          </a:srgbClr>
        </a:gs>
      </a:gsLst>
      <a:lin ang="7800000" scaled="0"/>
    </a:gradFill>
    <a:ln w="9525">
      <a:noFill/>
    </a:ln>
  </c:spPr>
  <c:txPr>
    <a:bodyPr/>
    <a:lstStyle/>
    <a:p>
      <a:pPr>
        <a:defRPr sz="1200" b="0" i="0" u="none" strike="noStrike" baseline="0">
          <a:solidFill>
            <a:srgbClr val="0070C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044" r="0.75000000000001044" t="1" header="0.5" footer="0.5"/>
    <c:pageSetup paperSize="9" orientation="landscape" horizontalDpi="-4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76200</xdr:rowOff>
    </xdr:from>
    <xdr:to>
      <xdr:col>6</xdr:col>
      <xdr:colOff>9525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19050</xdr:colOff>
          <xdr:row>4</xdr:row>
          <xdr:rowOff>19050</xdr:rowOff>
        </xdr:from>
        <xdr:to>
          <xdr:col>11</xdr:col>
          <xdr:colOff>0</xdr:colOff>
          <xdr:row>49</xdr:row>
          <xdr:rowOff>95250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SB%20Chapter%202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2.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2.1"/>
      <sheetName val="Data 2.1"/>
      <sheetName val="Table 2.2"/>
      <sheetName val="Data 2.2"/>
      <sheetName val="Table 2.3"/>
      <sheetName val="Data 2.3"/>
      <sheetName val="Table 2.4"/>
      <sheetName val="Data 2.4"/>
      <sheetName val="Table 2.5"/>
      <sheetName val="Data 2.5"/>
      <sheetName val="Module1"/>
      <sheetName val="Module2"/>
    </sheetNames>
    <sheetDataSet>
      <sheetData sheetId="0"/>
      <sheetData sheetId="1"/>
      <sheetData sheetId="2"/>
      <sheetData sheetId="3"/>
      <sheetData sheetId="4"/>
      <sheetData sheetId="5">
        <row r="46">
          <cell r="G46">
            <v>94.8</v>
          </cell>
        </row>
        <row r="47">
          <cell r="G47">
            <v>95.7</v>
          </cell>
        </row>
        <row r="48">
          <cell r="G48">
            <v>96.6</v>
          </cell>
        </row>
        <row r="49">
          <cell r="A49" t="str">
            <v>Jun 08</v>
          </cell>
          <cell r="G49">
            <v>97.5</v>
          </cell>
          <cell r="I49">
            <v>4.2</v>
          </cell>
        </row>
        <row r="50">
          <cell r="A50">
            <v>39692</v>
          </cell>
          <cell r="B50">
            <v>98.6</v>
          </cell>
          <cell r="D50">
            <v>0.92118730808596894</v>
          </cell>
          <cell r="E50">
            <v>4.118268215417098</v>
          </cell>
          <cell r="G50">
            <v>98.6</v>
          </cell>
          <cell r="I50">
            <v>4.0999999999999996</v>
          </cell>
        </row>
        <row r="51">
          <cell r="A51">
            <v>39783</v>
          </cell>
          <cell r="B51">
            <v>99.7</v>
          </cell>
          <cell r="D51">
            <v>1.1156186612576224</v>
          </cell>
          <cell r="E51">
            <v>4.2887029288702916</v>
          </cell>
          <cell r="G51">
            <v>99.8</v>
          </cell>
          <cell r="I51">
            <v>4.3</v>
          </cell>
        </row>
        <row r="52">
          <cell r="A52">
            <v>39873</v>
          </cell>
          <cell r="B52">
            <v>100.6</v>
          </cell>
          <cell r="D52">
            <v>0.90270812437311942</v>
          </cell>
          <cell r="E52">
            <v>4.2487046632124326</v>
          </cell>
          <cell r="G52">
            <v>100.5</v>
          </cell>
          <cell r="I52">
            <v>4.2</v>
          </cell>
        </row>
        <row r="53">
          <cell r="A53" t="str">
            <v>Jun 09</v>
          </cell>
          <cell r="B53">
            <v>101.4</v>
          </cell>
          <cell r="D53">
            <v>0.79522862823062646</v>
          </cell>
          <cell r="E53">
            <v>3.7871033776867957</v>
          </cell>
          <cell r="G53">
            <v>101.1</v>
          </cell>
          <cell r="I53">
            <v>3.8</v>
          </cell>
        </row>
        <row r="54">
          <cell r="A54">
            <v>40057</v>
          </cell>
          <cell r="B54">
            <v>101.9</v>
          </cell>
          <cell r="D54">
            <v>0.4930966469427922</v>
          </cell>
          <cell r="E54">
            <v>3.3468559837728229</v>
          </cell>
          <cell r="G54">
            <v>102</v>
          </cell>
          <cell r="I54">
            <v>3.3</v>
          </cell>
        </row>
        <row r="55">
          <cell r="A55">
            <v>40148</v>
          </cell>
          <cell r="B55">
            <v>102.6</v>
          </cell>
          <cell r="D55">
            <v>0.68694798822372949</v>
          </cell>
          <cell r="E55">
            <v>2.9087261785355922</v>
          </cell>
          <cell r="G55">
            <v>102.7</v>
          </cell>
          <cell r="I55">
            <v>2.9</v>
          </cell>
        </row>
        <row r="56">
          <cell r="A56">
            <v>40238</v>
          </cell>
          <cell r="B56">
            <v>103.5</v>
          </cell>
          <cell r="D56">
            <v>0.87719298245614308</v>
          </cell>
          <cell r="E56">
            <v>2.8827037773359931</v>
          </cell>
          <cell r="G56">
            <v>103.6</v>
          </cell>
          <cell r="I56">
            <v>2.9</v>
          </cell>
        </row>
        <row r="57">
          <cell r="A57" t="str">
            <v>Jun 10</v>
          </cell>
          <cell r="B57">
            <v>104.4</v>
          </cell>
          <cell r="D57">
            <v>0.86956521739129933</v>
          </cell>
          <cell r="E57">
            <v>2.9585798816567976</v>
          </cell>
          <cell r="G57">
            <v>104.2</v>
          </cell>
          <cell r="I57">
            <v>3</v>
          </cell>
        </row>
        <row r="58">
          <cell r="A58">
            <v>40422</v>
          </cell>
          <cell r="B58">
            <v>105.5</v>
          </cell>
          <cell r="D58">
            <v>1.0536398467432928</v>
          </cell>
          <cell r="E58">
            <v>3.5328753680078373</v>
          </cell>
          <cell r="G58">
            <v>105.7</v>
          </cell>
          <cell r="I58">
            <v>3.5</v>
          </cell>
        </row>
        <row r="59">
          <cell r="A59">
            <v>40513</v>
          </cell>
          <cell r="B59">
            <v>106.6</v>
          </cell>
          <cell r="D59">
            <v>1.0426540284360186</v>
          </cell>
          <cell r="E59">
            <v>3.8986354775828458</v>
          </cell>
          <cell r="G59">
            <v>106.6</v>
          </cell>
          <cell r="I59">
            <v>3.9</v>
          </cell>
        </row>
        <row r="60">
          <cell r="A60">
            <v>40603</v>
          </cell>
          <cell r="B60">
            <v>107.5</v>
          </cell>
          <cell r="D60">
            <v>0.84427767354597894</v>
          </cell>
          <cell r="E60">
            <v>3.8647342995169032</v>
          </cell>
          <cell r="G60">
            <v>107.6</v>
          </cell>
          <cell r="I60">
            <v>3.9</v>
          </cell>
        </row>
        <row r="61">
          <cell r="A61" t="str">
            <v>Jun 11</v>
          </cell>
          <cell r="B61">
            <v>108.5</v>
          </cell>
          <cell r="D61">
            <v>0.9302325581395321</v>
          </cell>
          <cell r="E61">
            <v>3.9272030651340994</v>
          </cell>
          <cell r="G61">
            <v>108.2</v>
          </cell>
          <cell r="I61">
            <v>3.9</v>
          </cell>
        </row>
        <row r="62">
          <cell r="A62">
            <v>40787</v>
          </cell>
          <cell r="B62">
            <v>109.3</v>
          </cell>
          <cell r="D62">
            <v>0.73732718894008453</v>
          </cell>
          <cell r="E62">
            <v>3.6018957345971492</v>
          </cell>
          <cell r="G62">
            <v>109.5</v>
          </cell>
          <cell r="I62">
            <v>3.6</v>
          </cell>
        </row>
        <row r="63">
          <cell r="A63">
            <v>40878</v>
          </cell>
          <cell r="B63">
            <v>110.4</v>
          </cell>
          <cell r="D63">
            <v>1.0064043915828158</v>
          </cell>
          <cell r="E63">
            <v>3.5647279549718691</v>
          </cell>
          <cell r="G63">
            <v>110.5</v>
          </cell>
          <cell r="I63">
            <v>3.6</v>
          </cell>
        </row>
        <row r="64">
          <cell r="A64">
            <v>40969</v>
          </cell>
          <cell r="B64">
            <v>111.4</v>
          </cell>
          <cell r="D64">
            <v>0.90579710144926828</v>
          </cell>
          <cell r="E64">
            <v>3.6279069767441996</v>
          </cell>
          <cell r="G64">
            <v>111.4</v>
          </cell>
          <cell r="I64">
            <v>3.6</v>
          </cell>
        </row>
        <row r="65">
          <cell r="A65">
            <v>41061</v>
          </cell>
          <cell r="B65">
            <v>112.5</v>
          </cell>
          <cell r="D65">
            <v>0.98743267504488585</v>
          </cell>
          <cell r="E65">
            <v>3.6866359447004671</v>
          </cell>
          <cell r="G65">
            <v>112.2</v>
          </cell>
          <cell r="I65">
            <v>3.7</v>
          </cell>
        </row>
        <row r="66">
          <cell r="A66">
            <v>41153</v>
          </cell>
          <cell r="B66">
            <v>113.3</v>
          </cell>
          <cell r="D66">
            <v>0.71111111111110681</v>
          </cell>
          <cell r="E66">
            <v>3.6596523330283626</v>
          </cell>
          <cell r="I66">
            <v>3.7</v>
          </cell>
        </row>
        <row r="67">
          <cell r="A67">
            <v>41244</v>
          </cell>
          <cell r="B67">
            <v>114.2</v>
          </cell>
          <cell r="D67">
            <v>0.79435127978817466</v>
          </cell>
          <cell r="E67">
            <v>3.4420289855072506</v>
          </cell>
          <cell r="I67">
            <v>3.4</v>
          </cell>
        </row>
        <row r="68">
          <cell r="A68">
            <v>41334</v>
          </cell>
        </row>
        <row r="69">
          <cell r="A69">
            <v>41426</v>
          </cell>
        </row>
      </sheetData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.3a Table - Index"/>
      <sheetName val="2.3b Table - Quarterly change"/>
      <sheetName val="2.3c Table - Annual change"/>
      <sheetName val="2.3 Graph - Annual change"/>
      <sheetName val="2.3 Data"/>
    </sheetNames>
    <sheetDataSet>
      <sheetData sheetId="0">
        <row r="27">
          <cell r="B27" t="str">
            <v>15 May 2013</v>
          </cell>
        </row>
      </sheetData>
      <sheetData sheetId="1"/>
      <sheetData sheetId="2"/>
      <sheetData sheetId="3" refreshError="1"/>
      <sheetData sheetId="4">
        <row r="9">
          <cell r="B9">
            <v>66.7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7" Type="http://schemas.openxmlformats.org/officeDocument/2006/relationships/image" Target="../media/image1.emf"/><Relationship Id="rId2" Type="http://schemas.openxmlformats.org/officeDocument/2006/relationships/hyperlink" Target="http://www.abs.gov.au/AUSSTATS/abs@.nsf/second+level+view?ReadForm&amp;prodno=6345.0&amp;viewtitle=Labour%20Price%20Index,%20Australia~Dec%202007~Latest~20/02/2008&amp;&amp;tabname=Past%20Future%20Issues&amp;prodno=6345.0&amp;issue=Dec%202007&amp;num=&amp;view=&amp;" TargetMode="External"/><Relationship Id="rId1" Type="http://schemas.openxmlformats.org/officeDocument/2006/relationships/hyperlink" Target="http://www.aph.gov.au/library/pubs/MSB/index.htm" TargetMode="External"/><Relationship Id="rId6" Type="http://schemas.openxmlformats.org/officeDocument/2006/relationships/oleObject" Target="../embeddings/Microsoft_Word_97_-_2003_Document1.doc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60"/>
  <sheetViews>
    <sheetView tabSelected="1" zoomScaleNormal="100" workbookViewId="0"/>
  </sheetViews>
  <sheetFormatPr defaultRowHeight="12.75" x14ac:dyDescent="0.2"/>
  <cols>
    <col min="1" max="1" width="11.7109375" customWidth="1"/>
    <col min="7" max="8" width="1.7109375" customWidth="1"/>
    <col min="9" max="11" width="8.7109375" customWidth="1"/>
    <col min="12" max="12" width="1.7109375" customWidth="1"/>
  </cols>
  <sheetData>
    <row r="1" spans="1:11" ht="15" x14ac:dyDescent="0.25">
      <c r="A1" s="1" t="s">
        <v>0</v>
      </c>
    </row>
    <row r="3" spans="1:11" ht="22.9" customHeight="1" x14ac:dyDescent="0.3">
      <c r="A3" s="2" t="s">
        <v>1</v>
      </c>
      <c r="B3" s="3"/>
      <c r="C3" s="3"/>
      <c r="D3" s="3"/>
      <c r="E3" s="3"/>
      <c r="F3" s="3"/>
      <c r="G3" s="4"/>
      <c r="H3" s="4"/>
      <c r="I3" s="4"/>
      <c r="J3" s="4"/>
      <c r="K3" s="4"/>
    </row>
    <row r="4" spans="1:11" ht="15.6" customHeight="1" x14ac:dyDescent="0.2">
      <c r="A4" s="5"/>
      <c r="B4" s="5"/>
      <c r="C4" s="5"/>
      <c r="D4" s="5"/>
      <c r="E4" s="5"/>
      <c r="F4" s="5"/>
    </row>
    <row r="5" spans="1:11" ht="15.6" customHeight="1" x14ac:dyDescent="0.2">
      <c r="A5" s="5"/>
      <c r="B5" s="5"/>
      <c r="C5" s="5"/>
      <c r="D5" s="5"/>
      <c r="E5" s="5"/>
      <c r="F5" s="5"/>
      <c r="H5" s="6"/>
    </row>
    <row r="6" spans="1:11" ht="15.6" customHeight="1" x14ac:dyDescent="0.2">
      <c r="A6" s="5"/>
      <c r="B6" s="5"/>
      <c r="C6" s="5"/>
      <c r="D6" s="5"/>
      <c r="E6" s="5"/>
      <c r="F6" s="5"/>
      <c r="H6" s="6"/>
    </row>
    <row r="7" spans="1:11" ht="15.6" customHeight="1" x14ac:dyDescent="0.2">
      <c r="A7" s="5"/>
      <c r="B7" s="5"/>
      <c r="C7" s="5"/>
      <c r="D7" s="5"/>
      <c r="E7" s="5"/>
      <c r="F7" s="5"/>
      <c r="H7" s="6"/>
    </row>
    <row r="8" spans="1:11" ht="15.6" customHeight="1" x14ac:dyDescent="0.2">
      <c r="A8" s="5"/>
      <c r="B8" s="5"/>
      <c r="C8" s="5"/>
      <c r="D8" s="5"/>
      <c r="E8" s="5"/>
      <c r="F8" s="5"/>
      <c r="H8" s="6"/>
    </row>
    <row r="9" spans="1:11" ht="15.6" customHeight="1" x14ac:dyDescent="0.2">
      <c r="A9" s="5"/>
      <c r="B9" s="5"/>
      <c r="C9" s="5"/>
      <c r="D9" s="5"/>
      <c r="E9" s="5"/>
      <c r="F9" s="5"/>
      <c r="H9" s="6"/>
    </row>
    <row r="10" spans="1:11" ht="15.6" customHeight="1" x14ac:dyDescent="0.2">
      <c r="A10" s="5"/>
      <c r="B10" s="5"/>
      <c r="C10" s="5"/>
      <c r="D10" s="5"/>
      <c r="E10" s="5"/>
      <c r="F10" s="5"/>
      <c r="H10" s="6"/>
    </row>
    <row r="11" spans="1:11" ht="15.6" customHeight="1" x14ac:dyDescent="0.2">
      <c r="A11" s="5"/>
      <c r="B11" s="5"/>
      <c r="C11" s="5"/>
      <c r="D11" s="5"/>
      <c r="E11" s="5"/>
      <c r="F11" s="5"/>
      <c r="H11" s="6"/>
    </row>
    <row r="12" spans="1:11" ht="15.6" customHeight="1" x14ac:dyDescent="0.2">
      <c r="A12" s="5"/>
      <c r="B12" s="5"/>
      <c r="C12" s="5"/>
      <c r="D12" s="5"/>
      <c r="E12" s="5"/>
      <c r="F12" s="5"/>
      <c r="H12" s="6"/>
    </row>
    <row r="13" spans="1:11" ht="15.6" customHeight="1" x14ac:dyDescent="0.2">
      <c r="A13" s="5"/>
      <c r="B13" s="5"/>
      <c r="C13" s="5"/>
      <c r="D13" s="5"/>
      <c r="E13" s="5"/>
      <c r="F13" s="5"/>
      <c r="H13" s="6"/>
    </row>
    <row r="14" spans="1:11" ht="15.6" customHeight="1" x14ac:dyDescent="0.2">
      <c r="A14" s="5"/>
      <c r="B14" s="5"/>
      <c r="C14" s="5"/>
      <c r="D14" s="5"/>
      <c r="E14" s="5"/>
      <c r="F14" s="5"/>
      <c r="H14" s="6"/>
    </row>
    <row r="15" spans="1:11" ht="15.6" customHeight="1" x14ac:dyDescent="0.2">
      <c r="A15" s="5"/>
      <c r="B15" s="5"/>
      <c r="C15" s="5"/>
      <c r="D15" s="5"/>
      <c r="E15" s="5"/>
      <c r="F15" s="5"/>
      <c r="H15" s="6"/>
    </row>
    <row r="16" spans="1:11" ht="15.6" customHeight="1" x14ac:dyDescent="0.2">
      <c r="A16" s="5"/>
      <c r="B16" s="5"/>
      <c r="C16" s="5"/>
      <c r="D16" s="5"/>
      <c r="E16" s="5"/>
      <c r="F16" s="5"/>
      <c r="H16" s="6"/>
    </row>
    <row r="17" spans="1:9" ht="15.6" customHeight="1" x14ac:dyDescent="0.2">
      <c r="A17" s="5"/>
      <c r="B17" s="5"/>
      <c r="C17" s="5"/>
      <c r="D17" s="5"/>
      <c r="E17" s="5"/>
      <c r="F17" s="5"/>
      <c r="H17" s="6"/>
    </row>
    <row r="18" spans="1:9" ht="15.6" customHeight="1" x14ac:dyDescent="0.2">
      <c r="A18" s="5"/>
      <c r="B18" s="5"/>
      <c r="C18" s="5"/>
      <c r="D18" s="5"/>
      <c r="E18" s="5"/>
      <c r="F18" s="5"/>
      <c r="H18" s="6"/>
    </row>
    <row r="19" spans="1:9" ht="16.5" customHeight="1" x14ac:dyDescent="0.2">
      <c r="A19" s="7" t="s">
        <v>2</v>
      </c>
      <c r="B19" s="8" t="s">
        <v>3</v>
      </c>
      <c r="C19" s="8" t="s">
        <v>4</v>
      </c>
      <c r="D19" s="8" t="s">
        <v>5</v>
      </c>
      <c r="E19" s="8" t="s">
        <v>6</v>
      </c>
      <c r="F19" s="8" t="s">
        <v>7</v>
      </c>
      <c r="H19" s="6"/>
    </row>
    <row r="20" spans="1:9" s="10" customFormat="1" ht="19.899999999999999" customHeight="1" x14ac:dyDescent="0.2">
      <c r="A20" s="9" t="s">
        <v>8</v>
      </c>
      <c r="H20" s="11"/>
    </row>
    <row r="21" spans="1:9" ht="3" customHeight="1" x14ac:dyDescent="0.2">
      <c r="A21" s="12"/>
      <c r="H21" s="6"/>
    </row>
    <row r="22" spans="1:9" ht="11.1" customHeight="1" x14ac:dyDescent="0.2">
      <c r="A22" s="13" t="s">
        <v>9</v>
      </c>
      <c r="B22" s="14">
        <f>IF('[1]Data 2.3'!B50=0," ",'[1]Data 2.3'!B50)</f>
        <v>98.6</v>
      </c>
      <c r="C22" s="14">
        <f>IF('[1]Data 2.3'!B54=0," ",'[1]Data 2.3'!B54)</f>
        <v>101.9</v>
      </c>
      <c r="D22" s="14">
        <f>IF('[1]Data 2.3'!B58=0," ",'[1]Data 2.3'!B58)</f>
        <v>105.5</v>
      </c>
      <c r="E22" s="14">
        <f>IF('[1]Data 2.3'!B62=0," ",'[1]Data 2.3'!B62)</f>
        <v>109.3</v>
      </c>
      <c r="F22" s="14">
        <f>IF('[1]Data 2.3'!B66=0," ",'[1]Data 2.3'!B66)</f>
        <v>113.3</v>
      </c>
      <c r="H22" s="6"/>
    </row>
    <row r="23" spans="1:9" ht="11.1" customHeight="1" x14ac:dyDescent="0.2">
      <c r="A23" s="13" t="s">
        <v>10</v>
      </c>
      <c r="B23" s="14">
        <f>IF('[1]Data 2.3'!B51=0," ",'[1]Data 2.3'!B51)</f>
        <v>99.7</v>
      </c>
      <c r="C23" s="14">
        <f>IF('[1]Data 2.3'!B55=0," ",'[1]Data 2.3'!B55)</f>
        <v>102.6</v>
      </c>
      <c r="D23" s="14">
        <f>IF('[1]Data 2.3'!B59=0," ",'[1]Data 2.3'!B59)</f>
        <v>106.6</v>
      </c>
      <c r="E23" s="14">
        <f>IF('[1]Data 2.3'!B63=0," ",'[1]Data 2.3'!B63)</f>
        <v>110.4</v>
      </c>
      <c r="F23" s="14">
        <f>IF('[1]Data 2.3'!B67=0," ",'[1]Data 2.3'!B67)</f>
        <v>114.2</v>
      </c>
      <c r="H23" s="6"/>
    </row>
    <row r="24" spans="1:9" ht="11.1" customHeight="1" x14ac:dyDescent="0.2">
      <c r="A24" s="13" t="s">
        <v>11</v>
      </c>
      <c r="B24" s="14">
        <f>IF('[1]Data 2.3'!B52=0," ",'[1]Data 2.3'!B52)</f>
        <v>100.6</v>
      </c>
      <c r="C24" s="14">
        <f>IF('[1]Data 2.3'!B56=0," ",'[1]Data 2.3'!B56)</f>
        <v>103.5</v>
      </c>
      <c r="D24" s="14">
        <f>IF('[1]Data 2.3'!B60=0," ",'[1]Data 2.3'!B60)</f>
        <v>107.5</v>
      </c>
      <c r="E24" s="14">
        <f>IF('[1]Data 2.3'!B64=0," ",'[1]Data 2.3'!B64)</f>
        <v>111.4</v>
      </c>
      <c r="F24" s="14" t="str">
        <f>IF('[1]Data 2.3'!B68=0," ",'[1]Data 2.3'!B68)</f>
        <v xml:space="preserve"> </v>
      </c>
      <c r="H24" s="6"/>
    </row>
    <row r="25" spans="1:9" ht="11.1" customHeight="1" x14ac:dyDescent="0.2">
      <c r="A25" s="13" t="s">
        <v>12</v>
      </c>
      <c r="B25" s="14">
        <f>IF('[1]Data 2.3'!B53=0," ",'[1]Data 2.3'!B53)</f>
        <v>101.4</v>
      </c>
      <c r="C25" s="14">
        <f>IF('[1]Data 2.3'!B57=0," ",'[1]Data 2.3'!B57)</f>
        <v>104.4</v>
      </c>
      <c r="D25" s="14">
        <f>IF('[1]Data 2.3'!B61=0," ",'[1]Data 2.3'!B61)</f>
        <v>108.5</v>
      </c>
      <c r="E25" s="14">
        <f>IF('[1]Data 2.3'!B65=0," ",'[1]Data 2.3'!B65)</f>
        <v>112.5</v>
      </c>
      <c r="F25" s="14" t="str">
        <f>IF('[1]Data 2.3'!B69=0," ",'[1]Data 2.3'!B69)</f>
        <v xml:space="preserve"> </v>
      </c>
      <c r="H25" s="6"/>
    </row>
    <row r="26" spans="1:9" ht="11.1" customHeight="1" x14ac:dyDescent="0.2">
      <c r="A26" s="13"/>
      <c r="H26" s="6"/>
    </row>
    <row r="27" spans="1:9" ht="11.1" customHeight="1" x14ac:dyDescent="0.2">
      <c r="A27" s="13" t="s">
        <v>13</v>
      </c>
      <c r="B27" s="14">
        <f>SUM('[1]Data 2.3'!G50:G53)/4</f>
        <v>100</v>
      </c>
      <c r="C27" s="14">
        <f>SUM('[1]Data 2.3'!G54:G57)/4</f>
        <v>103.12499999999999</v>
      </c>
      <c r="D27" s="14">
        <f>SUM('[1]Data 2.3'!G58:G61)/4</f>
        <v>107.02499999999999</v>
      </c>
      <c r="E27" s="14">
        <f>SUM('[1]Data 2.3'!G62:G65)/4</f>
        <v>110.89999999999999</v>
      </c>
      <c r="H27" s="6"/>
      <c r="I27" s="14"/>
    </row>
    <row r="28" spans="1:9" ht="11.1" customHeight="1" x14ac:dyDescent="0.2">
      <c r="A28" s="15"/>
      <c r="B28" s="16"/>
      <c r="C28" s="16"/>
      <c r="D28" s="16"/>
      <c r="E28" s="17"/>
      <c r="F28" s="17"/>
      <c r="H28" s="6"/>
    </row>
    <row r="29" spans="1:9" ht="19.899999999999999" customHeight="1" x14ac:dyDescent="0.2">
      <c r="A29" s="18" t="s">
        <v>14</v>
      </c>
      <c r="B29" s="19"/>
      <c r="C29" s="19"/>
      <c r="D29" s="19"/>
      <c r="E29" s="19"/>
      <c r="F29" s="19"/>
      <c r="H29" s="6"/>
    </row>
    <row r="30" spans="1:9" ht="3" customHeight="1" x14ac:dyDescent="0.2">
      <c r="A30" s="20"/>
      <c r="B30" s="19"/>
      <c r="C30" s="19"/>
      <c r="D30" s="19"/>
      <c r="E30" s="19"/>
      <c r="F30" s="19"/>
      <c r="H30" s="6"/>
    </row>
    <row r="31" spans="1:9" ht="11.1" customHeight="1" x14ac:dyDescent="0.2">
      <c r="A31" s="13" t="s">
        <v>9</v>
      </c>
      <c r="B31" s="14">
        <f>IF('[1]Data 2.3'!D50=0," ",'[1]Data 2.3'!D50)</f>
        <v>0.92118730808596894</v>
      </c>
      <c r="C31" s="14">
        <f>IF('[1]Data 2.3'!D54=0," ",'[1]Data 2.3'!D54)</f>
        <v>0.4930966469427922</v>
      </c>
      <c r="D31" s="14">
        <f>IF('[1]Data 2.3'!D58=0," ",'[1]Data 2.3'!D58)</f>
        <v>1.0536398467432928</v>
      </c>
      <c r="E31" s="14">
        <f>IF('[1]Data 2.3'!D62=0," ",'[1]Data 2.3'!D62)</f>
        <v>0.73732718894008453</v>
      </c>
      <c r="F31" s="14">
        <f>IF('[1]Data 2.3'!D66=0," ",'[1]Data 2.3'!D66)</f>
        <v>0.71111111111110681</v>
      </c>
      <c r="H31" s="6"/>
    </row>
    <row r="32" spans="1:9" ht="11.1" customHeight="1" x14ac:dyDescent="0.2">
      <c r="A32" s="13" t="s">
        <v>10</v>
      </c>
      <c r="B32" s="14">
        <f>IF('[1]Data 2.3'!D51=0," ",'[1]Data 2.3'!D51)</f>
        <v>1.1156186612576224</v>
      </c>
      <c r="C32" s="14">
        <f>IF('[1]Data 2.3'!D55=0," ",'[1]Data 2.3'!D55)</f>
        <v>0.68694798822372949</v>
      </c>
      <c r="D32" s="14">
        <f>IF('[1]Data 2.3'!D59=0," ",'[1]Data 2.3'!D59)</f>
        <v>1.0426540284360186</v>
      </c>
      <c r="E32" s="14">
        <f>IF('[1]Data 2.3'!D63=0," ",'[1]Data 2.3'!D63)</f>
        <v>1.0064043915828158</v>
      </c>
      <c r="F32" s="14">
        <f>IF('[1]Data 2.3'!D67=0," ",'[1]Data 2.3'!D67)</f>
        <v>0.79435127978817466</v>
      </c>
      <c r="H32" s="6"/>
    </row>
    <row r="33" spans="1:8" ht="11.1" customHeight="1" x14ac:dyDescent="0.2">
      <c r="A33" s="13" t="s">
        <v>11</v>
      </c>
      <c r="B33" s="14">
        <f>IF('[1]Data 2.3'!D52=0," ",'[1]Data 2.3'!D52)</f>
        <v>0.90270812437311942</v>
      </c>
      <c r="C33" s="14">
        <f>IF('[1]Data 2.3'!D56=0," ",'[1]Data 2.3'!D56)</f>
        <v>0.87719298245614308</v>
      </c>
      <c r="D33" s="14">
        <f>IF('[1]Data 2.3'!D60=0," ",'[1]Data 2.3'!D60)</f>
        <v>0.84427767354597894</v>
      </c>
      <c r="E33" s="14">
        <f>IF('[1]Data 2.3'!D64=0," ",'[1]Data 2.3'!D64)</f>
        <v>0.90579710144926828</v>
      </c>
      <c r="F33" s="14" t="str">
        <f>IF('[1]Data 2.3'!D68=0," ",'[1]Data 2.3'!D68)</f>
        <v xml:space="preserve"> </v>
      </c>
      <c r="H33" s="6"/>
    </row>
    <row r="34" spans="1:8" ht="11.1" customHeight="1" x14ac:dyDescent="0.2">
      <c r="A34" s="13" t="s">
        <v>12</v>
      </c>
      <c r="B34" s="14">
        <f>IF('[1]Data 2.3'!D53=0," ",'[1]Data 2.3'!D53)</f>
        <v>0.79522862823062646</v>
      </c>
      <c r="C34" s="14">
        <f>IF('[1]Data 2.3'!D57=0," ",'[1]Data 2.3'!D57)</f>
        <v>0.86956521739129933</v>
      </c>
      <c r="D34" s="14">
        <f>IF('[1]Data 2.3'!D61=0," ",'[1]Data 2.3'!D61)</f>
        <v>0.9302325581395321</v>
      </c>
      <c r="E34" s="14">
        <f>IF('[1]Data 2.3'!D65=0," ",'[1]Data 2.3'!D65)</f>
        <v>0.98743267504488585</v>
      </c>
      <c r="F34" s="14" t="str">
        <f>IF('[1]Data 2.3'!D69=0," ",'[1]Data 2.3'!D69)</f>
        <v xml:space="preserve"> </v>
      </c>
      <c r="H34" s="6"/>
    </row>
    <row r="35" spans="1:8" ht="11.1" customHeight="1" x14ac:dyDescent="0.2">
      <c r="A35" s="15"/>
      <c r="B35" s="17"/>
      <c r="C35" s="17"/>
      <c r="D35" s="17"/>
      <c r="E35" s="17"/>
      <c r="F35" s="17"/>
      <c r="H35" s="6"/>
    </row>
    <row r="36" spans="1:8" ht="19.899999999999999" customHeight="1" x14ac:dyDescent="0.2">
      <c r="A36" s="18" t="s">
        <v>15</v>
      </c>
      <c r="B36" s="19"/>
      <c r="C36" s="19"/>
      <c r="D36" s="19"/>
      <c r="E36" s="19"/>
      <c r="F36" s="19"/>
      <c r="H36" s="6"/>
    </row>
    <row r="37" spans="1:8" ht="3" customHeight="1" x14ac:dyDescent="0.2">
      <c r="A37" s="20"/>
      <c r="B37" s="19"/>
      <c r="C37" s="19"/>
      <c r="D37" s="19"/>
      <c r="E37" s="19"/>
      <c r="F37" s="19"/>
      <c r="H37" s="6"/>
    </row>
    <row r="38" spans="1:8" ht="11.1" customHeight="1" x14ac:dyDescent="0.2">
      <c r="A38" s="13" t="s">
        <v>9</v>
      </c>
      <c r="B38" s="14">
        <f>IF('[1]Data 2.3'!E50=0," ",'[1]Data 2.3'!E50)</f>
        <v>4.118268215417098</v>
      </c>
      <c r="C38" s="14">
        <f>IF('[1]Data 2.3'!E54=0," ",'[1]Data 2.3'!E54)</f>
        <v>3.3468559837728229</v>
      </c>
      <c r="D38" s="14">
        <f>IF('[1]Data 2.3'!E58=0," ",'[1]Data 2.3'!E58)</f>
        <v>3.5328753680078373</v>
      </c>
      <c r="E38" s="14">
        <f>IF('[1]Data 2.3'!E62=0," ",'[1]Data 2.3'!E62)</f>
        <v>3.6018957345971492</v>
      </c>
      <c r="F38" s="14">
        <f>IF('[1]Data 2.3'!E66=0," ",'[1]Data 2.3'!E66)</f>
        <v>3.6596523330283626</v>
      </c>
      <c r="H38" s="6"/>
    </row>
    <row r="39" spans="1:8" ht="11.1" customHeight="1" x14ac:dyDescent="0.2">
      <c r="A39" s="13" t="s">
        <v>10</v>
      </c>
      <c r="B39" s="14">
        <f>IF('[1]Data 2.3'!E51=0," ",'[1]Data 2.3'!E51)</f>
        <v>4.2887029288702916</v>
      </c>
      <c r="C39" s="14">
        <f>IF('[1]Data 2.3'!E55=0," ",'[1]Data 2.3'!E55)</f>
        <v>2.9087261785355922</v>
      </c>
      <c r="D39" s="14">
        <f>IF('[1]Data 2.3'!E59=0," ",'[1]Data 2.3'!E59)</f>
        <v>3.8986354775828458</v>
      </c>
      <c r="E39" s="14">
        <f>IF('[1]Data 2.3'!E63=0," ",'[1]Data 2.3'!E63)</f>
        <v>3.5647279549718691</v>
      </c>
      <c r="F39" s="14">
        <f>IF('[1]Data 2.3'!E67=0," ",'[1]Data 2.3'!E67)</f>
        <v>3.4420289855072506</v>
      </c>
      <c r="H39" s="6"/>
    </row>
    <row r="40" spans="1:8" ht="11.1" customHeight="1" x14ac:dyDescent="0.2">
      <c r="A40" s="13" t="s">
        <v>11</v>
      </c>
      <c r="B40" s="14">
        <f>IF('[1]Data 2.3'!E52=0," ",'[1]Data 2.3'!E52)</f>
        <v>4.2487046632124326</v>
      </c>
      <c r="C40" s="14">
        <f>IF('[1]Data 2.3'!E56=0," ",'[1]Data 2.3'!E56)</f>
        <v>2.8827037773359931</v>
      </c>
      <c r="D40" s="14">
        <f>IF('[1]Data 2.3'!E60=0," ",'[1]Data 2.3'!E60)</f>
        <v>3.8647342995169032</v>
      </c>
      <c r="E40" s="14">
        <f>IF('[1]Data 2.3'!E64=0," ",'[1]Data 2.3'!E64)</f>
        <v>3.6279069767441996</v>
      </c>
      <c r="F40" s="14" t="str">
        <f>IF('[1]Data 2.3'!E68=0," ",'[1]Data 2.3'!E68)</f>
        <v xml:space="preserve"> </v>
      </c>
      <c r="H40" s="6"/>
    </row>
    <row r="41" spans="1:8" ht="11.1" customHeight="1" x14ac:dyDescent="0.2">
      <c r="A41" s="13" t="s">
        <v>12</v>
      </c>
      <c r="B41" s="14">
        <f>IF('[1]Data 2.3'!E53=0," ",'[1]Data 2.3'!E53)</f>
        <v>3.7871033776867957</v>
      </c>
      <c r="C41" s="14">
        <f>IF('[1]Data 2.3'!E57=0," ",'[1]Data 2.3'!E57)</f>
        <v>2.9585798816567976</v>
      </c>
      <c r="D41" s="14">
        <f>IF('[1]Data 2.3'!E61=0," ",'[1]Data 2.3'!E61)</f>
        <v>3.9272030651340994</v>
      </c>
      <c r="E41" s="14">
        <f>IF('[1]Data 2.3'!E65=0," ",'[1]Data 2.3'!E65)</f>
        <v>3.6866359447004671</v>
      </c>
      <c r="F41" s="14" t="str">
        <f>IF('[1]Data 2.3'!E69=0," ",'[1]Data 2.3'!E69)</f>
        <v xml:space="preserve"> </v>
      </c>
      <c r="H41" s="6"/>
    </row>
    <row r="42" spans="1:8" ht="11.1" customHeight="1" x14ac:dyDescent="0.2">
      <c r="A42" s="13"/>
      <c r="H42" s="6"/>
    </row>
    <row r="43" spans="1:8" ht="11.1" customHeight="1" x14ac:dyDescent="0.2">
      <c r="A43" s="21" t="s">
        <v>13</v>
      </c>
      <c r="B43" s="22">
        <f>(SUM('[1]Data 2.3'!G50:G53)-SUM('[1]Data 2.3'!G46:G49))/SUM('[1]Data 2.3'!G46:G49)*100</f>
        <v>4.00416016640665</v>
      </c>
      <c r="C43" s="22">
        <f>(SUM('[1]Data 2.3'!G54:G57)-SUM('[1]Data 2.3'!G50:G53))/SUM('[1]Data 2.3'!G50:G53)*100</f>
        <v>3.1249999999999858</v>
      </c>
      <c r="D43" s="22">
        <f>(SUM('[1]Data 2.3'!G58:G61)-SUM('[1]Data 2.3'!G54:G57))/SUM('[1]Data 2.3'!G54:G57)*100</f>
        <v>3.7818181818181875</v>
      </c>
      <c r="E43" s="22">
        <f>(SUM('[1]Data 2.3'!G62:G65)-SUM('[1]Data 2.3'!G58:G61))/SUM('[1]Data 2.3'!G58:G61)*100</f>
        <v>3.6206493809857512</v>
      </c>
      <c r="H43" s="6"/>
    </row>
    <row r="44" spans="1:8" ht="11.1" customHeight="1" x14ac:dyDescent="0.2">
      <c r="A44" s="23"/>
      <c r="B44" s="3"/>
      <c r="C44" s="3"/>
      <c r="D44" s="3"/>
      <c r="E44" s="3"/>
      <c r="F44" s="3"/>
      <c r="H44" s="6"/>
    </row>
    <row r="45" spans="1:8" ht="7.9" customHeight="1" x14ac:dyDescent="0.2">
      <c r="A45" s="24"/>
      <c r="B45" s="24"/>
      <c r="C45" s="24"/>
      <c r="D45" s="24"/>
      <c r="E45" s="24"/>
      <c r="F45" s="24"/>
      <c r="H45" s="6"/>
    </row>
    <row r="46" spans="1:8" ht="11.1" customHeight="1" x14ac:dyDescent="0.2">
      <c r="A46" s="25" t="s">
        <v>16</v>
      </c>
      <c r="B46" s="5"/>
      <c r="C46" s="5"/>
      <c r="D46" s="5"/>
      <c r="E46" s="5"/>
      <c r="F46" s="5"/>
      <c r="H46" s="6"/>
    </row>
    <row r="47" spans="1:8" ht="11.1" customHeight="1" x14ac:dyDescent="0.2">
      <c r="A47" s="26" t="s">
        <v>17</v>
      </c>
      <c r="B47" s="5"/>
      <c r="C47" s="5"/>
      <c r="D47" s="5"/>
      <c r="F47" s="5"/>
      <c r="H47" s="6"/>
    </row>
    <row r="48" spans="1:8" ht="11.1" customHeight="1" x14ac:dyDescent="0.2">
      <c r="A48" s="27"/>
      <c r="B48" s="5"/>
      <c r="C48" s="5"/>
      <c r="D48" s="5"/>
      <c r="E48" s="5"/>
      <c r="F48" s="5"/>
      <c r="H48" s="6"/>
    </row>
    <row r="49" spans="1:9" ht="11.1" customHeight="1" x14ac:dyDescent="0.2">
      <c r="A49" s="28" t="s">
        <v>18</v>
      </c>
      <c r="B49" s="29"/>
      <c r="C49" s="29"/>
      <c r="D49" s="29"/>
      <c r="E49" s="5"/>
      <c r="F49" s="5"/>
      <c r="H49" s="6"/>
    </row>
    <row r="50" spans="1:9" x14ac:dyDescent="0.2">
      <c r="A50" s="30" t="s">
        <v>19</v>
      </c>
      <c r="B50" s="30"/>
      <c r="C50" s="30"/>
      <c r="D50" s="30"/>
      <c r="E50" s="30"/>
      <c r="F50" s="30"/>
      <c r="H50" s="6"/>
    </row>
    <row r="51" spans="1:9" x14ac:dyDescent="0.2">
      <c r="A51" s="30"/>
      <c r="B51" s="30"/>
      <c r="C51" s="30"/>
      <c r="D51" s="30"/>
      <c r="E51" s="30"/>
      <c r="F51" s="30"/>
      <c r="H51" s="6"/>
    </row>
    <row r="52" spans="1:9" x14ac:dyDescent="0.2">
      <c r="A52" s="5"/>
      <c r="B52" s="5"/>
      <c r="C52" s="5"/>
      <c r="D52" s="5"/>
      <c r="E52" s="5"/>
      <c r="F52" s="5"/>
      <c r="H52" s="6"/>
    </row>
    <row r="53" spans="1:9" x14ac:dyDescent="0.2">
      <c r="A53" s="5"/>
      <c r="B53" s="5"/>
      <c r="C53" s="5"/>
      <c r="D53" s="5"/>
      <c r="E53" s="5"/>
      <c r="F53" s="5"/>
      <c r="H53" s="6"/>
    </row>
    <row r="54" spans="1:9" x14ac:dyDescent="0.2">
      <c r="A54" s="5"/>
      <c r="B54" s="5"/>
      <c r="C54" s="5"/>
      <c r="D54" s="5"/>
      <c r="E54" s="5"/>
      <c r="F54" s="5"/>
      <c r="H54" s="6"/>
    </row>
    <row r="55" spans="1:9" x14ac:dyDescent="0.2">
      <c r="A55" s="5"/>
      <c r="B55" s="5"/>
      <c r="C55" s="5"/>
      <c r="D55" s="5"/>
      <c r="E55" s="5"/>
      <c r="F55" s="5"/>
      <c r="H55" s="6"/>
    </row>
    <row r="56" spans="1:9" x14ac:dyDescent="0.2">
      <c r="A56" s="5"/>
      <c r="B56" s="5"/>
      <c r="C56" s="5"/>
      <c r="D56" s="5"/>
      <c r="E56" s="5"/>
      <c r="F56" s="5"/>
      <c r="H56" s="6"/>
    </row>
    <row r="57" spans="1:9" x14ac:dyDescent="0.2">
      <c r="A57" s="5"/>
      <c r="B57" s="5"/>
      <c r="C57" s="5"/>
      <c r="D57" s="5"/>
      <c r="E57" s="5"/>
      <c r="F57" s="5"/>
      <c r="H57" s="6"/>
    </row>
    <row r="58" spans="1:9" x14ac:dyDescent="0.2">
      <c r="H58" s="6"/>
      <c r="I58" s="31" t="s">
        <v>20</v>
      </c>
    </row>
    <row r="59" spans="1:9" x14ac:dyDescent="0.2">
      <c r="H59" s="6"/>
      <c r="I59" s="25" t="str">
        <f>'[2]2.3a Table - Index'!$B$27</f>
        <v>15 May 2013</v>
      </c>
    </row>
    <row r="60" spans="1:9" x14ac:dyDescent="0.2">
      <c r="H60" s="32"/>
    </row>
  </sheetData>
  <mergeCells count="1">
    <mergeCell ref="A50:F51"/>
  </mergeCells>
  <hyperlinks>
    <hyperlink ref="A1" r:id="rId1"/>
    <hyperlink ref="A49:D49" r:id="rId2" display="Source: ABS, Labour price index, Cat. no. 6345.0"/>
  </hyperlinks>
  <printOptions horizontalCentered="1"/>
  <pageMargins left="0.82677165354330717" right="0.55118110236220474" top="0.98425196850393704" bottom="0.51181102362204722" header="0.59055118110236227" footer="0.59055118110236227"/>
  <pageSetup paperSize="9" orientation="portrait" r:id="rId3"/>
  <headerFooter alignWithMargins="0">
    <oddHeader>&amp;R&amp;"Times New Roman,Italic"Monthly statistical bulletin</oddHeader>
    <oddFooter>&amp;R&amp;"Times New Roman,Regular"&amp;12 11</oddFooter>
  </headerFooter>
  <drawing r:id="rId4"/>
  <legacyDrawing r:id="rId5"/>
  <oleObjects>
    <mc:AlternateContent xmlns:mc="http://schemas.openxmlformats.org/markup-compatibility/2006">
      <mc:Choice Requires="x14">
        <oleObject progId="Word.Document.8" shapeId="1025" r:id="rId6">
          <objectPr defaultSize="0" r:id="rId7">
            <anchor moveWithCells="1">
              <from>
                <xdr:col>8</xdr:col>
                <xdr:colOff>19050</xdr:colOff>
                <xdr:row>4</xdr:row>
                <xdr:rowOff>19050</xdr:rowOff>
              </from>
              <to>
                <xdr:col>11</xdr:col>
                <xdr:colOff>0</xdr:colOff>
                <xdr:row>49</xdr:row>
                <xdr:rowOff>95250</xdr:rowOff>
              </to>
            </anchor>
          </objectPr>
        </oleObject>
      </mc:Choice>
      <mc:Fallback>
        <oleObject progId="Word.Document.8" shapeId="1025" r:id="rId6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2.3</vt:lpstr>
      <vt:lpstr>'Table 2.3'!Print_Area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Maryanne Lawless</dc:creator>
  <cp:lastModifiedBy>Maryanne Lawless</cp:lastModifiedBy>
  <dcterms:created xsi:type="dcterms:W3CDTF">2013-03-04T04:31:47Z</dcterms:created>
  <dcterms:modified xsi:type="dcterms:W3CDTF">2013-03-04T04:31:57Z</dcterms:modified>
</cp:coreProperties>
</file>