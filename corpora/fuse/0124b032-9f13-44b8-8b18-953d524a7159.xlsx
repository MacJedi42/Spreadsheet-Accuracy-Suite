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395" yWindow="-180" windowWidth="15480" windowHeight="11640"/>
  </bookViews>
  <sheets>
    <sheet name="PREPAID" sheetId="1" r:id="rId1"/>
    <sheet name="Sheet2" sheetId="2" r:id="rId2"/>
    <sheet name="Sheet3" sheetId="3" r:id="rId3"/>
  </sheets>
  <definedNames>
    <definedName name="_xlnm.Print_Area" localSheetId="0">PREPAID!$A$1:$O$54</definedName>
  </definedNames>
  <calcPr calcId="125725"/>
</workbook>
</file>

<file path=xl/calcChain.xml><?xml version="1.0" encoding="utf-8"?>
<calcChain xmlns="http://schemas.openxmlformats.org/spreadsheetml/2006/main">
  <c r="L17" i="1"/>
  <c r="L18" l="1"/>
  <c r="L14"/>
  <c r="L15"/>
  <c r="L20"/>
  <c r="L26" l="1"/>
  <c r="L25"/>
  <c r="I25"/>
  <c r="I26"/>
  <c r="I27" l="1"/>
  <c r="L27"/>
</calcChain>
</file>

<file path=xl/sharedStrings.xml><?xml version="1.0" encoding="utf-8"?>
<sst xmlns="http://schemas.openxmlformats.org/spreadsheetml/2006/main" count="87" uniqueCount="62">
  <si>
    <t>Phone:</t>
  </si>
  <si>
    <t>Rate</t>
  </si>
  <si>
    <t>Sub Total</t>
  </si>
  <si>
    <t>X</t>
  </si>
  <si>
    <t>=</t>
  </si>
  <si>
    <t>(prices subject to change without notice)</t>
  </si>
  <si>
    <t>Adults</t>
  </si>
  <si>
    <t>If you are claiming tax exemption:</t>
  </si>
  <si>
    <t>Physical Address:</t>
  </si>
  <si>
    <t>Alternate Phone:</t>
  </si>
  <si>
    <t>Anticipated Visit Date:</t>
  </si>
  <si>
    <t xml:space="preserve">Authorized signature </t>
  </si>
  <si>
    <t>Organization Name:</t>
  </si>
  <si>
    <t>e-mail:</t>
  </si>
  <si>
    <t>Zip Code:</t>
  </si>
  <si>
    <t>City, State:</t>
  </si>
  <si>
    <t>(REQUIRED)</t>
  </si>
  <si>
    <t>Child ages 3 - 9</t>
  </si>
  <si>
    <t>FOR OFFICE USE ONLY</t>
  </si>
  <si>
    <t>Contact Person:</t>
  </si>
  <si>
    <t>SeaWorld San Antonio</t>
  </si>
  <si>
    <t>x</t>
  </si>
  <si>
    <t>Credit Card #</t>
  </si>
  <si>
    <t>exp. Date</t>
  </si>
  <si>
    <t>Printed Name</t>
  </si>
  <si>
    <t xml:space="preserve"> </t>
  </si>
  <si>
    <t>NON TAX 21027   WITH TAX 21026</t>
  </si>
  <si>
    <t>To ensure compliance with the protocol set forth by the Payment Card Industry, we ask that you do not submit your credit-card information via email.  This is to ensure your protection and circumvent the possibility of your credit-card data being compromised.</t>
  </si>
  <si>
    <t xml:space="preserve">We thank you for your business and hope that our service has met your expectations.  </t>
  </si>
  <si>
    <t>(Please note…Tickets cannot be shipped to a P.O. box.)</t>
  </si>
  <si>
    <t>All ticket orders will be sent FEDEX to listed contact:</t>
  </si>
  <si>
    <t>$</t>
  </si>
  <si>
    <t>10500 SeaWorld Drive</t>
  </si>
  <si>
    <t>*  Payment must be made with one official organization check or credit card.</t>
  </si>
  <si>
    <t>* INTERESTED IN AN ALL-YOU-CAN-EAT PICNIC?</t>
  </si>
  <si>
    <t>*  Include a Texas Sales and Use Tax Exemption Certificate with your order.  All areas need to be filled in for the tax form to be valid.</t>
  </si>
  <si>
    <t>*  When paying with money order or cashier's check, please be sure to have the organization name as remitter of payment (not the individual group leader).</t>
  </si>
  <si>
    <t>Total Due</t>
  </si>
  <si>
    <t>FedEx 2 Day</t>
  </si>
  <si>
    <t>FedEx Overnight</t>
  </si>
  <si>
    <t>w/tax</t>
  </si>
  <si>
    <t>w/out tax</t>
  </si>
  <si>
    <t>tax on admission only</t>
  </si>
  <si>
    <t>PRICING FOR PREPAID ORDERS ONLY - PAYMENT MUST BE RECEIVED 14 BUSINESS DAYS PRIOR TO VISIT.                                        (PURCHASE ORDERS CANNOT BE ACCEPTED)</t>
  </si>
  <si>
    <t>Please mail check, order form and any additional paperwork to:</t>
  </si>
  <si>
    <t>*  If paying by credit card, please include a photocopy of the front of the card (only) so we can verify organization name on card.</t>
  </si>
  <si>
    <t>(Please circle rate that applies to your group.)</t>
  </si>
  <si>
    <t>Enter Quantity</t>
  </si>
  <si>
    <t>Meal Certificate                                                             (includes entrée &amp; drink at one of our restaurants)</t>
  </si>
  <si>
    <t>San Antonio TX 78251</t>
  </si>
  <si>
    <t>Fax credit card order &amp; any additional paperwork to</t>
  </si>
  <si>
    <t>OR</t>
  </si>
  <si>
    <t>My signature above authorizes SeaWorld San Antonio to CHARGE my credit card for the amount of…</t>
  </si>
  <si>
    <t>For additional ticket information, call Denise Becerra at 210-523-3664</t>
  </si>
  <si>
    <t>Attn: Denise Becerra, 210-523-3199</t>
  </si>
  <si>
    <t>SeaWorld San Antonio / Attn: Densie Becerra</t>
  </si>
  <si>
    <r>
      <rPr>
        <b/>
        <sz val="20"/>
        <rFont val="Arial"/>
        <family val="2"/>
      </rPr>
      <t>FunCard</t>
    </r>
    <r>
      <rPr>
        <sz val="18"/>
        <rFont val="Arial"/>
        <family val="2"/>
      </rPr>
      <t xml:space="preserve"> </t>
    </r>
    <r>
      <rPr>
        <sz val="16"/>
        <rFont val="Arial"/>
        <family val="2"/>
      </rPr>
      <t xml:space="preserve">Pay for a day.  Come back all year. </t>
    </r>
    <r>
      <rPr>
        <sz val="18"/>
        <rFont val="Arial"/>
        <family val="2"/>
      </rPr>
      <t xml:space="preserve">                          Groups of 50 or more </t>
    </r>
    <r>
      <rPr>
        <b/>
        <sz val="18"/>
        <rFont val="Arial"/>
        <family val="2"/>
      </rPr>
      <t>(no comp ratio)</t>
    </r>
  </si>
  <si>
    <r>
      <t xml:space="preserve">Single-Day Admission Tickets                  Groups of 50 or more  </t>
    </r>
    <r>
      <rPr>
        <b/>
        <sz val="18"/>
        <rFont val="Arial"/>
        <family val="2"/>
      </rPr>
      <t>(no comp ratio)</t>
    </r>
  </si>
  <si>
    <t>2012 Group Order Form - GROUPS OF 50 OR MORE</t>
  </si>
  <si>
    <t>Available to groups of 100 or more.  Enjoy a delicious buffet meal in one of our special events venues.  Your group will also enjoy an exciting SeaWorld costume character appearance as you dine together.  Must be contracted 30 days prior to your visit.  For more information, please email Ray.Martinez@SeaWorld.com</t>
  </si>
  <si>
    <t>Please be advised that payment (check, personal credit card, money order, or cashier's check) applied toward admission ticket(s) for a tax exempt organizations will be taxed, unless the following specifications are met:</t>
  </si>
  <si>
    <t>(i.e. m/yy</t>
  </si>
</sst>
</file>

<file path=xl/styles.xml><?xml version="1.0" encoding="utf-8"?>
<styleSheet xmlns="http://schemas.openxmlformats.org/spreadsheetml/2006/main">
  <numFmts count="5">
    <numFmt numFmtId="8" formatCode="&quot;$&quot;#,##0.00_);[Red]\(&quot;$&quot;#,##0.00\)"/>
    <numFmt numFmtId="164" formatCode="[&lt;=9999999]###\-####;\(###\)\ ###\-####"/>
    <numFmt numFmtId="165" formatCode="&quot;$&quot;#,##0.00"/>
    <numFmt numFmtId="166" formatCode="[$-F800]dddd\,\ mmmm\ dd\,\ yyyy"/>
    <numFmt numFmtId="167" formatCode="[$-409]d\-mmm;@"/>
  </numFmts>
  <fonts count="31">
    <font>
      <sz val="10"/>
      <name val="Arial"/>
    </font>
    <font>
      <b/>
      <sz val="24"/>
      <name val="Arial"/>
      <family val="2"/>
    </font>
    <font>
      <sz val="12"/>
      <name val="Arial"/>
      <family val="2"/>
    </font>
    <font>
      <b/>
      <sz val="16"/>
      <name val="Arial"/>
      <family val="2"/>
    </font>
    <font>
      <sz val="16"/>
      <name val="Arial"/>
      <family val="2"/>
    </font>
    <font>
      <sz val="10"/>
      <name val="Arial"/>
      <family val="2"/>
    </font>
    <font>
      <b/>
      <sz val="10"/>
      <name val="Arial"/>
      <family val="2"/>
    </font>
    <font>
      <u/>
      <sz val="10"/>
      <color indexed="12"/>
      <name val="Arial"/>
      <family val="2"/>
    </font>
    <font>
      <sz val="8"/>
      <name val="Arial"/>
      <family val="2"/>
    </font>
    <font>
      <b/>
      <sz val="12"/>
      <name val="Arial"/>
      <family val="2"/>
    </font>
    <font>
      <b/>
      <sz val="14"/>
      <color indexed="10"/>
      <name val="Arial"/>
      <family val="2"/>
    </font>
    <font>
      <b/>
      <sz val="14"/>
      <name val="Arial"/>
      <family val="2"/>
    </font>
    <font>
      <sz val="14"/>
      <name val="Arial"/>
      <family val="2"/>
    </font>
    <font>
      <b/>
      <sz val="16"/>
      <color indexed="10"/>
      <name val="Arial"/>
      <family val="2"/>
    </font>
    <font>
      <sz val="16"/>
      <color indexed="10"/>
      <name val="Arial"/>
      <family val="2"/>
    </font>
    <font>
      <sz val="18"/>
      <name val="Arial"/>
      <family val="2"/>
    </font>
    <font>
      <b/>
      <sz val="12"/>
      <color indexed="10"/>
      <name val="Arial"/>
      <family val="2"/>
    </font>
    <font>
      <b/>
      <sz val="20"/>
      <name val="Arial"/>
      <family val="2"/>
    </font>
    <font>
      <sz val="12"/>
      <name val="Book Antiqua"/>
      <family val="1"/>
    </font>
    <font>
      <b/>
      <sz val="18"/>
      <name val="Arial"/>
      <family val="2"/>
    </font>
    <font>
      <sz val="20"/>
      <name val="Arial"/>
      <family val="2"/>
    </font>
    <font>
      <b/>
      <sz val="20"/>
      <color indexed="10"/>
      <name val="Arial"/>
      <family val="2"/>
    </font>
    <font>
      <sz val="20"/>
      <name val="Book Antiqua"/>
      <family val="1"/>
    </font>
    <font>
      <b/>
      <i/>
      <sz val="16"/>
      <name val="Arial"/>
      <family val="2"/>
    </font>
    <font>
      <b/>
      <i/>
      <sz val="18"/>
      <name val="Arial"/>
      <family val="2"/>
    </font>
    <font>
      <i/>
      <sz val="18"/>
      <name val="Arial"/>
      <family val="2"/>
    </font>
    <font>
      <b/>
      <sz val="12"/>
      <color rgb="FFFF0000"/>
      <name val="Arial"/>
      <family val="2"/>
    </font>
    <font>
      <b/>
      <sz val="26"/>
      <name val="Arial"/>
      <family val="2"/>
    </font>
    <font>
      <sz val="26"/>
      <name val="Arial"/>
      <family val="2"/>
    </font>
    <font>
      <b/>
      <sz val="20"/>
      <color theme="3" tint="0.39997558519241921"/>
      <name val="Arial"/>
      <family val="2"/>
    </font>
    <font>
      <u/>
      <sz val="24"/>
      <color indexed="12"/>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3"/>
        <bgColor indexed="64"/>
      </patternFill>
    </fill>
    <fill>
      <patternFill patternType="solid">
        <fgColor theme="0"/>
        <bgColor indexed="64"/>
      </patternFill>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70">
    <xf numFmtId="0" fontId="0" fillId="0" borderId="0" xfId="0"/>
    <xf numFmtId="0" fontId="2" fillId="0" borderId="0" xfId="0" applyFont="1" applyProtection="1">
      <protection hidden="1"/>
    </xf>
    <xf numFmtId="0" fontId="6" fillId="0" borderId="0" xfId="0" applyFont="1" applyProtection="1">
      <protection hidden="1"/>
    </xf>
    <xf numFmtId="0" fontId="5" fillId="0" borderId="0" xfId="0" applyFont="1" applyProtection="1">
      <protection hidden="1"/>
    </xf>
    <xf numFmtId="0" fontId="12" fillId="2" borderId="0" xfId="0" applyFont="1" applyFill="1" applyProtection="1">
      <protection hidden="1"/>
    </xf>
    <xf numFmtId="0" fontId="12" fillId="0" borderId="0" xfId="0" applyFont="1" applyProtection="1">
      <protection hidden="1"/>
    </xf>
    <xf numFmtId="0" fontId="12" fillId="2" borderId="0" xfId="0" applyFont="1" applyFill="1" applyAlignment="1" applyProtection="1">
      <alignment wrapText="1"/>
      <protection hidden="1"/>
    </xf>
    <xf numFmtId="0" fontId="11" fillId="2" borderId="0" xfId="0" applyFont="1" applyFill="1" applyProtection="1">
      <protection hidden="1"/>
    </xf>
    <xf numFmtId="0" fontId="2" fillId="0" borderId="0" xfId="0" applyFont="1" applyBorder="1" applyProtection="1">
      <protection hidden="1"/>
    </xf>
    <xf numFmtId="0" fontId="2" fillId="0" borderId="0" xfId="0" applyFont="1" applyBorder="1" applyAlignment="1" applyProtection="1">
      <protection hidden="1"/>
    </xf>
    <xf numFmtId="0" fontId="4" fillId="0" borderId="0" xfId="0" applyFont="1" applyProtection="1">
      <protection hidden="1"/>
    </xf>
    <xf numFmtId="0" fontId="2" fillId="0" borderId="0" xfId="0" applyFont="1" applyAlignment="1" applyProtection="1">
      <alignment horizontal="center"/>
      <protection hidden="1"/>
    </xf>
    <xf numFmtId="0" fontId="3" fillId="0" borderId="0" xfId="0" applyFont="1" applyAlignment="1" applyProtection="1">
      <alignment horizontal="center"/>
      <protection hidden="1"/>
    </xf>
    <xf numFmtId="0" fontId="2" fillId="0" borderId="0" xfId="0" applyFont="1" applyAlignment="1" applyProtection="1">
      <alignment horizontal="left"/>
      <protection hidden="1"/>
    </xf>
    <xf numFmtId="0" fontId="3" fillId="0" borderId="0" xfId="0" applyFont="1" applyBorder="1" applyAlignment="1" applyProtection="1">
      <alignment horizontal="right"/>
      <protection hidden="1"/>
    </xf>
    <xf numFmtId="0" fontId="13" fillId="0" borderId="0" xfId="0" applyFont="1" applyBorder="1" applyProtection="1">
      <protection hidden="1"/>
    </xf>
    <xf numFmtId="0" fontId="4" fillId="0" borderId="0" xfId="0" applyFont="1" applyBorder="1" applyProtection="1">
      <protection hidden="1"/>
    </xf>
    <xf numFmtId="0" fontId="3" fillId="0" borderId="0" xfId="0" applyFont="1" applyProtection="1">
      <protection hidden="1"/>
    </xf>
    <xf numFmtId="0" fontId="12" fillId="0" borderId="1" xfId="0" applyFont="1" applyBorder="1" applyAlignment="1" applyProtection="1">
      <alignment horizontal="center"/>
      <protection hidden="1"/>
    </xf>
    <xf numFmtId="0" fontId="12" fillId="0" borderId="2" xfId="0" applyFont="1" applyBorder="1" applyAlignment="1" applyProtection="1">
      <alignment horizontal="center"/>
      <protection hidden="1"/>
    </xf>
    <xf numFmtId="0" fontId="12" fillId="0" borderId="2" xfId="0" applyFont="1" applyBorder="1" applyAlignment="1" applyProtection="1">
      <alignment horizontal="center" wrapText="1"/>
      <protection hidden="1"/>
    </xf>
    <xf numFmtId="0" fontId="12" fillId="0" borderId="3" xfId="0" applyFont="1" applyBorder="1" applyAlignment="1" applyProtection="1">
      <protection hidden="1"/>
    </xf>
    <xf numFmtId="165" fontId="12" fillId="0" borderId="3" xfId="0" applyNumberFormat="1" applyFont="1" applyBorder="1" applyAlignment="1" applyProtection="1">
      <alignment horizontal="center" vertical="center"/>
      <protection hidden="1"/>
    </xf>
    <xf numFmtId="0" fontId="11" fillId="0" borderId="3" xfId="0" applyFont="1" applyBorder="1" applyAlignment="1" applyProtection="1">
      <alignment horizontal="center" vertical="center"/>
      <protection hidden="1"/>
    </xf>
    <xf numFmtId="0" fontId="12" fillId="0" borderId="4" xfId="0" applyFont="1" applyBorder="1" applyAlignment="1" applyProtection="1">
      <alignment horizontal="center" vertical="center"/>
      <protection hidden="1"/>
    </xf>
    <xf numFmtId="0" fontId="12" fillId="0" borderId="5" xfId="0" applyFont="1" applyBorder="1" applyProtection="1">
      <protection hidden="1"/>
    </xf>
    <xf numFmtId="0" fontId="11" fillId="0" borderId="5" xfId="0" applyFont="1" applyBorder="1" applyAlignment="1" applyProtection="1">
      <alignment horizontal="center" vertical="center"/>
      <protection hidden="1"/>
    </xf>
    <xf numFmtId="0" fontId="11" fillId="0" borderId="0" xfId="0" applyFont="1" applyProtection="1">
      <protection hidden="1"/>
    </xf>
    <xf numFmtId="0" fontId="11" fillId="0" borderId="0" xfId="0" applyFont="1" applyAlignment="1" applyProtection="1">
      <alignment horizontal="right"/>
      <protection hidden="1"/>
    </xf>
    <xf numFmtId="0" fontId="11" fillId="0" borderId="0" xfId="0" applyFont="1" applyBorder="1" applyAlignment="1" applyProtection="1">
      <alignment horizontal="center"/>
      <protection hidden="1"/>
    </xf>
    <xf numFmtId="0" fontId="3" fillId="0" borderId="0" xfId="0" applyFont="1" applyBorder="1" applyProtection="1">
      <protection hidden="1"/>
    </xf>
    <xf numFmtId="0" fontId="10" fillId="4" borderId="2" xfId="0" applyFont="1" applyFill="1" applyBorder="1" applyAlignment="1" applyProtection="1">
      <alignment horizontal="center" wrapText="1"/>
      <protection hidden="1"/>
    </xf>
    <xf numFmtId="165" fontId="15" fillId="0" borderId="3" xfId="0" applyNumberFormat="1" applyFont="1" applyBorder="1" applyAlignment="1" applyProtection="1">
      <alignment horizontal="center" vertical="center"/>
      <protection hidden="1"/>
    </xf>
    <xf numFmtId="165" fontId="15" fillId="0" borderId="2" xfId="0" applyNumberFormat="1" applyFont="1" applyBorder="1" applyAlignment="1" applyProtection="1">
      <alignment horizontal="center" vertical="center"/>
      <protection hidden="1"/>
    </xf>
    <xf numFmtId="0" fontId="11" fillId="0" borderId="0" xfId="0" applyFont="1" applyAlignment="1" applyProtection="1"/>
    <xf numFmtId="166" fontId="11" fillId="0" borderId="0" xfId="0" applyNumberFormat="1" applyFont="1" applyBorder="1" applyAlignment="1" applyProtection="1">
      <alignment horizontal="center"/>
    </xf>
    <xf numFmtId="0" fontId="10" fillId="0" borderId="0" xfId="0" applyFont="1" applyBorder="1" applyAlignment="1" applyProtection="1">
      <protection hidden="1"/>
    </xf>
    <xf numFmtId="0" fontId="6" fillId="0" borderId="0" xfId="0" applyFont="1" applyAlignment="1" applyProtection="1">
      <protection hidden="1"/>
    </xf>
    <xf numFmtId="0" fontId="12" fillId="0" borderId="2" xfId="0" applyFont="1" applyBorder="1" applyProtection="1">
      <protection hidden="1"/>
    </xf>
    <xf numFmtId="165" fontId="12" fillId="0" borderId="2" xfId="0" applyNumberFormat="1" applyFont="1" applyBorder="1" applyAlignment="1" applyProtection="1">
      <alignment horizontal="center" vertical="center"/>
      <protection hidden="1"/>
    </xf>
    <xf numFmtId="0" fontId="17" fillId="0" borderId="0" xfId="0" applyFont="1" applyBorder="1" applyAlignment="1" applyProtection="1"/>
    <xf numFmtId="0" fontId="3" fillId="0" borderId="0" xfId="0" applyFont="1" applyAlignment="1" applyProtection="1"/>
    <xf numFmtId="0" fontId="3" fillId="0" borderId="0" xfId="0" applyFont="1" applyProtection="1"/>
    <xf numFmtId="0" fontId="18" fillId="0" borderId="0" xfId="0" applyFont="1" applyProtection="1"/>
    <xf numFmtId="0" fontId="0" fillId="0" borderId="0" xfId="0" applyProtection="1"/>
    <xf numFmtId="0" fontId="4" fillId="0" borderId="0" xfId="0" applyFont="1" applyBorder="1" applyProtection="1"/>
    <xf numFmtId="165" fontId="4" fillId="0" borderId="0" xfId="0" applyNumberFormat="1" applyFont="1" applyBorder="1" applyAlignment="1" applyProtection="1">
      <alignment horizontal="right"/>
    </xf>
    <xf numFmtId="0" fontId="3" fillId="0" borderId="0" xfId="0" applyFont="1" applyFill="1" applyAlignment="1" applyProtection="1">
      <protection hidden="1"/>
    </xf>
    <xf numFmtId="49" fontId="17" fillId="0" borderId="0" xfId="0" applyNumberFormat="1" applyFont="1" applyBorder="1" applyAlignment="1" applyProtection="1">
      <alignment horizontal="center"/>
    </xf>
    <xf numFmtId="0" fontId="10" fillId="0" borderId="7" xfId="0" applyFont="1" applyBorder="1" applyAlignment="1" applyProtection="1">
      <protection hidden="1"/>
    </xf>
    <xf numFmtId="0" fontId="16" fillId="0" borderId="0" xfId="0" applyFont="1" applyBorder="1" applyAlignment="1" applyProtection="1">
      <protection hidden="1"/>
    </xf>
    <xf numFmtId="0" fontId="3" fillId="0" borderId="0" xfId="0" applyFont="1" applyAlignment="1" applyProtection="1">
      <alignment horizontal="right"/>
    </xf>
    <xf numFmtId="0" fontId="21" fillId="4" borderId="3" xfId="0" applyFont="1" applyFill="1" applyBorder="1" applyAlignment="1" applyProtection="1">
      <alignment horizontal="center" vertical="center"/>
      <protection locked="0"/>
    </xf>
    <xf numFmtId="0" fontId="21" fillId="4" borderId="5" xfId="0" applyFont="1" applyFill="1" applyBorder="1" applyAlignment="1" applyProtection="1">
      <alignment horizontal="center" vertical="center"/>
      <protection locked="0"/>
    </xf>
    <xf numFmtId="0" fontId="4" fillId="0" borderId="3" xfId="0" applyFont="1" applyBorder="1" applyProtection="1">
      <protection hidden="1"/>
    </xf>
    <xf numFmtId="0" fontId="3" fillId="0" borderId="0" xfId="0" applyFont="1" applyFill="1" applyAlignment="1" applyProtection="1">
      <alignment horizontal="left" vertical="top" wrapText="1"/>
      <protection hidden="1"/>
    </xf>
    <xf numFmtId="0" fontId="24" fillId="0" borderId="0" xfId="0" applyFont="1" applyBorder="1" applyProtection="1">
      <protection hidden="1"/>
    </xf>
    <xf numFmtId="0" fontId="23" fillId="0" borderId="0" xfId="0" applyFont="1" applyBorder="1" applyProtection="1">
      <protection hidden="1"/>
    </xf>
    <xf numFmtId="0" fontId="13" fillId="0" borderId="0" xfId="0" applyFont="1" applyAlignment="1" applyProtection="1">
      <alignment horizontal="right"/>
      <protection hidden="1"/>
    </xf>
    <xf numFmtId="0" fontId="3" fillId="0" borderId="0" xfId="0" applyFont="1" applyAlignment="1" applyProtection="1">
      <alignment vertical="center" wrapText="1"/>
    </xf>
    <xf numFmtId="0" fontId="3" fillId="3" borderId="0" xfId="0" applyNumberFormat="1" applyFont="1" applyFill="1" applyBorder="1" applyAlignment="1" applyProtection="1">
      <alignment horizontal="center" wrapText="1"/>
    </xf>
    <xf numFmtId="0" fontId="12" fillId="0" borderId="2" xfId="0" applyFont="1" applyBorder="1" applyAlignment="1" applyProtection="1">
      <protection hidden="1"/>
    </xf>
    <xf numFmtId="0" fontId="3" fillId="0" borderId="0" xfId="0" applyFont="1" applyAlignment="1" applyProtection="1">
      <alignment horizontal="center" vertical="center" wrapText="1"/>
    </xf>
    <xf numFmtId="0" fontId="3" fillId="0" borderId="0" xfId="0" applyFont="1" applyAlignment="1" applyProtection="1">
      <alignment horizontal="right"/>
      <protection hidden="1"/>
    </xf>
    <xf numFmtId="0" fontId="3" fillId="0" borderId="0" xfId="0" applyFont="1" applyAlignment="1" applyProtection="1">
      <protection hidden="1"/>
    </xf>
    <xf numFmtId="0" fontId="11" fillId="0" borderId="0" xfId="0" applyFont="1" applyBorder="1" applyAlignment="1" applyProtection="1">
      <alignment horizontal="center" vertical="center"/>
      <protection hidden="1"/>
    </xf>
    <xf numFmtId="0" fontId="12" fillId="0" borderId="0" xfId="0" applyFont="1" applyBorder="1" applyAlignment="1" applyProtection="1">
      <protection hidden="1"/>
    </xf>
    <xf numFmtId="165" fontId="12" fillId="0" borderId="0" xfId="0" applyNumberFormat="1" applyFont="1" applyBorder="1" applyAlignment="1" applyProtection="1">
      <alignment horizontal="center" vertical="center"/>
      <protection hidden="1"/>
    </xf>
    <xf numFmtId="0" fontId="15" fillId="0" borderId="0" xfId="0" applyFont="1" applyBorder="1"/>
    <xf numFmtId="0" fontId="12" fillId="0" borderId="0" xfId="0" applyFont="1" applyBorder="1" applyAlignment="1" applyProtection="1">
      <alignment horizontal="center" vertical="center"/>
      <protection hidden="1"/>
    </xf>
    <xf numFmtId="165" fontId="15" fillId="0" borderId="0" xfId="0" applyNumberFormat="1" applyFont="1" applyBorder="1" applyAlignment="1" applyProtection="1">
      <alignment horizontal="center" vertical="center"/>
      <protection hidden="1"/>
    </xf>
    <xf numFmtId="0" fontId="15" fillId="0" borderId="0" xfId="0" applyFont="1" applyBorder="1" applyAlignment="1" applyProtection="1">
      <alignment horizontal="center" vertical="center"/>
      <protection hidden="1"/>
    </xf>
    <xf numFmtId="0" fontId="11" fillId="0" borderId="2" xfId="0" applyFont="1" applyBorder="1" applyAlignment="1" applyProtection="1">
      <alignment horizontal="center" vertical="center"/>
      <protection hidden="1"/>
    </xf>
    <xf numFmtId="0" fontId="21" fillId="4" borderId="2" xfId="0" applyFont="1" applyFill="1" applyBorder="1" applyAlignment="1" applyProtection="1">
      <alignment horizontal="center" vertical="center"/>
      <protection locked="0"/>
    </xf>
    <xf numFmtId="0" fontId="15" fillId="0" borderId="2" xfId="0" applyFont="1" applyBorder="1" applyAlignment="1" applyProtection="1">
      <alignment horizontal="center" vertical="center"/>
      <protection hidden="1"/>
    </xf>
    <xf numFmtId="0" fontId="12" fillId="0" borderId="0" xfId="0" applyFont="1" applyBorder="1" applyProtection="1">
      <protection hidden="1"/>
    </xf>
    <xf numFmtId="0" fontId="12" fillId="0" borderId="0" xfId="0" applyFont="1" applyBorder="1" applyAlignment="1" applyProtection="1">
      <alignment horizontal="right"/>
      <protection hidden="1"/>
    </xf>
    <xf numFmtId="0" fontId="12" fillId="0" borderId="0" xfId="0" applyFont="1" applyBorder="1" applyAlignment="1" applyProtection="1">
      <alignment horizontal="center"/>
      <protection hidden="1"/>
    </xf>
    <xf numFmtId="0" fontId="12" fillId="0" borderId="0" xfId="0" applyFont="1" applyBorder="1" applyAlignment="1" applyProtection="1">
      <alignment vertical="center"/>
      <protection hidden="1"/>
    </xf>
    <xf numFmtId="0" fontId="11" fillId="0" borderId="0" xfId="0" applyFont="1"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left" vertical="center"/>
      <protection hidden="1"/>
    </xf>
    <xf numFmtId="0" fontId="11" fillId="0" borderId="0" xfId="0" applyFont="1" applyAlignment="1" applyProtection="1">
      <alignment horizontal="right" vertical="center"/>
      <protection hidden="1"/>
    </xf>
    <xf numFmtId="8" fontId="17" fillId="0" borderId="0" xfId="0" applyNumberFormat="1" applyFont="1" applyBorder="1" applyAlignment="1" applyProtection="1">
      <alignment horizontal="center"/>
      <protection hidden="1"/>
    </xf>
    <xf numFmtId="0" fontId="17" fillId="0" borderId="0" xfId="0" applyFont="1" applyBorder="1" applyAlignment="1" applyProtection="1">
      <alignment horizontal="right"/>
      <protection hidden="1"/>
    </xf>
    <xf numFmtId="0" fontId="19" fillId="0" borderId="0" xfId="0" applyFont="1" applyBorder="1" applyAlignment="1" applyProtection="1">
      <alignment horizontal="center"/>
      <protection hidden="1"/>
    </xf>
    <xf numFmtId="0" fontId="19" fillId="0" borderId="0" xfId="0" applyFont="1" applyBorder="1" applyProtection="1">
      <protection hidden="1"/>
    </xf>
    <xf numFmtId="165" fontId="19" fillId="0" borderId="0" xfId="0" applyNumberFormat="1" applyFont="1" applyBorder="1" applyAlignment="1" applyProtection="1">
      <alignment horizontal="center"/>
      <protection hidden="1"/>
    </xf>
    <xf numFmtId="0" fontId="15" fillId="0" borderId="0" xfId="0" applyFont="1" applyBorder="1" applyAlignment="1">
      <alignment horizontal="left"/>
    </xf>
    <xf numFmtId="0" fontId="3" fillId="3" borderId="0" xfId="0" applyFont="1" applyFill="1" applyBorder="1" applyAlignment="1" applyProtection="1">
      <protection hidden="1"/>
    </xf>
    <xf numFmtId="0" fontId="16" fillId="0" borderId="7" xfId="0" applyFont="1" applyBorder="1" applyAlignment="1" applyProtection="1">
      <alignment horizontal="left"/>
      <protection hidden="1"/>
    </xf>
    <xf numFmtId="0" fontId="3" fillId="3" borderId="0" xfId="0" applyFont="1" applyFill="1" applyAlignment="1" applyProtection="1">
      <protection hidden="1"/>
    </xf>
    <xf numFmtId="0" fontId="5" fillId="0" borderId="3" xfId="0" applyFont="1" applyBorder="1" applyProtection="1">
      <protection hidden="1"/>
    </xf>
    <xf numFmtId="0" fontId="3" fillId="0" borderId="0" xfId="0" applyFont="1" applyBorder="1" applyAlignment="1" applyProtection="1">
      <alignment horizontal="right"/>
    </xf>
    <xf numFmtId="17" fontId="4" fillId="0" borderId="3" xfId="0" applyNumberFormat="1" applyFont="1" applyBorder="1" applyProtection="1">
      <protection hidden="1"/>
    </xf>
    <xf numFmtId="1" fontId="17" fillId="0" borderId="0" xfId="0" applyNumberFormat="1" applyFont="1" applyBorder="1" applyAlignment="1" applyProtection="1"/>
    <xf numFmtId="1" fontId="20" fillId="0" borderId="0" xfId="0" applyNumberFormat="1" applyFont="1" applyBorder="1" applyAlignment="1" applyProtection="1"/>
    <xf numFmtId="0" fontId="21" fillId="5" borderId="0" xfId="0" applyFont="1" applyFill="1" applyBorder="1" applyAlignment="1" applyProtection="1">
      <alignment horizontal="center" vertical="center"/>
    </xf>
    <xf numFmtId="0" fontId="4" fillId="0" borderId="0" xfId="0" applyFont="1" applyBorder="1" applyAlignment="1" applyProtection="1">
      <alignment vertical="center"/>
      <protection hidden="1"/>
    </xf>
    <xf numFmtId="0" fontId="3" fillId="0" borderId="0" xfId="0" applyFont="1" applyAlignment="1" applyProtection="1">
      <alignment vertical="center"/>
      <protection hidden="1"/>
    </xf>
    <xf numFmtId="165" fontId="4" fillId="0" borderId="21" xfId="0" applyNumberFormat="1" applyFont="1" applyBorder="1" applyAlignment="1" applyProtection="1">
      <alignment horizontal="center"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left" vertical="center"/>
      <protection hidden="1"/>
    </xf>
    <xf numFmtId="0" fontId="3" fillId="0" borderId="0" xfId="0" applyFont="1" applyAlignment="1" applyProtection="1">
      <alignment horizontal="right" vertical="center"/>
      <protection hidden="1"/>
    </xf>
    <xf numFmtId="165" fontId="4" fillId="0" borderId="0" xfId="0" applyNumberFormat="1" applyFont="1" applyBorder="1" applyAlignment="1" applyProtection="1">
      <alignment horizontal="center" vertical="center"/>
      <protection hidden="1"/>
    </xf>
    <xf numFmtId="0" fontId="3" fillId="3" borderId="0" xfId="0" applyFont="1" applyFill="1" applyAlignment="1" applyProtection="1">
      <alignment horizontal="center"/>
      <protection hidden="1"/>
    </xf>
    <xf numFmtId="0" fontId="3" fillId="0" borderId="0" xfId="0" applyFont="1" applyAlignment="1" applyProtection="1">
      <alignment horizontal="center" vertical="center" wrapText="1"/>
    </xf>
    <xf numFmtId="0" fontId="3" fillId="3" borderId="0" xfId="0" applyFont="1" applyFill="1" applyBorder="1" applyAlignment="1" applyProtection="1">
      <alignment horizontal="center"/>
      <protection hidden="1"/>
    </xf>
    <xf numFmtId="0" fontId="4" fillId="2" borderId="0" xfId="0" applyFont="1" applyFill="1" applyAlignment="1" applyProtection="1">
      <alignment horizontal="left" vertical="top" wrapText="1"/>
      <protection hidden="1"/>
    </xf>
    <xf numFmtId="0" fontId="26" fillId="0" borderId="0" xfId="0" applyFont="1" applyBorder="1" applyAlignment="1" applyProtection="1">
      <alignment horizontal="left" vertical="top" wrapText="1"/>
      <protection hidden="1"/>
    </xf>
    <xf numFmtId="0" fontId="25" fillId="0" borderId="0" xfId="0" applyFont="1" applyBorder="1" applyAlignment="1" applyProtection="1">
      <alignment horizontal="left" vertical="top" wrapText="1"/>
      <protection hidden="1"/>
    </xf>
    <xf numFmtId="49" fontId="27" fillId="0" borderId="6" xfId="0" applyNumberFormat="1" applyFont="1" applyBorder="1" applyAlignment="1" applyProtection="1">
      <alignment horizontal="center"/>
      <protection locked="0"/>
    </xf>
    <xf numFmtId="49" fontId="28" fillId="0" borderId="6" xfId="0" applyNumberFormat="1" applyFont="1" applyBorder="1" applyAlignment="1" applyProtection="1">
      <alignment horizontal="center"/>
      <protection locked="0"/>
    </xf>
    <xf numFmtId="167" fontId="27" fillId="0" borderId="6" xfId="0" applyNumberFormat="1" applyFont="1" applyBorder="1" applyAlignment="1" applyProtection="1">
      <alignment horizontal="center"/>
      <protection locked="0"/>
    </xf>
    <xf numFmtId="0" fontId="23" fillId="0" borderId="0" xfId="0" applyNumberFormat="1" applyFont="1" applyAlignment="1" applyProtection="1">
      <alignment horizontal="center" vertical="top" wrapText="1"/>
      <protection hidden="1"/>
    </xf>
    <xf numFmtId="165" fontId="22" fillId="0" borderId="3" xfId="0" applyNumberFormat="1" applyFont="1" applyBorder="1" applyAlignment="1" applyProtection="1">
      <alignment horizontal="left"/>
    </xf>
    <xf numFmtId="165" fontId="4" fillId="0" borderId="0" xfId="0" applyNumberFormat="1" applyFont="1" applyBorder="1" applyAlignment="1" applyProtection="1">
      <alignment horizontal="center"/>
    </xf>
    <xf numFmtId="0" fontId="3" fillId="0" borderId="0" xfId="0" applyFont="1" applyAlignment="1" applyProtection="1">
      <alignment horizontal="right"/>
      <protection hidden="1"/>
    </xf>
    <xf numFmtId="0" fontId="3" fillId="0" borderId="0" xfId="0" applyFont="1" applyAlignment="1" applyProtection="1">
      <protection hidden="1"/>
    </xf>
    <xf numFmtId="0" fontId="3" fillId="4" borderId="0" xfId="0" applyFont="1" applyFill="1" applyAlignment="1" applyProtection="1">
      <alignment horizontal="left" vertical="top" wrapText="1"/>
      <protection hidden="1"/>
    </xf>
    <xf numFmtId="17" fontId="26" fillId="0" borderId="7" xfId="0" applyNumberFormat="1" applyFont="1" applyBorder="1" applyAlignment="1" applyProtection="1">
      <alignment horizontal="center" vertical="center"/>
    </xf>
    <xf numFmtId="0" fontId="14" fillId="0" borderId="3" xfId="0" applyFont="1" applyBorder="1" applyAlignment="1" applyProtection="1">
      <alignment horizontal="center"/>
      <protection locked="0"/>
    </xf>
    <xf numFmtId="0" fontId="29" fillId="0" borderId="0" xfId="0" applyFont="1" applyBorder="1" applyAlignment="1" applyProtection="1">
      <alignment horizontal="left" vertical="center" wrapText="1"/>
      <protection hidden="1"/>
    </xf>
    <xf numFmtId="0" fontId="1" fillId="0" borderId="6" xfId="0" applyFont="1" applyBorder="1" applyAlignment="1" applyProtection="1">
      <alignment horizontal="left" vertical="center" wrapText="1"/>
      <protection locked="0"/>
    </xf>
    <xf numFmtId="0" fontId="15" fillId="0" borderId="4" xfId="0" applyFont="1" applyBorder="1" applyAlignment="1" applyProtection="1">
      <alignment horizontal="center" vertical="center" wrapText="1"/>
      <protection hidden="1"/>
    </xf>
    <xf numFmtId="0" fontId="15" fillId="0" borderId="5" xfId="0" applyFont="1" applyBorder="1"/>
    <xf numFmtId="0" fontId="15" fillId="0" borderId="12" xfId="0" applyFont="1" applyBorder="1"/>
    <xf numFmtId="0" fontId="15" fillId="0" borderId="13" xfId="0" applyFont="1" applyBorder="1"/>
    <xf numFmtId="0" fontId="15" fillId="0" borderId="3" xfId="0" applyFont="1" applyBorder="1"/>
    <xf numFmtId="0" fontId="15" fillId="0" borderId="14" xfId="0" applyFont="1" applyBorder="1"/>
    <xf numFmtId="0" fontId="12" fillId="0" borderId="1" xfId="0" applyFont="1" applyBorder="1" applyAlignment="1" applyProtection="1">
      <alignment horizontal="center" vertical="center"/>
      <protection hidden="1"/>
    </xf>
    <xf numFmtId="0" fontId="12" fillId="0" borderId="2" xfId="0" applyFont="1" applyBorder="1" applyAlignment="1" applyProtection="1">
      <protection hidden="1"/>
    </xf>
    <xf numFmtId="0" fontId="15" fillId="0" borderId="15" xfId="0" applyFont="1" applyBorder="1" applyAlignment="1" applyProtection="1">
      <alignment horizontal="center" vertical="center"/>
      <protection hidden="1"/>
    </xf>
    <xf numFmtId="0" fontId="15" fillId="0" borderId="16" xfId="0" applyFont="1" applyBorder="1" applyAlignment="1" applyProtection="1">
      <alignment horizontal="center" vertical="center"/>
      <protection hidden="1"/>
    </xf>
    <xf numFmtId="0" fontId="15" fillId="0" borderId="19" xfId="0" applyFont="1" applyBorder="1" applyAlignment="1" applyProtection="1">
      <alignment horizontal="center" vertical="center"/>
      <protection hidden="1"/>
    </xf>
    <xf numFmtId="0" fontId="15" fillId="0" borderId="10" xfId="0" applyFont="1" applyBorder="1" applyAlignment="1" applyProtection="1">
      <alignment horizontal="center" vertical="center"/>
      <protection hidden="1"/>
    </xf>
    <xf numFmtId="0" fontId="15" fillId="0" borderId="11" xfId="0" applyFont="1" applyBorder="1" applyAlignment="1" applyProtection="1">
      <alignment horizontal="center" vertical="center"/>
      <protection hidden="1"/>
    </xf>
    <xf numFmtId="0" fontId="15" fillId="0" borderId="20" xfId="0" applyFont="1" applyBorder="1" applyAlignment="1" applyProtection="1">
      <alignment horizontal="center" vertical="center"/>
      <protection hidden="1"/>
    </xf>
    <xf numFmtId="0" fontId="15" fillId="0" borderId="17" xfId="0" applyFont="1" applyBorder="1" applyAlignment="1" applyProtection="1">
      <alignment horizontal="center" vertical="center"/>
      <protection hidden="1"/>
    </xf>
    <xf numFmtId="0" fontId="15" fillId="0" borderId="6" xfId="0" applyFont="1" applyBorder="1" applyAlignment="1" applyProtection="1">
      <alignment horizontal="center" vertical="center"/>
      <protection hidden="1"/>
    </xf>
    <xf numFmtId="0" fontId="15" fillId="0" borderId="23" xfId="0" applyFont="1" applyBorder="1" applyAlignment="1" applyProtection="1">
      <alignment horizontal="center" vertical="center"/>
      <protection hidden="1"/>
    </xf>
    <xf numFmtId="0" fontId="30" fillId="0" borderId="6" xfId="1" applyFont="1" applyBorder="1" applyAlignment="1" applyProtection="1">
      <alignment horizontal="left" vertical="center" wrapText="1"/>
      <protection locked="0"/>
    </xf>
    <xf numFmtId="164" fontId="17" fillId="0" borderId="6" xfId="0" applyNumberFormat="1" applyFont="1" applyBorder="1" applyAlignment="1" applyProtection="1">
      <alignment horizontal="center"/>
      <protection locked="0"/>
    </xf>
    <xf numFmtId="0" fontId="13" fillId="0" borderId="0" xfId="0" applyFont="1" applyFill="1" applyBorder="1" applyAlignment="1" applyProtection="1">
      <alignment horizontal="center" wrapText="1"/>
      <protection hidden="1"/>
    </xf>
    <xf numFmtId="0" fontId="13" fillId="0" borderId="3" xfId="0" applyFont="1" applyFill="1" applyBorder="1" applyAlignment="1" applyProtection="1">
      <alignment horizontal="center" wrapText="1"/>
      <protection hidden="1"/>
    </xf>
    <xf numFmtId="0" fontId="1" fillId="0" borderId="6" xfId="0" applyFont="1" applyBorder="1" applyAlignment="1" applyProtection="1">
      <alignment horizontal="left" vertical="center" wrapText="1"/>
      <protection locked="0" hidden="1"/>
    </xf>
    <xf numFmtId="0" fontId="4" fillId="0" borderId="0" xfId="0" applyFont="1" applyFill="1" applyAlignment="1" applyProtection="1">
      <alignment horizontal="left" vertical="top" wrapText="1"/>
      <protection hidden="1"/>
    </xf>
    <xf numFmtId="0" fontId="3" fillId="2" borderId="0" xfId="0" applyFont="1" applyFill="1" applyAlignment="1" applyProtection="1">
      <alignment horizontal="left" vertical="top" wrapText="1"/>
      <protection hidden="1"/>
    </xf>
    <xf numFmtId="0" fontId="1" fillId="0" borderId="6" xfId="0" applyFont="1" applyBorder="1" applyAlignment="1" applyProtection="1">
      <alignment horizontal="center" vertical="center"/>
      <protection locked="0" hidden="1"/>
    </xf>
    <xf numFmtId="0" fontId="13" fillId="2" borderId="15" xfId="0" applyFont="1" applyFill="1" applyBorder="1" applyAlignment="1" applyProtection="1">
      <alignment horizontal="left" wrapText="1"/>
      <protection hidden="1"/>
    </xf>
    <xf numFmtId="0" fontId="13" fillId="2" borderId="16" xfId="0" applyFont="1" applyFill="1" applyBorder="1" applyAlignment="1" applyProtection="1">
      <alignment horizontal="left" wrapText="1"/>
      <protection hidden="1"/>
    </xf>
    <xf numFmtId="0" fontId="13" fillId="2" borderId="19" xfId="0" applyFont="1" applyFill="1" applyBorder="1" applyAlignment="1" applyProtection="1">
      <alignment horizontal="left" wrapText="1"/>
      <protection hidden="1"/>
    </xf>
    <xf numFmtId="0" fontId="1" fillId="0" borderId="9" xfId="0" applyFont="1" applyBorder="1" applyAlignment="1" applyProtection="1">
      <alignment horizontal="left" vertical="center" wrapText="1"/>
      <protection locked="0"/>
    </xf>
    <xf numFmtId="0" fontId="9" fillId="0" borderId="8" xfId="0" applyFont="1" applyBorder="1" applyAlignment="1" applyProtection="1">
      <alignment horizontal="left" wrapText="1"/>
      <protection hidden="1"/>
    </xf>
    <xf numFmtId="0" fontId="9" fillId="0" borderId="9" xfId="0" applyFont="1" applyBorder="1" applyAlignment="1" applyProtection="1">
      <alignment horizontal="left" wrapText="1"/>
      <protection hidden="1"/>
    </xf>
    <xf numFmtId="0" fontId="9" fillId="0" borderId="22" xfId="0" applyFont="1" applyBorder="1" applyAlignment="1" applyProtection="1">
      <alignment horizontal="left" wrapText="1"/>
      <protection hidden="1"/>
    </xf>
    <xf numFmtId="49" fontId="11" fillId="0" borderId="0" xfId="0" applyNumberFormat="1" applyFont="1" applyBorder="1" applyAlignment="1" applyProtection="1">
      <alignment horizontal="right"/>
      <protection hidden="1"/>
    </xf>
    <xf numFmtId="0" fontId="15" fillId="0" borderId="1" xfId="0" applyFont="1" applyBorder="1" applyAlignment="1" applyProtection="1">
      <alignment horizontal="center" vertical="center"/>
      <protection hidden="1"/>
    </xf>
    <xf numFmtId="0" fontId="15" fillId="0" borderId="2" xfId="0" applyFont="1" applyBorder="1" applyAlignment="1" applyProtection="1">
      <alignment horizontal="center" vertical="center"/>
      <protection hidden="1"/>
    </xf>
    <xf numFmtId="0" fontId="15" fillId="0" borderId="18" xfId="0" applyFont="1" applyBorder="1" applyAlignment="1" applyProtection="1">
      <alignment horizontal="center" vertical="center"/>
      <protection hidden="1"/>
    </xf>
    <xf numFmtId="0" fontId="4" fillId="0" borderId="1" xfId="0" applyFont="1" applyBorder="1" applyAlignment="1" applyProtection="1">
      <alignment horizontal="center" vertical="center" wrapText="1"/>
      <protection hidden="1"/>
    </xf>
    <xf numFmtId="0" fontId="4" fillId="0" borderId="2" xfId="0" applyFont="1" applyBorder="1"/>
    <xf numFmtId="0" fontId="4" fillId="0" borderId="18" xfId="0" applyFont="1" applyBorder="1"/>
    <xf numFmtId="0" fontId="1" fillId="0" borderId="0" xfId="0" applyFont="1" applyAlignment="1" applyProtection="1">
      <alignment horizontal="center"/>
      <protection hidden="1"/>
    </xf>
    <xf numFmtId="0" fontId="3" fillId="0" borderId="0" xfId="0" applyFont="1" applyAlignment="1" applyProtection="1">
      <alignment horizontal="center"/>
      <protection hidden="1"/>
    </xf>
    <xf numFmtId="0" fontId="17" fillId="0" borderId="6" xfId="0" applyFont="1" applyBorder="1" applyAlignment="1" applyProtection="1">
      <alignment horizontal="center"/>
      <protection locked="0"/>
    </xf>
    <xf numFmtId="0" fontId="16" fillId="0" borderId="7" xfId="0" applyFont="1" applyBorder="1" applyAlignment="1" applyProtection="1">
      <alignment horizontal="center"/>
      <protection hidden="1"/>
    </xf>
    <xf numFmtId="49" fontId="17" fillId="0" borderId="6" xfId="0" applyNumberFormat="1" applyFont="1" applyBorder="1" applyAlignment="1" applyProtection="1">
      <alignment horizontal="center"/>
      <protection locked="0"/>
    </xf>
    <xf numFmtId="166" fontId="11" fillId="0" borderId="0" xfId="0" applyNumberFormat="1" applyFont="1" applyBorder="1" applyAlignment="1" applyProtection="1">
      <alignment horizontal="center"/>
    </xf>
    <xf numFmtId="0" fontId="11" fillId="0" borderId="0" xfId="0" applyFont="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S61"/>
  <sheetViews>
    <sheetView showGridLines="0" tabSelected="1" view="pageLayout" zoomScale="50" zoomScaleNormal="75" zoomScalePageLayoutView="50" workbookViewId="0">
      <selection activeCell="C5" sqref="C5:F5"/>
    </sheetView>
  </sheetViews>
  <sheetFormatPr defaultRowHeight="15"/>
  <cols>
    <col min="1" max="1" width="9.140625" style="1"/>
    <col min="2" max="2" width="31.7109375" style="1" customWidth="1"/>
    <col min="3" max="3" width="4.140625" style="1" customWidth="1"/>
    <col min="4" max="4" width="31.85546875" style="1" customWidth="1"/>
    <col min="5" max="5" width="10.7109375" style="1" customWidth="1"/>
    <col min="6" max="6" width="10.85546875" style="1" customWidth="1"/>
    <col min="7" max="7" width="9.140625" style="1"/>
    <col min="8" max="8" width="14.5703125" style="1" bestFit="1" customWidth="1"/>
    <col min="9" max="9" width="25.5703125" style="1" customWidth="1"/>
    <col min="10" max="10" width="15.85546875" style="1" customWidth="1"/>
    <col min="11" max="11" width="9.140625" style="1"/>
    <col min="12" max="12" width="26.42578125" style="1" bestFit="1" customWidth="1"/>
    <col min="13" max="14" width="9.140625" style="1"/>
    <col min="15" max="15" width="5.85546875" style="1" customWidth="1"/>
    <col min="16" max="16384" width="9.140625" style="1"/>
  </cols>
  <sheetData>
    <row r="1" spans="2:15" ht="30">
      <c r="B1" s="163" t="s">
        <v>20</v>
      </c>
      <c r="C1" s="163"/>
      <c r="D1" s="163"/>
      <c r="E1" s="163"/>
      <c r="F1" s="163"/>
      <c r="G1" s="163"/>
      <c r="H1" s="163"/>
      <c r="I1" s="163"/>
      <c r="J1" s="163"/>
      <c r="K1" s="163"/>
      <c r="L1" s="163"/>
      <c r="M1" s="163"/>
      <c r="N1" s="163"/>
      <c r="O1" s="163"/>
    </row>
    <row r="2" spans="2:15" ht="20.25">
      <c r="B2" s="164" t="s">
        <v>58</v>
      </c>
      <c r="C2" s="164"/>
      <c r="D2" s="164"/>
      <c r="E2" s="164"/>
      <c r="F2" s="164"/>
      <c r="G2" s="164"/>
      <c r="H2" s="164"/>
      <c r="I2" s="164"/>
      <c r="J2" s="164"/>
      <c r="K2" s="164"/>
      <c r="L2" s="164"/>
      <c r="M2" s="164"/>
      <c r="N2" s="164"/>
      <c r="O2" s="164"/>
    </row>
    <row r="3" spans="2:15" ht="20.25">
      <c r="B3" s="12"/>
      <c r="C3" s="12"/>
      <c r="D3" s="12"/>
      <c r="E3" s="12"/>
      <c r="F3" s="12"/>
      <c r="G3" s="12"/>
      <c r="H3" s="12"/>
      <c r="I3" s="12"/>
      <c r="J3" s="12"/>
      <c r="K3" s="12"/>
      <c r="L3" s="12"/>
      <c r="M3" s="12"/>
      <c r="N3" s="12"/>
      <c r="O3" s="12"/>
    </row>
    <row r="4" spans="2:15" ht="20.25">
      <c r="B4" s="12"/>
      <c r="C4" s="12"/>
      <c r="D4" s="12"/>
      <c r="E4" s="12"/>
      <c r="F4" s="12"/>
      <c r="G4" s="12"/>
      <c r="H4" s="12"/>
      <c r="I4" s="12"/>
      <c r="J4" s="12"/>
      <c r="K4" s="12"/>
      <c r="L4" s="12"/>
      <c r="M4" s="12"/>
      <c r="N4" s="12"/>
      <c r="O4" s="12"/>
    </row>
    <row r="5" spans="2:15" ht="36" customHeight="1">
      <c r="B5" s="28" t="s">
        <v>10</v>
      </c>
      <c r="C5" s="167"/>
      <c r="D5" s="167"/>
      <c r="E5" s="167"/>
      <c r="F5" s="167"/>
      <c r="G5" s="168" t="s">
        <v>19</v>
      </c>
      <c r="H5" s="169"/>
      <c r="I5" s="165" t="s">
        <v>25</v>
      </c>
      <c r="J5" s="165"/>
      <c r="K5" s="165"/>
      <c r="L5" s="165"/>
      <c r="M5" s="165"/>
      <c r="N5" s="165"/>
    </row>
    <row r="6" spans="2:15" ht="18" customHeight="1">
      <c r="B6" s="28"/>
      <c r="C6" s="48"/>
      <c r="D6" s="48"/>
      <c r="E6" s="35"/>
      <c r="F6" s="34"/>
      <c r="H6" s="50"/>
      <c r="I6" s="166" t="s">
        <v>30</v>
      </c>
      <c r="J6" s="166"/>
      <c r="K6" s="166"/>
      <c r="L6" s="166"/>
      <c r="M6" s="166"/>
      <c r="N6" s="166"/>
    </row>
    <row r="7" spans="2:15" ht="36" customHeight="1">
      <c r="B7" s="28" t="s">
        <v>0</v>
      </c>
      <c r="C7" s="142" t="s">
        <v>25</v>
      </c>
      <c r="D7" s="142"/>
      <c r="E7" s="29"/>
      <c r="F7" s="27"/>
      <c r="G7" s="156" t="s">
        <v>9</v>
      </c>
      <c r="H7" s="156"/>
      <c r="I7" s="142" t="s">
        <v>25</v>
      </c>
      <c r="J7" s="142"/>
      <c r="M7" s="9"/>
    </row>
    <row r="8" spans="2:15" ht="72" customHeight="1">
      <c r="B8" s="82" t="s">
        <v>12</v>
      </c>
      <c r="C8" s="123" t="s">
        <v>25</v>
      </c>
      <c r="D8" s="123"/>
      <c r="E8" s="123"/>
      <c r="F8" s="123"/>
      <c r="G8" s="123"/>
      <c r="H8" s="82" t="s">
        <v>13</v>
      </c>
      <c r="I8" s="141"/>
      <c r="J8" s="141"/>
      <c r="K8" s="141"/>
      <c r="L8" s="141"/>
      <c r="M8" s="141"/>
      <c r="N8" s="141"/>
      <c r="O8" s="141"/>
    </row>
    <row r="9" spans="2:15" ht="72" customHeight="1">
      <c r="B9" s="82" t="s">
        <v>8</v>
      </c>
      <c r="C9" s="152" t="s">
        <v>25</v>
      </c>
      <c r="D9" s="152"/>
      <c r="E9" s="152"/>
      <c r="F9" s="152"/>
      <c r="G9" s="40"/>
      <c r="H9" s="82" t="s">
        <v>15</v>
      </c>
      <c r="I9" s="145" t="s">
        <v>25</v>
      </c>
      <c r="J9" s="145"/>
      <c r="K9" s="145"/>
      <c r="L9" s="82" t="s">
        <v>14</v>
      </c>
      <c r="M9" s="148" t="s">
        <v>25</v>
      </c>
      <c r="N9" s="148"/>
      <c r="O9" s="148"/>
    </row>
    <row r="10" spans="2:15" ht="18">
      <c r="B10"/>
      <c r="C10" s="90" t="s">
        <v>29</v>
      </c>
      <c r="E10" s="49"/>
      <c r="F10" s="49"/>
      <c r="G10" s="36"/>
      <c r="H10" s="36"/>
      <c r="I10" s="36"/>
      <c r="J10" s="27"/>
      <c r="K10" s="27"/>
      <c r="L10" s="27"/>
    </row>
    <row r="11" spans="2:15" s="7" customFormat="1" ht="21.75" customHeight="1" thickBot="1">
      <c r="B11" s="143" t="s">
        <v>43</v>
      </c>
      <c r="C11" s="143"/>
      <c r="D11" s="143"/>
      <c r="E11" s="143"/>
      <c r="F11" s="143"/>
      <c r="G11" s="143"/>
      <c r="H11" s="143"/>
      <c r="I11" s="143"/>
      <c r="J11" s="143"/>
      <c r="K11" s="143"/>
      <c r="L11" s="143"/>
    </row>
    <row r="12" spans="2:15" s="3" customFormat="1" ht="47.25" customHeight="1" thickBot="1">
      <c r="B12" s="144"/>
      <c r="C12" s="144"/>
      <c r="D12" s="144"/>
      <c r="E12" s="144"/>
      <c r="F12" s="144"/>
      <c r="G12" s="144"/>
      <c r="H12" s="144"/>
      <c r="I12" s="144"/>
      <c r="J12" s="144"/>
      <c r="K12" s="144"/>
      <c r="L12" s="144"/>
      <c r="M12" s="149" t="s">
        <v>18</v>
      </c>
      <c r="N12" s="150"/>
      <c r="O12" s="151"/>
    </row>
    <row r="13" spans="2:15" s="11" customFormat="1" ht="38.1" customHeight="1" thickBot="1">
      <c r="B13" s="18"/>
      <c r="C13" s="19"/>
      <c r="D13" s="19"/>
      <c r="E13" s="20"/>
      <c r="F13" s="19"/>
      <c r="G13" s="19"/>
      <c r="H13" s="19" t="s">
        <v>1</v>
      </c>
      <c r="I13" s="19"/>
      <c r="J13" s="31" t="s">
        <v>47</v>
      </c>
      <c r="K13" s="19"/>
      <c r="L13" s="19" t="s">
        <v>2</v>
      </c>
      <c r="M13" s="153" t="s">
        <v>26</v>
      </c>
      <c r="N13" s="154"/>
      <c r="O13" s="155"/>
    </row>
    <row r="14" spans="2:15" ht="30" customHeight="1" thickBot="1">
      <c r="B14" s="124" t="s">
        <v>57</v>
      </c>
      <c r="C14" s="125"/>
      <c r="D14" s="126"/>
      <c r="E14" s="130" t="s">
        <v>6</v>
      </c>
      <c r="F14" s="131"/>
      <c r="G14" s="21"/>
      <c r="H14" s="22">
        <v>46.99</v>
      </c>
      <c r="I14" s="23" t="s">
        <v>21</v>
      </c>
      <c r="J14" s="52">
        <v>0</v>
      </c>
      <c r="K14" s="23" t="s">
        <v>4</v>
      </c>
      <c r="L14" s="32">
        <f xml:space="preserve"> J14 * H14</f>
        <v>0</v>
      </c>
      <c r="M14" s="138">
        <v>1622894</v>
      </c>
      <c r="N14" s="139"/>
      <c r="O14" s="140"/>
    </row>
    <row r="15" spans="2:15" ht="30" customHeight="1" thickBot="1">
      <c r="B15" s="127"/>
      <c r="C15" s="128"/>
      <c r="D15" s="129"/>
      <c r="E15" s="130" t="s">
        <v>17</v>
      </c>
      <c r="F15" s="131"/>
      <c r="G15" s="21"/>
      <c r="H15" s="22">
        <v>38.99</v>
      </c>
      <c r="I15" s="23" t="s">
        <v>3</v>
      </c>
      <c r="J15" s="52">
        <v>0</v>
      </c>
      <c r="K15" s="23" t="s">
        <v>4</v>
      </c>
      <c r="L15" s="32">
        <f xml:space="preserve"> J15 * H15</f>
        <v>0</v>
      </c>
      <c r="M15" s="135">
        <v>1622895</v>
      </c>
      <c r="N15" s="136"/>
      <c r="O15" s="137"/>
    </row>
    <row r="16" spans="2:15" s="8" customFormat="1" ht="30" customHeight="1" thickBot="1">
      <c r="B16" s="68"/>
      <c r="C16" s="68"/>
      <c r="D16" s="68"/>
      <c r="E16" s="69"/>
      <c r="F16" s="66"/>
      <c r="G16" s="66"/>
      <c r="H16" s="67"/>
      <c r="I16" s="65"/>
      <c r="J16" s="97"/>
      <c r="K16" s="65"/>
      <c r="L16" s="70"/>
      <c r="M16" s="71"/>
      <c r="N16" s="71"/>
      <c r="O16" s="71"/>
    </row>
    <row r="17" spans="2:19" ht="30" customHeight="1" thickBot="1">
      <c r="B17" s="124" t="s">
        <v>56</v>
      </c>
      <c r="C17" s="125"/>
      <c r="D17" s="126"/>
      <c r="E17" s="130" t="s">
        <v>6</v>
      </c>
      <c r="F17" s="131"/>
      <c r="G17" s="61"/>
      <c r="H17" s="39">
        <v>56.99</v>
      </c>
      <c r="I17" s="72" t="s">
        <v>21</v>
      </c>
      <c r="J17" s="73">
        <v>0</v>
      </c>
      <c r="K17" s="72" t="s">
        <v>4</v>
      </c>
      <c r="L17" s="33">
        <f xml:space="preserve"> J17 * H17</f>
        <v>0</v>
      </c>
      <c r="M17" s="132">
        <v>1693274</v>
      </c>
      <c r="N17" s="133"/>
      <c r="O17" s="134"/>
    </row>
    <row r="18" spans="2:19" ht="30" customHeight="1" thickBot="1">
      <c r="B18" s="127"/>
      <c r="C18" s="128"/>
      <c r="D18" s="129"/>
      <c r="E18" s="130" t="s">
        <v>17</v>
      </c>
      <c r="F18" s="131"/>
      <c r="G18" s="21" t="s">
        <v>25</v>
      </c>
      <c r="H18" s="22">
        <v>46.99</v>
      </c>
      <c r="I18" s="23" t="s">
        <v>3</v>
      </c>
      <c r="J18" s="52">
        <v>0</v>
      </c>
      <c r="K18" s="23" t="s">
        <v>4</v>
      </c>
      <c r="L18" s="32">
        <f xml:space="preserve"> J18 * H18</f>
        <v>0</v>
      </c>
      <c r="M18" s="135">
        <v>1693275</v>
      </c>
      <c r="N18" s="136"/>
      <c r="O18" s="137"/>
    </row>
    <row r="19" spans="2:19" ht="30" customHeight="1" thickBot="1">
      <c r="B19" s="88"/>
      <c r="C19" s="68"/>
      <c r="D19" s="68"/>
      <c r="E19" s="69"/>
      <c r="F19" s="66"/>
      <c r="G19" s="66"/>
      <c r="H19" s="67"/>
      <c r="I19" s="65"/>
      <c r="J19" s="97"/>
      <c r="K19" s="65"/>
      <c r="L19" s="32"/>
      <c r="M19" s="74"/>
      <c r="N19" s="74"/>
      <c r="O19" s="74"/>
    </row>
    <row r="20" spans="2:19" ht="44.25" customHeight="1" thickBot="1">
      <c r="B20" s="160" t="s">
        <v>48</v>
      </c>
      <c r="C20" s="161"/>
      <c r="D20" s="162"/>
      <c r="E20" s="24"/>
      <c r="F20" s="38"/>
      <c r="G20" s="38"/>
      <c r="H20" s="39">
        <v>10.8</v>
      </c>
      <c r="I20" s="26" t="s">
        <v>3</v>
      </c>
      <c r="J20" s="53">
        <v>0</v>
      </c>
      <c r="K20" s="26" t="s">
        <v>4</v>
      </c>
      <c r="L20" s="33">
        <f>H20 * J20</f>
        <v>0</v>
      </c>
      <c r="M20" s="157">
        <v>1604847</v>
      </c>
      <c r="N20" s="158"/>
      <c r="O20" s="159"/>
    </row>
    <row r="21" spans="2:19" ht="18">
      <c r="B21" s="25"/>
      <c r="C21" s="25"/>
      <c r="D21" s="25"/>
      <c r="E21" s="25"/>
      <c r="F21" s="27" t="s">
        <v>5</v>
      </c>
      <c r="G21" s="27"/>
      <c r="H21" s="27"/>
      <c r="I21" s="25"/>
      <c r="J21" s="25"/>
      <c r="K21" s="25"/>
      <c r="L21" s="25"/>
      <c r="S21" s="13"/>
    </row>
    <row r="22" spans="2:19" ht="18">
      <c r="B22" s="75" t="s">
        <v>25</v>
      </c>
      <c r="C22" s="75"/>
      <c r="D22" s="75"/>
      <c r="E22" s="75"/>
      <c r="F22" s="27"/>
      <c r="G22" s="27"/>
      <c r="H22" s="27"/>
      <c r="I22" s="75"/>
      <c r="J22" s="75"/>
      <c r="K22" s="75"/>
      <c r="L22" s="75"/>
      <c r="S22" s="13"/>
    </row>
    <row r="23" spans="2:19" ht="26.25" customHeight="1">
      <c r="C23" s="75"/>
      <c r="D23" s="84" t="s">
        <v>37</v>
      </c>
      <c r="E23" s="109" t="s">
        <v>46</v>
      </c>
      <c r="F23" s="109"/>
      <c r="G23" s="109"/>
      <c r="H23" s="27"/>
      <c r="I23" s="85" t="s">
        <v>38</v>
      </c>
      <c r="J23" s="86"/>
      <c r="K23" s="86"/>
      <c r="L23" s="85" t="s">
        <v>39</v>
      </c>
      <c r="S23" s="13"/>
    </row>
    <row r="24" spans="2:19" ht="26.25" customHeight="1">
      <c r="B24" s="76"/>
      <c r="C24" s="75"/>
      <c r="D24" s="75"/>
      <c r="E24" s="109"/>
      <c r="F24" s="109"/>
      <c r="G24" s="109"/>
      <c r="H24" s="27"/>
      <c r="I24" s="87">
        <v>10</v>
      </c>
      <c r="J24" s="86"/>
      <c r="K24" s="86"/>
      <c r="L24" s="87">
        <v>15</v>
      </c>
      <c r="S24" s="13"/>
    </row>
    <row r="25" spans="2:19" s="101" customFormat="1" ht="36" customHeight="1">
      <c r="B25" s="98"/>
      <c r="C25" s="98"/>
      <c r="D25" s="98" t="s">
        <v>25</v>
      </c>
      <c r="E25" s="98"/>
      <c r="F25" s="99"/>
      <c r="G25" s="99"/>
      <c r="H25" s="99" t="s">
        <v>41</v>
      </c>
      <c r="I25" s="100">
        <f>SUM(L14+L15+L20+L17+L18+I24)</f>
        <v>10</v>
      </c>
      <c r="J25" s="98"/>
      <c r="K25" s="98"/>
      <c r="L25" s="100">
        <f>SUM(L14+L15+L17+L18+L20+L24)</f>
        <v>15</v>
      </c>
      <c r="S25" s="102"/>
    </row>
    <row r="26" spans="2:19" s="101" customFormat="1" ht="30" customHeight="1">
      <c r="B26" s="98"/>
      <c r="C26" s="98"/>
      <c r="D26" s="98"/>
      <c r="E26" s="98"/>
      <c r="F26" s="99"/>
      <c r="G26" s="99"/>
      <c r="H26" s="103" t="s">
        <v>42</v>
      </c>
      <c r="I26" s="104">
        <f>SUM(L14+L15+L17+L18)*0.08125</f>
        <v>0</v>
      </c>
      <c r="J26" s="98"/>
      <c r="K26" s="98"/>
      <c r="L26" s="104">
        <f>SUM(L14+L15+L17+L18)*0.08125</f>
        <v>0</v>
      </c>
      <c r="S26" s="102"/>
    </row>
    <row r="27" spans="2:19" s="101" customFormat="1" ht="30" customHeight="1">
      <c r="B27" s="122" t="s">
        <v>53</v>
      </c>
      <c r="C27" s="122"/>
      <c r="D27" s="122"/>
      <c r="E27" s="122"/>
      <c r="F27" s="122"/>
      <c r="G27" s="122"/>
      <c r="H27" s="99" t="s">
        <v>40</v>
      </c>
      <c r="I27" s="100">
        <f>SUM(I25+I26)</f>
        <v>10</v>
      </c>
      <c r="J27" s="98"/>
      <c r="K27" s="98"/>
      <c r="L27" s="100">
        <f>SUM(L25+L26)</f>
        <v>15</v>
      </c>
      <c r="S27" s="102"/>
    </row>
    <row r="28" spans="2:19" s="80" customFormat="1" ht="30" customHeight="1">
      <c r="B28" s="122"/>
      <c r="C28" s="122"/>
      <c r="D28" s="122"/>
      <c r="E28" s="122"/>
      <c r="F28" s="122"/>
      <c r="G28" s="122"/>
      <c r="H28" s="79"/>
      <c r="I28" s="67"/>
      <c r="J28" s="78"/>
      <c r="K28" s="78"/>
      <c r="L28" s="67"/>
      <c r="S28" s="81"/>
    </row>
    <row r="29" spans="2:19" ht="18">
      <c r="B29" s="75"/>
      <c r="C29" s="75"/>
      <c r="D29" s="75"/>
      <c r="E29" s="75"/>
      <c r="F29" s="27"/>
      <c r="G29" s="27"/>
      <c r="H29" s="27"/>
      <c r="I29" s="77"/>
      <c r="J29" s="75"/>
      <c r="K29" s="75"/>
      <c r="L29" s="75"/>
      <c r="S29" s="13"/>
    </row>
    <row r="30" spans="2:19" s="17" customFormat="1" ht="26.25" customHeight="1">
      <c r="B30" s="56" t="s">
        <v>34</v>
      </c>
      <c r="C30" s="57"/>
      <c r="D30" s="57"/>
      <c r="E30" s="57"/>
      <c r="F30" s="57"/>
      <c r="G30" s="57"/>
      <c r="H30" s="57"/>
      <c r="I30" s="57"/>
      <c r="J30" s="57"/>
      <c r="K30" s="30"/>
      <c r="L30" s="30"/>
    </row>
    <row r="31" spans="2:19" s="17" customFormat="1" ht="26.25" customHeight="1">
      <c r="B31" s="110" t="s">
        <v>59</v>
      </c>
      <c r="C31" s="110"/>
      <c r="D31" s="110"/>
      <c r="E31" s="110"/>
      <c r="F31" s="110"/>
      <c r="G31" s="110"/>
      <c r="H31" s="110"/>
      <c r="I31" s="110"/>
      <c r="J31" s="110"/>
      <c r="K31" s="110"/>
      <c r="L31" s="110"/>
      <c r="M31" s="110"/>
      <c r="N31" s="110"/>
      <c r="O31" s="110"/>
    </row>
    <row r="32" spans="2:19" s="17" customFormat="1" ht="30.75" customHeight="1">
      <c r="B32" s="110"/>
      <c r="C32" s="110"/>
      <c r="D32" s="110"/>
      <c r="E32" s="110"/>
      <c r="F32" s="110"/>
      <c r="G32" s="110"/>
      <c r="H32" s="110"/>
      <c r="I32" s="110"/>
      <c r="J32" s="110"/>
      <c r="K32" s="110"/>
      <c r="L32" s="110"/>
      <c r="M32" s="110"/>
      <c r="N32" s="110"/>
      <c r="O32" s="110"/>
    </row>
    <row r="33" spans="2:18" s="17" customFormat="1" ht="20.25" customHeight="1">
      <c r="B33" s="110"/>
      <c r="C33" s="110"/>
      <c r="D33" s="110"/>
      <c r="E33" s="110"/>
      <c r="F33" s="110"/>
      <c r="G33" s="110"/>
      <c r="H33" s="110"/>
      <c r="I33" s="110"/>
      <c r="J33" s="110"/>
      <c r="K33" s="110"/>
      <c r="L33" s="110"/>
      <c r="M33" s="110"/>
      <c r="N33" s="110"/>
      <c r="O33" s="110"/>
    </row>
    <row r="34" spans="2:18" s="17" customFormat="1" ht="18" customHeight="1">
      <c r="L34" s="83" t="s">
        <v>25</v>
      </c>
      <c r="M34" s="37" t="s">
        <v>25</v>
      </c>
      <c r="N34" s="41"/>
    </row>
    <row r="35" spans="2:18" s="5" customFormat="1" ht="24" customHeight="1">
      <c r="B35" s="119" t="s">
        <v>7</v>
      </c>
      <c r="C35" s="119"/>
      <c r="D35" s="119"/>
      <c r="E35" s="47"/>
      <c r="F35" s="47"/>
      <c r="G35" s="10"/>
      <c r="H35" s="10"/>
      <c r="I35" s="10"/>
      <c r="J35" s="10"/>
      <c r="K35" s="16"/>
      <c r="L35" s="10"/>
      <c r="M35" s="10"/>
    </row>
    <row r="36" spans="2:18" s="6" customFormat="1" ht="50.25" customHeight="1">
      <c r="B36" s="147" t="s">
        <v>60</v>
      </c>
      <c r="C36" s="147"/>
      <c r="D36" s="147"/>
      <c r="E36" s="147"/>
      <c r="F36" s="147"/>
      <c r="G36" s="147"/>
      <c r="H36" s="147"/>
      <c r="I36" s="147"/>
      <c r="J36" s="147"/>
      <c r="K36" s="147"/>
      <c r="L36" s="147"/>
      <c r="M36" s="147"/>
      <c r="N36" s="147"/>
      <c r="O36" s="147"/>
    </row>
    <row r="37" spans="2:18" s="4" customFormat="1" ht="26.25" customHeight="1">
      <c r="B37" s="146" t="s">
        <v>33</v>
      </c>
      <c r="C37" s="146"/>
      <c r="D37" s="146"/>
      <c r="E37" s="146"/>
      <c r="F37" s="146"/>
      <c r="G37" s="146"/>
      <c r="H37" s="146"/>
      <c r="I37" s="146"/>
      <c r="J37" s="146"/>
      <c r="K37" s="146"/>
      <c r="L37" s="146"/>
      <c r="M37" s="146"/>
      <c r="N37" s="146"/>
      <c r="O37" s="146"/>
    </row>
    <row r="38" spans="2:18" s="4" customFormat="1" ht="26.25" customHeight="1">
      <c r="B38" s="108" t="s">
        <v>35</v>
      </c>
      <c r="C38" s="108"/>
      <c r="D38" s="108"/>
      <c r="E38" s="108"/>
      <c r="F38" s="108"/>
      <c r="G38" s="108"/>
      <c r="H38" s="108"/>
      <c r="I38" s="108"/>
      <c r="J38" s="108"/>
      <c r="K38" s="108"/>
      <c r="L38" s="108"/>
      <c r="M38" s="108"/>
      <c r="N38" s="108"/>
      <c r="O38" s="108"/>
    </row>
    <row r="39" spans="2:18" s="4" customFormat="1" ht="26.25" customHeight="1">
      <c r="B39" s="108" t="s">
        <v>36</v>
      </c>
      <c r="C39" s="108"/>
      <c r="D39" s="108"/>
      <c r="E39" s="108"/>
      <c r="F39" s="108"/>
      <c r="G39" s="108"/>
      <c r="H39" s="108"/>
      <c r="I39" s="108"/>
      <c r="J39" s="108"/>
      <c r="K39" s="108"/>
      <c r="L39" s="108"/>
      <c r="M39" s="108"/>
      <c r="N39" s="108"/>
      <c r="O39" s="108"/>
    </row>
    <row r="40" spans="2:18" s="4" customFormat="1" ht="26.25" customHeight="1">
      <c r="B40" s="108" t="s">
        <v>45</v>
      </c>
      <c r="C40" s="108"/>
      <c r="D40" s="108"/>
      <c r="E40" s="108"/>
      <c r="F40" s="108"/>
      <c r="G40" s="108"/>
      <c r="H40" s="108"/>
      <c r="I40" s="108"/>
      <c r="J40" s="108"/>
      <c r="K40" s="108"/>
      <c r="L40" s="108"/>
      <c r="M40" s="108"/>
      <c r="N40" s="108"/>
      <c r="O40" s="108"/>
    </row>
    <row r="41" spans="2:18" s="4" customFormat="1" ht="18" customHeight="1">
      <c r="B41" s="55"/>
      <c r="C41" s="55"/>
      <c r="D41" s="55"/>
      <c r="E41" s="55"/>
      <c r="F41" s="55"/>
      <c r="G41" s="55"/>
      <c r="H41" s="55"/>
      <c r="I41" s="55"/>
      <c r="J41" s="55"/>
      <c r="K41" s="55"/>
      <c r="L41" s="55"/>
      <c r="M41" s="55"/>
      <c r="N41" s="55"/>
      <c r="O41" s="55"/>
    </row>
    <row r="42" spans="2:18" s="3" customFormat="1" ht="45" customHeight="1">
      <c r="B42" s="117" t="s">
        <v>22</v>
      </c>
      <c r="C42" s="118"/>
      <c r="D42" s="111" t="s">
        <v>25</v>
      </c>
      <c r="E42" s="112"/>
      <c r="F42" s="112"/>
      <c r="G42" s="112"/>
      <c r="I42" s="14" t="s">
        <v>23</v>
      </c>
      <c r="J42" s="113" t="s">
        <v>25</v>
      </c>
      <c r="K42" s="113"/>
      <c r="L42" s="113"/>
      <c r="M42" s="10"/>
    </row>
    <row r="43" spans="2:18" s="3" customFormat="1" ht="22.5" customHeight="1">
      <c r="B43" s="63"/>
      <c r="C43" s="64"/>
      <c r="D43" s="95" t="s">
        <v>25</v>
      </c>
      <c r="E43" s="96"/>
      <c r="F43" s="96"/>
      <c r="G43" s="96"/>
      <c r="I43" s="14"/>
      <c r="J43" s="120" t="s">
        <v>61</v>
      </c>
      <c r="K43" s="120"/>
      <c r="L43" s="120"/>
      <c r="M43" s="10"/>
    </row>
    <row r="44" spans="2:18" s="3" customFormat="1" ht="45" customHeight="1" thickBot="1">
      <c r="B44" s="93" t="s">
        <v>24</v>
      </c>
      <c r="C44" s="121"/>
      <c r="D44" s="121"/>
      <c r="E44" s="121"/>
      <c r="F44" s="121"/>
      <c r="G44" s="121"/>
      <c r="H44" s="40"/>
      <c r="I44" s="58" t="s">
        <v>11</v>
      </c>
      <c r="J44" s="92"/>
      <c r="K44" s="54"/>
      <c r="L44" s="94" t="s">
        <v>25</v>
      </c>
      <c r="M44" s="15" t="s">
        <v>16</v>
      </c>
    </row>
    <row r="45" spans="2:18" s="3" customFormat="1" ht="45" customHeight="1" thickBot="1">
      <c r="C45" s="42"/>
      <c r="D45" s="42"/>
      <c r="E45" s="42"/>
      <c r="F45" s="42"/>
      <c r="G45" s="42"/>
      <c r="H45" s="42"/>
      <c r="I45" s="42"/>
      <c r="J45" s="51" t="s">
        <v>52</v>
      </c>
      <c r="K45" s="115" t="s">
        <v>31</v>
      </c>
      <c r="L45" s="115"/>
      <c r="M45" s="43"/>
      <c r="N45" s="43"/>
      <c r="O45" s="43"/>
      <c r="P45" s="43"/>
      <c r="Q45" s="43"/>
      <c r="R45" s="44"/>
    </row>
    <row r="46" spans="2:18" s="5" customFormat="1" ht="25.5" customHeight="1">
      <c r="B46" s="45"/>
      <c r="C46" s="45"/>
      <c r="D46" s="46"/>
      <c r="E46" s="116"/>
      <c r="F46" s="116"/>
      <c r="G46" s="116"/>
      <c r="H46" s="116"/>
      <c r="I46" s="116"/>
      <c r="J46" s="116"/>
      <c r="K46" s="43"/>
      <c r="L46" s="43"/>
      <c r="M46" s="43"/>
      <c r="N46" s="43"/>
      <c r="O46" s="43"/>
      <c r="P46" s="43"/>
      <c r="Q46" s="43"/>
      <c r="R46" s="44"/>
    </row>
    <row r="47" spans="2:18" s="3" customFormat="1" ht="40.5" customHeight="1">
      <c r="B47" s="114" t="s">
        <v>27</v>
      </c>
      <c r="C47" s="114"/>
      <c r="D47" s="114"/>
      <c r="E47" s="114"/>
      <c r="F47" s="114"/>
      <c r="G47" s="114"/>
      <c r="H47" s="114"/>
      <c r="I47" s="114"/>
      <c r="J47" s="114"/>
      <c r="K47" s="114"/>
      <c r="L47" s="114"/>
      <c r="M47" s="114"/>
      <c r="N47" s="114"/>
      <c r="O47" s="114"/>
    </row>
    <row r="48" spans="2:18" s="2" customFormat="1" ht="17.25" customHeight="1">
      <c r="M48" s="17"/>
    </row>
    <row r="49" spans="2:16" s="2" customFormat="1" ht="25.5" customHeight="1">
      <c r="B49" s="106" t="s">
        <v>28</v>
      </c>
      <c r="C49" s="106"/>
      <c r="D49" s="106"/>
      <c r="E49" s="106"/>
      <c r="F49" s="106"/>
      <c r="G49" s="106"/>
      <c r="H49" s="106"/>
      <c r="I49" s="106"/>
      <c r="J49" s="106"/>
      <c r="K49" s="106"/>
      <c r="L49" s="106"/>
      <c r="M49" s="106"/>
      <c r="N49" s="106"/>
      <c r="O49" s="106"/>
      <c r="P49" s="59"/>
    </row>
    <row r="50" spans="2:16" s="2" customFormat="1" ht="17.25" customHeight="1">
      <c r="B50" s="62"/>
      <c r="C50" s="59"/>
      <c r="D50" s="59"/>
      <c r="E50" s="59"/>
      <c r="F50" s="59"/>
      <c r="G50" s="59"/>
      <c r="H50" s="59"/>
      <c r="I50" s="59"/>
      <c r="J50" s="59"/>
      <c r="K50" s="59"/>
      <c r="L50" s="59"/>
      <c r="M50" s="17"/>
    </row>
    <row r="51" spans="2:16" s="5" customFormat="1" ht="24" customHeight="1">
      <c r="B51" s="107" t="s">
        <v>50</v>
      </c>
      <c r="C51" s="107"/>
      <c r="D51" s="107"/>
      <c r="E51" s="107"/>
      <c r="F51" s="89"/>
      <c r="G51" s="60" t="s">
        <v>51</v>
      </c>
      <c r="H51" s="60"/>
      <c r="I51" s="105" t="s">
        <v>44</v>
      </c>
      <c r="J51" s="105"/>
      <c r="K51" s="105"/>
      <c r="L51" s="105"/>
      <c r="M51" s="105"/>
      <c r="N51" s="105"/>
      <c r="O51" s="89"/>
    </row>
    <row r="52" spans="2:16" s="5" customFormat="1" ht="24" customHeight="1">
      <c r="B52" s="105" t="s">
        <v>54</v>
      </c>
      <c r="C52" s="105"/>
      <c r="D52" s="105"/>
      <c r="E52" s="105"/>
      <c r="F52" s="89"/>
      <c r="G52" s="60"/>
      <c r="H52" s="60"/>
      <c r="I52" s="105" t="s">
        <v>55</v>
      </c>
      <c r="J52" s="105"/>
      <c r="K52" s="105"/>
      <c r="L52" s="105"/>
      <c r="M52" s="105"/>
      <c r="N52" s="105"/>
      <c r="O52" s="60"/>
    </row>
    <row r="53" spans="2:16" s="10" customFormat="1" ht="24" customHeight="1">
      <c r="B53" s="91"/>
      <c r="C53" s="91"/>
      <c r="D53" s="91"/>
      <c r="E53" s="91"/>
      <c r="F53" s="91"/>
      <c r="G53" s="91"/>
      <c r="H53" s="91"/>
      <c r="I53" s="105" t="s">
        <v>32</v>
      </c>
      <c r="J53" s="105"/>
      <c r="K53" s="105"/>
      <c r="L53" s="105"/>
      <c r="M53" s="105"/>
      <c r="N53" s="105"/>
      <c r="O53" s="91"/>
    </row>
    <row r="54" spans="2:16" s="10" customFormat="1" ht="24" customHeight="1">
      <c r="B54" s="91" t="s">
        <v>25</v>
      </c>
      <c r="C54" s="91"/>
      <c r="D54" s="91"/>
      <c r="E54" s="91"/>
      <c r="F54" s="91"/>
      <c r="G54" s="91"/>
      <c r="H54" s="91"/>
      <c r="I54" s="105" t="s">
        <v>49</v>
      </c>
      <c r="J54" s="105"/>
      <c r="K54" s="105"/>
      <c r="L54" s="105"/>
      <c r="M54" s="105"/>
      <c r="N54" s="105"/>
      <c r="O54" s="91"/>
    </row>
    <row r="55" spans="2:16" ht="20.25">
      <c r="B55" s="10"/>
      <c r="C55" s="10"/>
      <c r="D55" s="10"/>
      <c r="E55" s="10"/>
      <c r="F55" s="10"/>
      <c r="G55" s="10"/>
      <c r="H55" s="10"/>
      <c r="I55" s="10"/>
      <c r="J55" s="10"/>
      <c r="K55" s="10"/>
      <c r="L55" s="10"/>
      <c r="M55" s="10"/>
    </row>
    <row r="56" spans="2:16" ht="20.25">
      <c r="B56" s="10"/>
      <c r="C56" s="10"/>
      <c r="D56" s="10"/>
      <c r="E56" s="10"/>
      <c r="F56" s="10"/>
      <c r="G56" s="10"/>
      <c r="H56" s="10"/>
      <c r="I56" s="10"/>
      <c r="J56" s="10"/>
      <c r="K56" s="10"/>
      <c r="L56" s="10"/>
      <c r="M56" s="10"/>
    </row>
    <row r="57" spans="2:16" ht="20.25">
      <c r="B57" s="10"/>
      <c r="C57" s="10"/>
      <c r="D57" s="10"/>
      <c r="E57" s="10"/>
      <c r="F57" s="10"/>
      <c r="G57" s="10"/>
      <c r="H57" s="10"/>
      <c r="I57" s="10"/>
      <c r="J57" s="10"/>
      <c r="K57" s="10"/>
      <c r="L57" s="10"/>
      <c r="M57" s="10"/>
    </row>
    <row r="58" spans="2:16" ht="20.25">
      <c r="B58" s="10"/>
      <c r="C58" s="10"/>
      <c r="D58" s="10"/>
      <c r="E58" s="10"/>
      <c r="F58" s="10"/>
      <c r="G58" s="10"/>
      <c r="H58" s="10"/>
      <c r="I58" s="10"/>
      <c r="J58" s="10"/>
      <c r="K58" s="10"/>
      <c r="L58" s="10"/>
      <c r="M58" s="10"/>
    </row>
    <row r="59" spans="2:16" ht="20.25">
      <c r="B59" s="10"/>
      <c r="C59" s="10"/>
      <c r="D59" s="10"/>
      <c r="E59" s="10"/>
      <c r="F59" s="10"/>
      <c r="G59" s="10"/>
      <c r="H59" s="10"/>
      <c r="I59" s="10"/>
      <c r="J59" s="10"/>
      <c r="K59" s="10"/>
      <c r="L59" s="10"/>
      <c r="M59" s="10"/>
    </row>
    <row r="60" spans="2:16" ht="20.25">
      <c r="B60" s="10"/>
      <c r="C60" s="10"/>
      <c r="D60" s="10"/>
      <c r="E60" s="10"/>
      <c r="F60" s="10"/>
      <c r="G60" s="10"/>
      <c r="H60" s="10"/>
      <c r="I60" s="10"/>
      <c r="J60" s="10"/>
      <c r="K60" s="10"/>
      <c r="L60" s="10"/>
      <c r="M60" s="10"/>
    </row>
    <row r="61" spans="2:16" ht="20.25">
      <c r="B61" s="10"/>
      <c r="C61" s="10"/>
      <c r="D61" s="10"/>
      <c r="E61" s="10"/>
      <c r="F61" s="10"/>
      <c r="G61" s="10"/>
      <c r="H61" s="10"/>
      <c r="I61" s="10"/>
      <c r="J61" s="10"/>
      <c r="K61" s="10"/>
      <c r="L61" s="10"/>
      <c r="M61" s="10"/>
    </row>
  </sheetData>
  <sheetProtection password="8669" sheet="1" objects="1" scenarios="1"/>
  <mergeCells count="53">
    <mergeCell ref="B1:O1"/>
    <mergeCell ref="B2:O2"/>
    <mergeCell ref="I5:N5"/>
    <mergeCell ref="I6:N6"/>
    <mergeCell ref="C5:F5"/>
    <mergeCell ref="G5:H5"/>
    <mergeCell ref="I7:J7"/>
    <mergeCell ref="B11:L12"/>
    <mergeCell ref="I9:K9"/>
    <mergeCell ref="B37:O37"/>
    <mergeCell ref="B36:O36"/>
    <mergeCell ref="M9:O9"/>
    <mergeCell ref="M12:O12"/>
    <mergeCell ref="C9:F9"/>
    <mergeCell ref="M13:O13"/>
    <mergeCell ref="C7:D7"/>
    <mergeCell ref="G7:H7"/>
    <mergeCell ref="M20:O20"/>
    <mergeCell ref="B14:D15"/>
    <mergeCell ref="E14:F14"/>
    <mergeCell ref="B20:D20"/>
    <mergeCell ref="E15:F15"/>
    <mergeCell ref="C8:G8"/>
    <mergeCell ref="B17:D18"/>
    <mergeCell ref="E17:F17"/>
    <mergeCell ref="M17:O17"/>
    <mergeCell ref="E18:F18"/>
    <mergeCell ref="M18:O18"/>
    <mergeCell ref="M15:O15"/>
    <mergeCell ref="M14:O14"/>
    <mergeCell ref="I8:O8"/>
    <mergeCell ref="B40:O40"/>
    <mergeCell ref="E23:G24"/>
    <mergeCell ref="I52:N52"/>
    <mergeCell ref="B38:O38"/>
    <mergeCell ref="B31:O33"/>
    <mergeCell ref="D42:G42"/>
    <mergeCell ref="J42:L42"/>
    <mergeCell ref="B47:O47"/>
    <mergeCell ref="K45:L45"/>
    <mergeCell ref="E46:J46"/>
    <mergeCell ref="B42:C42"/>
    <mergeCell ref="B35:D35"/>
    <mergeCell ref="J43:L43"/>
    <mergeCell ref="C44:G44"/>
    <mergeCell ref="B39:O39"/>
    <mergeCell ref="B27:G28"/>
    <mergeCell ref="I54:N54"/>
    <mergeCell ref="B49:O49"/>
    <mergeCell ref="I53:N53"/>
    <mergeCell ref="B52:E52"/>
    <mergeCell ref="B51:E51"/>
    <mergeCell ref="I51:N51"/>
  </mergeCells>
  <phoneticPr fontId="8" type="noConversion"/>
  <pageMargins left="0.27" right="0.24" top="0" bottom="0" header="0.77" footer="0.21"/>
  <pageSetup scale="45" orientation="portrait"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8"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PREPAID</vt:lpstr>
      <vt:lpstr>Sheet2</vt:lpstr>
      <vt:lpstr>Sheet3</vt:lpstr>
      <vt:lpstr>PREPAID!Print_Area</vt:lpstr>
    </vt:vector>
  </TitlesOfParts>
  <Company>Anheuser-Busch Companies,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Francovich, Robert</dc:creator>
  <cp:lastModifiedBy>aeb0177</cp:lastModifiedBy>
  <cp:lastPrinted>2012-01-17T17:08:56Z</cp:lastPrinted>
  <dcterms:created xsi:type="dcterms:W3CDTF">2008-03-07T21:05:28Z</dcterms:created>
  <dcterms:modified xsi:type="dcterms:W3CDTF">2012-04-03T18:47:52Z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Class">
    <vt:lpwstr>Official</vt:lpwstr>
  </property>
  <property fmtid="{D5CDD505-2E9C-101B-9397-08002B2CF9AE}" pid="3" name="TaxHold">
    <vt:lpwstr>0</vt:lpwstr>
  </property>
  <property fmtid="{D5CDD505-2E9C-101B-9397-08002B2CF9AE}" pid="4" name="EligibleRetirementYear">
    <vt:lpwstr>Active</vt:lpwstr>
  </property>
  <property fmtid="{D5CDD505-2E9C-101B-9397-08002B2CF9AE}" pid="5" name="LastReviewedDate">
    <vt:lpwstr>7/14/2008</vt:lpwstr>
  </property>
  <property fmtid="{D5CDD505-2E9C-101B-9397-08002B2CF9AE}" pid="6" name="LegalHold">
    <vt:lpwstr>0</vt:lpwstr>
  </property>
  <property fmtid="{D5CDD505-2E9C-101B-9397-08002B2CF9AE}" pid="7" name="RetentionCode">
    <vt:lpwstr>MAR2000</vt:lpwstr>
  </property>
  <property fmtid="{D5CDD505-2E9C-101B-9397-08002B2CF9AE}" pid="8" name="Active">
    <vt:lpwstr>Active</vt:lpwstr>
  </property>
  <property fmtid="{D5CDD505-2E9C-101B-9397-08002B2CF9AE}" pid="9" name="RetentionPeriod">
    <vt:lpwstr>Active + 6</vt:lpwstr>
  </property>
  <property fmtid="{D5CDD505-2E9C-101B-9397-08002B2CF9AE}" pid="10" name="InactiveYear">
    <vt:lpwstr> </vt:lpwstr>
  </property>
  <property fmtid="{D5CDD505-2E9C-101B-9397-08002B2CF9AE}" pid="11" name="ReviewedBy">
    <vt:lpwstr> </vt:lpwstr>
  </property>
</Properties>
</file>