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5" windowWidth="12120" windowHeight="8835"/>
  </bookViews>
  <sheets>
    <sheet name="2013 FRPP Ranking Sheet" sheetId="4" r:id="rId1"/>
    <sheet name="Ag. Census Support Data" sheetId="2" r:id="rId2"/>
  </sheets>
  <calcPr calcId="145621"/>
</workbook>
</file>

<file path=xl/calcChain.xml><?xml version="1.0" encoding="utf-8"?>
<calcChain xmlns="http://schemas.openxmlformats.org/spreadsheetml/2006/main">
  <c r="G59" i="4" l="1"/>
  <c r="G57" i="4"/>
  <c r="G56" i="4"/>
  <c r="G52" i="4"/>
  <c r="G44" i="4"/>
  <c r="G41" i="4"/>
  <c r="G37" i="4"/>
  <c r="G45" i="4" l="1"/>
  <c r="I56" i="4" l="1"/>
  <c r="I52" i="4"/>
  <c r="I44" i="4"/>
  <c r="I41" i="4"/>
  <c r="I37" i="4"/>
  <c r="I45" i="4" l="1"/>
  <c r="C60" i="4" s="1"/>
  <c r="I57" i="4"/>
  <c r="F60" i="4" s="1"/>
  <c r="I60" i="4" l="1"/>
</calcChain>
</file>

<file path=xl/sharedStrings.xml><?xml version="1.0" encoding="utf-8"?>
<sst xmlns="http://schemas.openxmlformats.org/spreadsheetml/2006/main" count="134" uniqueCount="115">
  <si>
    <t>Maximum for Development Pressure Factors</t>
  </si>
  <si>
    <t>Category</t>
  </si>
  <si>
    <t>National Ranking Criteria</t>
  </si>
  <si>
    <t>Maximum Points</t>
  </si>
  <si>
    <t>Parcel Data</t>
  </si>
  <si>
    <t>Points Assigned</t>
  </si>
  <si>
    <t>Resource Features</t>
  </si>
  <si>
    <t>Maximum Points for Resource Factors</t>
  </si>
  <si>
    <t>State Ranking Criteria</t>
  </si>
  <si>
    <t>Maximum Points for National Criteria</t>
  </si>
  <si>
    <t>Cultural Resources Factors</t>
  </si>
  <si>
    <t>Maximum Points for Infrastructure Factors</t>
  </si>
  <si>
    <t>Maximum Points for State Criteria</t>
  </si>
  <si>
    <t>COUNTY NAME</t>
  </si>
  <si>
    <t>BELKNAP</t>
  </si>
  <si>
    <t>CARROLL</t>
  </si>
  <si>
    <t>CHESHIRE</t>
  </si>
  <si>
    <t>COOS</t>
  </si>
  <si>
    <t>GRAFTON</t>
  </si>
  <si>
    <t>HILLSBOROUGH</t>
  </si>
  <si>
    <t>MERRIMACK</t>
  </si>
  <si>
    <t>ROCKINGHAM</t>
  </si>
  <si>
    <t>STRAFFORD</t>
  </si>
  <si>
    <t>SULLIVAN</t>
  </si>
  <si>
    <t xml:space="preserve"> Criteria</t>
  </si>
  <si>
    <t>Infrastructure Factors</t>
  </si>
  <si>
    <t xml:space="preserve">Eligibility Criteria </t>
  </si>
  <si>
    <t xml:space="preserve"> If the answer to any of the following criteria is "no", the application is ineligible for consideration.  </t>
  </si>
  <si>
    <t>City/Town, State, Zip</t>
  </si>
  <si>
    <t>Total Score for National Criteria:</t>
  </si>
  <si>
    <t>Total Score for State Criteria:</t>
  </si>
  <si>
    <t>Total Combined Score:</t>
  </si>
  <si>
    <t>Development Pressure Factors</t>
  </si>
  <si>
    <t>Maximum Points for Cultural Resource Factors</t>
  </si>
  <si>
    <t>Additional Factors</t>
  </si>
  <si>
    <t>Maximum Points for Additional Factors</t>
  </si>
  <si>
    <t>Please complete the following information for the Secondary Entity, if applicable.</t>
  </si>
  <si>
    <t>Please complete the following information for the Primary Entity</t>
  </si>
  <si>
    <t>Please complete the following information for the Landowner</t>
  </si>
  <si>
    <t xml:space="preserve">                       Street </t>
  </si>
  <si>
    <t xml:space="preserve"> </t>
  </si>
  <si>
    <t xml:space="preserve"> Street City</t>
  </si>
  <si>
    <t xml:space="preserve"> Note: The Landowner and Landowner contact may be the same person</t>
  </si>
  <si>
    <t>Town, State, Zip</t>
  </si>
  <si>
    <r>
      <t xml:space="preserve">Parcel Name </t>
    </r>
    <r>
      <rPr>
        <sz val="6"/>
        <rFont val="Arial"/>
        <family val="2"/>
      </rPr>
      <t>(PW part 2A)</t>
    </r>
    <r>
      <rPr>
        <b/>
        <sz val="10"/>
        <rFont val="Arial"/>
        <family val="2"/>
      </rPr>
      <t xml:space="preserve">: </t>
    </r>
  </si>
  <si>
    <r>
      <t xml:space="preserve">Parcel County Location </t>
    </r>
    <r>
      <rPr>
        <sz val="6"/>
        <rFont val="Arial"/>
        <family val="2"/>
      </rPr>
      <t>(PW part 2B</t>
    </r>
    <r>
      <rPr>
        <sz val="10"/>
        <rFont val="Arial"/>
        <family val="2"/>
      </rPr>
      <t>)</t>
    </r>
    <r>
      <rPr>
        <b/>
        <sz val="10"/>
        <rFont val="Arial"/>
        <family val="2"/>
      </rPr>
      <t xml:space="preserve">: </t>
    </r>
  </si>
  <si>
    <r>
      <t xml:space="preserve">5. Landowners meet HEL and Wetland Criteria:
    Yes__          No__ </t>
    </r>
    <r>
      <rPr>
        <sz val="6"/>
        <rFont val="Arial"/>
        <family val="2"/>
      </rPr>
      <t>(AD-1026, PW part 1D)</t>
    </r>
  </si>
  <si>
    <t>click on "New Hampshire"</t>
  </si>
  <si>
    <r>
      <t>click on the "</t>
    </r>
    <r>
      <rPr>
        <i/>
        <sz val="10"/>
        <rFont val="Arial"/>
        <family val="2"/>
      </rPr>
      <t>state and county profiles</t>
    </r>
    <r>
      <rPr>
        <sz val="10"/>
        <rFont val="Arial"/>
        <family val="2"/>
      </rPr>
      <t>"</t>
    </r>
  </si>
  <si>
    <t>click on each county</t>
  </si>
  <si>
    <t>click on the most current census webiste. As of the date of this ranking sheet it is: http://www.agcensus.usda.gov/</t>
  </si>
  <si>
    <t>Google "Census of Agriculture"</t>
  </si>
  <si>
    <t>second column in table above comes from "land in farms" (%)</t>
  </si>
  <si>
    <t>first column in the table above comes from "average size of farm" (acres)</t>
  </si>
  <si>
    <r>
      <t xml:space="preserve">Primary Entity Name:          </t>
    </r>
    <r>
      <rPr>
        <sz val="6"/>
        <rFont val="Arial"/>
        <family val="2"/>
      </rPr>
      <t>(EW part 1A)</t>
    </r>
  </si>
  <si>
    <r>
      <t xml:space="preserve">Entity Contact Name:                </t>
    </r>
    <r>
      <rPr>
        <sz val="6"/>
        <rFont val="Arial"/>
        <family val="2"/>
      </rPr>
      <t>(EW part 1F)</t>
    </r>
  </si>
  <si>
    <r>
      <t xml:space="preserve">Secondary Entity Name:          </t>
    </r>
    <r>
      <rPr>
        <sz val="6"/>
        <rFont val="Arial"/>
        <family val="2"/>
      </rPr>
      <t>(EW part 2A)</t>
    </r>
  </si>
  <si>
    <r>
      <t xml:space="preserve">Entity Contact Name:                </t>
    </r>
    <r>
      <rPr>
        <sz val="6"/>
        <rFont val="Arial"/>
        <family val="2"/>
      </rPr>
      <t>(EW part 2F)</t>
    </r>
  </si>
  <si>
    <r>
      <t xml:space="preserve">2. Local matching funds are available at application:   
    Yes__          No__ </t>
    </r>
    <r>
      <rPr>
        <sz val="9"/>
        <rFont val="Arial"/>
        <family val="2"/>
      </rPr>
      <t xml:space="preserve"> </t>
    </r>
    <r>
      <rPr>
        <sz val="6"/>
        <rFont val="Arial"/>
        <family val="2"/>
      </rPr>
      <t>(confirmation of matching funds, EW part 1S)</t>
    </r>
  </si>
  <si>
    <r>
      <t xml:space="preserve">6. Parcel has a valid purchase and sales agreement at the time of application:
    Yes__           No__ </t>
    </r>
    <r>
      <rPr>
        <sz val="6"/>
        <rFont val="Arial"/>
        <family val="2"/>
      </rPr>
      <t>(written pending offer, EW part 1R)</t>
    </r>
  </si>
  <si>
    <r>
      <t xml:space="preserve">7. Total forest cover is 66% or less:
    Yes__         No__ </t>
    </r>
    <r>
      <rPr>
        <sz val="6"/>
        <rFont val="Arial"/>
        <family val="2"/>
      </rPr>
      <t xml:space="preserve"> (PW part 3G)</t>
    </r>
  </si>
  <si>
    <r>
      <t xml:space="preserve">Entity Contact Number:                                                                                 </t>
    </r>
    <r>
      <rPr>
        <sz val="6"/>
        <rFont val="Arial"/>
        <family val="2"/>
      </rPr>
      <t>(EW part 1H)</t>
    </r>
  </si>
  <si>
    <r>
      <t xml:space="preserve">Entity Contact Number:                                                                   </t>
    </r>
    <r>
      <rPr>
        <sz val="6"/>
        <rFont val="Arial"/>
        <family val="2"/>
      </rPr>
      <t>(EW part 2H)</t>
    </r>
  </si>
  <si>
    <r>
      <t xml:space="preserve">Entity Contact Email:                                                                   </t>
    </r>
    <r>
      <rPr>
        <sz val="6"/>
        <rFont val="Arial"/>
        <family val="2"/>
      </rPr>
      <t>(EW part 1I)</t>
    </r>
  </si>
  <si>
    <r>
      <t xml:space="preserve">Entity Contact Email:                                                                        </t>
    </r>
    <r>
      <rPr>
        <sz val="6"/>
        <rFont val="Arial"/>
        <family val="2"/>
      </rPr>
      <t>(EW part 2I)</t>
    </r>
  </si>
  <si>
    <r>
      <t xml:space="preserve">Entity Contact  Address:          </t>
    </r>
    <r>
      <rPr>
        <sz val="6"/>
        <rFont val="Arial"/>
        <family val="2"/>
      </rPr>
      <t>(EW part 1E)</t>
    </r>
  </si>
  <si>
    <r>
      <t xml:space="preserve">Entity Contact Address:       </t>
    </r>
    <r>
      <rPr>
        <sz val="6"/>
        <rFont val="Arial"/>
        <family val="2"/>
      </rPr>
      <t>(EW part 2E)</t>
    </r>
  </si>
  <si>
    <t>Page 1 of 4</t>
  </si>
  <si>
    <t>Page 2 of 4</t>
  </si>
  <si>
    <t>Page 3 of 4</t>
  </si>
  <si>
    <t>Page 4 of 4</t>
  </si>
  <si>
    <t>N/A</t>
  </si>
  <si>
    <r>
      <rPr>
        <b/>
        <sz val="10"/>
        <rFont val="Arial"/>
        <family val="2"/>
      </rPr>
      <t xml:space="preserve">Landowner  Address </t>
    </r>
    <r>
      <rPr>
        <b/>
        <sz val="9"/>
        <rFont val="Arial"/>
        <family val="2"/>
      </rPr>
      <t xml:space="preserve">  </t>
    </r>
    <r>
      <rPr>
        <sz val="6"/>
        <rFont val="Arial"/>
        <family val="2"/>
      </rPr>
      <t>(PW part 1 B)</t>
    </r>
  </si>
  <si>
    <r>
      <t>Landowner Point of Contact Phone Number</t>
    </r>
    <r>
      <rPr>
        <b/>
        <sz val="9"/>
        <rFont val="Arial"/>
        <family val="2"/>
      </rPr>
      <t xml:space="preserve"> </t>
    </r>
    <r>
      <rPr>
        <sz val="6"/>
        <rFont val="Arial"/>
        <family val="2"/>
      </rPr>
      <t>(PW part 2 F or PW part 1 C)</t>
    </r>
  </si>
  <si>
    <r>
      <t xml:space="preserve">Landowner  Point of Contact Email        </t>
    </r>
    <r>
      <rPr>
        <b/>
        <sz val="9"/>
        <rFont val="Arial"/>
        <family val="2"/>
      </rPr>
      <t xml:space="preserve">   </t>
    </r>
    <r>
      <rPr>
        <b/>
        <sz val="10"/>
        <rFont val="Arial"/>
        <family val="2"/>
      </rPr>
      <t xml:space="preserve">      </t>
    </r>
    <r>
      <rPr>
        <sz val="6"/>
        <rFont val="Arial"/>
        <family val="2"/>
      </rPr>
      <t>(PW part 2 F or PW part 1 C)</t>
    </r>
  </si>
  <si>
    <r>
      <t xml:space="preserve">POPULATION DENSITY (PERSONS PER SQUARE MILE ) </t>
    </r>
    <r>
      <rPr>
        <sz val="6"/>
        <rFont val="Arial"/>
        <family val="2"/>
      </rPr>
      <t>(2010 Census)</t>
    </r>
  </si>
  <si>
    <t>NH % Population Change 2000 census - 2010 census = 6.5%</t>
  </si>
  <si>
    <t>NH Population Density in 2010= 147.0</t>
  </si>
  <si>
    <r>
      <t>% POPULATION CHANGE</t>
    </r>
    <r>
      <rPr>
        <sz val="6"/>
        <rFont val="Arial"/>
        <family val="2"/>
      </rPr>
      <t xml:space="preserve">                                               (2000 census to 2010 census)</t>
    </r>
  </si>
  <si>
    <t>http://www.census.gov/</t>
  </si>
  <si>
    <t>locate the "Data Finders" box on the right side of the screen</t>
  </si>
  <si>
    <t xml:space="preserve">locate the "Find An Area Profile with QuickFacts" select "NH" from the drop down menu </t>
  </si>
  <si>
    <t xml:space="preserve">select which county you want information on </t>
  </si>
  <si>
    <t>"population change" is 2nd line down from the top</t>
  </si>
  <si>
    <t>you should now be on a new screen</t>
  </si>
  <si>
    <t>"persons per square mile" is 2nd line up from the bottom</t>
  </si>
  <si>
    <t>Total Ranking Score possible points:</t>
  </si>
  <si>
    <r>
      <t xml:space="preserve">Percent of total offered acres in the following land uses:  cropland, pastureland, grassland, or rangeland.   
</t>
    </r>
    <r>
      <rPr>
        <b/>
        <u/>
        <sz val="10"/>
        <rFont val="Calibri"/>
        <family val="2"/>
        <scheme val="minor"/>
      </rPr>
      <t>SCALE:</t>
    </r>
    <r>
      <rPr>
        <sz val="10"/>
        <rFont val="Calibri"/>
        <family val="2"/>
        <scheme val="minor"/>
      </rPr>
      <t xml:space="preserve"> 1 point for each acre.  Maximum 100 pts. </t>
    </r>
    <r>
      <rPr>
        <sz val="6"/>
        <rFont val="Calibri"/>
        <family val="2"/>
        <scheme val="minor"/>
      </rPr>
      <t>(PW part 3P)</t>
    </r>
  </si>
  <si>
    <r>
      <t xml:space="preserve">Percent (acres) of parcel containing prime farmland soils, soils of statewide or unique agricultural importance, or locally important agricultural land. 
</t>
    </r>
    <r>
      <rPr>
        <b/>
        <u/>
        <sz val="10"/>
        <rFont val="Calibri"/>
        <family val="2"/>
        <scheme val="minor"/>
      </rPr>
      <t>SCALE:</t>
    </r>
    <r>
      <rPr>
        <sz val="10"/>
        <rFont val="Calibri"/>
        <family val="2"/>
        <scheme val="minor"/>
      </rPr>
      <t xml:space="preserve"> 2 points/percent for prime; 1.5 points/percent for statewide or unique; 1 point/percent for locally important soils; and 0 points for non important soil (maximum of 200 points)</t>
    </r>
    <r>
      <rPr>
        <b/>
        <sz val="10"/>
        <rFont val="Calibri"/>
        <family val="2"/>
        <scheme val="minor"/>
      </rPr>
      <t xml:space="preserve"> </t>
    </r>
    <r>
      <rPr>
        <sz val="6"/>
        <rFont val="Calibri"/>
        <family val="2"/>
        <scheme val="minor"/>
      </rPr>
      <t>(PW part 3B, 3C, 3D and 3E)</t>
    </r>
  </si>
  <si>
    <t>Last update on 10/25/2012 by Ryan DuBois</t>
  </si>
  <si>
    <r>
      <t xml:space="preserve">Proximity of parcel to other agricultural operations or infrastructure </t>
    </r>
    <r>
      <rPr>
        <sz val="10"/>
        <rFont val="Arial"/>
        <family val="2"/>
      </rPr>
      <t>(such as retail stores that sell local products, Tractor Supply, Agway or Blue Seal Feed stores, tractor and equipment dealerships or repair facilities, CSA, Farmer's Markets, or other working farmlands not owned by the FRPP applicant).</t>
    </r>
    <r>
      <rPr>
        <b/>
        <sz val="10"/>
        <rFont val="Arial"/>
        <family val="2"/>
      </rPr>
      <t xml:space="preserve">    </t>
    </r>
    <r>
      <rPr>
        <sz val="10"/>
        <rFont val="Arial"/>
        <family val="2"/>
      </rPr>
      <t xml:space="preserve">Distance measured as driving distance along roadways from the location of the agricultural operation or infrasturcture to the parcel. </t>
    </r>
    <r>
      <rPr>
        <b/>
        <sz val="10"/>
        <rFont val="Arial"/>
        <family val="2"/>
      </rPr>
      <t xml:space="preserve">
</t>
    </r>
    <r>
      <rPr>
        <b/>
        <u/>
        <sz val="10"/>
        <rFont val="Calibri"/>
        <family val="2"/>
        <scheme val="minor"/>
      </rPr>
      <t>SCALE:</t>
    </r>
    <r>
      <rPr>
        <b/>
        <sz val="10"/>
        <rFont val="Calibri"/>
        <family val="2"/>
        <scheme val="minor"/>
      </rPr>
      <t xml:space="preserve"> </t>
    </r>
    <r>
      <rPr>
        <sz val="10"/>
        <rFont val="Calibri"/>
        <family val="2"/>
        <scheme val="minor"/>
      </rPr>
      <t>Directly abuts parcel = 100 points; if parcel is non-abutting then 1 point is subtracted from the maximum 100 points for every 0.05 miles from the nearest Agricultural operation or infrastructure.  Parcels &gt; 5 mile away from Ag. operations or infrastucure = 0 points.</t>
    </r>
    <r>
      <rPr>
        <sz val="6"/>
        <rFont val="Calibri"/>
        <family val="2"/>
        <scheme val="minor"/>
      </rPr>
      <t>(PW part 7B</t>
    </r>
    <r>
      <rPr>
        <sz val="10"/>
        <rFont val="Calibri"/>
        <family val="2"/>
        <scheme val="minor"/>
      </rPr>
      <t>)</t>
    </r>
  </si>
  <si>
    <r>
      <t xml:space="preserve">Proximity of parcel to other protected lands.  </t>
    </r>
    <r>
      <rPr>
        <sz val="10"/>
        <rFont val="Arial"/>
        <family val="2"/>
      </rPr>
      <t>Distance measured in a straight line from the closest point on the parcel and the closet point on the nearest protected lands parcel.</t>
    </r>
    <r>
      <rPr>
        <b/>
        <sz val="10"/>
        <rFont val="Arial"/>
        <family val="2"/>
      </rPr>
      <t xml:space="preserve">
</t>
    </r>
    <r>
      <rPr>
        <b/>
        <u/>
        <sz val="10"/>
        <rFont val="Calibri"/>
        <family val="2"/>
        <scheme val="minor"/>
      </rPr>
      <t>SCALE:</t>
    </r>
    <r>
      <rPr>
        <sz val="10"/>
        <rFont val="Calibri"/>
        <family val="2"/>
        <scheme val="minor"/>
      </rPr>
      <t xml:space="preserve"> Directly abuts parcel = 80 points; if parcel is non-abutting then 1 point is subtracted from the maximum 80 points for every 66 feet from the nearest protected parcel.  Parcels &gt; 1 mile away from protected lands = 0 points. </t>
    </r>
    <r>
      <rPr>
        <sz val="6"/>
        <rFont val="Calibri"/>
        <family val="2"/>
        <scheme val="minor"/>
      </rPr>
      <t>(PW part 7A)</t>
    </r>
  </si>
  <si>
    <r>
      <t xml:space="preserve">Wildlife Action Plan Tiers                                                                  </t>
    </r>
    <r>
      <rPr>
        <b/>
        <u/>
        <sz val="10"/>
        <rFont val="Calibri"/>
        <family val="2"/>
        <scheme val="minor"/>
      </rPr>
      <t>SCALE:</t>
    </r>
    <r>
      <rPr>
        <b/>
        <sz val="10"/>
        <rFont val="Calibri"/>
        <family val="2"/>
        <scheme val="minor"/>
      </rPr>
      <t xml:space="preserve">
</t>
    </r>
    <r>
      <rPr>
        <sz val="10"/>
        <rFont val="Calibri"/>
        <family val="2"/>
        <scheme val="minor"/>
      </rPr>
      <t xml:space="preserve">Highest Ranked Habitat in NH (2 points / acre) 
Highest Ranked Habitat in Biological Region  (1 point / acre) 
Supporting Landscape (0.5 points/acre)                                                                                                                                Maximum of 50 points allowed  </t>
    </r>
    <r>
      <rPr>
        <sz val="6"/>
        <rFont val="Calibri"/>
        <family val="2"/>
        <scheme val="minor"/>
      </rPr>
      <t xml:space="preserve"> (PW part 7C)    </t>
    </r>
    <r>
      <rPr>
        <sz val="10"/>
        <rFont val="Calibri"/>
        <family val="2"/>
        <scheme val="minor"/>
      </rPr>
      <t xml:space="preserve"> </t>
    </r>
  </si>
  <si>
    <r>
      <rPr>
        <b/>
        <sz val="10"/>
        <rFont val="Arial"/>
        <family val="2"/>
      </rPr>
      <t>Landowner Name(s)</t>
    </r>
    <r>
      <rPr>
        <b/>
        <sz val="9"/>
        <rFont val="Arial"/>
        <family val="2"/>
      </rPr>
      <t xml:space="preserve">                 </t>
    </r>
    <r>
      <rPr>
        <sz val="6"/>
        <rFont val="Arial"/>
        <family val="2"/>
      </rPr>
      <t>(PW part 1 A)</t>
    </r>
  </si>
  <si>
    <r>
      <rPr>
        <b/>
        <sz val="10"/>
        <rFont val="Arial"/>
        <family val="2"/>
      </rPr>
      <t>Landowner Point of Contact Name</t>
    </r>
    <r>
      <rPr>
        <b/>
        <sz val="9"/>
        <rFont val="Arial"/>
        <family val="2"/>
      </rPr>
      <t xml:space="preserve"> </t>
    </r>
    <r>
      <rPr>
        <sz val="6"/>
        <rFont val="Arial"/>
        <family val="2"/>
      </rPr>
      <t>(PW part 2 C or PW part 1A)</t>
    </r>
  </si>
  <si>
    <r>
      <t xml:space="preserve">1. Entity(s) qualifies as either an eligible or a certified entity: 
    Yes __           No__ </t>
    </r>
    <r>
      <rPr>
        <sz val="6"/>
        <rFont val="Arial"/>
        <family val="2"/>
      </rPr>
      <t>(EW)</t>
    </r>
  </si>
  <si>
    <r>
      <t>3. Is parcel privately owned: 
    Yes__          No__</t>
    </r>
    <r>
      <rPr>
        <sz val="6"/>
        <rFont val="Arial"/>
        <family val="2"/>
      </rPr>
      <t xml:space="preserve"> (proof of ownership document, PW part 6B)</t>
    </r>
  </si>
  <si>
    <r>
      <t xml:space="preserve">4. Landowner(s) meet income eligibility (AGI) requirements:
    Yes__         No__ </t>
    </r>
    <r>
      <rPr>
        <sz val="6"/>
        <rFont val="Arial"/>
        <family val="2"/>
      </rPr>
      <t>(CCC-931, PW part 1E)</t>
    </r>
  </si>
  <si>
    <r>
      <t xml:space="preserve">8. Parcel meets at least one of the following qualifying criteria:                                                                                                1) Has a minimum of 50% Important Farmland Soils;                                                 2) OR Has documentation of a historic or archaeological resource(s):                                                                                                </t>
    </r>
    <r>
      <rPr>
        <b/>
        <sz val="9"/>
        <rFont val="Symbol"/>
        <family val="1"/>
        <charset val="2"/>
      </rPr>
      <t>·</t>
    </r>
    <r>
      <rPr>
        <b/>
        <sz val="7.65"/>
        <rFont val="Arial"/>
        <family val="2"/>
      </rPr>
      <t xml:space="preserve"> </t>
    </r>
    <r>
      <rPr>
        <b/>
        <sz val="9"/>
        <rFont val="Arial"/>
        <family val="2"/>
      </rPr>
      <t xml:space="preserve">listed or formally determined eligible for listing  on the National Register of Historic Places, or                                              </t>
    </r>
    <r>
      <rPr>
        <b/>
        <sz val="9"/>
        <rFont val="Symbol"/>
        <family val="1"/>
        <charset val="2"/>
      </rPr>
      <t xml:space="preserve">· </t>
    </r>
    <r>
      <rPr>
        <b/>
        <sz val="9"/>
        <rFont val="Arial"/>
        <family val="2"/>
      </rPr>
      <t xml:space="preserve">formally listed eligible on the State or Tribal Register of Historic Places or included in the State or Tribal Historic Preservation Office's inventory with written justification as to why it meets the register of historic places criteria;                                                                                                                      
     Yes__          No__ </t>
    </r>
    <r>
      <rPr>
        <sz val="9"/>
        <color rgb="FFFF0000"/>
        <rFont val="Arial"/>
        <family val="2"/>
      </rPr>
      <t xml:space="preserve"> </t>
    </r>
    <r>
      <rPr>
        <sz val="9"/>
        <rFont val="Arial"/>
        <family val="2"/>
      </rPr>
      <t xml:space="preserve"> (</t>
    </r>
    <r>
      <rPr>
        <sz val="6"/>
        <rFont val="Arial"/>
        <family val="2"/>
      </rPr>
      <t>PW part 3F and 5A or 5B )</t>
    </r>
  </si>
  <si>
    <r>
      <t xml:space="preserve">9. Please check one of the following:
A) </t>
    </r>
    <r>
      <rPr>
        <b/>
        <sz val="9"/>
        <color rgb="FF7030A0"/>
        <rFont val="Arial"/>
        <family val="2"/>
      </rPr>
      <t>Total</t>
    </r>
    <r>
      <rPr>
        <b/>
        <sz val="9"/>
        <rFont val="Arial"/>
        <family val="2"/>
      </rPr>
      <t xml:space="preserve"> </t>
    </r>
    <r>
      <rPr>
        <b/>
        <sz val="9"/>
        <color rgb="FF7030A0"/>
        <rFont val="Arial"/>
        <family val="2"/>
      </rPr>
      <t>Parcel is ≥ 200 acres:</t>
    </r>
    <r>
      <rPr>
        <b/>
        <sz val="9"/>
        <rFont val="Arial"/>
        <family val="2"/>
      </rPr>
      <t xml:space="preserve">                                                                                                                                                                                                                                                                       ___ at least 20% of parcel is contiguous forestland    
B) </t>
    </r>
    <r>
      <rPr>
        <b/>
        <sz val="9"/>
        <color rgb="FF7030A0"/>
        <rFont val="Arial"/>
        <family val="2"/>
      </rPr>
      <t>Total</t>
    </r>
    <r>
      <rPr>
        <b/>
        <sz val="9"/>
        <rFont val="Arial"/>
        <family val="2"/>
      </rPr>
      <t xml:space="preserve"> </t>
    </r>
    <r>
      <rPr>
        <b/>
        <sz val="9"/>
        <color rgb="FF7030A0"/>
        <rFont val="Arial"/>
        <family val="2"/>
      </rPr>
      <t xml:space="preserve">Parcel is ≤ 200 acres:                                                                                                                                                                       </t>
    </r>
    <r>
      <rPr>
        <b/>
        <sz val="9"/>
        <rFont val="Arial"/>
        <family val="2"/>
      </rPr>
      <t xml:space="preserve"> ___ at least 40 acres of parcel is contiguous forestland                                                                                                                                                                                                                                                                                                                                                                    C) Parcel's forestland does not meet above criteria or there is no forestland on offered parcel
___  
</t>
    </r>
    <r>
      <rPr>
        <b/>
        <sz val="6"/>
        <rFont val="Arial"/>
        <family val="2"/>
      </rPr>
      <t xml:space="preserve">
</t>
    </r>
    <r>
      <rPr>
        <sz val="6"/>
        <rFont val="Arial"/>
        <family val="2"/>
      </rPr>
      <t>(PW part 3A, 3G, 3K and 7E)</t>
    </r>
  </si>
  <si>
    <r>
      <t xml:space="preserve">At the time of application, was the easement purchase price completed by a NH licensed appraiser, and determined by either a full appraisal, summary appraisal, an Opinion of Value, or an Appraisal Consulting Assignment (subject to USPAP regulations for the development and reporting of real property appraisal consulting)?  </t>
    </r>
    <r>
      <rPr>
        <sz val="10"/>
        <rFont val="Arial"/>
        <family val="2"/>
      </rPr>
      <t xml:space="preserve"> (copy of determination of value is required) </t>
    </r>
    <r>
      <rPr>
        <b/>
        <sz val="10"/>
        <rFont val="Arial"/>
        <family val="2"/>
      </rPr>
      <t xml:space="preserve">                                                                                 </t>
    </r>
    <r>
      <rPr>
        <b/>
        <u/>
        <sz val="10"/>
        <rFont val="Calibri"/>
        <family val="2"/>
        <scheme val="minor"/>
      </rPr>
      <t>SCALE:</t>
    </r>
    <r>
      <rPr>
        <b/>
        <sz val="10"/>
        <rFont val="Calibri"/>
        <family val="2"/>
        <scheme val="minor"/>
      </rPr>
      <t xml:space="preserve"> yes = 50 points  No = 0 points </t>
    </r>
    <r>
      <rPr>
        <sz val="6"/>
        <rFont val="Calibri"/>
        <family val="2"/>
        <scheme val="minor"/>
      </rPr>
      <t>(PW part 4I)</t>
    </r>
  </si>
  <si>
    <r>
      <t xml:space="preserve">Is your parcel within the boundaries of one of the following targeted state initiative projects: Quabbin to Cardigan, Upper Ammonoosuc and Israel Watersheds, Connecticut River, Merrimack River, Saco River or Great Bay.  </t>
    </r>
    <r>
      <rPr>
        <b/>
        <i/>
        <sz val="10"/>
        <rFont val="Arial"/>
        <family val="2"/>
      </rPr>
      <t>Determination to be made by NRCS</t>
    </r>
    <r>
      <rPr>
        <b/>
        <sz val="10"/>
        <rFont val="Arial"/>
        <family val="2"/>
      </rPr>
      <t>.</t>
    </r>
    <r>
      <rPr>
        <sz val="10"/>
        <rFont val="Arial"/>
        <family val="2"/>
      </rPr>
      <t xml:space="preserve"> </t>
    </r>
    <r>
      <rPr>
        <sz val="6"/>
        <rFont val="Arial"/>
        <family val="2"/>
      </rPr>
      <t xml:space="preserve">                                                                                                                                                                                                                                                      </t>
    </r>
    <r>
      <rPr>
        <b/>
        <u/>
        <sz val="10"/>
        <rFont val="Calibri"/>
        <family val="2"/>
        <scheme val="minor"/>
      </rPr>
      <t>SCALE:</t>
    </r>
    <r>
      <rPr>
        <sz val="10"/>
        <rFont val="Calibri"/>
        <family val="2"/>
        <scheme val="minor"/>
      </rPr>
      <t xml:space="preserve"> yes = 100 points  No = 0 points   </t>
    </r>
    <r>
      <rPr>
        <sz val="6"/>
        <rFont val="Calibri"/>
        <family val="2"/>
        <scheme val="minor"/>
      </rPr>
      <t xml:space="preserve"> ( PW part 6A and 7D)    </t>
    </r>
    <r>
      <rPr>
        <sz val="6"/>
        <rFont val="Arial"/>
        <family val="2"/>
      </rPr>
      <t xml:space="preserve">  </t>
    </r>
    <r>
      <rPr>
        <b/>
        <sz val="6"/>
        <rFont val="Arial"/>
        <family val="2"/>
      </rPr>
      <t xml:space="preserve">                                                      </t>
    </r>
    <r>
      <rPr>
        <b/>
        <sz val="10"/>
        <rFont val="Arial"/>
        <family val="2"/>
      </rPr>
      <t xml:space="preserve">                                                </t>
    </r>
  </si>
  <si>
    <t>NH NRCS 2014 AGRICULTURAL CONSERVATION EASEMENT PROGRAM, AGRICULTURAL LANDS EASMENTS RANKING SHEET</t>
  </si>
  <si>
    <r>
      <t xml:space="preserve">The Agricultural Conservation Easements component of the NRCS Agricultural Conservation Easement Program (ACEP) establishes partnerships with state agencies, local units of government, and non-profit organizations to purchase conservation easements on privately owned farmland.  Applications received by NRCS are prioritized based on the ranking criteria represented in this spreadsheet.                                                                                                                                                                                          </t>
    </r>
    <r>
      <rPr>
        <b/>
        <i/>
        <sz val="10"/>
        <rFont val="Arial"/>
        <family val="2"/>
      </rPr>
      <t xml:space="preserve">The below cells are noted witht the application document that it corresponds to:  EW = Entity Workbook, PW = Parcel Workbook.   </t>
    </r>
    <r>
      <rPr>
        <b/>
        <sz val="10"/>
        <rFont val="Arial"/>
        <family val="2"/>
      </rPr>
      <t xml:space="preserve">                    </t>
    </r>
  </si>
  <si>
    <r>
      <t xml:space="preserve">AVG. FARM SIZE (AC.) </t>
    </r>
    <r>
      <rPr>
        <sz val="6"/>
        <rFont val="Arial"/>
        <family val="2"/>
      </rPr>
      <t>(2012 Ag. Census)</t>
    </r>
  </si>
  <si>
    <t>Data from 2007 and 2012 Census of Agriculture, 2000  and 2010 U.S Population Census</t>
  </si>
  <si>
    <r>
      <t xml:space="preserve">% CONVERSION TO NONAG. USE (2007 - 2012)        </t>
    </r>
    <r>
      <rPr>
        <sz val="6"/>
        <rFont val="Arial"/>
        <family val="2"/>
      </rPr>
      <t xml:space="preserve">(2007 to 2012 Ag. Census) </t>
    </r>
  </si>
  <si>
    <r>
      <t xml:space="preserve">Ratio of total acres of eligible land in parcel to average county farm size. 
</t>
    </r>
    <r>
      <rPr>
        <b/>
        <u/>
        <sz val="10"/>
        <rFont val="Calibri"/>
        <family val="2"/>
        <scheme val="minor"/>
      </rPr>
      <t>SCALE:</t>
    </r>
    <r>
      <rPr>
        <sz val="10"/>
        <rFont val="Calibri"/>
        <family val="2"/>
        <scheme val="minor"/>
      </rPr>
      <t xml:space="preserve"> Less than county avg. = 0 points; Equal to or greater than county avg. = 25 points </t>
    </r>
    <r>
      <rPr>
        <sz val="6"/>
        <rFont val="Calibri"/>
        <family val="2"/>
        <scheme val="minor"/>
      </rPr>
      <t xml:space="preserve"> (PW part 2A, part 3A and the 2012 Ag Census)</t>
    </r>
  </si>
  <si>
    <r>
      <t xml:space="preserve">Population Change, 2000 (U.S. Census) - 2010 (U.S. Census)                                   (NH average =6.5%).                                                                            </t>
    </r>
    <r>
      <rPr>
        <b/>
        <u/>
        <sz val="10"/>
        <rFont val="Calibri"/>
        <family val="2"/>
        <scheme val="minor"/>
      </rPr>
      <t>SCALE:</t>
    </r>
    <r>
      <rPr>
        <sz val="10"/>
        <rFont val="Calibri"/>
        <family val="2"/>
        <scheme val="minor"/>
      </rPr>
      <t xml:space="preserve">  Population change is county based.  1 point for each 0.05% over the state population change average. Maximum of 70pts.                                 </t>
    </r>
    <r>
      <rPr>
        <sz val="6"/>
        <rFont val="Calibri"/>
        <family val="2"/>
        <scheme val="minor"/>
      </rPr>
      <t xml:space="preserve"> (PW part 2B+ 200 U.S Census and 2010 U.S. Census)</t>
    </r>
  </si>
  <si>
    <r>
      <t>Population Density (Persons per Square Mile, 2010 (U.S. Census)).</t>
    </r>
    <r>
      <rPr>
        <sz val="10"/>
        <rFont val="Arial"/>
        <family val="2"/>
      </rPr>
      <t>NH average =147.0 persons/sq. mile.</t>
    </r>
    <r>
      <rPr>
        <sz val="10"/>
        <rFont val="Calibri"/>
        <family val="2"/>
        <scheme val="minor"/>
      </rPr>
      <t xml:space="preserve">      </t>
    </r>
    <r>
      <rPr>
        <sz val="10"/>
        <color rgb="FFFF0000"/>
        <rFont val="Calibri"/>
        <family val="2"/>
        <scheme val="minor"/>
      </rPr>
      <t xml:space="preserve">     </t>
    </r>
    <r>
      <rPr>
        <sz val="10"/>
        <rFont val="Calibri"/>
        <family val="2"/>
        <scheme val="minor"/>
      </rPr>
      <t xml:space="preserve">                          </t>
    </r>
    <r>
      <rPr>
        <b/>
        <u/>
        <sz val="10"/>
        <rFont val="Calibri"/>
        <family val="2"/>
        <scheme val="minor"/>
      </rPr>
      <t>SCALE:</t>
    </r>
    <r>
      <rPr>
        <sz val="10"/>
        <rFont val="Calibri"/>
        <family val="2"/>
        <scheme val="minor"/>
      </rPr>
      <t xml:space="preserve">  Population Density is county based.  1 point for each person/sq. mile over the state average. Maximum of 50pts.                                                         </t>
    </r>
    <r>
      <rPr>
        <sz val="6"/>
        <rFont val="Calibri"/>
        <family val="2"/>
        <scheme val="minor"/>
      </rPr>
      <t>(PW part 2B+2010 U.S. census)</t>
    </r>
  </si>
  <si>
    <r>
      <t xml:space="preserve">Percent Conversion to Non-Agricultural Use between the 2007 (Ag Census) and the 2012 (Ag Census).   </t>
    </r>
    <r>
      <rPr>
        <b/>
        <sz val="10"/>
        <color rgb="FFFF0000"/>
        <rFont val="Arial"/>
        <family val="2"/>
      </rPr>
      <t xml:space="preserve">     </t>
    </r>
    <r>
      <rPr>
        <b/>
        <sz val="10"/>
        <rFont val="Arial"/>
        <family val="2"/>
      </rPr>
      <t xml:space="preserve">                           </t>
    </r>
    <r>
      <rPr>
        <b/>
        <u/>
        <sz val="10"/>
        <rFont val="Calibri"/>
        <family val="2"/>
        <scheme val="minor"/>
      </rPr>
      <t>SCALE:</t>
    </r>
    <r>
      <rPr>
        <sz val="10"/>
        <rFont val="Calibri"/>
        <family val="2"/>
        <scheme val="minor"/>
      </rPr>
      <t xml:space="preserve"> Percent Conversion is county based. 3 points for every % point of conversion of ag. land to non-ag. land.  Maximum of 70pts.</t>
    </r>
    <r>
      <rPr>
        <b/>
        <sz val="10"/>
        <rFont val="Calibri"/>
        <family val="2"/>
        <scheme val="minor"/>
      </rPr>
      <t xml:space="preserve">
</t>
    </r>
    <r>
      <rPr>
        <sz val="6"/>
        <rFont val="Calibri"/>
        <family val="2"/>
        <scheme val="minor"/>
      </rPr>
      <t>(PW part 2B , 2012 Ag Census and 2012 Ag Census)</t>
    </r>
  </si>
  <si>
    <r>
      <t xml:space="preserve">The parcel contains a site(s) of cultural or historical significance that is currently listed or was formally determined eligible for listing on the </t>
    </r>
    <r>
      <rPr>
        <b/>
        <u/>
        <sz val="10"/>
        <rFont val="Arial"/>
        <family val="2"/>
      </rPr>
      <t>National Register of Historic Places.</t>
    </r>
    <r>
      <rPr>
        <b/>
        <sz val="10"/>
        <rFont val="Arial"/>
        <family val="2"/>
      </rPr>
      <t xml:space="preserve"> 
</t>
    </r>
    <r>
      <rPr>
        <sz val="10"/>
        <rFont val="Arial"/>
        <family val="2"/>
      </rPr>
      <t>(if yes, provide date of listing; documentation is required)</t>
    </r>
    <r>
      <rPr>
        <sz val="10"/>
        <rFont val="Calibri"/>
        <family val="2"/>
        <scheme val="minor"/>
      </rPr>
      <t xml:space="preserve">
</t>
    </r>
    <r>
      <rPr>
        <b/>
        <u/>
        <sz val="10"/>
        <rFont val="Calibri"/>
        <family val="2"/>
        <scheme val="minor"/>
      </rPr>
      <t>SCALE:</t>
    </r>
    <r>
      <rPr>
        <sz val="10"/>
        <rFont val="Calibri"/>
        <family val="2"/>
        <scheme val="minor"/>
      </rPr>
      <t xml:space="preserve"> Yes = 100 points; No = 0 points</t>
    </r>
    <r>
      <rPr>
        <sz val="6"/>
        <rFont val="Calibri"/>
        <family val="2"/>
        <scheme val="minor"/>
      </rPr>
      <t xml:space="preserve"> (PW part 5B)</t>
    </r>
  </si>
  <si>
    <r>
      <t xml:space="preserve">The parcel contains a site(s) of cultural or historical significance that is currently listed on the </t>
    </r>
    <r>
      <rPr>
        <b/>
        <u/>
        <sz val="10"/>
        <rFont val="Arial"/>
        <family val="2"/>
      </rPr>
      <t>NH Department of Historic Resources</t>
    </r>
    <r>
      <rPr>
        <b/>
        <sz val="10"/>
        <rFont val="Arial"/>
        <family val="2"/>
      </rPr>
      <t xml:space="preserve">, or is included in the State Historic Preservation Office's inventory with written justification as to why it meets the register of historic places criteria.                </t>
    </r>
    <r>
      <rPr>
        <sz val="10"/>
        <rFont val="Arial"/>
        <family val="2"/>
      </rPr>
      <t>(if yes, provide date of listing; documentation is required)</t>
    </r>
    <r>
      <rPr>
        <b/>
        <sz val="10"/>
        <rFont val="Arial"/>
        <family val="2"/>
      </rPr>
      <t xml:space="preserve">
</t>
    </r>
    <r>
      <rPr>
        <b/>
        <u/>
        <sz val="10"/>
        <rFont val="Calibri"/>
        <family val="2"/>
        <scheme val="minor"/>
      </rPr>
      <t>SCALE:</t>
    </r>
    <r>
      <rPr>
        <sz val="10"/>
        <rFont val="Calibri"/>
        <family val="2"/>
        <scheme val="minor"/>
      </rPr>
      <t xml:space="preserve"> Yes = 75 points; No = 0 points </t>
    </r>
    <r>
      <rPr>
        <sz val="6"/>
        <rFont val="Calibri"/>
        <family val="2"/>
        <scheme val="minor"/>
      </rPr>
      <t>(PW part 5B)</t>
    </r>
  </si>
  <si>
    <t>Last update on06/12/2014 by Ryan DuBois</t>
  </si>
  <si>
    <t>U.S Census data for 2014 ACEP-ALE Ranking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</si>
</sst>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36" x14ac:knownFonts="1">
    <font>
      <sz val="10"/>
      <name val="Arial"/>
    </font>
    <font>
      <b/>
      <sz val="10"/>
      <name val="Arial"/>
      <family val="2"/>
    </font>
    <font>
      <sz val="8"/>
      <name val="Arial"/>
      <family val="2"/>
    </font>
    <font>
      <sz val="10"/>
      <name val="Arial"/>
      <family val="2"/>
    </font>
    <font>
      <b/>
      <sz val="12"/>
      <name val="Arial"/>
      <family val="2"/>
    </font>
    <font>
      <b/>
      <u/>
      <sz val="10"/>
      <name val="Arial"/>
      <family val="2"/>
    </font>
    <font>
      <b/>
      <sz val="10"/>
      <name val="Arial"/>
      <family val="2"/>
    </font>
    <font>
      <b/>
      <i/>
      <sz val="8"/>
      <name val="Arial"/>
      <family val="2"/>
    </font>
    <font>
      <i/>
      <sz val="8"/>
      <name val="Arial"/>
      <family val="2"/>
    </font>
    <font>
      <b/>
      <sz val="11"/>
      <name val="Arial"/>
      <family val="2"/>
    </font>
    <font>
      <b/>
      <i/>
      <sz val="17"/>
      <name val="Arial"/>
      <family val="2"/>
    </font>
    <font>
      <b/>
      <sz val="14"/>
      <name val="Arial"/>
      <family val="2"/>
    </font>
    <font>
      <sz val="48"/>
      <name val="Arial"/>
      <family val="2"/>
    </font>
    <font>
      <u/>
      <sz val="10"/>
      <color theme="10"/>
      <name val="Arial"/>
      <family val="2"/>
    </font>
    <font>
      <b/>
      <sz val="9"/>
      <name val="Arial"/>
      <family val="2"/>
    </font>
    <font>
      <sz val="10"/>
      <name val="Calibri"/>
      <family val="2"/>
    </font>
    <font>
      <sz val="6"/>
      <name val="Arial"/>
      <family val="2"/>
    </font>
    <font>
      <sz val="9"/>
      <name val="Arial"/>
      <family val="2"/>
    </font>
    <font>
      <b/>
      <sz val="9"/>
      <color rgb="FF7030A0"/>
      <name val="Arial"/>
      <family val="2"/>
    </font>
    <font>
      <sz val="9"/>
      <color rgb="FFFF0000"/>
      <name val="Arial"/>
      <family val="2"/>
    </font>
    <font>
      <b/>
      <sz val="6"/>
      <name val="Arial"/>
      <family val="2"/>
    </font>
    <font>
      <i/>
      <sz val="10"/>
      <name val="Arial"/>
      <family val="2"/>
    </font>
    <font>
      <b/>
      <sz val="10"/>
      <color rgb="FF003165"/>
      <name val="Arial"/>
      <family val="2"/>
    </font>
    <font>
      <sz val="6"/>
      <name val="Calibri"/>
      <family val="2"/>
      <scheme val="minor"/>
    </font>
    <font>
      <b/>
      <i/>
      <sz val="10"/>
      <name val="Arial"/>
      <family val="2"/>
    </font>
    <font>
      <b/>
      <u/>
      <sz val="10"/>
      <name val="Calibri"/>
      <family val="2"/>
      <scheme val="minor"/>
    </font>
    <font>
      <sz val="10"/>
      <name val="Calibri"/>
      <family val="2"/>
      <scheme val="minor"/>
    </font>
    <font>
      <b/>
      <sz val="10"/>
      <name val="Calibri"/>
      <family val="2"/>
      <scheme val="minor"/>
    </font>
    <font>
      <b/>
      <sz val="9"/>
      <name val="Symbol"/>
      <family val="1"/>
      <charset val="2"/>
    </font>
    <font>
      <b/>
      <sz val="7.65"/>
      <name val="Arial"/>
      <family val="2"/>
    </font>
    <font>
      <b/>
      <sz val="10"/>
      <color rgb="FFFF0000"/>
      <name val="Arial"/>
      <family val="2"/>
    </font>
    <font>
      <sz val="10"/>
      <color rgb="FFFF0000"/>
      <name val="Calibri"/>
      <family val="2"/>
      <scheme val="minor"/>
    </font>
    <font>
      <sz val="12"/>
      <name val="Arial"/>
      <family val="2"/>
    </font>
    <font>
      <sz val="14"/>
      <name val="Arial"/>
      <family val="2"/>
    </font>
    <font>
      <b/>
      <sz val="11"/>
      <color indexed="10"/>
      <name val="Arial"/>
      <family val="2"/>
    </font>
    <font>
      <sz val="11"/>
      <color indexed="10"/>
      <name val="Arial"/>
      <family val="2"/>
    </font>
  </fonts>
  <fills count="14">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11"/>
        <bgColor indexed="64"/>
      </patternFill>
    </fill>
    <fill>
      <patternFill patternType="solid">
        <fgColor indexed="42"/>
        <bgColor indexed="64"/>
      </patternFill>
    </fill>
    <fill>
      <patternFill patternType="solid">
        <fgColor indexed="13"/>
        <bgColor indexed="64"/>
      </patternFill>
    </fill>
    <fill>
      <patternFill patternType="solid">
        <fgColor rgb="FFCCFFCC"/>
        <bgColor indexed="64"/>
      </patternFill>
    </fill>
    <fill>
      <patternFill patternType="solid">
        <fgColor rgb="FFFFFF00"/>
        <bgColor indexed="64"/>
      </patternFill>
    </fill>
    <fill>
      <patternFill patternType="solid">
        <fgColor rgb="FFFFFF99"/>
        <bgColor indexed="64"/>
      </patternFill>
    </fill>
    <fill>
      <patternFill patternType="solid">
        <fgColor rgb="FFFF6D6D"/>
        <bgColor indexed="64"/>
      </patternFill>
    </fill>
    <fill>
      <patternFill patternType="solid">
        <fgColor rgb="FFFFFF71"/>
        <bgColor indexed="64"/>
      </patternFill>
    </fill>
    <fill>
      <patternFill patternType="solid">
        <fgColor rgb="FFCCFFFF"/>
        <bgColor indexed="64"/>
      </patternFill>
    </fill>
    <fill>
      <patternFill patternType="solid">
        <fgColor rgb="FF92D05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3" fillId="0" borderId="0"/>
  </cellStyleXfs>
  <cellXfs count="320">
    <xf numFmtId="0" fontId="0" fillId="0" borderId="0" xfId="0"/>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0" fontId="3" fillId="0" borderId="0" xfId="0" applyFont="1" applyAlignment="1"/>
    <xf numFmtId="0" fontId="3" fillId="0" borderId="0" xfId="0" applyFont="1"/>
    <xf numFmtId="10" fontId="0" fillId="0" borderId="3" xfId="0" applyNumberFormat="1" applyBorder="1"/>
    <xf numFmtId="10" fontId="0" fillId="0" borderId="0" xfId="0" applyNumberFormat="1" applyBorder="1"/>
    <xf numFmtId="0" fontId="1" fillId="2" borderId="4" xfId="0" applyFont="1" applyFill="1" applyBorder="1" applyAlignment="1">
      <alignment horizontal="center" vertical="center"/>
    </xf>
    <xf numFmtId="1" fontId="1" fillId="2" borderId="4" xfId="0" applyNumberFormat="1" applyFont="1" applyFill="1" applyBorder="1" applyAlignment="1">
      <alignment horizontal="center" vertical="center" wrapText="1"/>
    </xf>
    <xf numFmtId="1" fontId="1" fillId="3" borderId="4"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7" xfId="0" applyFont="1" applyFill="1" applyBorder="1" applyAlignment="1">
      <alignment horizontal="left" vertical="center" wrapText="1"/>
    </xf>
    <xf numFmtId="0" fontId="4" fillId="0" borderId="7" xfId="0" applyFont="1" applyFill="1" applyBorder="1" applyAlignment="1">
      <alignment horizontal="left" vertical="center" wrapText="1"/>
    </xf>
    <xf numFmtId="1" fontId="1" fillId="0" borderId="7" xfId="0" applyNumberFormat="1" applyFont="1" applyFill="1" applyBorder="1" applyAlignment="1">
      <alignment horizontal="center" vertical="center" wrapText="1"/>
    </xf>
    <xf numFmtId="1" fontId="1" fillId="2" borderId="15" xfId="0" applyNumberFormat="1" applyFont="1" applyFill="1" applyBorder="1" applyAlignment="1">
      <alignment horizontal="center" vertical="center" wrapText="1"/>
    </xf>
    <xf numFmtId="1" fontId="1" fillId="2" borderId="8" xfId="0" applyNumberFormat="1" applyFont="1" applyFill="1" applyBorder="1" applyAlignment="1">
      <alignment horizontal="center" vertical="center" wrapText="1"/>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8" xfId="0" applyFont="1" applyFill="1" applyBorder="1" applyAlignment="1">
      <alignment horizontal="center" wrapText="1"/>
    </xf>
    <xf numFmtId="0" fontId="1" fillId="2" borderId="19" xfId="0" applyFont="1" applyFill="1" applyBorder="1" applyAlignment="1">
      <alignment horizontal="center" wrapText="1"/>
    </xf>
    <xf numFmtId="0" fontId="3" fillId="2" borderId="1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3" borderId="8" xfId="0" applyNumberFormat="1" applyFont="1" applyFill="1" applyBorder="1" applyAlignment="1">
      <alignment horizontal="center" vertical="center" wrapText="1"/>
    </xf>
    <xf numFmtId="1" fontId="1" fillId="3" borderId="21" xfId="0" applyNumberFormat="1"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7" xfId="0" applyFont="1" applyFill="1" applyBorder="1" applyAlignment="1">
      <alignment horizontal="center" wrapText="1"/>
    </xf>
    <xf numFmtId="0" fontId="1" fillId="3" borderId="20" xfId="0" applyFont="1" applyFill="1" applyBorder="1" applyAlignment="1">
      <alignment horizontal="center" wrapText="1"/>
    </xf>
    <xf numFmtId="1" fontId="1" fillId="4" borderId="2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0" fillId="0" borderId="7" xfId="0" applyFill="1" applyBorder="1" applyAlignment="1">
      <alignment horizontal="center" vertical="center" wrapText="1"/>
    </xf>
    <xf numFmtId="0" fontId="1" fillId="3" borderId="12" xfId="0" applyFont="1" applyFill="1" applyBorder="1" applyAlignment="1">
      <alignment horizontal="center" wrapText="1"/>
    </xf>
    <xf numFmtId="0" fontId="1" fillId="3" borderId="14" xfId="0" applyFont="1" applyFill="1" applyBorder="1" applyAlignment="1">
      <alignment horizontal="center" wrapText="1"/>
    </xf>
    <xf numFmtId="0" fontId="0" fillId="0" borderId="0" xfId="0" applyBorder="1" applyAlignment="1"/>
    <xf numFmtId="0" fontId="0" fillId="0" borderId="51" xfId="0" applyBorder="1"/>
    <xf numFmtId="0" fontId="0" fillId="0" borderId="51" xfId="0" applyFill="1" applyBorder="1"/>
    <xf numFmtId="10" fontId="0" fillId="0" borderId="51" xfId="0" applyNumberFormat="1" applyBorder="1"/>
    <xf numFmtId="0" fontId="0" fillId="0" borderId="0" xfId="0" applyBorder="1"/>
    <xf numFmtId="0" fontId="0" fillId="0" borderId="0" xfId="0" applyFill="1" applyBorder="1"/>
    <xf numFmtId="0" fontId="1" fillId="0" borderId="0" xfId="0" applyFont="1" applyFill="1" applyBorder="1" applyAlignment="1">
      <alignment horizontal="center" vertical="center"/>
    </xf>
    <xf numFmtId="0" fontId="9" fillId="2" borderId="5" xfId="0" applyFont="1" applyFill="1" applyBorder="1" applyAlignment="1">
      <alignment horizontal="center" vertical="center" wrapText="1"/>
    </xf>
    <xf numFmtId="1" fontId="9" fillId="2" borderId="5" xfId="0" applyNumberFormat="1" applyFont="1" applyFill="1" applyBorder="1" applyAlignment="1">
      <alignment horizontal="center" vertical="center" wrapText="1"/>
    </xf>
    <xf numFmtId="1" fontId="9" fillId="2" borderId="6"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1" fontId="9" fillId="2" borderId="14" xfId="0" applyNumberFormat="1" applyFont="1" applyFill="1" applyBorder="1" applyAlignment="1">
      <alignment horizontal="center" vertical="center" wrapText="1"/>
    </xf>
    <xf numFmtId="0" fontId="9" fillId="2" borderId="12" xfId="0" applyFont="1" applyFill="1" applyBorder="1" applyAlignment="1">
      <alignment horizontal="center" vertical="center"/>
    </xf>
    <xf numFmtId="0" fontId="9" fillId="2" borderId="14" xfId="0" applyFont="1" applyFill="1" applyBorder="1" applyAlignment="1">
      <alignment horizontal="center" vertical="center"/>
    </xf>
    <xf numFmtId="0" fontId="9" fillId="3" borderId="5" xfId="0" applyFont="1" applyFill="1" applyBorder="1" applyAlignment="1">
      <alignment horizontal="center" vertical="center" wrapText="1"/>
    </xf>
    <xf numFmtId="1" fontId="9" fillId="3" borderId="5" xfId="0" applyNumberFormat="1" applyFont="1" applyFill="1" applyBorder="1" applyAlignment="1">
      <alignment horizontal="center" vertical="center" wrapText="1"/>
    </xf>
    <xf numFmtId="1" fontId="9" fillId="3" borderId="6" xfId="0" applyNumberFormat="1" applyFont="1" applyFill="1" applyBorder="1" applyAlignment="1">
      <alignment horizontal="center" vertical="center" wrapText="1"/>
    </xf>
    <xf numFmtId="10" fontId="12" fillId="0" borderId="0" xfId="0" applyNumberFormat="1" applyFont="1" applyFill="1" applyBorder="1" applyAlignment="1">
      <alignment vertical="center" textRotation="180"/>
    </xf>
    <xf numFmtId="0" fontId="0" fillId="0" borderId="33" xfId="0" applyFill="1" applyBorder="1" applyAlignment="1">
      <alignment horizontal="center" vertical="center" wrapText="1"/>
    </xf>
    <xf numFmtId="0" fontId="3" fillId="0" borderId="0" xfId="0" applyFont="1" applyBorder="1"/>
    <xf numFmtId="10" fontId="3" fillId="0" borderId="0" xfId="0" applyNumberFormat="1" applyFont="1" applyFill="1" applyBorder="1" applyAlignment="1"/>
    <xf numFmtId="164" fontId="1" fillId="2" borderId="13"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7" fillId="0" borderId="0" xfId="0" applyFont="1" applyBorder="1"/>
    <xf numFmtId="0" fontId="0" fillId="7" borderId="0" xfId="0" applyFill="1"/>
    <xf numFmtId="0" fontId="3" fillId="7" borderId="0" xfId="0" applyFont="1" applyFill="1"/>
    <xf numFmtId="10" fontId="0" fillId="0" borderId="0" xfId="0" applyNumberFormat="1"/>
    <xf numFmtId="0" fontId="3" fillId="0" borderId="0" xfId="0" applyFont="1" applyAlignment="1">
      <alignment horizontal="left" wrapText="1"/>
    </xf>
    <xf numFmtId="0" fontId="22" fillId="0" borderId="0" xfId="0" applyFont="1"/>
    <xf numFmtId="0" fontId="1" fillId="0" borderId="0" xfId="0" applyFont="1" applyFill="1" applyBorder="1" applyAlignment="1">
      <alignment horizontal="left" vertical="center" wrapText="1"/>
    </xf>
    <xf numFmtId="0" fontId="3" fillId="0" borderId="0" xfId="0" applyFont="1" applyBorder="1" applyAlignment="1">
      <alignment horizontal="left" wrapText="1" indent="2"/>
    </xf>
    <xf numFmtId="0" fontId="14" fillId="0" borderId="53" xfId="0" applyFont="1" applyFill="1" applyBorder="1" applyAlignment="1">
      <alignment horizontal="left" vertical="center" wrapText="1"/>
    </xf>
    <xf numFmtId="0" fontId="0" fillId="0" borderId="53" xfId="0" applyFill="1" applyBorder="1"/>
    <xf numFmtId="0" fontId="14" fillId="0" borderId="0" xfId="0" applyFont="1" applyFill="1" applyBorder="1" applyAlignment="1">
      <alignment horizontal="left" vertical="top" wrapText="1"/>
    </xf>
    <xf numFmtId="0" fontId="14" fillId="0" borderId="53" xfId="0" applyFont="1" applyFill="1" applyBorder="1" applyAlignment="1">
      <alignment horizontal="left" vertical="top" wrapText="1"/>
    </xf>
    <xf numFmtId="0" fontId="3" fillId="0" borderId="0" xfId="0" applyFont="1" applyFill="1" applyBorder="1" applyAlignment="1">
      <alignment vertical="top"/>
    </xf>
    <xf numFmtId="0" fontId="0" fillId="0" borderId="0" xfId="0" applyFill="1" applyBorder="1" applyAlignment="1">
      <alignment vertical="top"/>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wrapText="1"/>
    </xf>
    <xf numFmtId="0" fontId="14" fillId="0" borderId="0" xfId="0" applyFont="1" applyFill="1" applyBorder="1" applyAlignment="1">
      <alignment horizontal="left" vertical="top"/>
    </xf>
    <xf numFmtId="0" fontId="13" fillId="11" borderId="0" xfId="1" applyFill="1" applyAlignment="1" applyProtection="1"/>
    <xf numFmtId="0" fontId="0" fillId="11" borderId="0" xfId="0" applyFill="1"/>
    <xf numFmtId="0" fontId="3" fillId="11" borderId="0" xfId="0" applyFont="1" applyFill="1"/>
    <xf numFmtId="0" fontId="3" fillId="11" borderId="0" xfId="0" applyFont="1" applyFill="1" applyAlignment="1"/>
    <xf numFmtId="0" fontId="3" fillId="10" borderId="0" xfId="0" applyFont="1" applyFill="1"/>
    <xf numFmtId="0" fontId="13" fillId="10" borderId="0" xfId="1" applyFill="1" applyAlignment="1" applyProtection="1"/>
    <xf numFmtId="0" fontId="0" fillId="10" borderId="0" xfId="0" applyFill="1"/>
    <xf numFmtId="0" fontId="3" fillId="10" borderId="0" xfId="0" applyFont="1" applyFill="1" applyAlignment="1"/>
    <xf numFmtId="0" fontId="11" fillId="4" borderId="7" xfId="0" applyFont="1" applyFill="1" applyBorder="1" applyAlignment="1">
      <alignment vertical="center" wrapText="1"/>
    </xf>
    <xf numFmtId="0" fontId="11" fillId="4" borderId="50" xfId="0" applyFont="1" applyFill="1" applyBorder="1" applyAlignment="1">
      <alignment vertical="center" wrapText="1"/>
    </xf>
    <xf numFmtId="1" fontId="1" fillId="9" borderId="4"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1" fontId="1" fillId="9" borderId="1" xfId="0" applyNumberFormat="1" applyFont="1" applyFill="1" applyBorder="1" applyAlignment="1">
      <alignment horizontal="center" vertical="center" wrapText="1"/>
    </xf>
    <xf numFmtId="0" fontId="15" fillId="0" borderId="0" xfId="0" applyFont="1" applyBorder="1" applyAlignment="1">
      <alignment horizontal="left"/>
    </xf>
    <xf numFmtId="0" fontId="3" fillId="0" borderId="0" xfId="0" applyFont="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3" fillId="12" borderId="1"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26" fillId="0" borderId="0" xfId="0" applyFont="1" applyFill="1" applyBorder="1" applyAlignment="1">
      <alignment horizontal="left" vertical="center"/>
    </xf>
    <xf numFmtId="0" fontId="4" fillId="3" borderId="17" xfId="0" applyFont="1" applyFill="1" applyBorder="1" applyAlignment="1">
      <alignment horizontal="center" vertical="center" wrapText="1"/>
    </xf>
    <xf numFmtId="3" fontId="0" fillId="0" borderId="0" xfId="0" applyNumberFormat="1"/>
    <xf numFmtId="9" fontId="0" fillId="0" borderId="0" xfId="0" applyNumberFormat="1"/>
    <xf numFmtId="0" fontId="32" fillId="0" borderId="0" xfId="0" applyFont="1" applyBorder="1"/>
    <xf numFmtId="0" fontId="32" fillId="0" borderId="0" xfId="0" applyFont="1" applyBorder="1" applyAlignment="1">
      <alignment horizontal="left"/>
    </xf>
    <xf numFmtId="0" fontId="33" fillId="0" borderId="0" xfId="0" applyFont="1" applyBorder="1" applyAlignment="1"/>
    <xf numFmtId="0" fontId="33" fillId="0" borderId="0" xfId="0" applyFont="1" applyBorder="1"/>
    <xf numFmtId="0" fontId="4" fillId="2" borderId="17" xfId="0" applyFont="1" applyFill="1" applyBorder="1" applyAlignment="1">
      <alignment horizontal="center" vertical="center" wrapText="1"/>
    </xf>
    <xf numFmtId="1" fontId="4" fillId="2" borderId="17" xfId="0" applyNumberFormat="1" applyFont="1" applyFill="1" applyBorder="1" applyAlignment="1">
      <alignment horizontal="center" vertical="center" wrapText="1"/>
    </xf>
    <xf numFmtId="1" fontId="4" fillId="2" borderId="20" xfId="0" applyNumberFormat="1" applyFont="1" applyFill="1" applyBorder="1" applyAlignment="1">
      <alignment horizontal="center" vertical="center" wrapText="1"/>
    </xf>
    <xf numFmtId="10" fontId="32" fillId="0" borderId="0" xfId="0" applyNumberFormat="1" applyFont="1" applyFill="1" applyBorder="1" applyAlignment="1">
      <alignment vertical="center" textRotation="180"/>
    </xf>
    <xf numFmtId="0" fontId="32" fillId="0" borderId="0" xfId="0" applyFont="1" applyFill="1" applyBorder="1"/>
    <xf numFmtId="0" fontId="32" fillId="0" borderId="0" xfId="0" applyFont="1" applyFill="1" applyBorder="1" applyAlignment="1">
      <alignment horizontal="left"/>
    </xf>
    <xf numFmtId="0" fontId="33" fillId="0" borderId="0" xfId="0" applyFont="1" applyBorder="1" applyAlignment="1">
      <alignment horizontal="left"/>
    </xf>
    <xf numFmtId="10" fontId="33" fillId="0" borderId="0" xfId="0" applyNumberFormat="1" applyFont="1" applyFill="1" applyBorder="1" applyAlignment="1">
      <alignment vertical="center" textRotation="180"/>
    </xf>
    <xf numFmtId="0" fontId="33" fillId="0" borderId="0" xfId="0" applyFont="1" applyFill="1" applyBorder="1"/>
    <xf numFmtId="0" fontId="33" fillId="0" borderId="0" xfId="0" applyFont="1" applyFill="1" applyBorder="1" applyAlignment="1">
      <alignment horizontal="left"/>
    </xf>
    <xf numFmtId="1" fontId="4" fillId="3" borderId="17" xfId="0" applyNumberFormat="1" applyFont="1" applyFill="1" applyBorder="1" applyAlignment="1">
      <alignment horizontal="center" vertical="center" wrapText="1"/>
    </xf>
    <xf numFmtId="1" fontId="4" fillId="3" borderId="20" xfId="0" applyNumberFormat="1" applyFont="1" applyFill="1" applyBorder="1" applyAlignment="1">
      <alignment horizontal="center" vertical="center" wrapText="1"/>
    </xf>
    <xf numFmtId="0" fontId="4" fillId="3" borderId="49"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45" xfId="0" applyFont="1" applyFill="1" applyBorder="1" applyAlignment="1">
      <alignment horizontal="center" vertical="center" wrapText="1"/>
    </xf>
    <xf numFmtId="0" fontId="1" fillId="4" borderId="52" xfId="0" applyFont="1" applyFill="1" applyBorder="1" applyAlignment="1">
      <alignment horizontal="right" vertical="center" wrapText="1"/>
    </xf>
    <xf numFmtId="0" fontId="1" fillId="4" borderId="48" xfId="0" applyFont="1" applyFill="1" applyBorder="1" applyAlignment="1">
      <alignment horizontal="right" vertical="center" wrapText="1"/>
    </xf>
    <xf numFmtId="0" fontId="11" fillId="4" borderId="49"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4" fillId="3" borderId="42" xfId="0" applyFont="1" applyFill="1" applyBorder="1" applyAlignment="1">
      <alignment horizontal="center" vertical="center" textRotation="90" wrapText="1"/>
    </xf>
    <xf numFmtId="0" fontId="0" fillId="0" borderId="43" xfId="0" applyBorder="1" applyAlignment="1">
      <alignment horizontal="center" vertical="center" textRotation="90" wrapText="1"/>
    </xf>
    <xf numFmtId="0" fontId="0" fillId="0" borderId="16" xfId="0" applyBorder="1" applyAlignment="1">
      <alignment horizontal="center" vertical="center" textRotation="90" wrapText="1"/>
    </xf>
    <xf numFmtId="0" fontId="1" fillId="3" borderId="23" xfId="0" applyFont="1" applyFill="1" applyBorder="1" applyAlignment="1">
      <alignment horizontal="left" vertical="center" wrapText="1"/>
    </xf>
    <xf numFmtId="0" fontId="1" fillId="3" borderId="51"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0" fontId="9" fillId="3" borderId="46"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3" borderId="47" xfId="0" applyFont="1" applyFill="1" applyBorder="1" applyAlignment="1">
      <alignment horizontal="center" vertical="center" wrapText="1"/>
    </xf>
    <xf numFmtId="0" fontId="11" fillId="3" borderId="49"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50"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0" fillId="3" borderId="17" xfId="0" applyFill="1" applyBorder="1" applyAlignment="1">
      <alignment horizontal="center" vertical="center" wrapText="1"/>
    </xf>
    <xf numFmtId="0" fontId="4" fillId="3" borderId="43" xfId="0" applyFont="1" applyFill="1" applyBorder="1" applyAlignment="1">
      <alignment horizontal="center" vertical="center" textRotation="90" wrapText="1"/>
    </xf>
    <xf numFmtId="0" fontId="4" fillId="3" borderId="16" xfId="0" applyFont="1" applyFill="1" applyBorder="1" applyAlignment="1">
      <alignment horizontal="center" vertical="center" textRotation="90" wrapText="1"/>
    </xf>
    <xf numFmtId="0" fontId="1" fillId="2" borderId="40" xfId="0" applyFont="1" applyFill="1" applyBorder="1" applyAlignment="1">
      <alignment horizontal="left" vertical="center" wrapText="1"/>
    </xf>
    <xf numFmtId="0" fontId="1" fillId="2" borderId="36"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9" borderId="11" xfId="0" applyFont="1" applyFill="1" applyBorder="1" applyAlignment="1">
      <alignment horizontal="left" vertical="center" wrapText="1"/>
    </xf>
    <xf numFmtId="0" fontId="1" fillId="9" borderId="10" xfId="0" applyFont="1" applyFill="1" applyBorder="1" applyAlignment="1">
      <alignment horizontal="left" vertical="center" wrapText="1"/>
    </xf>
    <xf numFmtId="0" fontId="1" fillId="9" borderId="2" xfId="0" applyFont="1" applyFill="1" applyBorder="1" applyAlignment="1">
      <alignment horizontal="left" vertical="center" wrapText="1"/>
    </xf>
    <xf numFmtId="0" fontId="9" fillId="2" borderId="46"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14" fillId="5" borderId="27" xfId="0" applyFont="1" applyFill="1" applyBorder="1" applyAlignment="1">
      <alignment vertical="center" wrapText="1"/>
    </xf>
    <xf numFmtId="0" fontId="14" fillId="5" borderId="10" xfId="0" applyFont="1" applyFill="1" applyBorder="1" applyAlignment="1">
      <alignment vertical="center" wrapText="1"/>
    </xf>
    <xf numFmtId="0" fontId="17" fillId="0" borderId="10" xfId="0" applyFont="1" applyBorder="1" applyAlignment="1">
      <alignment vertical="center" wrapText="1"/>
    </xf>
    <xf numFmtId="0" fontId="17" fillId="0" borderId="2" xfId="0" applyFont="1" applyBorder="1" applyAlignment="1">
      <alignment vertical="center" wrapText="1"/>
    </xf>
    <xf numFmtId="0" fontId="14" fillId="5" borderId="28" xfId="0" applyFont="1" applyFill="1" applyBorder="1" applyAlignment="1">
      <alignment horizontal="left" vertical="top" wrapText="1"/>
    </xf>
    <xf numFmtId="0" fontId="14" fillId="5" borderId="29" xfId="0" applyFont="1" applyFill="1" applyBorder="1" applyAlignment="1">
      <alignment horizontal="left" vertical="top" wrapText="1"/>
    </xf>
    <xf numFmtId="0" fontId="14" fillId="5" borderId="30" xfId="0" applyFont="1" applyFill="1" applyBorder="1" applyAlignment="1">
      <alignment horizontal="left" vertical="top" wrapText="1"/>
    </xf>
    <xf numFmtId="0" fontId="14" fillId="5" borderId="3" xfId="0" applyFont="1" applyFill="1" applyBorder="1" applyAlignment="1">
      <alignment horizontal="left" vertical="top" wrapText="1"/>
    </xf>
    <xf numFmtId="0" fontId="14" fillId="5" borderId="0" xfId="0" applyFont="1" applyFill="1" applyBorder="1" applyAlignment="1">
      <alignment horizontal="left" vertical="top" wrapText="1"/>
    </xf>
    <xf numFmtId="0" fontId="14" fillId="5" borderId="31" xfId="0" applyFont="1" applyFill="1" applyBorder="1" applyAlignment="1">
      <alignment horizontal="left" vertical="top" wrapText="1"/>
    </xf>
    <xf numFmtId="0" fontId="14" fillId="5" borderId="32" xfId="0" applyFont="1" applyFill="1" applyBorder="1" applyAlignment="1">
      <alignment horizontal="left" vertical="top" wrapText="1"/>
    </xf>
    <xf numFmtId="0" fontId="14" fillId="5" borderId="33" xfId="0" applyFont="1" applyFill="1" applyBorder="1" applyAlignment="1">
      <alignment horizontal="left" vertical="top" wrapText="1"/>
    </xf>
    <xf numFmtId="0" fontId="14" fillId="5" borderId="34" xfId="0" applyFont="1" applyFill="1" applyBorder="1" applyAlignment="1">
      <alignment horizontal="left" vertical="top" wrapText="1"/>
    </xf>
    <xf numFmtId="0" fontId="14" fillId="5" borderId="24" xfId="0" applyFont="1" applyFill="1" applyBorder="1" applyAlignment="1">
      <alignment horizontal="left" vertical="center" wrapText="1"/>
    </xf>
    <xf numFmtId="0" fontId="17" fillId="5" borderId="25" xfId="0" applyFont="1" applyFill="1" applyBorder="1" applyAlignment="1">
      <alignment horizontal="left" vertical="center" wrapText="1"/>
    </xf>
    <xf numFmtId="0" fontId="17" fillId="0" borderId="25" xfId="0" applyFont="1" applyBorder="1" applyAlignment="1">
      <alignment horizontal="left" vertical="center" wrapText="1"/>
    </xf>
    <xf numFmtId="0" fontId="17" fillId="0" borderId="47" xfId="0" applyFont="1" applyBorder="1" applyAlignment="1">
      <alignment vertical="center" wrapText="1"/>
    </xf>
    <xf numFmtId="0" fontId="14" fillId="7" borderId="49" xfId="0" applyFont="1" applyFill="1" applyBorder="1" applyAlignment="1">
      <alignment horizontal="left" vertical="center" wrapText="1"/>
    </xf>
    <xf numFmtId="0" fontId="0" fillId="0" borderId="7" xfId="0" applyBorder="1"/>
    <xf numFmtId="0" fontId="0" fillId="0" borderId="45" xfId="0" applyBorder="1"/>
    <xf numFmtId="0" fontId="4" fillId="2" borderId="42" xfId="0" applyFont="1" applyFill="1" applyBorder="1" applyAlignment="1">
      <alignment horizontal="center" vertical="center" textRotation="90" wrapText="1"/>
    </xf>
    <xf numFmtId="0" fontId="4" fillId="2" borderId="43" xfId="0" applyFont="1" applyFill="1" applyBorder="1" applyAlignment="1">
      <alignment horizontal="center" vertical="center" textRotation="90" wrapText="1"/>
    </xf>
    <xf numFmtId="0" fontId="4" fillId="2" borderId="16" xfId="0" applyFont="1" applyFill="1" applyBorder="1" applyAlignment="1">
      <alignment horizontal="center" vertical="center" textRotation="90" wrapText="1"/>
    </xf>
    <xf numFmtId="0" fontId="11" fillId="2" borderId="49" xfId="0" applyFont="1" applyFill="1" applyBorder="1" applyAlignment="1">
      <alignment horizontal="center"/>
    </xf>
    <xf numFmtId="0" fontId="11" fillId="2" borderId="7" xfId="0" applyFont="1" applyFill="1" applyBorder="1" applyAlignment="1">
      <alignment horizontal="center"/>
    </xf>
    <xf numFmtId="0" fontId="11" fillId="2" borderId="50" xfId="0" applyFont="1" applyFill="1" applyBorder="1" applyAlignment="1">
      <alignment horizontal="center"/>
    </xf>
    <xf numFmtId="0" fontId="4" fillId="2" borderId="44"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33" fillId="0" borderId="0" xfId="0" applyFont="1" applyFill="1" applyBorder="1" applyAlignment="1">
      <alignment horizontal="left" vertical="center" wrapText="1"/>
    </xf>
    <xf numFmtId="0" fontId="11" fillId="0" borderId="0" xfId="0" applyFont="1" applyFill="1" applyBorder="1" applyAlignment="1">
      <alignment vertical="center" wrapText="1"/>
    </xf>
    <xf numFmtId="0" fontId="33" fillId="0" borderId="0" xfId="0" applyFont="1" applyFill="1" applyBorder="1" applyAlignment="1">
      <alignment vertical="center" wrapText="1"/>
    </xf>
    <xf numFmtId="0" fontId="34" fillId="5" borderId="27" xfId="0" applyFont="1" applyFill="1" applyBorder="1" applyAlignment="1">
      <alignment horizontal="left" vertical="center" wrapText="1"/>
    </xf>
    <xf numFmtId="0" fontId="34" fillId="5" borderId="10" xfId="0" applyFont="1" applyFill="1" applyBorder="1" applyAlignment="1">
      <alignment horizontal="left" vertical="center" wrapText="1"/>
    </xf>
    <xf numFmtId="0" fontId="35" fillId="0" borderId="10" xfId="0" applyFont="1" applyBorder="1" applyAlignment="1">
      <alignment horizontal="left" vertical="center" wrapText="1"/>
    </xf>
    <xf numFmtId="0" fontId="35" fillId="0" borderId="38" xfId="0" applyFont="1" applyBorder="1" applyAlignment="1">
      <alignment horizontal="left" vertical="center" wrapText="1"/>
    </xf>
    <xf numFmtId="0" fontId="1" fillId="0" borderId="0" xfId="0" applyFont="1" applyFill="1" applyBorder="1" applyAlignment="1">
      <alignment vertical="center" wrapText="1"/>
    </xf>
    <xf numFmtId="0" fontId="0" fillId="0" borderId="0" xfId="0" applyFill="1" applyBorder="1" applyAlignment="1">
      <alignment vertical="center" wrapText="1"/>
    </xf>
    <xf numFmtId="0" fontId="3" fillId="0" borderId="0" xfId="0" applyFont="1" applyFill="1" applyBorder="1" applyAlignment="1">
      <alignment vertical="center" wrapText="1"/>
    </xf>
    <xf numFmtId="0" fontId="4" fillId="5" borderId="35"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14" fillId="7" borderId="27" xfId="0" applyFont="1" applyFill="1" applyBorder="1" applyAlignment="1">
      <alignment horizontal="left" vertical="center" wrapText="1"/>
    </xf>
    <xf numFmtId="0" fontId="14" fillId="7" borderId="10"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4" fillId="5" borderId="28" xfId="0" applyFont="1" applyFill="1" applyBorder="1" applyAlignment="1">
      <alignment horizontal="left" vertical="center" wrapText="1"/>
    </xf>
    <xf numFmtId="0" fontId="14" fillId="5" borderId="29" xfId="0" applyFont="1" applyFill="1" applyBorder="1" applyAlignment="1">
      <alignment horizontal="left" vertical="center" wrapText="1"/>
    </xf>
    <xf numFmtId="0" fontId="14" fillId="5" borderId="30"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4" fillId="5" borderId="0" xfId="0" applyFont="1" applyFill="1" applyBorder="1" applyAlignment="1">
      <alignment horizontal="left" vertical="center" wrapText="1"/>
    </xf>
    <xf numFmtId="0" fontId="14" fillId="5" borderId="3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14" fillId="7" borderId="9"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17" fillId="7" borderId="11" xfId="0" applyFont="1" applyFill="1" applyBorder="1" applyAlignment="1">
      <alignment horizontal="left" vertical="center" wrapText="1"/>
    </xf>
    <xf numFmtId="0" fontId="17" fillId="5" borderId="10" xfId="0" applyFont="1" applyFill="1" applyBorder="1" applyAlignment="1">
      <alignment vertical="center" wrapText="1"/>
    </xf>
    <xf numFmtId="0" fontId="14" fillId="5" borderId="27"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7" fillId="8" borderId="24" xfId="0" applyFont="1" applyFill="1" applyBorder="1" applyAlignment="1">
      <alignment horizontal="center" vertical="top" wrapText="1"/>
    </xf>
    <xf numFmtId="0" fontId="7" fillId="8" borderId="25" xfId="0" applyFont="1" applyFill="1" applyBorder="1" applyAlignment="1">
      <alignment horizontal="center" vertical="top" wrapText="1"/>
    </xf>
    <xf numFmtId="0" fontId="7" fillId="8" borderId="5" xfId="0" applyFont="1" applyFill="1" applyBorder="1" applyAlignment="1">
      <alignment horizontal="center" vertical="top" wrapText="1"/>
    </xf>
    <xf numFmtId="0" fontId="8" fillId="8" borderId="5" xfId="0" applyFont="1" applyFill="1" applyBorder="1" applyAlignment="1">
      <alignment horizontal="center" vertical="top" wrapText="1"/>
    </xf>
    <xf numFmtId="0" fontId="8" fillId="8" borderId="6" xfId="0" applyFont="1" applyFill="1" applyBorder="1" applyAlignment="1">
      <alignment horizontal="center" vertical="top" wrapText="1"/>
    </xf>
    <xf numFmtId="0" fontId="1" fillId="9" borderId="55" xfId="0" applyFont="1" applyFill="1" applyBorder="1" applyAlignment="1">
      <alignment wrapText="1"/>
    </xf>
    <xf numFmtId="0" fontId="0" fillId="9" borderId="8" xfId="0" applyFill="1" applyBorder="1" applyAlignment="1">
      <alignment wrapText="1"/>
    </xf>
    <xf numFmtId="0" fontId="0" fillId="9" borderId="21" xfId="0" applyFill="1" applyBorder="1" applyAlignment="1">
      <alignment wrapText="1"/>
    </xf>
    <xf numFmtId="0" fontId="1" fillId="9" borderId="39" xfId="0" applyFont="1" applyFill="1" applyBorder="1" applyAlignment="1">
      <alignment wrapText="1"/>
    </xf>
    <xf numFmtId="0" fontId="0" fillId="9" borderId="5" xfId="0" applyFill="1" applyBorder="1" applyAlignment="1">
      <alignment wrapText="1"/>
    </xf>
    <xf numFmtId="0" fontId="0" fillId="9" borderId="6" xfId="0" applyFill="1" applyBorder="1" applyAlignment="1">
      <alignment wrapText="1"/>
    </xf>
    <xf numFmtId="0" fontId="14" fillId="9" borderId="27" xfId="0" applyFont="1" applyFill="1" applyBorder="1" applyAlignment="1">
      <alignment horizontal="left" wrapText="1"/>
    </xf>
    <xf numFmtId="0" fontId="14" fillId="9" borderId="10" xfId="0" applyFont="1" applyFill="1" applyBorder="1" applyAlignment="1">
      <alignment horizontal="left" wrapText="1"/>
    </xf>
    <xf numFmtId="0" fontId="14" fillId="9" borderId="2" xfId="0" applyFont="1" applyFill="1" applyBorder="1" applyAlignment="1">
      <alignment horizontal="left" wrapText="1"/>
    </xf>
    <xf numFmtId="0" fontId="1" fillId="9" borderId="1" xfId="0" applyFont="1" applyFill="1" applyBorder="1" applyAlignment="1">
      <alignment horizontal="left" wrapText="1"/>
    </xf>
    <xf numFmtId="0" fontId="3" fillId="9" borderId="1" xfId="0" applyFont="1" applyFill="1" applyBorder="1" applyAlignment="1">
      <alignment wrapText="1"/>
    </xf>
    <xf numFmtId="0" fontId="0" fillId="9" borderId="1" xfId="0" applyFill="1" applyBorder="1" applyAlignment="1">
      <alignment wrapText="1"/>
    </xf>
    <xf numFmtId="0" fontId="0" fillId="9" borderId="4" xfId="0" applyFill="1" applyBorder="1" applyAlignment="1">
      <alignment wrapText="1"/>
    </xf>
    <xf numFmtId="0" fontId="17" fillId="9" borderId="27" xfId="0" applyFont="1" applyFill="1" applyBorder="1" applyAlignment="1">
      <alignment horizontal="center"/>
    </xf>
    <xf numFmtId="0" fontId="17" fillId="9" borderId="2" xfId="0" applyFont="1" applyFill="1" applyBorder="1" applyAlignment="1">
      <alignment horizontal="center"/>
    </xf>
    <xf numFmtId="0" fontId="17" fillId="9" borderId="1" xfId="0" applyFont="1" applyFill="1" applyBorder="1" applyAlignment="1">
      <alignment wrapText="1"/>
    </xf>
    <xf numFmtId="0" fontId="17" fillId="9" borderId="11" xfId="0" applyFont="1" applyFill="1" applyBorder="1" applyAlignment="1">
      <alignment wrapText="1"/>
    </xf>
    <xf numFmtId="0" fontId="17" fillId="9" borderId="4" xfId="0" applyFont="1" applyFill="1" applyBorder="1" applyAlignment="1">
      <alignment wrapText="1"/>
    </xf>
    <xf numFmtId="0" fontId="8" fillId="8" borderId="25" xfId="0" applyFont="1" applyFill="1" applyBorder="1" applyAlignment="1">
      <alignment horizontal="center" vertical="top" wrapText="1"/>
    </xf>
    <xf numFmtId="0" fontId="8" fillId="8" borderId="26" xfId="0" applyFont="1" applyFill="1" applyBorder="1" applyAlignment="1">
      <alignment horizontal="center" vertical="top" wrapText="1"/>
    </xf>
    <xf numFmtId="0" fontId="4" fillId="6" borderId="35" xfId="0" applyFont="1" applyFill="1" applyBorder="1" applyAlignment="1">
      <alignment horizontal="center" wrapText="1"/>
    </xf>
    <xf numFmtId="0" fontId="4" fillId="6" borderId="36" xfId="0" applyFont="1" applyFill="1" applyBorder="1" applyAlignment="1">
      <alignment horizontal="center" wrapText="1"/>
    </xf>
    <xf numFmtId="0" fontId="4" fillId="6" borderId="37" xfId="0" applyFont="1" applyFill="1" applyBorder="1" applyAlignment="1">
      <alignment horizontal="center" wrapText="1"/>
    </xf>
    <xf numFmtId="0" fontId="17" fillId="9" borderId="2" xfId="0" applyFont="1" applyFill="1" applyBorder="1" applyAlignment="1">
      <alignment horizontal="left" wrapText="1"/>
    </xf>
    <xf numFmtId="0" fontId="3" fillId="9" borderId="11" xfId="0" applyFont="1" applyFill="1" applyBorder="1" applyAlignment="1">
      <alignment wrapText="1"/>
    </xf>
    <xf numFmtId="0" fontId="14" fillId="9" borderId="1" xfId="0" applyFont="1" applyFill="1" applyBorder="1" applyAlignment="1">
      <alignment wrapText="1"/>
    </xf>
    <xf numFmtId="0" fontId="1" fillId="9" borderId="27" xfId="0" applyFont="1" applyFill="1" applyBorder="1" applyAlignment="1">
      <alignment wrapText="1"/>
    </xf>
    <xf numFmtId="0" fontId="1" fillId="9" borderId="2" xfId="0" applyFont="1" applyFill="1" applyBorder="1" applyAlignment="1">
      <alignment wrapText="1"/>
    </xf>
    <xf numFmtId="0" fontId="3" fillId="9" borderId="11" xfId="0" applyFont="1" applyFill="1" applyBorder="1" applyAlignment="1">
      <alignment horizontal="center" wrapText="1"/>
    </xf>
    <xf numFmtId="0" fontId="0" fillId="9" borderId="10" xfId="0" applyFill="1" applyBorder="1" applyAlignment="1">
      <alignment horizontal="center" wrapText="1"/>
    </xf>
    <xf numFmtId="0" fontId="0" fillId="9" borderId="2" xfId="0" applyFill="1" applyBorder="1" applyAlignment="1">
      <alignment horizontal="center" wrapText="1"/>
    </xf>
    <xf numFmtId="0" fontId="1" fillId="9" borderId="11" xfId="0" applyFont="1" applyFill="1" applyBorder="1" applyAlignment="1">
      <alignment wrapText="1"/>
    </xf>
    <xf numFmtId="0" fontId="0" fillId="9" borderId="11" xfId="0" applyFill="1" applyBorder="1" applyAlignment="1">
      <alignment horizontal="center"/>
    </xf>
    <xf numFmtId="0" fontId="0" fillId="9" borderId="10" xfId="0" applyFill="1" applyBorder="1" applyAlignment="1">
      <alignment horizontal="center"/>
    </xf>
    <xf numFmtId="0" fontId="0" fillId="9" borderId="38" xfId="0" applyFill="1" applyBorder="1" applyAlignment="1">
      <alignment horizontal="center"/>
    </xf>
    <xf numFmtId="0" fontId="7" fillId="6" borderId="24" xfId="0" applyFont="1" applyFill="1" applyBorder="1" applyAlignment="1">
      <alignment horizontal="center" vertical="top" wrapText="1"/>
    </xf>
    <xf numFmtId="0" fontId="8" fillId="6" borderId="25" xfId="0" applyFont="1" applyFill="1" applyBorder="1" applyAlignment="1">
      <alignment horizontal="center" vertical="top" wrapText="1"/>
    </xf>
    <xf numFmtId="0" fontId="7" fillId="6" borderId="25" xfId="0" applyFont="1" applyFill="1" applyBorder="1" applyAlignment="1">
      <alignment horizontal="center" vertical="top" wrapText="1"/>
    </xf>
    <xf numFmtId="0" fontId="8" fillId="6" borderId="26" xfId="0" applyFont="1" applyFill="1" applyBorder="1" applyAlignment="1">
      <alignment horizontal="center" vertical="top" wrapText="1"/>
    </xf>
    <xf numFmtId="0" fontId="4" fillId="8" borderId="35" xfId="0" applyFont="1" applyFill="1" applyBorder="1" applyAlignment="1">
      <alignment horizontal="center" wrapText="1"/>
    </xf>
    <xf numFmtId="0" fontId="4" fillId="8" borderId="36" xfId="0" applyFont="1" applyFill="1" applyBorder="1" applyAlignment="1">
      <alignment horizontal="center" wrapText="1"/>
    </xf>
    <xf numFmtId="0" fontId="4" fillId="8" borderId="37" xfId="0" applyFont="1" applyFill="1" applyBorder="1" applyAlignment="1">
      <alignment horizontal="center" wrapText="1"/>
    </xf>
    <xf numFmtId="0" fontId="0" fillId="9" borderId="2" xfId="0" applyFill="1" applyBorder="1" applyAlignment="1">
      <alignment wrapText="1"/>
    </xf>
    <xf numFmtId="0" fontId="0" fillId="9" borderId="11" xfId="0" applyFill="1" applyBorder="1" applyAlignment="1">
      <alignment wrapText="1"/>
    </xf>
    <xf numFmtId="0" fontId="1" fillId="9" borderId="1" xfId="0" applyFont="1" applyFill="1" applyBorder="1" applyAlignment="1">
      <alignment wrapText="1"/>
    </xf>
    <xf numFmtId="0" fontId="13" fillId="9" borderId="1" xfId="1" applyFill="1" applyBorder="1" applyAlignment="1" applyProtection="1">
      <alignment wrapText="1"/>
    </xf>
    <xf numFmtId="0" fontId="1" fillId="9" borderId="9" xfId="0" applyFont="1" applyFill="1" applyBorder="1" applyAlignment="1">
      <alignment wrapText="1"/>
    </xf>
    <xf numFmtId="0" fontId="3" fillId="9" borderId="11" xfId="0" applyFont="1" applyFill="1" applyBorder="1" applyAlignment="1">
      <alignment horizontal="left"/>
    </xf>
    <xf numFmtId="0" fontId="0" fillId="9" borderId="10" xfId="0" applyFill="1" applyBorder="1" applyAlignment="1">
      <alignment horizontal="left"/>
    </xf>
    <xf numFmtId="0" fontId="0" fillId="9" borderId="38" xfId="0" applyFill="1" applyBorder="1" applyAlignment="1">
      <alignment horizontal="left"/>
    </xf>
    <xf numFmtId="0" fontId="10" fillId="3" borderId="35" xfId="0" applyFont="1" applyFill="1" applyBorder="1" applyAlignment="1">
      <alignment horizontal="center" vertical="center" wrapText="1"/>
    </xf>
    <xf numFmtId="0" fontId="10" fillId="3" borderId="36"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 fillId="3" borderId="24" xfId="0" applyNumberFormat="1" applyFont="1" applyFill="1" applyBorder="1" applyAlignment="1">
      <alignment horizontal="left" vertical="center" wrapText="1"/>
    </xf>
    <xf numFmtId="0" fontId="1" fillId="3" borderId="25" xfId="0" applyNumberFormat="1" applyFont="1" applyFill="1" applyBorder="1" applyAlignment="1">
      <alignment horizontal="left" vertical="center" wrapText="1"/>
    </xf>
    <xf numFmtId="0" fontId="1" fillId="3" borderId="26" xfId="0" applyNumberFormat="1" applyFont="1" applyFill="1" applyBorder="1" applyAlignment="1">
      <alignment horizontal="left" vertical="center" wrapText="1"/>
    </xf>
    <xf numFmtId="0" fontId="4" fillId="0" borderId="54" xfId="0" applyFont="1" applyBorder="1" applyAlignment="1">
      <alignment horizontal="center" wrapText="1"/>
    </xf>
    <xf numFmtId="0" fontId="4" fillId="0" borderId="13" xfId="0" applyFont="1" applyBorder="1" applyAlignment="1">
      <alignment horizontal="center" wrapText="1"/>
    </xf>
    <xf numFmtId="0" fontId="0" fillId="0" borderId="13" xfId="0" applyBorder="1" applyAlignment="1">
      <alignment wrapText="1"/>
    </xf>
    <xf numFmtId="0" fontId="0" fillId="0" borderId="15" xfId="0" applyBorder="1" applyAlignment="1">
      <alignment wrapText="1"/>
    </xf>
    <xf numFmtId="0" fontId="1"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0" fillId="0" borderId="1" xfId="0" applyBorder="1" applyAlignment="1">
      <alignment wrapText="1"/>
    </xf>
    <xf numFmtId="0" fontId="0" fillId="0" borderId="4" xfId="0" applyBorder="1" applyAlignment="1">
      <alignment wrapText="1"/>
    </xf>
    <xf numFmtId="0" fontId="1" fillId="0" borderId="27" xfId="0" applyFont="1" applyBorder="1" applyAlignment="1">
      <alignment horizontal="center" wrapText="1"/>
    </xf>
    <xf numFmtId="0" fontId="1" fillId="0" borderId="10" xfId="0" applyFont="1" applyBorder="1" applyAlignment="1">
      <alignment horizontal="center" wrapText="1"/>
    </xf>
    <xf numFmtId="0" fontId="1" fillId="0" borderId="38" xfId="0" applyFont="1" applyBorder="1" applyAlignment="1">
      <alignment horizontal="center" wrapText="1"/>
    </xf>
    <xf numFmtId="0" fontId="0" fillId="0" borderId="9" xfId="0" applyBorder="1" applyAlignment="1"/>
    <xf numFmtId="0" fontId="0" fillId="0" borderId="1" xfId="0" applyBorder="1" applyAlignment="1"/>
    <xf numFmtId="0" fontId="0" fillId="0" borderId="4" xfId="0" applyBorder="1" applyAlignment="1"/>
    <xf numFmtId="0" fontId="1" fillId="0" borderId="9" xfId="0" applyFont="1" applyBorder="1" applyAlignment="1">
      <alignment horizontal="center" wrapText="1"/>
    </xf>
    <xf numFmtId="0" fontId="1" fillId="13" borderId="1" xfId="0" applyFont="1" applyFill="1" applyBorder="1" applyAlignment="1">
      <alignment horizontal="center"/>
    </xf>
    <xf numFmtId="0" fontId="1" fillId="10" borderId="1" xfId="0" applyFont="1" applyFill="1" applyBorder="1" applyAlignment="1">
      <alignment horizontal="center"/>
    </xf>
    <xf numFmtId="0" fontId="1" fillId="11" borderId="1" xfId="0" applyFont="1" applyFill="1" applyBorder="1" applyAlignment="1">
      <alignment horizontal="center"/>
    </xf>
    <xf numFmtId="0" fontId="1" fillId="11" borderId="4" xfId="0" applyFont="1" applyFill="1" applyBorder="1" applyAlignment="1">
      <alignment horizontal="center"/>
    </xf>
    <xf numFmtId="0" fontId="1" fillId="0" borderId="9" xfId="0" applyFont="1" applyBorder="1" applyAlignment="1">
      <alignment horizontal="center"/>
    </xf>
    <xf numFmtId="0" fontId="0" fillId="0" borderId="1" xfId="0" applyBorder="1" applyAlignment="1">
      <alignment horizontal="center"/>
    </xf>
    <xf numFmtId="0" fontId="1" fillId="13" borderId="1" xfId="0" applyNumberFormat="1" applyFont="1" applyFill="1" applyBorder="1" applyAlignment="1">
      <alignment horizontal="center"/>
    </xf>
    <xf numFmtId="0" fontId="0" fillId="0" borderId="1" xfId="0" applyBorder="1" applyAlignment="1">
      <alignment horizontal="center" wrapText="1"/>
    </xf>
    <xf numFmtId="1" fontId="6" fillId="13" borderId="1" xfId="0" applyNumberFormat="1" applyFont="1" applyFill="1" applyBorder="1" applyAlignment="1">
      <alignment horizontal="center"/>
    </xf>
    <xf numFmtId="1" fontId="1" fillId="13" borderId="1" xfId="0" applyNumberFormat="1" applyFont="1" applyFill="1" applyBorder="1" applyAlignment="1">
      <alignment horizontal="center"/>
    </xf>
    <xf numFmtId="0" fontId="1" fillId="0" borderId="9" xfId="0" applyFont="1" applyFill="1" applyBorder="1" applyAlignment="1">
      <alignment horizontal="center" wrapText="1"/>
    </xf>
    <xf numFmtId="0" fontId="5" fillId="0" borderId="1" xfId="0" applyFont="1" applyFill="1" applyBorder="1" applyAlignment="1">
      <alignment horizontal="center" wrapText="1"/>
    </xf>
    <xf numFmtId="0" fontId="3" fillId="7" borderId="0" xfId="0" applyFont="1" applyFill="1" applyAlignment="1">
      <alignment horizontal="left" wrapText="1"/>
    </xf>
    <xf numFmtId="0" fontId="1" fillId="10" borderId="9" xfId="0" applyFont="1" applyFill="1" applyBorder="1" applyAlignment="1">
      <alignment horizontal="center" wrapText="1"/>
    </xf>
    <xf numFmtId="0" fontId="1" fillId="10" borderId="1" xfId="0" applyFont="1" applyFill="1" applyBorder="1" applyAlignment="1">
      <alignment horizontal="center" wrapText="1"/>
    </xf>
    <xf numFmtId="0" fontId="1" fillId="10" borderId="4" xfId="0" applyFont="1" applyFill="1" applyBorder="1" applyAlignment="1">
      <alignment horizontal="center" wrapText="1"/>
    </xf>
    <xf numFmtId="0" fontId="1" fillId="11" borderId="39" xfId="0" applyFont="1" applyFill="1" applyBorder="1" applyAlignment="1">
      <alignment horizontal="center" wrapText="1"/>
    </xf>
    <xf numFmtId="0" fontId="0" fillId="11" borderId="5" xfId="0" applyFill="1" applyBorder="1" applyAlignment="1">
      <alignment horizontal="center" wrapText="1"/>
    </xf>
    <xf numFmtId="0" fontId="0" fillId="11" borderId="6" xfId="0" applyFill="1" applyBorder="1" applyAlignment="1">
      <alignment horizontal="center" wrapText="1"/>
    </xf>
  </cellXfs>
  <cellStyles count="3">
    <cellStyle name="Hyperlink" xfId="1" builtinId="8"/>
    <cellStyle name="Normal" xfId="0" builtinId="0"/>
    <cellStyle name="Normal 2" xfId="2"/>
  </cellStyles>
  <dxfs count="0"/>
  <tableStyles count="0" defaultTableStyle="TableStyleMedium9" defaultPivotStyle="PivotStyleLight16"/>
  <colors>
    <mruColors>
      <color rgb="FFCCFFFF"/>
      <color rgb="FFCCFFCC"/>
      <color rgb="FFFFFF99"/>
      <color rgb="FFFF6D6D"/>
      <color rgb="FFFFFF71"/>
      <color rgb="FFFFCC00"/>
      <color rgb="FFC9C400"/>
      <color rgb="FFFF99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10</xdr:col>
      <xdr:colOff>612322</xdr:colOff>
      <xdr:row>14</xdr:row>
      <xdr:rowOff>231321</xdr:rowOff>
    </xdr:from>
    <xdr:ext cx="184731" cy="264560"/>
    <xdr:sp macro="" textlink="">
      <xdr:nvSpPr>
        <xdr:cNvPr id="2" name="TextBox 1"/>
        <xdr:cNvSpPr txBox="1"/>
      </xdr:nvSpPr>
      <xdr:spPr>
        <a:xfrm>
          <a:off x="7878536" y="438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ensu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tabSelected="1" zoomScaleNormal="100" workbookViewId="0">
      <selection activeCell="A30" sqref="A30"/>
    </sheetView>
  </sheetViews>
  <sheetFormatPr defaultRowHeight="12.75" x14ac:dyDescent="0.2"/>
  <cols>
    <col min="1" max="1" width="10.7109375" style="41" customWidth="1"/>
    <col min="2" max="2" width="13.140625" style="41" customWidth="1"/>
    <col min="3" max="4" width="10.7109375" style="41" customWidth="1"/>
    <col min="5" max="5" width="4.5703125" style="41" customWidth="1"/>
    <col min="6" max="6" width="17.28515625" style="41" customWidth="1"/>
    <col min="7" max="7" width="11.85546875" style="41" customWidth="1"/>
    <col min="8" max="8" width="15" style="41" customWidth="1"/>
    <col min="9" max="9" width="9.7109375" style="42" customWidth="1"/>
    <col min="10" max="10" width="3" style="7" customWidth="1"/>
    <col min="11" max="11" width="12.7109375" style="41" customWidth="1"/>
    <col min="12" max="12" width="12.7109375" style="91" customWidth="1"/>
    <col min="13" max="19" width="12.7109375" style="41" customWidth="1"/>
    <col min="20" max="16384" width="9.140625" style="41"/>
  </cols>
  <sheetData>
    <row r="1" spans="1:12" ht="4.5" customHeight="1" thickBot="1" x14ac:dyDescent="0.25">
      <c r="A1" s="38"/>
      <c r="B1" s="38"/>
      <c r="C1" s="38"/>
      <c r="D1" s="38"/>
      <c r="E1" s="38"/>
      <c r="F1" s="38"/>
      <c r="G1" s="38"/>
      <c r="H1" s="38"/>
      <c r="I1" s="39"/>
      <c r="J1" s="40"/>
    </row>
    <row r="2" spans="1:12" ht="45" customHeight="1" x14ac:dyDescent="0.2">
      <c r="A2" s="275" t="s">
        <v>102</v>
      </c>
      <c r="B2" s="276"/>
      <c r="C2" s="276"/>
      <c r="D2" s="276"/>
      <c r="E2" s="276"/>
      <c r="F2" s="276"/>
      <c r="G2" s="276"/>
      <c r="H2" s="276"/>
      <c r="I2" s="276"/>
      <c r="J2" s="277"/>
    </row>
    <row r="3" spans="1:12" ht="79.5" customHeight="1" thickBot="1" x14ac:dyDescent="0.25">
      <c r="A3" s="278" t="s">
        <v>103</v>
      </c>
      <c r="B3" s="279"/>
      <c r="C3" s="279"/>
      <c r="D3" s="279"/>
      <c r="E3" s="279"/>
      <c r="F3" s="279"/>
      <c r="G3" s="279"/>
      <c r="H3" s="279"/>
      <c r="I3" s="279"/>
      <c r="J3" s="280"/>
    </row>
    <row r="4" spans="1:12" s="101" customFormat="1" ht="14.1" customHeight="1" x14ac:dyDescent="0.25">
      <c r="A4" s="245" t="s">
        <v>37</v>
      </c>
      <c r="B4" s="246"/>
      <c r="C4" s="246"/>
      <c r="D4" s="246"/>
      <c r="E4" s="246"/>
      <c r="F4" s="246"/>
      <c r="G4" s="246"/>
      <c r="H4" s="246"/>
      <c r="I4" s="246"/>
      <c r="J4" s="247"/>
      <c r="L4" s="102"/>
    </row>
    <row r="5" spans="1:12" ht="27.75" customHeight="1" x14ac:dyDescent="0.2">
      <c r="A5" s="271" t="s">
        <v>54</v>
      </c>
      <c r="B5" s="236"/>
      <c r="C5" s="235"/>
      <c r="D5" s="236"/>
      <c r="E5" s="268"/>
      <c r="F5" s="269" t="s">
        <v>61</v>
      </c>
      <c r="G5" s="236"/>
      <c r="H5" s="235"/>
      <c r="I5" s="236"/>
      <c r="J5" s="237"/>
    </row>
    <row r="6" spans="1:12" ht="23.25" customHeight="1" x14ac:dyDescent="0.2">
      <c r="A6" s="251" t="s">
        <v>55</v>
      </c>
      <c r="B6" s="267"/>
      <c r="C6" s="235"/>
      <c r="D6" s="236"/>
      <c r="E6" s="268"/>
      <c r="F6" s="269" t="s">
        <v>63</v>
      </c>
      <c r="G6" s="236"/>
      <c r="H6" s="270"/>
      <c r="I6" s="236"/>
      <c r="J6" s="237"/>
    </row>
    <row r="7" spans="1:12" ht="23.25" customHeight="1" x14ac:dyDescent="0.2">
      <c r="A7" s="271" t="s">
        <v>65</v>
      </c>
      <c r="B7" s="236"/>
      <c r="C7" s="272"/>
      <c r="D7" s="273"/>
      <c r="E7" s="273"/>
      <c r="F7" s="273"/>
      <c r="G7" s="273"/>
      <c r="H7" s="273"/>
      <c r="I7" s="273"/>
      <c r="J7" s="274"/>
    </row>
    <row r="8" spans="1:12" ht="14.25" customHeight="1" thickBot="1" x14ac:dyDescent="0.25">
      <c r="A8" s="260" t="s">
        <v>39</v>
      </c>
      <c r="B8" s="261"/>
      <c r="C8" s="261"/>
      <c r="D8" s="261"/>
      <c r="E8" s="261"/>
      <c r="F8" s="262" t="s">
        <v>28</v>
      </c>
      <c r="G8" s="261"/>
      <c r="H8" s="261"/>
      <c r="I8" s="261"/>
      <c r="J8" s="263"/>
    </row>
    <row r="9" spans="1:12" s="101" customFormat="1" ht="14.1" customHeight="1" x14ac:dyDescent="0.25">
      <c r="A9" s="264" t="s">
        <v>36</v>
      </c>
      <c r="B9" s="265"/>
      <c r="C9" s="265"/>
      <c r="D9" s="265"/>
      <c r="E9" s="265"/>
      <c r="F9" s="265"/>
      <c r="G9" s="265"/>
      <c r="H9" s="265"/>
      <c r="I9" s="265"/>
      <c r="J9" s="266"/>
      <c r="L9" s="102"/>
    </row>
    <row r="10" spans="1:12" ht="22.5" customHeight="1" x14ac:dyDescent="0.2">
      <c r="A10" s="251" t="s">
        <v>56</v>
      </c>
      <c r="B10" s="252"/>
      <c r="C10" s="253" t="s">
        <v>71</v>
      </c>
      <c r="D10" s="254"/>
      <c r="E10" s="255"/>
      <c r="F10" s="256" t="s">
        <v>62</v>
      </c>
      <c r="G10" s="252"/>
      <c r="H10" s="253" t="s">
        <v>71</v>
      </c>
      <c r="I10" s="254"/>
      <c r="J10" s="255"/>
    </row>
    <row r="11" spans="1:12" ht="21" customHeight="1" x14ac:dyDescent="0.2">
      <c r="A11" s="251" t="s">
        <v>57</v>
      </c>
      <c r="B11" s="252"/>
      <c r="C11" s="253" t="s">
        <v>71</v>
      </c>
      <c r="D11" s="254"/>
      <c r="E11" s="255"/>
      <c r="F11" s="256" t="s">
        <v>64</v>
      </c>
      <c r="G11" s="252"/>
      <c r="H11" s="253" t="s">
        <v>71</v>
      </c>
      <c r="I11" s="254"/>
      <c r="J11" s="255"/>
    </row>
    <row r="12" spans="1:12" ht="22.5" customHeight="1" x14ac:dyDescent="0.2">
      <c r="A12" s="251" t="s">
        <v>66</v>
      </c>
      <c r="B12" s="252"/>
      <c r="C12" s="257" t="s">
        <v>71</v>
      </c>
      <c r="D12" s="258"/>
      <c r="E12" s="258"/>
      <c r="F12" s="258"/>
      <c r="G12" s="258"/>
      <c r="H12" s="258"/>
      <c r="I12" s="258"/>
      <c r="J12" s="259"/>
    </row>
    <row r="13" spans="1:12" ht="17.25" customHeight="1" thickBot="1" x14ac:dyDescent="0.25">
      <c r="A13" s="220" t="s">
        <v>39</v>
      </c>
      <c r="B13" s="243"/>
      <c r="C13" s="243"/>
      <c r="D13" s="243"/>
      <c r="E13" s="243"/>
      <c r="F13" s="221" t="s">
        <v>28</v>
      </c>
      <c r="G13" s="243"/>
      <c r="H13" s="243"/>
      <c r="I13" s="243"/>
      <c r="J13" s="244"/>
    </row>
    <row r="14" spans="1:12" s="101" customFormat="1" ht="14.1" customHeight="1" x14ac:dyDescent="0.25">
      <c r="A14" s="245" t="s">
        <v>38</v>
      </c>
      <c r="B14" s="246"/>
      <c r="C14" s="246"/>
      <c r="D14" s="246"/>
      <c r="E14" s="246"/>
      <c r="F14" s="246"/>
      <c r="G14" s="246"/>
      <c r="H14" s="246"/>
      <c r="I14" s="246"/>
      <c r="J14" s="247"/>
      <c r="L14" s="102"/>
    </row>
    <row r="15" spans="1:12" ht="25.5" customHeight="1" x14ac:dyDescent="0.2">
      <c r="A15" s="231" t="s">
        <v>93</v>
      </c>
      <c r="B15" s="248"/>
      <c r="C15" s="235"/>
      <c r="D15" s="235"/>
      <c r="E15" s="249"/>
      <c r="F15" s="250" t="s">
        <v>94</v>
      </c>
      <c r="G15" s="240"/>
      <c r="H15" s="235"/>
      <c r="I15" s="236"/>
      <c r="J15" s="237"/>
    </row>
    <row r="16" spans="1:12" ht="24.75" customHeight="1" x14ac:dyDescent="0.2">
      <c r="A16" s="231" t="s">
        <v>72</v>
      </c>
      <c r="B16" s="232"/>
      <c r="C16" s="232"/>
      <c r="D16" s="232"/>
      <c r="E16" s="233"/>
      <c r="F16" s="234" t="s">
        <v>73</v>
      </c>
      <c r="G16" s="234"/>
      <c r="H16" s="235"/>
      <c r="I16" s="236"/>
      <c r="J16" s="237"/>
    </row>
    <row r="17" spans="1:21" s="60" customFormat="1" ht="25.5" customHeight="1" x14ac:dyDescent="0.2">
      <c r="A17" s="238"/>
      <c r="B17" s="239"/>
      <c r="C17" s="240"/>
      <c r="D17" s="240"/>
      <c r="E17" s="241"/>
      <c r="F17" s="234" t="s">
        <v>74</v>
      </c>
      <c r="G17" s="234"/>
      <c r="H17" s="240"/>
      <c r="I17" s="240"/>
      <c r="J17" s="242"/>
      <c r="L17" s="91"/>
    </row>
    <row r="18" spans="1:21" ht="14.25" customHeight="1" thickBot="1" x14ac:dyDescent="0.25">
      <c r="A18" s="220" t="s">
        <v>41</v>
      </c>
      <c r="B18" s="221"/>
      <c r="C18" s="221" t="s">
        <v>43</v>
      </c>
      <c r="D18" s="221"/>
      <c r="E18" s="221"/>
      <c r="F18" s="222" t="s">
        <v>42</v>
      </c>
      <c r="G18" s="223"/>
      <c r="H18" s="223"/>
      <c r="I18" s="223"/>
      <c r="J18" s="224"/>
    </row>
    <row r="19" spans="1:21" ht="20.100000000000001" customHeight="1" x14ac:dyDescent="0.2">
      <c r="A19" s="225" t="s">
        <v>44</v>
      </c>
      <c r="B19" s="226"/>
      <c r="C19" s="226"/>
      <c r="D19" s="226"/>
      <c r="E19" s="226"/>
      <c r="F19" s="226"/>
      <c r="G19" s="226"/>
      <c r="H19" s="226"/>
      <c r="I19" s="226"/>
      <c r="J19" s="227"/>
    </row>
    <row r="20" spans="1:21" ht="20.100000000000001" customHeight="1" thickBot="1" x14ac:dyDescent="0.25">
      <c r="A20" s="228" t="s">
        <v>45</v>
      </c>
      <c r="B20" s="229"/>
      <c r="C20" s="229"/>
      <c r="D20" s="229"/>
      <c r="E20" s="229"/>
      <c r="F20" s="229"/>
      <c r="G20" s="229"/>
      <c r="H20" s="229"/>
      <c r="I20" s="229"/>
      <c r="J20" s="230"/>
    </row>
    <row r="21" spans="1:21" s="104" customFormat="1" ht="18" customHeight="1" x14ac:dyDescent="0.25">
      <c r="A21" s="198" t="s">
        <v>26</v>
      </c>
      <c r="B21" s="199"/>
      <c r="C21" s="199"/>
      <c r="D21" s="199"/>
      <c r="E21" s="199"/>
      <c r="F21" s="199"/>
      <c r="G21" s="199"/>
      <c r="H21" s="199"/>
      <c r="I21" s="199"/>
      <c r="J21" s="200"/>
      <c r="K21" s="103"/>
      <c r="L21" s="187"/>
      <c r="M21" s="188"/>
      <c r="N21" s="188"/>
      <c r="O21" s="188"/>
      <c r="P21" s="188"/>
      <c r="Q21" s="189"/>
      <c r="R21" s="189"/>
      <c r="S21" s="189"/>
      <c r="T21" s="190"/>
      <c r="U21" s="190"/>
    </row>
    <row r="22" spans="1:21" ht="17.25" customHeight="1" x14ac:dyDescent="0.2">
      <c r="A22" s="191" t="s">
        <v>27</v>
      </c>
      <c r="B22" s="192"/>
      <c r="C22" s="192"/>
      <c r="D22" s="192"/>
      <c r="E22" s="192"/>
      <c r="F22" s="192"/>
      <c r="G22" s="192"/>
      <c r="H22" s="192"/>
      <c r="I22" s="193"/>
      <c r="J22" s="194"/>
      <c r="L22" s="195"/>
      <c r="M22" s="196"/>
      <c r="N22" s="196"/>
      <c r="O22" s="196"/>
      <c r="P22" s="196"/>
      <c r="Q22" s="195"/>
      <c r="R22" s="197"/>
      <c r="S22" s="197"/>
      <c r="T22" s="196"/>
      <c r="U22" s="196"/>
    </row>
    <row r="23" spans="1:21" ht="44.25" customHeight="1" x14ac:dyDescent="0.2">
      <c r="A23" s="201" t="s">
        <v>95</v>
      </c>
      <c r="B23" s="202"/>
      <c r="C23" s="202"/>
      <c r="D23" s="202"/>
      <c r="E23" s="203"/>
      <c r="F23" s="204" t="s">
        <v>98</v>
      </c>
      <c r="G23" s="205"/>
      <c r="H23" s="205"/>
      <c r="I23" s="205"/>
      <c r="J23" s="206"/>
      <c r="L23" s="195"/>
      <c r="M23" s="197"/>
      <c r="N23" s="197"/>
      <c r="O23" s="197"/>
      <c r="P23" s="197"/>
      <c r="Q23" s="210"/>
      <c r="R23" s="211"/>
      <c r="S23" s="211"/>
      <c r="T23" s="212"/>
      <c r="U23" s="196"/>
    </row>
    <row r="24" spans="1:21" ht="27.95" customHeight="1" x14ac:dyDescent="0.2">
      <c r="A24" s="213" t="s">
        <v>58</v>
      </c>
      <c r="B24" s="214"/>
      <c r="C24" s="214"/>
      <c r="D24" s="215"/>
      <c r="E24" s="216"/>
      <c r="F24" s="207"/>
      <c r="G24" s="208"/>
      <c r="H24" s="208"/>
      <c r="I24" s="208"/>
      <c r="J24" s="209"/>
    </row>
    <row r="25" spans="1:21" s="42" customFormat="1" ht="34.5" customHeight="1" x14ac:dyDescent="0.2">
      <c r="A25" s="160" t="s">
        <v>96</v>
      </c>
      <c r="B25" s="217"/>
      <c r="C25" s="217"/>
      <c r="D25" s="162"/>
      <c r="E25" s="162"/>
      <c r="F25" s="207"/>
      <c r="G25" s="208"/>
      <c r="H25" s="208"/>
      <c r="I25" s="208"/>
      <c r="J25" s="209"/>
      <c r="L25" s="92"/>
    </row>
    <row r="26" spans="1:21" ht="48.75" customHeight="1" x14ac:dyDescent="0.2">
      <c r="A26" s="218" t="s">
        <v>97</v>
      </c>
      <c r="B26" s="219"/>
      <c r="C26" s="219"/>
      <c r="D26" s="219"/>
      <c r="E26" s="219"/>
      <c r="F26" s="207"/>
      <c r="G26" s="208"/>
      <c r="H26" s="208"/>
      <c r="I26" s="208"/>
      <c r="J26" s="209"/>
    </row>
    <row r="27" spans="1:21" ht="27.95" customHeight="1" x14ac:dyDescent="0.2">
      <c r="A27" s="160" t="s">
        <v>46</v>
      </c>
      <c r="B27" s="161"/>
      <c r="C27" s="161"/>
      <c r="D27" s="162"/>
      <c r="E27" s="163"/>
      <c r="F27" s="164" t="s">
        <v>99</v>
      </c>
      <c r="G27" s="165"/>
      <c r="H27" s="165"/>
      <c r="I27" s="165"/>
      <c r="J27" s="166"/>
      <c r="L27" s="90"/>
    </row>
    <row r="28" spans="1:21" ht="36.950000000000003" customHeight="1" thickBot="1" x14ac:dyDescent="0.25">
      <c r="A28" s="173" t="s">
        <v>59</v>
      </c>
      <c r="B28" s="174"/>
      <c r="C28" s="174"/>
      <c r="D28" s="175"/>
      <c r="E28" s="176"/>
      <c r="F28" s="167"/>
      <c r="G28" s="168"/>
      <c r="H28" s="168"/>
      <c r="I28" s="168"/>
      <c r="J28" s="169"/>
    </row>
    <row r="29" spans="1:21" ht="50.25" customHeight="1" thickBot="1" x14ac:dyDescent="0.25">
      <c r="A29" s="177" t="s">
        <v>60</v>
      </c>
      <c r="B29" s="178"/>
      <c r="C29" s="178"/>
      <c r="D29" s="178"/>
      <c r="E29" s="179"/>
      <c r="F29" s="170"/>
      <c r="G29" s="171"/>
      <c r="H29" s="171"/>
      <c r="I29" s="171"/>
      <c r="J29" s="172"/>
      <c r="K29" s="56" t="s">
        <v>40</v>
      </c>
    </row>
    <row r="30" spans="1:21" s="73" customFormat="1" ht="12.75" customHeight="1" x14ac:dyDescent="0.2">
      <c r="A30" s="76" t="s">
        <v>113</v>
      </c>
      <c r="F30" s="70"/>
      <c r="G30" s="70" t="s">
        <v>67</v>
      </c>
      <c r="H30" s="70"/>
      <c r="I30" s="70"/>
      <c r="J30" s="70"/>
      <c r="K30" s="72"/>
      <c r="L30" s="92"/>
    </row>
    <row r="31" spans="1:21" s="73" customFormat="1" ht="6.75" customHeight="1" thickBot="1" x14ac:dyDescent="0.25">
      <c r="A31" s="76"/>
      <c r="F31" s="70"/>
      <c r="G31" s="70"/>
      <c r="H31" s="70"/>
      <c r="I31" s="70"/>
      <c r="J31" s="70"/>
      <c r="K31" s="72"/>
      <c r="L31" s="92"/>
    </row>
    <row r="32" spans="1:21" s="104" customFormat="1" ht="18.75" customHeight="1" thickBot="1" x14ac:dyDescent="0.3">
      <c r="A32" s="183" t="s">
        <v>2</v>
      </c>
      <c r="B32" s="184"/>
      <c r="C32" s="184"/>
      <c r="D32" s="184"/>
      <c r="E32" s="184"/>
      <c r="F32" s="184"/>
      <c r="G32" s="184"/>
      <c r="H32" s="184"/>
      <c r="I32" s="185"/>
      <c r="J32" s="103"/>
      <c r="L32" s="111"/>
    </row>
    <row r="33" spans="1:13" s="42" customFormat="1" ht="36.75" customHeight="1" thickBot="1" x14ac:dyDescent="0.25">
      <c r="A33" s="18" t="s">
        <v>1</v>
      </c>
      <c r="B33" s="186" t="s">
        <v>24</v>
      </c>
      <c r="C33" s="158"/>
      <c r="D33" s="158"/>
      <c r="E33" s="158"/>
      <c r="F33" s="159"/>
      <c r="G33" s="19" t="s">
        <v>3</v>
      </c>
      <c r="H33" s="20" t="s">
        <v>4</v>
      </c>
      <c r="I33" s="21" t="s">
        <v>5</v>
      </c>
      <c r="J33" s="54"/>
      <c r="L33" s="92"/>
    </row>
    <row r="34" spans="1:13" s="42" customFormat="1" ht="85.5" customHeight="1" x14ac:dyDescent="0.2">
      <c r="A34" s="180" t="s">
        <v>6</v>
      </c>
      <c r="B34" s="145" t="s">
        <v>88</v>
      </c>
      <c r="C34" s="146"/>
      <c r="D34" s="146"/>
      <c r="E34" s="146"/>
      <c r="F34" s="147"/>
      <c r="G34" s="22">
        <v>200</v>
      </c>
      <c r="H34" s="24"/>
      <c r="I34" s="17"/>
      <c r="J34" s="54"/>
      <c r="L34" s="92"/>
    </row>
    <row r="35" spans="1:13" s="42" customFormat="1" ht="48" customHeight="1" x14ac:dyDescent="0.2">
      <c r="A35" s="181"/>
      <c r="B35" s="148" t="s">
        <v>87</v>
      </c>
      <c r="C35" s="149"/>
      <c r="D35" s="149"/>
      <c r="E35" s="149"/>
      <c r="F35" s="150"/>
      <c r="G35" s="23">
        <v>100</v>
      </c>
      <c r="H35" s="1"/>
      <c r="I35" s="8"/>
      <c r="J35" s="57"/>
      <c r="L35" s="92"/>
      <c r="M35" s="93"/>
    </row>
    <row r="36" spans="1:13" s="42" customFormat="1" ht="55.5" customHeight="1" x14ac:dyDescent="0.2">
      <c r="A36" s="181"/>
      <c r="B36" s="148" t="s">
        <v>107</v>
      </c>
      <c r="C36" s="149"/>
      <c r="D36" s="149"/>
      <c r="E36" s="149"/>
      <c r="F36" s="150"/>
      <c r="G36" s="23">
        <v>25</v>
      </c>
      <c r="H36" s="1"/>
      <c r="I36" s="8"/>
      <c r="J36" s="57"/>
      <c r="L36" s="92"/>
    </row>
    <row r="37" spans="1:13" s="42" customFormat="1" ht="24.95" customHeight="1" thickBot="1" x14ac:dyDescent="0.25">
      <c r="A37" s="182"/>
      <c r="B37" s="154" t="s">
        <v>7</v>
      </c>
      <c r="C37" s="155"/>
      <c r="D37" s="155"/>
      <c r="E37" s="155"/>
      <c r="F37" s="156"/>
      <c r="G37" s="49">
        <f>SUM(G34:G36)</f>
        <v>325</v>
      </c>
      <c r="H37" s="49"/>
      <c r="I37" s="50">
        <f>SUM(I34:I36)</f>
        <v>0</v>
      </c>
      <c r="J37" s="54"/>
      <c r="L37" s="92"/>
    </row>
    <row r="38" spans="1:13" s="42" customFormat="1" ht="64.5" customHeight="1" x14ac:dyDescent="0.2">
      <c r="A38" s="180" t="s">
        <v>32</v>
      </c>
      <c r="B38" s="145" t="s">
        <v>108</v>
      </c>
      <c r="C38" s="146"/>
      <c r="D38" s="146"/>
      <c r="E38" s="146"/>
      <c r="F38" s="147"/>
      <c r="G38" s="24">
        <v>70</v>
      </c>
      <c r="H38" s="58"/>
      <c r="I38" s="15"/>
      <c r="J38" s="57"/>
      <c r="L38" s="92"/>
    </row>
    <row r="39" spans="1:13" s="42" customFormat="1" ht="69" customHeight="1" x14ac:dyDescent="0.2">
      <c r="A39" s="181"/>
      <c r="B39" s="148" t="s">
        <v>109</v>
      </c>
      <c r="C39" s="149"/>
      <c r="D39" s="149"/>
      <c r="E39" s="149"/>
      <c r="F39" s="150"/>
      <c r="G39" s="25">
        <v>50</v>
      </c>
      <c r="H39" s="59"/>
      <c r="I39" s="87"/>
      <c r="J39" s="57"/>
      <c r="L39" s="92"/>
      <c r="M39" s="93"/>
    </row>
    <row r="40" spans="1:13" s="42" customFormat="1" ht="68.25" customHeight="1" x14ac:dyDescent="0.2">
      <c r="A40" s="181"/>
      <c r="B40" s="151" t="s">
        <v>110</v>
      </c>
      <c r="C40" s="152"/>
      <c r="D40" s="152"/>
      <c r="E40" s="152"/>
      <c r="F40" s="153"/>
      <c r="G40" s="88">
        <v>70</v>
      </c>
      <c r="H40" s="89"/>
      <c r="I40" s="87"/>
      <c r="J40" s="57"/>
      <c r="L40" s="92"/>
    </row>
    <row r="41" spans="1:13" s="42" customFormat="1" ht="24.95" customHeight="1" thickBot="1" x14ac:dyDescent="0.25">
      <c r="A41" s="182"/>
      <c r="B41" s="154" t="s">
        <v>0</v>
      </c>
      <c r="C41" s="155"/>
      <c r="D41" s="155"/>
      <c r="E41" s="155"/>
      <c r="F41" s="156"/>
      <c r="G41" s="47">
        <f>SUM(G38:G40)</f>
        <v>190</v>
      </c>
      <c r="H41" s="45"/>
      <c r="I41" s="48">
        <f>SUM(I38:I40)</f>
        <v>0</v>
      </c>
      <c r="J41" s="54"/>
      <c r="L41" s="92"/>
    </row>
    <row r="42" spans="1:13" s="42" customFormat="1" ht="98.25" customHeight="1" x14ac:dyDescent="0.2">
      <c r="A42" s="180" t="s">
        <v>25</v>
      </c>
      <c r="B42" s="145" t="s">
        <v>91</v>
      </c>
      <c r="C42" s="146"/>
      <c r="D42" s="146"/>
      <c r="E42" s="146"/>
      <c r="F42" s="147"/>
      <c r="G42" s="24">
        <v>80</v>
      </c>
      <c r="H42" s="16"/>
      <c r="I42" s="15"/>
      <c r="J42" s="57"/>
      <c r="L42" s="92"/>
    </row>
    <row r="43" spans="1:13" s="42" customFormat="1" ht="150" customHeight="1" x14ac:dyDescent="0.2">
      <c r="A43" s="181"/>
      <c r="B43" s="148" t="s">
        <v>90</v>
      </c>
      <c r="C43" s="149"/>
      <c r="D43" s="149"/>
      <c r="E43" s="149"/>
      <c r="F43" s="150"/>
      <c r="G43" s="25">
        <v>100</v>
      </c>
      <c r="H43" s="2"/>
      <c r="I43" s="9"/>
      <c r="J43" s="57"/>
      <c r="L43" s="92"/>
    </row>
    <row r="44" spans="1:13" s="42" customFormat="1" ht="23.25" customHeight="1" thickBot="1" x14ac:dyDescent="0.25">
      <c r="A44" s="182"/>
      <c r="B44" s="154" t="s">
        <v>11</v>
      </c>
      <c r="C44" s="155"/>
      <c r="D44" s="155"/>
      <c r="E44" s="155"/>
      <c r="F44" s="156"/>
      <c r="G44" s="44">
        <f>SUM(G42:G43)</f>
        <v>180</v>
      </c>
      <c r="H44" s="45"/>
      <c r="I44" s="46">
        <f>SUM(I42:I43)</f>
        <v>0</v>
      </c>
      <c r="J44" s="54"/>
      <c r="L44" s="92"/>
    </row>
    <row r="45" spans="1:13" s="109" customFormat="1" ht="18" customHeight="1" thickBot="1" x14ac:dyDescent="0.25">
      <c r="A45" s="157" t="s">
        <v>9</v>
      </c>
      <c r="B45" s="158"/>
      <c r="C45" s="158"/>
      <c r="D45" s="158"/>
      <c r="E45" s="158"/>
      <c r="F45" s="159"/>
      <c r="G45" s="105">
        <f>SUM(G37,G41,G44)</f>
        <v>695</v>
      </c>
      <c r="H45" s="106"/>
      <c r="I45" s="107">
        <f>SUM(I44,I41,I37)</f>
        <v>0</v>
      </c>
      <c r="J45" s="108"/>
      <c r="L45" s="110"/>
    </row>
    <row r="46" spans="1:13" s="42" customFormat="1" ht="13.5" customHeight="1" x14ac:dyDescent="0.2">
      <c r="A46" s="76" t="s">
        <v>113</v>
      </c>
      <c r="B46" s="69"/>
      <c r="C46" s="69"/>
      <c r="D46" s="69"/>
      <c r="E46" s="69"/>
      <c r="F46" s="71"/>
      <c r="G46" s="68" t="s">
        <v>68</v>
      </c>
      <c r="H46" s="71"/>
      <c r="I46" s="71"/>
      <c r="J46" s="54"/>
      <c r="L46" s="92"/>
    </row>
    <row r="47" spans="1:13" s="42" customFormat="1" ht="13.5" customHeight="1" thickBot="1" x14ac:dyDescent="0.25">
      <c r="A47" s="55"/>
      <c r="B47" s="55"/>
      <c r="C47" s="55"/>
      <c r="D47" s="55"/>
      <c r="E47" s="55"/>
      <c r="F47" s="55"/>
      <c r="G47" s="55"/>
      <c r="H47" s="55"/>
      <c r="I47" s="55"/>
      <c r="J47" s="54"/>
      <c r="L47" s="92"/>
    </row>
    <row r="48" spans="1:13" s="113" customFormat="1" ht="18" customHeight="1" thickBot="1" x14ac:dyDescent="0.3">
      <c r="A48" s="138" t="s">
        <v>8</v>
      </c>
      <c r="B48" s="139"/>
      <c r="C48" s="139"/>
      <c r="D48" s="139"/>
      <c r="E48" s="139"/>
      <c r="F48" s="139"/>
      <c r="G48" s="139"/>
      <c r="H48" s="139"/>
      <c r="I48" s="140"/>
      <c r="J48" s="112"/>
      <c r="L48" s="114"/>
    </row>
    <row r="49" spans="1:12" s="42" customFormat="1" ht="38.25" customHeight="1" thickBot="1" x14ac:dyDescent="0.25">
      <c r="A49" s="28" t="s">
        <v>1</v>
      </c>
      <c r="B49" s="141" t="s">
        <v>24</v>
      </c>
      <c r="C49" s="142"/>
      <c r="D49" s="142"/>
      <c r="E49" s="142"/>
      <c r="F49" s="142"/>
      <c r="G49" s="29" t="s">
        <v>3</v>
      </c>
      <c r="H49" s="30" t="s">
        <v>4</v>
      </c>
      <c r="I49" s="31" t="s">
        <v>5</v>
      </c>
      <c r="J49" s="54"/>
      <c r="L49" s="92"/>
    </row>
    <row r="50" spans="1:12" s="42" customFormat="1" ht="79.5" customHeight="1" x14ac:dyDescent="0.2">
      <c r="A50" s="143" t="s">
        <v>10</v>
      </c>
      <c r="B50" s="127" t="s">
        <v>111</v>
      </c>
      <c r="C50" s="128"/>
      <c r="D50" s="128"/>
      <c r="E50" s="128"/>
      <c r="F50" s="129"/>
      <c r="G50" s="95">
        <v>100</v>
      </c>
      <c r="H50" s="26"/>
      <c r="I50" s="27"/>
      <c r="J50" s="57"/>
      <c r="L50" s="92"/>
    </row>
    <row r="51" spans="1:12" s="42" customFormat="1" ht="96" customHeight="1" x14ac:dyDescent="0.2">
      <c r="A51" s="143"/>
      <c r="B51" s="130" t="s">
        <v>112</v>
      </c>
      <c r="C51" s="131"/>
      <c r="D51" s="131"/>
      <c r="E51" s="131"/>
      <c r="F51" s="132"/>
      <c r="G51" s="94">
        <v>75</v>
      </c>
      <c r="H51" s="3"/>
      <c r="I51" s="10"/>
      <c r="J51" s="57"/>
      <c r="L51" s="92"/>
    </row>
    <row r="52" spans="1:12" ht="24.95" customHeight="1" thickBot="1" x14ac:dyDescent="0.25">
      <c r="A52" s="144"/>
      <c r="B52" s="135" t="s">
        <v>33</v>
      </c>
      <c r="C52" s="136"/>
      <c r="D52" s="136"/>
      <c r="E52" s="136"/>
      <c r="F52" s="137"/>
      <c r="G52" s="51">
        <f>SUM(G50:G51)</f>
        <v>175</v>
      </c>
      <c r="H52" s="52"/>
      <c r="I52" s="53">
        <f>SUM(I50:I51)</f>
        <v>0</v>
      </c>
      <c r="J52" s="54"/>
    </row>
    <row r="53" spans="1:12" ht="103.5" customHeight="1" x14ac:dyDescent="0.2">
      <c r="A53" s="124" t="s">
        <v>34</v>
      </c>
      <c r="B53" s="127" t="s">
        <v>100</v>
      </c>
      <c r="C53" s="128"/>
      <c r="D53" s="128"/>
      <c r="E53" s="128"/>
      <c r="F53" s="129"/>
      <c r="G53" s="33">
        <v>50</v>
      </c>
      <c r="H53" s="26"/>
      <c r="I53" s="27"/>
      <c r="J53" s="57"/>
      <c r="L53" s="92"/>
    </row>
    <row r="54" spans="1:12" ht="80.25" customHeight="1" x14ac:dyDescent="0.2">
      <c r="A54" s="125"/>
      <c r="B54" s="130" t="s">
        <v>101</v>
      </c>
      <c r="C54" s="131"/>
      <c r="D54" s="131"/>
      <c r="E54" s="131"/>
      <c r="F54" s="132"/>
      <c r="G54" s="96">
        <v>100</v>
      </c>
      <c r="H54" s="35"/>
      <c r="I54" s="36"/>
      <c r="J54" s="57"/>
      <c r="K54" s="56"/>
      <c r="L54" s="97"/>
    </row>
    <row r="55" spans="1:12" ht="86.25" customHeight="1" x14ac:dyDescent="0.2">
      <c r="A55" s="125"/>
      <c r="B55" s="130" t="s">
        <v>92</v>
      </c>
      <c r="C55" s="133"/>
      <c r="D55" s="133"/>
      <c r="E55" s="133"/>
      <c r="F55" s="134"/>
      <c r="G55" s="96">
        <v>50</v>
      </c>
      <c r="H55" s="35"/>
      <c r="I55" s="36"/>
      <c r="J55" s="57"/>
      <c r="K55" s="67"/>
      <c r="L55" s="92"/>
    </row>
    <row r="56" spans="1:12" ht="24.95" customHeight="1" thickBot="1" x14ac:dyDescent="0.25">
      <c r="A56" s="126"/>
      <c r="B56" s="135" t="s">
        <v>35</v>
      </c>
      <c r="C56" s="136"/>
      <c r="D56" s="136"/>
      <c r="E56" s="136"/>
      <c r="F56" s="137"/>
      <c r="G56" s="51">
        <f>SUM(G53:G55)</f>
        <v>200</v>
      </c>
      <c r="H56" s="52"/>
      <c r="I56" s="53">
        <f>SUM(I53:I55)</f>
        <v>0</v>
      </c>
      <c r="J56" s="57"/>
      <c r="L56" s="92"/>
    </row>
    <row r="57" spans="1:12" s="101" customFormat="1" ht="23.25" customHeight="1" thickBot="1" x14ac:dyDescent="0.25">
      <c r="A57" s="117" t="s">
        <v>12</v>
      </c>
      <c r="B57" s="118"/>
      <c r="C57" s="118"/>
      <c r="D57" s="118"/>
      <c r="E57" s="118"/>
      <c r="F57" s="119"/>
      <c r="G57" s="98">
        <f>SUM(G56,G52)</f>
        <v>375</v>
      </c>
      <c r="H57" s="115"/>
      <c r="I57" s="116">
        <f>SUM(I56,I52)</f>
        <v>0</v>
      </c>
      <c r="J57" s="108"/>
      <c r="L57" s="102"/>
    </row>
    <row r="58" spans="1:12" ht="13.5" customHeight="1" thickBot="1" x14ac:dyDescent="0.25">
      <c r="A58" s="34"/>
      <c r="B58" s="66"/>
      <c r="C58" s="12"/>
      <c r="D58" s="12"/>
      <c r="E58" s="12"/>
      <c r="F58" s="13"/>
      <c r="G58" s="11"/>
      <c r="H58" s="14"/>
      <c r="I58" s="14"/>
    </row>
    <row r="59" spans="1:12" ht="35.25" customHeight="1" thickBot="1" x14ac:dyDescent="0.25">
      <c r="A59" s="122" t="s">
        <v>86</v>
      </c>
      <c r="B59" s="123"/>
      <c r="C59" s="123"/>
      <c r="D59" s="123"/>
      <c r="E59" s="123"/>
      <c r="F59" s="123"/>
      <c r="G59" s="85">
        <f>SUM(G57,G45)</f>
        <v>1070</v>
      </c>
      <c r="H59" s="85"/>
      <c r="I59" s="86"/>
      <c r="J59" s="6"/>
    </row>
    <row r="60" spans="1:12" ht="31.5" customHeight="1" thickBot="1" x14ac:dyDescent="0.25">
      <c r="A60" s="120" t="s">
        <v>29</v>
      </c>
      <c r="B60" s="121"/>
      <c r="C60" s="32">
        <f>I45</f>
        <v>0</v>
      </c>
      <c r="D60" s="120" t="s">
        <v>30</v>
      </c>
      <c r="E60" s="121"/>
      <c r="F60" s="32">
        <f>I57</f>
        <v>0</v>
      </c>
      <c r="G60" s="120" t="s">
        <v>31</v>
      </c>
      <c r="H60" s="121"/>
      <c r="I60" s="32">
        <f>SUM(C60,F60)</f>
        <v>0</v>
      </c>
      <c r="J60" s="6"/>
    </row>
    <row r="61" spans="1:12" ht="12.75" customHeight="1" x14ac:dyDescent="0.2">
      <c r="A61" s="37"/>
      <c r="B61" s="37"/>
      <c r="C61" s="37"/>
      <c r="D61" s="37"/>
      <c r="E61" s="37"/>
      <c r="F61" s="37"/>
      <c r="G61" s="43"/>
      <c r="H61" s="43"/>
      <c r="I61" s="43"/>
    </row>
    <row r="62" spans="1:12" s="42" customFormat="1" ht="13.5" customHeight="1" x14ac:dyDescent="0.2">
      <c r="A62" s="76" t="s">
        <v>113</v>
      </c>
      <c r="F62" s="70"/>
      <c r="G62" s="75" t="s">
        <v>69</v>
      </c>
      <c r="H62" s="70"/>
      <c r="I62" s="70"/>
      <c r="J62" s="54"/>
      <c r="L62" s="92"/>
    </row>
    <row r="65" spans="9:9" x14ac:dyDescent="0.2">
      <c r="I65" s="41"/>
    </row>
  </sheetData>
  <mergeCells count="95">
    <mergeCell ref="A2:J2"/>
    <mergeCell ref="A3:J3"/>
    <mergeCell ref="A4:J4"/>
    <mergeCell ref="A5:B5"/>
    <mergeCell ref="C5:E5"/>
    <mergeCell ref="F5:G5"/>
    <mergeCell ref="H5:J5"/>
    <mergeCell ref="A6:B6"/>
    <mergeCell ref="C6:E6"/>
    <mergeCell ref="F6:G6"/>
    <mergeCell ref="H6:J6"/>
    <mergeCell ref="A7:B7"/>
    <mergeCell ref="C7:J7"/>
    <mergeCell ref="A8:E8"/>
    <mergeCell ref="F8:J8"/>
    <mergeCell ref="A9:J9"/>
    <mergeCell ref="A10:B10"/>
    <mergeCell ref="C10:E10"/>
    <mergeCell ref="F10:G10"/>
    <mergeCell ref="H10:J10"/>
    <mergeCell ref="A11:B11"/>
    <mergeCell ref="C11:E11"/>
    <mergeCell ref="F11:G11"/>
    <mergeCell ref="H11:J11"/>
    <mergeCell ref="A12:B12"/>
    <mergeCell ref="C12:J12"/>
    <mergeCell ref="A13:E13"/>
    <mergeCell ref="F13:J13"/>
    <mergeCell ref="A14:J14"/>
    <mergeCell ref="A15:B15"/>
    <mergeCell ref="C15:E15"/>
    <mergeCell ref="F15:G15"/>
    <mergeCell ref="H15:J15"/>
    <mergeCell ref="A16:E16"/>
    <mergeCell ref="F16:G16"/>
    <mergeCell ref="H16:J16"/>
    <mergeCell ref="A17:B17"/>
    <mergeCell ref="C17:E17"/>
    <mergeCell ref="F17:G17"/>
    <mergeCell ref="H17:J17"/>
    <mergeCell ref="A18:B18"/>
    <mergeCell ref="C18:E18"/>
    <mergeCell ref="F18:J18"/>
    <mergeCell ref="A19:J19"/>
    <mergeCell ref="A20:J20"/>
    <mergeCell ref="A23:E23"/>
    <mergeCell ref="F23:J26"/>
    <mergeCell ref="L23:P23"/>
    <mergeCell ref="Q23:U23"/>
    <mergeCell ref="A24:E24"/>
    <mergeCell ref="A25:E25"/>
    <mergeCell ref="A26:E26"/>
    <mergeCell ref="L21:P21"/>
    <mergeCell ref="Q21:U21"/>
    <mergeCell ref="A22:J22"/>
    <mergeCell ref="L22:P22"/>
    <mergeCell ref="Q22:U22"/>
    <mergeCell ref="A21:J21"/>
    <mergeCell ref="A27:E27"/>
    <mergeCell ref="F27:J29"/>
    <mergeCell ref="A28:E28"/>
    <mergeCell ref="A29:E29"/>
    <mergeCell ref="A42:A44"/>
    <mergeCell ref="B42:F42"/>
    <mergeCell ref="B43:F43"/>
    <mergeCell ref="B44:F44"/>
    <mergeCell ref="A32:I32"/>
    <mergeCell ref="B33:F33"/>
    <mergeCell ref="A34:A37"/>
    <mergeCell ref="B34:F34"/>
    <mergeCell ref="B35:F35"/>
    <mergeCell ref="B36:F36"/>
    <mergeCell ref="B37:F37"/>
    <mergeCell ref="A38:A41"/>
    <mergeCell ref="B38:F38"/>
    <mergeCell ref="B39:F39"/>
    <mergeCell ref="B40:F40"/>
    <mergeCell ref="B41:F41"/>
    <mergeCell ref="A45:F45"/>
    <mergeCell ref="A48:I48"/>
    <mergeCell ref="B49:F49"/>
    <mergeCell ref="A50:A52"/>
    <mergeCell ref="B50:F50"/>
    <mergeCell ref="B51:F51"/>
    <mergeCell ref="B52:F52"/>
    <mergeCell ref="A53:A56"/>
    <mergeCell ref="B53:F53"/>
    <mergeCell ref="B54:F54"/>
    <mergeCell ref="B55:F55"/>
    <mergeCell ref="B56:F56"/>
    <mergeCell ref="A57:F57"/>
    <mergeCell ref="A60:B60"/>
    <mergeCell ref="D60:E60"/>
    <mergeCell ref="G60:H60"/>
    <mergeCell ref="A59:F59"/>
  </mergeCells>
  <printOptions horizontalCentered="1"/>
  <pageMargins left="0" right="0" top="0" bottom="0" header="0" footer="0"/>
  <pageSetup scale="97" fitToHeight="2" orientation="portrait" r:id="rId1"/>
  <headerFooter alignWithMargins="0"/>
  <rowBreaks count="1" manualBreakCount="1">
    <brk id="46"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sheetPr>
  <dimension ref="A6:Y58"/>
  <sheetViews>
    <sheetView zoomScale="115" zoomScaleNormal="115" workbookViewId="0">
      <selection activeCell="P32" sqref="P32"/>
    </sheetView>
  </sheetViews>
  <sheetFormatPr defaultRowHeight="12.75" x14ac:dyDescent="0.2"/>
  <cols>
    <col min="1" max="5" width="1.7109375" customWidth="1"/>
    <col min="6" max="6" width="7.140625" customWidth="1"/>
    <col min="7" max="7" width="8.7109375" customWidth="1"/>
    <col min="8" max="8" width="8" customWidth="1"/>
    <col min="9" max="9" width="8.140625" customWidth="1"/>
    <col min="10" max="11" width="8" customWidth="1"/>
    <col min="12" max="12" width="6.85546875" customWidth="1"/>
    <col min="13" max="13" width="8.7109375" customWidth="1"/>
    <col min="14" max="14" width="7.42578125" customWidth="1"/>
    <col min="15" max="15" width="7.7109375" customWidth="1"/>
    <col min="17" max="17" width="1.7109375" customWidth="1"/>
    <col min="18" max="18" width="15.7109375" customWidth="1"/>
    <col min="19" max="19" width="11.5703125" bestFit="1" customWidth="1"/>
    <col min="20" max="21" width="14.5703125" bestFit="1" customWidth="1"/>
    <col min="22" max="22" width="11.5703125" bestFit="1" customWidth="1"/>
    <col min="23" max="24" width="21.140625" bestFit="1" customWidth="1"/>
    <col min="27" max="27" width="13.42578125" customWidth="1"/>
    <col min="31" max="31" width="15.85546875" bestFit="1" customWidth="1"/>
    <col min="33" max="33" width="35.42578125" bestFit="1" customWidth="1"/>
    <col min="34" max="35" width="8.85546875" customWidth="1"/>
  </cols>
  <sheetData>
    <row r="6" spans="6:25" ht="5.0999999999999996" customHeight="1" thickBot="1" x14ac:dyDescent="0.25"/>
    <row r="7" spans="6:25" ht="15.75" customHeight="1" x14ac:dyDescent="0.25">
      <c r="F7" s="281" t="s">
        <v>114</v>
      </c>
      <c r="G7" s="282"/>
      <c r="H7" s="282"/>
      <c r="I7" s="282"/>
      <c r="J7" s="282"/>
      <c r="K7" s="282"/>
      <c r="L7" s="282"/>
      <c r="M7" s="282"/>
      <c r="N7" s="282"/>
      <c r="O7" s="283"/>
      <c r="P7" s="284"/>
    </row>
    <row r="8" spans="6:25" ht="25.5" customHeight="1" x14ac:dyDescent="0.2">
      <c r="F8" s="294" t="s">
        <v>105</v>
      </c>
      <c r="G8" s="295"/>
      <c r="H8" s="295"/>
      <c r="I8" s="295"/>
      <c r="J8" s="295"/>
      <c r="K8" s="295"/>
      <c r="L8" s="295"/>
      <c r="M8" s="295"/>
      <c r="N8" s="295"/>
      <c r="O8" s="295"/>
      <c r="P8" s="296"/>
    </row>
    <row r="9" spans="6:25" s="5" customFormat="1" ht="12.75" customHeight="1" x14ac:dyDescent="0.2">
      <c r="F9" s="285" t="s">
        <v>13</v>
      </c>
      <c r="G9" s="286"/>
      <c r="H9" s="290" t="s">
        <v>104</v>
      </c>
      <c r="I9" s="290"/>
      <c r="J9" s="290" t="s">
        <v>106</v>
      </c>
      <c r="K9" s="286"/>
      <c r="L9" s="290" t="s">
        <v>78</v>
      </c>
      <c r="M9" s="286"/>
      <c r="N9" s="291" t="s">
        <v>75</v>
      </c>
      <c r="O9" s="292"/>
      <c r="P9" s="293"/>
      <c r="Q9" s="4"/>
    </row>
    <row r="10" spans="6:25" s="5" customFormat="1" ht="12.75" customHeight="1" x14ac:dyDescent="0.2">
      <c r="F10" s="287"/>
      <c r="G10" s="286"/>
      <c r="H10" s="286"/>
      <c r="I10" s="286"/>
      <c r="J10" s="286"/>
      <c r="K10" s="286"/>
      <c r="L10" s="286"/>
      <c r="M10" s="286"/>
      <c r="N10" s="292"/>
      <c r="O10" s="292"/>
      <c r="P10" s="293"/>
      <c r="Q10" s="4"/>
    </row>
    <row r="11" spans="6:25" ht="12.75" customHeight="1" x14ac:dyDescent="0.2">
      <c r="F11" s="288"/>
      <c r="G11" s="289"/>
      <c r="H11" s="289"/>
      <c r="I11" s="289"/>
      <c r="J11" s="289"/>
      <c r="K11" s="289"/>
      <c r="L11" s="289"/>
      <c r="M11" s="289"/>
      <c r="N11" s="292"/>
      <c r="O11" s="292"/>
      <c r="P11" s="293"/>
    </row>
    <row r="12" spans="6:25" x14ac:dyDescent="0.2">
      <c r="F12" s="288"/>
      <c r="G12" s="289"/>
      <c r="H12" s="289"/>
      <c r="I12" s="289"/>
      <c r="J12" s="289"/>
      <c r="K12" s="289"/>
      <c r="L12" s="289"/>
      <c r="M12" s="289"/>
      <c r="N12" s="292"/>
      <c r="O12" s="292"/>
      <c r="P12" s="293"/>
    </row>
    <row r="13" spans="6:25" x14ac:dyDescent="0.2">
      <c r="F13" s="297"/>
      <c r="G13" s="298"/>
      <c r="H13" s="298"/>
      <c r="I13" s="298"/>
      <c r="J13" s="298"/>
      <c r="K13" s="298"/>
      <c r="L13" s="298"/>
      <c r="M13" s="298"/>
      <c r="N13" s="298"/>
      <c r="O13" s="298"/>
      <c r="P13" s="299"/>
      <c r="T13" s="5"/>
      <c r="U13" s="5"/>
      <c r="W13" s="5"/>
      <c r="X13" s="5"/>
    </row>
    <row r="14" spans="6:25" ht="12.75" customHeight="1" x14ac:dyDescent="0.2">
      <c r="F14" s="300" t="s">
        <v>14</v>
      </c>
      <c r="G14" s="291"/>
      <c r="H14" s="301">
        <v>79</v>
      </c>
      <c r="I14" s="301"/>
      <c r="J14" s="301">
        <v>2</v>
      </c>
      <c r="K14" s="301"/>
      <c r="L14" s="302">
        <v>6.7</v>
      </c>
      <c r="M14" s="302"/>
      <c r="N14" s="303">
        <v>150.1</v>
      </c>
      <c r="O14" s="303"/>
      <c r="P14" s="304"/>
      <c r="S14" s="5"/>
      <c r="T14" s="99"/>
      <c r="U14" s="99"/>
      <c r="V14" s="99"/>
      <c r="W14" s="63"/>
      <c r="X14" s="63"/>
      <c r="Y14" s="100"/>
    </row>
    <row r="15" spans="6:25" ht="12.75" customHeight="1" x14ac:dyDescent="0.2">
      <c r="F15" s="300" t="s">
        <v>15</v>
      </c>
      <c r="G15" s="308"/>
      <c r="H15" s="301">
        <v>101</v>
      </c>
      <c r="I15" s="301"/>
      <c r="J15" s="309">
        <v>-8</v>
      </c>
      <c r="K15" s="310"/>
      <c r="L15" s="302">
        <v>9.5</v>
      </c>
      <c r="M15" s="302"/>
      <c r="N15" s="303">
        <v>51.4</v>
      </c>
      <c r="O15" s="303"/>
      <c r="P15" s="304"/>
      <c r="S15" s="5"/>
      <c r="T15" s="99"/>
      <c r="U15" s="99"/>
      <c r="V15" s="99"/>
      <c r="W15" s="63"/>
      <c r="X15" s="63"/>
      <c r="Y15" s="100"/>
    </row>
    <row r="16" spans="6:25" x14ac:dyDescent="0.2">
      <c r="F16" s="305" t="s">
        <v>16</v>
      </c>
      <c r="G16" s="306"/>
      <c r="H16" s="301">
        <v>156</v>
      </c>
      <c r="I16" s="301"/>
      <c r="J16" s="307">
        <v>31</v>
      </c>
      <c r="K16" s="307"/>
      <c r="L16" s="302">
        <v>4.5</v>
      </c>
      <c r="M16" s="302"/>
      <c r="N16" s="303">
        <v>109.1</v>
      </c>
      <c r="O16" s="303"/>
      <c r="P16" s="304"/>
      <c r="S16" s="5"/>
      <c r="T16" s="99"/>
      <c r="U16" s="99"/>
      <c r="V16" s="99"/>
      <c r="W16" s="63"/>
      <c r="X16" s="63"/>
      <c r="Y16" s="100"/>
    </row>
    <row r="17" spans="6:25" x14ac:dyDescent="0.2">
      <c r="F17" s="300" t="s">
        <v>17</v>
      </c>
      <c r="G17" s="291"/>
      <c r="H17" s="301">
        <v>194</v>
      </c>
      <c r="I17" s="301"/>
      <c r="J17" s="307">
        <v>12</v>
      </c>
      <c r="K17" s="307"/>
      <c r="L17" s="302">
        <v>-0.2</v>
      </c>
      <c r="M17" s="302"/>
      <c r="N17" s="303">
        <v>18.399999999999999</v>
      </c>
      <c r="O17" s="303"/>
      <c r="P17" s="304"/>
      <c r="S17" s="5"/>
      <c r="T17" s="99"/>
      <c r="U17" s="99"/>
      <c r="V17" s="99"/>
      <c r="W17" s="63"/>
      <c r="X17" s="63"/>
      <c r="Y17" s="100"/>
    </row>
    <row r="18" spans="6:25" ht="12.75" customHeight="1" x14ac:dyDescent="0.2">
      <c r="F18" s="300" t="s">
        <v>18</v>
      </c>
      <c r="G18" s="291"/>
      <c r="H18" s="301">
        <v>165</v>
      </c>
      <c r="I18" s="301"/>
      <c r="J18" s="307">
        <v>-18</v>
      </c>
      <c r="K18" s="307"/>
      <c r="L18" s="302">
        <v>9</v>
      </c>
      <c r="M18" s="302"/>
      <c r="N18" s="303">
        <v>52.2</v>
      </c>
      <c r="O18" s="303"/>
      <c r="P18" s="304"/>
      <c r="S18" s="5"/>
      <c r="T18" s="99"/>
      <c r="U18" s="99"/>
      <c r="V18" s="99"/>
      <c r="W18" s="63"/>
      <c r="X18" s="63"/>
      <c r="Y18" s="100"/>
    </row>
    <row r="19" spans="6:25" ht="12.75" customHeight="1" x14ac:dyDescent="0.2">
      <c r="F19" s="300" t="s">
        <v>19</v>
      </c>
      <c r="G19" s="291"/>
      <c r="H19" s="301">
        <v>69</v>
      </c>
      <c r="I19" s="301"/>
      <c r="J19" s="301">
        <v>-5</v>
      </c>
      <c r="K19" s="301"/>
      <c r="L19" s="302">
        <v>5.2</v>
      </c>
      <c r="M19" s="302"/>
      <c r="N19" s="303">
        <v>457.4</v>
      </c>
      <c r="O19" s="303"/>
      <c r="P19" s="304"/>
      <c r="S19" s="5"/>
      <c r="T19" s="99"/>
      <c r="U19" s="99"/>
      <c r="V19" s="99"/>
      <c r="W19" s="63"/>
      <c r="X19" s="63"/>
      <c r="Y19" s="100"/>
    </row>
    <row r="20" spans="6:25" ht="12.75" customHeight="1" x14ac:dyDescent="0.2">
      <c r="F20" s="300" t="s">
        <v>20</v>
      </c>
      <c r="G20" s="291"/>
      <c r="H20" s="301">
        <v>108</v>
      </c>
      <c r="I20" s="301"/>
      <c r="J20" s="301">
        <v>0</v>
      </c>
      <c r="K20" s="301"/>
      <c r="L20" s="302">
        <v>7.5</v>
      </c>
      <c r="M20" s="302"/>
      <c r="N20" s="303">
        <v>156.80000000000001</v>
      </c>
      <c r="O20" s="303"/>
      <c r="P20" s="304"/>
      <c r="S20" s="5"/>
      <c r="T20" s="99"/>
      <c r="U20" s="99"/>
      <c r="V20" s="99"/>
      <c r="W20" s="63"/>
      <c r="X20" s="63"/>
      <c r="Y20" s="100"/>
    </row>
    <row r="21" spans="6:25" ht="12.75" customHeight="1" x14ac:dyDescent="0.2">
      <c r="F21" s="311" t="s">
        <v>21</v>
      </c>
      <c r="G21" s="312"/>
      <c r="H21" s="301">
        <v>55</v>
      </c>
      <c r="I21" s="301"/>
      <c r="J21" s="301">
        <v>7</v>
      </c>
      <c r="K21" s="301"/>
      <c r="L21" s="302">
        <v>6.4</v>
      </c>
      <c r="M21" s="302"/>
      <c r="N21" s="303">
        <v>425</v>
      </c>
      <c r="O21" s="303"/>
      <c r="P21" s="304"/>
      <c r="S21" s="5"/>
      <c r="T21" s="99"/>
      <c r="U21" s="99"/>
      <c r="V21" s="99"/>
      <c r="W21" s="63"/>
      <c r="X21" s="63"/>
      <c r="Y21" s="100"/>
    </row>
    <row r="22" spans="6:25" ht="12.75" customHeight="1" x14ac:dyDescent="0.2">
      <c r="F22" s="300" t="s">
        <v>22</v>
      </c>
      <c r="G22" s="291"/>
      <c r="H22" s="301">
        <v>87</v>
      </c>
      <c r="I22" s="301"/>
      <c r="J22" s="301">
        <v>19</v>
      </c>
      <c r="K22" s="301"/>
      <c r="L22" s="302">
        <v>9.6999999999999993</v>
      </c>
      <c r="M22" s="302"/>
      <c r="N22" s="303">
        <v>333.7</v>
      </c>
      <c r="O22" s="303"/>
      <c r="P22" s="304"/>
      <c r="S22" s="5"/>
      <c r="T22" s="99"/>
      <c r="U22" s="99"/>
      <c r="V22" s="99"/>
      <c r="W22" s="63"/>
      <c r="X22" s="63"/>
      <c r="Y22" s="100"/>
    </row>
    <row r="23" spans="6:25" ht="12.75" customHeight="1" x14ac:dyDescent="0.2">
      <c r="F23" s="300" t="s">
        <v>23</v>
      </c>
      <c r="G23" s="291"/>
      <c r="H23" s="301">
        <v>131</v>
      </c>
      <c r="I23" s="301"/>
      <c r="J23" s="301">
        <v>-10</v>
      </c>
      <c r="K23" s="301"/>
      <c r="L23" s="302">
        <v>8.1</v>
      </c>
      <c r="M23" s="302"/>
      <c r="N23" s="303">
        <v>81.400000000000006</v>
      </c>
      <c r="O23" s="303"/>
      <c r="P23" s="304"/>
      <c r="S23" s="5"/>
      <c r="T23" s="99"/>
      <c r="U23" s="99"/>
      <c r="V23" s="99"/>
      <c r="W23" s="63"/>
      <c r="X23" s="63"/>
      <c r="Y23" s="100"/>
    </row>
    <row r="24" spans="6:25" x14ac:dyDescent="0.2">
      <c r="F24" s="314" t="s">
        <v>76</v>
      </c>
      <c r="G24" s="315"/>
      <c r="H24" s="315"/>
      <c r="I24" s="315"/>
      <c r="J24" s="315"/>
      <c r="K24" s="315"/>
      <c r="L24" s="315"/>
      <c r="M24" s="315"/>
      <c r="N24" s="315"/>
      <c r="O24" s="315"/>
      <c r="P24" s="316"/>
    </row>
    <row r="25" spans="6:25" ht="13.5" thickBot="1" x14ac:dyDescent="0.25">
      <c r="F25" s="317" t="s">
        <v>77</v>
      </c>
      <c r="G25" s="318"/>
      <c r="H25" s="318"/>
      <c r="I25" s="318"/>
      <c r="J25" s="318"/>
      <c r="K25" s="318"/>
      <c r="L25" s="318"/>
      <c r="M25" s="318"/>
      <c r="N25" s="318"/>
      <c r="O25" s="318"/>
      <c r="P25" s="319"/>
    </row>
    <row r="26" spans="6:25" ht="6" customHeight="1" x14ac:dyDescent="0.2"/>
    <row r="27" spans="6:25" x14ac:dyDescent="0.2">
      <c r="H27" s="62" t="s">
        <v>51</v>
      </c>
      <c r="I27" s="61"/>
      <c r="J27" s="61"/>
      <c r="K27" s="61"/>
      <c r="L27" s="61"/>
      <c r="M27" s="61"/>
      <c r="N27" s="61"/>
      <c r="O27" s="62"/>
      <c r="P27" s="61"/>
      <c r="S27" s="63"/>
      <c r="T27" s="63"/>
    </row>
    <row r="28" spans="6:25" x14ac:dyDescent="0.2">
      <c r="H28" s="313" t="s">
        <v>50</v>
      </c>
      <c r="I28" s="313"/>
      <c r="J28" s="313"/>
      <c r="K28" s="313"/>
      <c r="L28" s="313"/>
      <c r="M28" s="313"/>
      <c r="N28" s="313"/>
      <c r="O28" s="313"/>
      <c r="P28" s="61"/>
      <c r="S28" s="63"/>
      <c r="T28" s="63"/>
    </row>
    <row r="29" spans="6:25" x14ac:dyDescent="0.2">
      <c r="H29" s="313"/>
      <c r="I29" s="313"/>
      <c r="J29" s="313"/>
      <c r="K29" s="313"/>
      <c r="L29" s="313"/>
      <c r="M29" s="313"/>
      <c r="N29" s="313"/>
      <c r="O29" s="313"/>
      <c r="P29" s="61"/>
      <c r="S29" s="63"/>
      <c r="T29" s="63"/>
    </row>
    <row r="30" spans="6:25" x14ac:dyDescent="0.2">
      <c r="H30" s="62" t="s">
        <v>48</v>
      </c>
      <c r="I30" s="61"/>
      <c r="J30" s="61"/>
      <c r="K30" s="61"/>
      <c r="L30" s="61"/>
      <c r="M30" s="61"/>
      <c r="N30" s="61"/>
      <c r="O30" s="61"/>
      <c r="P30" s="61"/>
      <c r="S30" s="63"/>
      <c r="T30" s="63"/>
    </row>
    <row r="31" spans="6:25" x14ac:dyDescent="0.2">
      <c r="H31" s="62" t="s">
        <v>47</v>
      </c>
      <c r="I31" s="61"/>
      <c r="J31" s="61"/>
      <c r="K31" s="61"/>
      <c r="L31" s="61"/>
      <c r="M31" s="61"/>
      <c r="N31" s="61"/>
      <c r="O31" s="61"/>
      <c r="P31" s="61"/>
      <c r="S31" s="63"/>
      <c r="T31" s="63"/>
    </row>
    <row r="32" spans="6:25" x14ac:dyDescent="0.2">
      <c r="H32" s="62" t="s">
        <v>49</v>
      </c>
      <c r="I32" s="61"/>
      <c r="J32" s="61"/>
      <c r="K32" s="61"/>
      <c r="L32" s="61"/>
      <c r="M32" s="61"/>
      <c r="N32" s="61"/>
      <c r="O32" s="61"/>
      <c r="P32" s="61"/>
      <c r="S32" s="63"/>
      <c r="T32" s="63"/>
    </row>
    <row r="33" spans="8:20" x14ac:dyDescent="0.2">
      <c r="H33" s="62" t="s">
        <v>53</v>
      </c>
      <c r="I33" s="61"/>
      <c r="J33" s="61"/>
      <c r="K33" s="61"/>
      <c r="L33" s="61"/>
      <c r="M33" s="61"/>
      <c r="N33" s="61"/>
      <c r="O33" s="61"/>
      <c r="P33" s="61"/>
      <c r="S33" s="63"/>
      <c r="T33" s="63"/>
    </row>
    <row r="34" spans="8:20" x14ac:dyDescent="0.2">
      <c r="H34" s="62" t="s">
        <v>52</v>
      </c>
      <c r="I34" s="61"/>
      <c r="J34" s="61"/>
      <c r="K34" s="61"/>
      <c r="L34" s="61"/>
      <c r="M34" s="61"/>
      <c r="N34" s="61"/>
      <c r="O34" s="61"/>
      <c r="P34" s="61"/>
      <c r="S34" s="63"/>
      <c r="T34" s="63"/>
    </row>
    <row r="35" spans="8:20" ht="4.5" customHeight="1" x14ac:dyDescent="0.2">
      <c r="S35" s="63"/>
      <c r="T35" s="63"/>
    </row>
    <row r="36" spans="8:20" x14ac:dyDescent="0.2">
      <c r="H36" s="82" t="s">
        <v>79</v>
      </c>
      <c r="I36" s="83"/>
      <c r="J36" s="83"/>
      <c r="K36" s="83"/>
      <c r="L36" s="83"/>
      <c r="M36" s="83"/>
      <c r="N36" s="83"/>
      <c r="O36" s="83"/>
      <c r="P36" s="81"/>
      <c r="S36" s="63"/>
      <c r="T36" s="63"/>
    </row>
    <row r="37" spans="8:20" ht="12.75" hidden="1" customHeight="1" x14ac:dyDescent="0.2">
      <c r="H37" s="83"/>
      <c r="I37" s="83"/>
      <c r="J37" s="83"/>
      <c r="K37" s="83"/>
      <c r="L37" s="83"/>
      <c r="M37" s="83"/>
      <c r="N37" s="83"/>
      <c r="O37" s="83"/>
      <c r="P37" s="81"/>
      <c r="T37" s="63"/>
    </row>
    <row r="38" spans="8:20" ht="12.75" hidden="1" customHeight="1" x14ac:dyDescent="0.2">
      <c r="H38" s="83"/>
      <c r="I38" s="83"/>
      <c r="J38" s="83"/>
      <c r="K38" s="83"/>
      <c r="L38" s="83"/>
      <c r="M38" s="83"/>
      <c r="N38" s="83"/>
      <c r="O38" s="83"/>
      <c r="P38" s="81"/>
      <c r="T38" s="63"/>
    </row>
    <row r="39" spans="8:20" x14ac:dyDescent="0.2">
      <c r="H39" s="81" t="s">
        <v>80</v>
      </c>
      <c r="I39" s="83"/>
      <c r="J39" s="83"/>
      <c r="K39" s="83"/>
      <c r="L39" s="83"/>
      <c r="M39" s="83"/>
      <c r="N39" s="83"/>
      <c r="O39" s="83"/>
      <c r="P39" s="81"/>
      <c r="T39" s="63"/>
    </row>
    <row r="40" spans="8:20" x14ac:dyDescent="0.2">
      <c r="H40" s="84" t="s">
        <v>81</v>
      </c>
      <c r="I40" s="83"/>
      <c r="J40" s="83"/>
      <c r="K40" s="83"/>
      <c r="L40" s="83"/>
      <c r="M40" s="83"/>
      <c r="N40" s="83"/>
      <c r="O40" s="83"/>
      <c r="P40" s="81"/>
      <c r="T40" s="63"/>
    </row>
    <row r="41" spans="8:20" x14ac:dyDescent="0.2">
      <c r="H41" s="84" t="s">
        <v>84</v>
      </c>
      <c r="I41" s="83"/>
      <c r="J41" s="83"/>
      <c r="K41" s="83"/>
      <c r="L41" s="83"/>
      <c r="M41" s="83"/>
      <c r="N41" s="83"/>
      <c r="O41" s="83"/>
      <c r="P41" s="81"/>
      <c r="T41" s="63"/>
    </row>
    <row r="42" spans="8:20" ht="12.75" customHeight="1" x14ac:dyDescent="0.2">
      <c r="H42" s="81" t="s">
        <v>82</v>
      </c>
      <c r="I42" s="83"/>
      <c r="J42" s="83"/>
      <c r="K42" s="83"/>
      <c r="L42" s="83"/>
      <c r="M42" s="83"/>
      <c r="N42" s="83"/>
      <c r="O42" s="83"/>
      <c r="P42" s="81"/>
      <c r="T42" s="63"/>
    </row>
    <row r="43" spans="8:20" x14ac:dyDescent="0.2">
      <c r="H43" s="81" t="s">
        <v>83</v>
      </c>
      <c r="I43" s="83"/>
      <c r="J43" s="83"/>
      <c r="K43" s="83"/>
      <c r="L43" s="83"/>
      <c r="M43" s="83"/>
      <c r="N43" s="83"/>
      <c r="O43" s="83"/>
      <c r="P43" s="81"/>
      <c r="T43" s="63"/>
    </row>
    <row r="44" spans="8:20" ht="5.25" customHeight="1" x14ac:dyDescent="0.2">
      <c r="H44" s="64"/>
      <c r="I44" s="64"/>
      <c r="J44" s="64"/>
      <c r="K44" s="64"/>
      <c r="L44" s="64"/>
      <c r="M44" s="64"/>
      <c r="N44" s="64"/>
      <c r="O44" s="64"/>
    </row>
    <row r="45" spans="8:20" x14ac:dyDescent="0.2">
      <c r="H45" s="77" t="s">
        <v>79</v>
      </c>
      <c r="I45" s="78"/>
      <c r="J45" s="78"/>
      <c r="K45" s="78"/>
      <c r="L45" s="78"/>
      <c r="M45" s="78"/>
      <c r="N45" s="78"/>
      <c r="O45" s="78"/>
      <c r="P45" s="78"/>
      <c r="T45" s="63"/>
    </row>
    <row r="46" spans="8:20" ht="12.75" hidden="1" customHeight="1" x14ac:dyDescent="0.2">
      <c r="H46" s="78"/>
      <c r="I46" s="78"/>
      <c r="J46" s="78"/>
      <c r="K46" s="78"/>
      <c r="L46" s="78"/>
      <c r="M46" s="78"/>
      <c r="N46" s="78"/>
      <c r="O46" s="78"/>
      <c r="P46" s="78"/>
      <c r="T46" s="63"/>
    </row>
    <row r="47" spans="8:20" ht="12.75" hidden="1" customHeight="1" x14ac:dyDescent="0.2">
      <c r="H47" s="78"/>
      <c r="I47" s="78"/>
      <c r="J47" s="78"/>
      <c r="K47" s="78"/>
      <c r="L47" s="78"/>
      <c r="M47" s="78"/>
      <c r="N47" s="78"/>
      <c r="O47" s="78"/>
      <c r="P47" s="78"/>
      <c r="T47" s="63"/>
    </row>
    <row r="48" spans="8:20" x14ac:dyDescent="0.2">
      <c r="H48" s="79" t="s">
        <v>80</v>
      </c>
      <c r="I48" s="78"/>
      <c r="J48" s="78"/>
      <c r="K48" s="78"/>
      <c r="L48" s="78"/>
      <c r="M48" s="78"/>
      <c r="N48" s="78"/>
      <c r="O48" s="78"/>
      <c r="P48" s="78"/>
      <c r="T48" s="63"/>
    </row>
    <row r="49" spans="1:20" x14ac:dyDescent="0.2">
      <c r="H49" s="80" t="s">
        <v>81</v>
      </c>
      <c r="I49" s="78"/>
      <c r="J49" s="78"/>
      <c r="K49" s="78"/>
      <c r="L49" s="78"/>
      <c r="M49" s="78"/>
      <c r="N49" s="78"/>
      <c r="O49" s="78"/>
      <c r="P49" s="78"/>
      <c r="T49" s="63"/>
    </row>
    <row r="50" spans="1:20" x14ac:dyDescent="0.2">
      <c r="H50" s="80" t="s">
        <v>84</v>
      </c>
      <c r="I50" s="78"/>
      <c r="J50" s="78"/>
      <c r="K50" s="78"/>
      <c r="L50" s="78"/>
      <c r="M50" s="78"/>
      <c r="N50" s="78"/>
      <c r="O50" s="78"/>
      <c r="P50" s="78"/>
      <c r="T50" s="63"/>
    </row>
    <row r="51" spans="1:20" ht="12.75" customHeight="1" x14ac:dyDescent="0.2">
      <c r="H51" s="79" t="s">
        <v>82</v>
      </c>
      <c r="I51" s="78"/>
      <c r="J51" s="78"/>
      <c r="K51" s="78"/>
      <c r="L51" s="78"/>
      <c r="M51" s="78"/>
      <c r="N51" s="78"/>
      <c r="O51" s="78"/>
      <c r="P51" s="78"/>
      <c r="T51" s="63"/>
    </row>
    <row r="52" spans="1:20" x14ac:dyDescent="0.2">
      <c r="H52" s="79" t="s">
        <v>85</v>
      </c>
      <c r="I52" s="78"/>
      <c r="J52" s="78"/>
      <c r="K52" s="78"/>
      <c r="L52" s="78"/>
      <c r="M52" s="78"/>
      <c r="N52" s="78"/>
      <c r="O52" s="78"/>
      <c r="P52" s="78"/>
      <c r="T52" s="63"/>
    </row>
    <row r="56" spans="1:20" x14ac:dyDescent="0.2">
      <c r="N56" s="65"/>
    </row>
    <row r="58" spans="1:20" s="42" customFormat="1" ht="13.5" customHeight="1" x14ac:dyDescent="0.2">
      <c r="A58" s="74" t="s">
        <v>89</v>
      </c>
      <c r="B58" s="76" t="s">
        <v>113</v>
      </c>
      <c r="C58" s="74"/>
      <c r="D58" s="74"/>
      <c r="E58" s="74"/>
      <c r="J58" s="70"/>
      <c r="L58" s="70"/>
      <c r="M58" s="74" t="s">
        <v>70</v>
      </c>
      <c r="N58" s="54"/>
    </row>
  </sheetData>
  <mergeCells count="61">
    <mergeCell ref="J22:K22"/>
    <mergeCell ref="F21:G21"/>
    <mergeCell ref="H21:I21"/>
    <mergeCell ref="J21:K21"/>
    <mergeCell ref="H28:O29"/>
    <mergeCell ref="N23:P23"/>
    <mergeCell ref="F24:P24"/>
    <mergeCell ref="F25:P25"/>
    <mergeCell ref="F23:G23"/>
    <mergeCell ref="H23:I23"/>
    <mergeCell ref="J23:K23"/>
    <mergeCell ref="L23:M23"/>
    <mergeCell ref="L21:M21"/>
    <mergeCell ref="L22:M22"/>
    <mergeCell ref="N22:P22"/>
    <mergeCell ref="N21:P21"/>
    <mergeCell ref="L20:M20"/>
    <mergeCell ref="N20:P20"/>
    <mergeCell ref="F19:G19"/>
    <mergeCell ref="H19:I19"/>
    <mergeCell ref="J19:K19"/>
    <mergeCell ref="L19:M19"/>
    <mergeCell ref="F22:G22"/>
    <mergeCell ref="H22:I22"/>
    <mergeCell ref="N17:P17"/>
    <mergeCell ref="F18:G18"/>
    <mergeCell ref="H18:I18"/>
    <mergeCell ref="J18:K18"/>
    <mergeCell ref="L18:M18"/>
    <mergeCell ref="N18:P18"/>
    <mergeCell ref="F17:G17"/>
    <mergeCell ref="H17:I17"/>
    <mergeCell ref="J17:K17"/>
    <mergeCell ref="L17:M17"/>
    <mergeCell ref="N19:P19"/>
    <mergeCell ref="F20:G20"/>
    <mergeCell ref="H20:I20"/>
    <mergeCell ref="J20:K20"/>
    <mergeCell ref="N15:P15"/>
    <mergeCell ref="F16:G16"/>
    <mergeCell ref="H16:I16"/>
    <mergeCell ref="J16:K16"/>
    <mergeCell ref="L16:M16"/>
    <mergeCell ref="N16:P16"/>
    <mergeCell ref="F15:G15"/>
    <mergeCell ref="H15:I15"/>
    <mergeCell ref="J15:K15"/>
    <mergeCell ref="L15:M15"/>
    <mergeCell ref="F13:P13"/>
    <mergeCell ref="F14:G14"/>
    <mergeCell ref="H14:I14"/>
    <mergeCell ref="J14:K14"/>
    <mergeCell ref="L14:M14"/>
    <mergeCell ref="N14:P14"/>
    <mergeCell ref="F7:P7"/>
    <mergeCell ref="F9:G12"/>
    <mergeCell ref="H9:I12"/>
    <mergeCell ref="J9:K12"/>
    <mergeCell ref="L9:M12"/>
    <mergeCell ref="N9:P12"/>
    <mergeCell ref="F8:P8"/>
  </mergeCells>
  <phoneticPr fontId="2" type="noConversion"/>
  <hyperlinks>
    <hyperlink ref="H36" r:id="rId1"/>
  </hyperlinks>
  <pageMargins left="0" right="0" top="0" bottom="0" header="0.5" footer="0.5"/>
  <pageSetup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2013 FRPP Ranking Sheet</vt:lpstr>
      <vt:lpstr>Ag. Census Support Data</vt:lpstr>
    </vt:vector>
  </TitlesOfParts>
  <Company>USDA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steven.hundley</dc:creator>
  <cp:lastModifiedBy>DuBois, Ryan - NRCS, Durham, NH</cp:lastModifiedBy>
  <cp:lastPrinted>2014-06-12T12:41:07Z</cp:lastPrinted>
  <dcterms:created xsi:type="dcterms:W3CDTF">2004-02-16T17:11:58Z</dcterms:created>
  <dcterms:modified xsi:type="dcterms:W3CDTF">2014-07-09T16:27:03Z</dcterms:modified>
</cp:coreProperties>
</file>