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616" windowHeight="9876"/>
  </bookViews>
  <sheets>
    <sheet name="GTR Wheat Table" sheetId="1" r:id="rId1"/>
    <sheet name="US" sheetId="12" r:id="rId2"/>
    <sheet name="Nigeria" sheetId="8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Egypt" sheetId="6" r:id="rId9"/>
    <sheet name="Venezuela" sheetId="7" r:id="rId10"/>
    <sheet name="CHINA" sheetId="20" r:id="rId11"/>
    <sheet name="Colombia" sheetId="9" r:id="rId12"/>
    <sheet name="Peru" sheetId="10" r:id="rId13"/>
    <sheet name="Brazil" sheetId="16" r:id="rId14"/>
    <sheet name="Indonesia" sheetId="14" r:id="rId15"/>
    <sheet name="Iraq" sheetId="17" r:id="rId16"/>
    <sheet name="Data" sheetId="13" r:id="rId17"/>
    <sheet name="Procedures" sheetId="15" r:id="rId18"/>
    <sheet name="2012-13 weekly pace" sheetId="18" r:id="rId19"/>
    <sheet name="Sheet1" sheetId="19" r:id="rId20"/>
    <sheet name="Sheet2" sheetId="21" r:id="rId21"/>
    <sheet name="Sheet3" sheetId="22" r:id="rId22"/>
  </sheets>
  <externalReferences>
    <externalReference r:id="rId23"/>
    <externalReference r:id="rId24"/>
  </externalReferences>
  <definedNames>
    <definedName name="OLE_LINK1" localSheetId="16">Data!#REF!</definedName>
    <definedName name="_xlnm.Print_Area" localSheetId="0">'GTR Wheat Table'!$A$1:$J$28</definedName>
  </definedNames>
  <calcPr calcId="145621"/>
</workbook>
</file>

<file path=xl/calcChain.xml><?xml version="1.0" encoding="utf-8"?>
<calcChain xmlns="http://schemas.openxmlformats.org/spreadsheetml/2006/main">
  <c r="I395" i="12" l="1"/>
  <c r="J395" i="12"/>
  <c r="H395" i="12"/>
  <c r="B396" i="12"/>
  <c r="C396" i="12"/>
  <c r="B397" i="12"/>
  <c r="C397" i="12"/>
  <c r="B398" i="12"/>
  <c r="C398" i="12"/>
  <c r="G133" i="16"/>
  <c r="F133" i="16"/>
  <c r="H395" i="9"/>
  <c r="I395" i="9"/>
  <c r="G395" i="9"/>
  <c r="G398" i="7"/>
  <c r="H398" i="7"/>
  <c r="F398" i="7"/>
  <c r="F395" i="3"/>
  <c r="G395" i="3"/>
  <c r="H395" i="3"/>
  <c r="F395" i="8"/>
  <c r="G395" i="8"/>
  <c r="H395" i="8"/>
  <c r="G395" i="6"/>
  <c r="F395" i="6"/>
  <c r="F133" i="17"/>
  <c r="G133" i="17"/>
  <c r="G344" i="14"/>
  <c r="H344" i="14"/>
  <c r="I344" i="14"/>
  <c r="G395" i="4"/>
  <c r="H395" i="4"/>
  <c r="F395" i="4"/>
  <c r="G395" i="5"/>
  <c r="H395" i="5"/>
  <c r="F395" i="5"/>
  <c r="G29" i="20"/>
  <c r="F29" i="20"/>
  <c r="G395" i="11"/>
  <c r="F395" i="11"/>
  <c r="H394" i="12"/>
  <c r="I394" i="12"/>
  <c r="J394" i="12"/>
  <c r="F394" i="3"/>
  <c r="G394" i="3"/>
  <c r="H394" i="3"/>
  <c r="F397" i="7"/>
  <c r="G397" i="7"/>
  <c r="H397" i="7"/>
  <c r="G394" i="9"/>
  <c r="H394" i="9"/>
  <c r="I394" i="9"/>
  <c r="F132" i="16"/>
  <c r="G132" i="16"/>
  <c r="F132" i="17"/>
  <c r="G132" i="17"/>
  <c r="F394" i="6"/>
  <c r="G394" i="6"/>
  <c r="G343" i="14"/>
  <c r="I343" i="14"/>
  <c r="H343" i="14"/>
  <c r="F28" i="20"/>
  <c r="G28" i="20"/>
  <c r="F394" i="11"/>
  <c r="G394" i="11"/>
  <c r="F394" i="4"/>
  <c r="G394" i="4"/>
  <c r="H394" i="4"/>
  <c r="F394" i="5"/>
  <c r="G394" i="5"/>
  <c r="H394" i="5"/>
  <c r="F394" i="8"/>
  <c r="G394" i="8"/>
  <c r="H394" i="8"/>
  <c r="H393" i="12"/>
  <c r="I393" i="12"/>
  <c r="J393" i="12"/>
  <c r="F131" i="17"/>
  <c r="G131" i="17"/>
  <c r="G342" i="14"/>
  <c r="H342" i="14"/>
  <c r="I342" i="14"/>
  <c r="F131" i="16"/>
  <c r="G131" i="16"/>
  <c r="G393" i="9"/>
  <c r="I393" i="9"/>
  <c r="H393" i="9"/>
  <c r="F27" i="20"/>
  <c r="G27" i="20"/>
  <c r="F396" i="7"/>
  <c r="G396" i="7"/>
  <c r="H396" i="7"/>
  <c r="F393" i="6"/>
  <c r="G393" i="6"/>
  <c r="F393" i="11"/>
  <c r="G393" i="11"/>
  <c r="F393" i="4"/>
  <c r="G393" i="4"/>
  <c r="H393" i="4"/>
  <c r="F393" i="5"/>
  <c r="G393" i="5"/>
  <c r="H393" i="5"/>
  <c r="F393" i="3"/>
  <c r="G393" i="3"/>
  <c r="H393" i="3"/>
  <c r="F393" i="8"/>
  <c r="H393" i="8"/>
  <c r="G393" i="8"/>
  <c r="B393" i="12"/>
  <c r="C393" i="12"/>
  <c r="B394" i="12"/>
  <c r="C394" i="12"/>
  <c r="B395" i="12"/>
  <c r="C395" i="12"/>
  <c r="H392" i="12"/>
  <c r="J392" i="12"/>
  <c r="I392" i="12"/>
  <c r="B392" i="12"/>
  <c r="C392" i="12"/>
  <c r="F395" i="7"/>
  <c r="G395" i="7"/>
  <c r="H395" i="7"/>
  <c r="F130" i="16"/>
  <c r="G130" i="16"/>
  <c r="G392" i="9"/>
  <c r="H392" i="9"/>
  <c r="I392" i="9"/>
  <c r="F392" i="6"/>
  <c r="G392" i="6"/>
  <c r="F392" i="11"/>
  <c r="G392" i="11"/>
  <c r="F392" i="3"/>
  <c r="G392" i="3"/>
  <c r="H392" i="3"/>
  <c r="F130" i="17"/>
  <c r="G130" i="17"/>
  <c r="F392" i="8"/>
  <c r="G392" i="8"/>
  <c r="H392" i="8"/>
  <c r="G341" i="14"/>
  <c r="H341" i="14"/>
  <c r="I341" i="14"/>
  <c r="F26" i="20"/>
  <c r="G26" i="20"/>
  <c r="F392" i="5"/>
  <c r="G392" i="5"/>
  <c r="H392" i="5"/>
  <c r="F392" i="4"/>
  <c r="G392" i="4"/>
  <c r="H392" i="4"/>
  <c r="I391" i="12"/>
  <c r="H391" i="12"/>
  <c r="B389" i="12"/>
  <c r="C389" i="12"/>
  <c r="B390" i="12"/>
  <c r="C390" i="12"/>
  <c r="B391" i="12"/>
  <c r="C391" i="12"/>
  <c r="H340" i="14"/>
  <c r="G340" i="14"/>
  <c r="I340" i="14"/>
  <c r="F129" i="17"/>
  <c r="G129" i="17"/>
  <c r="G129" i="16"/>
  <c r="F129" i="16"/>
  <c r="H391" i="9"/>
  <c r="G391" i="9"/>
  <c r="I391" i="9"/>
  <c r="G394" i="7"/>
  <c r="F394" i="7"/>
  <c r="H394" i="7"/>
  <c r="G391" i="6"/>
  <c r="F391" i="6"/>
  <c r="G25" i="20"/>
  <c r="F25" i="20"/>
  <c r="G391" i="11"/>
  <c r="F391" i="11"/>
  <c r="G391" i="4"/>
  <c r="F391" i="4"/>
  <c r="H391" i="4"/>
  <c r="G391" i="5"/>
  <c r="F391" i="5"/>
  <c r="H391" i="5"/>
  <c r="G391" i="3"/>
  <c r="F391" i="3"/>
  <c r="H391" i="3"/>
  <c r="G391" i="8"/>
  <c r="F391" i="8"/>
  <c r="H391" i="8"/>
  <c r="G388" i="2"/>
  <c r="H388" i="2"/>
  <c r="K388" i="12"/>
  <c r="B388" i="12"/>
  <c r="C388" i="12"/>
  <c r="I388" i="12"/>
  <c r="J388" i="12"/>
  <c r="H388" i="12"/>
  <c r="G126" i="17"/>
  <c r="F126" i="17"/>
  <c r="H337" i="14"/>
  <c r="I337" i="14"/>
  <c r="G337" i="14"/>
  <c r="G126" i="16"/>
  <c r="F126" i="16"/>
  <c r="H388" i="9"/>
  <c r="I388" i="9"/>
  <c r="G388" i="9"/>
  <c r="G22" i="20"/>
  <c r="F22" i="20"/>
  <c r="G391" i="7"/>
  <c r="H391" i="7"/>
  <c r="F391" i="7"/>
  <c r="G388" i="6"/>
  <c r="F388" i="6"/>
  <c r="G388" i="11"/>
  <c r="F388" i="11"/>
  <c r="G388" i="4"/>
  <c r="H388" i="4"/>
  <c r="F388" i="4"/>
  <c r="G388" i="5"/>
  <c r="H388" i="5"/>
  <c r="F388" i="5"/>
  <c r="G388" i="3"/>
  <c r="H388" i="3"/>
  <c r="F388" i="3"/>
  <c r="G388" i="8"/>
  <c r="H388" i="8"/>
  <c r="F388" i="8"/>
  <c r="K387" i="12"/>
  <c r="B387" i="12"/>
  <c r="C387" i="12"/>
  <c r="I387" i="12"/>
  <c r="J387" i="12"/>
  <c r="H387" i="12"/>
  <c r="F125" i="17"/>
  <c r="G125" i="17"/>
  <c r="H336" i="14"/>
  <c r="I336" i="14"/>
  <c r="G336" i="14"/>
  <c r="G125" i="16"/>
  <c r="F125" i="16"/>
  <c r="H387" i="9"/>
  <c r="I387" i="9"/>
  <c r="G387" i="9"/>
  <c r="G21" i="20"/>
  <c r="F21" i="20"/>
  <c r="G390" i="7"/>
  <c r="H390" i="7"/>
  <c r="F390" i="7"/>
  <c r="F387" i="6"/>
  <c r="G387" i="6"/>
  <c r="G387" i="11"/>
  <c r="F387" i="11"/>
  <c r="G387" i="4"/>
  <c r="H387" i="4"/>
  <c r="F387" i="4"/>
  <c r="G387" i="5"/>
  <c r="H387" i="5"/>
  <c r="F387" i="5"/>
  <c r="G387" i="3"/>
  <c r="H387" i="3"/>
  <c r="F387" i="3"/>
  <c r="G387" i="8"/>
  <c r="H387" i="8"/>
  <c r="F387" i="8"/>
  <c r="B386" i="12"/>
  <c r="C386" i="12"/>
  <c r="K386" i="12"/>
  <c r="I386" i="12"/>
  <c r="J386" i="12"/>
  <c r="H386" i="12"/>
  <c r="C385" i="12"/>
  <c r="B385" i="12"/>
  <c r="C384" i="12"/>
  <c r="B384" i="12"/>
  <c r="C383" i="12"/>
  <c r="B383" i="12"/>
  <c r="C382" i="12"/>
  <c r="B382" i="12"/>
  <c r="C381" i="12"/>
  <c r="B381" i="12"/>
  <c r="C380" i="12"/>
  <c r="B380" i="12"/>
  <c r="C379" i="12"/>
  <c r="B379" i="12"/>
  <c r="C378" i="12"/>
  <c r="B378" i="12"/>
  <c r="C377" i="12"/>
  <c r="B377" i="12"/>
  <c r="C376" i="12"/>
  <c r="B376" i="12"/>
  <c r="C375" i="12"/>
  <c r="B375" i="12"/>
  <c r="C374" i="12"/>
  <c r="B374" i="12"/>
  <c r="C373" i="12"/>
  <c r="B373" i="12"/>
  <c r="C372" i="12"/>
  <c r="B372" i="12"/>
  <c r="C371" i="12"/>
  <c r="B371" i="12"/>
  <c r="F124" i="17"/>
  <c r="G124" i="17"/>
  <c r="H335" i="14"/>
  <c r="I335" i="14"/>
  <c r="G335" i="14"/>
  <c r="G124" i="16"/>
  <c r="F124" i="16"/>
  <c r="H386" i="9"/>
  <c r="I386" i="9"/>
  <c r="G386" i="9"/>
  <c r="G20" i="20"/>
  <c r="F20" i="20"/>
  <c r="A46" i="20"/>
  <c r="A47" i="20"/>
  <c r="A48" i="20"/>
  <c r="A49" i="20"/>
  <c r="A50" i="20"/>
  <c r="A51" i="20"/>
  <c r="A52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G389" i="7"/>
  <c r="H389" i="7"/>
  <c r="F389" i="7"/>
  <c r="A410" i="7"/>
  <c r="A411" i="7"/>
  <c r="A412" i="7"/>
  <c r="A413" i="7"/>
  <c r="A414" i="7"/>
  <c r="A415" i="7"/>
  <c r="A416" i="7"/>
  <c r="A417" i="7"/>
  <c r="A418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F386" i="6"/>
  <c r="G386" i="6"/>
  <c r="A414" i="6"/>
  <c r="A415" i="6"/>
  <c r="A416" i="6"/>
  <c r="A417" i="6"/>
  <c r="A407" i="6"/>
  <c r="A408" i="6"/>
  <c r="A409" i="6"/>
  <c r="A410" i="6"/>
  <c r="A411" i="6"/>
  <c r="A412" i="6"/>
  <c r="A413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G386" i="11"/>
  <c r="F386" i="11"/>
  <c r="A410" i="11"/>
  <c r="A411" i="11"/>
  <c r="A412" i="11"/>
  <c r="A413" i="11"/>
  <c r="A414" i="11"/>
  <c r="A415" i="11"/>
  <c r="A416" i="11"/>
  <c r="A417" i="11"/>
  <c r="A418" i="11"/>
  <c r="A419" i="11"/>
  <c r="A420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G386" i="4"/>
  <c r="H386" i="4"/>
  <c r="F386" i="4"/>
  <c r="G386" i="5"/>
  <c r="H386" i="5"/>
  <c r="F386" i="5"/>
  <c r="G386" i="3"/>
  <c r="H386" i="3"/>
  <c r="F386" i="3"/>
  <c r="G386" i="8"/>
  <c r="H386" i="8"/>
  <c r="F386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G123" i="17"/>
  <c r="F123" i="17"/>
  <c r="H334" i="14"/>
  <c r="G334" i="14"/>
  <c r="I334" i="14"/>
  <c r="G123" i="16"/>
  <c r="F123" i="16"/>
  <c r="H385" i="9"/>
  <c r="G385" i="9"/>
  <c r="I385" i="9"/>
  <c r="G19" i="20"/>
  <c r="F19" i="20"/>
  <c r="G388" i="7"/>
  <c r="F388" i="7"/>
  <c r="H388" i="7"/>
  <c r="G385" i="6"/>
  <c r="F385" i="6"/>
  <c r="G385" i="11"/>
  <c r="F385" i="11"/>
  <c r="G385" i="4"/>
  <c r="F385" i="4"/>
  <c r="H385" i="4"/>
  <c r="G385" i="5"/>
  <c r="F385" i="5"/>
  <c r="H385" i="5"/>
  <c r="G385" i="3"/>
  <c r="F385" i="3"/>
  <c r="H385" i="3"/>
  <c r="G385" i="8"/>
  <c r="F385" i="8"/>
  <c r="H385" i="8"/>
  <c r="K385" i="12"/>
  <c r="I385" i="12"/>
  <c r="J385" i="12"/>
  <c r="H385" i="12"/>
  <c r="H7" i="13"/>
  <c r="G122" i="17"/>
  <c r="F122" i="17"/>
  <c r="H333" i="14"/>
  <c r="G333" i="14"/>
  <c r="I333" i="14"/>
  <c r="G122" i="16"/>
  <c r="F122" i="16"/>
  <c r="H384" i="9"/>
  <c r="G384" i="9"/>
  <c r="I384" i="9"/>
  <c r="G18" i="20"/>
  <c r="F18" i="20"/>
  <c r="G387" i="7"/>
  <c r="F387" i="7"/>
  <c r="H387" i="7"/>
  <c r="G384" i="6"/>
  <c r="F384" i="6"/>
  <c r="G384" i="11"/>
  <c r="F384" i="11"/>
  <c r="G384" i="4"/>
  <c r="F384" i="4"/>
  <c r="H384" i="4"/>
  <c r="G384" i="5"/>
  <c r="F384" i="5"/>
  <c r="H384" i="5"/>
  <c r="G384" i="3"/>
  <c r="F384" i="3"/>
  <c r="H384" i="3"/>
  <c r="G384" i="8"/>
  <c r="F384" i="8"/>
  <c r="H384" i="8"/>
  <c r="K384" i="12"/>
  <c r="I384" i="12"/>
  <c r="J384" i="12"/>
  <c r="H384" i="12"/>
  <c r="G121" i="17"/>
  <c r="F121" i="17"/>
  <c r="H332" i="14"/>
  <c r="G332" i="14"/>
  <c r="I332" i="14"/>
  <c r="G121" i="16"/>
  <c r="F121" i="16"/>
  <c r="H383" i="9"/>
  <c r="G383" i="9"/>
  <c r="I383" i="9"/>
  <c r="G17" i="20"/>
  <c r="F17" i="20"/>
  <c r="G386" i="7"/>
  <c r="F386" i="7"/>
  <c r="H386" i="7"/>
  <c r="G383" i="6"/>
  <c r="F383" i="6"/>
  <c r="G383" i="11"/>
  <c r="F383" i="11"/>
  <c r="G383" i="4"/>
  <c r="F383" i="4"/>
  <c r="H383" i="4"/>
  <c r="G383" i="5"/>
  <c r="F383" i="5"/>
  <c r="H383" i="5"/>
  <c r="G383" i="3"/>
  <c r="F383" i="3"/>
  <c r="H383" i="3"/>
  <c r="G383" i="8"/>
  <c r="F383" i="8"/>
  <c r="H383" i="8"/>
  <c r="K383" i="12"/>
  <c r="I383" i="12"/>
  <c r="J383" i="12"/>
  <c r="H383" i="12"/>
  <c r="G120" i="17"/>
  <c r="F120" i="17"/>
  <c r="H331" i="14"/>
  <c r="G331" i="14"/>
  <c r="I331" i="14"/>
  <c r="G120" i="16"/>
  <c r="F120" i="16"/>
  <c r="H382" i="9"/>
  <c r="G382" i="9"/>
  <c r="I382" i="9"/>
  <c r="G16" i="20"/>
  <c r="F16" i="20"/>
  <c r="G385" i="7"/>
  <c r="F385" i="7"/>
  <c r="H385" i="7"/>
  <c r="G382" i="6"/>
  <c r="F382" i="6"/>
  <c r="G382" i="11"/>
  <c r="F382" i="11"/>
  <c r="G382" i="4"/>
  <c r="F382" i="4"/>
  <c r="H382" i="4"/>
  <c r="G382" i="5"/>
  <c r="F382" i="5"/>
  <c r="H382" i="5"/>
  <c r="G382" i="3"/>
  <c r="F382" i="3"/>
  <c r="H382" i="3"/>
  <c r="G382" i="8"/>
  <c r="F382" i="8"/>
  <c r="H382" i="8"/>
  <c r="K382" i="12"/>
  <c r="I382" i="12"/>
  <c r="J382" i="12"/>
  <c r="H382" i="12"/>
  <c r="G119" i="17"/>
  <c r="F119" i="17"/>
  <c r="H330" i="14"/>
  <c r="G330" i="14"/>
  <c r="I330" i="14"/>
  <c r="G119" i="16"/>
  <c r="F119" i="16"/>
  <c r="H381" i="9"/>
  <c r="G381" i="9"/>
  <c r="I381" i="9"/>
  <c r="G15" i="20"/>
  <c r="F15" i="20"/>
  <c r="G384" i="7"/>
  <c r="F384" i="7"/>
  <c r="H384" i="7"/>
  <c r="G381" i="6"/>
  <c r="F381" i="6"/>
  <c r="G381" i="11"/>
  <c r="F381" i="11"/>
  <c r="G381" i="4"/>
  <c r="F381" i="4"/>
  <c r="H381" i="4"/>
  <c r="G381" i="5"/>
  <c r="F381" i="5"/>
  <c r="H381" i="5"/>
  <c r="G381" i="3"/>
  <c r="F381" i="3"/>
  <c r="H381" i="3"/>
  <c r="G381" i="8"/>
  <c r="F381" i="8"/>
  <c r="H381" i="8"/>
  <c r="K381" i="12"/>
  <c r="I381" i="12"/>
  <c r="J381" i="12"/>
  <c r="H381" i="12"/>
  <c r="G118" i="17"/>
  <c r="F118" i="17"/>
  <c r="H329" i="14"/>
  <c r="G329" i="14"/>
  <c r="I329" i="14"/>
  <c r="G118" i="16"/>
  <c r="F118" i="16"/>
  <c r="H380" i="9"/>
  <c r="G380" i="9"/>
  <c r="I380" i="9"/>
  <c r="G14" i="20"/>
  <c r="F14" i="20"/>
  <c r="G383" i="7"/>
  <c r="F383" i="7"/>
  <c r="H383" i="7"/>
  <c r="G380" i="6"/>
  <c r="F380" i="6"/>
  <c r="G380" i="11"/>
  <c r="F380" i="11"/>
  <c r="G380" i="4"/>
  <c r="F380" i="4"/>
  <c r="H380" i="4"/>
  <c r="G380" i="5"/>
  <c r="F380" i="5"/>
  <c r="H380" i="5"/>
  <c r="G380" i="3"/>
  <c r="F380" i="3"/>
  <c r="H380" i="3"/>
  <c r="G380" i="8"/>
  <c r="F380" i="8"/>
  <c r="H380" i="8"/>
  <c r="K380" i="12"/>
  <c r="I380" i="12"/>
  <c r="J380" i="12"/>
  <c r="H380" i="12"/>
  <c r="G117" i="17"/>
  <c r="F117" i="17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H328" i="14"/>
  <c r="G328" i="14"/>
  <c r="I328" i="14"/>
  <c r="G117" i="16"/>
  <c r="F117" i="16"/>
  <c r="H379" i="9"/>
  <c r="G379" i="9"/>
  <c r="I379" i="9"/>
  <c r="G13" i="20"/>
  <c r="F13" i="20"/>
  <c r="G382" i="7"/>
  <c r="H382" i="7"/>
  <c r="F382" i="7"/>
  <c r="G379" i="6"/>
  <c r="F379" i="6"/>
  <c r="G379" i="11"/>
  <c r="F379" i="11"/>
  <c r="G379" i="4"/>
  <c r="F379" i="4"/>
  <c r="H379" i="4"/>
  <c r="G379" i="5"/>
  <c r="F379" i="5"/>
  <c r="H379" i="5"/>
  <c r="H379" i="3"/>
  <c r="G379" i="3"/>
  <c r="F379" i="3"/>
  <c r="G379" i="8"/>
  <c r="H379" i="8"/>
  <c r="F379" i="8"/>
  <c r="K379" i="12"/>
  <c r="I379" i="12"/>
  <c r="J379" i="12"/>
  <c r="H379" i="12"/>
  <c r="H378" i="9"/>
  <c r="G378" i="9"/>
  <c r="I378" i="9"/>
  <c r="G116" i="16"/>
  <c r="F116" i="16"/>
  <c r="I327" i="14"/>
  <c r="I326" i="14"/>
  <c r="I325" i="14"/>
  <c r="I324" i="14"/>
  <c r="I323" i="14"/>
  <c r="I322" i="14"/>
  <c r="I321" i="14"/>
  <c r="I320" i="14"/>
  <c r="H327" i="14"/>
  <c r="G327" i="14"/>
  <c r="G12" i="20"/>
  <c r="F12" i="20"/>
  <c r="G381" i="7"/>
  <c r="F381" i="7"/>
  <c r="H381" i="7"/>
  <c r="G378" i="6"/>
  <c r="F378" i="6"/>
  <c r="G378" i="11"/>
  <c r="F378" i="11"/>
  <c r="H378" i="4"/>
  <c r="G378" i="4"/>
  <c r="F378" i="4"/>
  <c r="G378" i="5"/>
  <c r="F378" i="5"/>
  <c r="H378" i="5"/>
  <c r="G378" i="3"/>
  <c r="F378" i="3"/>
  <c r="H378" i="3"/>
  <c r="G378" i="8"/>
  <c r="F378" i="8"/>
  <c r="H378" i="8"/>
  <c r="K378" i="12"/>
  <c r="I378" i="12"/>
  <c r="J378" i="12"/>
  <c r="H378" i="12"/>
  <c r="G115" i="17"/>
  <c r="F115" i="17"/>
  <c r="H326" i="14"/>
  <c r="G326" i="14"/>
  <c r="H377" i="9"/>
  <c r="G377" i="9"/>
  <c r="I377" i="9"/>
  <c r="G11" i="20"/>
  <c r="F11" i="20"/>
  <c r="G380" i="7"/>
  <c r="F380" i="7"/>
  <c r="H380" i="7"/>
  <c r="G377" i="6"/>
  <c r="F377" i="6"/>
  <c r="G377" i="11"/>
  <c r="F377" i="11"/>
  <c r="G377" i="4"/>
  <c r="F377" i="4"/>
  <c r="H377" i="4"/>
  <c r="G377" i="5"/>
  <c r="F377" i="5"/>
  <c r="H377" i="5"/>
  <c r="G377" i="3"/>
  <c r="F377" i="3"/>
  <c r="H377" i="3"/>
  <c r="G377" i="8"/>
  <c r="F377" i="8"/>
  <c r="H377" i="8"/>
  <c r="K377" i="12"/>
  <c r="I377" i="12"/>
  <c r="J377" i="12"/>
  <c r="H377" i="12"/>
  <c r="G114" i="17"/>
  <c r="F114" i="17"/>
  <c r="H325" i="14"/>
  <c r="G325" i="14"/>
  <c r="H376" i="9"/>
  <c r="G376" i="9"/>
  <c r="I376" i="9"/>
  <c r="G10" i="20"/>
  <c r="F10" i="20"/>
  <c r="H379" i="7"/>
  <c r="G379" i="7"/>
  <c r="F379" i="7"/>
  <c r="G376" i="6"/>
  <c r="F376" i="6"/>
  <c r="G376" i="11"/>
  <c r="F376" i="11"/>
  <c r="G376" i="4"/>
  <c r="F376" i="4"/>
  <c r="H376" i="4"/>
  <c r="G376" i="5"/>
  <c r="F376" i="5"/>
  <c r="H376" i="5"/>
  <c r="G376" i="3"/>
  <c r="F376" i="3"/>
  <c r="H376" i="3"/>
  <c r="G376" i="8"/>
  <c r="F376" i="8"/>
  <c r="H376" i="8"/>
  <c r="K376" i="12"/>
  <c r="I376" i="12"/>
  <c r="J376" i="12"/>
  <c r="H376" i="12"/>
  <c r="G113" i="17"/>
  <c r="F113" i="17"/>
  <c r="H324" i="14"/>
  <c r="G324" i="14"/>
  <c r="H375" i="9"/>
  <c r="G375" i="9"/>
  <c r="I375" i="9"/>
  <c r="G9" i="20"/>
  <c r="F9" i="20"/>
  <c r="F378" i="7"/>
  <c r="H378" i="7"/>
  <c r="G378" i="7"/>
  <c r="G375" i="6"/>
  <c r="F375" i="6"/>
  <c r="G375" i="11"/>
  <c r="F375" i="11"/>
  <c r="G375" i="4"/>
  <c r="H375" i="4"/>
  <c r="F375" i="4"/>
  <c r="G375" i="5"/>
  <c r="F375" i="5"/>
  <c r="H375" i="5"/>
  <c r="G375" i="3"/>
  <c r="F375" i="3"/>
  <c r="H375" i="3"/>
  <c r="G375" i="2"/>
  <c r="F375" i="2"/>
  <c r="H375" i="2"/>
  <c r="G375" i="8"/>
  <c r="F375" i="8"/>
  <c r="H375" i="8"/>
  <c r="K375" i="12"/>
  <c r="I375" i="12"/>
  <c r="J375" i="12"/>
  <c r="H375" i="12"/>
  <c r="G374" i="2"/>
  <c r="F374" i="2"/>
  <c r="H374" i="2"/>
  <c r="G112" i="17"/>
  <c r="F112" i="17"/>
  <c r="H323" i="14"/>
  <c r="G323" i="14"/>
  <c r="I374" i="9"/>
  <c r="H374" i="9"/>
  <c r="G374" i="9"/>
  <c r="G8" i="20"/>
  <c r="F8" i="20"/>
  <c r="G377" i="7"/>
  <c r="F377" i="7"/>
  <c r="H377" i="7"/>
  <c r="G374" i="6"/>
  <c r="F374" i="6"/>
  <c r="G374" i="11"/>
  <c r="F374" i="11"/>
  <c r="G374" i="4"/>
  <c r="H374" i="4"/>
  <c r="F374" i="4"/>
  <c r="G374" i="5"/>
  <c r="F374" i="5"/>
  <c r="H374" i="5"/>
  <c r="G374" i="3"/>
  <c r="F374" i="3"/>
  <c r="H374" i="3"/>
  <c r="K374" i="12"/>
  <c r="K373" i="12"/>
  <c r="I374" i="12"/>
  <c r="J374" i="12"/>
  <c r="H374" i="12"/>
  <c r="G374" i="8"/>
  <c r="F374" i="8"/>
  <c r="H374" i="8"/>
  <c r="I373" i="12"/>
  <c r="J373" i="12"/>
  <c r="H373" i="12"/>
  <c r="H322" i="14"/>
  <c r="G322" i="14"/>
  <c r="B320" i="14"/>
  <c r="B321" i="14"/>
  <c r="B322" i="14"/>
  <c r="B323" i="14"/>
  <c r="B324" i="14"/>
  <c r="B325" i="14"/>
  <c r="B326" i="14"/>
  <c r="B327" i="14"/>
  <c r="B328" i="14"/>
  <c r="F111" i="17"/>
  <c r="G111" i="17"/>
  <c r="H373" i="9"/>
  <c r="I373" i="9"/>
  <c r="G373" i="9"/>
  <c r="G7" i="20"/>
  <c r="F7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G376" i="7"/>
  <c r="H376" i="7"/>
  <c r="F376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G373" i="6"/>
  <c r="F373" i="6"/>
  <c r="G373" i="11"/>
  <c r="F373" i="11"/>
  <c r="A384" i="11"/>
  <c r="A385" i="11"/>
  <c r="A386" i="11"/>
  <c r="A387" i="11"/>
  <c r="A388" i="11"/>
  <c r="A389" i="11"/>
  <c r="A390" i="11"/>
  <c r="A391" i="11"/>
  <c r="A392" i="11"/>
  <c r="G373" i="4"/>
  <c r="H373" i="4"/>
  <c r="F373" i="4"/>
  <c r="G373" i="5"/>
  <c r="H373" i="5"/>
  <c r="F373" i="5"/>
  <c r="G373" i="3"/>
  <c r="H373" i="3"/>
  <c r="F373" i="3"/>
  <c r="G373" i="8"/>
  <c r="H373" i="8"/>
  <c r="F373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H372" i="9"/>
  <c r="G372" i="9"/>
  <c r="I372" i="9"/>
  <c r="G6" i="20"/>
  <c r="F6" i="20"/>
  <c r="A6" i="20"/>
  <c r="G375" i="7"/>
  <c r="F375" i="7"/>
  <c r="H375" i="7"/>
  <c r="A375" i="7"/>
  <c r="G372" i="6"/>
  <c r="F372" i="6"/>
  <c r="G372" i="11"/>
  <c r="F372" i="11"/>
  <c r="G372" i="4"/>
  <c r="F372" i="4"/>
  <c r="H372" i="4"/>
  <c r="G372" i="5"/>
  <c r="F372" i="5"/>
  <c r="H372" i="5"/>
  <c r="G372" i="3"/>
  <c r="F372" i="3"/>
  <c r="H372" i="3"/>
  <c r="G372" i="8"/>
  <c r="F372" i="8"/>
  <c r="H372" i="8"/>
  <c r="K372" i="12"/>
  <c r="I372" i="12"/>
  <c r="J372" i="12"/>
  <c r="H372" i="12"/>
  <c r="F109" i="17"/>
  <c r="G109" i="17"/>
  <c r="G320" i="14"/>
  <c r="H320" i="14"/>
  <c r="H371" i="9"/>
  <c r="G371" i="9"/>
  <c r="I371" i="9"/>
  <c r="G5" i="20"/>
  <c r="F5" i="20"/>
  <c r="A5" i="20"/>
  <c r="G374" i="7"/>
  <c r="F374" i="7"/>
  <c r="H374" i="7"/>
  <c r="A374" i="7"/>
  <c r="G371" i="6"/>
  <c r="F371" i="6"/>
  <c r="G371" i="11"/>
  <c r="F371" i="11"/>
  <c r="G371" i="4"/>
  <c r="F371" i="4"/>
  <c r="H371" i="4"/>
  <c r="G371" i="5"/>
  <c r="F371" i="5"/>
  <c r="H371" i="5"/>
  <c r="G371" i="3"/>
  <c r="F371" i="3"/>
  <c r="H371" i="3"/>
  <c r="G371" i="8"/>
  <c r="F371" i="8"/>
  <c r="I371" i="12"/>
  <c r="J371" i="12"/>
  <c r="H371" i="12"/>
  <c r="H371" i="8"/>
  <c r="G108" i="17"/>
  <c r="F108" i="17"/>
  <c r="H319" i="14"/>
  <c r="G319" i="14"/>
  <c r="I319" i="14"/>
  <c r="B319" i="14"/>
  <c r="H370" i="9"/>
  <c r="G370" i="9"/>
  <c r="I370" i="9"/>
  <c r="G4" i="20"/>
  <c r="F4" i="20"/>
  <c r="A4" i="20"/>
  <c r="G373" i="7"/>
  <c r="F373" i="7"/>
  <c r="H373" i="7"/>
  <c r="A373" i="7"/>
  <c r="G370" i="6"/>
  <c r="F370" i="6"/>
  <c r="G370" i="11"/>
  <c r="F370" i="11"/>
  <c r="G370" i="4"/>
  <c r="H370" i="4"/>
  <c r="F370" i="4"/>
  <c r="G370" i="5"/>
  <c r="F370" i="5"/>
  <c r="H370" i="5"/>
  <c r="G370" i="3"/>
  <c r="F370" i="3"/>
  <c r="H370" i="3"/>
  <c r="H370" i="8"/>
  <c r="G370" i="8"/>
  <c r="F370" i="8"/>
  <c r="K370" i="12"/>
  <c r="I370" i="12"/>
  <c r="J370" i="12"/>
  <c r="H370" i="12"/>
  <c r="G3" i="20"/>
  <c r="F3" i="20"/>
  <c r="G107" i="17"/>
  <c r="F107" i="17"/>
  <c r="H318" i="14"/>
  <c r="G318" i="14"/>
  <c r="I318" i="14"/>
  <c r="B318" i="14"/>
  <c r="H369" i="9"/>
  <c r="G369" i="9"/>
  <c r="I369" i="9"/>
  <c r="G372" i="7"/>
  <c r="F372" i="7"/>
  <c r="H372" i="7"/>
  <c r="A372" i="7"/>
  <c r="G369" i="6"/>
  <c r="F369" i="6"/>
  <c r="G369" i="11"/>
  <c r="F369" i="11"/>
  <c r="G369" i="4"/>
  <c r="F369" i="4"/>
  <c r="H369" i="4"/>
  <c r="G369" i="5"/>
  <c r="F369" i="5"/>
  <c r="H369" i="5"/>
  <c r="G369" i="3"/>
  <c r="F369" i="3"/>
  <c r="H369" i="3"/>
  <c r="G369" i="8"/>
  <c r="F369" i="8"/>
  <c r="H369" i="8"/>
  <c r="K369" i="12"/>
  <c r="I369" i="12"/>
  <c r="J369" i="12"/>
  <c r="H369" i="12"/>
  <c r="G106" i="17"/>
  <c r="F106" i="17"/>
  <c r="H317" i="14"/>
  <c r="G317" i="14"/>
  <c r="I317" i="14"/>
  <c r="B317" i="14"/>
  <c r="I368" i="9"/>
  <c r="H368" i="9"/>
  <c r="G368" i="9"/>
  <c r="G371" i="7"/>
  <c r="F371" i="7"/>
  <c r="H371" i="7"/>
  <c r="A371" i="7"/>
  <c r="G368" i="6"/>
  <c r="F368" i="6"/>
  <c r="G368" i="11"/>
  <c r="F368" i="11"/>
  <c r="G368" i="4"/>
  <c r="F368" i="4"/>
  <c r="H368" i="4"/>
  <c r="G368" i="5"/>
  <c r="F368" i="5"/>
  <c r="H368" i="5"/>
  <c r="G368" i="3"/>
  <c r="F368" i="3"/>
  <c r="H368" i="3"/>
  <c r="G368" i="8"/>
  <c r="F368" i="8"/>
  <c r="H368" i="8"/>
  <c r="K368" i="12"/>
  <c r="I368" i="12"/>
  <c r="J368" i="12"/>
  <c r="H368" i="12"/>
  <c r="G105" i="17"/>
  <c r="F105" i="17"/>
  <c r="H316" i="14"/>
  <c r="G316" i="14"/>
  <c r="I316" i="14"/>
  <c r="B316" i="14"/>
  <c r="H367" i="9"/>
  <c r="G367" i="9"/>
  <c r="I367" i="9"/>
  <c r="G370" i="7"/>
  <c r="F370" i="7"/>
  <c r="H370" i="7"/>
  <c r="A370" i="7"/>
  <c r="G367" i="6"/>
  <c r="F367" i="6"/>
  <c r="G367" i="11"/>
  <c r="F367" i="11"/>
  <c r="G367" i="4"/>
  <c r="F367" i="4"/>
  <c r="H367" i="4"/>
  <c r="G367" i="5"/>
  <c r="F367" i="5"/>
  <c r="H367" i="5"/>
  <c r="G367" i="3"/>
  <c r="F367" i="3"/>
  <c r="H367" i="3"/>
  <c r="F367" i="8"/>
  <c r="G367" i="8"/>
  <c r="H367" i="8"/>
  <c r="K367" i="12"/>
  <c r="I367" i="12"/>
  <c r="J367" i="12"/>
  <c r="H367" i="12"/>
  <c r="F104" i="17"/>
  <c r="G104" i="17"/>
  <c r="G315" i="14"/>
  <c r="I315" i="14"/>
  <c r="H315" i="14"/>
  <c r="B315" i="14"/>
  <c r="H366" i="9"/>
  <c r="G366" i="9"/>
  <c r="I366" i="9"/>
  <c r="G369" i="7"/>
  <c r="F369" i="7"/>
  <c r="H369" i="7"/>
  <c r="A369" i="7"/>
  <c r="G366" i="6"/>
  <c r="F366" i="6"/>
  <c r="G366" i="11"/>
  <c r="F366" i="11"/>
  <c r="G366" i="4"/>
  <c r="F366" i="4"/>
  <c r="H366" i="4"/>
  <c r="H366" i="5"/>
  <c r="G366" i="5"/>
  <c r="F366" i="5"/>
  <c r="G366" i="3"/>
  <c r="F366" i="3"/>
  <c r="H366" i="3"/>
  <c r="G366" i="8"/>
  <c r="F366" i="8"/>
  <c r="H366" i="8"/>
  <c r="A366" i="8"/>
  <c r="A367" i="8"/>
  <c r="A368" i="8"/>
  <c r="A369" i="8"/>
  <c r="A370" i="8"/>
  <c r="A371" i="8"/>
  <c r="A372" i="8"/>
  <c r="K366" i="12"/>
  <c r="I366" i="12"/>
  <c r="J366" i="12"/>
  <c r="H366" i="12"/>
  <c r="G103" i="17"/>
  <c r="F103" i="17"/>
  <c r="H314" i="14"/>
  <c r="G314" i="14"/>
  <c r="I314" i="14"/>
  <c r="B314" i="14"/>
  <c r="H365" i="9"/>
  <c r="G365" i="9"/>
  <c r="I365" i="9"/>
  <c r="H368" i="7"/>
  <c r="G368" i="7"/>
  <c r="F368" i="7"/>
  <c r="A368" i="7"/>
  <c r="G365" i="6"/>
  <c r="F365" i="6"/>
  <c r="G365" i="11"/>
  <c r="F365" i="11"/>
  <c r="G365" i="4"/>
  <c r="F365" i="4"/>
  <c r="H365" i="4"/>
  <c r="H365" i="5"/>
  <c r="G365" i="5"/>
  <c r="F365" i="5"/>
  <c r="H365" i="3"/>
  <c r="G365" i="3"/>
  <c r="F365" i="3"/>
  <c r="G365" i="8"/>
  <c r="F365" i="8"/>
  <c r="H365" i="8"/>
  <c r="A365" i="8"/>
  <c r="K365" i="12"/>
  <c r="I365" i="12"/>
  <c r="J365" i="12"/>
  <c r="H365" i="12"/>
  <c r="G102" i="17"/>
  <c r="F102" i="17"/>
  <c r="H313" i="14"/>
  <c r="G313" i="14"/>
  <c r="I313" i="14"/>
  <c r="B313" i="14"/>
  <c r="H364" i="9"/>
  <c r="G364" i="9"/>
  <c r="I364" i="9"/>
  <c r="G367" i="7"/>
  <c r="F367" i="7"/>
  <c r="H367" i="7"/>
  <c r="A367" i="7"/>
  <c r="G364" i="6"/>
  <c r="F364" i="6"/>
  <c r="G364" i="11"/>
  <c r="F364" i="11"/>
  <c r="G364" i="4"/>
  <c r="F364" i="4"/>
  <c r="H364" i="4"/>
  <c r="G364" i="5"/>
  <c r="F364" i="5"/>
  <c r="H364" i="5"/>
  <c r="G364" i="3"/>
  <c r="F364" i="3"/>
  <c r="H364" i="3"/>
  <c r="H364" i="8"/>
  <c r="G364" i="8"/>
  <c r="F364" i="8"/>
  <c r="A364" i="8"/>
  <c r="K364" i="12"/>
  <c r="I364" i="12"/>
  <c r="J364" i="12"/>
  <c r="H364" i="12"/>
  <c r="G101" i="17"/>
  <c r="F101" i="17"/>
  <c r="H312" i="14"/>
  <c r="G312" i="14"/>
  <c r="I312" i="14"/>
  <c r="B312" i="14"/>
  <c r="H363" i="9"/>
  <c r="G363" i="9"/>
  <c r="I363" i="9"/>
  <c r="G366" i="7"/>
  <c r="F366" i="7"/>
  <c r="H366" i="7"/>
  <c r="A366" i="7"/>
  <c r="G363" i="6"/>
  <c r="F363" i="6"/>
  <c r="G363" i="11"/>
  <c r="F363" i="11"/>
  <c r="G363" i="4"/>
  <c r="F363" i="4"/>
  <c r="H363" i="4"/>
  <c r="H363" i="5"/>
  <c r="G363" i="5"/>
  <c r="F363" i="5"/>
  <c r="G363" i="3"/>
  <c r="F363" i="3"/>
  <c r="H363" i="3"/>
  <c r="G363" i="8"/>
  <c r="F363" i="8"/>
  <c r="H363" i="8"/>
  <c r="K363" i="12"/>
  <c r="I363" i="12"/>
  <c r="J363" i="12"/>
  <c r="H363" i="12"/>
  <c r="G100" i="17"/>
  <c r="F100" i="17"/>
  <c r="H311" i="14"/>
  <c r="G311" i="14"/>
  <c r="I311" i="14"/>
  <c r="H362" i="9"/>
  <c r="G362" i="9"/>
  <c r="I362" i="9"/>
  <c r="G365" i="7"/>
  <c r="F365" i="7"/>
  <c r="H365" i="7"/>
  <c r="G362" i="6"/>
  <c r="F362" i="6"/>
  <c r="G362" i="11"/>
  <c r="F362" i="11"/>
  <c r="G362" i="4"/>
  <c r="F362" i="4"/>
  <c r="H362" i="4"/>
  <c r="G362" i="5"/>
  <c r="H362" i="5"/>
  <c r="F362" i="5"/>
  <c r="G362" i="3"/>
  <c r="F362" i="3"/>
  <c r="H362" i="3"/>
  <c r="H362" i="8"/>
  <c r="G362" i="8"/>
  <c r="F362" i="8"/>
  <c r="K362" i="12"/>
  <c r="I362" i="12"/>
  <c r="J362" i="12"/>
  <c r="H362" i="12"/>
  <c r="F99" i="17"/>
  <c r="G99" i="17"/>
  <c r="G310" i="14"/>
  <c r="H310" i="14"/>
  <c r="I310" i="14"/>
  <c r="G361" i="9"/>
  <c r="I361" i="9"/>
  <c r="H361" i="9"/>
  <c r="F364" i="7"/>
  <c r="G364" i="7"/>
  <c r="H364" i="7"/>
  <c r="F361" i="6"/>
  <c r="G361" i="6"/>
  <c r="F361" i="11"/>
  <c r="H361" i="11"/>
  <c r="G361" i="11"/>
  <c r="F361" i="4"/>
  <c r="G361" i="4"/>
  <c r="H361" i="4"/>
  <c r="F361" i="5"/>
  <c r="G361" i="5"/>
  <c r="H361" i="5"/>
  <c r="F361" i="3"/>
  <c r="G361" i="3"/>
  <c r="H361" i="3"/>
  <c r="F361" i="8"/>
  <c r="G361" i="8"/>
  <c r="H361" i="8"/>
  <c r="H361" i="12"/>
  <c r="I361" i="12"/>
  <c r="J361" i="12"/>
  <c r="K361" i="12"/>
  <c r="G98" i="17"/>
  <c r="F98" i="17"/>
  <c r="H309" i="14"/>
  <c r="G309" i="14"/>
  <c r="I309" i="14"/>
  <c r="H360" i="9"/>
  <c r="G360" i="9"/>
  <c r="I360" i="9"/>
  <c r="G363" i="7"/>
  <c r="F363" i="7"/>
  <c r="H363" i="7"/>
  <c r="G360" i="6"/>
  <c r="F360" i="6"/>
  <c r="G360" i="11"/>
  <c r="F360" i="11"/>
  <c r="H360" i="11"/>
  <c r="G360" i="4"/>
  <c r="F360" i="4"/>
  <c r="H360" i="4"/>
  <c r="G360" i="5"/>
  <c r="F360" i="5"/>
  <c r="H360" i="5"/>
  <c r="G360" i="3"/>
  <c r="F360" i="3"/>
  <c r="H360" i="3"/>
  <c r="G360" i="8"/>
  <c r="F360" i="8"/>
  <c r="H360" i="8"/>
  <c r="K360" i="12"/>
  <c r="I360" i="12"/>
  <c r="J360" i="12"/>
  <c r="H360" i="12"/>
  <c r="F97" i="17"/>
  <c r="G97" i="17"/>
  <c r="G308" i="14"/>
  <c r="H308" i="14"/>
  <c r="I308" i="14"/>
  <c r="G359" i="9"/>
  <c r="H359" i="9"/>
  <c r="I359" i="9"/>
  <c r="F362" i="7"/>
  <c r="G362" i="7"/>
  <c r="H362" i="7"/>
  <c r="F359" i="6"/>
  <c r="G359" i="6"/>
  <c r="F359" i="11"/>
  <c r="G359" i="11"/>
  <c r="H359" i="11"/>
  <c r="F359" i="4"/>
  <c r="G359" i="4"/>
  <c r="H359" i="4"/>
  <c r="F359" i="5"/>
  <c r="G359" i="5"/>
  <c r="H359" i="5"/>
  <c r="F359" i="3"/>
  <c r="G359" i="3"/>
  <c r="H359" i="3"/>
  <c r="F359" i="8"/>
  <c r="G359" i="8"/>
  <c r="H359" i="8"/>
  <c r="H359" i="12"/>
  <c r="I359" i="12"/>
  <c r="J359" i="12"/>
  <c r="K359" i="12"/>
  <c r="F96" i="17"/>
  <c r="G96" i="17"/>
  <c r="G307" i="14"/>
  <c r="I307" i="14"/>
  <c r="H307" i="14"/>
  <c r="G358" i="9"/>
  <c r="H358" i="9"/>
  <c r="I358" i="9"/>
  <c r="F361" i="7"/>
  <c r="G361" i="7"/>
  <c r="F358" i="6"/>
  <c r="G358" i="6"/>
  <c r="F358" i="11"/>
  <c r="G358" i="11"/>
  <c r="H358" i="11"/>
  <c r="F358" i="4"/>
  <c r="G358" i="4"/>
  <c r="H358" i="4"/>
  <c r="F358" i="5"/>
  <c r="G358" i="5"/>
  <c r="H358" i="5"/>
  <c r="F358" i="3"/>
  <c r="H358" i="3"/>
  <c r="G358" i="3"/>
  <c r="F358" i="8"/>
  <c r="G358" i="8"/>
  <c r="H358" i="8"/>
  <c r="H358" i="12"/>
  <c r="K358" i="12"/>
  <c r="I358" i="12"/>
  <c r="J358" i="12"/>
  <c r="H361" i="7"/>
  <c r="F95" i="17"/>
  <c r="G95" i="17"/>
  <c r="G306" i="14"/>
  <c r="H306" i="14"/>
  <c r="I306" i="14"/>
  <c r="F360" i="7"/>
  <c r="H360" i="7"/>
  <c r="G360" i="7"/>
  <c r="F357" i="6"/>
  <c r="G357" i="6"/>
  <c r="F357" i="11"/>
  <c r="H357" i="11"/>
  <c r="G357" i="11"/>
  <c r="F357" i="4"/>
  <c r="G357" i="4"/>
  <c r="H357" i="4"/>
  <c r="F357" i="5"/>
  <c r="G357" i="5"/>
  <c r="F357" i="3"/>
  <c r="H357" i="3"/>
  <c r="G357" i="3"/>
  <c r="F357" i="8"/>
  <c r="G357" i="8"/>
  <c r="H357" i="8"/>
  <c r="H357" i="12"/>
  <c r="I357" i="12"/>
  <c r="J357" i="12"/>
  <c r="K357" i="12"/>
  <c r="H357" i="5"/>
  <c r="F94" i="17"/>
  <c r="G94" i="17"/>
  <c r="G305" i="14"/>
  <c r="H305" i="14"/>
  <c r="I305" i="14"/>
  <c r="B305" i="14"/>
  <c r="B306" i="14"/>
  <c r="B307" i="14"/>
  <c r="B308" i="14"/>
  <c r="B309" i="14"/>
  <c r="B310" i="14"/>
  <c r="B311" i="14"/>
  <c r="G356" i="9"/>
  <c r="H356" i="9"/>
  <c r="I356" i="9"/>
  <c r="G357" i="9"/>
  <c r="H357" i="9"/>
  <c r="F359" i="7"/>
  <c r="G359" i="7"/>
  <c r="H359" i="7"/>
  <c r="F356" i="6"/>
  <c r="G356" i="6"/>
  <c r="F356" i="11"/>
  <c r="G356" i="11"/>
  <c r="H356" i="11"/>
  <c r="F356" i="4"/>
  <c r="G356" i="4"/>
  <c r="H356" i="4"/>
  <c r="F356" i="5"/>
  <c r="G356" i="5"/>
  <c r="H356" i="5"/>
  <c r="F356" i="3"/>
  <c r="G356" i="3"/>
  <c r="H356" i="3"/>
  <c r="F356" i="8"/>
  <c r="G356" i="8"/>
  <c r="H356" i="8"/>
  <c r="H356" i="12"/>
  <c r="I356" i="12"/>
  <c r="I357" i="9"/>
  <c r="J356" i="12"/>
  <c r="K356" i="12"/>
  <c r="F93" i="17"/>
  <c r="G93" i="17"/>
  <c r="B304" i="14"/>
  <c r="G355" i="9"/>
  <c r="H355" i="9"/>
  <c r="I355" i="9"/>
  <c r="F358" i="7"/>
  <c r="G358" i="7"/>
  <c r="H358" i="7"/>
  <c r="F355" i="6"/>
  <c r="G355" i="6"/>
  <c r="F355" i="11"/>
  <c r="G355" i="11"/>
  <c r="H355" i="11"/>
  <c r="F355" i="4"/>
  <c r="G355" i="4"/>
  <c r="H355" i="4"/>
  <c r="F355" i="5"/>
  <c r="G355" i="5"/>
  <c r="H355" i="5"/>
  <c r="F355" i="3"/>
  <c r="G355" i="3"/>
  <c r="H355" i="3"/>
  <c r="F355" i="8"/>
  <c r="G355" i="8"/>
  <c r="H355" i="8"/>
  <c r="H355" i="12"/>
  <c r="I355" i="12"/>
  <c r="J355" i="12"/>
  <c r="K355" i="12"/>
  <c r="F92" i="17"/>
  <c r="G92" i="17"/>
  <c r="G303" i="14"/>
  <c r="H303" i="14"/>
  <c r="I303" i="14"/>
  <c r="G304" i="14"/>
  <c r="H304" i="14"/>
  <c r="B303" i="14"/>
  <c r="G354" i="9"/>
  <c r="H354" i="9"/>
  <c r="I354" i="9"/>
  <c r="F357" i="7"/>
  <c r="G357" i="7"/>
  <c r="H357" i="7"/>
  <c r="F354" i="6"/>
  <c r="G354" i="6"/>
  <c r="F354" i="11"/>
  <c r="G354" i="11"/>
  <c r="H354" i="11"/>
  <c r="F354" i="4"/>
  <c r="G354" i="4"/>
  <c r="H354" i="4"/>
  <c r="F354" i="5"/>
  <c r="H354" i="5"/>
  <c r="G354" i="5"/>
  <c r="F354" i="3"/>
  <c r="H354" i="3"/>
  <c r="G354" i="3"/>
  <c r="F354" i="8"/>
  <c r="G354" i="8"/>
  <c r="H354" i="8"/>
  <c r="K354" i="12"/>
  <c r="H354" i="12"/>
  <c r="I354" i="12"/>
  <c r="J354" i="12"/>
  <c r="I304" i="14"/>
  <c r="F91" i="17"/>
  <c r="G91" i="17"/>
  <c r="G302" i="14"/>
  <c r="H302" i="14"/>
  <c r="I302" i="14"/>
  <c r="B302" i="14"/>
  <c r="G353" i="9"/>
  <c r="I353" i="9"/>
  <c r="H353" i="9"/>
  <c r="F356" i="7"/>
  <c r="G356" i="7"/>
  <c r="H356" i="7"/>
  <c r="F353" i="6"/>
  <c r="G353" i="6"/>
  <c r="F353" i="11"/>
  <c r="H353" i="11"/>
  <c r="G353" i="11"/>
  <c r="F353" i="4"/>
  <c r="H353" i="4"/>
  <c r="G353" i="4"/>
  <c r="F353" i="5"/>
  <c r="G353" i="5"/>
  <c r="H353" i="5"/>
  <c r="F353" i="3"/>
  <c r="G353" i="3"/>
  <c r="H353" i="3"/>
  <c r="F353" i="8"/>
  <c r="G353" i="8"/>
  <c r="H353" i="8"/>
  <c r="K353" i="12"/>
  <c r="H353" i="12"/>
  <c r="I353" i="12"/>
  <c r="J353" i="12"/>
  <c r="F90" i="17"/>
  <c r="G90" i="17"/>
  <c r="G301" i="14"/>
  <c r="H301" i="14"/>
  <c r="I301" i="14"/>
  <c r="B301" i="14"/>
  <c r="G352" i="9"/>
  <c r="H352" i="9"/>
  <c r="I352" i="9"/>
  <c r="F355" i="7"/>
  <c r="G355" i="7"/>
  <c r="H355" i="7"/>
  <c r="F354" i="7"/>
  <c r="F352" i="6"/>
  <c r="G352" i="6"/>
  <c r="F352" i="11"/>
  <c r="G352" i="11"/>
  <c r="H352" i="11"/>
  <c r="F352" i="4"/>
  <c r="G352" i="4"/>
  <c r="H352" i="4"/>
  <c r="F352" i="5"/>
  <c r="G352" i="5"/>
  <c r="H352" i="5"/>
  <c r="F352" i="3"/>
  <c r="G352" i="3"/>
  <c r="H352" i="3"/>
  <c r="F352" i="8"/>
  <c r="G352" i="8"/>
  <c r="H352" i="8"/>
  <c r="K352" i="12"/>
  <c r="H352" i="12"/>
  <c r="I352" i="12"/>
  <c r="J352" i="12"/>
  <c r="G89" i="17"/>
  <c r="F89" i="17"/>
  <c r="I300" i="14"/>
  <c r="H300" i="14"/>
  <c r="G300" i="14"/>
  <c r="B300" i="14"/>
  <c r="H351" i="9"/>
  <c r="G351" i="9"/>
  <c r="I351" i="9"/>
  <c r="H354" i="7"/>
  <c r="G354" i="7"/>
  <c r="G351" i="6"/>
  <c r="F351" i="6"/>
  <c r="G351" i="11"/>
  <c r="F351" i="11"/>
  <c r="H351" i="11"/>
  <c r="G351" i="4"/>
  <c r="F351" i="4"/>
  <c r="H351" i="4"/>
  <c r="H351" i="5"/>
  <c r="G351" i="5"/>
  <c r="F351" i="5"/>
  <c r="G351" i="3"/>
  <c r="F351" i="3"/>
  <c r="H351" i="3"/>
  <c r="H351" i="8"/>
  <c r="G351" i="8"/>
  <c r="F351" i="8"/>
  <c r="K351" i="12"/>
  <c r="I351" i="12"/>
  <c r="H351" i="12"/>
  <c r="J351" i="12"/>
  <c r="F88" i="17"/>
  <c r="G88" i="17"/>
  <c r="G299" i="14"/>
  <c r="H299" i="14"/>
  <c r="I299" i="14"/>
  <c r="B299" i="14"/>
  <c r="G350" i="9"/>
  <c r="H350" i="9"/>
  <c r="I350" i="9"/>
  <c r="F353" i="7"/>
  <c r="G353" i="7"/>
  <c r="H353" i="7"/>
  <c r="F350" i="6"/>
  <c r="G350" i="6"/>
  <c r="F350" i="11"/>
  <c r="G350" i="11"/>
  <c r="H350" i="11"/>
  <c r="F350" i="4"/>
  <c r="G350" i="4"/>
  <c r="H350" i="4"/>
  <c r="F350" i="5"/>
  <c r="G350" i="5"/>
  <c r="H350" i="5"/>
  <c r="F350" i="3"/>
  <c r="G350" i="3"/>
  <c r="H350" i="3"/>
  <c r="F350" i="8"/>
  <c r="G350" i="8"/>
  <c r="H350" i="8"/>
  <c r="H350" i="12"/>
  <c r="I350" i="12"/>
  <c r="J350" i="12"/>
  <c r="L349" i="12"/>
  <c r="M349" i="12"/>
  <c r="K349" i="12"/>
  <c r="U13" i="18"/>
  <c r="U14" i="18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U32" i="18" s="1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U63" i="18" s="1"/>
  <c r="U64" i="18" s="1"/>
  <c r="T13" i="18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S13" i="18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R13" i="18"/>
  <c r="R14" i="18" s="1"/>
  <c r="R15" i="18"/>
  <c r="R16" i="18" s="1"/>
  <c r="R17" i="18" s="1"/>
  <c r="R18" i="18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Q13" i="18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P13" i="18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O13" i="18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N13" i="18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M13" i="18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L13" i="18"/>
  <c r="L14" i="18"/>
  <c r="L15" i="18" s="1"/>
  <c r="L16" i="18"/>
  <c r="L17" i="18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K13" i="18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J13" i="18"/>
  <c r="J14" i="18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H43" i="18"/>
  <c r="G43" i="18"/>
  <c r="I43" i="18"/>
  <c r="H42" i="18"/>
  <c r="G42" i="18"/>
  <c r="H41" i="18"/>
  <c r="G41" i="18"/>
  <c r="I41" i="18"/>
  <c r="H40" i="18"/>
  <c r="G40" i="18"/>
  <c r="I40" i="18"/>
  <c r="H39" i="18"/>
  <c r="G39" i="18"/>
  <c r="H38" i="18"/>
  <c r="G38" i="18"/>
  <c r="I38" i="18"/>
  <c r="H37" i="18"/>
  <c r="G37" i="18"/>
  <c r="I37" i="18"/>
  <c r="H36" i="18"/>
  <c r="G36" i="18"/>
  <c r="I36" i="18"/>
  <c r="H35" i="18"/>
  <c r="G35" i="18"/>
  <c r="H34" i="18"/>
  <c r="G34" i="18"/>
  <c r="I34" i="18"/>
  <c r="H33" i="18"/>
  <c r="G33" i="18"/>
  <c r="H32" i="18"/>
  <c r="G32" i="18"/>
  <c r="I32" i="18"/>
  <c r="H31" i="18"/>
  <c r="I31" i="18"/>
  <c r="G31" i="18"/>
  <c r="H30" i="18"/>
  <c r="G30" i="18"/>
  <c r="I30" i="18"/>
  <c r="H29" i="18"/>
  <c r="G29" i="18"/>
  <c r="H28" i="18"/>
  <c r="G28" i="18"/>
  <c r="I28" i="18"/>
  <c r="H27" i="18"/>
  <c r="G27" i="18"/>
  <c r="I27" i="18"/>
  <c r="H26" i="18"/>
  <c r="G26" i="18"/>
  <c r="I26" i="18"/>
  <c r="H25" i="18"/>
  <c r="G25" i="18"/>
  <c r="I25" i="18"/>
  <c r="H24" i="18"/>
  <c r="G24" i="18"/>
  <c r="I24" i="18"/>
  <c r="H23" i="18"/>
  <c r="G23" i="18"/>
  <c r="H22" i="18"/>
  <c r="G22" i="18"/>
  <c r="I22" i="18"/>
  <c r="H21" i="18"/>
  <c r="G21" i="18"/>
  <c r="I21" i="18"/>
  <c r="H20" i="18"/>
  <c r="I20" i="18"/>
  <c r="G20" i="18"/>
  <c r="H19" i="18"/>
  <c r="G19" i="18"/>
  <c r="I19" i="18"/>
  <c r="H18" i="18"/>
  <c r="G18" i="18"/>
  <c r="H17" i="18"/>
  <c r="G17" i="18"/>
  <c r="I17" i="18"/>
  <c r="H16" i="18"/>
  <c r="G16" i="18"/>
  <c r="H15" i="18"/>
  <c r="G15" i="18"/>
  <c r="H14" i="18"/>
  <c r="G14" i="18"/>
  <c r="H13" i="18"/>
  <c r="G13" i="18"/>
  <c r="I13" i="18"/>
  <c r="G65" i="18"/>
  <c r="E65" i="18"/>
  <c r="B40" i="18" s="1"/>
  <c r="E13" i="18"/>
  <c r="F13" i="18"/>
  <c r="C370" i="12"/>
  <c r="B370" i="12"/>
  <c r="C369" i="12"/>
  <c r="B369" i="12"/>
  <c r="C368" i="12"/>
  <c r="B368" i="12"/>
  <c r="C367" i="12"/>
  <c r="B367" i="12"/>
  <c r="C366" i="12"/>
  <c r="B366" i="12"/>
  <c r="C365" i="12"/>
  <c r="B365" i="12"/>
  <c r="C364" i="12"/>
  <c r="B364" i="12"/>
  <c r="C363" i="12"/>
  <c r="B363" i="12"/>
  <c r="C362" i="12"/>
  <c r="B362" i="12"/>
  <c r="C361" i="12"/>
  <c r="B361" i="12"/>
  <c r="C360" i="12"/>
  <c r="B360" i="12"/>
  <c r="C359" i="12"/>
  <c r="B359" i="12"/>
  <c r="C358" i="12"/>
  <c r="B358" i="12"/>
  <c r="C357" i="12"/>
  <c r="B357" i="12"/>
  <c r="C356" i="12"/>
  <c r="B356" i="12"/>
  <c r="C355" i="12"/>
  <c r="B355" i="12"/>
  <c r="C354" i="12"/>
  <c r="B354" i="12"/>
  <c r="C353" i="12"/>
  <c r="B353" i="12"/>
  <c r="C352" i="12"/>
  <c r="B352" i="12"/>
  <c r="C351" i="12"/>
  <c r="B351" i="12"/>
  <c r="C350" i="12"/>
  <c r="B350" i="12"/>
  <c r="C349" i="12"/>
  <c r="B349" i="12"/>
  <c r="C348" i="12"/>
  <c r="B348" i="12"/>
  <c r="C347" i="12"/>
  <c r="B347" i="12"/>
  <c r="C346" i="12"/>
  <c r="B346" i="12"/>
  <c r="C345" i="12"/>
  <c r="B345" i="12"/>
  <c r="C344" i="12"/>
  <c r="B344" i="12"/>
  <c r="C343" i="12"/>
  <c r="B343" i="12"/>
  <c r="C342" i="12"/>
  <c r="B342" i="12"/>
  <c r="C341" i="12"/>
  <c r="B341" i="12"/>
  <c r="C340" i="12"/>
  <c r="B340" i="12"/>
  <c r="C339" i="12"/>
  <c r="B339" i="12"/>
  <c r="C338" i="12"/>
  <c r="B338" i="12"/>
  <c r="C337" i="12"/>
  <c r="B337" i="12"/>
  <c r="C336" i="12"/>
  <c r="B336" i="12"/>
  <c r="C335" i="12"/>
  <c r="B335" i="12"/>
  <c r="C334" i="12"/>
  <c r="B334" i="12"/>
  <c r="C333" i="12"/>
  <c r="B333" i="12"/>
  <c r="C332" i="12"/>
  <c r="B332" i="12"/>
  <c r="C331" i="12"/>
  <c r="B331" i="12"/>
  <c r="C330" i="12"/>
  <c r="B330" i="12"/>
  <c r="C329" i="12"/>
  <c r="B329" i="12"/>
  <c r="C328" i="12"/>
  <c r="B328" i="12"/>
  <c r="C327" i="12"/>
  <c r="B327" i="12"/>
  <c r="C326" i="12"/>
  <c r="B326" i="12"/>
  <c r="C325" i="12"/>
  <c r="B325" i="12"/>
  <c r="C324" i="12"/>
  <c r="B324" i="12"/>
  <c r="C323" i="12"/>
  <c r="B323" i="12"/>
  <c r="C322" i="12"/>
  <c r="B322" i="12"/>
  <c r="C321" i="12"/>
  <c r="B321" i="12"/>
  <c r="C320" i="12"/>
  <c r="B320" i="12"/>
  <c r="C319" i="12"/>
  <c r="B319" i="12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I14" i="18"/>
  <c r="I18" i="18"/>
  <c r="I29" i="18"/>
  <c r="I33" i="18"/>
  <c r="I15" i="18"/>
  <c r="I16" i="18"/>
  <c r="I23" i="18"/>
  <c r="I35" i="18"/>
  <c r="I42" i="18"/>
  <c r="I39" i="18"/>
  <c r="G298" i="14"/>
  <c r="H298" i="14"/>
  <c r="I298" i="14"/>
  <c r="B298" i="14"/>
  <c r="G87" i="17"/>
  <c r="F87" i="17"/>
  <c r="H349" i="9"/>
  <c r="G349" i="9"/>
  <c r="I349" i="9"/>
  <c r="G352" i="7"/>
  <c r="F352" i="7"/>
  <c r="H352" i="7"/>
  <c r="G349" i="6"/>
  <c r="F349" i="6"/>
  <c r="G349" i="11"/>
  <c r="F349" i="11"/>
  <c r="H349" i="11"/>
  <c r="G349" i="4"/>
  <c r="F349" i="4"/>
  <c r="H349" i="4"/>
  <c r="G349" i="5"/>
  <c r="F349" i="5"/>
  <c r="H349" i="5"/>
  <c r="G349" i="3"/>
  <c r="F349" i="3"/>
  <c r="H349" i="3"/>
  <c r="G349" i="8"/>
  <c r="F349" i="8"/>
  <c r="H349" i="8"/>
  <c r="I349" i="12"/>
  <c r="J349" i="12"/>
  <c r="H349" i="12"/>
  <c r="G86" i="17"/>
  <c r="F86" i="17"/>
  <c r="H297" i="14"/>
  <c r="I297" i="14"/>
  <c r="G297" i="14"/>
  <c r="B297" i="14"/>
  <c r="H348" i="9"/>
  <c r="G348" i="9"/>
  <c r="I348" i="9"/>
  <c r="G351" i="7"/>
  <c r="F351" i="7"/>
  <c r="H351" i="7"/>
  <c r="G348" i="6"/>
  <c r="F348" i="6"/>
  <c r="G348" i="11"/>
  <c r="F348" i="11"/>
  <c r="H348" i="11"/>
  <c r="G348" i="4"/>
  <c r="F348" i="4"/>
  <c r="H348" i="4"/>
  <c r="H348" i="5"/>
  <c r="G348" i="5"/>
  <c r="F348" i="5"/>
  <c r="G348" i="3"/>
  <c r="F348" i="3"/>
  <c r="H348" i="3"/>
  <c r="G348" i="8"/>
  <c r="F348" i="8"/>
  <c r="H348" i="8"/>
  <c r="I348" i="12"/>
  <c r="J348" i="12"/>
  <c r="H348" i="12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G85" i="17"/>
  <c r="F85" i="17"/>
  <c r="H296" i="14"/>
  <c r="G296" i="14"/>
  <c r="I296" i="14"/>
  <c r="B296" i="14"/>
  <c r="H347" i="9"/>
  <c r="I347" i="9"/>
  <c r="G347" i="9"/>
  <c r="G350" i="7"/>
  <c r="F350" i="7"/>
  <c r="H350" i="7"/>
  <c r="G347" i="6"/>
  <c r="F347" i="6"/>
  <c r="G347" i="11"/>
  <c r="F347" i="11"/>
  <c r="H347" i="11"/>
  <c r="H347" i="4"/>
  <c r="G347" i="4"/>
  <c r="F347" i="4"/>
  <c r="G347" i="5"/>
  <c r="F347" i="5"/>
  <c r="H347" i="5"/>
  <c r="G347" i="3"/>
  <c r="F347" i="3"/>
  <c r="H347" i="3"/>
  <c r="G347" i="8"/>
  <c r="F347" i="8"/>
  <c r="H347" i="8"/>
  <c r="I347" i="12"/>
  <c r="J347" i="12"/>
  <c r="H347" i="12"/>
  <c r="G84" i="17"/>
  <c r="F84" i="17"/>
  <c r="H295" i="14"/>
  <c r="G295" i="14"/>
  <c r="I295" i="14"/>
  <c r="B295" i="14"/>
  <c r="H346" i="9"/>
  <c r="G346" i="9"/>
  <c r="I346" i="9"/>
  <c r="G349" i="7"/>
  <c r="F349" i="7"/>
  <c r="H349" i="7"/>
  <c r="G346" i="6"/>
  <c r="F346" i="6"/>
  <c r="G346" i="11"/>
  <c r="F346" i="11"/>
  <c r="H346" i="11"/>
  <c r="G346" i="4"/>
  <c r="F346" i="4"/>
  <c r="H346" i="4"/>
  <c r="G346" i="5"/>
  <c r="F346" i="5"/>
  <c r="H346" i="5"/>
  <c r="G346" i="3"/>
  <c r="F346" i="3"/>
  <c r="H346" i="3"/>
  <c r="G346" i="8"/>
  <c r="F346" i="8"/>
  <c r="H346" i="8"/>
  <c r="I346" i="12"/>
  <c r="J346" i="12"/>
  <c r="H346" i="12"/>
  <c r="G345" i="4"/>
  <c r="F345" i="4"/>
  <c r="G83" i="17"/>
  <c r="F83" i="17"/>
  <c r="H294" i="14"/>
  <c r="G294" i="14"/>
  <c r="I294" i="14"/>
  <c r="B294" i="14"/>
  <c r="B293" i="14"/>
  <c r="H345" i="9"/>
  <c r="G345" i="9"/>
  <c r="I345" i="9"/>
  <c r="H348" i="7"/>
  <c r="G348" i="7"/>
  <c r="F348" i="7"/>
  <c r="F345" i="6"/>
  <c r="G345" i="6"/>
  <c r="F345" i="11"/>
  <c r="H345" i="11"/>
  <c r="G345" i="11"/>
  <c r="H345" i="4"/>
  <c r="H345" i="5"/>
  <c r="G345" i="5"/>
  <c r="F345" i="5"/>
  <c r="H345" i="3"/>
  <c r="G345" i="3"/>
  <c r="F345" i="3"/>
  <c r="G345" i="8"/>
  <c r="F345" i="8"/>
  <c r="H345" i="8"/>
  <c r="I345" i="12"/>
  <c r="J345" i="12"/>
  <c r="H345" i="12"/>
  <c r="G82" i="17"/>
  <c r="F82" i="17"/>
  <c r="H293" i="14"/>
  <c r="G293" i="14"/>
  <c r="I293" i="14"/>
  <c r="I344" i="9"/>
  <c r="H344" i="9"/>
  <c r="G344" i="9"/>
  <c r="G347" i="7"/>
  <c r="F347" i="7"/>
  <c r="H347" i="7"/>
  <c r="G344" i="6"/>
  <c r="F344" i="6"/>
  <c r="H344" i="11"/>
  <c r="G344" i="11"/>
  <c r="F344" i="11"/>
  <c r="G344" i="4"/>
  <c r="F344" i="4"/>
  <c r="H344" i="4"/>
  <c r="H344" i="5"/>
  <c r="G344" i="5"/>
  <c r="F344" i="5"/>
  <c r="G344" i="3"/>
  <c r="F344" i="3"/>
  <c r="H344" i="3"/>
  <c r="G344" i="8"/>
  <c r="F344" i="8"/>
  <c r="H344" i="8"/>
  <c r="I344" i="12"/>
  <c r="J344" i="12"/>
  <c r="H344" i="12"/>
  <c r="F81" i="17"/>
  <c r="G81" i="17"/>
  <c r="G292" i="14"/>
  <c r="H292" i="14"/>
  <c r="I292" i="14"/>
  <c r="G343" i="9"/>
  <c r="H343" i="9"/>
  <c r="I343" i="9"/>
  <c r="F346" i="7"/>
  <c r="H346" i="7"/>
  <c r="G346" i="7"/>
  <c r="F343" i="6"/>
  <c r="G343" i="6"/>
  <c r="F343" i="11"/>
  <c r="G343" i="11"/>
  <c r="H343" i="11"/>
  <c r="F343" i="4"/>
  <c r="G343" i="4"/>
  <c r="H343" i="4"/>
  <c r="F343" i="5"/>
  <c r="G343" i="5"/>
  <c r="H343" i="5"/>
  <c r="F343" i="3"/>
  <c r="G343" i="3"/>
  <c r="H343" i="3"/>
  <c r="F343" i="8"/>
  <c r="G343" i="8"/>
  <c r="H343" i="8"/>
  <c r="I343" i="12"/>
  <c r="J343" i="12"/>
  <c r="H343" i="12"/>
  <c r="G80" i="17"/>
  <c r="F80" i="17"/>
  <c r="H291" i="14"/>
  <c r="G291" i="14"/>
  <c r="I291" i="14"/>
  <c r="G342" i="9"/>
  <c r="H342" i="9"/>
  <c r="I342" i="9"/>
  <c r="G345" i="7"/>
  <c r="F345" i="7"/>
  <c r="H345" i="7"/>
  <c r="G342" i="6"/>
  <c r="F342" i="6"/>
  <c r="G342" i="11"/>
  <c r="F342" i="11"/>
  <c r="H342" i="11"/>
  <c r="F342" i="4"/>
  <c r="H342" i="4"/>
  <c r="G342" i="4"/>
  <c r="G342" i="5"/>
  <c r="F342" i="5"/>
  <c r="H342" i="5"/>
  <c r="G342" i="3"/>
  <c r="F342" i="3"/>
  <c r="H342" i="3"/>
  <c r="F342" i="8"/>
  <c r="H342" i="8"/>
  <c r="G342" i="8"/>
  <c r="I342" i="12"/>
  <c r="J342" i="12"/>
  <c r="H342" i="12"/>
  <c r="F79" i="17"/>
  <c r="G79" i="17"/>
  <c r="G290" i="14"/>
  <c r="H290" i="14"/>
  <c r="I290" i="14"/>
  <c r="G341" i="9"/>
  <c r="H341" i="9"/>
  <c r="I341" i="9"/>
  <c r="F344" i="7"/>
  <c r="G344" i="7"/>
  <c r="H344" i="7"/>
  <c r="F341" i="6"/>
  <c r="G341" i="6"/>
  <c r="F341" i="11"/>
  <c r="G341" i="11"/>
  <c r="H341" i="11"/>
  <c r="F341" i="4"/>
  <c r="G341" i="4"/>
  <c r="H341" i="4"/>
  <c r="F341" i="5"/>
  <c r="G341" i="5"/>
  <c r="H341" i="5"/>
  <c r="F341" i="8"/>
  <c r="G341" i="8"/>
  <c r="H341" i="8"/>
  <c r="I341" i="12"/>
  <c r="J341" i="12"/>
  <c r="H341" i="12"/>
  <c r="F78" i="17"/>
  <c r="G78" i="17"/>
  <c r="G289" i="14"/>
  <c r="H289" i="14"/>
  <c r="I289" i="14"/>
  <c r="G340" i="9"/>
  <c r="H340" i="9"/>
  <c r="I340" i="9"/>
  <c r="F343" i="7"/>
  <c r="G343" i="7"/>
  <c r="H343" i="7"/>
  <c r="F340" i="6"/>
  <c r="G340" i="6"/>
  <c r="F340" i="11"/>
  <c r="G340" i="11"/>
  <c r="H340" i="11"/>
  <c r="F340" i="4"/>
  <c r="G340" i="4"/>
  <c r="F340" i="8"/>
  <c r="G340" i="8"/>
  <c r="H340" i="8"/>
  <c r="I340" i="12"/>
  <c r="J340" i="12"/>
  <c r="H340" i="12"/>
  <c r="H340" i="4"/>
  <c r="G77" i="17"/>
  <c r="F77" i="17"/>
  <c r="H288" i="14"/>
  <c r="G288" i="14"/>
  <c r="I288" i="14"/>
  <c r="H339" i="9"/>
  <c r="G339" i="9"/>
  <c r="I339" i="9"/>
  <c r="G342" i="7"/>
  <c r="F342" i="7"/>
  <c r="H342" i="7"/>
  <c r="G339" i="6"/>
  <c r="F339" i="6"/>
  <c r="G339" i="11"/>
  <c r="F339" i="11"/>
  <c r="H339" i="11"/>
  <c r="G339" i="4"/>
  <c r="F339" i="4"/>
  <c r="H339" i="4"/>
  <c r="G339" i="8"/>
  <c r="F339" i="8"/>
  <c r="H339" i="8"/>
  <c r="I339" i="12"/>
  <c r="J339" i="12"/>
  <c r="H339" i="12"/>
  <c r="F76" i="17"/>
  <c r="G76" i="17"/>
  <c r="G287" i="14"/>
  <c r="I287" i="14"/>
  <c r="H287" i="14"/>
  <c r="B287" i="14"/>
  <c r="B288" i="14"/>
  <c r="B289" i="14"/>
  <c r="B290" i="14"/>
  <c r="B291" i="14"/>
  <c r="B292" i="14"/>
  <c r="G338" i="9"/>
  <c r="H338" i="9"/>
  <c r="I338" i="9"/>
  <c r="F341" i="7"/>
  <c r="G341" i="7"/>
  <c r="H341" i="7"/>
  <c r="F338" i="6"/>
  <c r="G338" i="6"/>
  <c r="F338" i="11"/>
  <c r="G338" i="11"/>
  <c r="H338" i="11"/>
  <c r="F338" i="4"/>
  <c r="G338" i="4"/>
  <c r="H338" i="4"/>
  <c r="F338" i="8"/>
  <c r="G338" i="8"/>
  <c r="H338" i="8"/>
  <c r="I338" i="12"/>
  <c r="J338" i="12"/>
  <c r="H338" i="12"/>
  <c r="F75" i="17"/>
  <c r="G75" i="17"/>
  <c r="G286" i="14"/>
  <c r="H286" i="14"/>
  <c r="I286" i="14"/>
  <c r="G337" i="9"/>
  <c r="H337" i="9"/>
  <c r="I337" i="9"/>
  <c r="F340" i="7"/>
  <c r="G340" i="7"/>
  <c r="H340" i="7"/>
  <c r="F337" i="6"/>
  <c r="G337" i="6"/>
  <c r="F337" i="11"/>
  <c r="G337" i="11"/>
  <c r="H337" i="11"/>
  <c r="F337" i="4"/>
  <c r="G337" i="4"/>
  <c r="F337" i="5"/>
  <c r="G337" i="5"/>
  <c r="H337" i="5"/>
  <c r="F338" i="5"/>
  <c r="G338" i="5"/>
  <c r="H338" i="5"/>
  <c r="F339" i="5"/>
  <c r="G339" i="5"/>
  <c r="H339" i="5"/>
  <c r="F340" i="5"/>
  <c r="G340" i="5"/>
  <c r="H340" i="5"/>
  <c r="F337" i="3"/>
  <c r="G337" i="3"/>
  <c r="F338" i="3"/>
  <c r="G338" i="3"/>
  <c r="H338" i="3"/>
  <c r="F339" i="3"/>
  <c r="G339" i="3"/>
  <c r="H339" i="3"/>
  <c r="F340" i="3"/>
  <c r="G340" i="3"/>
  <c r="H340" i="3"/>
  <c r="F341" i="3"/>
  <c r="G341" i="3"/>
  <c r="F337" i="8"/>
  <c r="G337" i="8"/>
  <c r="H337" i="8"/>
  <c r="I337" i="12"/>
  <c r="J337" i="12"/>
  <c r="H337" i="12"/>
  <c r="H337" i="4"/>
  <c r="H341" i="3"/>
  <c r="H337" i="3"/>
  <c r="F74" i="17"/>
  <c r="G74" i="17"/>
  <c r="G285" i="14"/>
  <c r="H285" i="14"/>
  <c r="I285" i="14"/>
  <c r="G336" i="9"/>
  <c r="H336" i="9"/>
  <c r="I336" i="9"/>
  <c r="F339" i="7"/>
  <c r="G339" i="7"/>
  <c r="H339" i="7"/>
  <c r="F336" i="6"/>
  <c r="G336" i="6"/>
  <c r="F336" i="11"/>
  <c r="G336" i="11"/>
  <c r="H336" i="11"/>
  <c r="F336" i="4"/>
  <c r="G336" i="4"/>
  <c r="H336" i="4"/>
  <c r="F336" i="5"/>
  <c r="H336" i="5"/>
  <c r="G336" i="5"/>
  <c r="F336" i="3"/>
  <c r="G336" i="3"/>
  <c r="H336" i="3"/>
  <c r="F336" i="8"/>
  <c r="G336" i="8"/>
  <c r="H336" i="8"/>
  <c r="I336" i="12"/>
  <c r="J336" i="12"/>
  <c r="H336" i="12"/>
  <c r="F73" i="17"/>
  <c r="G73" i="17"/>
  <c r="G284" i="14"/>
  <c r="H284" i="14"/>
  <c r="I284" i="14"/>
  <c r="G335" i="9"/>
  <c r="I335" i="9"/>
  <c r="H335" i="9"/>
  <c r="F338" i="7"/>
  <c r="G338" i="7"/>
  <c r="H338" i="7"/>
  <c r="F335" i="6"/>
  <c r="G335" i="6"/>
  <c r="F335" i="11"/>
  <c r="G335" i="11"/>
  <c r="H335" i="11"/>
  <c r="F335" i="4"/>
  <c r="H335" i="4"/>
  <c r="G335" i="4"/>
  <c r="F335" i="5"/>
  <c r="G335" i="5"/>
  <c r="H335" i="5"/>
  <c r="F335" i="3"/>
  <c r="H335" i="3"/>
  <c r="G335" i="3"/>
  <c r="F335" i="8"/>
  <c r="G335" i="8"/>
  <c r="H335" i="8"/>
  <c r="I335" i="12"/>
  <c r="J335" i="12"/>
  <c r="H335" i="12"/>
  <c r="G72" i="17"/>
  <c r="F72" i="17"/>
  <c r="H283" i="14"/>
  <c r="G283" i="14"/>
  <c r="I283" i="14"/>
  <c r="H334" i="9"/>
  <c r="G334" i="9"/>
  <c r="I334" i="9"/>
  <c r="G337" i="7"/>
  <c r="F337" i="7"/>
  <c r="H337" i="7"/>
  <c r="G334" i="6"/>
  <c r="F334" i="6"/>
  <c r="G334" i="11"/>
  <c r="F334" i="11"/>
  <c r="H334" i="11"/>
  <c r="G334" i="4"/>
  <c r="F334" i="4"/>
  <c r="H334" i="4"/>
  <c r="G334" i="5"/>
  <c r="F334" i="5"/>
  <c r="H334" i="5"/>
  <c r="G334" i="3"/>
  <c r="F334" i="3"/>
  <c r="H334" i="3"/>
  <c r="G334" i="8"/>
  <c r="F334" i="8"/>
  <c r="H334" i="8"/>
  <c r="I334" i="12"/>
  <c r="J334" i="12"/>
  <c r="H334" i="12"/>
  <c r="F71" i="17"/>
  <c r="G71" i="17"/>
  <c r="G282" i="14"/>
  <c r="H282" i="14"/>
  <c r="I282" i="14"/>
  <c r="G333" i="9"/>
  <c r="H333" i="9"/>
  <c r="I333" i="9"/>
  <c r="F336" i="7"/>
  <c r="G336" i="7"/>
  <c r="H336" i="7"/>
  <c r="F333" i="6"/>
  <c r="G333" i="6"/>
  <c r="F333" i="11"/>
  <c r="G333" i="11"/>
  <c r="H333" i="11"/>
  <c r="F333" i="5"/>
  <c r="G333" i="5"/>
  <c r="H333" i="5"/>
  <c r="F333" i="3"/>
  <c r="G333" i="3"/>
  <c r="H333" i="3"/>
  <c r="F333" i="8"/>
  <c r="G333" i="8"/>
  <c r="H333" i="8"/>
  <c r="I333" i="12"/>
  <c r="J333" i="12"/>
  <c r="H333" i="12"/>
  <c r="G70" i="17"/>
  <c r="F70" i="17"/>
  <c r="H281" i="14"/>
  <c r="G281" i="14"/>
  <c r="I281" i="14"/>
  <c r="H332" i="9"/>
  <c r="G332" i="9"/>
  <c r="I332" i="9"/>
  <c r="G335" i="7"/>
  <c r="F335" i="7"/>
  <c r="H335" i="7"/>
  <c r="G332" i="6"/>
  <c r="F332" i="6"/>
  <c r="G332" i="11"/>
  <c r="F332" i="11"/>
  <c r="H332" i="11"/>
  <c r="F332" i="5"/>
  <c r="G332" i="5"/>
  <c r="H332" i="5"/>
  <c r="F332" i="3"/>
  <c r="H332" i="3"/>
  <c r="G332" i="3"/>
  <c r="G332" i="8"/>
  <c r="F332" i="8"/>
  <c r="H332" i="8"/>
  <c r="I332" i="12"/>
  <c r="J332" i="12"/>
  <c r="H332" i="12"/>
  <c r="G69" i="17"/>
  <c r="F69" i="17"/>
  <c r="H280" i="14"/>
  <c r="G280" i="14"/>
  <c r="I280" i="14"/>
  <c r="B281" i="14"/>
  <c r="B282" i="14"/>
  <c r="B283" i="14"/>
  <c r="B284" i="14"/>
  <c r="B285" i="14"/>
  <c r="B286" i="14"/>
  <c r="H331" i="9"/>
  <c r="G331" i="9"/>
  <c r="I331" i="9"/>
  <c r="G334" i="7"/>
  <c r="F334" i="7"/>
  <c r="H334" i="7"/>
  <c r="G331" i="6"/>
  <c r="F331" i="6"/>
  <c r="G331" i="11"/>
  <c r="F331" i="11"/>
  <c r="H331" i="11"/>
  <c r="G331" i="5"/>
  <c r="F331" i="5"/>
  <c r="H331" i="5"/>
  <c r="G331" i="3"/>
  <c r="F331" i="3"/>
  <c r="H331" i="3"/>
  <c r="G331" i="8"/>
  <c r="F331" i="8"/>
  <c r="H331" i="8"/>
  <c r="I331" i="12"/>
  <c r="H331" i="12"/>
  <c r="J331" i="12"/>
  <c r="G68" i="17"/>
  <c r="F68" i="17"/>
  <c r="H279" i="14"/>
  <c r="G279" i="14"/>
  <c r="I279" i="14"/>
  <c r="H330" i="9"/>
  <c r="G330" i="9"/>
  <c r="I330" i="9"/>
  <c r="G329" i="9"/>
  <c r="H329" i="9"/>
  <c r="I329" i="9"/>
  <c r="G333" i="7"/>
  <c r="F333" i="7"/>
  <c r="H333" i="7"/>
  <c r="G330" i="6"/>
  <c r="F330" i="6"/>
  <c r="G330" i="11"/>
  <c r="F330" i="11"/>
  <c r="H330" i="11"/>
  <c r="G330" i="5"/>
  <c r="F330" i="5"/>
  <c r="H330" i="5"/>
  <c r="G330" i="3"/>
  <c r="F330" i="3"/>
  <c r="H330" i="3"/>
  <c r="G330" i="8"/>
  <c r="F330" i="8"/>
  <c r="H330" i="8"/>
  <c r="I330" i="12"/>
  <c r="J330" i="12"/>
  <c r="H330" i="12"/>
  <c r="G67" i="17"/>
  <c r="F67" i="17"/>
  <c r="H278" i="14"/>
  <c r="G278" i="14"/>
  <c r="I278" i="14"/>
  <c r="G332" i="7"/>
  <c r="F332" i="7"/>
  <c r="H332" i="7"/>
  <c r="G329" i="6"/>
  <c r="F329" i="6"/>
  <c r="G329" i="11"/>
  <c r="F329" i="11"/>
  <c r="H329" i="11"/>
  <c r="G329" i="5"/>
  <c r="F329" i="5"/>
  <c r="H329" i="5"/>
  <c r="G329" i="3"/>
  <c r="F329" i="3"/>
  <c r="H329" i="3"/>
  <c r="G329" i="8"/>
  <c r="F329" i="8"/>
  <c r="H329" i="8"/>
  <c r="I329" i="12"/>
  <c r="J329" i="12"/>
  <c r="H329" i="12"/>
  <c r="G66" i="17"/>
  <c r="F66" i="17"/>
  <c r="H277" i="14"/>
  <c r="G277" i="14"/>
  <c r="I277" i="14"/>
  <c r="H328" i="9"/>
  <c r="G328" i="9"/>
  <c r="I328" i="9"/>
  <c r="G331" i="7"/>
  <c r="F331" i="7"/>
  <c r="H331" i="7"/>
  <c r="G328" i="6"/>
  <c r="F328" i="6"/>
  <c r="G328" i="11"/>
  <c r="F328" i="11"/>
  <c r="H328" i="11"/>
  <c r="G328" i="5"/>
  <c r="F328" i="5"/>
  <c r="H328" i="5"/>
  <c r="G328" i="3"/>
  <c r="F328" i="3"/>
  <c r="H328" i="3"/>
  <c r="G328" i="8"/>
  <c r="F328" i="8"/>
  <c r="H328" i="8"/>
  <c r="I328" i="12"/>
  <c r="J328" i="12"/>
  <c r="H328" i="12"/>
  <c r="G65" i="17"/>
  <c r="F65" i="17"/>
  <c r="H276" i="14"/>
  <c r="G276" i="14"/>
  <c r="I276" i="14"/>
  <c r="H327" i="9"/>
  <c r="G327" i="9"/>
  <c r="I327" i="9"/>
  <c r="G330" i="7"/>
  <c r="F330" i="7"/>
  <c r="H330" i="7"/>
  <c r="G327" i="6"/>
  <c r="F327" i="6"/>
  <c r="G327" i="11"/>
  <c r="F327" i="11"/>
  <c r="H327" i="11"/>
  <c r="G327" i="5"/>
  <c r="F327" i="5"/>
  <c r="H327" i="5"/>
  <c r="G327" i="3"/>
  <c r="F327" i="3"/>
  <c r="H327" i="3"/>
  <c r="G327" i="8"/>
  <c r="F327" i="8"/>
  <c r="H327" i="8"/>
  <c r="I327" i="12"/>
  <c r="J327" i="12"/>
  <c r="H327" i="12"/>
  <c r="G64" i="17"/>
  <c r="F64" i="17"/>
  <c r="H275" i="14"/>
  <c r="G275" i="14"/>
  <c r="I275" i="14"/>
  <c r="H326" i="9"/>
  <c r="G326" i="9"/>
  <c r="I326" i="9"/>
  <c r="G329" i="7"/>
  <c r="F329" i="7"/>
  <c r="H329" i="7"/>
  <c r="G326" i="6"/>
  <c r="F326" i="6"/>
  <c r="G326" i="11"/>
  <c r="F326" i="11"/>
  <c r="H326" i="11"/>
  <c r="G326" i="5"/>
  <c r="F326" i="5"/>
  <c r="H326" i="5"/>
  <c r="G326" i="3"/>
  <c r="F326" i="3"/>
  <c r="H326" i="3"/>
  <c r="G326" i="8"/>
  <c r="F326" i="8"/>
  <c r="H326" i="8"/>
  <c r="I326" i="12"/>
  <c r="J326" i="12"/>
  <c r="H326" i="12"/>
  <c r="G63" i="17"/>
  <c r="F63" i="17"/>
  <c r="H274" i="14"/>
  <c r="G274" i="14"/>
  <c r="I274" i="14"/>
  <c r="B274" i="14"/>
  <c r="B275" i="14"/>
  <c r="B276" i="14"/>
  <c r="B277" i="14"/>
  <c r="B278" i="14"/>
  <c r="B279" i="14"/>
  <c r="B280" i="14"/>
  <c r="H325" i="9"/>
  <c r="G325" i="9"/>
  <c r="I325" i="9"/>
  <c r="G328" i="7"/>
  <c r="F328" i="7"/>
  <c r="H328" i="7"/>
  <c r="G325" i="6"/>
  <c r="F325" i="6"/>
  <c r="G325" i="11"/>
  <c r="F325" i="11"/>
  <c r="H325" i="11"/>
  <c r="G325" i="5"/>
  <c r="F325" i="5"/>
  <c r="H325" i="5"/>
  <c r="G325" i="3"/>
  <c r="F325" i="3"/>
  <c r="H325" i="3"/>
  <c r="G325" i="8"/>
  <c r="F325" i="8"/>
  <c r="H325" i="8"/>
  <c r="I325" i="12"/>
  <c r="J325" i="12"/>
  <c r="H325" i="12"/>
  <c r="G62" i="17"/>
  <c r="F62" i="17"/>
  <c r="H273" i="14"/>
  <c r="G273" i="14"/>
  <c r="I273" i="14"/>
  <c r="B273" i="14"/>
  <c r="H324" i="9"/>
  <c r="G324" i="9"/>
  <c r="I324" i="9"/>
  <c r="G327" i="7"/>
  <c r="F327" i="7"/>
  <c r="H327" i="7"/>
  <c r="G324" i="6"/>
  <c r="F324" i="6"/>
  <c r="G324" i="11"/>
  <c r="F324" i="11"/>
  <c r="H324" i="11"/>
  <c r="G324" i="5"/>
  <c r="F324" i="5"/>
  <c r="H324" i="5"/>
  <c r="G324" i="3"/>
  <c r="F324" i="3"/>
  <c r="H324" i="3"/>
  <c r="G324" i="8"/>
  <c r="F324" i="8"/>
  <c r="H324" i="8"/>
  <c r="I324" i="12"/>
  <c r="J324" i="12"/>
  <c r="H324" i="12"/>
  <c r="G61" i="17"/>
  <c r="F61" i="17"/>
  <c r="H272" i="14"/>
  <c r="G272" i="14"/>
  <c r="I272" i="14"/>
  <c r="B272" i="14"/>
  <c r="H323" i="9"/>
  <c r="G323" i="9"/>
  <c r="I323" i="9"/>
  <c r="F326" i="7"/>
  <c r="H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G326" i="7"/>
  <c r="G323" i="6"/>
  <c r="F323" i="6"/>
  <c r="G323" i="5"/>
  <c r="F323" i="5"/>
  <c r="H323" i="5"/>
  <c r="G323" i="3"/>
  <c r="F323" i="3"/>
  <c r="H323" i="3"/>
  <c r="G323" i="8"/>
  <c r="F323" i="8"/>
  <c r="H323" i="8"/>
  <c r="I323" i="12"/>
  <c r="J323" i="12"/>
  <c r="H323" i="12"/>
  <c r="G60" i="17"/>
  <c r="F60" i="17"/>
  <c r="H271" i="14"/>
  <c r="G271" i="14"/>
  <c r="I271" i="14"/>
  <c r="H322" i="9"/>
  <c r="G322" i="9"/>
  <c r="I322" i="9"/>
  <c r="G325" i="7"/>
  <c r="H325" i="7"/>
  <c r="G322" i="6"/>
  <c r="F322" i="6"/>
  <c r="G322" i="5"/>
  <c r="F322" i="5"/>
  <c r="H322" i="5"/>
  <c r="G322" i="3"/>
  <c r="F322" i="3"/>
  <c r="H322" i="3"/>
  <c r="G322" i="8"/>
  <c r="F322" i="8"/>
  <c r="H322" i="8"/>
  <c r="I322" i="12"/>
  <c r="J322" i="12"/>
  <c r="H322" i="12"/>
  <c r="F59" i="17"/>
  <c r="G59" i="17"/>
  <c r="H270" i="14"/>
  <c r="G270" i="14"/>
  <c r="I270" i="14"/>
  <c r="H321" i="9"/>
  <c r="G321" i="9"/>
  <c r="I321" i="9"/>
  <c r="G324" i="7"/>
  <c r="H324" i="7"/>
  <c r="G321" i="6"/>
  <c r="F321" i="6"/>
  <c r="H321" i="5"/>
  <c r="G321" i="5"/>
  <c r="F321" i="5"/>
  <c r="G321" i="3"/>
  <c r="F321" i="3"/>
  <c r="H321" i="3"/>
  <c r="F321" i="8"/>
  <c r="G321" i="8"/>
  <c r="H321" i="8"/>
  <c r="I321" i="12"/>
  <c r="J321" i="12"/>
  <c r="H321" i="12"/>
  <c r="G58" i="17"/>
  <c r="F58" i="17"/>
  <c r="I269" i="14"/>
  <c r="H269" i="14"/>
  <c r="G269" i="14"/>
  <c r="H320" i="9"/>
  <c r="G320" i="9"/>
  <c r="I320" i="9"/>
  <c r="G323" i="7"/>
  <c r="H323" i="7"/>
  <c r="G320" i="6"/>
  <c r="F320" i="6"/>
  <c r="G320" i="5"/>
  <c r="F320" i="5"/>
  <c r="H320" i="5"/>
  <c r="G320" i="3"/>
  <c r="F320" i="3"/>
  <c r="H320" i="3"/>
  <c r="G320" i="8"/>
  <c r="F320" i="8"/>
  <c r="H320" i="8"/>
  <c r="I320" i="12"/>
  <c r="H320" i="12"/>
  <c r="J320" i="12"/>
  <c r="G57" i="17"/>
  <c r="F57" i="17"/>
  <c r="G56" i="17"/>
  <c r="F56" i="17"/>
  <c r="I267" i="14"/>
  <c r="H267" i="14"/>
  <c r="G267" i="14"/>
  <c r="I318" i="9"/>
  <c r="H318" i="9"/>
  <c r="G318" i="9"/>
  <c r="G321" i="7"/>
  <c r="H321" i="7"/>
  <c r="G318" i="6"/>
  <c r="F318" i="6"/>
  <c r="F318" i="11"/>
  <c r="G318" i="5"/>
  <c r="H318" i="5"/>
  <c r="F318" i="5"/>
  <c r="G318" i="3"/>
  <c r="H318" i="3"/>
  <c r="F318" i="3"/>
  <c r="G318" i="8"/>
  <c r="F318" i="8"/>
  <c r="H318" i="8"/>
  <c r="I318" i="12"/>
  <c r="H318" i="12"/>
  <c r="J318" i="12"/>
  <c r="H268" i="14"/>
  <c r="G268" i="14"/>
  <c r="I268" i="14"/>
  <c r="H319" i="9"/>
  <c r="G319" i="9"/>
  <c r="I319" i="9"/>
  <c r="G322" i="7"/>
  <c r="H322" i="7"/>
  <c r="G319" i="6"/>
  <c r="F319" i="6"/>
  <c r="G319" i="5"/>
  <c r="F319" i="5"/>
  <c r="H319" i="5"/>
  <c r="G319" i="3"/>
  <c r="F319" i="3"/>
  <c r="H319" i="3"/>
  <c r="G319" i="8"/>
  <c r="F319" i="8"/>
  <c r="H319" i="8"/>
  <c r="I319" i="12"/>
  <c r="H319" i="12"/>
  <c r="J319" i="12"/>
  <c r="G55" i="17"/>
  <c r="F55" i="17"/>
  <c r="H266" i="14"/>
  <c r="G266" i="14"/>
  <c r="I266" i="14"/>
  <c r="H317" i="9"/>
  <c r="G317" i="9"/>
  <c r="I317" i="9"/>
  <c r="G320" i="7"/>
  <c r="H320" i="7"/>
  <c r="G317" i="6"/>
  <c r="F317" i="6"/>
  <c r="G317" i="5"/>
  <c r="F317" i="5"/>
  <c r="H317" i="5"/>
  <c r="G317" i="3"/>
  <c r="F317" i="3"/>
  <c r="H317" i="3"/>
  <c r="G317" i="8"/>
  <c r="F317" i="8"/>
  <c r="H317" i="8"/>
  <c r="I317" i="12"/>
  <c r="J317" i="12"/>
  <c r="H317" i="12"/>
  <c r="G54" i="17"/>
  <c r="F54" i="17"/>
  <c r="H316" i="9"/>
  <c r="I316" i="9"/>
  <c r="G316" i="9"/>
  <c r="H319" i="7"/>
  <c r="G319" i="7"/>
  <c r="G316" i="6"/>
  <c r="F316" i="6"/>
  <c r="G316" i="5"/>
  <c r="F316" i="5"/>
  <c r="H316" i="5"/>
  <c r="G316" i="3"/>
  <c r="F316" i="3"/>
  <c r="H316" i="3"/>
  <c r="G316" i="8"/>
  <c r="F316" i="8"/>
  <c r="H316" i="8"/>
  <c r="I316" i="12"/>
  <c r="J316" i="12"/>
  <c r="H316" i="12"/>
  <c r="G53" i="17"/>
  <c r="F53" i="17"/>
  <c r="G318" i="7"/>
  <c r="H318" i="7"/>
  <c r="G315" i="6"/>
  <c r="F315" i="6"/>
  <c r="H315" i="5"/>
  <c r="G315" i="5"/>
  <c r="F315" i="5"/>
  <c r="G315" i="3"/>
  <c r="F315" i="3"/>
  <c r="H315" i="3"/>
  <c r="G315" i="8"/>
  <c r="F315" i="8"/>
  <c r="H315" i="8"/>
  <c r="I315" i="12"/>
  <c r="J315" i="12"/>
  <c r="H315" i="12"/>
  <c r="G52" i="17"/>
  <c r="F52" i="17"/>
  <c r="G317" i="7"/>
  <c r="H317" i="7"/>
  <c r="G314" i="6"/>
  <c r="F314" i="6"/>
  <c r="H314" i="5"/>
  <c r="G314" i="5"/>
  <c r="F314" i="5"/>
  <c r="H314" i="3"/>
  <c r="G314" i="3"/>
  <c r="F314" i="3"/>
  <c r="G314" i="8"/>
  <c r="F314" i="8"/>
  <c r="H314" i="8"/>
  <c r="I314" i="12"/>
  <c r="J314" i="12"/>
  <c r="H314" i="12"/>
  <c r="G51" i="17"/>
  <c r="F51" i="17"/>
  <c r="G316" i="7"/>
  <c r="H316" i="7"/>
  <c r="G313" i="6"/>
  <c r="F313" i="6"/>
  <c r="G313" i="5"/>
  <c r="F313" i="5"/>
  <c r="H313" i="5"/>
  <c r="G313" i="3"/>
  <c r="F313" i="3"/>
  <c r="H313" i="3"/>
  <c r="G313" i="8"/>
  <c r="F313" i="8"/>
  <c r="H313" i="8"/>
  <c r="I313" i="12"/>
  <c r="J313" i="12"/>
  <c r="H313" i="12"/>
  <c r="G50" i="17"/>
  <c r="F50" i="17"/>
  <c r="G315" i="7"/>
  <c r="H315" i="7"/>
  <c r="G312" i="6"/>
  <c r="F312" i="6"/>
  <c r="G312" i="5"/>
  <c r="F312" i="5"/>
  <c r="H312" i="5"/>
  <c r="H312" i="3"/>
  <c r="G312" i="3"/>
  <c r="F312" i="3"/>
  <c r="H312" i="8"/>
  <c r="G312" i="8"/>
  <c r="F312" i="8"/>
  <c r="I312" i="12"/>
  <c r="J312" i="12"/>
  <c r="H312" i="12"/>
  <c r="G49" i="17"/>
  <c r="F49" i="17"/>
  <c r="G314" i="7"/>
  <c r="H314" i="7"/>
  <c r="F311" i="5"/>
  <c r="H311" i="5"/>
  <c r="G311" i="5"/>
  <c r="G311" i="3"/>
  <c r="F311" i="3"/>
  <c r="H311" i="3"/>
  <c r="G311" i="8"/>
  <c r="F311" i="8"/>
  <c r="H311" i="8"/>
  <c r="I311" i="12"/>
  <c r="J311" i="12"/>
  <c r="H311" i="12"/>
  <c r="G48" i="17"/>
  <c r="F48" i="17"/>
  <c r="G313" i="7"/>
  <c r="H313" i="7"/>
  <c r="G310" i="5"/>
  <c r="F310" i="5"/>
  <c r="H310" i="5"/>
  <c r="H310" i="3"/>
  <c r="G310" i="3"/>
  <c r="F310" i="3"/>
  <c r="G310" i="8"/>
  <c r="F310" i="8"/>
  <c r="H310" i="8"/>
  <c r="I310" i="12"/>
  <c r="J310" i="12"/>
  <c r="H310" i="12"/>
  <c r="G47" i="17"/>
  <c r="F47" i="17"/>
  <c r="G312" i="7"/>
  <c r="H312" i="7"/>
  <c r="G309" i="5"/>
  <c r="F309" i="5"/>
  <c r="H309" i="5"/>
  <c r="G309" i="3"/>
  <c r="F309" i="3"/>
  <c r="H309" i="3"/>
  <c r="G309" i="8"/>
  <c r="F309" i="8"/>
  <c r="H309" i="8"/>
  <c r="I309" i="12"/>
  <c r="J309" i="12"/>
  <c r="H309" i="12"/>
  <c r="G46" i="17"/>
  <c r="F46" i="17"/>
  <c r="G311" i="7"/>
  <c r="H311" i="7"/>
  <c r="G308" i="5"/>
  <c r="F308" i="5"/>
  <c r="H308" i="5"/>
  <c r="H308" i="3"/>
  <c r="G308" i="3"/>
  <c r="F308" i="3"/>
  <c r="G308" i="8"/>
  <c r="F308" i="8"/>
  <c r="H308" i="8"/>
  <c r="I308" i="12"/>
  <c r="J308" i="12"/>
  <c r="H308" i="12"/>
  <c r="G45" i="17"/>
  <c r="F45" i="17"/>
  <c r="G310" i="7"/>
  <c r="H310" i="7"/>
  <c r="G307" i="5"/>
  <c r="F307" i="5"/>
  <c r="H307" i="5"/>
  <c r="G307" i="3"/>
  <c r="F307" i="3"/>
  <c r="H307" i="3"/>
  <c r="G307" i="8"/>
  <c r="F307" i="8"/>
  <c r="H307" i="8"/>
  <c r="I307" i="12"/>
  <c r="J307" i="12"/>
  <c r="H307" i="12"/>
  <c r="F44" i="17"/>
  <c r="G44" i="17"/>
  <c r="G309" i="7"/>
  <c r="H309" i="7"/>
  <c r="F306" i="5"/>
  <c r="H306" i="5"/>
  <c r="G306" i="5"/>
  <c r="G306" i="3"/>
  <c r="F306" i="3"/>
  <c r="H306" i="3"/>
  <c r="F306" i="8"/>
  <c r="H306" i="8"/>
  <c r="G306" i="8"/>
  <c r="I306" i="12"/>
  <c r="J306" i="12"/>
  <c r="H306" i="12"/>
  <c r="G43" i="17"/>
  <c r="F43" i="17"/>
  <c r="G308" i="7"/>
  <c r="H308" i="7"/>
  <c r="G305" i="5"/>
  <c r="F305" i="5"/>
  <c r="H305" i="5"/>
  <c r="G305" i="3"/>
  <c r="F305" i="3"/>
  <c r="H305" i="3"/>
  <c r="G305" i="8"/>
  <c r="F305" i="8"/>
  <c r="H305" i="8"/>
  <c r="I305" i="12"/>
  <c r="J305" i="12"/>
  <c r="H305" i="12"/>
  <c r="G42" i="17"/>
  <c r="F42" i="17"/>
  <c r="G307" i="7"/>
  <c r="F307" i="7"/>
  <c r="H307" i="7"/>
  <c r="G304" i="5"/>
  <c r="F304" i="5"/>
  <c r="H304" i="5"/>
  <c r="G304" i="3"/>
  <c r="F304" i="3"/>
  <c r="H304" i="3"/>
  <c r="G304" i="8"/>
  <c r="F304" i="8"/>
  <c r="H304" i="8"/>
  <c r="I304" i="12"/>
  <c r="J304" i="12"/>
  <c r="H304" i="12"/>
  <c r="G41" i="17"/>
  <c r="F41" i="17"/>
  <c r="G306" i="7"/>
  <c r="F306" i="7"/>
  <c r="H306" i="7"/>
  <c r="G303" i="5"/>
  <c r="F303" i="5"/>
  <c r="H303" i="5"/>
  <c r="H57" i="5"/>
  <c r="G303" i="3"/>
  <c r="H303" i="3"/>
  <c r="F303" i="3"/>
  <c r="I303" i="12"/>
  <c r="J303" i="12"/>
  <c r="H303" i="12"/>
  <c r="F40" i="17"/>
  <c r="G40" i="17"/>
  <c r="G305" i="7"/>
  <c r="F305" i="7"/>
  <c r="H305" i="7"/>
  <c r="F302" i="5"/>
  <c r="H302" i="5"/>
  <c r="G302" i="5"/>
  <c r="F302" i="3"/>
  <c r="G302" i="3"/>
  <c r="H302" i="3"/>
  <c r="G39" i="17"/>
  <c r="F39" i="17"/>
  <c r="G304" i="7"/>
  <c r="F304" i="7"/>
  <c r="H304" i="7"/>
  <c r="G301" i="5"/>
  <c r="F301" i="5"/>
  <c r="H301" i="5"/>
  <c r="G301" i="3"/>
  <c r="F301" i="3"/>
  <c r="H301" i="3"/>
  <c r="G38" i="17"/>
  <c r="F38" i="17"/>
  <c r="G303" i="7"/>
  <c r="F303" i="7"/>
  <c r="H303" i="7"/>
  <c r="G300" i="3"/>
  <c r="F300" i="3"/>
  <c r="H300" i="3"/>
  <c r="G37" i="17"/>
  <c r="F37" i="17"/>
  <c r="G302" i="7"/>
  <c r="F302" i="7"/>
  <c r="H302" i="7"/>
  <c r="G299" i="3"/>
  <c r="F299" i="3"/>
  <c r="H299" i="3"/>
  <c r="G36" i="17"/>
  <c r="F36" i="17"/>
  <c r="F301" i="7"/>
  <c r="G301" i="7"/>
  <c r="H301" i="7"/>
  <c r="G298" i="3"/>
  <c r="F298" i="3"/>
  <c r="H298" i="3"/>
  <c r="G35" i="17"/>
  <c r="F35" i="17"/>
  <c r="F300" i="7"/>
  <c r="G300" i="7"/>
  <c r="H300" i="7"/>
  <c r="G297" i="3"/>
  <c r="F297" i="3"/>
  <c r="H297" i="3"/>
  <c r="G299" i="7"/>
  <c r="H299" i="7"/>
  <c r="F299" i="7"/>
  <c r="F34" i="17"/>
  <c r="G34" i="17"/>
  <c r="G296" i="3"/>
  <c r="H296" i="3"/>
  <c r="F296" i="3"/>
  <c r="G295" i="3"/>
  <c r="H295" i="3"/>
  <c r="F295" i="3"/>
  <c r="G298" i="7"/>
  <c r="H298" i="7"/>
  <c r="F298" i="7"/>
  <c r="G33" i="17"/>
  <c r="F33" i="17"/>
  <c r="G29" i="17"/>
  <c r="G30" i="17"/>
  <c r="G31" i="17"/>
  <c r="G32" i="17"/>
  <c r="F32" i="17"/>
  <c r="G297" i="7"/>
  <c r="F297" i="7"/>
  <c r="H297" i="7"/>
  <c r="G294" i="3"/>
  <c r="F294" i="3"/>
  <c r="H294" i="3"/>
  <c r="G296" i="7"/>
  <c r="H296" i="7"/>
  <c r="F296" i="7"/>
  <c r="G293" i="3"/>
  <c r="H293" i="3"/>
  <c r="F293" i="3"/>
  <c r="F31" i="17"/>
  <c r="G292" i="3"/>
  <c r="H292" i="3"/>
  <c r="F292" i="3"/>
  <c r="G295" i="7"/>
  <c r="H295" i="7"/>
  <c r="F295" i="7"/>
  <c r="F30" i="17"/>
  <c r="G291" i="3"/>
  <c r="H291" i="3"/>
  <c r="F291" i="3"/>
  <c r="I291" i="12"/>
  <c r="F29" i="17"/>
  <c r="G294" i="7"/>
  <c r="H294" i="7"/>
  <c r="F294" i="7"/>
  <c r="G293" i="7"/>
  <c r="H293" i="7"/>
  <c r="F293" i="7"/>
  <c r="G290" i="3"/>
  <c r="H290" i="3"/>
  <c r="F290" i="3"/>
  <c r="G28" i="17"/>
  <c r="F28" i="17"/>
  <c r="G27" i="17"/>
  <c r="F27" i="17"/>
  <c r="G292" i="7"/>
  <c r="H292" i="7"/>
  <c r="F292" i="7"/>
  <c r="G289" i="3"/>
  <c r="H289" i="3"/>
  <c r="F289" i="3"/>
  <c r="G291" i="7"/>
  <c r="H291" i="7"/>
  <c r="F291" i="7"/>
  <c r="F288" i="3"/>
  <c r="G288" i="3"/>
  <c r="H288" i="3"/>
  <c r="F26" i="17"/>
  <c r="G26" i="17"/>
  <c r="G25" i="17"/>
  <c r="F25" i="17"/>
  <c r="G290" i="7"/>
  <c r="H290" i="7"/>
  <c r="F290" i="7"/>
  <c r="G289" i="7"/>
  <c r="H289" i="7"/>
  <c r="F289" i="7"/>
  <c r="G287" i="3"/>
  <c r="H287" i="3"/>
  <c r="F287" i="3"/>
  <c r="F24" i="17"/>
  <c r="G24" i="17"/>
  <c r="G286" i="3"/>
  <c r="H286" i="3"/>
  <c r="F286" i="3"/>
  <c r="G285" i="3"/>
  <c r="H285" i="3"/>
  <c r="F285" i="3"/>
  <c r="G288" i="7"/>
  <c r="F288" i="7"/>
  <c r="H288" i="7"/>
  <c r="F23" i="17"/>
  <c r="G23" i="17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F284" i="4"/>
  <c r="G284" i="3"/>
  <c r="H284" i="3"/>
  <c r="F284" i="3"/>
  <c r="G287" i="7"/>
  <c r="H287" i="7"/>
  <c r="F287" i="7"/>
  <c r="G22" i="17"/>
  <c r="F22" i="17"/>
  <c r="G21" i="17"/>
  <c r="F21" i="17"/>
  <c r="G286" i="7"/>
  <c r="H286" i="7"/>
  <c r="F286" i="7"/>
  <c r="G283" i="3"/>
  <c r="H283" i="3"/>
  <c r="F283" i="3"/>
  <c r="G20" i="17"/>
  <c r="F20" i="17"/>
  <c r="G285" i="7"/>
  <c r="H285" i="7"/>
  <c r="F285" i="7"/>
  <c r="G282" i="3"/>
  <c r="H282" i="3"/>
  <c r="F282" i="3"/>
  <c r="F19" i="17"/>
  <c r="G19" i="17"/>
  <c r="G284" i="7"/>
  <c r="H284" i="7"/>
  <c r="F284" i="7"/>
  <c r="G281" i="3"/>
  <c r="H281" i="3"/>
  <c r="F281" i="3"/>
  <c r="G18" i="17"/>
  <c r="F18" i="17"/>
  <c r="G283" i="7"/>
  <c r="H283" i="7"/>
  <c r="F283" i="7"/>
  <c r="G280" i="3"/>
  <c r="H280" i="3"/>
  <c r="F280" i="3"/>
  <c r="G17" i="17"/>
  <c r="F17" i="17"/>
  <c r="G282" i="7"/>
  <c r="H282" i="7"/>
  <c r="F282" i="7"/>
  <c r="G279" i="3"/>
  <c r="H279" i="3"/>
  <c r="F279" i="3"/>
  <c r="G16" i="17"/>
  <c r="F16" i="17"/>
  <c r="G281" i="7"/>
  <c r="F281" i="7"/>
  <c r="G278" i="3"/>
  <c r="F278" i="3"/>
  <c r="H278" i="3"/>
  <c r="H281" i="7"/>
  <c r="G15" i="17"/>
  <c r="F15" i="17"/>
  <c r="G280" i="7"/>
  <c r="F280" i="7"/>
  <c r="H280" i="7"/>
  <c r="G277" i="3"/>
  <c r="F277" i="3"/>
  <c r="H277" i="3"/>
  <c r="G14" i="17"/>
  <c r="F14" i="17"/>
  <c r="G279" i="7"/>
  <c r="F279" i="7"/>
  <c r="H279" i="7"/>
  <c r="G276" i="3"/>
  <c r="F276" i="3"/>
  <c r="H276" i="3"/>
  <c r="H298" i="12"/>
  <c r="I298" i="12"/>
  <c r="J298" i="12"/>
  <c r="H299" i="12"/>
  <c r="I299" i="12"/>
  <c r="H300" i="12"/>
  <c r="I300" i="12"/>
  <c r="J300" i="12"/>
  <c r="H301" i="12"/>
  <c r="I301" i="12"/>
  <c r="H302" i="12"/>
  <c r="J302" i="12"/>
  <c r="I302" i="12"/>
  <c r="G13" i="17"/>
  <c r="F13" i="17"/>
  <c r="G224" i="14"/>
  <c r="H224" i="14"/>
  <c r="I224" i="14"/>
  <c r="G225" i="14"/>
  <c r="H225" i="14"/>
  <c r="I225" i="14"/>
  <c r="G226" i="14"/>
  <c r="H226" i="14"/>
  <c r="G227" i="14"/>
  <c r="H227" i="14"/>
  <c r="G228" i="14"/>
  <c r="H228" i="14"/>
  <c r="G229" i="14"/>
  <c r="H229" i="14"/>
  <c r="G230" i="14"/>
  <c r="H230" i="14"/>
  <c r="I230" i="14"/>
  <c r="G231" i="14"/>
  <c r="H231" i="14"/>
  <c r="I231" i="14"/>
  <c r="G232" i="14"/>
  <c r="H232" i="14"/>
  <c r="G233" i="14"/>
  <c r="H233" i="14"/>
  <c r="G234" i="14"/>
  <c r="H234" i="14"/>
  <c r="G235" i="14"/>
  <c r="H235" i="14"/>
  <c r="I235" i="14"/>
  <c r="G236" i="14"/>
  <c r="H236" i="14"/>
  <c r="I236" i="14"/>
  <c r="G237" i="14"/>
  <c r="H237" i="14"/>
  <c r="G238" i="14"/>
  <c r="H238" i="14"/>
  <c r="G239" i="14"/>
  <c r="H239" i="14"/>
  <c r="G240" i="14"/>
  <c r="H240" i="14"/>
  <c r="G241" i="14"/>
  <c r="H241" i="14"/>
  <c r="G242" i="14"/>
  <c r="H242" i="14"/>
  <c r="I242" i="14"/>
  <c r="G243" i="14"/>
  <c r="H243" i="14"/>
  <c r="I243" i="14"/>
  <c r="G244" i="14"/>
  <c r="H244" i="14"/>
  <c r="G245" i="14"/>
  <c r="H245" i="14"/>
  <c r="G246" i="14"/>
  <c r="H246" i="14"/>
  <c r="I246" i="14"/>
  <c r="G247" i="14"/>
  <c r="H247" i="14"/>
  <c r="G248" i="14"/>
  <c r="H248" i="14"/>
  <c r="G249" i="14"/>
  <c r="H249" i="14"/>
  <c r="G250" i="14"/>
  <c r="I250" i="14"/>
  <c r="H250" i="14"/>
  <c r="G251" i="14"/>
  <c r="I251" i="14"/>
  <c r="H251" i="14"/>
  <c r="G252" i="14"/>
  <c r="H252" i="14"/>
  <c r="I252" i="14"/>
  <c r="G253" i="14"/>
  <c r="I253" i="14"/>
  <c r="H253" i="14"/>
  <c r="G254" i="14"/>
  <c r="H254" i="14"/>
  <c r="G255" i="14"/>
  <c r="I255" i="14"/>
  <c r="H255" i="14"/>
  <c r="G256" i="14"/>
  <c r="H256" i="14"/>
  <c r="G257" i="14"/>
  <c r="I257" i="14"/>
  <c r="H257" i="14"/>
  <c r="G258" i="14"/>
  <c r="I258" i="14"/>
  <c r="H258" i="14"/>
  <c r="G259" i="14"/>
  <c r="I259" i="14"/>
  <c r="H259" i="14"/>
  <c r="G260" i="14"/>
  <c r="H260" i="14"/>
  <c r="I260" i="14"/>
  <c r="G261" i="14"/>
  <c r="H261" i="14"/>
  <c r="G262" i="14"/>
  <c r="H262" i="14"/>
  <c r="I262" i="14"/>
  <c r="G263" i="14"/>
  <c r="I263" i="14"/>
  <c r="H263" i="14"/>
  <c r="G264" i="14"/>
  <c r="I264" i="14"/>
  <c r="H264" i="14"/>
  <c r="G265" i="14"/>
  <c r="H265" i="14"/>
  <c r="G273" i="10"/>
  <c r="H273" i="10"/>
  <c r="I273" i="10"/>
  <c r="G274" i="10"/>
  <c r="H274" i="10"/>
  <c r="I274" i="10"/>
  <c r="G275" i="10"/>
  <c r="H275" i="10"/>
  <c r="G276" i="10"/>
  <c r="H276" i="10"/>
  <c r="G277" i="10"/>
  <c r="H277" i="10"/>
  <c r="G278" i="10"/>
  <c r="H278" i="10"/>
  <c r="G279" i="10"/>
  <c r="H279" i="10"/>
  <c r="I279" i="10"/>
  <c r="G280" i="10"/>
  <c r="H280" i="10"/>
  <c r="G281" i="10"/>
  <c r="H281" i="10"/>
  <c r="G282" i="10"/>
  <c r="H282" i="10"/>
  <c r="G283" i="10"/>
  <c r="H283" i="10"/>
  <c r="G284" i="10"/>
  <c r="H284" i="10"/>
  <c r="I284" i="10"/>
  <c r="G285" i="10"/>
  <c r="H285" i="10"/>
  <c r="G286" i="10"/>
  <c r="H286" i="10"/>
  <c r="G287" i="10"/>
  <c r="H287" i="10"/>
  <c r="G288" i="10"/>
  <c r="H288" i="10"/>
  <c r="I288" i="10"/>
  <c r="G289" i="10"/>
  <c r="H289" i="10"/>
  <c r="G290" i="10"/>
  <c r="H290" i="10"/>
  <c r="G291" i="10"/>
  <c r="H291" i="10"/>
  <c r="G292" i="10"/>
  <c r="H292" i="10"/>
  <c r="G293" i="10"/>
  <c r="H293" i="10"/>
  <c r="I293" i="10"/>
  <c r="G294" i="10"/>
  <c r="H294" i="10"/>
  <c r="I294" i="10"/>
  <c r="G295" i="10"/>
  <c r="H295" i="10"/>
  <c r="I295" i="10"/>
  <c r="G296" i="10"/>
  <c r="H296" i="10"/>
  <c r="G297" i="10"/>
  <c r="H297" i="10"/>
  <c r="I297" i="10"/>
  <c r="G298" i="10"/>
  <c r="H298" i="10"/>
  <c r="G299" i="10"/>
  <c r="H299" i="10"/>
  <c r="G300" i="10"/>
  <c r="H300" i="10"/>
  <c r="G301" i="10"/>
  <c r="I301" i="10"/>
  <c r="H301" i="10"/>
  <c r="G302" i="10"/>
  <c r="I302" i="10"/>
  <c r="H302" i="10"/>
  <c r="G303" i="10"/>
  <c r="H303" i="10"/>
  <c r="I303" i="10"/>
  <c r="G304" i="10"/>
  <c r="I304" i="10"/>
  <c r="H304" i="10"/>
  <c r="G305" i="10"/>
  <c r="H305" i="10"/>
  <c r="I305" i="10"/>
  <c r="G306" i="10"/>
  <c r="H306" i="10"/>
  <c r="G307" i="10"/>
  <c r="H307" i="10"/>
  <c r="I307" i="10"/>
  <c r="G308" i="10"/>
  <c r="I308" i="10"/>
  <c r="H308" i="10"/>
  <c r="G309" i="10"/>
  <c r="I309" i="10"/>
  <c r="H309" i="10"/>
  <c r="G310" i="10"/>
  <c r="H310" i="10"/>
  <c r="I310" i="10"/>
  <c r="G311" i="10"/>
  <c r="H311" i="10"/>
  <c r="I311" i="10"/>
  <c r="G312" i="10"/>
  <c r="H312" i="10"/>
  <c r="G313" i="10"/>
  <c r="H313" i="10"/>
  <c r="I313" i="10"/>
  <c r="G314" i="10"/>
  <c r="H314" i="10"/>
  <c r="G315" i="10"/>
  <c r="H315" i="10"/>
  <c r="G316" i="10"/>
  <c r="H316" i="10"/>
  <c r="I316" i="10"/>
  <c r="G317" i="10"/>
  <c r="H317" i="10"/>
  <c r="I317" i="10"/>
  <c r="G318" i="10"/>
  <c r="I318" i="10"/>
  <c r="H318" i="10"/>
  <c r="G319" i="10"/>
  <c r="H319" i="10"/>
  <c r="I319" i="10"/>
  <c r="G320" i="10"/>
  <c r="H320" i="10"/>
  <c r="G321" i="10"/>
  <c r="H321" i="10"/>
  <c r="I321" i="10"/>
  <c r="G322" i="10"/>
  <c r="H322" i="10"/>
  <c r="G323" i="10"/>
  <c r="H323" i="10"/>
  <c r="G324" i="10"/>
  <c r="H324" i="10"/>
  <c r="G325" i="10"/>
  <c r="H325" i="10"/>
  <c r="I325" i="10"/>
  <c r="G326" i="10"/>
  <c r="H326" i="10"/>
  <c r="I326" i="10"/>
  <c r="G327" i="10"/>
  <c r="H327" i="10"/>
  <c r="I327" i="10"/>
  <c r="G328" i="10"/>
  <c r="H328" i="10"/>
  <c r="G329" i="10"/>
  <c r="H329" i="10"/>
  <c r="I329" i="10"/>
  <c r="G330" i="10"/>
  <c r="H330" i="10"/>
  <c r="G331" i="10"/>
  <c r="H331" i="10"/>
  <c r="G332" i="10"/>
  <c r="H332" i="10"/>
  <c r="G333" i="10"/>
  <c r="H333" i="10"/>
  <c r="I333" i="10"/>
  <c r="G334" i="10"/>
  <c r="H334" i="10"/>
  <c r="I334" i="10"/>
  <c r="G335" i="10"/>
  <c r="H335" i="10"/>
  <c r="I335" i="10"/>
  <c r="G336" i="10"/>
  <c r="H336" i="10"/>
  <c r="G337" i="10"/>
  <c r="H337" i="10"/>
  <c r="I337" i="10"/>
  <c r="G338" i="10"/>
  <c r="H338" i="10"/>
  <c r="G339" i="10"/>
  <c r="H339" i="10"/>
  <c r="G340" i="10"/>
  <c r="H340" i="10"/>
  <c r="G341" i="10"/>
  <c r="H341" i="10"/>
  <c r="I341" i="10"/>
  <c r="G342" i="10"/>
  <c r="I342" i="10"/>
  <c r="H342" i="10"/>
  <c r="G343" i="10"/>
  <c r="I343" i="10"/>
  <c r="H343" i="10"/>
  <c r="G344" i="10"/>
  <c r="I344" i="10"/>
  <c r="H344" i="10"/>
  <c r="G345" i="10"/>
  <c r="I345" i="10"/>
  <c r="H345" i="10"/>
  <c r="G346" i="10"/>
  <c r="I346" i="10"/>
  <c r="H346" i="10"/>
  <c r="G347" i="10"/>
  <c r="H347" i="10"/>
  <c r="G348" i="10"/>
  <c r="H348" i="10"/>
  <c r="G349" i="10"/>
  <c r="H349" i="10"/>
  <c r="I349" i="10"/>
  <c r="G350" i="10"/>
  <c r="H350" i="10"/>
  <c r="I350" i="10"/>
  <c r="G351" i="10"/>
  <c r="H351" i="10"/>
  <c r="I351" i="10"/>
  <c r="G352" i="10"/>
  <c r="H352" i="10"/>
  <c r="G353" i="10"/>
  <c r="H353" i="10"/>
  <c r="I353" i="10"/>
  <c r="G354" i="10"/>
  <c r="H354" i="10"/>
  <c r="G355" i="10"/>
  <c r="H355" i="10"/>
  <c r="G356" i="10"/>
  <c r="H356" i="10"/>
  <c r="G357" i="10"/>
  <c r="H357" i="10"/>
  <c r="I357" i="10"/>
  <c r="G358" i="10"/>
  <c r="H358" i="10"/>
  <c r="G359" i="10"/>
  <c r="H359" i="10"/>
  <c r="I359" i="10"/>
  <c r="G360" i="10"/>
  <c r="H360" i="10"/>
  <c r="G361" i="10"/>
  <c r="H361" i="10"/>
  <c r="I361" i="10"/>
  <c r="G362" i="10"/>
  <c r="I362" i="10"/>
  <c r="H362" i="10"/>
  <c r="G363" i="10"/>
  <c r="H363" i="10"/>
  <c r="G364" i="10"/>
  <c r="H364" i="10"/>
  <c r="G365" i="10"/>
  <c r="H365" i="10"/>
  <c r="I365" i="10"/>
  <c r="G366" i="10"/>
  <c r="I366" i="10"/>
  <c r="H366" i="10"/>
  <c r="G367" i="10"/>
  <c r="H367" i="10"/>
  <c r="I367" i="10"/>
  <c r="G368" i="10"/>
  <c r="H368" i="10"/>
  <c r="G369" i="10"/>
  <c r="H369" i="10"/>
  <c r="I369" i="10"/>
  <c r="G370" i="10"/>
  <c r="H370" i="10"/>
  <c r="G371" i="10"/>
  <c r="H371" i="10"/>
  <c r="G372" i="10"/>
  <c r="H372" i="10"/>
  <c r="G373" i="10"/>
  <c r="I373" i="10"/>
  <c r="H373" i="10"/>
  <c r="G374" i="10"/>
  <c r="H374" i="10"/>
  <c r="I374" i="10"/>
  <c r="G375" i="10"/>
  <c r="H375" i="10"/>
  <c r="I375" i="10"/>
  <c r="G376" i="10"/>
  <c r="H376" i="10"/>
  <c r="G377" i="10"/>
  <c r="I377" i="10"/>
  <c r="H377" i="10"/>
  <c r="G378" i="10"/>
  <c r="H378" i="10"/>
  <c r="G379" i="10"/>
  <c r="H379" i="10"/>
  <c r="G380" i="10"/>
  <c r="H380" i="10"/>
  <c r="G381" i="10"/>
  <c r="H381" i="10"/>
  <c r="I381" i="10"/>
  <c r="G382" i="10"/>
  <c r="H382" i="10"/>
  <c r="I382" i="10"/>
  <c r="G383" i="10"/>
  <c r="I383" i="10"/>
  <c r="H383" i="10"/>
  <c r="G384" i="10"/>
  <c r="H384" i="10"/>
  <c r="G385" i="10"/>
  <c r="H385" i="10"/>
  <c r="G386" i="10"/>
  <c r="H386" i="10"/>
  <c r="G387" i="10"/>
  <c r="H387" i="10"/>
  <c r="G388" i="10"/>
  <c r="H388" i="10"/>
  <c r="G389" i="10"/>
  <c r="H389" i="10"/>
  <c r="G390" i="10"/>
  <c r="H390" i="10"/>
  <c r="I390" i="10"/>
  <c r="G391" i="10"/>
  <c r="H391" i="10"/>
  <c r="G392" i="10"/>
  <c r="H392" i="10"/>
  <c r="I392" i="10"/>
  <c r="G393" i="10"/>
  <c r="H393" i="10"/>
  <c r="I393" i="10"/>
  <c r="G394" i="10"/>
  <c r="H394" i="10"/>
  <c r="G395" i="10"/>
  <c r="H395" i="10"/>
  <c r="G396" i="10"/>
  <c r="H396" i="10"/>
  <c r="G397" i="10"/>
  <c r="H397" i="10"/>
  <c r="I397" i="10"/>
  <c r="G398" i="10"/>
  <c r="H398" i="10"/>
  <c r="I398" i="10"/>
  <c r="G399" i="10"/>
  <c r="H399" i="10"/>
  <c r="I399" i="10"/>
  <c r="G400" i="10"/>
  <c r="H400" i="10"/>
  <c r="G401" i="10"/>
  <c r="H401" i="10"/>
  <c r="I401" i="10"/>
  <c r="G402" i="10"/>
  <c r="H402" i="10"/>
  <c r="G403" i="10"/>
  <c r="H403" i="10"/>
  <c r="G404" i="10"/>
  <c r="H404" i="10"/>
  <c r="G405" i="10"/>
  <c r="H405" i="10"/>
  <c r="G406" i="10"/>
  <c r="H406" i="10"/>
  <c r="G407" i="10"/>
  <c r="H407" i="10"/>
  <c r="I407" i="10"/>
  <c r="G408" i="10"/>
  <c r="H408" i="10"/>
  <c r="I408" i="10"/>
  <c r="G409" i="10"/>
  <c r="H409" i="10"/>
  <c r="I409" i="10"/>
  <c r="G410" i="10"/>
  <c r="H410" i="10"/>
  <c r="G411" i="10"/>
  <c r="H411" i="10"/>
  <c r="I411" i="10"/>
  <c r="G412" i="10"/>
  <c r="H412" i="10"/>
  <c r="G413" i="10"/>
  <c r="H413" i="10"/>
  <c r="G414" i="10"/>
  <c r="H414" i="10"/>
  <c r="G415" i="10"/>
  <c r="H415" i="10"/>
  <c r="I415" i="10"/>
  <c r="G416" i="10"/>
  <c r="H416" i="10"/>
  <c r="I416" i="10"/>
  <c r="G417" i="10"/>
  <c r="H417" i="10"/>
  <c r="I417" i="10"/>
  <c r="G418" i="10"/>
  <c r="H418" i="10"/>
  <c r="G419" i="10"/>
  <c r="H419" i="10"/>
  <c r="I419" i="10"/>
  <c r="G420" i="10"/>
  <c r="H420" i="10"/>
  <c r="G421" i="10"/>
  <c r="H421" i="10"/>
  <c r="G422" i="10"/>
  <c r="H422" i="10"/>
  <c r="G423" i="10"/>
  <c r="H423" i="10"/>
  <c r="I423" i="10"/>
  <c r="G424" i="10"/>
  <c r="H424" i="10"/>
  <c r="I424" i="10"/>
  <c r="G425" i="10"/>
  <c r="H425" i="10"/>
  <c r="I425" i="10"/>
  <c r="G426" i="10"/>
  <c r="H426" i="10"/>
  <c r="G427" i="10"/>
  <c r="H427" i="10"/>
  <c r="I427" i="10"/>
  <c r="G428" i="10"/>
  <c r="H428" i="10"/>
  <c r="G429" i="10"/>
  <c r="H429" i="10"/>
  <c r="G430" i="10"/>
  <c r="H430" i="10"/>
  <c r="G431" i="10"/>
  <c r="H431" i="10"/>
  <c r="I431" i="10"/>
  <c r="G432" i="10"/>
  <c r="H432" i="10"/>
  <c r="I432" i="10"/>
  <c r="G433" i="10"/>
  <c r="H433" i="10"/>
  <c r="I433" i="10"/>
  <c r="G434" i="10"/>
  <c r="H434" i="10"/>
  <c r="G435" i="10"/>
  <c r="H435" i="10"/>
  <c r="I435" i="10"/>
  <c r="G436" i="10"/>
  <c r="H436" i="10"/>
  <c r="G437" i="10"/>
  <c r="H437" i="10"/>
  <c r="G438" i="10"/>
  <c r="H438" i="10"/>
  <c r="G439" i="10"/>
  <c r="H439" i="10"/>
  <c r="I439" i="10"/>
  <c r="G440" i="10"/>
  <c r="H440" i="10"/>
  <c r="I440" i="10"/>
  <c r="G441" i="10"/>
  <c r="H441" i="10"/>
  <c r="I441" i="10"/>
  <c r="G442" i="10"/>
  <c r="H442" i="10"/>
  <c r="G443" i="10"/>
  <c r="H443" i="10"/>
  <c r="G444" i="10"/>
  <c r="H444" i="10"/>
  <c r="I444" i="10"/>
  <c r="G445" i="10"/>
  <c r="H445" i="10"/>
  <c r="G446" i="10"/>
  <c r="H446" i="10"/>
  <c r="G447" i="10"/>
  <c r="H447" i="10"/>
  <c r="G448" i="10"/>
  <c r="H448" i="10"/>
  <c r="I448" i="10"/>
  <c r="G449" i="10"/>
  <c r="H449" i="10"/>
  <c r="I449" i="10"/>
  <c r="G275" i="9"/>
  <c r="H275" i="9"/>
  <c r="I275" i="9"/>
  <c r="G276" i="9"/>
  <c r="H276" i="9"/>
  <c r="G277" i="9"/>
  <c r="H277" i="9"/>
  <c r="G278" i="9"/>
  <c r="H278" i="9"/>
  <c r="G279" i="9"/>
  <c r="H279" i="9"/>
  <c r="G280" i="9"/>
  <c r="H280" i="9"/>
  <c r="G281" i="9"/>
  <c r="H281" i="9"/>
  <c r="G282" i="9"/>
  <c r="I282" i="9"/>
  <c r="H282" i="9"/>
  <c r="G283" i="9"/>
  <c r="H283" i="9"/>
  <c r="G284" i="9"/>
  <c r="H284" i="9"/>
  <c r="G285" i="9"/>
  <c r="I285" i="9"/>
  <c r="H285" i="9"/>
  <c r="G286" i="9"/>
  <c r="H286" i="9"/>
  <c r="I286" i="9"/>
  <c r="G287" i="9"/>
  <c r="I287" i="9"/>
  <c r="H287" i="9"/>
  <c r="G288" i="9"/>
  <c r="H288" i="9"/>
  <c r="G289" i="9"/>
  <c r="H289" i="9"/>
  <c r="I289" i="9"/>
  <c r="G290" i="9"/>
  <c r="H290" i="9"/>
  <c r="I290" i="9"/>
  <c r="G291" i="9"/>
  <c r="H291" i="9"/>
  <c r="G292" i="9"/>
  <c r="H292" i="9"/>
  <c r="G293" i="9"/>
  <c r="I293" i="9"/>
  <c r="H293" i="9"/>
  <c r="G294" i="9"/>
  <c r="H294" i="9"/>
  <c r="G295" i="9"/>
  <c r="H295" i="9"/>
  <c r="I295" i="9"/>
  <c r="G296" i="9"/>
  <c r="I296" i="9"/>
  <c r="H296" i="9"/>
  <c r="G297" i="9"/>
  <c r="H297" i="9"/>
  <c r="I297" i="9"/>
  <c r="G298" i="9"/>
  <c r="H298" i="9"/>
  <c r="I298" i="9"/>
  <c r="G299" i="9"/>
  <c r="H299" i="9"/>
  <c r="I299" i="9"/>
  <c r="G300" i="9"/>
  <c r="H300" i="9"/>
  <c r="G301" i="9"/>
  <c r="H301" i="9"/>
  <c r="I301" i="9"/>
  <c r="G302" i="9"/>
  <c r="H302" i="9"/>
  <c r="G303" i="9"/>
  <c r="H303" i="9"/>
  <c r="I303" i="9"/>
  <c r="G304" i="9"/>
  <c r="I304" i="9"/>
  <c r="H304" i="9"/>
  <c r="G305" i="9"/>
  <c r="H305" i="9"/>
  <c r="I305" i="9"/>
  <c r="G306" i="9"/>
  <c r="I306" i="9"/>
  <c r="H306" i="9"/>
  <c r="G307" i="9"/>
  <c r="I307" i="9"/>
  <c r="H307" i="9"/>
  <c r="G308" i="9"/>
  <c r="H308" i="9"/>
  <c r="I308" i="9"/>
  <c r="G309" i="9"/>
  <c r="H309" i="9"/>
  <c r="I309" i="9"/>
  <c r="G310" i="9"/>
  <c r="H310" i="9"/>
  <c r="G311" i="9"/>
  <c r="I311" i="9"/>
  <c r="H311" i="9"/>
  <c r="G312" i="9"/>
  <c r="I312" i="9"/>
  <c r="H312" i="9"/>
  <c r="G313" i="9"/>
  <c r="H313" i="9"/>
  <c r="I313" i="9"/>
  <c r="G314" i="9"/>
  <c r="H314" i="9"/>
  <c r="I314" i="9"/>
  <c r="G315" i="9"/>
  <c r="I315" i="9"/>
  <c r="H315" i="9"/>
  <c r="G278" i="7"/>
  <c r="F278" i="7"/>
  <c r="F275" i="6"/>
  <c r="G275" i="6"/>
  <c r="F276" i="6"/>
  <c r="G276" i="6"/>
  <c r="F277" i="6"/>
  <c r="G277" i="6"/>
  <c r="F278" i="6"/>
  <c r="G278" i="6"/>
  <c r="F279" i="6"/>
  <c r="G279" i="6"/>
  <c r="F280" i="6"/>
  <c r="G280" i="6"/>
  <c r="F281" i="6"/>
  <c r="G281" i="6"/>
  <c r="F282" i="6"/>
  <c r="G282" i="6"/>
  <c r="F283" i="6"/>
  <c r="G283" i="6"/>
  <c r="F284" i="6"/>
  <c r="G284" i="6"/>
  <c r="F285" i="6"/>
  <c r="G285" i="6"/>
  <c r="F286" i="6"/>
  <c r="G286" i="6"/>
  <c r="F287" i="6"/>
  <c r="G287" i="6"/>
  <c r="F288" i="6"/>
  <c r="G288" i="6"/>
  <c r="F289" i="6"/>
  <c r="G289" i="6"/>
  <c r="F290" i="6"/>
  <c r="G290" i="6"/>
  <c r="F291" i="6"/>
  <c r="G291" i="6"/>
  <c r="F292" i="6"/>
  <c r="G292" i="6"/>
  <c r="F293" i="6"/>
  <c r="G293" i="6"/>
  <c r="F294" i="6"/>
  <c r="G294" i="6"/>
  <c r="F295" i="6"/>
  <c r="G295" i="6"/>
  <c r="F296" i="6"/>
  <c r="G296" i="6"/>
  <c r="F297" i="6"/>
  <c r="G297" i="6"/>
  <c r="F298" i="6"/>
  <c r="G298" i="6"/>
  <c r="F299" i="6"/>
  <c r="G299" i="6"/>
  <c r="F300" i="6"/>
  <c r="G300" i="6"/>
  <c r="F301" i="6"/>
  <c r="G301" i="6"/>
  <c r="F302" i="6"/>
  <c r="G302" i="6"/>
  <c r="F303" i="6"/>
  <c r="G303" i="6"/>
  <c r="F304" i="6"/>
  <c r="G304" i="6"/>
  <c r="F305" i="6"/>
  <c r="G305" i="6"/>
  <c r="F306" i="6"/>
  <c r="G306" i="6"/>
  <c r="F307" i="6"/>
  <c r="G307" i="6"/>
  <c r="F308" i="6"/>
  <c r="G308" i="6"/>
  <c r="F309" i="6"/>
  <c r="G309" i="6"/>
  <c r="F310" i="6"/>
  <c r="G310" i="6"/>
  <c r="F311" i="6"/>
  <c r="G311" i="6"/>
  <c r="F275" i="11"/>
  <c r="G275" i="11"/>
  <c r="H275" i="11"/>
  <c r="F276" i="11"/>
  <c r="G276" i="11"/>
  <c r="F277" i="11"/>
  <c r="G277" i="11"/>
  <c r="F278" i="11"/>
  <c r="G278" i="11"/>
  <c r="F279" i="11"/>
  <c r="G279" i="11"/>
  <c r="F280" i="11"/>
  <c r="G280" i="11"/>
  <c r="F281" i="11"/>
  <c r="G281" i="11"/>
  <c r="F282" i="11"/>
  <c r="G282" i="11"/>
  <c r="F283" i="11"/>
  <c r="G283" i="11"/>
  <c r="H283" i="11"/>
  <c r="F284" i="11"/>
  <c r="G284" i="11"/>
  <c r="H284" i="11"/>
  <c r="F285" i="11"/>
  <c r="G285" i="11"/>
  <c r="H285" i="11"/>
  <c r="F286" i="11"/>
  <c r="H286" i="11"/>
  <c r="G286" i="11"/>
  <c r="F287" i="11"/>
  <c r="H287" i="11"/>
  <c r="G287" i="11"/>
  <c r="F288" i="11"/>
  <c r="H288" i="11"/>
  <c r="G288" i="11"/>
  <c r="F289" i="11"/>
  <c r="H289" i="11"/>
  <c r="G289" i="11"/>
  <c r="F290" i="11"/>
  <c r="G290" i="11"/>
  <c r="F291" i="11"/>
  <c r="G291" i="11"/>
  <c r="F292" i="11"/>
  <c r="H292" i="11"/>
  <c r="G292" i="11"/>
  <c r="F293" i="11"/>
  <c r="G293" i="11"/>
  <c r="F294" i="11"/>
  <c r="G294" i="11"/>
  <c r="F295" i="11"/>
  <c r="G295" i="11"/>
  <c r="F296" i="11"/>
  <c r="G296" i="11"/>
  <c r="F297" i="11"/>
  <c r="G297" i="11"/>
  <c r="F298" i="11"/>
  <c r="G298" i="11"/>
  <c r="F299" i="11"/>
  <c r="G299" i="11"/>
  <c r="H299" i="11"/>
  <c r="F300" i="11"/>
  <c r="G300" i="11"/>
  <c r="H300" i="11"/>
  <c r="F301" i="11"/>
  <c r="H301" i="11"/>
  <c r="G301" i="11"/>
  <c r="F302" i="11"/>
  <c r="G302" i="11"/>
  <c r="F303" i="11"/>
  <c r="G303" i="11"/>
  <c r="H303" i="11"/>
  <c r="F304" i="11"/>
  <c r="H304" i="11"/>
  <c r="G304" i="11"/>
  <c r="F305" i="11"/>
  <c r="G305" i="11"/>
  <c r="F306" i="11"/>
  <c r="H306" i="11"/>
  <c r="G306" i="11"/>
  <c r="F307" i="11"/>
  <c r="H307" i="11"/>
  <c r="G307" i="11"/>
  <c r="F308" i="11"/>
  <c r="H308" i="11"/>
  <c r="G308" i="11"/>
  <c r="F309" i="11"/>
  <c r="H309" i="11"/>
  <c r="G309" i="11"/>
  <c r="F310" i="11"/>
  <c r="G310" i="11"/>
  <c r="H310" i="11"/>
  <c r="F311" i="11"/>
  <c r="G311" i="11"/>
  <c r="H311" i="11"/>
  <c r="F312" i="11"/>
  <c r="H312" i="11"/>
  <c r="G312" i="11"/>
  <c r="F313" i="11"/>
  <c r="H313" i="11"/>
  <c r="G313" i="11"/>
  <c r="F314" i="11"/>
  <c r="G314" i="11"/>
  <c r="F315" i="11"/>
  <c r="G315" i="11"/>
  <c r="H315" i="11"/>
  <c r="F316" i="11"/>
  <c r="H316" i="11"/>
  <c r="G316" i="11"/>
  <c r="F317" i="11"/>
  <c r="G317" i="11"/>
  <c r="G318" i="11"/>
  <c r="F319" i="11"/>
  <c r="G319" i="11"/>
  <c r="H319" i="11"/>
  <c r="F320" i="11"/>
  <c r="G320" i="11"/>
  <c r="H320" i="11"/>
  <c r="F321" i="11"/>
  <c r="H321" i="11"/>
  <c r="G321" i="11"/>
  <c r="F322" i="11"/>
  <c r="G322" i="11"/>
  <c r="F323" i="11"/>
  <c r="G323" i="11"/>
  <c r="H323" i="11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G284" i="4"/>
  <c r="F285" i="4"/>
  <c r="G285" i="4"/>
  <c r="F286" i="4"/>
  <c r="G286" i="4"/>
  <c r="F287" i="4"/>
  <c r="G287" i="4"/>
  <c r="F288" i="4"/>
  <c r="H288" i="4"/>
  <c r="G288" i="4"/>
  <c r="F289" i="4"/>
  <c r="G289" i="4"/>
  <c r="H289" i="4"/>
  <c r="F290" i="4"/>
  <c r="G290" i="4"/>
  <c r="F291" i="4"/>
  <c r="H291" i="4"/>
  <c r="G291" i="4"/>
  <c r="F292" i="4"/>
  <c r="G292" i="4"/>
  <c r="H292" i="4"/>
  <c r="F293" i="4"/>
  <c r="G293" i="4"/>
  <c r="F294" i="4"/>
  <c r="G294" i="4"/>
  <c r="F295" i="4"/>
  <c r="G295" i="4"/>
  <c r="H295" i="4"/>
  <c r="F296" i="4"/>
  <c r="G296" i="4"/>
  <c r="H296" i="4"/>
  <c r="F297" i="4"/>
  <c r="G297" i="4"/>
  <c r="H297" i="4"/>
  <c r="F298" i="4"/>
  <c r="G298" i="4"/>
  <c r="F299" i="4"/>
  <c r="G299" i="4"/>
  <c r="H299" i="4"/>
  <c r="F300" i="4"/>
  <c r="G300" i="4"/>
  <c r="F301" i="4"/>
  <c r="H301" i="4"/>
  <c r="G301" i="4"/>
  <c r="F302" i="4"/>
  <c r="G302" i="4"/>
  <c r="F303" i="4"/>
  <c r="G303" i="4"/>
  <c r="H303" i="4"/>
  <c r="F304" i="4"/>
  <c r="G304" i="4"/>
  <c r="H304" i="4"/>
  <c r="F305" i="4"/>
  <c r="G305" i="4"/>
  <c r="F306" i="4"/>
  <c r="H306" i="4"/>
  <c r="G306" i="4"/>
  <c r="F307" i="4"/>
  <c r="G307" i="4"/>
  <c r="H307" i="4"/>
  <c r="F308" i="4"/>
  <c r="G308" i="4"/>
  <c r="F309" i="4"/>
  <c r="G309" i="4"/>
  <c r="F310" i="4"/>
  <c r="G310" i="4"/>
  <c r="H310" i="4"/>
  <c r="F311" i="4"/>
  <c r="G311" i="4"/>
  <c r="F312" i="4"/>
  <c r="G312" i="4"/>
  <c r="F313" i="4"/>
  <c r="G313" i="4"/>
  <c r="F314" i="4"/>
  <c r="G314" i="4"/>
  <c r="F315" i="4"/>
  <c r="G315" i="4"/>
  <c r="H315" i="4"/>
  <c r="F316" i="4"/>
  <c r="G316" i="4"/>
  <c r="F317" i="4"/>
  <c r="G317" i="4"/>
  <c r="F318" i="4"/>
  <c r="H318" i="4"/>
  <c r="G318" i="4"/>
  <c r="F319" i="4"/>
  <c r="G319" i="4"/>
  <c r="F320" i="4"/>
  <c r="G320" i="4"/>
  <c r="F321" i="4"/>
  <c r="G321" i="4"/>
  <c r="H321" i="4"/>
  <c r="F322" i="4"/>
  <c r="G322" i="4"/>
  <c r="H322" i="4"/>
  <c r="F323" i="4"/>
  <c r="G323" i="4"/>
  <c r="H323" i="4"/>
  <c r="F324" i="4"/>
  <c r="G324" i="4"/>
  <c r="F325" i="4"/>
  <c r="G325" i="4"/>
  <c r="H325" i="4"/>
  <c r="F326" i="4"/>
  <c r="G326" i="4"/>
  <c r="F327" i="4"/>
  <c r="H327" i="4"/>
  <c r="G327" i="4"/>
  <c r="F328" i="4"/>
  <c r="G328" i="4"/>
  <c r="F329" i="4"/>
  <c r="G329" i="4"/>
  <c r="H329" i="4"/>
  <c r="F330" i="4"/>
  <c r="G330" i="4"/>
  <c r="H330" i="4"/>
  <c r="F331" i="4"/>
  <c r="G331" i="4"/>
  <c r="H331" i="4"/>
  <c r="F332" i="4"/>
  <c r="G332" i="4"/>
  <c r="F333" i="4"/>
  <c r="G333" i="4"/>
  <c r="H333" i="4"/>
  <c r="G275" i="4"/>
  <c r="F275" i="4"/>
  <c r="F276" i="5"/>
  <c r="G276" i="5"/>
  <c r="F277" i="5"/>
  <c r="G277" i="5"/>
  <c r="F278" i="5"/>
  <c r="G278" i="5"/>
  <c r="F279" i="5"/>
  <c r="G279" i="5"/>
  <c r="F280" i="5"/>
  <c r="G280" i="5"/>
  <c r="F281" i="5"/>
  <c r="H281" i="5"/>
  <c r="G281" i="5"/>
  <c r="F282" i="5"/>
  <c r="G282" i="5"/>
  <c r="H282" i="5"/>
  <c r="F283" i="5"/>
  <c r="G283" i="5"/>
  <c r="F284" i="5"/>
  <c r="G284" i="5"/>
  <c r="H284" i="5"/>
  <c r="F285" i="5"/>
  <c r="H285" i="5"/>
  <c r="G285" i="5"/>
  <c r="F286" i="5"/>
  <c r="H286" i="5"/>
  <c r="G286" i="5"/>
  <c r="F287" i="5"/>
  <c r="G287" i="5"/>
  <c r="F288" i="5"/>
  <c r="G288" i="5"/>
  <c r="F289" i="5"/>
  <c r="G289" i="5"/>
  <c r="F290" i="5"/>
  <c r="G290" i="5"/>
  <c r="H290" i="5"/>
  <c r="F291" i="5"/>
  <c r="H291" i="5"/>
  <c r="G291" i="5"/>
  <c r="F292" i="5"/>
  <c r="H292" i="5"/>
  <c r="G292" i="5"/>
  <c r="F293" i="5"/>
  <c r="H293" i="5"/>
  <c r="G293" i="5"/>
  <c r="F294" i="5"/>
  <c r="G294" i="5"/>
  <c r="H294" i="5"/>
  <c r="F295" i="5"/>
  <c r="G295" i="5"/>
  <c r="F296" i="5"/>
  <c r="G296" i="5"/>
  <c r="H296" i="5"/>
  <c r="F297" i="5"/>
  <c r="G297" i="5"/>
  <c r="F298" i="5"/>
  <c r="G298" i="5"/>
  <c r="H298" i="5"/>
  <c r="F299" i="5"/>
  <c r="G299" i="5"/>
  <c r="H299" i="5"/>
  <c r="F300" i="5"/>
  <c r="G300" i="5"/>
  <c r="H300" i="5"/>
  <c r="G275" i="5"/>
  <c r="F275" i="5"/>
  <c r="G275" i="3"/>
  <c r="F275" i="3"/>
  <c r="H275" i="3"/>
  <c r="F275" i="2"/>
  <c r="G275" i="2"/>
  <c r="H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F289" i="2"/>
  <c r="H289" i="2"/>
  <c r="G289" i="2"/>
  <c r="F290" i="2"/>
  <c r="G290" i="2"/>
  <c r="F291" i="2"/>
  <c r="H291" i="2"/>
  <c r="G291" i="2"/>
  <c r="F292" i="2"/>
  <c r="G292" i="2"/>
  <c r="H292" i="2"/>
  <c r="F293" i="2"/>
  <c r="G293" i="2"/>
  <c r="H293" i="2"/>
  <c r="F294" i="2"/>
  <c r="G294" i="2"/>
  <c r="F295" i="2"/>
  <c r="G295" i="2"/>
  <c r="H295" i="2"/>
  <c r="F296" i="2"/>
  <c r="G296" i="2"/>
  <c r="H296" i="2"/>
  <c r="F297" i="2"/>
  <c r="G297" i="2"/>
  <c r="F298" i="2"/>
  <c r="G298" i="2"/>
  <c r="F299" i="2"/>
  <c r="G299" i="2"/>
  <c r="H299" i="2"/>
  <c r="F300" i="2"/>
  <c r="G300" i="2"/>
  <c r="H300" i="2"/>
  <c r="F301" i="2"/>
  <c r="H301" i="2"/>
  <c r="G301" i="2"/>
  <c r="F302" i="2"/>
  <c r="G302" i="2"/>
  <c r="H302" i="2"/>
  <c r="F303" i="2"/>
  <c r="H303" i="2"/>
  <c r="G303" i="2"/>
  <c r="F304" i="2"/>
  <c r="H304" i="2"/>
  <c r="G304" i="2"/>
  <c r="F305" i="2"/>
  <c r="G305" i="2"/>
  <c r="F306" i="2"/>
  <c r="G306" i="2"/>
  <c r="F307" i="2"/>
  <c r="H307" i="2"/>
  <c r="G307" i="2"/>
  <c r="F308" i="2"/>
  <c r="H308" i="2"/>
  <c r="G308" i="2"/>
  <c r="F309" i="2"/>
  <c r="H309" i="2"/>
  <c r="G309" i="2"/>
  <c r="F310" i="2"/>
  <c r="G310" i="2"/>
  <c r="F311" i="2"/>
  <c r="G311" i="2"/>
  <c r="H311" i="2"/>
  <c r="F312" i="2"/>
  <c r="G312" i="2"/>
  <c r="F313" i="2"/>
  <c r="H313" i="2"/>
  <c r="G313" i="2"/>
  <c r="F314" i="2"/>
  <c r="G314" i="2"/>
  <c r="F315" i="2"/>
  <c r="G315" i="2"/>
  <c r="H315" i="2"/>
  <c r="F316" i="2"/>
  <c r="H316" i="2"/>
  <c r="G316" i="2"/>
  <c r="F317" i="2"/>
  <c r="G317" i="2"/>
  <c r="F318" i="2"/>
  <c r="G318" i="2"/>
  <c r="F319" i="2"/>
  <c r="H319" i="2"/>
  <c r="G319" i="2"/>
  <c r="F320" i="2"/>
  <c r="G320" i="2"/>
  <c r="F321" i="2"/>
  <c r="G321" i="2"/>
  <c r="F322" i="2"/>
  <c r="G322" i="2"/>
  <c r="F323" i="2"/>
  <c r="G323" i="2"/>
  <c r="H323" i="2"/>
  <c r="F324" i="2"/>
  <c r="G324" i="2"/>
  <c r="H324" i="2"/>
  <c r="F325" i="2"/>
  <c r="G325" i="2"/>
  <c r="H325" i="2"/>
  <c r="F326" i="2"/>
  <c r="G326" i="2"/>
  <c r="F327" i="2"/>
  <c r="G327" i="2"/>
  <c r="H327" i="2"/>
  <c r="F328" i="2"/>
  <c r="H328" i="2"/>
  <c r="G328" i="2"/>
  <c r="F329" i="2"/>
  <c r="G329" i="2"/>
  <c r="F330" i="2"/>
  <c r="G330" i="2"/>
  <c r="F331" i="2"/>
  <c r="G331" i="2"/>
  <c r="H331" i="2"/>
  <c r="F332" i="2"/>
  <c r="H332" i="2"/>
  <c r="G332" i="2"/>
  <c r="F333" i="2"/>
  <c r="G333" i="2"/>
  <c r="H333" i="2"/>
  <c r="F334" i="2"/>
  <c r="G334" i="2"/>
  <c r="F335" i="2"/>
  <c r="G335" i="2"/>
  <c r="H335" i="2"/>
  <c r="F336" i="2"/>
  <c r="G336" i="2"/>
  <c r="F337" i="2"/>
  <c r="G337" i="2"/>
  <c r="F338" i="2"/>
  <c r="G338" i="2"/>
  <c r="F339" i="2"/>
  <c r="G339" i="2"/>
  <c r="H339" i="2"/>
  <c r="F340" i="2"/>
  <c r="G340" i="2"/>
  <c r="H340" i="2"/>
  <c r="F341" i="2"/>
  <c r="G341" i="2"/>
  <c r="H341" i="2"/>
  <c r="F342" i="2"/>
  <c r="G342" i="2"/>
  <c r="F343" i="2"/>
  <c r="G343" i="2"/>
  <c r="H343" i="2"/>
  <c r="F344" i="2"/>
  <c r="G344" i="2"/>
  <c r="F345" i="2"/>
  <c r="G345" i="2"/>
  <c r="F346" i="2"/>
  <c r="G346" i="2"/>
  <c r="F347" i="2"/>
  <c r="G347" i="2"/>
  <c r="H347" i="2"/>
  <c r="F348" i="2"/>
  <c r="G348" i="2"/>
  <c r="H348" i="2"/>
  <c r="F349" i="2"/>
  <c r="H349" i="2"/>
  <c r="G349" i="2"/>
  <c r="F350" i="2"/>
  <c r="G350" i="2"/>
  <c r="F351" i="2"/>
  <c r="H351" i="2"/>
  <c r="G351" i="2"/>
  <c r="F352" i="2"/>
  <c r="G352" i="2"/>
  <c r="F353" i="2"/>
  <c r="G353" i="2"/>
  <c r="F354" i="2"/>
  <c r="G354" i="2"/>
  <c r="F355" i="2"/>
  <c r="G355" i="2"/>
  <c r="H355" i="2"/>
  <c r="F356" i="2"/>
  <c r="G356" i="2"/>
  <c r="H356" i="2"/>
  <c r="F357" i="2"/>
  <c r="G357" i="2"/>
  <c r="H357" i="2"/>
  <c r="F358" i="2"/>
  <c r="G358" i="2"/>
  <c r="F359" i="2"/>
  <c r="G359" i="2"/>
  <c r="H359" i="2"/>
  <c r="F360" i="2"/>
  <c r="G360" i="2"/>
  <c r="F361" i="2"/>
  <c r="G361" i="2"/>
  <c r="F362" i="2"/>
  <c r="G362" i="2"/>
  <c r="F363" i="2"/>
  <c r="H363" i="2"/>
  <c r="G363" i="2"/>
  <c r="F364" i="2"/>
  <c r="H364" i="2"/>
  <c r="G364" i="2"/>
  <c r="F365" i="2"/>
  <c r="H365" i="2"/>
  <c r="G365" i="2"/>
  <c r="F366" i="2"/>
  <c r="G366" i="2"/>
  <c r="F367" i="2"/>
  <c r="G367" i="2"/>
  <c r="H367" i="2"/>
  <c r="F368" i="2"/>
  <c r="G368" i="2"/>
  <c r="F369" i="2"/>
  <c r="G369" i="2"/>
  <c r="H369" i="2"/>
  <c r="F370" i="2"/>
  <c r="H370" i="2"/>
  <c r="G370" i="2"/>
  <c r="F371" i="2"/>
  <c r="G371" i="2"/>
  <c r="H371" i="2"/>
  <c r="F372" i="2"/>
  <c r="G372" i="2"/>
  <c r="H372" i="2"/>
  <c r="F373" i="2"/>
  <c r="G373" i="2"/>
  <c r="H373" i="2"/>
  <c r="F376" i="2"/>
  <c r="G376" i="2"/>
  <c r="F377" i="2"/>
  <c r="G377" i="2"/>
  <c r="F378" i="2"/>
  <c r="G378" i="2"/>
  <c r="F379" i="2"/>
  <c r="H379" i="2"/>
  <c r="G379" i="2"/>
  <c r="F380" i="2"/>
  <c r="H380" i="2"/>
  <c r="G380" i="2"/>
  <c r="F381" i="2"/>
  <c r="G381" i="2"/>
  <c r="H381" i="2"/>
  <c r="F382" i="2"/>
  <c r="G382" i="2"/>
  <c r="F383" i="2"/>
  <c r="G383" i="2"/>
  <c r="H383" i="2"/>
  <c r="F384" i="2"/>
  <c r="H384" i="2"/>
  <c r="G384" i="2"/>
  <c r="F385" i="2"/>
  <c r="G385" i="2"/>
  <c r="F386" i="2"/>
  <c r="H386" i="2"/>
  <c r="G386" i="2"/>
  <c r="F387" i="2"/>
  <c r="G387" i="2"/>
  <c r="H387" i="2"/>
  <c r="F389" i="2"/>
  <c r="G389" i="2"/>
  <c r="H389" i="2"/>
  <c r="F390" i="2"/>
  <c r="G390" i="2"/>
  <c r="F391" i="2"/>
  <c r="G391" i="2"/>
  <c r="F392" i="2"/>
  <c r="G392" i="2"/>
  <c r="H392" i="2"/>
  <c r="F393" i="2"/>
  <c r="G393" i="2"/>
  <c r="F394" i="2"/>
  <c r="G394" i="2"/>
  <c r="F395" i="2"/>
  <c r="G395" i="2"/>
  <c r="F396" i="2"/>
  <c r="G396" i="2"/>
  <c r="H396" i="2"/>
  <c r="F397" i="2"/>
  <c r="G397" i="2"/>
  <c r="H397" i="2"/>
  <c r="F398" i="2"/>
  <c r="G398" i="2"/>
  <c r="F399" i="2"/>
  <c r="G399" i="2"/>
  <c r="H399" i="2"/>
  <c r="F400" i="2"/>
  <c r="G400" i="2"/>
  <c r="F401" i="2"/>
  <c r="G401" i="2"/>
  <c r="F402" i="2"/>
  <c r="G402" i="2"/>
  <c r="F403" i="2"/>
  <c r="G403" i="2"/>
  <c r="H403" i="2"/>
  <c r="F404" i="2"/>
  <c r="G404" i="2"/>
  <c r="H404" i="2"/>
  <c r="F405" i="2"/>
  <c r="G405" i="2"/>
  <c r="H405" i="2"/>
  <c r="F406" i="2"/>
  <c r="G406" i="2"/>
  <c r="F407" i="2"/>
  <c r="G407" i="2"/>
  <c r="H407" i="2"/>
  <c r="F408" i="2"/>
  <c r="G408" i="2"/>
  <c r="F409" i="2"/>
  <c r="G409" i="2"/>
  <c r="F410" i="2"/>
  <c r="G410" i="2"/>
  <c r="F411" i="2"/>
  <c r="G411" i="2"/>
  <c r="H411" i="2"/>
  <c r="F412" i="2"/>
  <c r="G412" i="2"/>
  <c r="H412" i="2"/>
  <c r="F413" i="2"/>
  <c r="G413" i="2"/>
  <c r="H413" i="2"/>
  <c r="F414" i="2"/>
  <c r="G414" i="2"/>
  <c r="F415" i="2"/>
  <c r="G415" i="2"/>
  <c r="H415" i="2"/>
  <c r="F416" i="2"/>
  <c r="G416" i="2"/>
  <c r="F417" i="2"/>
  <c r="G417" i="2"/>
  <c r="F418" i="2"/>
  <c r="G418" i="2"/>
  <c r="F419" i="2"/>
  <c r="G419" i="2"/>
  <c r="H419" i="2"/>
  <c r="F420" i="2"/>
  <c r="G420" i="2"/>
  <c r="H420" i="2"/>
  <c r="F421" i="2"/>
  <c r="G421" i="2"/>
  <c r="H421" i="2"/>
  <c r="F422" i="2"/>
  <c r="G422" i="2"/>
  <c r="F423" i="2"/>
  <c r="G423" i="2"/>
  <c r="H423" i="2"/>
  <c r="F424" i="2"/>
  <c r="G424" i="2"/>
  <c r="F425" i="2"/>
  <c r="G425" i="2"/>
  <c r="F426" i="2"/>
  <c r="G426" i="2"/>
  <c r="F427" i="2"/>
  <c r="G427" i="2"/>
  <c r="H427" i="2"/>
  <c r="F428" i="2"/>
  <c r="G428" i="2"/>
  <c r="H428" i="2"/>
  <c r="F429" i="2"/>
  <c r="G429" i="2"/>
  <c r="H429" i="2"/>
  <c r="F430" i="2"/>
  <c r="G430" i="2"/>
  <c r="F431" i="2"/>
  <c r="G431" i="2"/>
  <c r="H431" i="2"/>
  <c r="F432" i="2"/>
  <c r="G432" i="2"/>
  <c r="F433" i="2"/>
  <c r="G433" i="2"/>
  <c r="F434" i="2"/>
  <c r="G434" i="2"/>
  <c r="F435" i="2"/>
  <c r="G435" i="2"/>
  <c r="H435" i="2"/>
  <c r="F436" i="2"/>
  <c r="G436" i="2"/>
  <c r="H436" i="2"/>
  <c r="F437" i="2"/>
  <c r="G437" i="2"/>
  <c r="H437" i="2"/>
  <c r="F438" i="2"/>
  <c r="G438" i="2"/>
  <c r="F439" i="2"/>
  <c r="G439" i="2"/>
  <c r="H439" i="2"/>
  <c r="F440" i="2"/>
  <c r="G440" i="2"/>
  <c r="F441" i="2"/>
  <c r="G441" i="2"/>
  <c r="F442" i="2"/>
  <c r="G442" i="2"/>
  <c r="F443" i="2"/>
  <c r="G443" i="2"/>
  <c r="H443" i="2"/>
  <c r="F444" i="2"/>
  <c r="G444" i="2"/>
  <c r="H444" i="2"/>
  <c r="F445" i="2"/>
  <c r="G445" i="2"/>
  <c r="H445" i="2"/>
  <c r="F446" i="2"/>
  <c r="G446" i="2"/>
  <c r="H446" i="2"/>
  <c r="F447" i="2"/>
  <c r="G447" i="2"/>
  <c r="F448" i="2"/>
  <c r="G448" i="2"/>
  <c r="F449" i="2"/>
  <c r="G449" i="2"/>
  <c r="H449" i="2"/>
  <c r="F450" i="2"/>
  <c r="G450" i="2"/>
  <c r="H450" i="2"/>
  <c r="F451" i="2"/>
  <c r="G451" i="2"/>
  <c r="F452" i="2"/>
  <c r="G452" i="2"/>
  <c r="H452" i="2"/>
  <c r="F453" i="2"/>
  <c r="G453" i="2"/>
  <c r="F454" i="2"/>
  <c r="G454" i="2"/>
  <c r="F455" i="2"/>
  <c r="G455" i="2"/>
  <c r="F456" i="2"/>
  <c r="G456" i="2"/>
  <c r="H456" i="2"/>
  <c r="F457" i="2"/>
  <c r="G457" i="2"/>
  <c r="H457" i="2"/>
  <c r="F458" i="2"/>
  <c r="G458" i="2"/>
  <c r="H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H464" i="2"/>
  <c r="F465" i="2"/>
  <c r="G465" i="2"/>
  <c r="F466" i="2"/>
  <c r="G466" i="2"/>
  <c r="F467" i="2"/>
  <c r="G467" i="2"/>
  <c r="F468" i="2"/>
  <c r="G468" i="2"/>
  <c r="H468" i="2"/>
  <c r="F469" i="2"/>
  <c r="G469" i="2"/>
  <c r="H469" i="2"/>
  <c r="F470" i="2"/>
  <c r="G470" i="2"/>
  <c r="H470" i="2"/>
  <c r="F471" i="2"/>
  <c r="G471" i="2"/>
  <c r="F472" i="2"/>
  <c r="G472" i="2"/>
  <c r="H472" i="2"/>
  <c r="F473" i="2"/>
  <c r="G473" i="2"/>
  <c r="F474" i="2"/>
  <c r="G474" i="2"/>
  <c r="F475" i="2"/>
  <c r="G475" i="2"/>
  <c r="F476" i="2"/>
  <c r="G476" i="2"/>
  <c r="H476" i="2"/>
  <c r="F477" i="2"/>
  <c r="G477" i="2"/>
  <c r="H477" i="2"/>
  <c r="F478" i="2"/>
  <c r="G478" i="2"/>
  <c r="H478" i="2"/>
  <c r="F275" i="8"/>
  <c r="G275" i="8"/>
  <c r="H275" i="8"/>
  <c r="F276" i="8"/>
  <c r="G276" i="8"/>
  <c r="F277" i="8"/>
  <c r="G277" i="8"/>
  <c r="F278" i="8"/>
  <c r="G278" i="8"/>
  <c r="F279" i="8"/>
  <c r="G279" i="8"/>
  <c r="H279" i="8"/>
  <c r="F280" i="8"/>
  <c r="G280" i="8"/>
  <c r="F281" i="8"/>
  <c r="H281" i="8"/>
  <c r="G281" i="8"/>
  <c r="F282" i="8"/>
  <c r="G282" i="8"/>
  <c r="F283" i="8"/>
  <c r="G283" i="8"/>
  <c r="H283" i="8"/>
  <c r="F284" i="8"/>
  <c r="G284" i="8"/>
  <c r="F285" i="8"/>
  <c r="H285" i="8"/>
  <c r="G285" i="8"/>
  <c r="F286" i="8"/>
  <c r="H286" i="8"/>
  <c r="G286" i="8"/>
  <c r="F287" i="8"/>
  <c r="G287" i="8"/>
  <c r="F288" i="8"/>
  <c r="G288" i="8"/>
  <c r="H288" i="8"/>
  <c r="F289" i="8"/>
  <c r="G289" i="8"/>
  <c r="H289" i="8"/>
  <c r="F290" i="8"/>
  <c r="G290" i="8"/>
  <c r="F291" i="8"/>
  <c r="G291" i="8"/>
  <c r="F292" i="8"/>
  <c r="G292" i="8"/>
  <c r="H292" i="8"/>
  <c r="F293" i="8"/>
  <c r="G293" i="8"/>
  <c r="F294" i="8"/>
  <c r="G294" i="8"/>
  <c r="F295" i="8"/>
  <c r="H295" i="8"/>
  <c r="G295" i="8"/>
  <c r="F296" i="8"/>
  <c r="G296" i="8"/>
  <c r="H296" i="8"/>
  <c r="F297" i="8"/>
  <c r="G297" i="8"/>
  <c r="F298" i="8"/>
  <c r="G298" i="8"/>
  <c r="F299" i="8"/>
  <c r="H299" i="8"/>
  <c r="G299" i="8"/>
  <c r="F300" i="8"/>
  <c r="G300" i="8"/>
  <c r="H300" i="8"/>
  <c r="F301" i="8"/>
  <c r="G301" i="8"/>
  <c r="H301" i="8"/>
  <c r="F302" i="8"/>
  <c r="G302" i="8"/>
  <c r="F303" i="8"/>
  <c r="H303" i="8"/>
  <c r="G303" i="8"/>
  <c r="H276" i="12"/>
  <c r="I276" i="12"/>
  <c r="H277" i="12"/>
  <c r="I277" i="12"/>
  <c r="H278" i="12"/>
  <c r="K278" i="12"/>
  <c r="I278" i="12"/>
  <c r="H279" i="12"/>
  <c r="I279" i="12"/>
  <c r="H280" i="12"/>
  <c r="I280" i="12"/>
  <c r="H281" i="12"/>
  <c r="I281" i="12"/>
  <c r="J281" i="12"/>
  <c r="H282" i="12"/>
  <c r="I282" i="12"/>
  <c r="J282" i="12"/>
  <c r="H283" i="12"/>
  <c r="I283" i="12"/>
  <c r="H284" i="12"/>
  <c r="I284" i="12"/>
  <c r="J284" i="12"/>
  <c r="H285" i="12"/>
  <c r="I285" i="12"/>
  <c r="J285" i="12"/>
  <c r="H286" i="12"/>
  <c r="I286" i="12"/>
  <c r="J286" i="12"/>
  <c r="H287" i="12"/>
  <c r="I287" i="12"/>
  <c r="J287" i="12"/>
  <c r="H288" i="12"/>
  <c r="I288" i="12"/>
  <c r="J288" i="12"/>
  <c r="H289" i="12"/>
  <c r="I289" i="12"/>
  <c r="H290" i="12"/>
  <c r="J290" i="12"/>
  <c r="I290" i="12"/>
  <c r="H291" i="12"/>
  <c r="H292" i="12"/>
  <c r="I292" i="12"/>
  <c r="J292" i="12"/>
  <c r="H293" i="12"/>
  <c r="J293" i="12"/>
  <c r="I293" i="12"/>
  <c r="H294" i="12"/>
  <c r="I294" i="12"/>
  <c r="H295" i="12"/>
  <c r="I295" i="12"/>
  <c r="J295" i="12"/>
  <c r="H296" i="12"/>
  <c r="I296" i="12"/>
  <c r="J296" i="12"/>
  <c r="H297" i="12"/>
  <c r="I297" i="12"/>
  <c r="I275" i="12"/>
  <c r="H275" i="12"/>
  <c r="I274" i="12"/>
  <c r="H274" i="12"/>
  <c r="I273" i="12"/>
  <c r="H273" i="12"/>
  <c r="I272" i="12"/>
  <c r="H272" i="12"/>
  <c r="I271" i="12"/>
  <c r="H271" i="12"/>
  <c r="I270" i="12"/>
  <c r="H270" i="12"/>
  <c r="I269" i="12"/>
  <c r="H269" i="12"/>
  <c r="I268" i="12"/>
  <c r="H268" i="12"/>
  <c r="I267" i="12"/>
  <c r="H267" i="12"/>
  <c r="I266" i="12"/>
  <c r="H266" i="12"/>
  <c r="I265" i="12"/>
  <c r="H265" i="12"/>
  <c r="I278" i="10"/>
  <c r="H280" i="4"/>
  <c r="H280" i="8"/>
  <c r="J280" i="12"/>
  <c r="K279" i="12"/>
  <c r="J265" i="12"/>
  <c r="J266" i="12"/>
  <c r="J267" i="12"/>
  <c r="J268" i="12"/>
  <c r="J269" i="12"/>
  <c r="J270" i="12"/>
  <c r="J271" i="12"/>
  <c r="J272" i="12"/>
  <c r="J273" i="12"/>
  <c r="J274" i="12"/>
  <c r="H297" i="8"/>
  <c r="H284" i="8"/>
  <c r="H474" i="2"/>
  <c r="H473" i="2"/>
  <c r="H466" i="2"/>
  <c r="H465" i="2"/>
  <c r="H462" i="2"/>
  <c r="H460" i="2"/>
  <c r="H454" i="2"/>
  <c r="H453" i="2"/>
  <c r="H448" i="2"/>
  <c r="H441" i="2"/>
  <c r="H440" i="2"/>
  <c r="H433" i="2"/>
  <c r="H432" i="2"/>
  <c r="H425" i="2"/>
  <c r="H424" i="2"/>
  <c r="H417" i="2"/>
  <c r="H416" i="2"/>
  <c r="H409" i="2"/>
  <c r="H408" i="2"/>
  <c r="H401" i="2"/>
  <c r="H400" i="2"/>
  <c r="H385" i="2"/>
  <c r="H377" i="2"/>
  <c r="H376" i="2"/>
  <c r="H368" i="2"/>
  <c r="H279" i="2"/>
  <c r="H361" i="2"/>
  <c r="H360" i="2"/>
  <c r="H353" i="2"/>
  <c r="H352" i="2"/>
  <c r="H345" i="2"/>
  <c r="H344" i="2"/>
  <c r="H337" i="2"/>
  <c r="H336" i="2"/>
  <c r="H329" i="2"/>
  <c r="H321" i="2"/>
  <c r="H320" i="2"/>
  <c r="H312" i="2"/>
  <c r="H297" i="2"/>
  <c r="H281" i="2"/>
  <c r="H280" i="2"/>
  <c r="H280" i="5"/>
  <c r="H279" i="5"/>
  <c r="H275" i="4"/>
  <c r="H319" i="4"/>
  <c r="H311" i="4"/>
  <c r="H300" i="4"/>
  <c r="H284" i="4"/>
  <c r="H297" i="11"/>
  <c r="H296" i="11"/>
  <c r="H281" i="11"/>
  <c r="H280" i="11"/>
  <c r="I310" i="9"/>
  <c r="I302" i="9"/>
  <c r="I294" i="9"/>
  <c r="I276" i="9"/>
  <c r="I446" i="10"/>
  <c r="I445" i="10"/>
  <c r="I437" i="10"/>
  <c r="I436" i="10"/>
  <c r="I429" i="10"/>
  <c r="I428" i="10"/>
  <c r="I421" i="10"/>
  <c r="I420" i="10"/>
  <c r="I413" i="10"/>
  <c r="I412" i="10"/>
  <c r="I405" i="10"/>
  <c r="I404" i="10"/>
  <c r="I403" i="10"/>
  <c r="I402" i="10"/>
  <c r="I395" i="10"/>
  <c r="I394" i="10"/>
  <c r="I387" i="10"/>
  <c r="I386" i="10"/>
  <c r="I379" i="10"/>
  <c r="I378" i="10"/>
  <c r="I370" i="10"/>
  <c r="I363" i="10"/>
  <c r="I355" i="10"/>
  <c r="I354" i="10"/>
  <c r="I347" i="10"/>
  <c r="I339" i="10"/>
  <c r="I338" i="10"/>
  <c r="I331" i="10"/>
  <c r="I330" i="10"/>
  <c r="I323" i="10"/>
  <c r="I322" i="10"/>
  <c r="I314" i="10"/>
  <c r="I306" i="10"/>
  <c r="I299" i="10"/>
  <c r="I298" i="10"/>
  <c r="I291" i="10"/>
  <c r="I283" i="10"/>
  <c r="I282" i="10"/>
  <c r="I277" i="10"/>
  <c r="I256" i="14"/>
  <c r="I248" i="14"/>
  <c r="I247" i="14"/>
  <c r="I240" i="14"/>
  <c r="I232" i="14"/>
  <c r="I228" i="14"/>
  <c r="H279" i="11"/>
  <c r="H279" i="4"/>
  <c r="I227" i="14"/>
  <c r="I279" i="9"/>
  <c r="I278" i="9"/>
  <c r="H278" i="5"/>
  <c r="J278" i="12"/>
  <c r="K275" i="12"/>
  <c r="J297" i="12"/>
  <c r="J279" i="12"/>
  <c r="K277" i="12"/>
  <c r="K276" i="12"/>
  <c r="H302" i="8"/>
  <c r="H298" i="8"/>
  <c r="H294" i="8"/>
  <c r="H278" i="8"/>
  <c r="H277" i="8"/>
  <c r="H475" i="2"/>
  <c r="H471" i="2"/>
  <c r="H467" i="2"/>
  <c r="H463" i="2"/>
  <c r="H461" i="2"/>
  <c r="H459" i="2"/>
  <c r="H455" i="2"/>
  <c r="H451" i="2"/>
  <c r="H447" i="2"/>
  <c r="H442" i="2"/>
  <c r="H438" i="2"/>
  <c r="H434" i="2"/>
  <c r="H430" i="2"/>
  <c r="H426" i="2"/>
  <c r="H422" i="2"/>
  <c r="H418" i="2"/>
  <c r="H414" i="2"/>
  <c r="H410" i="2"/>
  <c r="H406" i="2"/>
  <c r="H402" i="2"/>
  <c r="H398" i="2"/>
  <c r="H390" i="2"/>
  <c r="H382" i="2"/>
  <c r="H378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298" i="2"/>
  <c r="H294" i="2"/>
  <c r="H278" i="2"/>
  <c r="H277" i="2"/>
  <c r="H275" i="5"/>
  <c r="H297" i="5"/>
  <c r="H277" i="5"/>
  <c r="H276" i="5"/>
  <c r="H328" i="4"/>
  <c r="H320" i="4"/>
  <c r="H316" i="4"/>
  <c r="H308" i="4"/>
  <c r="H277" i="4"/>
  <c r="H302" i="4"/>
  <c r="H298" i="4"/>
  <c r="H294" i="4"/>
  <c r="H290" i="4"/>
  <c r="H286" i="4"/>
  <c r="H282" i="4"/>
  <c r="H278" i="4"/>
  <c r="H322" i="11"/>
  <c r="H318" i="11"/>
  <c r="H314" i="11"/>
  <c r="H302" i="11"/>
  <c r="H298" i="11"/>
  <c r="H294" i="11"/>
  <c r="H290" i="11"/>
  <c r="H278" i="11"/>
  <c r="H277" i="11"/>
  <c r="H278" i="7"/>
  <c r="I300" i="9"/>
  <c r="I288" i="9"/>
  <c r="I280" i="9"/>
  <c r="I447" i="10"/>
  <c r="I443" i="10"/>
  <c r="I442" i="10"/>
  <c r="I438" i="10"/>
  <c r="I434" i="10"/>
  <c r="I430" i="10"/>
  <c r="I426" i="10"/>
  <c r="I422" i="10"/>
  <c r="I418" i="10"/>
  <c r="I414" i="10"/>
  <c r="I410" i="10"/>
  <c r="I406" i="10"/>
  <c r="I277" i="9"/>
  <c r="I226" i="14"/>
  <c r="I400" i="10"/>
  <c r="I396" i="10"/>
  <c r="I388" i="10"/>
  <c r="I384" i="10"/>
  <c r="I380" i="10"/>
  <c r="I376" i="10"/>
  <c r="I372" i="10"/>
  <c r="I368" i="10"/>
  <c r="I364" i="10"/>
  <c r="I360" i="10"/>
  <c r="I356" i="10"/>
  <c r="I352" i="10"/>
  <c r="I348" i="10"/>
  <c r="I336" i="10"/>
  <c r="I332" i="10"/>
  <c r="I328" i="10"/>
  <c r="I324" i="10"/>
  <c r="I320" i="10"/>
  <c r="I312" i="10"/>
  <c r="I300" i="10"/>
  <c r="I296" i="10"/>
  <c r="I292" i="10"/>
  <c r="I280" i="10"/>
  <c r="I276" i="10"/>
  <c r="I275" i="10"/>
  <c r="I265" i="14"/>
  <c r="I261" i="14"/>
  <c r="I249" i="14"/>
  <c r="I245" i="14"/>
  <c r="I237" i="14"/>
  <c r="I233" i="14"/>
  <c r="I229" i="14"/>
  <c r="J277" i="12"/>
  <c r="H276" i="11"/>
  <c r="H276" i="4"/>
  <c r="H276" i="2"/>
  <c r="H276" i="8"/>
  <c r="J276" i="12"/>
  <c r="J275" i="12"/>
  <c r="G12" i="17"/>
  <c r="F12" i="17"/>
  <c r="H223" i="14"/>
  <c r="G223" i="14"/>
  <c r="H272" i="10"/>
  <c r="G272" i="10"/>
  <c r="H274" i="9"/>
  <c r="G274" i="9"/>
  <c r="I274" i="9"/>
  <c r="G277" i="7"/>
  <c r="F277" i="7"/>
  <c r="H277" i="7"/>
  <c r="G274" i="6"/>
  <c r="F274" i="6"/>
  <c r="G274" i="11"/>
  <c r="F274" i="11"/>
  <c r="G274" i="4"/>
  <c r="F274" i="4"/>
  <c r="G274" i="5"/>
  <c r="F274" i="5"/>
  <c r="G274" i="3"/>
  <c r="F274" i="3"/>
  <c r="G274" i="2"/>
  <c r="F274" i="2"/>
  <c r="G274" i="8"/>
  <c r="F274" i="8"/>
  <c r="K274" i="12"/>
  <c r="H274" i="8"/>
  <c r="H274" i="5"/>
  <c r="H274" i="4"/>
  <c r="H274" i="11"/>
  <c r="I223" i="14"/>
  <c r="I272" i="10"/>
  <c r="H274" i="3"/>
  <c r="H274" i="2"/>
  <c r="G11" i="17"/>
  <c r="F11" i="17"/>
  <c r="H222" i="14"/>
  <c r="G222" i="14"/>
  <c r="H271" i="10"/>
  <c r="G271" i="10"/>
  <c r="H273" i="9"/>
  <c r="G273" i="9"/>
  <c r="G276" i="7"/>
  <c r="F276" i="7"/>
  <c r="G273" i="6"/>
  <c r="F273" i="6"/>
  <c r="G273" i="11"/>
  <c r="F273" i="11"/>
  <c r="G273" i="4"/>
  <c r="F273" i="4"/>
  <c r="G273" i="5"/>
  <c r="F273" i="5"/>
  <c r="G273" i="3"/>
  <c r="F273" i="3"/>
  <c r="G273" i="2"/>
  <c r="H273" i="2"/>
  <c r="F273" i="2"/>
  <c r="G273" i="8"/>
  <c r="F273" i="8"/>
  <c r="K273" i="12"/>
  <c r="H273" i="4"/>
  <c r="H273" i="11"/>
  <c r="H276" i="7"/>
  <c r="I273" i="9"/>
  <c r="I271" i="10"/>
  <c r="H273" i="3"/>
  <c r="H273" i="5"/>
  <c r="I222" i="14"/>
  <c r="H273" i="8"/>
  <c r="G10" i="17"/>
  <c r="F10" i="17"/>
  <c r="H221" i="14"/>
  <c r="I221" i="14"/>
  <c r="G221" i="14"/>
  <c r="H270" i="10"/>
  <c r="I270" i="10"/>
  <c r="G270" i="10"/>
  <c r="H272" i="9"/>
  <c r="I272" i="9"/>
  <c r="G272" i="9"/>
  <c r="G275" i="7"/>
  <c r="H275" i="7"/>
  <c r="F275" i="7"/>
  <c r="G272" i="6"/>
  <c r="F272" i="6"/>
  <c r="G272" i="11"/>
  <c r="F272" i="11"/>
  <c r="G272" i="4"/>
  <c r="H272" i="4"/>
  <c r="F272" i="4"/>
  <c r="G272" i="5"/>
  <c r="H272" i="5"/>
  <c r="F272" i="5"/>
  <c r="G272" i="3"/>
  <c r="H272" i="3"/>
  <c r="F272" i="3"/>
  <c r="G272" i="2"/>
  <c r="H272" i="2"/>
  <c r="F272" i="2"/>
  <c r="G272" i="8"/>
  <c r="H272" i="8"/>
  <c r="F272" i="8"/>
  <c r="K272" i="12"/>
  <c r="H272" i="11"/>
  <c r="G9" i="17"/>
  <c r="F9" i="17"/>
  <c r="H220" i="14"/>
  <c r="G220" i="14"/>
  <c r="H269" i="10"/>
  <c r="G269" i="10"/>
  <c r="H271" i="9"/>
  <c r="G271" i="9"/>
  <c r="G274" i="7"/>
  <c r="F274" i="7"/>
  <c r="G271" i="6"/>
  <c r="F271" i="6"/>
  <c r="G271" i="11"/>
  <c r="F271" i="11"/>
  <c r="G271" i="4"/>
  <c r="H271" i="4"/>
  <c r="F271" i="4"/>
  <c r="G271" i="5"/>
  <c r="F271" i="5"/>
  <c r="G271" i="3"/>
  <c r="F271" i="3"/>
  <c r="G271" i="2"/>
  <c r="F271" i="2"/>
  <c r="G271" i="8"/>
  <c r="H271" i="8"/>
  <c r="F271" i="8"/>
  <c r="K271" i="12"/>
  <c r="H271" i="2"/>
  <c r="H271" i="5"/>
  <c r="H271" i="11"/>
  <c r="I271" i="9"/>
  <c r="I220" i="14"/>
  <c r="H274" i="7"/>
  <c r="I269" i="10"/>
  <c r="H271" i="3"/>
  <c r="G8" i="17"/>
  <c r="F8" i="17"/>
  <c r="H219" i="14"/>
  <c r="G219" i="14"/>
  <c r="H268" i="10"/>
  <c r="G268" i="10"/>
  <c r="H270" i="9"/>
  <c r="G270" i="9"/>
  <c r="G273" i="7"/>
  <c r="F273" i="7"/>
  <c r="G270" i="6"/>
  <c r="F270" i="6"/>
  <c r="G270" i="11"/>
  <c r="F270" i="11"/>
  <c r="G270" i="4"/>
  <c r="F270" i="4"/>
  <c r="H270" i="4"/>
  <c r="G270" i="5"/>
  <c r="F270" i="5"/>
  <c r="G270" i="3"/>
  <c r="H270" i="3"/>
  <c r="F270" i="3"/>
  <c r="G270" i="2"/>
  <c r="F270" i="2"/>
  <c r="G270" i="8"/>
  <c r="F270" i="8"/>
  <c r="K270" i="12"/>
  <c r="H273" i="7"/>
  <c r="I219" i="14"/>
  <c r="I270" i="9"/>
  <c r="H270" i="5"/>
  <c r="H270" i="2"/>
  <c r="H270" i="8"/>
  <c r="I268" i="10"/>
  <c r="H270" i="11"/>
  <c r="F7" i="17"/>
  <c r="G7" i="17"/>
  <c r="H218" i="14"/>
  <c r="G218" i="14"/>
  <c r="H267" i="10"/>
  <c r="G267" i="10"/>
  <c r="H269" i="9"/>
  <c r="G269" i="9"/>
  <c r="G272" i="7"/>
  <c r="H272" i="7"/>
  <c r="F272" i="7"/>
  <c r="G269" i="6"/>
  <c r="F269" i="6"/>
  <c r="G269" i="11"/>
  <c r="F269" i="11"/>
  <c r="G269" i="4"/>
  <c r="H269" i="4"/>
  <c r="F269" i="4"/>
  <c r="G269" i="5"/>
  <c r="F269" i="5"/>
  <c r="G269" i="3"/>
  <c r="H269" i="3"/>
  <c r="F269" i="3"/>
  <c r="G269" i="2"/>
  <c r="H269" i="2"/>
  <c r="F269" i="2"/>
  <c r="G269" i="8"/>
  <c r="H269" i="8"/>
  <c r="F269" i="8"/>
  <c r="K269" i="12"/>
  <c r="I267" i="10"/>
  <c r="H269" i="5"/>
  <c r="I218" i="14"/>
  <c r="I269" i="9"/>
  <c r="H269" i="11"/>
  <c r="F6" i="17"/>
  <c r="G6" i="17"/>
  <c r="H217" i="14"/>
  <c r="G217" i="14"/>
  <c r="H266" i="10"/>
  <c r="G266" i="10"/>
  <c r="H268" i="9"/>
  <c r="G268" i="9"/>
  <c r="G271" i="7"/>
  <c r="H271" i="7"/>
  <c r="F271" i="7"/>
  <c r="G267" i="6"/>
  <c r="G268" i="6"/>
  <c r="F267" i="6"/>
  <c r="F268" i="6"/>
  <c r="F268" i="11"/>
  <c r="H268" i="11"/>
  <c r="G268" i="11"/>
  <c r="G268" i="4"/>
  <c r="F268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G268" i="5"/>
  <c r="F268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G268" i="3"/>
  <c r="F268" i="3"/>
  <c r="G268" i="2"/>
  <c r="F268" i="2"/>
  <c r="G268" i="8"/>
  <c r="F268" i="8"/>
  <c r="K268" i="12"/>
  <c r="H268" i="4"/>
  <c r="I268" i="9"/>
  <c r="I266" i="10"/>
  <c r="I217" i="14"/>
  <c r="H268" i="8"/>
  <c r="H268" i="2"/>
  <c r="H268" i="3"/>
  <c r="H268" i="5"/>
  <c r="K266" i="12"/>
  <c r="K267" i="12"/>
  <c r="F5" i="17"/>
  <c r="G5" i="17"/>
  <c r="H216" i="14"/>
  <c r="G216" i="14"/>
  <c r="H265" i="10"/>
  <c r="G265" i="10"/>
  <c r="H267" i="9"/>
  <c r="G267" i="9"/>
  <c r="G270" i="7"/>
  <c r="F270" i="7"/>
  <c r="G266" i="11"/>
  <c r="G267" i="11"/>
  <c r="F267" i="11"/>
  <c r="G267" i="4"/>
  <c r="F267" i="4"/>
  <c r="H267" i="4"/>
  <c r="G267" i="5"/>
  <c r="F267" i="5"/>
  <c r="G267" i="3"/>
  <c r="F267" i="3"/>
  <c r="G267" i="2"/>
  <c r="F267" i="2"/>
  <c r="G267" i="8"/>
  <c r="F267" i="8"/>
  <c r="H267" i="8"/>
  <c r="H267" i="2"/>
  <c r="H267" i="3"/>
  <c r="H267" i="5"/>
  <c r="H267" i="11"/>
  <c r="H270" i="7"/>
  <c r="I267" i="9"/>
  <c r="I265" i="10"/>
  <c r="I216" i="14"/>
  <c r="G4" i="17"/>
  <c r="F4" i="17"/>
  <c r="H215" i="14"/>
  <c r="G215" i="14"/>
  <c r="H264" i="10"/>
  <c r="G264" i="10"/>
  <c r="H266" i="9"/>
  <c r="G266" i="9"/>
  <c r="G269" i="7"/>
  <c r="F269" i="7"/>
  <c r="F266" i="11"/>
  <c r="H266" i="11"/>
  <c r="G266" i="4"/>
  <c r="F266" i="4"/>
  <c r="G266" i="5"/>
  <c r="F266" i="5"/>
  <c r="H266" i="5"/>
  <c r="G266" i="3"/>
  <c r="F266" i="3"/>
  <c r="G266" i="2"/>
  <c r="F266" i="2"/>
  <c r="G266" i="8"/>
  <c r="F266" i="8"/>
  <c r="H269" i="7"/>
  <c r="I266" i="9"/>
  <c r="I264" i="10"/>
  <c r="I215" i="14"/>
  <c r="H266" i="8"/>
  <c r="H266" i="2"/>
  <c r="H266" i="3"/>
  <c r="H266" i="4"/>
  <c r="H214" i="14"/>
  <c r="G214" i="14"/>
  <c r="H263" i="10"/>
  <c r="G263" i="10"/>
  <c r="I263" i="10"/>
  <c r="H265" i="9"/>
  <c r="G265" i="9"/>
  <c r="I265" i="9"/>
  <c r="G268" i="7"/>
  <c r="F268" i="7"/>
  <c r="H268" i="7"/>
  <c r="G265" i="6"/>
  <c r="F265" i="6"/>
  <c r="H265" i="6"/>
  <c r="G265" i="11"/>
  <c r="F265" i="11"/>
  <c r="H265" i="11"/>
  <c r="G265" i="4"/>
  <c r="F265" i="4"/>
  <c r="H265" i="4"/>
  <c r="G265" i="5"/>
  <c r="F265" i="5"/>
  <c r="G265" i="3"/>
  <c r="F265" i="3"/>
  <c r="H265" i="3"/>
  <c r="G265" i="2"/>
  <c r="F265" i="2"/>
  <c r="H265" i="2"/>
  <c r="G265" i="8"/>
  <c r="F265" i="8"/>
  <c r="H265" i="8"/>
  <c r="I214" i="14"/>
  <c r="H265" i="5"/>
  <c r="H213" i="14"/>
  <c r="G213" i="14"/>
  <c r="H262" i="10"/>
  <c r="G262" i="10"/>
  <c r="H264" i="9"/>
  <c r="G264" i="9"/>
  <c r="G267" i="7"/>
  <c r="F267" i="7"/>
  <c r="G264" i="6"/>
  <c r="F264" i="6"/>
  <c r="H264" i="6"/>
  <c r="G264" i="11"/>
  <c r="F264" i="11"/>
  <c r="G264" i="4"/>
  <c r="H264" i="4"/>
  <c r="F264" i="4"/>
  <c r="G264" i="5"/>
  <c r="F264" i="5"/>
  <c r="G264" i="3"/>
  <c r="F264" i="3"/>
  <c r="G264" i="2"/>
  <c r="F264" i="2"/>
  <c r="G264" i="8"/>
  <c r="F264" i="8"/>
  <c r="I264" i="12"/>
  <c r="J264" i="12"/>
  <c r="H264" i="12"/>
  <c r="K265" i="12"/>
  <c r="H264" i="8"/>
  <c r="H264" i="2"/>
  <c r="H264" i="3"/>
  <c r="H264" i="11"/>
  <c r="H267" i="7"/>
  <c r="I264" i="9"/>
  <c r="I262" i="10"/>
  <c r="I213" i="14"/>
  <c r="H264" i="5"/>
  <c r="H212" i="14"/>
  <c r="G212" i="14"/>
  <c r="H261" i="10"/>
  <c r="G261" i="10"/>
  <c r="H263" i="9"/>
  <c r="G263" i="9"/>
  <c r="G266" i="7"/>
  <c r="F266" i="7"/>
  <c r="G263" i="6"/>
  <c r="F263" i="6"/>
  <c r="G263" i="11"/>
  <c r="F263" i="11"/>
  <c r="G263" i="4"/>
  <c r="F263" i="4"/>
  <c r="G263" i="5"/>
  <c r="F263" i="5"/>
  <c r="G263" i="3"/>
  <c r="F263" i="3"/>
  <c r="G263" i="2"/>
  <c r="F263" i="2"/>
  <c r="G263" i="8"/>
  <c r="F263" i="8"/>
  <c r="I263" i="12"/>
  <c r="J263" i="12"/>
  <c r="H263" i="12"/>
  <c r="K264" i="12"/>
  <c r="H263" i="8"/>
  <c r="H263" i="2"/>
  <c r="H263" i="3"/>
  <c r="H263" i="4"/>
  <c r="H263" i="11"/>
  <c r="H263" i="6"/>
  <c r="H266" i="7"/>
  <c r="I263" i="9"/>
  <c r="I261" i="10"/>
  <c r="I212" i="14"/>
  <c r="H263" i="5"/>
  <c r="H211" i="14"/>
  <c r="G211" i="14"/>
  <c r="H260" i="10"/>
  <c r="G260" i="10"/>
  <c r="H262" i="9"/>
  <c r="G262" i="9"/>
  <c r="G265" i="7"/>
  <c r="F265" i="7"/>
  <c r="G262" i="6"/>
  <c r="F262" i="6"/>
  <c r="H262" i="6"/>
  <c r="G262" i="11"/>
  <c r="F262" i="11"/>
  <c r="G262" i="4"/>
  <c r="H262" i="4"/>
  <c r="F262" i="4"/>
  <c r="G262" i="5"/>
  <c r="F262" i="5"/>
  <c r="G262" i="3"/>
  <c r="F262" i="3"/>
  <c r="G262" i="2"/>
  <c r="F262" i="2"/>
  <c r="G262" i="8"/>
  <c r="F262" i="8"/>
  <c r="I262" i="12"/>
  <c r="J262" i="12"/>
  <c r="H262" i="12"/>
  <c r="K263" i="12"/>
  <c r="H262" i="8"/>
  <c r="H262" i="2"/>
  <c r="H262" i="3"/>
  <c r="H262" i="11"/>
  <c r="H265" i="7"/>
  <c r="I262" i="9"/>
  <c r="I260" i="10"/>
  <c r="I211" i="14"/>
  <c r="H262" i="5"/>
  <c r="H210" i="14"/>
  <c r="G210" i="14"/>
  <c r="H259" i="10"/>
  <c r="G259" i="10"/>
  <c r="H261" i="9"/>
  <c r="G261" i="9"/>
  <c r="G264" i="7"/>
  <c r="F264" i="7"/>
  <c r="G261" i="6"/>
  <c r="F261" i="6"/>
  <c r="G261" i="11"/>
  <c r="F261" i="11"/>
  <c r="G261" i="4"/>
  <c r="F261" i="4"/>
  <c r="G261" i="5"/>
  <c r="F261" i="5"/>
  <c r="G261" i="3"/>
  <c r="F261" i="3"/>
  <c r="G261" i="2"/>
  <c r="F261" i="2"/>
  <c r="G261" i="8"/>
  <c r="F261" i="8"/>
  <c r="I261" i="12"/>
  <c r="J261" i="12"/>
  <c r="H261" i="12"/>
  <c r="K262" i="12"/>
  <c r="H261" i="8"/>
  <c r="H261" i="2"/>
  <c r="H261" i="3"/>
  <c r="H261" i="4"/>
  <c r="H261" i="11"/>
  <c r="H261" i="6"/>
  <c r="H264" i="7"/>
  <c r="I261" i="9"/>
  <c r="I259" i="10"/>
  <c r="I210" i="14"/>
  <c r="H261" i="5"/>
  <c r="H209" i="14"/>
  <c r="G209" i="14"/>
  <c r="G258" i="10"/>
  <c r="H258" i="10"/>
  <c r="H260" i="9"/>
  <c r="G260" i="9"/>
  <c r="G263" i="7"/>
  <c r="F263" i="7"/>
  <c r="G260" i="6"/>
  <c r="F260" i="6"/>
  <c r="G260" i="11"/>
  <c r="F260" i="11"/>
  <c r="G260" i="4"/>
  <c r="F260" i="4"/>
  <c r="G260" i="5"/>
  <c r="F260" i="5"/>
  <c r="G260" i="3"/>
  <c r="F260" i="3"/>
  <c r="G260" i="2"/>
  <c r="F260" i="2"/>
  <c r="G260" i="8"/>
  <c r="F260" i="8"/>
  <c r="I260" i="12"/>
  <c r="J260" i="12"/>
  <c r="H260" i="12"/>
  <c r="H260" i="8"/>
  <c r="H260" i="2"/>
  <c r="H260" i="3"/>
  <c r="H260" i="4"/>
  <c r="H260" i="11"/>
  <c r="H260" i="6"/>
  <c r="H263" i="7"/>
  <c r="I260" i="9"/>
  <c r="I258" i="10"/>
  <c r="I209" i="14"/>
  <c r="K261" i="12"/>
  <c r="H260" i="5"/>
  <c r="H208" i="14"/>
  <c r="G208" i="14"/>
  <c r="I208" i="14"/>
  <c r="H257" i="10"/>
  <c r="G257" i="10"/>
  <c r="I257" i="10"/>
  <c r="H259" i="9"/>
  <c r="G259" i="9"/>
  <c r="I259" i="9"/>
  <c r="G262" i="7"/>
  <c r="F262" i="7"/>
  <c r="H262" i="7"/>
  <c r="G259" i="6"/>
  <c r="F259" i="6"/>
  <c r="H259" i="6"/>
  <c r="G259" i="11"/>
  <c r="F259" i="11"/>
  <c r="H259" i="11"/>
  <c r="G259" i="4"/>
  <c r="F259" i="4"/>
  <c r="H259" i="4"/>
  <c r="F259" i="5"/>
  <c r="G259" i="5"/>
  <c r="F259" i="3"/>
  <c r="G259" i="3"/>
  <c r="H259" i="3"/>
  <c r="F259" i="2"/>
  <c r="G259" i="2"/>
  <c r="F259" i="8"/>
  <c r="G259" i="8"/>
  <c r="H259" i="8"/>
  <c r="I259" i="12"/>
  <c r="J259" i="12"/>
  <c r="H259" i="12"/>
  <c r="K260" i="12"/>
  <c r="H259" i="2"/>
  <c r="H259" i="5"/>
  <c r="H207" i="14"/>
  <c r="G207" i="14"/>
  <c r="I207" i="14"/>
  <c r="H256" i="10"/>
  <c r="G256" i="10"/>
  <c r="I256" i="10"/>
  <c r="G258" i="9"/>
  <c r="H258" i="9"/>
  <c r="I258" i="9"/>
  <c r="F261" i="7"/>
  <c r="G261" i="7"/>
  <c r="H261" i="7"/>
  <c r="F258" i="6"/>
  <c r="G258" i="6"/>
  <c r="G258" i="11"/>
  <c r="F258" i="11"/>
  <c r="G258" i="4"/>
  <c r="H258" i="4"/>
  <c r="F258" i="4"/>
  <c r="G258" i="5"/>
  <c r="F258" i="5"/>
  <c r="G258" i="3"/>
  <c r="F258" i="3"/>
  <c r="G258" i="2"/>
  <c r="F258" i="2"/>
  <c r="G258" i="8"/>
  <c r="F258" i="8"/>
  <c r="I258" i="12"/>
  <c r="J258" i="12"/>
  <c r="H258" i="12"/>
  <c r="K259" i="12"/>
  <c r="H258" i="8"/>
  <c r="H258" i="5"/>
  <c r="H258" i="2"/>
  <c r="H258" i="3"/>
  <c r="H258" i="11"/>
  <c r="H206" i="14"/>
  <c r="G206" i="14"/>
  <c r="H255" i="10"/>
  <c r="G255" i="10"/>
  <c r="H257" i="9"/>
  <c r="G257" i="9"/>
  <c r="G260" i="7"/>
  <c r="F260" i="7"/>
  <c r="G257" i="6"/>
  <c r="F257" i="6"/>
  <c r="H257" i="6"/>
  <c r="G257" i="11"/>
  <c r="F257" i="11"/>
  <c r="G257" i="4"/>
  <c r="F257" i="4"/>
  <c r="G257" i="5"/>
  <c r="F257" i="5"/>
  <c r="G257" i="3"/>
  <c r="F257" i="3"/>
  <c r="G257" i="2"/>
  <c r="F257" i="2"/>
  <c r="G257" i="8"/>
  <c r="F257" i="8"/>
  <c r="I257" i="12"/>
  <c r="J257" i="12"/>
  <c r="H257" i="12"/>
  <c r="K258" i="12"/>
  <c r="H257" i="8"/>
  <c r="H257" i="2"/>
  <c r="H257" i="3"/>
  <c r="H257" i="4"/>
  <c r="H257" i="11"/>
  <c r="H260" i="7"/>
  <c r="I257" i="9"/>
  <c r="I255" i="10"/>
  <c r="I206" i="14"/>
  <c r="H257" i="5"/>
  <c r="H205" i="14"/>
  <c r="G205" i="14"/>
  <c r="H254" i="10"/>
  <c r="G254" i="10"/>
  <c r="H256" i="9"/>
  <c r="G256" i="9"/>
  <c r="G259" i="7"/>
  <c r="F259" i="7"/>
  <c r="G256" i="6"/>
  <c r="F256" i="6"/>
  <c r="H256" i="6"/>
  <c r="G256" i="11"/>
  <c r="F256" i="11"/>
  <c r="G256" i="4"/>
  <c r="H256" i="4"/>
  <c r="F256" i="4"/>
  <c r="G256" i="5"/>
  <c r="F256" i="5"/>
  <c r="G256" i="3"/>
  <c r="F256" i="3"/>
  <c r="G256" i="2"/>
  <c r="F256" i="2"/>
  <c r="G256" i="8"/>
  <c r="F256" i="8"/>
  <c r="I256" i="12"/>
  <c r="J256" i="12"/>
  <c r="H256" i="12"/>
  <c r="K257" i="12"/>
  <c r="H256" i="8"/>
  <c r="H256" i="2"/>
  <c r="H256" i="3"/>
  <c r="H256" i="11"/>
  <c r="H259" i="7"/>
  <c r="I256" i="9"/>
  <c r="I254" i="10"/>
  <c r="I205" i="14"/>
  <c r="H256" i="5"/>
  <c r="H204" i="14"/>
  <c r="G204" i="14"/>
  <c r="H253" i="10"/>
  <c r="G253" i="10"/>
  <c r="H255" i="9"/>
  <c r="G255" i="9"/>
  <c r="G258" i="7"/>
  <c r="F258" i="7"/>
  <c r="G255" i="6"/>
  <c r="F255" i="6"/>
  <c r="G255" i="11"/>
  <c r="F255" i="11"/>
  <c r="G255" i="4"/>
  <c r="F255" i="4"/>
  <c r="H255" i="4"/>
  <c r="G255" i="5"/>
  <c r="F255" i="5"/>
  <c r="G255" i="3"/>
  <c r="F255" i="3"/>
  <c r="G255" i="2"/>
  <c r="F255" i="2"/>
  <c r="G255" i="8"/>
  <c r="F255" i="8"/>
  <c r="I255" i="12"/>
  <c r="J255" i="12"/>
  <c r="H255" i="12"/>
  <c r="K256" i="12"/>
  <c r="H255" i="8"/>
  <c r="H255" i="5"/>
  <c r="H255" i="11"/>
  <c r="H255" i="6"/>
  <c r="H258" i="7"/>
  <c r="I255" i="9"/>
  <c r="I253" i="10"/>
  <c r="I204" i="14"/>
  <c r="H255" i="2"/>
  <c r="H255" i="3"/>
  <c r="H203" i="14"/>
  <c r="G203" i="14"/>
  <c r="H252" i="10"/>
  <c r="G252" i="10"/>
  <c r="H254" i="9"/>
  <c r="G254" i="9"/>
  <c r="G257" i="7"/>
  <c r="F257" i="7"/>
  <c r="G254" i="6"/>
  <c r="F254" i="6"/>
  <c r="H254" i="6"/>
  <c r="G254" i="11"/>
  <c r="F254" i="11"/>
  <c r="G254" i="4"/>
  <c r="F254" i="4"/>
  <c r="G254" i="5"/>
  <c r="F254" i="5"/>
  <c r="G254" i="3"/>
  <c r="F254" i="3"/>
  <c r="G254" i="2"/>
  <c r="F254" i="2"/>
  <c r="G254" i="8"/>
  <c r="F254" i="8"/>
  <c r="I254" i="12"/>
  <c r="J254" i="12"/>
  <c r="H254" i="12"/>
  <c r="K255" i="12"/>
  <c r="H254" i="8"/>
  <c r="H254" i="5"/>
  <c r="H254" i="11"/>
  <c r="H257" i="7"/>
  <c r="I254" i="9"/>
  <c r="I252" i="10"/>
  <c r="I203" i="14"/>
  <c r="H254" i="2"/>
  <c r="H254" i="3"/>
  <c r="H254" i="4"/>
  <c r="H202" i="14"/>
  <c r="G202" i="14"/>
  <c r="H251" i="10"/>
  <c r="G251" i="10"/>
  <c r="H253" i="9"/>
  <c r="G253" i="9"/>
  <c r="G256" i="7"/>
  <c r="F256" i="7"/>
  <c r="G253" i="6"/>
  <c r="F253" i="6"/>
  <c r="G253" i="11"/>
  <c r="F253" i="11"/>
  <c r="G253" i="4"/>
  <c r="F253" i="4"/>
  <c r="H253" i="4"/>
  <c r="G253" i="5"/>
  <c r="F253" i="5"/>
  <c r="G253" i="3"/>
  <c r="F253" i="3"/>
  <c r="G253" i="2"/>
  <c r="F253" i="2"/>
  <c r="G253" i="8"/>
  <c r="F253" i="8"/>
  <c r="I253" i="12"/>
  <c r="J253" i="12"/>
  <c r="H253" i="12"/>
  <c r="K254" i="12"/>
  <c r="H253" i="8"/>
  <c r="H253" i="5"/>
  <c r="H253" i="11"/>
  <c r="H253" i="6"/>
  <c r="H256" i="7"/>
  <c r="I253" i="9"/>
  <c r="I251" i="10"/>
  <c r="I202" i="14"/>
  <c r="H253" i="2"/>
  <c r="H253" i="3"/>
  <c r="H201" i="14"/>
  <c r="G201" i="14"/>
  <c r="H250" i="10"/>
  <c r="G250" i="10"/>
  <c r="I250" i="10"/>
  <c r="H252" i="9"/>
  <c r="G252" i="9"/>
  <c r="I252" i="9"/>
  <c r="G255" i="7"/>
  <c r="F255" i="7"/>
  <c r="H255" i="7"/>
  <c r="G252" i="6"/>
  <c r="F252" i="6"/>
  <c r="H252" i="6"/>
  <c r="G252" i="11"/>
  <c r="F252" i="11"/>
  <c r="H252" i="11"/>
  <c r="G252" i="4"/>
  <c r="F252" i="4"/>
  <c r="G252" i="5"/>
  <c r="F252" i="5"/>
  <c r="H252" i="5"/>
  <c r="G252" i="3"/>
  <c r="F252" i="3"/>
  <c r="G252" i="2"/>
  <c r="F252" i="2"/>
  <c r="G252" i="8"/>
  <c r="F252" i="8"/>
  <c r="H252" i="8"/>
  <c r="I252" i="12"/>
  <c r="H252" i="12"/>
  <c r="K253" i="12"/>
  <c r="J252" i="12"/>
  <c r="I201" i="14"/>
  <c r="H252" i="2"/>
  <c r="H252" i="3"/>
  <c r="H252" i="4"/>
  <c r="H200" i="14"/>
  <c r="G200" i="14"/>
  <c r="H249" i="10"/>
  <c r="G249" i="10"/>
  <c r="I249" i="10"/>
  <c r="H251" i="9"/>
  <c r="G251" i="9"/>
  <c r="G254" i="7"/>
  <c r="F254" i="7"/>
  <c r="H254" i="7"/>
  <c r="G251" i="6"/>
  <c r="F251" i="6"/>
  <c r="H251" i="6"/>
  <c r="G251" i="11"/>
  <c r="F251" i="11"/>
  <c r="H251" i="11"/>
  <c r="G251" i="4"/>
  <c r="F251" i="4"/>
  <c r="G251" i="5"/>
  <c r="F251" i="5"/>
  <c r="H251" i="5"/>
  <c r="G251" i="3"/>
  <c r="F251" i="3"/>
  <c r="G251" i="2"/>
  <c r="F251" i="2"/>
  <c r="H251" i="2"/>
  <c r="G251" i="8"/>
  <c r="F251" i="8"/>
  <c r="I251" i="12"/>
  <c r="H251" i="12"/>
  <c r="K252" i="12"/>
  <c r="J251" i="12"/>
  <c r="H251" i="8"/>
  <c r="H251" i="3"/>
  <c r="H251" i="4"/>
  <c r="I251" i="9"/>
  <c r="I200" i="14"/>
  <c r="H199" i="14"/>
  <c r="G199" i="14"/>
  <c r="H248" i="10"/>
  <c r="G248" i="10"/>
  <c r="H250" i="9"/>
  <c r="G250" i="9"/>
  <c r="I250" i="9"/>
  <c r="G253" i="7"/>
  <c r="F253" i="7"/>
  <c r="G250" i="6"/>
  <c r="F250" i="6"/>
  <c r="H250" i="6"/>
  <c r="G250" i="11"/>
  <c r="F250" i="11"/>
  <c r="G250" i="4"/>
  <c r="F250" i="4"/>
  <c r="H250" i="4"/>
  <c r="G250" i="5"/>
  <c r="F250" i="5"/>
  <c r="G250" i="3"/>
  <c r="F250" i="3"/>
  <c r="H250" i="3"/>
  <c r="G250" i="2"/>
  <c r="F250" i="2"/>
  <c r="G250" i="8"/>
  <c r="F250" i="8"/>
  <c r="H250" i="8"/>
  <c r="I250" i="12"/>
  <c r="H250" i="12"/>
  <c r="K251" i="12"/>
  <c r="I199" i="14"/>
  <c r="J250" i="12"/>
  <c r="H250" i="2"/>
  <c r="H250" i="5"/>
  <c r="H250" i="11"/>
  <c r="H253" i="7"/>
  <c r="I248" i="10"/>
  <c r="H198" i="14"/>
  <c r="G198" i="14"/>
  <c r="H247" i="10"/>
  <c r="G247" i="10"/>
  <c r="H249" i="9"/>
  <c r="G249" i="9"/>
  <c r="I249" i="9"/>
  <c r="G252" i="7"/>
  <c r="F252" i="7"/>
  <c r="G249" i="6"/>
  <c r="F249" i="6"/>
  <c r="H249" i="6"/>
  <c r="G249" i="11"/>
  <c r="F249" i="11"/>
  <c r="G249" i="4"/>
  <c r="F249" i="4"/>
  <c r="H249" i="4"/>
  <c r="G249" i="5"/>
  <c r="F249" i="5"/>
  <c r="G249" i="3"/>
  <c r="F249" i="3"/>
  <c r="H249" i="3"/>
  <c r="G249" i="2"/>
  <c r="F249" i="2"/>
  <c r="G249" i="8"/>
  <c r="F249" i="8"/>
  <c r="H249" i="8"/>
  <c r="I249" i="12"/>
  <c r="J249" i="12"/>
  <c r="H249" i="12"/>
  <c r="K250" i="12"/>
  <c r="I198" i="14"/>
  <c r="H249" i="2"/>
  <c r="H249" i="5"/>
  <c r="H249" i="11"/>
  <c r="H252" i="7"/>
  <c r="I247" i="10"/>
  <c r="H197" i="14"/>
  <c r="G197" i="14"/>
  <c r="I197" i="14"/>
  <c r="H246" i="10"/>
  <c r="G246" i="10"/>
  <c r="H248" i="9"/>
  <c r="G248" i="9"/>
  <c r="I248" i="9"/>
  <c r="G251" i="7"/>
  <c r="F251" i="7"/>
  <c r="G248" i="6"/>
  <c r="F248" i="6"/>
  <c r="H248" i="6"/>
  <c r="G248" i="11"/>
  <c r="F248" i="11"/>
  <c r="G248" i="4"/>
  <c r="F248" i="4"/>
  <c r="H248" i="4"/>
  <c r="G248" i="5"/>
  <c r="F248" i="5"/>
  <c r="G248" i="3"/>
  <c r="F248" i="3"/>
  <c r="H248" i="3"/>
  <c r="G248" i="2"/>
  <c r="F248" i="2"/>
  <c r="G248" i="8"/>
  <c r="F248" i="8"/>
  <c r="H248" i="8"/>
  <c r="I248" i="12"/>
  <c r="H248" i="12"/>
  <c r="K249" i="12"/>
  <c r="J248" i="12"/>
  <c r="H248" i="2"/>
  <c r="H248" i="5"/>
  <c r="H248" i="11"/>
  <c r="H251" i="7"/>
  <c r="I246" i="10"/>
  <c r="H196" i="14"/>
  <c r="G196" i="14"/>
  <c r="I196" i="14"/>
  <c r="H245" i="10"/>
  <c r="G245" i="10"/>
  <c r="H247" i="9"/>
  <c r="G247" i="9"/>
  <c r="I247" i="9"/>
  <c r="G250" i="7"/>
  <c r="F250" i="7"/>
  <c r="G247" i="6"/>
  <c r="F247" i="6"/>
  <c r="H247" i="6"/>
  <c r="G247" i="11"/>
  <c r="F247" i="11"/>
  <c r="G247" i="4"/>
  <c r="F247" i="4"/>
  <c r="H247" i="4"/>
  <c r="G247" i="5"/>
  <c r="F247" i="5"/>
  <c r="G247" i="3"/>
  <c r="F247" i="3"/>
  <c r="H247" i="3"/>
  <c r="G247" i="2"/>
  <c r="F247" i="2"/>
  <c r="G247" i="8"/>
  <c r="F247" i="8"/>
  <c r="H247" i="8"/>
  <c r="I247" i="12"/>
  <c r="H247" i="12"/>
  <c r="K248" i="12"/>
  <c r="J247" i="12"/>
  <c r="H247" i="2"/>
  <c r="H247" i="5"/>
  <c r="H247" i="11"/>
  <c r="H250" i="7"/>
  <c r="I245" i="10"/>
  <c r="H195" i="14"/>
  <c r="G195" i="14"/>
  <c r="I195" i="14"/>
  <c r="H244" i="10"/>
  <c r="G244" i="10"/>
  <c r="H246" i="9"/>
  <c r="G246" i="9"/>
  <c r="I246" i="9"/>
  <c r="G249" i="7"/>
  <c r="F249" i="7"/>
  <c r="G246" i="6"/>
  <c r="F246" i="6"/>
  <c r="H246" i="6"/>
  <c r="G246" i="11"/>
  <c r="F246" i="11"/>
  <c r="G246" i="4"/>
  <c r="F246" i="4"/>
  <c r="H246" i="4"/>
  <c r="G246" i="5"/>
  <c r="F246" i="5"/>
  <c r="G246" i="3"/>
  <c r="F246" i="3"/>
  <c r="H246" i="3"/>
  <c r="G246" i="2"/>
  <c r="F246" i="2"/>
  <c r="G246" i="8"/>
  <c r="F246" i="8"/>
  <c r="H246" i="8"/>
  <c r="I246" i="12"/>
  <c r="H246" i="12"/>
  <c r="K247" i="12"/>
  <c r="J246" i="12"/>
  <c r="H246" i="2"/>
  <c r="H246" i="5"/>
  <c r="H246" i="11"/>
  <c r="H249" i="7"/>
  <c r="I244" i="10"/>
  <c r="H194" i="14"/>
  <c r="G194" i="14"/>
  <c r="I194" i="14"/>
  <c r="H243" i="10"/>
  <c r="G243" i="10"/>
  <c r="H245" i="9"/>
  <c r="G245" i="9"/>
  <c r="I245" i="9"/>
  <c r="G248" i="7"/>
  <c r="F248" i="7"/>
  <c r="G245" i="6"/>
  <c r="F245" i="6"/>
  <c r="H245" i="6"/>
  <c r="G245" i="11"/>
  <c r="F245" i="11"/>
  <c r="G245" i="4"/>
  <c r="F245" i="4"/>
  <c r="H245" i="4"/>
  <c r="G245" i="5"/>
  <c r="F245" i="5"/>
  <c r="G245" i="3"/>
  <c r="F245" i="3"/>
  <c r="H245" i="3"/>
  <c r="G245" i="2"/>
  <c r="F245" i="2"/>
  <c r="G245" i="8"/>
  <c r="F245" i="8"/>
  <c r="H245" i="8"/>
  <c r="I245" i="12"/>
  <c r="H245" i="12"/>
  <c r="K246" i="12"/>
  <c r="J245" i="12"/>
  <c r="H245" i="2"/>
  <c r="H245" i="5"/>
  <c r="H245" i="11"/>
  <c r="H248" i="7"/>
  <c r="I243" i="10"/>
  <c r="H193" i="14"/>
  <c r="G193" i="14"/>
  <c r="I193" i="14"/>
  <c r="H242" i="10"/>
  <c r="G242" i="10"/>
  <c r="H244" i="9"/>
  <c r="G244" i="9"/>
  <c r="I244" i="9"/>
  <c r="G247" i="7"/>
  <c r="F247" i="7"/>
  <c r="G244" i="6"/>
  <c r="F244" i="6"/>
  <c r="H244" i="6"/>
  <c r="G244" i="11"/>
  <c r="F244" i="11"/>
  <c r="G244" i="4"/>
  <c r="F244" i="4"/>
  <c r="H244" i="4"/>
  <c r="G244" i="5"/>
  <c r="F244" i="5"/>
  <c r="G244" i="3"/>
  <c r="F244" i="3"/>
  <c r="H244" i="3"/>
  <c r="G244" i="2"/>
  <c r="F244" i="2"/>
  <c r="G244" i="8"/>
  <c r="F244" i="8"/>
  <c r="H244" i="8"/>
  <c r="I244" i="12"/>
  <c r="H244" i="12"/>
  <c r="K245" i="12"/>
  <c r="J244" i="12"/>
  <c r="H244" i="2"/>
  <c r="H244" i="5"/>
  <c r="H244" i="11"/>
  <c r="H247" i="7"/>
  <c r="I242" i="10"/>
  <c r="H192" i="14"/>
  <c r="G192" i="14"/>
  <c r="I192" i="14"/>
  <c r="H241" i="10"/>
  <c r="G241" i="10"/>
  <c r="H243" i="9"/>
  <c r="G243" i="9"/>
  <c r="I243" i="9"/>
  <c r="G246" i="7"/>
  <c r="F246" i="7"/>
  <c r="G243" i="6"/>
  <c r="F243" i="6"/>
  <c r="H243" i="6"/>
  <c r="G243" i="11"/>
  <c r="F243" i="11"/>
  <c r="G243" i="4"/>
  <c r="F243" i="4"/>
  <c r="H243" i="4"/>
  <c r="G243" i="5"/>
  <c r="F243" i="5"/>
  <c r="G243" i="3"/>
  <c r="F243" i="3"/>
  <c r="H243" i="3"/>
  <c r="G243" i="2"/>
  <c r="F243" i="2"/>
  <c r="G243" i="8"/>
  <c r="F243" i="8"/>
  <c r="H243" i="8"/>
  <c r="I243" i="12"/>
  <c r="H243" i="12"/>
  <c r="K244" i="12"/>
  <c r="J243" i="12"/>
  <c r="H243" i="2"/>
  <c r="H243" i="5"/>
  <c r="H243" i="11"/>
  <c r="H246" i="7"/>
  <c r="I241" i="10"/>
  <c r="H191" i="14"/>
  <c r="G191" i="14"/>
  <c r="I191" i="14"/>
  <c r="H240" i="10"/>
  <c r="G240" i="10"/>
  <c r="H242" i="9"/>
  <c r="G242" i="9"/>
  <c r="I242" i="9"/>
  <c r="G245" i="7"/>
  <c r="F245" i="7"/>
  <c r="G242" i="6"/>
  <c r="F242" i="6"/>
  <c r="H242" i="6"/>
  <c r="G242" i="11"/>
  <c r="F242" i="11"/>
  <c r="G242" i="4"/>
  <c r="F242" i="4"/>
  <c r="H242" i="4"/>
  <c r="G242" i="5"/>
  <c r="F242" i="5"/>
  <c r="G242" i="3"/>
  <c r="F242" i="3"/>
  <c r="H242" i="3"/>
  <c r="G242" i="2"/>
  <c r="F242" i="2"/>
  <c r="G242" i="8"/>
  <c r="F242" i="8"/>
  <c r="H242" i="8"/>
  <c r="I242" i="12"/>
  <c r="H242" i="12"/>
  <c r="K243" i="12"/>
  <c r="J242" i="12"/>
  <c r="H242" i="5"/>
  <c r="H242" i="11"/>
  <c r="H245" i="7"/>
  <c r="I240" i="10"/>
  <c r="H242" i="2"/>
  <c r="H190" i="14"/>
  <c r="G190" i="14"/>
  <c r="I190" i="14"/>
  <c r="H239" i="10"/>
  <c r="G239" i="10"/>
  <c r="H241" i="9"/>
  <c r="G241" i="9"/>
  <c r="I241" i="9"/>
  <c r="G244" i="7"/>
  <c r="F244" i="7"/>
  <c r="G241" i="6"/>
  <c r="F241" i="6"/>
  <c r="H241" i="6"/>
  <c r="G241" i="11"/>
  <c r="F241" i="11"/>
  <c r="G241" i="4"/>
  <c r="F241" i="4"/>
  <c r="H241" i="4"/>
  <c r="G241" i="5"/>
  <c r="F241" i="5"/>
  <c r="G241" i="3"/>
  <c r="F241" i="3"/>
  <c r="H241" i="3"/>
  <c r="G241" i="2"/>
  <c r="F241" i="2"/>
  <c r="G241" i="8"/>
  <c r="F241" i="8"/>
  <c r="H241" i="8"/>
  <c r="I241" i="12"/>
  <c r="H241" i="12"/>
  <c r="K242" i="12"/>
  <c r="J241" i="12"/>
  <c r="H241" i="2"/>
  <c r="H241" i="5"/>
  <c r="H241" i="11"/>
  <c r="H244" i="7"/>
  <c r="I239" i="10"/>
  <c r="H189" i="14"/>
  <c r="G189" i="14"/>
  <c r="H238" i="10"/>
  <c r="G238" i="10"/>
  <c r="H240" i="9"/>
  <c r="G240" i="9"/>
  <c r="G243" i="7"/>
  <c r="F243" i="7"/>
  <c r="G240" i="6"/>
  <c r="F240" i="6"/>
  <c r="G240" i="11"/>
  <c r="F240" i="11"/>
  <c r="G240" i="4"/>
  <c r="H240" i="4"/>
  <c r="F240" i="4"/>
  <c r="G240" i="5"/>
  <c r="F240" i="5"/>
  <c r="G240" i="3"/>
  <c r="F240" i="3"/>
  <c r="G240" i="2"/>
  <c r="F240" i="2"/>
  <c r="G240" i="8"/>
  <c r="F240" i="8"/>
  <c r="I240" i="12"/>
  <c r="H240" i="12"/>
  <c r="K241" i="12"/>
  <c r="H240" i="8"/>
  <c r="H240" i="3"/>
  <c r="H240" i="6"/>
  <c r="I240" i="9"/>
  <c r="I189" i="14"/>
  <c r="J240" i="12"/>
  <c r="H240" i="2"/>
  <c r="H240" i="5"/>
  <c r="H240" i="11"/>
  <c r="H243" i="7"/>
  <c r="I238" i="10"/>
  <c r="H188" i="14"/>
  <c r="G188" i="14"/>
  <c r="I188" i="14"/>
  <c r="H237" i="10"/>
  <c r="G237" i="10"/>
  <c r="H239" i="9"/>
  <c r="G239" i="9"/>
  <c r="I239" i="9"/>
  <c r="G242" i="7"/>
  <c r="F242" i="7"/>
  <c r="G239" i="6"/>
  <c r="F239" i="6"/>
  <c r="H239" i="6"/>
  <c r="G239" i="11"/>
  <c r="F239" i="11"/>
  <c r="G239" i="4"/>
  <c r="F239" i="4"/>
  <c r="H239" i="4"/>
  <c r="G239" i="5"/>
  <c r="F239" i="5"/>
  <c r="G239" i="3"/>
  <c r="F239" i="3"/>
  <c r="H239" i="3"/>
  <c r="G239" i="2"/>
  <c r="F239" i="2"/>
  <c r="G239" i="8"/>
  <c r="F239" i="8"/>
  <c r="H239" i="8"/>
  <c r="I239" i="12"/>
  <c r="H239" i="12"/>
  <c r="K240" i="12"/>
  <c r="J239" i="12"/>
  <c r="H239" i="2"/>
  <c r="H239" i="5"/>
  <c r="H239" i="11"/>
  <c r="H242" i="7"/>
  <c r="I237" i="10"/>
  <c r="H187" i="14"/>
  <c r="G187" i="14"/>
  <c r="I187" i="14"/>
  <c r="H236" i="10"/>
  <c r="G236" i="10"/>
  <c r="H238" i="9"/>
  <c r="G238" i="9"/>
  <c r="I238" i="9"/>
  <c r="G241" i="7"/>
  <c r="F241" i="7"/>
  <c r="G238" i="6"/>
  <c r="F238" i="6"/>
  <c r="H238" i="6"/>
  <c r="G238" i="11"/>
  <c r="F238" i="11"/>
  <c r="G238" i="4"/>
  <c r="F238" i="4"/>
  <c r="H238" i="4"/>
  <c r="G238" i="5"/>
  <c r="F238" i="5"/>
  <c r="G238" i="3"/>
  <c r="F238" i="3"/>
  <c r="H238" i="3"/>
  <c r="G238" i="2"/>
  <c r="F238" i="2"/>
  <c r="G238" i="8"/>
  <c r="F238" i="8"/>
  <c r="H238" i="8"/>
  <c r="I238" i="12"/>
  <c r="H238" i="12"/>
  <c r="K239" i="12"/>
  <c r="J238" i="12"/>
  <c r="H238" i="2"/>
  <c r="H238" i="5"/>
  <c r="H238" i="11"/>
  <c r="H241" i="7"/>
  <c r="I236" i="10"/>
  <c r="H186" i="14"/>
  <c r="G186" i="14"/>
  <c r="I186" i="14"/>
  <c r="H235" i="10"/>
  <c r="G235" i="10"/>
  <c r="H237" i="9"/>
  <c r="G237" i="9"/>
  <c r="I237" i="9"/>
  <c r="G240" i="7"/>
  <c r="F240" i="7"/>
  <c r="G237" i="6"/>
  <c r="F237" i="6"/>
  <c r="H237" i="6"/>
  <c r="G237" i="11"/>
  <c r="F237" i="11"/>
  <c r="G237" i="4"/>
  <c r="F237" i="4"/>
  <c r="H237" i="4"/>
  <c r="G237" i="5"/>
  <c r="F237" i="5"/>
  <c r="G237" i="3"/>
  <c r="F237" i="3"/>
  <c r="H237" i="3"/>
  <c r="G237" i="2"/>
  <c r="F237" i="2"/>
  <c r="G237" i="8"/>
  <c r="F237" i="8"/>
  <c r="H237" i="8"/>
  <c r="I237" i="12"/>
  <c r="H237" i="12"/>
  <c r="H237" i="2"/>
  <c r="H237" i="5"/>
  <c r="H237" i="11"/>
  <c r="H240" i="7"/>
  <c r="I235" i="10"/>
  <c r="K238" i="12"/>
  <c r="J237" i="12"/>
  <c r="H185" i="14"/>
  <c r="G185" i="14"/>
  <c r="H234" i="10"/>
  <c r="G234" i="10"/>
  <c r="H236" i="9"/>
  <c r="G236" i="9"/>
  <c r="G239" i="7"/>
  <c r="F239" i="7"/>
  <c r="G236" i="6"/>
  <c r="F236" i="6"/>
  <c r="G236" i="11"/>
  <c r="F236" i="11"/>
  <c r="H236" i="11"/>
  <c r="G236" i="4"/>
  <c r="F236" i="4"/>
  <c r="H236" i="4"/>
  <c r="G236" i="5"/>
  <c r="F236" i="5"/>
  <c r="H236" i="5"/>
  <c r="G236" i="3"/>
  <c r="F236" i="3"/>
  <c r="G236" i="2"/>
  <c r="F236" i="2"/>
  <c r="H236" i="2"/>
  <c r="G236" i="8"/>
  <c r="F236" i="8"/>
  <c r="I236" i="12"/>
  <c r="H236" i="12"/>
  <c r="K237" i="12"/>
  <c r="J236" i="12"/>
  <c r="H239" i="7"/>
  <c r="I234" i="10"/>
  <c r="H236" i="8"/>
  <c r="H236" i="3"/>
  <c r="I236" i="9"/>
  <c r="I185" i="14"/>
  <c r="H184" i="14"/>
  <c r="G184" i="14"/>
  <c r="I184" i="14"/>
  <c r="H233" i="10"/>
  <c r="G233" i="10"/>
  <c r="H235" i="9"/>
  <c r="G235" i="9"/>
  <c r="I235" i="9"/>
  <c r="G238" i="7"/>
  <c r="F238" i="7"/>
  <c r="G235" i="6"/>
  <c r="F235" i="6"/>
  <c r="H235" i="6"/>
  <c r="G235" i="11"/>
  <c r="F235" i="11"/>
  <c r="G235" i="4"/>
  <c r="F235" i="4"/>
  <c r="H235" i="4"/>
  <c r="G235" i="5"/>
  <c r="F235" i="5"/>
  <c r="G235" i="3"/>
  <c r="F235" i="3"/>
  <c r="H235" i="3"/>
  <c r="G235" i="2"/>
  <c r="F235" i="2"/>
  <c r="G235" i="8"/>
  <c r="F235" i="8"/>
  <c r="H235" i="8"/>
  <c r="I235" i="12"/>
  <c r="H235" i="12"/>
  <c r="K236" i="12"/>
  <c r="J235" i="12"/>
  <c r="H235" i="2"/>
  <c r="H235" i="5"/>
  <c r="H235" i="11"/>
  <c r="H238" i="7"/>
  <c r="I233" i="10"/>
  <c r="H183" i="14"/>
  <c r="G183" i="14"/>
  <c r="I183" i="14"/>
  <c r="H232" i="10"/>
  <c r="G232" i="10"/>
  <c r="H234" i="9"/>
  <c r="G234" i="9"/>
  <c r="I234" i="9"/>
  <c r="G237" i="7"/>
  <c r="F237" i="7"/>
  <c r="G234" i="6"/>
  <c r="F234" i="6"/>
  <c r="H234" i="6"/>
  <c r="G234" i="11"/>
  <c r="F234" i="11"/>
  <c r="G234" i="4"/>
  <c r="F234" i="4"/>
  <c r="H234" i="4"/>
  <c r="G234" i="5"/>
  <c r="F234" i="5"/>
  <c r="G234" i="3"/>
  <c r="F234" i="3"/>
  <c r="H234" i="3"/>
  <c r="G234" i="2"/>
  <c r="F234" i="2"/>
  <c r="G234" i="8"/>
  <c r="F234" i="8"/>
  <c r="H234" i="8"/>
  <c r="I234" i="12"/>
  <c r="H234" i="12"/>
  <c r="K235" i="12"/>
  <c r="J234" i="12"/>
  <c r="H234" i="2"/>
  <c r="H234" i="5"/>
  <c r="H234" i="11"/>
  <c r="H237" i="7"/>
  <c r="I232" i="10"/>
  <c r="H182" i="14"/>
  <c r="G182" i="14"/>
  <c r="I182" i="14"/>
  <c r="H231" i="10"/>
  <c r="G231" i="10"/>
  <c r="H233" i="9"/>
  <c r="G233" i="9"/>
  <c r="I233" i="9"/>
  <c r="G236" i="7"/>
  <c r="F236" i="7"/>
  <c r="G233" i="6"/>
  <c r="F233" i="6"/>
  <c r="H233" i="6"/>
  <c r="G233" i="11"/>
  <c r="F233" i="11"/>
  <c r="G233" i="4"/>
  <c r="F233" i="4"/>
  <c r="H233" i="4"/>
  <c r="G233" i="5"/>
  <c r="F233" i="5"/>
  <c r="G233" i="3"/>
  <c r="F233" i="3"/>
  <c r="H233" i="3"/>
  <c r="G233" i="2"/>
  <c r="F233" i="2"/>
  <c r="F233" i="8"/>
  <c r="G233" i="8"/>
  <c r="H233" i="8"/>
  <c r="I233" i="12"/>
  <c r="H233" i="12"/>
  <c r="K234" i="12"/>
  <c r="H181" i="14"/>
  <c r="G181" i="14"/>
  <c r="I181" i="14"/>
  <c r="H230" i="10"/>
  <c r="G230" i="10"/>
  <c r="H232" i="9"/>
  <c r="G232" i="9"/>
  <c r="I232" i="9"/>
  <c r="G235" i="7"/>
  <c r="F235" i="7"/>
  <c r="H235" i="7"/>
  <c r="G232" i="6"/>
  <c r="F232" i="6"/>
  <c r="H232" i="6"/>
  <c r="G232" i="11"/>
  <c r="F232" i="11"/>
  <c r="H232" i="11"/>
  <c r="G232" i="4"/>
  <c r="F232" i="4"/>
  <c r="H232" i="4"/>
  <c r="G232" i="5"/>
  <c r="F232" i="5"/>
  <c r="H232" i="5"/>
  <c r="G232" i="3"/>
  <c r="F232" i="3"/>
  <c r="H232" i="3"/>
  <c r="G232" i="2"/>
  <c r="F232" i="2"/>
  <c r="H232" i="2"/>
  <c r="G232" i="8"/>
  <c r="F232" i="8"/>
  <c r="I232" i="12"/>
  <c r="H232" i="12"/>
  <c r="J233" i="12"/>
  <c r="K233" i="12"/>
  <c r="H233" i="2"/>
  <c r="H233" i="5"/>
  <c r="H233" i="11"/>
  <c r="H236" i="7"/>
  <c r="I231" i="10"/>
  <c r="J232" i="12"/>
  <c r="H232" i="8"/>
  <c r="I230" i="10"/>
  <c r="G180" i="14"/>
  <c r="H180" i="14"/>
  <c r="I180" i="14"/>
  <c r="H229" i="10"/>
  <c r="G229" i="10"/>
  <c r="H231" i="9"/>
  <c r="G231" i="9"/>
  <c r="I231" i="9"/>
  <c r="G234" i="7"/>
  <c r="F234" i="7"/>
  <c r="H234" i="7"/>
  <c r="G231" i="6"/>
  <c r="F231" i="6"/>
  <c r="H231" i="6"/>
  <c r="G231" i="11"/>
  <c r="F231" i="11"/>
  <c r="H231" i="11"/>
  <c r="G231" i="4"/>
  <c r="F231" i="4"/>
  <c r="H231" i="4"/>
  <c r="G231" i="5"/>
  <c r="F231" i="5"/>
  <c r="H231" i="5"/>
  <c r="G231" i="3"/>
  <c r="F231" i="3"/>
  <c r="H231" i="3"/>
  <c r="G231" i="2"/>
  <c r="F231" i="2"/>
  <c r="H231" i="2"/>
  <c r="G231" i="8"/>
  <c r="F231" i="8"/>
  <c r="I231" i="12"/>
  <c r="H231" i="12"/>
  <c r="K232" i="12"/>
  <c r="J231" i="12"/>
  <c r="H231" i="8"/>
  <c r="I229" i="10"/>
  <c r="H179" i="14"/>
  <c r="G179" i="14"/>
  <c r="I179" i="14"/>
  <c r="H228" i="10"/>
  <c r="G228" i="10"/>
  <c r="I228" i="10"/>
  <c r="G230" i="9"/>
  <c r="H230" i="9"/>
  <c r="I230" i="9"/>
  <c r="F233" i="7"/>
  <c r="G233" i="7"/>
  <c r="H233" i="7"/>
  <c r="G230" i="6"/>
  <c r="F230" i="6"/>
  <c r="G230" i="11"/>
  <c r="F230" i="11"/>
  <c r="G230" i="4"/>
  <c r="F230" i="4"/>
  <c r="H230" i="4"/>
  <c r="G230" i="5"/>
  <c r="F230" i="5"/>
  <c r="H230" i="5"/>
  <c r="G230" i="3"/>
  <c r="F230" i="3"/>
  <c r="H230" i="3"/>
  <c r="G230" i="2"/>
  <c r="F230" i="2"/>
  <c r="H230" i="2"/>
  <c r="G230" i="8"/>
  <c r="F230" i="8"/>
  <c r="I230" i="12"/>
  <c r="H230" i="12"/>
  <c r="K231" i="12"/>
  <c r="H230" i="11"/>
  <c r="H230" i="6"/>
  <c r="J230" i="12"/>
  <c r="H230" i="8"/>
  <c r="H178" i="14"/>
  <c r="G178" i="14"/>
  <c r="I178" i="14"/>
  <c r="H227" i="10"/>
  <c r="G227" i="10"/>
  <c r="H229" i="9"/>
  <c r="G229" i="9"/>
  <c r="I229" i="9"/>
  <c r="G232" i="7"/>
  <c r="F232" i="7"/>
  <c r="H232" i="7"/>
  <c r="G229" i="6"/>
  <c r="F229" i="6"/>
  <c r="H229" i="6"/>
  <c r="G229" i="11"/>
  <c r="F229" i="11"/>
  <c r="H229" i="11"/>
  <c r="G229" i="4"/>
  <c r="F229" i="4"/>
  <c r="H229" i="4"/>
  <c r="G229" i="5"/>
  <c r="F229" i="5"/>
  <c r="H229" i="5"/>
  <c r="G229" i="3"/>
  <c r="F229" i="3"/>
  <c r="H229" i="3"/>
  <c r="G229" i="2"/>
  <c r="F229" i="2"/>
  <c r="H229" i="2"/>
  <c r="G229" i="8"/>
  <c r="F229" i="8"/>
  <c r="I229" i="12"/>
  <c r="H229" i="12"/>
  <c r="K230" i="12"/>
  <c r="J229" i="12"/>
  <c r="H229" i="8"/>
  <c r="I227" i="10"/>
  <c r="H177" i="14"/>
  <c r="G177" i="14"/>
  <c r="H226" i="10"/>
  <c r="G226" i="10"/>
  <c r="H228" i="9"/>
  <c r="G228" i="9"/>
  <c r="I228" i="9"/>
  <c r="G231" i="7"/>
  <c r="F231" i="7"/>
  <c r="H231" i="7"/>
  <c r="G228" i="6"/>
  <c r="F228" i="6"/>
  <c r="H228" i="6"/>
  <c r="G228" i="11"/>
  <c r="F228" i="11"/>
  <c r="H228" i="11"/>
  <c r="G228" i="4"/>
  <c r="F228" i="4"/>
  <c r="H228" i="4"/>
  <c r="G228" i="5"/>
  <c r="F228" i="5"/>
  <c r="H228" i="5"/>
  <c r="G228" i="3"/>
  <c r="F228" i="3"/>
  <c r="H228" i="3"/>
  <c r="G228" i="2"/>
  <c r="F228" i="2"/>
  <c r="H228" i="2"/>
  <c r="G228" i="8"/>
  <c r="F228" i="8"/>
  <c r="I228" i="12"/>
  <c r="H228" i="12"/>
  <c r="K229" i="12"/>
  <c r="I177" i="14"/>
  <c r="J228" i="12"/>
  <c r="H228" i="8"/>
  <c r="I226" i="10"/>
  <c r="H176" i="14"/>
  <c r="G176" i="14"/>
  <c r="I176" i="14"/>
  <c r="H225" i="10"/>
  <c r="G225" i="10"/>
  <c r="H227" i="9"/>
  <c r="G227" i="9"/>
  <c r="I227" i="9"/>
  <c r="G230" i="7"/>
  <c r="F230" i="7"/>
  <c r="H230" i="7"/>
  <c r="G227" i="6"/>
  <c r="H227" i="6"/>
  <c r="F227" i="6"/>
  <c r="G227" i="11"/>
  <c r="F227" i="11"/>
  <c r="H227" i="11"/>
  <c r="G227" i="4"/>
  <c r="F227" i="4"/>
  <c r="H227" i="4"/>
  <c r="G227" i="5"/>
  <c r="F227" i="5"/>
  <c r="H227" i="5"/>
  <c r="G227" i="3"/>
  <c r="F227" i="3"/>
  <c r="H227" i="3"/>
  <c r="G227" i="2"/>
  <c r="F227" i="2"/>
  <c r="H227" i="2"/>
  <c r="G227" i="8"/>
  <c r="F227" i="8"/>
  <c r="I227" i="12"/>
  <c r="H227" i="12"/>
  <c r="K228" i="12"/>
  <c r="J227" i="12"/>
  <c r="H227" i="8"/>
  <c r="I225" i="10"/>
  <c r="H175" i="14"/>
  <c r="G175" i="14"/>
  <c r="H224" i="10"/>
  <c r="G224" i="10"/>
  <c r="H226" i="9"/>
  <c r="G226" i="9"/>
  <c r="G229" i="7"/>
  <c r="F229" i="7"/>
  <c r="G226" i="6"/>
  <c r="F226" i="6"/>
  <c r="G226" i="11"/>
  <c r="F226" i="11"/>
  <c r="G226" i="4"/>
  <c r="H226" i="4"/>
  <c r="F226" i="4"/>
  <c r="G226" i="5"/>
  <c r="F226" i="5"/>
  <c r="G226" i="3"/>
  <c r="F226" i="3"/>
  <c r="G226" i="2"/>
  <c r="F226" i="2"/>
  <c r="G226" i="8"/>
  <c r="F226" i="8"/>
  <c r="H226" i="8"/>
  <c r="L226" i="12"/>
  <c r="L225" i="12"/>
  <c r="L224" i="12"/>
  <c r="L223" i="12"/>
  <c r="I226" i="12"/>
  <c r="H226" i="12"/>
  <c r="K227" i="12"/>
  <c r="I224" i="10"/>
  <c r="J226" i="12"/>
  <c r="H226" i="2"/>
  <c r="H226" i="3"/>
  <c r="H226" i="5"/>
  <c r="H226" i="11"/>
  <c r="H226" i="6"/>
  <c r="H229" i="7"/>
  <c r="I226" i="9"/>
  <c r="I175" i="14"/>
  <c r="H174" i="14"/>
  <c r="G174" i="14"/>
  <c r="H223" i="10"/>
  <c r="G223" i="10"/>
  <c r="H225" i="9"/>
  <c r="G225" i="9"/>
  <c r="G228" i="7"/>
  <c r="F228" i="7"/>
  <c r="G225" i="6"/>
  <c r="F225" i="6"/>
  <c r="G225" i="11"/>
  <c r="F225" i="11"/>
  <c r="G225" i="4"/>
  <c r="F225" i="4"/>
  <c r="G225" i="5"/>
  <c r="F225" i="5"/>
  <c r="G225" i="3"/>
  <c r="F225" i="3"/>
  <c r="I223" i="10"/>
  <c r="H225" i="3"/>
  <c r="H225" i="5"/>
  <c r="H225" i="4"/>
  <c r="H225" i="11"/>
  <c r="H225" i="6"/>
  <c r="H228" i="7"/>
  <c r="I225" i="9"/>
  <c r="I174" i="14"/>
  <c r="G225" i="2"/>
  <c r="F225" i="2"/>
  <c r="G225" i="8"/>
  <c r="F225" i="8"/>
  <c r="I225" i="12"/>
  <c r="H225" i="12"/>
  <c r="K226" i="12"/>
  <c r="H225" i="8"/>
  <c r="J225" i="12"/>
  <c r="H225" i="2"/>
  <c r="H173" i="14"/>
  <c r="G173" i="14"/>
  <c r="H222" i="10"/>
  <c r="G222" i="10"/>
  <c r="I222" i="10"/>
  <c r="H224" i="9"/>
  <c r="G224" i="9"/>
  <c r="G227" i="7"/>
  <c r="F227" i="7"/>
  <c r="G224" i="6"/>
  <c r="F224" i="6"/>
  <c r="G224" i="11"/>
  <c r="F224" i="11"/>
  <c r="G224" i="4"/>
  <c r="F224" i="4"/>
  <c r="H224" i="4"/>
  <c r="G224" i="5"/>
  <c r="F224" i="5"/>
  <c r="G224" i="3"/>
  <c r="F224" i="3"/>
  <c r="G224" i="2"/>
  <c r="F224" i="2"/>
  <c r="G224" i="8"/>
  <c r="F224" i="8"/>
  <c r="H224" i="8"/>
  <c r="I224" i="12"/>
  <c r="H224" i="12"/>
  <c r="H172" i="14"/>
  <c r="G172" i="14"/>
  <c r="I172" i="14"/>
  <c r="H221" i="10"/>
  <c r="G221" i="10"/>
  <c r="H223" i="9"/>
  <c r="G223" i="9"/>
  <c r="I223" i="9"/>
  <c r="G226" i="7"/>
  <c r="F226" i="7"/>
  <c r="G223" i="6"/>
  <c r="F223" i="6"/>
  <c r="H223" i="6"/>
  <c r="G223" i="11"/>
  <c r="F223" i="11"/>
  <c r="H223" i="11"/>
  <c r="G223" i="4"/>
  <c r="F223" i="4"/>
  <c r="H223" i="4"/>
  <c r="G223" i="5"/>
  <c r="F223" i="5"/>
  <c r="H223" i="5"/>
  <c r="G223" i="3"/>
  <c r="F223" i="3"/>
  <c r="G223" i="2"/>
  <c r="F223" i="2"/>
  <c r="H223" i="2"/>
  <c r="G223" i="8"/>
  <c r="F223" i="8"/>
  <c r="H223" i="8"/>
  <c r="I223" i="12"/>
  <c r="H223" i="12"/>
  <c r="H171" i="14"/>
  <c r="G171" i="14"/>
  <c r="I171" i="14"/>
  <c r="H220" i="10"/>
  <c r="G220" i="10"/>
  <c r="H222" i="9"/>
  <c r="G222" i="9"/>
  <c r="I222" i="9"/>
  <c r="G225" i="7"/>
  <c r="F225" i="7"/>
  <c r="G222" i="6"/>
  <c r="F222" i="6"/>
  <c r="H222" i="6"/>
  <c r="G222" i="11"/>
  <c r="F222" i="11"/>
  <c r="G222" i="4"/>
  <c r="F222" i="4"/>
  <c r="H222" i="4"/>
  <c r="G222" i="5"/>
  <c r="F222" i="5"/>
  <c r="G222" i="3"/>
  <c r="F222" i="3"/>
  <c r="H222" i="3"/>
  <c r="G222" i="2"/>
  <c r="F222" i="2"/>
  <c r="G222" i="8"/>
  <c r="F222" i="8"/>
  <c r="H222" i="8"/>
  <c r="I222" i="12"/>
  <c r="J222" i="12"/>
  <c r="H222" i="12"/>
  <c r="G170" i="14"/>
  <c r="H170" i="14"/>
  <c r="G219" i="10"/>
  <c r="H219" i="10"/>
  <c r="G221" i="9"/>
  <c r="H221" i="9"/>
  <c r="F224" i="7"/>
  <c r="G224" i="7"/>
  <c r="H224" i="7"/>
  <c r="F221" i="6"/>
  <c r="G221" i="6"/>
  <c r="F221" i="11"/>
  <c r="G221" i="11"/>
  <c r="F221" i="4"/>
  <c r="G221" i="4"/>
  <c r="H221" i="4"/>
  <c r="F221" i="5"/>
  <c r="G221" i="5"/>
  <c r="G221" i="3"/>
  <c r="F221" i="3"/>
  <c r="G221" i="2"/>
  <c r="F221" i="2"/>
  <c r="G221" i="8"/>
  <c r="F221" i="8"/>
  <c r="I221" i="12"/>
  <c r="H221" i="12"/>
  <c r="K222" i="12"/>
  <c r="H169" i="14"/>
  <c r="G169" i="14"/>
  <c r="H218" i="10"/>
  <c r="G218" i="10"/>
  <c r="H220" i="9"/>
  <c r="G220" i="9"/>
  <c r="G223" i="7"/>
  <c r="F223" i="7"/>
  <c r="G220" i="6"/>
  <c r="F220" i="6"/>
  <c r="H220" i="6"/>
  <c r="G220" i="11"/>
  <c r="F220" i="11"/>
  <c r="G220" i="4"/>
  <c r="F220" i="4"/>
  <c r="G220" i="5"/>
  <c r="F220" i="5"/>
  <c r="G220" i="3"/>
  <c r="F220" i="3"/>
  <c r="G220" i="2"/>
  <c r="F220" i="2"/>
  <c r="G220" i="8"/>
  <c r="F220" i="8"/>
  <c r="I220" i="12"/>
  <c r="H220" i="12"/>
  <c r="H168" i="14"/>
  <c r="G168" i="14"/>
  <c r="H217" i="10"/>
  <c r="G217" i="10"/>
  <c r="H219" i="9"/>
  <c r="G219" i="9"/>
  <c r="G222" i="7"/>
  <c r="F222" i="7"/>
  <c r="G219" i="6"/>
  <c r="F219" i="6"/>
  <c r="H219" i="6"/>
  <c r="G219" i="11"/>
  <c r="F219" i="11"/>
  <c r="G219" i="4"/>
  <c r="H219" i="4"/>
  <c r="F219" i="4"/>
  <c r="G219" i="5"/>
  <c r="F219" i="5"/>
  <c r="G219" i="3"/>
  <c r="F219" i="3"/>
  <c r="G219" i="2"/>
  <c r="F219" i="2"/>
  <c r="G219" i="8"/>
  <c r="F219" i="8"/>
  <c r="I219" i="12"/>
  <c r="H219" i="12"/>
  <c r="J219" i="12"/>
  <c r="H167" i="14"/>
  <c r="G167" i="14"/>
  <c r="I167" i="14"/>
  <c r="H216" i="10"/>
  <c r="G216" i="10"/>
  <c r="H218" i="9"/>
  <c r="G218" i="9"/>
  <c r="I218" i="9"/>
  <c r="G221" i="7"/>
  <c r="F221" i="7"/>
  <c r="H221" i="7"/>
  <c r="G218" i="6"/>
  <c r="F218" i="6"/>
  <c r="H218" i="6"/>
  <c r="G218" i="11"/>
  <c r="F218" i="11"/>
  <c r="H218" i="11"/>
  <c r="G218" i="4"/>
  <c r="F218" i="4"/>
  <c r="H218" i="4"/>
  <c r="G218" i="5"/>
  <c r="F218" i="5"/>
  <c r="H218" i="5"/>
  <c r="G218" i="3"/>
  <c r="F218" i="3"/>
  <c r="H218" i="3"/>
  <c r="G218" i="2"/>
  <c r="F218" i="2"/>
  <c r="H218" i="2"/>
  <c r="G218" i="8"/>
  <c r="F218" i="8"/>
  <c r="H218" i="8"/>
  <c r="I218" i="12"/>
  <c r="H218" i="12"/>
  <c r="K219" i="12"/>
  <c r="K224" i="12"/>
  <c r="J220" i="12"/>
  <c r="J224" i="12"/>
  <c r="K225" i="12"/>
  <c r="H219" i="2"/>
  <c r="H219" i="3"/>
  <c r="H219" i="5"/>
  <c r="H219" i="11"/>
  <c r="H222" i="7"/>
  <c r="I219" i="9"/>
  <c r="I168" i="14"/>
  <c r="K220" i="12"/>
  <c r="H220" i="8"/>
  <c r="I218" i="10"/>
  <c r="H221" i="8"/>
  <c r="H221" i="3"/>
  <c r="I221" i="9"/>
  <c r="I170" i="14"/>
  <c r="H224" i="2"/>
  <c r="H224" i="3"/>
  <c r="H224" i="5"/>
  <c r="H224" i="11"/>
  <c r="H224" i="6"/>
  <c r="H227" i="7"/>
  <c r="I224" i="9"/>
  <c r="I173" i="14"/>
  <c r="J218" i="12"/>
  <c r="I216" i="10"/>
  <c r="H219" i="8"/>
  <c r="I217" i="10"/>
  <c r="H220" i="2"/>
  <c r="H220" i="3"/>
  <c r="H220" i="5"/>
  <c r="H220" i="4"/>
  <c r="H220" i="11"/>
  <c r="H223" i="7"/>
  <c r="I220" i="9"/>
  <c r="I169" i="14"/>
  <c r="J221" i="12"/>
  <c r="H221" i="2"/>
  <c r="H221" i="5"/>
  <c r="H221" i="11"/>
  <c r="H221" i="6"/>
  <c r="I219" i="10"/>
  <c r="H222" i="2"/>
  <c r="H222" i="5"/>
  <c r="H222" i="11"/>
  <c r="H225" i="7"/>
  <c r="I220" i="10"/>
  <c r="J223" i="12"/>
  <c r="H226" i="7"/>
  <c r="I221" i="10"/>
  <c r="K221" i="12"/>
  <c r="K223" i="12"/>
  <c r="H223" i="3"/>
  <c r="H166" i="14"/>
  <c r="G166" i="14"/>
  <c r="H215" i="10"/>
  <c r="G215" i="10"/>
  <c r="H217" i="9"/>
  <c r="G217" i="9"/>
  <c r="G220" i="7"/>
  <c r="F220" i="7"/>
  <c r="G217" i="6"/>
  <c r="F217" i="6"/>
  <c r="G217" i="11"/>
  <c r="F217" i="11"/>
  <c r="G217" i="4"/>
  <c r="H217" i="4"/>
  <c r="F217" i="4"/>
  <c r="G217" i="5"/>
  <c r="F217" i="5"/>
  <c r="G217" i="3"/>
  <c r="F217" i="3"/>
  <c r="H217" i="3"/>
  <c r="G217" i="2"/>
  <c r="F217" i="2"/>
  <c r="H217" i="2"/>
  <c r="G217" i="8"/>
  <c r="F217" i="8"/>
  <c r="I217" i="12"/>
  <c r="J217" i="12"/>
  <c r="H217" i="12"/>
  <c r="K218" i="12"/>
  <c r="H165" i="14"/>
  <c r="G165" i="14"/>
  <c r="G214" i="10"/>
  <c r="H214" i="10"/>
  <c r="G216" i="9"/>
  <c r="H216" i="9"/>
  <c r="G219" i="7"/>
  <c r="F219" i="7"/>
  <c r="G216" i="6"/>
  <c r="H216" i="6"/>
  <c r="F216" i="6"/>
  <c r="G216" i="11"/>
  <c r="F216" i="11"/>
  <c r="G216" i="4"/>
  <c r="F216" i="4"/>
  <c r="G216" i="5"/>
  <c r="F216" i="5"/>
  <c r="G216" i="3"/>
  <c r="F216" i="3"/>
  <c r="G216" i="2"/>
  <c r="F216" i="2"/>
  <c r="G216" i="8"/>
  <c r="F216" i="8"/>
  <c r="I216" i="12"/>
  <c r="H216" i="12"/>
  <c r="K217" i="12"/>
  <c r="H164" i="14"/>
  <c r="G164" i="14"/>
  <c r="I164" i="14"/>
  <c r="H213" i="10"/>
  <c r="G213" i="10"/>
  <c r="H215" i="9"/>
  <c r="G215" i="9"/>
  <c r="I215" i="9"/>
  <c r="G218" i="7"/>
  <c r="F218" i="7"/>
  <c r="H218" i="7"/>
  <c r="G215" i="6"/>
  <c r="F215" i="6"/>
  <c r="H215" i="6"/>
  <c r="G214" i="6"/>
  <c r="F214" i="6"/>
  <c r="H214" i="6"/>
  <c r="G215" i="11"/>
  <c r="F215" i="11"/>
  <c r="H215" i="11"/>
  <c r="G215" i="4"/>
  <c r="F215" i="4"/>
  <c r="H215" i="4"/>
  <c r="G215" i="5"/>
  <c r="F215" i="5"/>
  <c r="H215" i="5"/>
  <c r="G215" i="3"/>
  <c r="F215" i="3"/>
  <c r="H215" i="3"/>
  <c r="G215" i="2"/>
  <c r="F215" i="2"/>
  <c r="H215" i="2"/>
  <c r="G215" i="8"/>
  <c r="F215" i="8"/>
  <c r="I215" i="12"/>
  <c r="J215" i="12"/>
  <c r="H215" i="12"/>
  <c r="H163" i="14"/>
  <c r="G163" i="14"/>
  <c r="H212" i="10"/>
  <c r="G212" i="10"/>
  <c r="H214" i="9"/>
  <c r="G214" i="9"/>
  <c r="G217" i="7"/>
  <c r="F217" i="7"/>
  <c r="G214" i="11"/>
  <c r="F214" i="11"/>
  <c r="G214" i="4"/>
  <c r="H214" i="4"/>
  <c r="F214" i="4"/>
  <c r="G214" i="5"/>
  <c r="F214" i="5"/>
  <c r="G214" i="3"/>
  <c r="F214" i="3"/>
  <c r="G214" i="2"/>
  <c r="F214" i="2"/>
  <c r="G214" i="8"/>
  <c r="F214" i="8"/>
  <c r="I214" i="12"/>
  <c r="H214" i="12"/>
  <c r="K215" i="12"/>
  <c r="H162" i="14"/>
  <c r="G162" i="14"/>
  <c r="H213" i="9"/>
  <c r="G213" i="9"/>
  <c r="I213" i="9"/>
  <c r="H211" i="10"/>
  <c r="G211" i="10"/>
  <c r="I211" i="10"/>
  <c r="G213" i="11"/>
  <c r="F213" i="11"/>
  <c r="G213" i="4"/>
  <c r="F213" i="4"/>
  <c r="H213" i="4"/>
  <c r="G213" i="5"/>
  <c r="F213" i="5"/>
  <c r="G215" i="7"/>
  <c r="F215" i="7"/>
  <c r="G213" i="6"/>
  <c r="F213" i="6"/>
  <c r="H213" i="6"/>
  <c r="G213" i="3"/>
  <c r="F213" i="3"/>
  <c r="G213" i="2"/>
  <c r="F213" i="2"/>
  <c r="G213" i="8"/>
  <c r="F213" i="8"/>
  <c r="H213" i="8"/>
  <c r="I213" i="12"/>
  <c r="H213" i="12"/>
  <c r="H161" i="14"/>
  <c r="G161" i="14"/>
  <c r="H212" i="9"/>
  <c r="G212" i="9"/>
  <c r="I212" i="9"/>
  <c r="H210" i="10"/>
  <c r="G210" i="10"/>
  <c r="I210" i="10"/>
  <c r="G212" i="11"/>
  <c r="F212" i="11"/>
  <c r="G212" i="4"/>
  <c r="F212" i="4"/>
  <c r="G212" i="5"/>
  <c r="F212" i="5"/>
  <c r="G214" i="7"/>
  <c r="F214" i="7"/>
  <c r="G212" i="6"/>
  <c r="F212" i="6"/>
  <c r="G212" i="3"/>
  <c r="F212" i="3"/>
  <c r="G212" i="2"/>
  <c r="F212" i="2"/>
  <c r="G212" i="8"/>
  <c r="F212" i="8"/>
  <c r="H212" i="8"/>
  <c r="I212" i="12"/>
  <c r="H212" i="12"/>
  <c r="H160" i="14"/>
  <c r="G160" i="14"/>
  <c r="I160" i="14"/>
  <c r="H211" i="9"/>
  <c r="G211" i="9"/>
  <c r="H209" i="10"/>
  <c r="G209" i="10"/>
  <c r="G211" i="11"/>
  <c r="F211" i="11"/>
  <c r="H211" i="11"/>
  <c r="G211" i="4"/>
  <c r="F211" i="4"/>
  <c r="H211" i="4"/>
  <c r="G211" i="5"/>
  <c r="F211" i="5"/>
  <c r="H211" i="5"/>
  <c r="G213" i="7"/>
  <c r="F213" i="7"/>
  <c r="H213" i="7"/>
  <c r="G211" i="6"/>
  <c r="H211" i="6"/>
  <c r="F211" i="6"/>
  <c r="G211" i="3"/>
  <c r="F211" i="3"/>
  <c r="H211" i="3"/>
  <c r="G211" i="2"/>
  <c r="F211" i="2"/>
  <c r="H211" i="2"/>
  <c r="G211" i="8"/>
  <c r="F211" i="8"/>
  <c r="I211" i="12"/>
  <c r="J211" i="12"/>
  <c r="H211" i="12"/>
  <c r="H159" i="14"/>
  <c r="G159" i="14"/>
  <c r="H210" i="9"/>
  <c r="G210" i="9"/>
  <c r="H208" i="10"/>
  <c r="G210" i="11"/>
  <c r="F210" i="11"/>
  <c r="G210" i="4"/>
  <c r="F210" i="4"/>
  <c r="H210" i="4"/>
  <c r="G210" i="5"/>
  <c r="F210" i="5"/>
  <c r="F212" i="7"/>
  <c r="G212" i="7"/>
  <c r="G210" i="6"/>
  <c r="F210" i="6"/>
  <c r="G210" i="3"/>
  <c r="F210" i="3"/>
  <c r="H210" i="3"/>
  <c r="G210" i="2"/>
  <c r="F210" i="2"/>
  <c r="H210" i="2"/>
  <c r="G210" i="8"/>
  <c r="F210" i="8"/>
  <c r="I210" i="12"/>
  <c r="H210" i="12"/>
  <c r="K211" i="12"/>
  <c r="H158" i="14"/>
  <c r="G158" i="14"/>
  <c r="I158" i="14"/>
  <c r="H209" i="9"/>
  <c r="G209" i="9"/>
  <c r="H207" i="10"/>
  <c r="G207" i="10"/>
  <c r="G209" i="11"/>
  <c r="F209" i="11"/>
  <c r="H209" i="11"/>
  <c r="G209" i="4"/>
  <c r="F209" i="4"/>
  <c r="H209" i="4"/>
  <c r="G209" i="5"/>
  <c r="F209" i="5"/>
  <c r="H209" i="5"/>
  <c r="G211" i="7"/>
  <c r="F211" i="7"/>
  <c r="H211" i="7"/>
  <c r="G209" i="6"/>
  <c r="F209" i="6"/>
  <c r="H209" i="6"/>
  <c r="G209" i="3"/>
  <c r="F209" i="3"/>
  <c r="H209" i="3"/>
  <c r="G209" i="2"/>
  <c r="F209" i="2"/>
  <c r="H209" i="2"/>
  <c r="G209" i="8"/>
  <c r="F209" i="8"/>
  <c r="I209" i="12"/>
  <c r="J209" i="12"/>
  <c r="H209" i="12"/>
  <c r="H157" i="14"/>
  <c r="G157" i="14"/>
  <c r="H208" i="9"/>
  <c r="G208" i="9"/>
  <c r="H206" i="10"/>
  <c r="G206" i="10"/>
  <c r="G208" i="11"/>
  <c r="F208" i="11"/>
  <c r="G208" i="4"/>
  <c r="F208" i="4"/>
  <c r="G208" i="5"/>
  <c r="F208" i="5"/>
  <c r="G210" i="7"/>
  <c r="F210" i="7"/>
  <c r="G208" i="6"/>
  <c r="H208" i="6"/>
  <c r="F208" i="6"/>
  <c r="G208" i="3"/>
  <c r="F208" i="3"/>
  <c r="G208" i="2"/>
  <c r="F208" i="2"/>
  <c r="G208" i="8"/>
  <c r="F208" i="8"/>
  <c r="I208" i="12"/>
  <c r="H208" i="12"/>
  <c r="K209" i="12"/>
  <c r="H156" i="14"/>
  <c r="G156" i="14"/>
  <c r="H207" i="9"/>
  <c r="G207" i="9"/>
  <c r="H205" i="10"/>
  <c r="G205" i="10"/>
  <c r="G207" i="11"/>
  <c r="F207" i="11"/>
  <c r="G207" i="4"/>
  <c r="F207" i="4"/>
  <c r="G207" i="5"/>
  <c r="F207" i="5"/>
  <c r="G209" i="7"/>
  <c r="F209" i="7"/>
  <c r="G207" i="6"/>
  <c r="F207" i="6"/>
  <c r="G207" i="3"/>
  <c r="F207" i="3"/>
  <c r="G207" i="2"/>
  <c r="F207" i="2"/>
  <c r="G207" i="8"/>
  <c r="F207" i="8"/>
  <c r="I207" i="12"/>
  <c r="H207" i="12"/>
  <c r="H155" i="14"/>
  <c r="G155" i="14"/>
  <c r="H206" i="9"/>
  <c r="G206" i="9"/>
  <c r="H204" i="10"/>
  <c r="G204" i="10"/>
  <c r="G206" i="11"/>
  <c r="F206" i="11"/>
  <c r="G206" i="4"/>
  <c r="F206" i="4"/>
  <c r="G206" i="5"/>
  <c r="F206" i="5"/>
  <c r="G208" i="7"/>
  <c r="F208" i="7"/>
  <c r="G206" i="6"/>
  <c r="F206" i="6"/>
  <c r="G206" i="3"/>
  <c r="F206" i="3"/>
  <c r="G206" i="2"/>
  <c r="F206" i="2"/>
  <c r="G206" i="8"/>
  <c r="F206" i="8"/>
  <c r="I206" i="12"/>
  <c r="H206" i="12"/>
  <c r="H205" i="9"/>
  <c r="G205" i="9"/>
  <c r="H154" i="14"/>
  <c r="G154" i="14"/>
  <c r="H203" i="10"/>
  <c r="G203" i="10"/>
  <c r="G205" i="11"/>
  <c r="F205" i="11"/>
  <c r="G205" i="4"/>
  <c r="H205" i="4"/>
  <c r="F205" i="4"/>
  <c r="I203" i="10"/>
  <c r="H206" i="8"/>
  <c r="I204" i="10"/>
  <c r="I206" i="9"/>
  <c r="H217" i="5"/>
  <c r="J214" i="12"/>
  <c r="H214" i="8"/>
  <c r="I212" i="10"/>
  <c r="H217" i="11"/>
  <c r="I215" i="10"/>
  <c r="H207" i="8"/>
  <c r="I205" i="10"/>
  <c r="I207" i="9"/>
  <c r="H208" i="2"/>
  <c r="H208" i="3"/>
  <c r="H210" i="7"/>
  <c r="H208" i="5"/>
  <c r="H210" i="6"/>
  <c r="H210" i="5"/>
  <c r="H210" i="11"/>
  <c r="I159" i="14"/>
  <c r="J212" i="12"/>
  <c r="K216" i="12"/>
  <c r="J216" i="12"/>
  <c r="H216" i="2"/>
  <c r="H216" i="3"/>
  <c r="H216" i="5"/>
  <c r="H216" i="4"/>
  <c r="H216" i="11"/>
  <c r="H219" i="7"/>
  <c r="I216" i="9"/>
  <c r="I165" i="14"/>
  <c r="H208" i="4"/>
  <c r="H208" i="11"/>
  <c r="I157" i="14"/>
  <c r="J210" i="12"/>
  <c r="K210" i="12"/>
  <c r="K212" i="12"/>
  <c r="K213" i="12"/>
  <c r="K207" i="12"/>
  <c r="J207" i="12"/>
  <c r="H205" i="11"/>
  <c r="I154" i="14"/>
  <c r="I205" i="9"/>
  <c r="J206" i="12"/>
  <c r="H206" i="2"/>
  <c r="K208" i="12"/>
  <c r="H217" i="6"/>
  <c r="H220" i="7"/>
  <c r="I217" i="9"/>
  <c r="I166" i="14"/>
  <c r="H206" i="3"/>
  <c r="H206" i="6"/>
  <c r="H208" i="7"/>
  <c r="H206" i="5"/>
  <c r="H206" i="4"/>
  <c r="H206" i="11"/>
  <c r="I155" i="14"/>
  <c r="H207" i="2"/>
  <c r="H207" i="3"/>
  <c r="H207" i="6"/>
  <c r="H209" i="7"/>
  <c r="H207" i="5"/>
  <c r="H207" i="4"/>
  <c r="H207" i="11"/>
  <c r="I156" i="14"/>
  <c r="J208" i="12"/>
  <c r="H208" i="8"/>
  <c r="I206" i="10"/>
  <c r="I208" i="9"/>
  <c r="H209" i="8"/>
  <c r="I207" i="10"/>
  <c r="I209" i="9"/>
  <c r="H210" i="8"/>
  <c r="I210" i="9"/>
  <c r="H211" i="8"/>
  <c r="I209" i="10"/>
  <c r="I211" i="9"/>
  <c r="H212" i="2"/>
  <c r="H212" i="3"/>
  <c r="H212" i="6"/>
  <c r="H214" i="7"/>
  <c r="H212" i="5"/>
  <c r="H212" i="4"/>
  <c r="H212" i="11"/>
  <c r="I161" i="14"/>
  <c r="J213" i="12"/>
  <c r="H213" i="2"/>
  <c r="H213" i="3"/>
  <c r="H215" i="7"/>
  <c r="H213" i="5"/>
  <c r="H213" i="11"/>
  <c r="I162" i="14"/>
  <c r="H214" i="2"/>
  <c r="H214" i="3"/>
  <c r="H214" i="5"/>
  <c r="H214" i="11"/>
  <c r="H217" i="7"/>
  <c r="I214" i="9"/>
  <c r="I163" i="14"/>
  <c r="H215" i="8"/>
  <c r="I213" i="10"/>
  <c r="H216" i="8"/>
  <c r="I214" i="10"/>
  <c r="H217" i="8"/>
  <c r="H212" i="7"/>
  <c r="G205" i="5"/>
  <c r="F205" i="5"/>
  <c r="G207" i="7"/>
  <c r="F207" i="7"/>
  <c r="G205" i="6"/>
  <c r="F205" i="6"/>
  <c r="H205" i="6"/>
  <c r="G205" i="3"/>
  <c r="F205" i="3"/>
  <c r="G205" i="2"/>
  <c r="F205" i="2"/>
  <c r="H205" i="2"/>
  <c r="F205" i="8"/>
  <c r="G205" i="8"/>
  <c r="I205" i="12"/>
  <c r="H205" i="12"/>
  <c r="K206" i="12"/>
  <c r="H205" i="3"/>
  <c r="H207" i="7"/>
  <c r="H205" i="5"/>
  <c r="H205" i="8"/>
  <c r="J205" i="12"/>
  <c r="H153" i="14"/>
  <c r="G153" i="14"/>
  <c r="H204" i="9"/>
  <c r="G204" i="9"/>
  <c r="H202" i="10"/>
  <c r="G202" i="10"/>
  <c r="G204" i="11"/>
  <c r="F204" i="11"/>
  <c r="G204" i="4"/>
  <c r="H204" i="4"/>
  <c r="F204" i="4"/>
  <c r="G204" i="5"/>
  <c r="F204" i="5"/>
  <c r="G206" i="7"/>
  <c r="F206" i="7"/>
  <c r="G204" i="6"/>
  <c r="H204" i="6"/>
  <c r="F204" i="6"/>
  <c r="G204" i="3"/>
  <c r="F204" i="3"/>
  <c r="G204" i="2"/>
  <c r="F204" i="2"/>
  <c r="G204" i="8"/>
  <c r="F204" i="8"/>
  <c r="I204" i="12"/>
  <c r="H204" i="12"/>
  <c r="K205" i="12"/>
  <c r="H152" i="14"/>
  <c r="G152" i="14"/>
  <c r="H203" i="9"/>
  <c r="G203" i="9"/>
  <c r="H201" i="10"/>
  <c r="G201" i="10"/>
  <c r="G203" i="11"/>
  <c r="F203" i="11"/>
  <c r="G203" i="4"/>
  <c r="F203" i="4"/>
  <c r="H203" i="4"/>
  <c r="G203" i="5"/>
  <c r="F203" i="5"/>
  <c r="G205" i="7"/>
  <c r="F205" i="7"/>
  <c r="G203" i="6"/>
  <c r="F203" i="6"/>
  <c r="G203" i="3"/>
  <c r="F203" i="3"/>
  <c r="G203" i="2"/>
  <c r="F203" i="2"/>
  <c r="G203" i="8"/>
  <c r="F203" i="8"/>
  <c r="I203" i="12"/>
  <c r="H203" i="12"/>
  <c r="H151" i="14"/>
  <c r="G151" i="14"/>
  <c r="H202" i="9"/>
  <c r="G202" i="9"/>
  <c r="H200" i="10"/>
  <c r="G200" i="10"/>
  <c r="G202" i="11"/>
  <c r="F202" i="11"/>
  <c r="G202" i="4"/>
  <c r="F202" i="4"/>
  <c r="G202" i="5"/>
  <c r="F202" i="5"/>
  <c r="G204" i="7"/>
  <c r="F204" i="7"/>
  <c r="G202" i="6"/>
  <c r="F202" i="6"/>
  <c r="G202" i="3"/>
  <c r="F202" i="3"/>
  <c r="G202" i="2"/>
  <c r="F202" i="2"/>
  <c r="G202" i="8"/>
  <c r="F202" i="8"/>
  <c r="I202" i="12"/>
  <c r="H202" i="12"/>
  <c r="H150" i="14"/>
  <c r="G150" i="14"/>
  <c r="H201" i="9"/>
  <c r="G201" i="9"/>
  <c r="H199" i="10"/>
  <c r="G199" i="10"/>
  <c r="G201" i="11"/>
  <c r="F201" i="11"/>
  <c r="G201" i="4"/>
  <c r="F201" i="4"/>
  <c r="H201" i="4"/>
  <c r="G201" i="5"/>
  <c r="F201" i="5"/>
  <c r="G203" i="7"/>
  <c r="F203" i="7"/>
  <c r="H203" i="7"/>
  <c r="G201" i="6"/>
  <c r="F201" i="6"/>
  <c r="H201" i="6"/>
  <c r="G201" i="3"/>
  <c r="F201" i="3"/>
  <c r="H201" i="3"/>
  <c r="G201" i="2"/>
  <c r="F201" i="2"/>
  <c r="H201" i="2"/>
  <c r="G201" i="8"/>
  <c r="F201" i="8"/>
  <c r="I201" i="12"/>
  <c r="J201" i="12"/>
  <c r="H201" i="12"/>
  <c r="H149" i="14"/>
  <c r="G149" i="14"/>
  <c r="H200" i="9"/>
  <c r="G200" i="9"/>
  <c r="H198" i="10"/>
  <c r="G198" i="10"/>
  <c r="G200" i="11"/>
  <c r="F200" i="11"/>
  <c r="G200" i="4"/>
  <c r="H200" i="4"/>
  <c r="F200" i="4"/>
  <c r="G200" i="5"/>
  <c r="F200" i="5"/>
  <c r="H200" i="5"/>
  <c r="G202" i="7"/>
  <c r="F202" i="7"/>
  <c r="H202" i="7"/>
  <c r="G200" i="6"/>
  <c r="F200" i="6"/>
  <c r="H200" i="6"/>
  <c r="G200" i="3"/>
  <c r="F200" i="3"/>
  <c r="H200" i="3"/>
  <c r="G200" i="2"/>
  <c r="F200" i="2"/>
  <c r="H200" i="2"/>
  <c r="G200" i="8"/>
  <c r="F200" i="8"/>
  <c r="I200" i="12"/>
  <c r="H200" i="12"/>
  <c r="K201" i="12"/>
  <c r="H148" i="14"/>
  <c r="G148" i="14"/>
  <c r="H199" i="9"/>
  <c r="G199" i="9"/>
  <c r="I199" i="9"/>
  <c r="H197" i="10"/>
  <c r="G197" i="10"/>
  <c r="I197" i="10"/>
  <c r="G199" i="11"/>
  <c r="F199" i="11"/>
  <c r="G199" i="4"/>
  <c r="F199" i="4"/>
  <c r="G199" i="5"/>
  <c r="F199" i="5"/>
  <c r="G201" i="7"/>
  <c r="F201" i="7"/>
  <c r="G199" i="6"/>
  <c r="F199" i="6"/>
  <c r="G199" i="3"/>
  <c r="F199" i="3"/>
  <c r="G199" i="2"/>
  <c r="F199" i="2"/>
  <c r="G199" i="8"/>
  <c r="F199" i="8"/>
  <c r="H199" i="8"/>
  <c r="I199" i="12"/>
  <c r="H199" i="12"/>
  <c r="H200" i="11"/>
  <c r="J199" i="12"/>
  <c r="H201" i="5"/>
  <c r="I199" i="10"/>
  <c r="I201" i="9"/>
  <c r="K202" i="12"/>
  <c r="H202" i="8"/>
  <c r="H202" i="2"/>
  <c r="H202" i="3"/>
  <c r="I200" i="10"/>
  <c r="I202" i="9"/>
  <c r="K203" i="12"/>
  <c r="H203" i="8"/>
  <c r="I201" i="10"/>
  <c r="I203" i="9"/>
  <c r="H204" i="2"/>
  <c r="H204" i="3"/>
  <c r="H206" i="7"/>
  <c r="H204" i="5"/>
  <c r="H204" i="11"/>
  <c r="I153" i="14"/>
  <c r="I149" i="14"/>
  <c r="H199" i="2"/>
  <c r="H199" i="3"/>
  <c r="H199" i="6"/>
  <c r="H201" i="7"/>
  <c r="H199" i="5"/>
  <c r="H199" i="4"/>
  <c r="H199" i="11"/>
  <c r="I148" i="14"/>
  <c r="J200" i="12"/>
  <c r="H200" i="8"/>
  <c r="I198" i="10"/>
  <c r="I200" i="9"/>
  <c r="H201" i="8"/>
  <c r="K204" i="12"/>
  <c r="K200" i="12"/>
  <c r="H201" i="11"/>
  <c r="I150" i="14"/>
  <c r="J202" i="12"/>
  <c r="H202" i="6"/>
  <c r="H204" i="7"/>
  <c r="H202" i="5"/>
  <c r="H202" i="4"/>
  <c r="H202" i="11"/>
  <c r="I151" i="14"/>
  <c r="J203" i="12"/>
  <c r="H203" i="2"/>
  <c r="H203" i="3"/>
  <c r="H203" i="6"/>
  <c r="H205" i="7"/>
  <c r="H203" i="5"/>
  <c r="H203" i="11"/>
  <c r="I152" i="14"/>
  <c r="J204" i="12"/>
  <c r="H204" i="8"/>
  <c r="I202" i="10"/>
  <c r="I204" i="9"/>
  <c r="H147" i="14"/>
  <c r="G147" i="14"/>
  <c r="H198" i="9"/>
  <c r="G198" i="9"/>
  <c r="H196" i="10"/>
  <c r="G196" i="10"/>
  <c r="G198" i="11"/>
  <c r="F198" i="11"/>
  <c r="G198" i="4"/>
  <c r="F198" i="4"/>
  <c r="G198" i="5"/>
  <c r="F198" i="5"/>
  <c r="H198" i="5"/>
  <c r="G200" i="7"/>
  <c r="F200" i="7"/>
  <c r="H200" i="7"/>
  <c r="G198" i="6"/>
  <c r="F198" i="6"/>
  <c r="G198" i="3"/>
  <c r="F198" i="3"/>
  <c r="H198" i="3"/>
  <c r="G198" i="2"/>
  <c r="F198" i="2"/>
  <c r="H198" i="2"/>
  <c r="G198" i="8"/>
  <c r="F198" i="8"/>
  <c r="I198" i="12"/>
  <c r="J198" i="12"/>
  <c r="H198" i="12"/>
  <c r="K199" i="12"/>
  <c r="H146" i="14"/>
  <c r="G146" i="14"/>
  <c r="H197" i="9"/>
  <c r="G197" i="9"/>
  <c r="H195" i="10"/>
  <c r="G195" i="10"/>
  <c r="G197" i="11"/>
  <c r="F197" i="11"/>
  <c r="G197" i="4"/>
  <c r="F197" i="4"/>
  <c r="G197" i="5"/>
  <c r="F197" i="5"/>
  <c r="G199" i="7"/>
  <c r="F199" i="7"/>
  <c r="G197" i="6"/>
  <c r="F197" i="6"/>
  <c r="H197" i="6"/>
  <c r="G197" i="3"/>
  <c r="F197" i="3"/>
  <c r="G197" i="2"/>
  <c r="F197" i="2"/>
  <c r="G197" i="8"/>
  <c r="F197" i="8"/>
  <c r="I197" i="12"/>
  <c r="H197" i="12"/>
  <c r="K198" i="12"/>
  <c r="H145" i="14"/>
  <c r="G145" i="14"/>
  <c r="I145" i="14"/>
  <c r="H196" i="9"/>
  <c r="G196" i="9"/>
  <c r="H194" i="10"/>
  <c r="G194" i="10"/>
  <c r="G196" i="11"/>
  <c r="F196" i="11"/>
  <c r="H196" i="11"/>
  <c r="G196" i="4"/>
  <c r="F196" i="4"/>
  <c r="G196" i="5"/>
  <c r="F196" i="5"/>
  <c r="G198" i="7"/>
  <c r="F198" i="7"/>
  <c r="G196" i="6"/>
  <c r="F196" i="6"/>
  <c r="H196" i="6"/>
  <c r="G196" i="3"/>
  <c r="F196" i="3"/>
  <c r="G196" i="2"/>
  <c r="F196" i="2"/>
  <c r="G196" i="8"/>
  <c r="F196" i="8"/>
  <c r="H196" i="8"/>
  <c r="I196" i="12"/>
  <c r="H196" i="12"/>
  <c r="H144" i="14"/>
  <c r="G144" i="14"/>
  <c r="I144" i="14"/>
  <c r="H195" i="9"/>
  <c r="G195" i="9"/>
  <c r="H193" i="10"/>
  <c r="G193" i="10"/>
  <c r="G195" i="11"/>
  <c r="F195" i="11"/>
  <c r="H195" i="11"/>
  <c r="G195" i="4"/>
  <c r="F195" i="4"/>
  <c r="H195" i="4"/>
  <c r="G195" i="5"/>
  <c r="F195" i="5"/>
  <c r="H195" i="5"/>
  <c r="G197" i="7"/>
  <c r="F197" i="7"/>
  <c r="H197" i="7"/>
  <c r="G195" i="6"/>
  <c r="F195" i="6"/>
  <c r="H195" i="6"/>
  <c r="G195" i="3"/>
  <c r="F195" i="3"/>
  <c r="H195" i="3"/>
  <c r="G195" i="2"/>
  <c r="F195" i="2"/>
  <c r="H195" i="2"/>
  <c r="G195" i="8"/>
  <c r="F195" i="8"/>
  <c r="I195" i="12"/>
  <c r="H195" i="12"/>
  <c r="H143" i="14"/>
  <c r="G143" i="14"/>
  <c r="H194" i="9"/>
  <c r="G194" i="9"/>
  <c r="I194" i="9"/>
  <c r="H192" i="10"/>
  <c r="G192" i="10"/>
  <c r="I192" i="10"/>
  <c r="G194" i="11"/>
  <c r="F194" i="11"/>
  <c r="G194" i="4"/>
  <c r="F194" i="4"/>
  <c r="H194" i="4"/>
  <c r="G194" i="5"/>
  <c r="F194" i="5"/>
  <c r="G196" i="7"/>
  <c r="F196" i="7"/>
  <c r="G194" i="6"/>
  <c r="F194" i="6"/>
  <c r="G194" i="3"/>
  <c r="F194" i="3"/>
  <c r="G194" i="2"/>
  <c r="F194" i="2"/>
  <c r="G194" i="8"/>
  <c r="F194" i="8"/>
  <c r="H194" i="8"/>
  <c r="I194" i="12"/>
  <c r="H194" i="12"/>
  <c r="A4" i="12"/>
  <c r="J3" i="12"/>
  <c r="H4" i="12"/>
  <c r="I4" i="12"/>
  <c r="J4" i="12"/>
  <c r="H142" i="14"/>
  <c r="G142" i="14"/>
  <c r="I142" i="14"/>
  <c r="H193" i="9"/>
  <c r="G193" i="9"/>
  <c r="H191" i="10"/>
  <c r="G191" i="10"/>
  <c r="G193" i="11"/>
  <c r="F193" i="11"/>
  <c r="G193" i="4"/>
  <c r="H193" i="4"/>
  <c r="F193" i="4"/>
  <c r="G193" i="5"/>
  <c r="F193" i="5"/>
  <c r="G195" i="7"/>
  <c r="F195" i="7"/>
  <c r="G193" i="6"/>
  <c r="F193" i="6"/>
  <c r="G193" i="3"/>
  <c r="F193" i="3"/>
  <c r="G193" i="2"/>
  <c r="F193" i="2"/>
  <c r="G193" i="8"/>
  <c r="F193" i="8"/>
  <c r="I193" i="12"/>
  <c r="H193" i="12"/>
  <c r="H141" i="14"/>
  <c r="G141" i="14"/>
  <c r="H192" i="9"/>
  <c r="G192" i="9"/>
  <c r="H190" i="10"/>
  <c r="G190" i="10"/>
  <c r="G192" i="11"/>
  <c r="F192" i="11"/>
  <c r="G192" i="4"/>
  <c r="F192" i="4"/>
  <c r="G192" i="5"/>
  <c r="F192" i="5"/>
  <c r="G194" i="7"/>
  <c r="F194" i="7"/>
  <c r="G192" i="6"/>
  <c r="F192" i="6"/>
  <c r="G192" i="3"/>
  <c r="F192" i="3"/>
  <c r="H192" i="3"/>
  <c r="G192" i="2"/>
  <c r="F192" i="2"/>
  <c r="G192" i="8"/>
  <c r="F192" i="8"/>
  <c r="I192" i="12"/>
  <c r="H192" i="12"/>
  <c r="H140" i="14"/>
  <c r="G140" i="14"/>
  <c r="I140" i="14"/>
  <c r="H191" i="9"/>
  <c r="G191" i="9"/>
  <c r="H189" i="10"/>
  <c r="G189" i="10"/>
  <c r="G191" i="11"/>
  <c r="F191" i="11"/>
  <c r="G191" i="4"/>
  <c r="H191" i="4"/>
  <c r="F191" i="4"/>
  <c r="G191" i="5"/>
  <c r="F191" i="5"/>
  <c r="G193" i="7"/>
  <c r="F193" i="7"/>
  <c r="G191" i="6"/>
  <c r="F191" i="6"/>
  <c r="G191" i="3"/>
  <c r="F191" i="3"/>
  <c r="G191" i="2"/>
  <c r="F191" i="2"/>
  <c r="G191" i="8"/>
  <c r="F191" i="8"/>
  <c r="I191" i="12"/>
  <c r="H191" i="12"/>
  <c r="J191" i="12"/>
  <c r="H139" i="14"/>
  <c r="G139" i="14"/>
  <c r="I139" i="14"/>
  <c r="H190" i="9"/>
  <c r="G190" i="9"/>
  <c r="H188" i="10"/>
  <c r="G188" i="10"/>
  <c r="G190" i="11"/>
  <c r="F190" i="11"/>
  <c r="G190" i="4"/>
  <c r="H190" i="4"/>
  <c r="F190" i="4"/>
  <c r="G190" i="5"/>
  <c r="F190" i="5"/>
  <c r="G192" i="7"/>
  <c r="F192" i="7"/>
  <c r="G190" i="6"/>
  <c r="F190" i="6"/>
  <c r="G190" i="3"/>
  <c r="F190" i="3"/>
  <c r="G190" i="2"/>
  <c r="F190" i="2"/>
  <c r="G190" i="8"/>
  <c r="F190" i="8"/>
  <c r="I190" i="12"/>
  <c r="H190" i="12"/>
  <c r="K191" i="12"/>
  <c r="H138" i="14"/>
  <c r="G138" i="14"/>
  <c r="H189" i="9"/>
  <c r="G189" i="9"/>
  <c r="H187" i="10"/>
  <c r="G187" i="10"/>
  <c r="G189" i="11"/>
  <c r="F189" i="11"/>
  <c r="G189" i="4"/>
  <c r="F189" i="4"/>
  <c r="H189" i="4"/>
  <c r="G189" i="5"/>
  <c r="F189" i="5"/>
  <c r="G191" i="7"/>
  <c r="F191" i="7"/>
  <c r="G189" i="6"/>
  <c r="F189" i="6"/>
  <c r="H189" i="6"/>
  <c r="G189" i="3"/>
  <c r="F189" i="3"/>
  <c r="G189" i="2"/>
  <c r="F189" i="2"/>
  <c r="G189" i="8"/>
  <c r="F189" i="8"/>
  <c r="I189" i="12"/>
  <c r="H189" i="12"/>
  <c r="H137" i="14"/>
  <c r="G137" i="14"/>
  <c r="I137" i="14"/>
  <c r="H188" i="9"/>
  <c r="G188" i="9"/>
  <c r="H186" i="10"/>
  <c r="G186" i="10"/>
  <c r="G188" i="11"/>
  <c r="F188" i="11"/>
  <c r="G188" i="4"/>
  <c r="F188" i="4"/>
  <c r="G188" i="5"/>
  <c r="F188" i="5"/>
  <c r="G190" i="7"/>
  <c r="F190" i="7"/>
  <c r="G188" i="6"/>
  <c r="F188" i="6"/>
  <c r="H188" i="6"/>
  <c r="G188" i="3"/>
  <c r="F188" i="3"/>
  <c r="G188" i="2"/>
  <c r="F188" i="2"/>
  <c r="G188" i="8"/>
  <c r="F188" i="8"/>
  <c r="I188" i="12"/>
  <c r="H188" i="12"/>
  <c r="H136" i="14"/>
  <c r="G136" i="14"/>
  <c r="I136" i="14"/>
  <c r="H187" i="9"/>
  <c r="G187" i="9"/>
  <c r="H185" i="10"/>
  <c r="G185" i="10"/>
  <c r="G187" i="11"/>
  <c r="F187" i="11"/>
  <c r="G187" i="4"/>
  <c r="F187" i="4"/>
  <c r="H187" i="4"/>
  <c r="G187" i="5"/>
  <c r="F187" i="5"/>
  <c r="G189" i="7"/>
  <c r="F189" i="7"/>
  <c r="G187" i="6"/>
  <c r="F187" i="6"/>
  <c r="H187" i="6"/>
  <c r="G187" i="3"/>
  <c r="F187" i="3"/>
  <c r="G187" i="2"/>
  <c r="F187" i="2"/>
  <c r="H187" i="2"/>
  <c r="G187" i="8"/>
  <c r="F187" i="8"/>
  <c r="I187" i="12"/>
  <c r="H187" i="12"/>
  <c r="H135" i="14"/>
  <c r="G135" i="14"/>
  <c r="I135" i="14"/>
  <c r="H186" i="9"/>
  <c r="G186" i="9"/>
  <c r="H184" i="10"/>
  <c r="G184" i="10"/>
  <c r="G186" i="11"/>
  <c r="F186" i="11"/>
  <c r="G186" i="4"/>
  <c r="F186" i="4"/>
  <c r="H186" i="4"/>
  <c r="G186" i="5"/>
  <c r="F186" i="5"/>
  <c r="G188" i="7"/>
  <c r="F188" i="7"/>
  <c r="G186" i="6"/>
  <c r="F186" i="6"/>
  <c r="H186" i="6"/>
  <c r="G186" i="3"/>
  <c r="F186" i="3"/>
  <c r="G186" i="2"/>
  <c r="F186" i="2"/>
  <c r="G186" i="8"/>
  <c r="F186" i="8"/>
  <c r="I186" i="12"/>
  <c r="H186" i="12"/>
  <c r="H134" i="14"/>
  <c r="G134" i="14"/>
  <c r="I134" i="14"/>
  <c r="H185" i="9"/>
  <c r="G185" i="9"/>
  <c r="H183" i="10"/>
  <c r="G183" i="10"/>
  <c r="G185" i="11"/>
  <c r="F185" i="11"/>
  <c r="G185" i="4"/>
  <c r="F185" i="4"/>
  <c r="H185" i="4"/>
  <c r="G185" i="5"/>
  <c r="F185" i="5"/>
  <c r="G187" i="7"/>
  <c r="F187" i="7"/>
  <c r="G185" i="6"/>
  <c r="F185" i="6"/>
  <c r="H185" i="6"/>
  <c r="G185" i="3"/>
  <c r="F185" i="3"/>
  <c r="G185" i="2"/>
  <c r="F185" i="2"/>
  <c r="G185" i="8"/>
  <c r="F185" i="8"/>
  <c r="H185" i="8"/>
  <c r="I185" i="12"/>
  <c r="H185" i="12"/>
  <c r="H133" i="14"/>
  <c r="G133" i="14"/>
  <c r="I133" i="14"/>
  <c r="H184" i="9"/>
  <c r="G184" i="9"/>
  <c r="H182" i="10"/>
  <c r="G182" i="10"/>
  <c r="G184" i="11"/>
  <c r="F184" i="11"/>
  <c r="G184" i="4"/>
  <c r="F184" i="4"/>
  <c r="H184" i="4"/>
  <c r="G184" i="5"/>
  <c r="F184" i="5"/>
  <c r="G186" i="7"/>
  <c r="F186" i="7"/>
  <c r="G184" i="6"/>
  <c r="F184" i="6"/>
  <c r="H184" i="6"/>
  <c r="G184" i="3"/>
  <c r="F184" i="3"/>
  <c r="G184" i="2"/>
  <c r="F184" i="2"/>
  <c r="G184" i="8"/>
  <c r="F184" i="8"/>
  <c r="H184" i="8"/>
  <c r="I184" i="12"/>
  <c r="H184" i="12"/>
  <c r="H132" i="14"/>
  <c r="G132" i="14"/>
  <c r="I132" i="14"/>
  <c r="H183" i="9"/>
  <c r="G183" i="9"/>
  <c r="H181" i="10"/>
  <c r="G181" i="10"/>
  <c r="G183" i="11"/>
  <c r="F183" i="11"/>
  <c r="G183" i="4"/>
  <c r="H183" i="4"/>
  <c r="F183" i="4"/>
  <c r="G183" i="5"/>
  <c r="F183" i="5"/>
  <c r="G185" i="7"/>
  <c r="F185" i="7"/>
  <c r="G183" i="6"/>
  <c r="F183" i="6"/>
  <c r="H183" i="6"/>
  <c r="G183" i="3"/>
  <c r="F183" i="3"/>
  <c r="G183" i="2"/>
  <c r="F183" i="2"/>
  <c r="G183" i="8"/>
  <c r="F183" i="8"/>
  <c r="H183" i="8"/>
  <c r="I183" i="12"/>
  <c r="H183" i="12"/>
  <c r="H131" i="14"/>
  <c r="G131" i="14"/>
  <c r="I131" i="14"/>
  <c r="H182" i="9"/>
  <c r="G182" i="9"/>
  <c r="H180" i="10"/>
  <c r="G180" i="10"/>
  <c r="G182" i="11"/>
  <c r="F182" i="11"/>
  <c r="G182" i="4"/>
  <c r="F182" i="4"/>
  <c r="H182" i="4"/>
  <c r="G182" i="5"/>
  <c r="F182" i="5"/>
  <c r="G184" i="7"/>
  <c r="F184" i="7"/>
  <c r="G182" i="6"/>
  <c r="F182" i="6"/>
  <c r="H182" i="6"/>
  <c r="G182" i="3"/>
  <c r="F182" i="3"/>
  <c r="G182" i="2"/>
  <c r="F182" i="2"/>
  <c r="G182" i="8"/>
  <c r="F182" i="8"/>
  <c r="H182" i="8"/>
  <c r="I182" i="12"/>
  <c r="H182" i="12"/>
  <c r="H130" i="14"/>
  <c r="G130" i="14"/>
  <c r="I130" i="14"/>
  <c r="H181" i="9"/>
  <c r="G181" i="9"/>
  <c r="H179" i="10"/>
  <c r="G179" i="10"/>
  <c r="G181" i="11"/>
  <c r="F181" i="11"/>
  <c r="G181" i="4"/>
  <c r="H181" i="4"/>
  <c r="F181" i="4"/>
  <c r="G181" i="5"/>
  <c r="F181" i="5"/>
  <c r="G183" i="7"/>
  <c r="F183" i="7"/>
  <c r="G181" i="6"/>
  <c r="F181" i="6"/>
  <c r="H181" i="6"/>
  <c r="G181" i="3"/>
  <c r="F181" i="3"/>
  <c r="G181" i="2"/>
  <c r="F181" i="2"/>
  <c r="G181" i="8"/>
  <c r="F181" i="8"/>
  <c r="H181" i="8"/>
  <c r="I181" i="12"/>
  <c r="H181" i="12"/>
  <c r="H129" i="14"/>
  <c r="G129" i="14"/>
  <c r="I129" i="14"/>
  <c r="H180" i="9"/>
  <c r="G180" i="9"/>
  <c r="H178" i="10"/>
  <c r="G178" i="10"/>
  <c r="G180" i="11"/>
  <c r="F180" i="11"/>
  <c r="G180" i="4"/>
  <c r="F180" i="4"/>
  <c r="H180" i="4"/>
  <c r="G180" i="5"/>
  <c r="F180" i="5"/>
  <c r="G182" i="7"/>
  <c r="F182" i="7"/>
  <c r="G180" i="6"/>
  <c r="F180" i="6"/>
  <c r="H180" i="6"/>
  <c r="G180" i="3"/>
  <c r="F180" i="3"/>
  <c r="G180" i="2"/>
  <c r="F180" i="2"/>
  <c r="G180" i="8"/>
  <c r="F180" i="8"/>
  <c r="H180" i="8"/>
  <c r="I180" i="12"/>
  <c r="H180" i="12"/>
  <c r="H128" i="14"/>
  <c r="G128" i="14"/>
  <c r="I128" i="14"/>
  <c r="H179" i="9"/>
  <c r="G179" i="9"/>
  <c r="H177" i="10"/>
  <c r="G177" i="10"/>
  <c r="G179" i="11"/>
  <c r="F179" i="11"/>
  <c r="G179" i="4"/>
  <c r="H179" i="4"/>
  <c r="F179" i="4"/>
  <c r="G179" i="5"/>
  <c r="F179" i="5"/>
  <c r="G181" i="7"/>
  <c r="F181" i="7"/>
  <c r="G179" i="6"/>
  <c r="F179" i="6"/>
  <c r="G179" i="3"/>
  <c r="F179" i="3"/>
  <c r="G179" i="2"/>
  <c r="F179" i="2"/>
  <c r="G179" i="8"/>
  <c r="F179" i="8"/>
  <c r="H179" i="8"/>
  <c r="I179" i="12"/>
  <c r="H179" i="12"/>
  <c r="H127" i="14"/>
  <c r="G127" i="14"/>
  <c r="I127" i="14"/>
  <c r="H178" i="9"/>
  <c r="G178" i="9"/>
  <c r="H176" i="10"/>
  <c r="G176" i="10"/>
  <c r="G178" i="11"/>
  <c r="F178" i="11"/>
  <c r="G178" i="4"/>
  <c r="F178" i="4"/>
  <c r="H178" i="4"/>
  <c r="G178" i="5"/>
  <c r="F178" i="5"/>
  <c r="G180" i="7"/>
  <c r="F180" i="7"/>
  <c r="G178" i="6"/>
  <c r="F178" i="6"/>
  <c r="H178" i="6"/>
  <c r="G178" i="3"/>
  <c r="F178" i="3"/>
  <c r="G178" i="2"/>
  <c r="F178" i="2"/>
  <c r="G178" i="8"/>
  <c r="F178" i="8"/>
  <c r="H178" i="8"/>
  <c r="I178" i="12"/>
  <c r="H178" i="12"/>
  <c r="H126" i="14"/>
  <c r="G126" i="14"/>
  <c r="I126" i="14"/>
  <c r="H177" i="9"/>
  <c r="G177" i="9"/>
  <c r="H175" i="10"/>
  <c r="G175" i="10"/>
  <c r="G177" i="11"/>
  <c r="F177" i="11"/>
  <c r="G177" i="4"/>
  <c r="H177" i="4"/>
  <c r="F177" i="4"/>
  <c r="G177" i="5"/>
  <c r="F177" i="5"/>
  <c r="G179" i="7"/>
  <c r="F179" i="7"/>
  <c r="G177" i="6"/>
  <c r="F177" i="6"/>
  <c r="G177" i="3"/>
  <c r="F177" i="3"/>
  <c r="G177" i="2"/>
  <c r="F177" i="2"/>
  <c r="G177" i="8"/>
  <c r="F177" i="8"/>
  <c r="I177" i="12"/>
  <c r="H177" i="12"/>
  <c r="H125" i="14"/>
  <c r="G125" i="14"/>
  <c r="H176" i="9"/>
  <c r="G176" i="9"/>
  <c r="I176" i="9"/>
  <c r="H174" i="10"/>
  <c r="G174" i="10"/>
  <c r="G176" i="11"/>
  <c r="F176" i="11"/>
  <c r="G176" i="4"/>
  <c r="F176" i="4"/>
  <c r="H176" i="4"/>
  <c r="G176" i="5"/>
  <c r="F176" i="5"/>
  <c r="G178" i="7"/>
  <c r="F178" i="7"/>
  <c r="G176" i="6"/>
  <c r="F176" i="6"/>
  <c r="H176" i="6"/>
  <c r="G176" i="3"/>
  <c r="F176" i="3"/>
  <c r="G176" i="2"/>
  <c r="F176" i="2"/>
  <c r="G176" i="8"/>
  <c r="F176" i="8"/>
  <c r="H176" i="8"/>
  <c r="I176" i="12"/>
  <c r="H176" i="12"/>
  <c r="G124" i="14"/>
  <c r="H124" i="14"/>
  <c r="I124" i="14"/>
  <c r="G175" i="9"/>
  <c r="H175" i="9"/>
  <c r="I175" i="9"/>
  <c r="G173" i="10"/>
  <c r="H173" i="10"/>
  <c r="I173" i="10"/>
  <c r="F175" i="11"/>
  <c r="G175" i="11"/>
  <c r="F175" i="4"/>
  <c r="G175" i="4"/>
  <c r="H175" i="4"/>
  <c r="F175" i="5"/>
  <c r="G175" i="5"/>
  <c r="F177" i="7"/>
  <c r="G177" i="7"/>
  <c r="F175" i="6"/>
  <c r="G175" i="6"/>
  <c r="H175" i="6"/>
  <c r="F175" i="3"/>
  <c r="G175" i="3"/>
  <c r="F175" i="2"/>
  <c r="G175" i="2"/>
  <c r="F175" i="8"/>
  <c r="G175" i="8"/>
  <c r="H175" i="8"/>
  <c r="I175" i="12"/>
  <c r="H175" i="12"/>
  <c r="H123" i="14"/>
  <c r="G123" i="14"/>
  <c r="I123" i="14"/>
  <c r="H174" i="9"/>
  <c r="G174" i="9"/>
  <c r="H172" i="10"/>
  <c r="G172" i="10"/>
  <c r="G174" i="11"/>
  <c r="F174" i="11"/>
  <c r="G174" i="4"/>
  <c r="F174" i="4"/>
  <c r="H174" i="4"/>
  <c r="G174" i="5"/>
  <c r="F174" i="5"/>
  <c r="G176" i="7"/>
  <c r="F176" i="7"/>
  <c r="G174" i="6"/>
  <c r="F174" i="6"/>
  <c r="H174" i="6"/>
  <c r="G174" i="3"/>
  <c r="F174" i="3"/>
  <c r="G174" i="2"/>
  <c r="F174" i="2"/>
  <c r="G174" i="8"/>
  <c r="F174" i="8"/>
  <c r="H174" i="8"/>
  <c r="M174" i="12"/>
  <c r="L174" i="12"/>
  <c r="I174" i="12"/>
  <c r="H174" i="12"/>
  <c r="H122" i="14"/>
  <c r="G122" i="14"/>
  <c r="I122" i="14"/>
  <c r="H173" i="9"/>
  <c r="G173" i="9"/>
  <c r="H171" i="10"/>
  <c r="G171" i="10"/>
  <c r="G173" i="11"/>
  <c r="F173" i="11"/>
  <c r="G173" i="4"/>
  <c r="H173" i="4"/>
  <c r="F173" i="4"/>
  <c r="G173" i="5"/>
  <c r="F173" i="5"/>
  <c r="G175" i="7"/>
  <c r="F175" i="7"/>
  <c r="G173" i="6"/>
  <c r="F173" i="6"/>
  <c r="H173" i="6"/>
  <c r="G173" i="3"/>
  <c r="F173" i="3"/>
  <c r="G173" i="2"/>
  <c r="F173" i="2"/>
  <c r="G173" i="8"/>
  <c r="F173" i="8"/>
  <c r="H173" i="8"/>
  <c r="M173" i="12"/>
  <c r="L173" i="12"/>
  <c r="I173" i="12"/>
  <c r="H173" i="12"/>
  <c r="H121" i="14"/>
  <c r="G121" i="14"/>
  <c r="I121" i="14"/>
  <c r="H172" i="9"/>
  <c r="G172" i="9"/>
  <c r="H170" i="10"/>
  <c r="G170" i="10"/>
  <c r="G172" i="11"/>
  <c r="F172" i="11"/>
  <c r="G172" i="4"/>
  <c r="F172" i="4"/>
  <c r="H172" i="4"/>
  <c r="G172" i="5"/>
  <c r="F172" i="5"/>
  <c r="H172" i="5"/>
  <c r="G174" i="7"/>
  <c r="F174" i="7"/>
  <c r="G172" i="6"/>
  <c r="F172" i="6"/>
  <c r="H172" i="6"/>
  <c r="G172" i="3"/>
  <c r="F172" i="3"/>
  <c r="G172" i="2"/>
  <c r="F172" i="2"/>
  <c r="H198" i="4"/>
  <c r="H198" i="11"/>
  <c r="I147" i="14"/>
  <c r="J194" i="12"/>
  <c r="J197" i="12"/>
  <c r="H197" i="2"/>
  <c r="H197" i="3"/>
  <c r="H199" i="7"/>
  <c r="H197" i="5"/>
  <c r="H197" i="4"/>
  <c r="H197" i="11"/>
  <c r="I146" i="14"/>
  <c r="K194" i="12"/>
  <c r="K195" i="12"/>
  <c r="K196" i="12"/>
  <c r="H175" i="3"/>
  <c r="I125" i="14"/>
  <c r="H177" i="8"/>
  <c r="H177" i="6"/>
  <c r="H179" i="6"/>
  <c r="K197" i="12"/>
  <c r="I171" i="10"/>
  <c r="I173" i="9"/>
  <c r="I178" i="9"/>
  <c r="I180" i="9"/>
  <c r="I182" i="9"/>
  <c r="I184" i="9"/>
  <c r="I186" i="9"/>
  <c r="H188" i="4"/>
  <c r="I188" i="9"/>
  <c r="I138" i="14"/>
  <c r="H190" i="6"/>
  <c r="I190" i="9"/>
  <c r="H191" i="8"/>
  <c r="H191" i="3"/>
  <c r="I189" i="10"/>
  <c r="I191" i="9"/>
  <c r="I141" i="14"/>
  <c r="H193" i="6"/>
  <c r="H194" i="2"/>
  <c r="H194" i="3"/>
  <c r="H194" i="6"/>
  <c r="H196" i="7"/>
  <c r="H194" i="5"/>
  <c r="H194" i="11"/>
  <c r="I143" i="14"/>
  <c r="J195" i="12"/>
  <c r="H195" i="8"/>
  <c r="I193" i="10"/>
  <c r="I195" i="9"/>
  <c r="J196" i="12"/>
  <c r="H196" i="2"/>
  <c r="H196" i="3"/>
  <c r="H198" i="7"/>
  <c r="H196" i="5"/>
  <c r="H196" i="4"/>
  <c r="I194" i="10"/>
  <c r="I196" i="9"/>
  <c r="H197" i="8"/>
  <c r="I195" i="10"/>
  <c r="I197" i="9"/>
  <c r="H198" i="8"/>
  <c r="I196" i="10"/>
  <c r="I198" i="9"/>
  <c r="I172" i="9"/>
  <c r="I174" i="9"/>
  <c r="I177" i="9"/>
  <c r="I179" i="9"/>
  <c r="I181" i="9"/>
  <c r="I183" i="9"/>
  <c r="I185" i="9"/>
  <c r="I187" i="9"/>
  <c r="I189" i="9"/>
  <c r="I192" i="9"/>
  <c r="I193" i="9"/>
  <c r="I170" i="10"/>
  <c r="I172" i="10"/>
  <c r="I190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91" i="10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3" i="11"/>
  <c r="H172" i="11"/>
  <c r="H173" i="11"/>
  <c r="H174" i="11"/>
  <c r="H175" i="11"/>
  <c r="H191" i="11"/>
  <c r="H192" i="11"/>
  <c r="H192" i="4"/>
  <c r="H191" i="5"/>
  <c r="H19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6" i="5"/>
  <c r="H187" i="5"/>
  <c r="H188" i="5"/>
  <c r="H189" i="5"/>
  <c r="H190" i="5"/>
  <c r="H193" i="5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1" i="6"/>
  <c r="H192" i="6"/>
  <c r="H172" i="3"/>
  <c r="H173" i="3"/>
  <c r="H174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3" i="3"/>
  <c r="H191" i="2"/>
  <c r="H192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8" i="2"/>
  <c r="H189" i="2"/>
  <c r="H190" i="2"/>
  <c r="H193" i="2"/>
  <c r="H190" i="8"/>
  <c r="H186" i="8"/>
  <c r="H187" i="8"/>
  <c r="H188" i="8"/>
  <c r="H189" i="8"/>
  <c r="H192" i="8"/>
  <c r="H193" i="8"/>
  <c r="J173" i="12"/>
  <c r="J179" i="12"/>
  <c r="K177" i="12"/>
  <c r="J176" i="12"/>
  <c r="J177" i="12"/>
  <c r="K180" i="12"/>
  <c r="K182" i="12"/>
  <c r="K187" i="12"/>
  <c r="J189" i="12"/>
  <c r="K174" i="12"/>
  <c r="K175" i="12"/>
  <c r="K176" i="12"/>
  <c r="K178" i="12"/>
  <c r="J181" i="12"/>
  <c r="J182" i="12"/>
  <c r="J185" i="12"/>
  <c r="J186" i="12"/>
  <c r="J187" i="12"/>
  <c r="J190" i="12"/>
  <c r="K190" i="12"/>
  <c r="J192" i="12"/>
  <c r="K192" i="12"/>
  <c r="J193" i="12"/>
  <c r="K181" i="12"/>
  <c r="K183" i="12"/>
  <c r="K184" i="12"/>
  <c r="K185" i="12"/>
  <c r="K186" i="12"/>
  <c r="K188" i="12"/>
  <c r="K193" i="12"/>
  <c r="K179" i="12"/>
  <c r="K189" i="12"/>
  <c r="J174" i="12"/>
  <c r="J175" i="12"/>
  <c r="J178" i="12"/>
  <c r="J180" i="12"/>
  <c r="J183" i="12"/>
  <c r="J184" i="12"/>
  <c r="J188" i="12"/>
  <c r="H185" i="5"/>
  <c r="G172" i="8"/>
  <c r="F172" i="8"/>
  <c r="M172" i="12"/>
  <c r="L172" i="12"/>
  <c r="I172" i="12"/>
  <c r="H172" i="12"/>
  <c r="K173" i="12"/>
  <c r="H120" i="14"/>
  <c r="G120" i="14"/>
  <c r="H171" i="9"/>
  <c r="G171" i="9"/>
  <c r="H169" i="10"/>
  <c r="G169" i="10"/>
  <c r="G171" i="11"/>
  <c r="F171" i="11"/>
  <c r="G171" i="4"/>
  <c r="F171" i="4"/>
  <c r="G171" i="5"/>
  <c r="F171" i="5"/>
  <c r="G173" i="7"/>
  <c r="F173" i="7"/>
  <c r="G171" i="6"/>
  <c r="F171" i="6"/>
  <c r="H171" i="6"/>
  <c r="G171" i="3"/>
  <c r="F171" i="3"/>
  <c r="G171" i="2"/>
  <c r="F171" i="2"/>
  <c r="G171" i="8"/>
  <c r="F171" i="8"/>
  <c r="M171" i="12"/>
  <c r="L171" i="12"/>
  <c r="I171" i="12"/>
  <c r="H171" i="12"/>
  <c r="H119" i="14"/>
  <c r="G119" i="14"/>
  <c r="H170" i="9"/>
  <c r="G170" i="9"/>
  <c r="H168" i="10"/>
  <c r="G168" i="10"/>
  <c r="G170" i="11"/>
  <c r="F170" i="11"/>
  <c r="G170" i="4"/>
  <c r="H170" i="4"/>
  <c r="F170" i="4"/>
  <c r="G170" i="5"/>
  <c r="F170" i="5"/>
  <c r="G172" i="7"/>
  <c r="F172" i="7"/>
  <c r="G170" i="6"/>
  <c r="H170" i="6"/>
  <c r="F170" i="6"/>
  <c r="G170" i="3"/>
  <c r="F170" i="3"/>
  <c r="G170" i="2"/>
  <c r="F170" i="2"/>
  <c r="G170" i="8"/>
  <c r="F170" i="8"/>
  <c r="M170" i="12"/>
  <c r="L170" i="12"/>
  <c r="I170" i="12"/>
  <c r="H170" i="12"/>
  <c r="H118" i="14"/>
  <c r="G118" i="14"/>
  <c r="I118" i="14"/>
  <c r="H169" i="9"/>
  <c r="G169" i="9"/>
  <c r="H167" i="10"/>
  <c r="G167" i="10"/>
  <c r="G169" i="11"/>
  <c r="F169" i="11"/>
  <c r="G169" i="4"/>
  <c r="F169" i="4"/>
  <c r="G169" i="5"/>
  <c r="F169" i="5"/>
  <c r="G171" i="7"/>
  <c r="F171" i="7"/>
  <c r="G169" i="6"/>
  <c r="F169" i="6"/>
  <c r="G169" i="3"/>
  <c r="F169" i="3"/>
  <c r="G169" i="2"/>
  <c r="F169" i="2"/>
  <c r="G169" i="8"/>
  <c r="F169" i="8"/>
  <c r="M169" i="12"/>
  <c r="L169" i="12"/>
  <c r="I169" i="12"/>
  <c r="H169" i="12"/>
  <c r="J170" i="12"/>
  <c r="H170" i="5"/>
  <c r="I119" i="14"/>
  <c r="H171" i="5"/>
  <c r="H169" i="5"/>
  <c r="I170" i="9"/>
  <c r="I120" i="14"/>
  <c r="I169" i="9"/>
  <c r="I171" i="9"/>
  <c r="I167" i="10"/>
  <c r="I168" i="10"/>
  <c r="I169" i="10"/>
  <c r="H169" i="11"/>
  <c r="H170" i="11"/>
  <c r="H171" i="11"/>
  <c r="H169" i="4"/>
  <c r="H171" i="4"/>
  <c r="H171" i="7"/>
  <c r="H172" i="7"/>
  <c r="H173" i="7"/>
  <c r="H169" i="6"/>
  <c r="H169" i="3"/>
  <c r="H170" i="3"/>
  <c r="H171" i="3"/>
  <c r="H169" i="2"/>
  <c r="H170" i="2"/>
  <c r="H171" i="2"/>
  <c r="H169" i="8"/>
  <c r="H170" i="8"/>
  <c r="H171" i="8"/>
  <c r="H172" i="8"/>
  <c r="K171" i="12"/>
  <c r="J172" i="12"/>
  <c r="K170" i="12"/>
  <c r="K172" i="12"/>
  <c r="J169" i="12"/>
  <c r="J171" i="12"/>
  <c r="H117" i="14"/>
  <c r="G117" i="14"/>
  <c r="H168" i="9"/>
  <c r="G168" i="9"/>
  <c r="H166" i="10"/>
  <c r="G166" i="10"/>
  <c r="G168" i="11"/>
  <c r="F168" i="11"/>
  <c r="G168" i="4"/>
  <c r="F168" i="4"/>
  <c r="G168" i="5"/>
  <c r="F168" i="5"/>
  <c r="G170" i="7"/>
  <c r="F170" i="7"/>
  <c r="G168" i="6"/>
  <c r="F168" i="6"/>
  <c r="G168" i="3"/>
  <c r="F168" i="3"/>
  <c r="G168" i="2"/>
  <c r="F168" i="2"/>
  <c r="G168" i="8"/>
  <c r="F168" i="8"/>
  <c r="M168" i="12"/>
  <c r="L168" i="12"/>
  <c r="I168" i="12"/>
  <c r="H168" i="12"/>
  <c r="K169" i="12"/>
  <c r="G116" i="14"/>
  <c r="H116" i="14"/>
  <c r="G167" i="9"/>
  <c r="H167" i="9"/>
  <c r="G165" i="10"/>
  <c r="H165" i="10"/>
  <c r="F167" i="11"/>
  <c r="G167" i="11"/>
  <c r="F167" i="4"/>
  <c r="G167" i="4"/>
  <c r="F167" i="5"/>
  <c r="G167" i="5"/>
  <c r="F169" i="7"/>
  <c r="G169" i="7"/>
  <c r="F167" i="6"/>
  <c r="H167" i="6"/>
  <c r="G167" i="6"/>
  <c r="F167" i="3"/>
  <c r="G167" i="3"/>
  <c r="F167" i="2"/>
  <c r="G167" i="2"/>
  <c r="F167" i="8"/>
  <c r="G167" i="8"/>
  <c r="M167" i="12"/>
  <c r="L167" i="12"/>
  <c r="I167" i="12"/>
  <c r="H167" i="12"/>
  <c r="H115" i="14"/>
  <c r="G115" i="14"/>
  <c r="H166" i="9"/>
  <c r="G166" i="9"/>
  <c r="H164" i="10"/>
  <c r="G164" i="10"/>
  <c r="G166" i="11"/>
  <c r="F166" i="11"/>
  <c r="G166" i="4"/>
  <c r="F166" i="4"/>
  <c r="G166" i="5"/>
  <c r="F166" i="5"/>
  <c r="G168" i="7"/>
  <c r="F168" i="7"/>
  <c r="G166" i="6"/>
  <c r="F166" i="6"/>
  <c r="G166" i="3"/>
  <c r="F166" i="3"/>
  <c r="G166" i="2"/>
  <c r="F166" i="2"/>
  <c r="G166" i="8"/>
  <c r="F166" i="8"/>
  <c r="M166" i="12"/>
  <c r="L166" i="12"/>
  <c r="M165" i="12"/>
  <c r="L165" i="12"/>
  <c r="M164" i="12"/>
  <c r="L164" i="12"/>
  <c r="I166" i="12"/>
  <c r="H166" i="12"/>
  <c r="H114" i="14"/>
  <c r="G114" i="14"/>
  <c r="H165" i="9"/>
  <c r="G165" i="9"/>
  <c r="H163" i="10"/>
  <c r="G163" i="10"/>
  <c r="G165" i="11"/>
  <c r="F165" i="11"/>
  <c r="G165" i="4"/>
  <c r="F165" i="4"/>
  <c r="G165" i="5"/>
  <c r="F165" i="5"/>
  <c r="G167" i="7"/>
  <c r="F167" i="7"/>
  <c r="G165" i="6"/>
  <c r="F165" i="6"/>
  <c r="H165" i="6"/>
  <c r="G165" i="3"/>
  <c r="F165" i="3"/>
  <c r="G165" i="2"/>
  <c r="F165" i="2"/>
  <c r="G165" i="8"/>
  <c r="F165" i="8"/>
  <c r="I165" i="12"/>
  <c r="H165" i="12"/>
  <c r="H113" i="14"/>
  <c r="G113" i="14"/>
  <c r="I113" i="14"/>
  <c r="H164" i="9"/>
  <c r="G164" i="9"/>
  <c r="H162" i="10"/>
  <c r="G162" i="10"/>
  <c r="G164" i="11"/>
  <c r="F164" i="11"/>
  <c r="G164" i="4"/>
  <c r="F164" i="4"/>
  <c r="H164" i="4"/>
  <c r="G164" i="5"/>
  <c r="F164" i="5"/>
  <c r="G166" i="7"/>
  <c r="F166" i="7"/>
  <c r="G164" i="6"/>
  <c r="F164" i="6"/>
  <c r="G164" i="3"/>
  <c r="F164" i="3"/>
  <c r="G164" i="2"/>
  <c r="F164" i="2"/>
  <c r="G164" i="8"/>
  <c r="F164" i="8"/>
  <c r="I164" i="12"/>
  <c r="H164" i="12"/>
  <c r="H112" i="14"/>
  <c r="G112" i="14"/>
  <c r="H163" i="9"/>
  <c r="G163" i="9"/>
  <c r="H161" i="10"/>
  <c r="G161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G163" i="11"/>
  <c r="F163" i="11"/>
  <c r="G163" i="4"/>
  <c r="F163" i="4"/>
  <c r="G163" i="5"/>
  <c r="F163" i="5"/>
  <c r="G165" i="7"/>
  <c r="F165" i="7"/>
  <c r="G163" i="6"/>
  <c r="F163" i="6"/>
  <c r="G163" i="3"/>
  <c r="F163" i="3"/>
  <c r="G163" i="2"/>
  <c r="F163" i="2"/>
  <c r="F163" i="8"/>
  <c r="G163" i="8"/>
  <c r="M163" i="12"/>
  <c r="L163" i="12"/>
  <c r="I163" i="12"/>
  <c r="H163" i="12"/>
  <c r="H111" i="14"/>
  <c r="G111" i="14"/>
  <c r="H162" i="9"/>
  <c r="G162" i="9"/>
  <c r="I162" i="9"/>
  <c r="H160" i="10"/>
  <c r="G160" i="10"/>
  <c r="I160" i="10"/>
  <c r="G162" i="11"/>
  <c r="F162" i="11"/>
  <c r="H162" i="11"/>
  <c r="G162" i="4"/>
  <c r="F162" i="4"/>
  <c r="H162" i="4"/>
  <c r="G162" i="5"/>
  <c r="F162" i="5"/>
  <c r="H162" i="5"/>
  <c r="G164" i="7"/>
  <c r="F164" i="7"/>
  <c r="H164" i="7"/>
  <c r="G162" i="6"/>
  <c r="F162" i="6"/>
  <c r="H162" i="6"/>
  <c r="G162" i="3"/>
  <c r="F162" i="3"/>
  <c r="G162" i="2"/>
  <c r="F162" i="2"/>
  <c r="F162" i="8"/>
  <c r="G162" i="8"/>
  <c r="I162" i="12"/>
  <c r="H162" i="12"/>
  <c r="J162" i="12"/>
  <c r="H110" i="14"/>
  <c r="G110" i="14"/>
  <c r="H161" i="9"/>
  <c r="G161" i="9"/>
  <c r="H159" i="10"/>
  <c r="G159" i="10"/>
  <c r="G161" i="11"/>
  <c r="F161" i="11"/>
  <c r="G161" i="4"/>
  <c r="F161" i="4"/>
  <c r="G161" i="5"/>
  <c r="F161" i="5"/>
  <c r="G163" i="7"/>
  <c r="F163" i="7"/>
  <c r="G161" i="6"/>
  <c r="F161" i="6"/>
  <c r="G161" i="3"/>
  <c r="F161" i="3"/>
  <c r="G161" i="2"/>
  <c r="F161" i="2"/>
  <c r="G161" i="8"/>
  <c r="F161" i="8"/>
  <c r="M161" i="12"/>
  <c r="L161" i="12"/>
  <c r="I161" i="12"/>
  <c r="H161" i="12"/>
  <c r="H109" i="14"/>
  <c r="G109" i="14"/>
  <c r="H160" i="9"/>
  <c r="G160" i="9"/>
  <c r="H158" i="10"/>
  <c r="G158" i="10"/>
  <c r="G160" i="11"/>
  <c r="F160" i="11"/>
  <c r="G160" i="4"/>
  <c r="F160" i="4"/>
  <c r="G160" i="5"/>
  <c r="F160" i="5"/>
  <c r="G162" i="7"/>
  <c r="F162" i="7"/>
  <c r="G160" i="6"/>
  <c r="F160" i="6"/>
  <c r="F160" i="3"/>
  <c r="H160" i="3"/>
  <c r="G160" i="3"/>
  <c r="G160" i="2"/>
  <c r="F160" i="2"/>
  <c r="G160" i="8"/>
  <c r="F160" i="8"/>
  <c r="M160" i="12"/>
  <c r="L160" i="12"/>
  <c r="I160" i="12"/>
  <c r="H160" i="12"/>
  <c r="I109" i="14"/>
  <c r="H161" i="2"/>
  <c r="H161" i="3"/>
  <c r="H161" i="4"/>
  <c r="H163" i="8"/>
  <c r="J165" i="12"/>
  <c r="H165" i="3"/>
  <c r="H165" i="4"/>
  <c r="I163" i="10"/>
  <c r="I114" i="14"/>
  <c r="H166" i="8"/>
  <c r="H166" i="2"/>
  <c r="H166" i="3"/>
  <c r="I115" i="14"/>
  <c r="H167" i="8"/>
  <c r="H167" i="2"/>
  <c r="H167" i="3"/>
  <c r="H167" i="4"/>
  <c r="I116" i="14"/>
  <c r="H168" i="6"/>
  <c r="I117" i="14"/>
  <c r="H166" i="4"/>
  <c r="H168" i="11"/>
  <c r="H160" i="2"/>
  <c r="H162" i="7"/>
  <c r="H160" i="5"/>
  <c r="H160" i="11"/>
  <c r="I158" i="10"/>
  <c r="I160" i="9"/>
  <c r="I110" i="14"/>
  <c r="I111" i="14"/>
  <c r="H163" i="6"/>
  <c r="H165" i="7"/>
  <c r="H163" i="5"/>
  <c r="H163" i="11"/>
  <c r="I112" i="14"/>
  <c r="K165" i="12"/>
  <c r="H164" i="6"/>
  <c r="H166" i="7"/>
  <c r="H164" i="5"/>
  <c r="H164" i="11"/>
  <c r="I164" i="9"/>
  <c r="H165" i="8"/>
  <c r="H165" i="2"/>
  <c r="I165" i="9"/>
  <c r="I167" i="9"/>
  <c r="I161" i="9"/>
  <c r="I163" i="9"/>
  <c r="I166" i="9"/>
  <c r="I168" i="9"/>
  <c r="I164" i="10"/>
  <c r="I165" i="10"/>
  <c r="I159" i="10"/>
  <c r="I161" i="10"/>
  <c r="I162" i="10"/>
  <c r="I166" i="10"/>
  <c r="H161" i="11"/>
  <c r="H165" i="11"/>
  <c r="H166" i="11"/>
  <c r="H167" i="11"/>
  <c r="H160" i="4"/>
  <c r="H163" i="4"/>
  <c r="H168" i="4"/>
  <c r="H167" i="5"/>
  <c r="H161" i="5"/>
  <c r="H165" i="5"/>
  <c r="H166" i="5"/>
  <c r="H168" i="5"/>
  <c r="H169" i="7"/>
  <c r="H170" i="7"/>
  <c r="H163" i="7"/>
  <c r="H167" i="7"/>
  <c r="H168" i="7"/>
  <c r="H161" i="6"/>
  <c r="H166" i="6"/>
  <c r="H162" i="3"/>
  <c r="H163" i="3"/>
  <c r="H164" i="3"/>
  <c r="H168" i="3"/>
  <c r="H162" i="2"/>
  <c r="H163" i="2"/>
  <c r="H164" i="2"/>
  <c r="H168" i="2"/>
  <c r="H162" i="8"/>
  <c r="H160" i="8"/>
  <c r="H161" i="8"/>
  <c r="H164" i="8"/>
  <c r="H168" i="8"/>
  <c r="J160" i="12"/>
  <c r="K161" i="12"/>
  <c r="J167" i="12"/>
  <c r="J161" i="12"/>
  <c r="K166" i="12"/>
  <c r="K167" i="12"/>
  <c r="N161" i="12"/>
  <c r="J163" i="12"/>
  <c r="J164" i="12"/>
  <c r="K164" i="12"/>
  <c r="J166" i="12"/>
  <c r="J168" i="12"/>
  <c r="K168" i="12"/>
  <c r="K163" i="12"/>
  <c r="H108" i="14"/>
  <c r="G108" i="14"/>
  <c r="H159" i="9"/>
  <c r="G159" i="9"/>
  <c r="H157" i="10"/>
  <c r="G157" i="10"/>
  <c r="G159" i="11"/>
  <c r="F159" i="11"/>
  <c r="G159" i="4"/>
  <c r="F159" i="4"/>
  <c r="G159" i="5"/>
  <c r="F159" i="5"/>
  <c r="G161" i="7"/>
  <c r="F161" i="7"/>
  <c r="F159" i="6"/>
  <c r="G159" i="6"/>
  <c r="G159" i="3"/>
  <c r="F159" i="3"/>
  <c r="G159" i="2"/>
  <c r="F159" i="2"/>
  <c r="G159" i="8"/>
  <c r="F159" i="8"/>
  <c r="M159" i="12"/>
  <c r="L159" i="12"/>
  <c r="I159" i="12"/>
  <c r="N160" i="12"/>
  <c r="H159" i="12"/>
  <c r="K160" i="12"/>
  <c r="H107" i="14"/>
  <c r="G107" i="14"/>
  <c r="H158" i="9"/>
  <c r="G158" i="9"/>
  <c r="H156" i="10"/>
  <c r="G156" i="10"/>
  <c r="G158" i="11"/>
  <c r="F158" i="11"/>
  <c r="G158" i="4"/>
  <c r="F158" i="4"/>
  <c r="G158" i="5"/>
  <c r="F158" i="5"/>
  <c r="G160" i="7"/>
  <c r="F160" i="7"/>
  <c r="G158" i="6"/>
  <c r="F158" i="6"/>
  <c r="H158" i="6"/>
  <c r="G158" i="3"/>
  <c r="F158" i="3"/>
  <c r="G158" i="2"/>
  <c r="F158" i="2"/>
  <c r="G158" i="8"/>
  <c r="F158" i="8"/>
  <c r="M158" i="12"/>
  <c r="L158" i="12"/>
  <c r="I158" i="12"/>
  <c r="H158" i="12"/>
  <c r="H106" i="14"/>
  <c r="G106" i="14"/>
  <c r="H157" i="9"/>
  <c r="G157" i="9"/>
  <c r="H155" i="10"/>
  <c r="G155" i="10"/>
  <c r="G157" i="11"/>
  <c r="F157" i="11"/>
  <c r="G157" i="4"/>
  <c r="F157" i="4"/>
  <c r="G157" i="5"/>
  <c r="F157" i="5"/>
  <c r="G159" i="7"/>
  <c r="F159" i="7"/>
  <c r="G157" i="6"/>
  <c r="H157" i="6"/>
  <c r="F157" i="6"/>
  <c r="G157" i="3"/>
  <c r="F157" i="3"/>
  <c r="G157" i="2"/>
  <c r="F157" i="2"/>
  <c r="G157" i="8"/>
  <c r="F157" i="8"/>
  <c r="L157" i="12"/>
  <c r="M157" i="12"/>
  <c r="I157" i="12"/>
  <c r="H157" i="12"/>
  <c r="H105" i="14"/>
  <c r="G105" i="14"/>
  <c r="H156" i="9"/>
  <c r="G156" i="9"/>
  <c r="H154" i="10"/>
  <c r="G154" i="10"/>
  <c r="G156" i="11"/>
  <c r="F156" i="11"/>
  <c r="G156" i="4"/>
  <c r="F156" i="4"/>
  <c r="G156" i="5"/>
  <c r="F156" i="5"/>
  <c r="G158" i="7"/>
  <c r="F158" i="7"/>
  <c r="G156" i="6"/>
  <c r="F156" i="6"/>
  <c r="G156" i="3"/>
  <c r="F156" i="3"/>
  <c r="G156" i="2"/>
  <c r="F156" i="2"/>
  <c r="G156" i="8"/>
  <c r="F156" i="8"/>
  <c r="M156" i="12"/>
  <c r="L156" i="12"/>
  <c r="I156" i="12"/>
  <c r="H156" i="12"/>
  <c r="H104" i="14"/>
  <c r="G104" i="14"/>
  <c r="H155" i="9"/>
  <c r="G155" i="9"/>
  <c r="H153" i="10"/>
  <c r="G153" i="10"/>
  <c r="G155" i="11"/>
  <c r="F155" i="11"/>
  <c r="G155" i="4"/>
  <c r="F155" i="4"/>
  <c r="G155" i="5"/>
  <c r="F155" i="5"/>
  <c r="G157" i="7"/>
  <c r="F157" i="7"/>
  <c r="G155" i="6"/>
  <c r="F155" i="6"/>
  <c r="H155" i="6"/>
  <c r="F155" i="3"/>
  <c r="G155" i="3"/>
  <c r="G155" i="2"/>
  <c r="F155" i="2"/>
  <c r="G155" i="8"/>
  <c r="F155" i="8"/>
  <c r="M155" i="12"/>
  <c r="L155" i="12"/>
  <c r="I155" i="12"/>
  <c r="H155" i="12"/>
  <c r="H103" i="14"/>
  <c r="G103" i="14"/>
  <c r="H154" i="9"/>
  <c r="G154" i="9"/>
  <c r="H152" i="10"/>
  <c r="G152" i="10"/>
  <c r="G154" i="11"/>
  <c r="F154" i="11"/>
  <c r="G154" i="4"/>
  <c r="F154" i="4"/>
  <c r="G154" i="5"/>
  <c r="F154" i="5"/>
  <c r="G156" i="7"/>
  <c r="F156" i="7"/>
  <c r="G154" i="6"/>
  <c r="F154" i="6"/>
  <c r="H154" i="6"/>
  <c r="G154" i="3"/>
  <c r="F154" i="3"/>
  <c r="G154" i="2"/>
  <c r="F154" i="2"/>
  <c r="G154" i="8"/>
  <c r="F154" i="8"/>
  <c r="M154" i="12"/>
  <c r="L154" i="12"/>
  <c r="I154" i="12"/>
  <c r="H154" i="12"/>
  <c r="H102" i="14"/>
  <c r="G102" i="14"/>
  <c r="I102" i="14"/>
  <c r="H153" i="9"/>
  <c r="G153" i="9"/>
  <c r="I153" i="9"/>
  <c r="H151" i="10"/>
  <c r="G151" i="10"/>
  <c r="I151" i="10"/>
  <c r="G153" i="11"/>
  <c r="F153" i="11"/>
  <c r="G153" i="4"/>
  <c r="F153" i="4"/>
  <c r="H153" i="4"/>
  <c r="G153" i="5"/>
  <c r="F153" i="5"/>
  <c r="G155" i="7"/>
  <c r="F155" i="7"/>
  <c r="H155" i="7"/>
  <c r="G153" i="6"/>
  <c r="F153" i="6"/>
  <c r="H153" i="6"/>
  <c r="G153" i="3"/>
  <c r="F153" i="3"/>
  <c r="G153" i="2"/>
  <c r="F153" i="2"/>
  <c r="G153" i="8"/>
  <c r="F153" i="8"/>
  <c r="M153" i="12"/>
  <c r="L153" i="12"/>
  <c r="I153" i="12"/>
  <c r="H153" i="12"/>
  <c r="H101" i="14"/>
  <c r="G101" i="14"/>
  <c r="I101" i="14"/>
  <c r="H152" i="9"/>
  <c r="G152" i="9"/>
  <c r="H150" i="10"/>
  <c r="G150" i="10"/>
  <c r="G152" i="11"/>
  <c r="F152" i="11"/>
  <c r="G152" i="4"/>
  <c r="F152" i="4"/>
  <c r="G152" i="5"/>
  <c r="F152" i="5"/>
  <c r="G154" i="7"/>
  <c r="F154" i="7"/>
  <c r="G152" i="6"/>
  <c r="H152" i="6"/>
  <c r="F152" i="6"/>
  <c r="G152" i="3"/>
  <c r="F152" i="3"/>
  <c r="G152" i="2"/>
  <c r="F152" i="2"/>
  <c r="G152" i="8"/>
  <c r="F152" i="8"/>
  <c r="M152" i="12"/>
  <c r="L152" i="12"/>
  <c r="I152" i="12"/>
  <c r="H152" i="12"/>
  <c r="H100" i="14"/>
  <c r="G100" i="14"/>
  <c r="I100" i="14"/>
  <c r="H151" i="9"/>
  <c r="G151" i="9"/>
  <c r="H149" i="10"/>
  <c r="G149" i="10"/>
  <c r="I149" i="10"/>
  <c r="G151" i="11"/>
  <c r="F151" i="11"/>
  <c r="H151" i="11"/>
  <c r="G151" i="4"/>
  <c r="F151" i="4"/>
  <c r="H151" i="4"/>
  <c r="G151" i="5"/>
  <c r="F151" i="5"/>
  <c r="G153" i="7"/>
  <c r="F153" i="7"/>
  <c r="H153" i="7"/>
  <c r="G151" i="6"/>
  <c r="F151" i="6"/>
  <c r="G151" i="3"/>
  <c r="F151" i="3"/>
  <c r="G151" i="2"/>
  <c r="F151" i="2"/>
  <c r="G151" i="8"/>
  <c r="F151" i="8"/>
  <c r="M151" i="12"/>
  <c r="L151" i="12"/>
  <c r="I151" i="12"/>
  <c r="H151" i="12"/>
  <c r="H99" i="14"/>
  <c r="G99" i="14"/>
  <c r="I99" i="14"/>
  <c r="H150" i="9"/>
  <c r="G150" i="9"/>
  <c r="I150" i="9"/>
  <c r="H148" i="10"/>
  <c r="G148" i="10"/>
  <c r="I148" i="10"/>
  <c r="G150" i="11"/>
  <c r="F150" i="11"/>
  <c r="G150" i="4"/>
  <c r="F150" i="4"/>
  <c r="H150" i="4"/>
  <c r="G150" i="5"/>
  <c r="F150" i="5"/>
  <c r="G152" i="7"/>
  <c r="F152" i="7"/>
  <c r="G150" i="6"/>
  <c r="F150" i="6"/>
  <c r="H150" i="6"/>
  <c r="G150" i="3"/>
  <c r="F150" i="3"/>
  <c r="G150" i="2"/>
  <c r="F150" i="2"/>
  <c r="G150" i="8"/>
  <c r="F150" i="8"/>
  <c r="M150" i="12"/>
  <c r="L150" i="12"/>
  <c r="I150" i="12"/>
  <c r="H150" i="12"/>
  <c r="G149" i="9"/>
  <c r="H149" i="9"/>
  <c r="G147" i="10"/>
  <c r="H147" i="10"/>
  <c r="F149" i="11"/>
  <c r="G149" i="11"/>
  <c r="F149" i="4"/>
  <c r="G149" i="4"/>
  <c r="H149" i="4"/>
  <c r="F149" i="5"/>
  <c r="G149" i="5"/>
  <c r="H149" i="5"/>
  <c r="F151" i="7"/>
  <c r="G151" i="7"/>
  <c r="H151" i="7"/>
  <c r="F149" i="6"/>
  <c r="H149" i="6"/>
  <c r="G149" i="6"/>
  <c r="F149" i="3"/>
  <c r="G149" i="3"/>
  <c r="H149" i="3"/>
  <c r="F149" i="2"/>
  <c r="G149" i="2"/>
  <c r="H149" i="2"/>
  <c r="F149" i="8"/>
  <c r="G149" i="8"/>
  <c r="H149" i="8"/>
  <c r="M149" i="12"/>
  <c r="L149" i="12"/>
  <c r="I149" i="12"/>
  <c r="H149" i="12"/>
  <c r="K150" i="12"/>
  <c r="H97" i="14"/>
  <c r="G97" i="14"/>
  <c r="I97" i="14"/>
  <c r="H148" i="9"/>
  <c r="G148" i="9"/>
  <c r="I148" i="9"/>
  <c r="H146" i="10"/>
  <c r="G146" i="10"/>
  <c r="G148" i="11"/>
  <c r="F148" i="11"/>
  <c r="G148" i="4"/>
  <c r="F148" i="4"/>
  <c r="G148" i="5"/>
  <c r="F148" i="5"/>
  <c r="H148" i="5"/>
  <c r="G150" i="7"/>
  <c r="F150" i="7"/>
  <c r="G148" i="6"/>
  <c r="F148" i="6"/>
  <c r="G148" i="3"/>
  <c r="F148" i="3"/>
  <c r="G148" i="2"/>
  <c r="F148" i="2"/>
  <c r="G148" i="8"/>
  <c r="F148" i="8"/>
  <c r="M148" i="12"/>
  <c r="L148" i="12"/>
  <c r="I148" i="12"/>
  <c r="H148" i="12"/>
  <c r="H96" i="14"/>
  <c r="G96" i="14"/>
  <c r="H147" i="9"/>
  <c r="G147" i="9"/>
  <c r="H145" i="10"/>
  <c r="G145" i="10"/>
  <c r="G147" i="11"/>
  <c r="F147" i="11"/>
  <c r="G147" i="4"/>
  <c r="F147" i="4"/>
  <c r="G147" i="5"/>
  <c r="F147" i="5"/>
  <c r="H147" i="5"/>
  <c r="G149" i="7"/>
  <c r="F149" i="7"/>
  <c r="H149" i="7"/>
  <c r="G147" i="6"/>
  <c r="F147" i="6"/>
  <c r="H147" i="6"/>
  <c r="G147" i="3"/>
  <c r="F147" i="3"/>
  <c r="G147" i="2"/>
  <c r="F147" i="2"/>
  <c r="G147" i="8"/>
  <c r="F147" i="8"/>
  <c r="M147" i="12"/>
  <c r="L147" i="12"/>
  <c r="I147" i="12"/>
  <c r="H147" i="12"/>
  <c r="H95" i="14"/>
  <c r="G95" i="14"/>
  <c r="I95" i="14"/>
  <c r="H146" i="9"/>
  <c r="G146" i="9"/>
  <c r="H144" i="10"/>
  <c r="G144" i="10"/>
  <c r="G146" i="11"/>
  <c r="F146" i="11"/>
  <c r="G146" i="4"/>
  <c r="F146" i="4"/>
  <c r="G146" i="5"/>
  <c r="F146" i="5"/>
  <c r="G148" i="7"/>
  <c r="F148" i="7"/>
  <c r="G146" i="6"/>
  <c r="F146" i="6"/>
  <c r="H146" i="6"/>
  <c r="G146" i="3"/>
  <c r="F146" i="3"/>
  <c r="H146" i="3"/>
  <c r="G146" i="2"/>
  <c r="F146" i="2"/>
  <c r="G146" i="8"/>
  <c r="F146" i="8"/>
  <c r="H146" i="8"/>
  <c r="M146" i="12"/>
  <c r="L146" i="12"/>
  <c r="I146" i="12"/>
  <c r="H146" i="12"/>
  <c r="H94" i="14"/>
  <c r="G94" i="14"/>
  <c r="I94" i="14"/>
  <c r="H145" i="9"/>
  <c r="G145" i="9"/>
  <c r="H143" i="10"/>
  <c r="G143" i="10"/>
  <c r="G145" i="11"/>
  <c r="F145" i="11"/>
  <c r="G145" i="4"/>
  <c r="F145" i="4"/>
  <c r="G145" i="5"/>
  <c r="F145" i="5"/>
  <c r="G147" i="7"/>
  <c r="F147" i="7"/>
  <c r="G145" i="6"/>
  <c r="F145" i="6"/>
  <c r="H145" i="6"/>
  <c r="G145" i="3"/>
  <c r="F145" i="3"/>
  <c r="G145" i="2"/>
  <c r="F145" i="2"/>
  <c r="G145" i="8"/>
  <c r="F145" i="8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L145" i="12"/>
  <c r="L144" i="12"/>
  <c r="I145" i="12"/>
  <c r="H145" i="12"/>
  <c r="J145" i="12"/>
  <c r="H93" i="14"/>
  <c r="G93" i="14"/>
  <c r="I93" i="14"/>
  <c r="H144" i="9"/>
  <c r="G144" i="9"/>
  <c r="I144" i="9"/>
  <c r="H142" i="10"/>
  <c r="G142" i="10"/>
  <c r="G144" i="11"/>
  <c r="F144" i="11"/>
  <c r="H144" i="11"/>
  <c r="G144" i="4"/>
  <c r="F144" i="4"/>
  <c r="G144" i="5"/>
  <c r="F144" i="5"/>
  <c r="H144" i="5"/>
  <c r="G146" i="7"/>
  <c r="F146" i="7"/>
  <c r="G144" i="6"/>
  <c r="F144" i="6"/>
  <c r="H144" i="6"/>
  <c r="G144" i="3"/>
  <c r="F144" i="3"/>
  <c r="G144" i="2"/>
  <c r="F144" i="2"/>
  <c r="I144" i="12"/>
  <c r="H144" i="12"/>
  <c r="G144" i="8"/>
  <c r="F144" i="8"/>
  <c r="H144" i="8"/>
  <c r="H92" i="14"/>
  <c r="G92" i="14"/>
  <c r="I92" i="14"/>
  <c r="H143" i="9"/>
  <c r="G143" i="9"/>
  <c r="I143" i="9"/>
  <c r="H141" i="10"/>
  <c r="G141" i="10"/>
  <c r="G143" i="11"/>
  <c r="F143" i="11"/>
  <c r="G143" i="4"/>
  <c r="F143" i="4"/>
  <c r="H143" i="4"/>
  <c r="G143" i="5"/>
  <c r="F143" i="5"/>
  <c r="G145" i="7"/>
  <c r="F145" i="7"/>
  <c r="G143" i="6"/>
  <c r="H143" i="6"/>
  <c r="F143" i="6"/>
  <c r="G143" i="3"/>
  <c r="F143" i="3"/>
  <c r="G143" i="2"/>
  <c r="F143" i="2"/>
  <c r="G143" i="8"/>
  <c r="F143" i="8"/>
  <c r="L143" i="12"/>
  <c r="I143" i="12"/>
  <c r="H143" i="12"/>
  <c r="H91" i="14"/>
  <c r="G91" i="14"/>
  <c r="H142" i="9"/>
  <c r="G142" i="9"/>
  <c r="H140" i="10"/>
  <c r="G140" i="10"/>
  <c r="G142" i="11"/>
  <c r="F142" i="11"/>
  <c r="G142" i="4"/>
  <c r="F142" i="4"/>
  <c r="G142" i="5"/>
  <c r="F142" i="5"/>
  <c r="G144" i="7"/>
  <c r="F144" i="7"/>
  <c r="G142" i="6"/>
  <c r="F142" i="6"/>
  <c r="H142" i="6"/>
  <c r="G142" i="3"/>
  <c r="F142" i="3"/>
  <c r="G142" i="2"/>
  <c r="F142" i="2"/>
  <c r="G142" i="8"/>
  <c r="F142" i="8"/>
  <c r="L142" i="12"/>
  <c r="L141" i="12"/>
  <c r="L140" i="12"/>
  <c r="L139" i="12"/>
  <c r="I142" i="12"/>
  <c r="H142" i="12"/>
  <c r="H90" i="14"/>
  <c r="G90" i="14"/>
  <c r="H141" i="9"/>
  <c r="G141" i="9"/>
  <c r="H139" i="10"/>
  <c r="G139" i="10"/>
  <c r="G141" i="11"/>
  <c r="F141" i="11"/>
  <c r="G141" i="4"/>
  <c r="F141" i="4"/>
  <c r="G141" i="5"/>
  <c r="F141" i="5"/>
  <c r="G143" i="7"/>
  <c r="F143" i="7"/>
  <c r="G141" i="6"/>
  <c r="F141" i="6"/>
  <c r="G141" i="3"/>
  <c r="F141" i="3"/>
  <c r="G141" i="2"/>
  <c r="F141" i="2"/>
  <c r="G141" i="8"/>
  <c r="F141" i="8"/>
  <c r="I141" i="12"/>
  <c r="N142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H141" i="12"/>
  <c r="H89" i="14"/>
  <c r="G89" i="14"/>
  <c r="H140" i="9"/>
  <c r="G140" i="9"/>
  <c r="H138" i="10"/>
  <c r="G138" i="10"/>
  <c r="G140" i="11"/>
  <c r="F140" i="11"/>
  <c r="G140" i="4"/>
  <c r="F140" i="4"/>
  <c r="G140" i="5"/>
  <c r="F140" i="5"/>
  <c r="G142" i="7"/>
  <c r="F142" i="7"/>
  <c r="G140" i="6"/>
  <c r="F140" i="6"/>
  <c r="G140" i="3"/>
  <c r="F140" i="3"/>
  <c r="G140" i="2"/>
  <c r="F140" i="2"/>
  <c r="G140" i="8"/>
  <c r="F140" i="8"/>
  <c r="H140" i="12"/>
  <c r="K141" i="12"/>
  <c r="H88" i="14"/>
  <c r="G88" i="14"/>
  <c r="I88" i="14"/>
  <c r="H139" i="9"/>
  <c r="G139" i="9"/>
  <c r="H137" i="10"/>
  <c r="G137" i="10"/>
  <c r="G139" i="11"/>
  <c r="F139" i="11"/>
  <c r="G139" i="4"/>
  <c r="F139" i="4"/>
  <c r="G139" i="5"/>
  <c r="F139" i="5"/>
  <c r="G141" i="7"/>
  <c r="F141" i="7"/>
  <c r="H141" i="7"/>
  <c r="G139" i="6"/>
  <c r="F139" i="6"/>
  <c r="G139" i="3"/>
  <c r="F139" i="3"/>
  <c r="G139" i="2"/>
  <c r="F139" i="2"/>
  <c r="G139" i="8"/>
  <c r="F139" i="8"/>
  <c r="H139" i="12"/>
  <c r="H87" i="14"/>
  <c r="G87" i="14"/>
  <c r="H138" i="9"/>
  <c r="G138" i="9"/>
  <c r="H136" i="10"/>
  <c r="G136" i="10"/>
  <c r="G138" i="11"/>
  <c r="F138" i="11"/>
  <c r="H138" i="11"/>
  <c r="G138" i="4"/>
  <c r="F138" i="4"/>
  <c r="H138" i="4"/>
  <c r="G138" i="5"/>
  <c r="F138" i="5"/>
  <c r="G140" i="7"/>
  <c r="F140" i="7"/>
  <c r="H140" i="7"/>
  <c r="G138" i="6"/>
  <c r="F138" i="6"/>
  <c r="H138" i="6"/>
  <c r="G138" i="3"/>
  <c r="F138" i="3"/>
  <c r="H138" i="3"/>
  <c r="G138" i="2"/>
  <c r="F138" i="2"/>
  <c r="H138" i="2"/>
  <c r="G138" i="8"/>
  <c r="F138" i="8"/>
  <c r="H138" i="8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H138" i="12"/>
  <c r="H86" i="14"/>
  <c r="G86" i="14"/>
  <c r="I86" i="14"/>
  <c r="H137" i="9"/>
  <c r="G137" i="9"/>
  <c r="H135" i="10"/>
  <c r="G135" i="10"/>
  <c r="G137" i="11"/>
  <c r="F137" i="11"/>
  <c r="G137" i="4"/>
  <c r="F137" i="4"/>
  <c r="G137" i="5"/>
  <c r="F137" i="5"/>
  <c r="G139" i="7"/>
  <c r="F139" i="7"/>
  <c r="H139" i="7"/>
  <c r="G137" i="6"/>
  <c r="F137" i="6"/>
  <c r="H137" i="6"/>
  <c r="G137" i="3"/>
  <c r="F137" i="3"/>
  <c r="H137" i="3"/>
  <c r="G137" i="2"/>
  <c r="F137" i="2"/>
  <c r="G137" i="8"/>
  <c r="F137" i="8"/>
  <c r="H137" i="8"/>
  <c r="H137" i="12"/>
  <c r="J137" i="12"/>
  <c r="H85" i="14"/>
  <c r="G85" i="14"/>
  <c r="I85" i="14"/>
  <c r="H136" i="9"/>
  <c r="G136" i="9"/>
  <c r="I136" i="9"/>
  <c r="H134" i="10"/>
  <c r="G134" i="10"/>
  <c r="G136" i="11"/>
  <c r="F136" i="11"/>
  <c r="H136" i="11"/>
  <c r="G136" i="4"/>
  <c r="F136" i="4"/>
  <c r="F136" i="5"/>
  <c r="G136" i="5"/>
  <c r="G138" i="7"/>
  <c r="F138" i="7"/>
  <c r="H138" i="7"/>
  <c r="G136" i="6"/>
  <c r="F136" i="6"/>
  <c r="H136" i="6"/>
  <c r="F136" i="3"/>
  <c r="G136" i="3"/>
  <c r="H136" i="3"/>
  <c r="G136" i="2"/>
  <c r="F136" i="2"/>
  <c r="G136" i="8"/>
  <c r="F136" i="8"/>
  <c r="H136" i="8"/>
  <c r="H136" i="12"/>
  <c r="J136" i="12"/>
  <c r="H84" i="14"/>
  <c r="G84" i="14"/>
  <c r="I84" i="14"/>
  <c r="H135" i="9"/>
  <c r="G135" i="9"/>
  <c r="I135" i="9"/>
  <c r="H133" i="10"/>
  <c r="G133" i="10"/>
  <c r="G135" i="11"/>
  <c r="F135" i="11"/>
  <c r="H135" i="11"/>
  <c r="G135" i="4"/>
  <c r="F135" i="4"/>
  <c r="H135" i="4"/>
  <c r="G135" i="5"/>
  <c r="F135" i="5"/>
  <c r="H135" i="5"/>
  <c r="G137" i="7"/>
  <c r="F137" i="7"/>
  <c r="G135" i="6"/>
  <c r="F135" i="6"/>
  <c r="H135" i="6"/>
  <c r="G135" i="3"/>
  <c r="F135" i="3"/>
  <c r="H135" i="3"/>
  <c r="G135" i="2"/>
  <c r="F135" i="2"/>
  <c r="H135" i="2"/>
  <c r="G135" i="8"/>
  <c r="F135" i="8"/>
  <c r="H135" i="8"/>
  <c r="H135" i="12"/>
  <c r="G83" i="14"/>
  <c r="H83" i="14"/>
  <c r="G134" i="9"/>
  <c r="H134" i="9"/>
  <c r="G132" i="10"/>
  <c r="H132" i="10"/>
  <c r="F134" i="11"/>
  <c r="G134" i="11"/>
  <c r="F134" i="4"/>
  <c r="G134" i="4"/>
  <c r="F134" i="5"/>
  <c r="G134" i="5"/>
  <c r="F136" i="7"/>
  <c r="G136" i="7"/>
  <c r="H136" i="7"/>
  <c r="F134" i="6"/>
  <c r="G134" i="6"/>
  <c r="F134" i="3"/>
  <c r="G134" i="3"/>
  <c r="F134" i="2"/>
  <c r="G134" i="2"/>
  <c r="F134" i="8"/>
  <c r="G134" i="8"/>
  <c r="H134" i="12"/>
  <c r="G82" i="14"/>
  <c r="H82" i="14"/>
  <c r="G133" i="9"/>
  <c r="H133" i="9"/>
  <c r="G131" i="10"/>
  <c r="H131" i="10"/>
  <c r="F133" i="11"/>
  <c r="G133" i="11"/>
  <c r="F133" i="4"/>
  <c r="G133" i="4"/>
  <c r="F133" i="5"/>
  <c r="G133" i="5"/>
  <c r="F135" i="7"/>
  <c r="G135" i="7"/>
  <c r="F133" i="6"/>
  <c r="G133" i="6"/>
  <c r="F133" i="3"/>
  <c r="G133" i="3"/>
  <c r="F133" i="2"/>
  <c r="G133" i="2"/>
  <c r="F133" i="8"/>
  <c r="G133" i="8"/>
  <c r="H133" i="12"/>
  <c r="G81" i="14"/>
  <c r="H81" i="14"/>
  <c r="I81" i="14"/>
  <c r="G132" i="9"/>
  <c r="H132" i="9"/>
  <c r="I132" i="9"/>
  <c r="G130" i="10"/>
  <c r="H130" i="10"/>
  <c r="F132" i="11"/>
  <c r="G132" i="11"/>
  <c r="F132" i="4"/>
  <c r="G132" i="4"/>
  <c r="F132" i="5"/>
  <c r="G132" i="5"/>
  <c r="F134" i="7"/>
  <c r="G134" i="7"/>
  <c r="H134" i="7"/>
  <c r="F132" i="6"/>
  <c r="G132" i="6"/>
  <c r="F132" i="3"/>
  <c r="G132" i="3"/>
  <c r="F132" i="2"/>
  <c r="G132" i="2"/>
  <c r="F132" i="8"/>
  <c r="G132" i="8"/>
  <c r="H132" i="12"/>
  <c r="F131" i="2"/>
  <c r="G131" i="2"/>
  <c r="G80" i="14"/>
  <c r="H80" i="14"/>
  <c r="G131" i="9"/>
  <c r="H131" i="9"/>
  <c r="G129" i="10"/>
  <c r="H129" i="10"/>
  <c r="F131" i="11"/>
  <c r="G131" i="11"/>
  <c r="F131" i="4"/>
  <c r="G131" i="4"/>
  <c r="F131" i="5"/>
  <c r="G131" i="5"/>
  <c r="F133" i="7"/>
  <c r="G133" i="7"/>
  <c r="F131" i="6"/>
  <c r="G131" i="6"/>
  <c r="F131" i="3"/>
  <c r="G131" i="3"/>
  <c r="F131" i="8"/>
  <c r="G131" i="8"/>
  <c r="H131" i="12"/>
  <c r="K132" i="12"/>
  <c r="G79" i="14"/>
  <c r="H79" i="14"/>
  <c r="I79" i="14"/>
  <c r="G130" i="9"/>
  <c r="H130" i="9"/>
  <c r="G128" i="10"/>
  <c r="H128" i="10"/>
  <c r="F130" i="11"/>
  <c r="G130" i="11"/>
  <c r="H130" i="11"/>
  <c r="F130" i="4"/>
  <c r="G130" i="4"/>
  <c r="F130" i="5"/>
  <c r="G130" i="5"/>
  <c r="F132" i="7"/>
  <c r="G132" i="7"/>
  <c r="F130" i="6"/>
  <c r="H130" i="6"/>
  <c r="G130" i="6"/>
  <c r="F130" i="3"/>
  <c r="G130" i="3"/>
  <c r="H130" i="3"/>
  <c r="F130" i="2"/>
  <c r="G130" i="2"/>
  <c r="H130" i="2"/>
  <c r="F130" i="8"/>
  <c r="G130" i="8"/>
  <c r="H130" i="8"/>
  <c r="H130" i="12"/>
  <c r="G78" i="14"/>
  <c r="H78" i="14"/>
  <c r="I78" i="14"/>
  <c r="G129" i="9"/>
  <c r="H129" i="9"/>
  <c r="I129" i="9"/>
  <c r="G127" i="10"/>
  <c r="H127" i="10"/>
  <c r="I127" i="10"/>
  <c r="F129" i="11"/>
  <c r="G129" i="11"/>
  <c r="H129" i="11"/>
  <c r="F129" i="4"/>
  <c r="G129" i="4"/>
  <c r="H129" i="4"/>
  <c r="F129" i="5"/>
  <c r="G129" i="5"/>
  <c r="H129" i="5"/>
  <c r="F131" i="7"/>
  <c r="G131" i="7"/>
  <c r="H131" i="7"/>
  <c r="F129" i="6"/>
  <c r="G129" i="6"/>
  <c r="F129" i="3"/>
  <c r="G129" i="3"/>
  <c r="F129" i="2"/>
  <c r="G129" i="2"/>
  <c r="F129" i="8"/>
  <c r="G129" i="8"/>
  <c r="H129" i="8"/>
  <c r="H129" i="12"/>
  <c r="G77" i="14"/>
  <c r="H77" i="14"/>
  <c r="I77" i="14"/>
  <c r="G128" i="9"/>
  <c r="H128" i="9"/>
  <c r="I128" i="9"/>
  <c r="G126" i="10"/>
  <c r="H126" i="10"/>
  <c r="F128" i="11"/>
  <c r="G128" i="11"/>
  <c r="F128" i="4"/>
  <c r="G128" i="4"/>
  <c r="F128" i="5"/>
  <c r="G128" i="5"/>
  <c r="F130" i="7"/>
  <c r="G130" i="7"/>
  <c r="F128" i="6"/>
  <c r="G128" i="6"/>
  <c r="H128" i="6"/>
  <c r="F128" i="3"/>
  <c r="G128" i="3"/>
  <c r="F128" i="2"/>
  <c r="G128" i="2"/>
  <c r="F128" i="8"/>
  <c r="G128" i="8"/>
  <c r="H128" i="8"/>
  <c r="H128" i="12"/>
  <c r="G76" i="14"/>
  <c r="H76" i="14"/>
  <c r="I76" i="14"/>
  <c r="G127" i="9"/>
  <c r="H127" i="9"/>
  <c r="I127" i="9"/>
  <c r="G125" i="10"/>
  <c r="H125" i="10"/>
  <c r="F127" i="11"/>
  <c r="G127" i="11"/>
  <c r="F127" i="4"/>
  <c r="G127" i="4"/>
  <c r="F127" i="5"/>
  <c r="G127" i="5"/>
  <c r="F129" i="7"/>
  <c r="G129" i="7"/>
  <c r="H129" i="7"/>
  <c r="F127" i="6"/>
  <c r="H127" i="6"/>
  <c r="G127" i="6"/>
  <c r="F127" i="3"/>
  <c r="G127" i="3"/>
  <c r="F127" i="2"/>
  <c r="G127" i="2"/>
  <c r="F127" i="8"/>
  <c r="G127" i="8"/>
  <c r="H127" i="12"/>
  <c r="G75" i="14"/>
  <c r="H75" i="14"/>
  <c r="G126" i="9"/>
  <c r="H126" i="9"/>
  <c r="G124" i="10"/>
  <c r="H124" i="10"/>
  <c r="F126" i="11"/>
  <c r="G126" i="11"/>
  <c r="F126" i="4"/>
  <c r="G126" i="4"/>
  <c r="F126" i="5"/>
  <c r="G126" i="5"/>
  <c r="F128" i="7"/>
  <c r="G128" i="7"/>
  <c r="F126" i="6"/>
  <c r="G126" i="6"/>
  <c r="F126" i="3"/>
  <c r="G126" i="3"/>
  <c r="F126" i="2"/>
  <c r="G126" i="2"/>
  <c r="F126" i="8"/>
  <c r="G126" i="8"/>
  <c r="H126" i="12"/>
  <c r="G74" i="14"/>
  <c r="H74" i="14"/>
  <c r="I74" i="14"/>
  <c r="G125" i="9"/>
  <c r="H125" i="9"/>
  <c r="G123" i="10"/>
  <c r="H123" i="10"/>
  <c r="I123" i="10"/>
  <c r="F125" i="11"/>
  <c r="G125" i="11"/>
  <c r="F125" i="4"/>
  <c r="G125" i="4"/>
  <c r="H125" i="4"/>
  <c r="F125" i="5"/>
  <c r="G125" i="5"/>
  <c r="H125" i="5"/>
  <c r="F127" i="7"/>
  <c r="G127" i="7"/>
  <c r="H127" i="7"/>
  <c r="F125" i="6"/>
  <c r="G125" i="6"/>
  <c r="F125" i="3"/>
  <c r="G125" i="3"/>
  <c r="F125" i="2"/>
  <c r="G125" i="2"/>
  <c r="F125" i="8"/>
  <c r="G125" i="8"/>
  <c r="H125" i="8"/>
  <c r="L125" i="12"/>
  <c r="L124" i="12"/>
  <c r="L123" i="12"/>
  <c r="L122" i="12"/>
  <c r="H125" i="12"/>
  <c r="K126" i="12"/>
  <c r="G73" i="14"/>
  <c r="H73" i="14"/>
  <c r="I73" i="14"/>
  <c r="G124" i="9"/>
  <c r="H124" i="9"/>
  <c r="I124" i="9"/>
  <c r="G122" i="10"/>
  <c r="H122" i="10"/>
  <c r="F124" i="11"/>
  <c r="G124" i="11"/>
  <c r="H124" i="11"/>
  <c r="F124" i="4"/>
  <c r="G124" i="4"/>
  <c r="H124" i="4"/>
  <c r="F124" i="5"/>
  <c r="G124" i="5"/>
  <c r="F126" i="7"/>
  <c r="G126" i="7"/>
  <c r="H126" i="7"/>
  <c r="F124" i="6"/>
  <c r="G124" i="6"/>
  <c r="H124" i="6"/>
  <c r="F124" i="3"/>
  <c r="G124" i="3"/>
  <c r="F124" i="2"/>
  <c r="G124" i="2"/>
  <c r="F124" i="8"/>
  <c r="G124" i="8"/>
  <c r="H124" i="12"/>
  <c r="G72" i="14"/>
  <c r="H72" i="14"/>
  <c r="G123" i="9"/>
  <c r="H123" i="9"/>
  <c r="G121" i="10"/>
  <c r="H121" i="10"/>
  <c r="F123" i="11"/>
  <c r="G123" i="11"/>
  <c r="F123" i="4"/>
  <c r="G123" i="4"/>
  <c r="F123" i="5"/>
  <c r="G123" i="5"/>
  <c r="H123" i="5"/>
  <c r="F125" i="7"/>
  <c r="G125" i="7"/>
  <c r="H125" i="7"/>
  <c r="F123" i="6"/>
  <c r="G123" i="6"/>
  <c r="F123" i="3"/>
  <c r="G123" i="3"/>
  <c r="F123" i="2"/>
  <c r="G123" i="2"/>
  <c r="F123" i="8"/>
  <c r="G123" i="8"/>
  <c r="H123" i="12"/>
  <c r="G71" i="14"/>
  <c r="H71" i="14"/>
  <c r="I71" i="14"/>
  <c r="G122" i="9"/>
  <c r="H122" i="9"/>
  <c r="I122" i="9"/>
  <c r="G120" i="10"/>
  <c r="H120" i="10"/>
  <c r="F122" i="11"/>
  <c r="G122" i="11"/>
  <c r="F122" i="4"/>
  <c r="G122" i="4"/>
  <c r="F122" i="5"/>
  <c r="G122" i="5"/>
  <c r="F124" i="7"/>
  <c r="G124" i="7"/>
  <c r="F122" i="6"/>
  <c r="G122" i="6"/>
  <c r="F122" i="3"/>
  <c r="G122" i="3"/>
  <c r="F122" i="2"/>
  <c r="G122" i="2"/>
  <c r="F122" i="8"/>
  <c r="G122" i="8"/>
  <c r="H122" i="12"/>
  <c r="G55" i="14"/>
  <c r="H55" i="14"/>
  <c r="I55" i="14"/>
  <c r="G70" i="14"/>
  <c r="H70" i="14"/>
  <c r="I70" i="14"/>
  <c r="G121" i="9"/>
  <c r="H121" i="9"/>
  <c r="I121" i="9"/>
  <c r="G119" i="10"/>
  <c r="H119" i="10"/>
  <c r="F121" i="11"/>
  <c r="G121" i="11"/>
  <c r="H121" i="11"/>
  <c r="F121" i="4"/>
  <c r="G121" i="4"/>
  <c r="H121" i="4"/>
  <c r="F121" i="5"/>
  <c r="G121" i="5"/>
  <c r="F123" i="7"/>
  <c r="G123" i="7"/>
  <c r="H123" i="7"/>
  <c r="F121" i="6"/>
  <c r="H121" i="6"/>
  <c r="G121" i="6"/>
  <c r="F121" i="3"/>
  <c r="G121" i="3"/>
  <c r="H121" i="3"/>
  <c r="F121" i="2"/>
  <c r="G121" i="2"/>
  <c r="F121" i="8"/>
  <c r="G121" i="8"/>
  <c r="M121" i="12"/>
  <c r="L121" i="12"/>
  <c r="H121" i="12"/>
  <c r="L56" i="12"/>
  <c r="L120" i="12"/>
  <c r="M120" i="12"/>
  <c r="G69" i="14"/>
  <c r="H69" i="14"/>
  <c r="I69" i="14"/>
  <c r="G54" i="14"/>
  <c r="H54" i="14"/>
  <c r="I54" i="14"/>
  <c r="G120" i="9"/>
  <c r="H120" i="9"/>
  <c r="G118" i="10"/>
  <c r="H118" i="10"/>
  <c r="F120" i="11"/>
  <c r="G120" i="11"/>
  <c r="F120" i="4"/>
  <c r="G120" i="4"/>
  <c r="F120" i="5"/>
  <c r="G120" i="5"/>
  <c r="H120" i="5"/>
  <c r="F122" i="7"/>
  <c r="G122" i="7"/>
  <c r="H122" i="7"/>
  <c r="F120" i="6"/>
  <c r="G120" i="6"/>
  <c r="F120" i="3"/>
  <c r="G120" i="3"/>
  <c r="F120" i="2"/>
  <c r="G120" i="2"/>
  <c r="F120" i="8"/>
  <c r="G120" i="8"/>
  <c r="H120" i="12"/>
  <c r="K121" i="12"/>
  <c r="H68" i="14"/>
  <c r="G68" i="14"/>
  <c r="G53" i="14"/>
  <c r="H53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G119" i="9"/>
  <c r="H119" i="9"/>
  <c r="I119" i="9"/>
  <c r="G117" i="10"/>
  <c r="H117" i="10"/>
  <c r="F119" i="11"/>
  <c r="G119" i="11"/>
  <c r="H119" i="11"/>
  <c r="F119" i="4"/>
  <c r="G119" i="4"/>
  <c r="F119" i="5"/>
  <c r="G119" i="5"/>
  <c r="F121" i="7"/>
  <c r="G121" i="7"/>
  <c r="F119" i="6"/>
  <c r="G119" i="6"/>
  <c r="F119" i="3"/>
  <c r="G119" i="3"/>
  <c r="F119" i="2"/>
  <c r="G119" i="2"/>
  <c r="F119" i="8"/>
  <c r="G119" i="8"/>
  <c r="M119" i="12"/>
  <c r="L119" i="12"/>
  <c r="M118" i="12"/>
  <c r="L118" i="12"/>
  <c r="H119" i="12"/>
  <c r="G67" i="14"/>
  <c r="H67" i="14"/>
  <c r="G118" i="9"/>
  <c r="H118" i="9"/>
  <c r="I118" i="9"/>
  <c r="G116" i="10"/>
  <c r="H116" i="10"/>
  <c r="I116" i="10"/>
  <c r="G115" i="10"/>
  <c r="H115" i="10"/>
  <c r="F118" i="11"/>
  <c r="G118" i="11"/>
  <c r="H118" i="11"/>
  <c r="F118" i="4"/>
  <c r="G118" i="4"/>
  <c r="F118" i="5"/>
  <c r="G118" i="5"/>
  <c r="F120" i="7"/>
  <c r="G120" i="7"/>
  <c r="F118" i="6"/>
  <c r="G118" i="6"/>
  <c r="F118" i="3"/>
  <c r="G118" i="3"/>
  <c r="H118" i="3"/>
  <c r="F118" i="2"/>
  <c r="G118" i="2"/>
  <c r="F118" i="8"/>
  <c r="G118" i="8"/>
  <c r="H118" i="12"/>
  <c r="G51" i="14"/>
  <c r="H51" i="14"/>
  <c r="G66" i="14"/>
  <c r="H66" i="14"/>
  <c r="G117" i="9"/>
  <c r="H117" i="9"/>
  <c r="F117" i="11"/>
  <c r="G117" i="11"/>
  <c r="F117" i="4"/>
  <c r="G117" i="4"/>
  <c r="F117" i="5"/>
  <c r="G117" i="5"/>
  <c r="F119" i="7"/>
  <c r="G119" i="7"/>
  <c r="F117" i="6"/>
  <c r="G117" i="6"/>
  <c r="H117" i="6"/>
  <c r="F117" i="3"/>
  <c r="G117" i="3"/>
  <c r="F117" i="2"/>
  <c r="G117" i="2"/>
  <c r="F117" i="8"/>
  <c r="G117" i="8"/>
  <c r="M117" i="12"/>
  <c r="L117" i="12"/>
  <c r="H117" i="12"/>
  <c r="G49" i="14"/>
  <c r="H49" i="14"/>
  <c r="G48" i="14"/>
  <c r="H48" i="14"/>
  <c r="I48" i="14"/>
  <c r="G65" i="14"/>
  <c r="H65" i="14"/>
  <c r="G116" i="9"/>
  <c r="H116" i="9"/>
  <c r="G114" i="10"/>
  <c r="H114" i="10"/>
  <c r="F116" i="11"/>
  <c r="G116" i="11"/>
  <c r="F116" i="4"/>
  <c r="G116" i="4"/>
  <c r="F116" i="5"/>
  <c r="G116" i="5"/>
  <c r="F118" i="7"/>
  <c r="G118" i="7"/>
  <c r="F116" i="6"/>
  <c r="G116" i="6"/>
  <c r="F116" i="3"/>
  <c r="G116" i="3"/>
  <c r="F116" i="2"/>
  <c r="G116" i="2"/>
  <c r="F116" i="8"/>
  <c r="G116" i="8"/>
  <c r="M116" i="12"/>
  <c r="L116" i="12"/>
  <c r="H116" i="12"/>
  <c r="G64" i="14"/>
  <c r="H64" i="14"/>
  <c r="G115" i="9"/>
  <c r="H115" i="9"/>
  <c r="G113" i="10"/>
  <c r="H113" i="10"/>
  <c r="F115" i="11"/>
  <c r="G115" i="11"/>
  <c r="F115" i="4"/>
  <c r="G115" i="4"/>
  <c r="F115" i="5"/>
  <c r="G115" i="5"/>
  <c r="F117" i="7"/>
  <c r="G117" i="7"/>
  <c r="F115" i="6"/>
  <c r="G115" i="6"/>
  <c r="F115" i="3"/>
  <c r="G115" i="3"/>
  <c r="F115" i="2"/>
  <c r="G115" i="2"/>
  <c r="F115" i="8"/>
  <c r="G115" i="8"/>
  <c r="M115" i="12"/>
  <c r="L115" i="12"/>
  <c r="H114" i="12"/>
  <c r="H115" i="12"/>
  <c r="H113" i="12"/>
  <c r="G63" i="14"/>
  <c r="H63" i="14"/>
  <c r="I63" i="14"/>
  <c r="G114" i="9"/>
  <c r="H114" i="9"/>
  <c r="G112" i="10"/>
  <c r="H112" i="10"/>
  <c r="F114" i="11"/>
  <c r="G114" i="11"/>
  <c r="H114" i="11"/>
  <c r="F114" i="4"/>
  <c r="G114" i="4"/>
  <c r="F114" i="5"/>
  <c r="G114" i="5"/>
  <c r="F116" i="7"/>
  <c r="G116" i="7"/>
  <c r="F114" i="6"/>
  <c r="H114" i="6"/>
  <c r="G114" i="6"/>
  <c r="F114" i="3"/>
  <c r="G114" i="3"/>
  <c r="F114" i="2"/>
  <c r="G114" i="2"/>
  <c r="F114" i="8"/>
  <c r="G114" i="8"/>
  <c r="M114" i="12"/>
  <c r="L114" i="12"/>
  <c r="G47" i="14"/>
  <c r="H47" i="14"/>
  <c r="G62" i="14"/>
  <c r="H62" i="14"/>
  <c r="G113" i="9"/>
  <c r="H113" i="9"/>
  <c r="G111" i="10"/>
  <c r="H111" i="10"/>
  <c r="F113" i="11"/>
  <c r="G113" i="11"/>
  <c r="F113" i="4"/>
  <c r="G113" i="4"/>
  <c r="F113" i="5"/>
  <c r="G113" i="5"/>
  <c r="F115" i="7"/>
  <c r="G115" i="7"/>
  <c r="F113" i="6"/>
  <c r="G113" i="6"/>
  <c r="F113" i="3"/>
  <c r="G113" i="3"/>
  <c r="F113" i="2"/>
  <c r="G113" i="2"/>
  <c r="F113" i="8"/>
  <c r="G113" i="8"/>
  <c r="M113" i="12"/>
  <c r="L113" i="12"/>
  <c r="H112" i="12"/>
  <c r="K113" i="12"/>
  <c r="G46" i="14"/>
  <c r="H46" i="14"/>
  <c r="I46" i="14"/>
  <c r="G112" i="9"/>
  <c r="H112" i="9"/>
  <c r="G110" i="10"/>
  <c r="H110" i="10"/>
  <c r="F112" i="11"/>
  <c r="G112" i="11"/>
  <c r="F112" i="4"/>
  <c r="G112" i="4"/>
  <c r="F112" i="5"/>
  <c r="G112" i="5"/>
  <c r="F114" i="7"/>
  <c r="G114" i="7"/>
  <c r="F112" i="6"/>
  <c r="G112" i="6"/>
  <c r="F112" i="3"/>
  <c r="G112" i="3"/>
  <c r="F112" i="2"/>
  <c r="G112" i="2"/>
  <c r="F112" i="8"/>
  <c r="G112" i="8"/>
  <c r="M112" i="12"/>
  <c r="L112" i="12"/>
  <c r="H111" i="12"/>
  <c r="G45" i="14"/>
  <c r="H45" i="14"/>
  <c r="G44" i="14"/>
  <c r="H44" i="14"/>
  <c r="G60" i="14"/>
  <c r="H60" i="14"/>
  <c r="G111" i="9"/>
  <c r="H111" i="9"/>
  <c r="G109" i="10"/>
  <c r="H109" i="10"/>
  <c r="F111" i="11"/>
  <c r="G111" i="11"/>
  <c r="F111" i="4"/>
  <c r="G111" i="4"/>
  <c r="F111" i="5"/>
  <c r="G111" i="5"/>
  <c r="F113" i="7"/>
  <c r="G113" i="7"/>
  <c r="F111" i="6"/>
  <c r="G111" i="6"/>
  <c r="F111" i="3"/>
  <c r="G111" i="3"/>
  <c r="H111" i="3"/>
  <c r="F111" i="2"/>
  <c r="G111" i="2"/>
  <c r="F111" i="8"/>
  <c r="G111" i="8"/>
  <c r="H111" i="8"/>
  <c r="M111" i="12"/>
  <c r="L111" i="12"/>
  <c r="F110" i="2"/>
  <c r="G110" i="2"/>
  <c r="G59" i="14"/>
  <c r="H59" i="14"/>
  <c r="I59" i="14"/>
  <c r="G110" i="9"/>
  <c r="H110" i="9"/>
  <c r="G108" i="10"/>
  <c r="H108" i="10"/>
  <c r="F110" i="11"/>
  <c r="G110" i="11"/>
  <c r="F110" i="4"/>
  <c r="G110" i="4"/>
  <c r="F110" i="5"/>
  <c r="G110" i="5"/>
  <c r="F112" i="7"/>
  <c r="G112" i="7"/>
  <c r="F110" i="6"/>
  <c r="G110" i="6"/>
  <c r="F110" i="3"/>
  <c r="G110" i="3"/>
  <c r="F110" i="8"/>
  <c r="G110" i="8"/>
  <c r="H110" i="12"/>
  <c r="G43" i="14"/>
  <c r="H43" i="14"/>
  <c r="G109" i="9"/>
  <c r="H109" i="9"/>
  <c r="G107" i="10"/>
  <c r="H107" i="10"/>
  <c r="F109" i="11"/>
  <c r="G109" i="11"/>
  <c r="F109" i="4"/>
  <c r="G109" i="4"/>
  <c r="F109" i="5"/>
  <c r="G109" i="5"/>
  <c r="F111" i="7"/>
  <c r="G111" i="7"/>
  <c r="F109" i="6"/>
  <c r="G109" i="6"/>
  <c r="H109" i="6"/>
  <c r="F109" i="3"/>
  <c r="G109" i="3"/>
  <c r="F109" i="2"/>
  <c r="G109" i="2"/>
  <c r="F109" i="8"/>
  <c r="G109" i="8"/>
  <c r="M109" i="12"/>
  <c r="L109" i="12"/>
  <c r="H109" i="12"/>
  <c r="H107" i="12"/>
  <c r="L107" i="12"/>
  <c r="G42" i="14"/>
  <c r="H42" i="14"/>
  <c r="I42" i="14"/>
  <c r="G108" i="9"/>
  <c r="H108" i="9"/>
  <c r="I108" i="9"/>
  <c r="G106" i="10"/>
  <c r="H106" i="10"/>
  <c r="F108" i="11"/>
  <c r="G108" i="11"/>
  <c r="F108" i="4"/>
  <c r="G108" i="4"/>
  <c r="H108" i="4"/>
  <c r="F108" i="5"/>
  <c r="G108" i="5"/>
  <c r="F110" i="7"/>
  <c r="G110" i="7"/>
  <c r="F108" i="6"/>
  <c r="H108" i="6"/>
  <c r="G108" i="6"/>
  <c r="F108" i="3"/>
  <c r="G108" i="3"/>
  <c r="F108" i="2"/>
  <c r="G108" i="2"/>
  <c r="F108" i="8"/>
  <c r="G108" i="8"/>
  <c r="M108" i="12"/>
  <c r="L108" i="12"/>
  <c r="H108" i="12"/>
  <c r="G41" i="14"/>
  <c r="H41" i="14"/>
  <c r="G107" i="9"/>
  <c r="H107" i="9"/>
  <c r="G106" i="9"/>
  <c r="G105" i="10"/>
  <c r="H105" i="10"/>
  <c r="I105" i="10"/>
  <c r="F107" i="11"/>
  <c r="G107" i="11"/>
  <c r="F107" i="4"/>
  <c r="G107" i="4"/>
  <c r="F107" i="5"/>
  <c r="G107" i="5"/>
  <c r="F109" i="7"/>
  <c r="G109" i="7"/>
  <c r="F107" i="6"/>
  <c r="G107" i="6"/>
  <c r="F107" i="3"/>
  <c r="G107" i="3"/>
  <c r="F107" i="2"/>
  <c r="G107" i="2"/>
  <c r="F107" i="8"/>
  <c r="G107" i="8"/>
  <c r="M107" i="12"/>
  <c r="G40" i="14"/>
  <c r="H40" i="14"/>
  <c r="H106" i="9"/>
  <c r="G104" i="10"/>
  <c r="H104" i="10"/>
  <c r="F106" i="11"/>
  <c r="G106" i="11"/>
  <c r="F106" i="4"/>
  <c r="G106" i="4"/>
  <c r="F106" i="5"/>
  <c r="G106" i="5"/>
  <c r="F108" i="7"/>
  <c r="G108" i="7"/>
  <c r="F106" i="6"/>
  <c r="G106" i="6"/>
  <c r="F106" i="3"/>
  <c r="G106" i="3"/>
  <c r="F106" i="2"/>
  <c r="G106" i="2"/>
  <c r="F106" i="8"/>
  <c r="G106" i="8"/>
  <c r="M106" i="12"/>
  <c r="L106" i="12"/>
  <c r="H106" i="12"/>
  <c r="K107" i="12"/>
  <c r="G39" i="14"/>
  <c r="H39" i="14"/>
  <c r="G105" i="9"/>
  <c r="H105" i="9"/>
  <c r="G103" i="10"/>
  <c r="H103" i="10"/>
  <c r="G105" i="11"/>
  <c r="F105" i="11"/>
  <c r="F105" i="4"/>
  <c r="G105" i="4"/>
  <c r="F105" i="5"/>
  <c r="G105" i="5"/>
  <c r="F107" i="7"/>
  <c r="G107" i="7"/>
  <c r="F105" i="6"/>
  <c r="G105" i="6"/>
  <c r="F105" i="3"/>
  <c r="G105" i="3"/>
  <c r="F105" i="2"/>
  <c r="G105" i="2"/>
  <c r="F105" i="8"/>
  <c r="G105" i="8"/>
  <c r="F104" i="8"/>
  <c r="M105" i="12"/>
  <c r="L105" i="12"/>
  <c r="H105" i="12"/>
  <c r="G38" i="14"/>
  <c r="H38" i="14"/>
  <c r="I38" i="14"/>
  <c r="G104" i="9"/>
  <c r="H104" i="9"/>
  <c r="I104" i="9"/>
  <c r="G102" i="10"/>
  <c r="H102" i="10"/>
  <c r="I102" i="10"/>
  <c r="F104" i="11"/>
  <c r="G104" i="11"/>
  <c r="H104" i="11"/>
  <c r="F104" i="4"/>
  <c r="G104" i="4"/>
  <c r="H104" i="4"/>
  <c r="F104" i="5"/>
  <c r="G104" i="5"/>
  <c r="F106" i="7"/>
  <c r="G106" i="7"/>
  <c r="F104" i="6"/>
  <c r="G104" i="6"/>
  <c r="F104" i="3"/>
  <c r="G104" i="3"/>
  <c r="F104" i="2"/>
  <c r="G104" i="2"/>
  <c r="H104" i="2"/>
  <c r="G104" i="8"/>
  <c r="M104" i="12"/>
  <c r="L104" i="12"/>
  <c r="H104" i="12"/>
  <c r="G37" i="14"/>
  <c r="H37" i="14"/>
  <c r="I37" i="14"/>
  <c r="G103" i="9"/>
  <c r="H103" i="9"/>
  <c r="I103" i="9"/>
  <c r="G101" i="10"/>
  <c r="H101" i="10"/>
  <c r="I101" i="10"/>
  <c r="F103" i="11"/>
  <c r="G103" i="11"/>
  <c r="H103" i="11"/>
  <c r="F103" i="4"/>
  <c r="G103" i="4"/>
  <c r="H103" i="4"/>
  <c r="F103" i="5"/>
  <c r="G103" i="5"/>
  <c r="F105" i="7"/>
  <c r="G105" i="7"/>
  <c r="F103" i="6"/>
  <c r="G103" i="6"/>
  <c r="F103" i="3"/>
  <c r="G103" i="3"/>
  <c r="H103" i="3"/>
  <c r="F103" i="2"/>
  <c r="G103" i="2"/>
  <c r="H103" i="2"/>
  <c r="F103" i="8"/>
  <c r="G103" i="8"/>
  <c r="H103" i="8"/>
  <c r="M103" i="12"/>
  <c r="L103" i="12"/>
  <c r="H103" i="12"/>
  <c r="G36" i="14"/>
  <c r="H36" i="14"/>
  <c r="G102" i="9"/>
  <c r="H102" i="9"/>
  <c r="G100" i="10"/>
  <c r="H100" i="10"/>
  <c r="F102" i="11"/>
  <c r="G102" i="11"/>
  <c r="F102" i="4"/>
  <c r="G102" i="4"/>
  <c r="F102" i="5"/>
  <c r="G102" i="5"/>
  <c r="F104" i="7"/>
  <c r="G104" i="7"/>
  <c r="F102" i="6"/>
  <c r="H102" i="6"/>
  <c r="G102" i="6"/>
  <c r="F102" i="3"/>
  <c r="G102" i="3"/>
  <c r="F102" i="2"/>
  <c r="G102" i="2"/>
  <c r="H102" i="2"/>
  <c r="F102" i="8"/>
  <c r="G102" i="8"/>
  <c r="H102" i="8"/>
  <c r="H102" i="12"/>
  <c r="K103" i="12"/>
  <c r="M102" i="12"/>
  <c r="L102" i="12"/>
  <c r="G35" i="14"/>
  <c r="H35" i="14"/>
  <c r="G101" i="9"/>
  <c r="H101" i="9"/>
  <c r="G99" i="10"/>
  <c r="H99" i="10"/>
  <c r="F101" i="11"/>
  <c r="G101" i="11"/>
  <c r="F101" i="4"/>
  <c r="G101" i="4"/>
  <c r="F101" i="5"/>
  <c r="G101" i="5"/>
  <c r="F103" i="7"/>
  <c r="G103" i="7"/>
  <c r="F101" i="6"/>
  <c r="G101" i="6"/>
  <c r="H101" i="6"/>
  <c r="F101" i="3"/>
  <c r="G101" i="3"/>
  <c r="F101" i="2"/>
  <c r="G101" i="2"/>
  <c r="F101" i="8"/>
  <c r="G101" i="8"/>
  <c r="M101" i="12"/>
  <c r="L101" i="12"/>
  <c r="H101" i="12"/>
  <c r="G34" i="14"/>
  <c r="H34" i="14"/>
  <c r="I34" i="14"/>
  <c r="G100" i="9"/>
  <c r="H100" i="9"/>
  <c r="G98" i="10"/>
  <c r="H98" i="10"/>
  <c r="F100" i="11"/>
  <c r="G100" i="11"/>
  <c r="H100" i="11"/>
  <c r="F100" i="4"/>
  <c r="G100" i="4"/>
  <c r="H100" i="4"/>
  <c r="F100" i="5"/>
  <c r="G100" i="5"/>
  <c r="F102" i="7"/>
  <c r="G102" i="7"/>
  <c r="H102" i="7"/>
  <c r="F100" i="6"/>
  <c r="G100" i="6"/>
  <c r="F100" i="3"/>
  <c r="G100" i="3"/>
  <c r="F100" i="2"/>
  <c r="G100" i="2"/>
  <c r="H100" i="2"/>
  <c r="F100" i="8"/>
  <c r="G100" i="8"/>
  <c r="H100" i="8"/>
  <c r="M100" i="12"/>
  <c r="L100" i="12"/>
  <c r="H100" i="12"/>
  <c r="G6" i="14"/>
  <c r="H6" i="14"/>
  <c r="I6" i="14"/>
  <c r="G7" i="14"/>
  <c r="H7" i="14"/>
  <c r="I7" i="14"/>
  <c r="G8" i="14"/>
  <c r="H8" i="14"/>
  <c r="I8" i="14"/>
  <c r="G9" i="14"/>
  <c r="H9" i="14"/>
  <c r="G10" i="14"/>
  <c r="H10" i="14"/>
  <c r="I10" i="14"/>
  <c r="G11" i="14"/>
  <c r="H11" i="14"/>
  <c r="G12" i="14"/>
  <c r="H12" i="14"/>
  <c r="G13" i="14"/>
  <c r="H13" i="14"/>
  <c r="G14" i="14"/>
  <c r="H14" i="14"/>
  <c r="I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I22" i="14"/>
  <c r="G23" i="14"/>
  <c r="H23" i="14"/>
  <c r="I23" i="14"/>
  <c r="G24" i="14"/>
  <c r="H24" i="14"/>
  <c r="I24" i="14"/>
  <c r="G25" i="14"/>
  <c r="H25" i="14"/>
  <c r="G26" i="14"/>
  <c r="H26" i="14"/>
  <c r="I26" i="14"/>
  <c r="G27" i="14"/>
  <c r="H27" i="14"/>
  <c r="G28" i="14"/>
  <c r="H28" i="14"/>
  <c r="G29" i="14"/>
  <c r="H29" i="14"/>
  <c r="G30" i="14"/>
  <c r="H30" i="14"/>
  <c r="I30" i="14"/>
  <c r="G31" i="14"/>
  <c r="H31" i="14"/>
  <c r="G32" i="14"/>
  <c r="H32" i="14"/>
  <c r="G33" i="14"/>
  <c r="H33" i="14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I14" i="9"/>
  <c r="G15" i="9"/>
  <c r="H15" i="9"/>
  <c r="I15" i="9"/>
  <c r="G16" i="9"/>
  <c r="H16" i="9"/>
  <c r="I16" i="9"/>
  <c r="G17" i="9"/>
  <c r="H17" i="9"/>
  <c r="G18" i="9"/>
  <c r="H18" i="9"/>
  <c r="I18" i="9"/>
  <c r="G19" i="9"/>
  <c r="H19" i="9"/>
  <c r="G20" i="9"/>
  <c r="H20" i="9"/>
  <c r="G21" i="9"/>
  <c r="H21" i="9"/>
  <c r="G22" i="9"/>
  <c r="H22" i="9"/>
  <c r="I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I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I46" i="9"/>
  <c r="G47" i="9"/>
  <c r="H47" i="9"/>
  <c r="I47" i="9"/>
  <c r="G48" i="9"/>
  <c r="H48" i="9"/>
  <c r="I48" i="9"/>
  <c r="G49" i="9"/>
  <c r="H49" i="9"/>
  <c r="G50" i="9"/>
  <c r="H50" i="9"/>
  <c r="I50" i="9"/>
  <c r="G51" i="9"/>
  <c r="H51" i="9"/>
  <c r="G52" i="9"/>
  <c r="H52" i="9"/>
  <c r="G53" i="9"/>
  <c r="H53" i="9"/>
  <c r="G54" i="9"/>
  <c r="H54" i="9"/>
  <c r="I54" i="9"/>
  <c r="G55" i="9"/>
  <c r="H55" i="9"/>
  <c r="G56" i="9"/>
  <c r="H56" i="9"/>
  <c r="C57" i="9"/>
  <c r="I57" i="9"/>
  <c r="G58" i="9"/>
  <c r="H58" i="9"/>
  <c r="G59" i="9"/>
  <c r="H59" i="9"/>
  <c r="I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I75" i="9"/>
  <c r="G76" i="9"/>
  <c r="H76" i="9"/>
  <c r="I76" i="9"/>
  <c r="G77" i="9"/>
  <c r="H77" i="9"/>
  <c r="I77" i="9"/>
  <c r="G78" i="9"/>
  <c r="H78" i="9"/>
  <c r="G79" i="9"/>
  <c r="H79" i="9"/>
  <c r="I79" i="9"/>
  <c r="G80" i="9"/>
  <c r="H80" i="9"/>
  <c r="G81" i="9"/>
  <c r="H81" i="9"/>
  <c r="G82" i="9"/>
  <c r="H82" i="9"/>
  <c r="G83" i="9"/>
  <c r="H83" i="9"/>
  <c r="I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I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3" i="10"/>
  <c r="H3" i="10"/>
  <c r="G4" i="10"/>
  <c r="H4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I32" i="10"/>
  <c r="G33" i="10"/>
  <c r="H33" i="10"/>
  <c r="I33" i="10"/>
  <c r="G34" i="10"/>
  <c r="H34" i="10"/>
  <c r="I34" i="10"/>
  <c r="G35" i="10"/>
  <c r="H35" i="10"/>
  <c r="G36" i="10"/>
  <c r="H36" i="10"/>
  <c r="I36" i="10"/>
  <c r="G37" i="10"/>
  <c r="H37" i="10"/>
  <c r="G38" i="10"/>
  <c r="H38" i="10"/>
  <c r="G39" i="10"/>
  <c r="H39" i="10"/>
  <c r="G40" i="10"/>
  <c r="H40" i="10"/>
  <c r="I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I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C55" i="10"/>
  <c r="I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I65" i="10"/>
  <c r="G66" i="10"/>
  <c r="H66" i="10"/>
  <c r="G67" i="10"/>
  <c r="H67" i="10"/>
  <c r="G68" i="10"/>
  <c r="H68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G92" i="10"/>
  <c r="H92" i="10"/>
  <c r="G93" i="10"/>
  <c r="H93" i="10"/>
  <c r="G94" i="10"/>
  <c r="H94" i="10"/>
  <c r="G95" i="10"/>
  <c r="H95" i="10"/>
  <c r="G96" i="10"/>
  <c r="H96" i="10"/>
  <c r="G97" i="10"/>
  <c r="H97" i="10"/>
  <c r="F3" i="11"/>
  <c r="G3" i="11"/>
  <c r="F4" i="11"/>
  <c r="G4" i="11"/>
  <c r="H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H36" i="11"/>
  <c r="F37" i="11"/>
  <c r="G37" i="11"/>
  <c r="H37" i="11"/>
  <c r="F38" i="11"/>
  <c r="G38" i="11"/>
  <c r="H38" i="11"/>
  <c r="F39" i="11"/>
  <c r="G39" i="11"/>
  <c r="F40" i="11"/>
  <c r="G40" i="11"/>
  <c r="H40" i="11"/>
  <c r="F41" i="11"/>
  <c r="G41" i="11"/>
  <c r="F42" i="11"/>
  <c r="G42" i="11"/>
  <c r="F43" i="11"/>
  <c r="G43" i="11"/>
  <c r="F44" i="11"/>
  <c r="G44" i="11"/>
  <c r="H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H52" i="11"/>
  <c r="F53" i="11"/>
  <c r="G53" i="11"/>
  <c r="F54" i="11"/>
  <c r="G54" i="11"/>
  <c r="F55" i="11"/>
  <c r="G55" i="11"/>
  <c r="F56" i="11"/>
  <c r="G56" i="11"/>
  <c r="H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H83" i="11"/>
  <c r="F84" i="11"/>
  <c r="G84" i="11"/>
  <c r="H84" i="11"/>
  <c r="F85" i="11"/>
  <c r="G85" i="11"/>
  <c r="H85" i="11"/>
  <c r="F86" i="11"/>
  <c r="G86" i="11"/>
  <c r="F87" i="11"/>
  <c r="G87" i="11"/>
  <c r="H87" i="11"/>
  <c r="F88" i="11"/>
  <c r="G88" i="11"/>
  <c r="F89" i="11"/>
  <c r="G89" i="11"/>
  <c r="F90" i="11"/>
  <c r="G90" i="11"/>
  <c r="F91" i="11"/>
  <c r="G91" i="11"/>
  <c r="H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H99" i="11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H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H57" i="4"/>
  <c r="F58" i="4"/>
  <c r="G58" i="4"/>
  <c r="H58" i="4"/>
  <c r="F59" i="4"/>
  <c r="G59" i="4"/>
  <c r="F60" i="4"/>
  <c r="G60" i="4"/>
  <c r="F61" i="4"/>
  <c r="G61" i="4"/>
  <c r="F62" i="4"/>
  <c r="G62" i="4"/>
  <c r="H62" i="4"/>
  <c r="F63" i="4"/>
  <c r="G63" i="4"/>
  <c r="F64" i="4"/>
  <c r="G64" i="4"/>
  <c r="F65" i="4"/>
  <c r="G65" i="4"/>
  <c r="F66" i="4"/>
  <c r="G66" i="4"/>
  <c r="H66" i="4"/>
  <c r="F67" i="4"/>
  <c r="G67" i="4"/>
  <c r="G68" i="4"/>
  <c r="H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H77" i="4"/>
  <c r="F78" i="4"/>
  <c r="G78" i="4"/>
  <c r="H78" i="4"/>
  <c r="F79" i="4"/>
  <c r="G79" i="4"/>
  <c r="H79" i="4"/>
  <c r="F80" i="4"/>
  <c r="G80" i="4"/>
  <c r="F81" i="4"/>
  <c r="G81" i="4"/>
  <c r="H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H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H97" i="4"/>
  <c r="F98" i="4"/>
  <c r="G98" i="4"/>
  <c r="F99" i="4"/>
  <c r="G99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H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H48" i="5"/>
  <c r="F49" i="5"/>
  <c r="G49" i="5"/>
  <c r="H49" i="5"/>
  <c r="F50" i="5"/>
  <c r="G50" i="5"/>
  <c r="H50" i="5"/>
  <c r="F51" i="5"/>
  <c r="G51" i="5"/>
  <c r="F52" i="5"/>
  <c r="G52" i="5"/>
  <c r="H52" i="5"/>
  <c r="F53" i="5"/>
  <c r="G53" i="5"/>
  <c r="F54" i="5"/>
  <c r="G54" i="5"/>
  <c r="F55" i="5"/>
  <c r="G55" i="5"/>
  <c r="F56" i="5"/>
  <c r="G56" i="5"/>
  <c r="H56" i="5"/>
  <c r="F58" i="5"/>
  <c r="G58" i="5"/>
  <c r="F59" i="5"/>
  <c r="G59" i="5"/>
  <c r="F60" i="5"/>
  <c r="G60" i="5"/>
  <c r="F61" i="5"/>
  <c r="G61" i="5"/>
  <c r="F62" i="5"/>
  <c r="G62" i="5"/>
  <c r="F63" i="5"/>
  <c r="G63" i="5"/>
  <c r="H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H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3" i="7"/>
  <c r="G3" i="7"/>
  <c r="F4" i="7"/>
  <c r="G4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H17" i="7"/>
  <c r="G17" i="7"/>
  <c r="F18" i="7"/>
  <c r="G18" i="7"/>
  <c r="F19" i="7"/>
  <c r="H19" i="7"/>
  <c r="G19" i="7"/>
  <c r="F20" i="7"/>
  <c r="G20" i="7"/>
  <c r="F21" i="7"/>
  <c r="G21" i="7"/>
  <c r="F22" i="7"/>
  <c r="G22" i="7"/>
  <c r="F23" i="7"/>
  <c r="G23" i="7"/>
  <c r="F24" i="7"/>
  <c r="G24" i="7"/>
  <c r="F25" i="7"/>
  <c r="H25" i="7"/>
  <c r="G25" i="7"/>
  <c r="F26" i="7"/>
  <c r="G26" i="7"/>
  <c r="F27" i="7"/>
  <c r="H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H33" i="7"/>
  <c r="F34" i="7"/>
  <c r="G34" i="7"/>
  <c r="H34" i="7"/>
  <c r="F35" i="7"/>
  <c r="G35" i="7"/>
  <c r="H35" i="7"/>
  <c r="F36" i="7"/>
  <c r="G36" i="7"/>
  <c r="F37" i="7"/>
  <c r="G37" i="7"/>
  <c r="F38" i="7"/>
  <c r="G38" i="7"/>
  <c r="F39" i="7"/>
  <c r="G39" i="7"/>
  <c r="H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H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B59" i="7"/>
  <c r="H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3" i="6"/>
  <c r="G3" i="6"/>
  <c r="F4" i="6"/>
  <c r="G4" i="6"/>
  <c r="F5" i="6"/>
  <c r="G5" i="6"/>
  <c r="F6" i="6"/>
  <c r="G6" i="6"/>
  <c r="F7" i="6"/>
  <c r="G7" i="6"/>
  <c r="F8" i="6"/>
  <c r="G8" i="6"/>
  <c r="H8" i="6"/>
  <c r="F9" i="6"/>
  <c r="G9" i="6"/>
  <c r="F10" i="6"/>
  <c r="H10" i="6"/>
  <c r="G10" i="6"/>
  <c r="F11" i="6"/>
  <c r="G11" i="6"/>
  <c r="F12" i="6"/>
  <c r="G12" i="6"/>
  <c r="F13" i="6"/>
  <c r="G13" i="6"/>
  <c r="F14" i="6"/>
  <c r="H14" i="6"/>
  <c r="G14" i="6"/>
  <c r="F15" i="6"/>
  <c r="G15" i="6"/>
  <c r="F16" i="6"/>
  <c r="G16" i="6"/>
  <c r="H16" i="6"/>
  <c r="F17" i="6"/>
  <c r="G17" i="6"/>
  <c r="F18" i="6"/>
  <c r="H18" i="6"/>
  <c r="G18" i="6"/>
  <c r="F19" i="6"/>
  <c r="G19" i="6"/>
  <c r="F20" i="6"/>
  <c r="G20" i="6"/>
  <c r="F21" i="6"/>
  <c r="G21" i="6"/>
  <c r="F22" i="6"/>
  <c r="H22" i="6"/>
  <c r="G22" i="6"/>
  <c r="F23" i="6"/>
  <c r="G23" i="6"/>
  <c r="F24" i="6"/>
  <c r="G24" i="6"/>
  <c r="H24" i="6"/>
  <c r="F25" i="6"/>
  <c r="G25" i="6"/>
  <c r="F26" i="6"/>
  <c r="G26" i="6"/>
  <c r="F27" i="6"/>
  <c r="G27" i="6"/>
  <c r="F28" i="6"/>
  <c r="G28" i="6"/>
  <c r="H28" i="6"/>
  <c r="F29" i="6"/>
  <c r="G29" i="6"/>
  <c r="F30" i="6"/>
  <c r="G30" i="6"/>
  <c r="F31" i="6"/>
  <c r="G31" i="6"/>
  <c r="F32" i="6"/>
  <c r="H32" i="6"/>
  <c r="G32" i="6"/>
  <c r="F33" i="6"/>
  <c r="G33" i="6"/>
  <c r="F34" i="6"/>
  <c r="G34" i="6"/>
  <c r="F35" i="6"/>
  <c r="G35" i="6"/>
  <c r="F36" i="6"/>
  <c r="H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H48" i="6"/>
  <c r="G48" i="6"/>
  <c r="F49" i="6"/>
  <c r="G49" i="6"/>
  <c r="F50" i="6"/>
  <c r="G50" i="6"/>
  <c r="F51" i="6"/>
  <c r="G51" i="6"/>
  <c r="F52" i="6"/>
  <c r="H52" i="6"/>
  <c r="G52" i="6"/>
  <c r="F53" i="6"/>
  <c r="G53" i="6"/>
  <c r="F54" i="6"/>
  <c r="G54" i="6"/>
  <c r="F55" i="6"/>
  <c r="G55" i="6"/>
  <c r="F56" i="6"/>
  <c r="G56" i="6"/>
  <c r="H56" i="6"/>
  <c r="H57" i="6"/>
  <c r="F58" i="6"/>
  <c r="G58" i="6"/>
  <c r="F59" i="6"/>
  <c r="H59" i="6"/>
  <c r="G59" i="6"/>
  <c r="F60" i="6"/>
  <c r="G60" i="6"/>
  <c r="F61" i="6"/>
  <c r="G61" i="6"/>
  <c r="F62" i="6"/>
  <c r="G62" i="6"/>
  <c r="F63" i="6"/>
  <c r="G63" i="6"/>
  <c r="F64" i="6"/>
  <c r="G64" i="6"/>
  <c r="H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H72" i="6"/>
  <c r="F73" i="6"/>
  <c r="G73" i="6"/>
  <c r="F74" i="6"/>
  <c r="G74" i="6"/>
  <c r="F75" i="6"/>
  <c r="G75" i="6"/>
  <c r="H75" i="6"/>
  <c r="F76" i="6"/>
  <c r="H76" i="6"/>
  <c r="G76" i="6"/>
  <c r="F77" i="6"/>
  <c r="G77" i="6"/>
  <c r="F78" i="6"/>
  <c r="G78" i="6"/>
  <c r="F79" i="6"/>
  <c r="G79" i="6"/>
  <c r="F80" i="6"/>
  <c r="H80" i="6"/>
  <c r="G80" i="6"/>
  <c r="F81" i="6"/>
  <c r="H81" i="6"/>
  <c r="G81" i="6"/>
  <c r="F82" i="6"/>
  <c r="G82" i="6"/>
  <c r="F83" i="6"/>
  <c r="G83" i="6"/>
  <c r="H83" i="6"/>
  <c r="F84" i="6"/>
  <c r="H84" i="6"/>
  <c r="G84" i="6"/>
  <c r="F85" i="6"/>
  <c r="G85" i="6"/>
  <c r="F86" i="6"/>
  <c r="G86" i="6"/>
  <c r="F87" i="6"/>
  <c r="G87" i="6"/>
  <c r="F88" i="6"/>
  <c r="H88" i="6"/>
  <c r="G88" i="6"/>
  <c r="F89" i="6"/>
  <c r="H89" i="6"/>
  <c r="G89" i="6"/>
  <c r="F90" i="6"/>
  <c r="G90" i="6"/>
  <c r="F91" i="6"/>
  <c r="G91" i="6"/>
  <c r="H91" i="6"/>
  <c r="F92" i="6"/>
  <c r="H92" i="6"/>
  <c r="G92" i="6"/>
  <c r="F93" i="6"/>
  <c r="H93" i="6"/>
  <c r="G93" i="6"/>
  <c r="F94" i="6"/>
  <c r="G94" i="6"/>
  <c r="F95" i="6"/>
  <c r="G95" i="6"/>
  <c r="H95" i="6"/>
  <c r="F96" i="6"/>
  <c r="H96" i="6"/>
  <c r="G96" i="6"/>
  <c r="F97" i="6"/>
  <c r="G97" i="6"/>
  <c r="F98" i="6"/>
  <c r="G98" i="6"/>
  <c r="F99" i="6"/>
  <c r="G99" i="6"/>
  <c r="H99" i="6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H10" i="3"/>
  <c r="F11" i="3"/>
  <c r="G11" i="3"/>
  <c r="H11" i="3"/>
  <c r="F12" i="3"/>
  <c r="G12" i="3"/>
  <c r="H12" i="3"/>
  <c r="F13" i="3"/>
  <c r="G13" i="3"/>
  <c r="F14" i="3"/>
  <c r="G14" i="3"/>
  <c r="H14" i="3"/>
  <c r="F15" i="3"/>
  <c r="G15" i="3"/>
  <c r="F16" i="3"/>
  <c r="G16" i="3"/>
  <c r="F17" i="3"/>
  <c r="G17" i="3"/>
  <c r="F18" i="3"/>
  <c r="G18" i="3"/>
  <c r="H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H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H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H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H75" i="3"/>
  <c r="F76" i="3"/>
  <c r="G76" i="3"/>
  <c r="H76" i="3"/>
  <c r="F77" i="3"/>
  <c r="G77" i="3"/>
  <c r="H77" i="3"/>
  <c r="F78" i="3"/>
  <c r="G78" i="3"/>
  <c r="F79" i="3"/>
  <c r="G79" i="3"/>
  <c r="H79" i="3"/>
  <c r="F80" i="3"/>
  <c r="G80" i="3"/>
  <c r="F81" i="3"/>
  <c r="G81" i="3"/>
  <c r="F82" i="3"/>
  <c r="G82" i="3"/>
  <c r="F83" i="3"/>
  <c r="G83" i="3"/>
  <c r="H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H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H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H30" i="8"/>
  <c r="F31" i="8"/>
  <c r="G31" i="8"/>
  <c r="H31" i="8"/>
  <c r="F32" i="8"/>
  <c r="G32" i="8"/>
  <c r="H32" i="8"/>
  <c r="F33" i="8"/>
  <c r="G33" i="8"/>
  <c r="F34" i="8"/>
  <c r="G34" i="8"/>
  <c r="H34" i="8"/>
  <c r="F35" i="8"/>
  <c r="G35" i="8"/>
  <c r="F36" i="8"/>
  <c r="G36" i="8"/>
  <c r="F37" i="8"/>
  <c r="G37" i="8"/>
  <c r="F38" i="8"/>
  <c r="G38" i="8"/>
  <c r="H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H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H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H83" i="8"/>
  <c r="F84" i="8"/>
  <c r="G84" i="8"/>
  <c r="H84" i="8"/>
  <c r="F85" i="8"/>
  <c r="G85" i="8"/>
  <c r="H85" i="8"/>
  <c r="F86" i="8"/>
  <c r="G86" i="8"/>
  <c r="F87" i="8"/>
  <c r="G87" i="8"/>
  <c r="H87" i="8"/>
  <c r="F88" i="8"/>
  <c r="G88" i="8"/>
  <c r="F89" i="8"/>
  <c r="G89" i="8"/>
  <c r="F90" i="8"/>
  <c r="G90" i="8"/>
  <c r="F91" i="8"/>
  <c r="G91" i="8"/>
  <c r="H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H99" i="8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H5" i="12"/>
  <c r="I5" i="12"/>
  <c r="H6" i="12"/>
  <c r="O6" i="12"/>
  <c r="I6" i="12"/>
  <c r="P6" i="12"/>
  <c r="H7" i="12"/>
  <c r="I7" i="12"/>
  <c r="H8" i="12"/>
  <c r="I8" i="12"/>
  <c r="P8" i="12"/>
  <c r="O8" i="12"/>
  <c r="H9" i="12"/>
  <c r="I9" i="12"/>
  <c r="H10" i="12"/>
  <c r="I10" i="12"/>
  <c r="O10" i="12"/>
  <c r="H11" i="12"/>
  <c r="I11" i="12"/>
  <c r="H12" i="12"/>
  <c r="O12" i="12"/>
  <c r="I12" i="12"/>
  <c r="P12" i="12"/>
  <c r="H13" i="12"/>
  <c r="I13" i="12"/>
  <c r="P13" i="12"/>
  <c r="H14" i="12"/>
  <c r="I14" i="12"/>
  <c r="O14" i="12"/>
  <c r="H15" i="12"/>
  <c r="I15" i="12"/>
  <c r="H16" i="12"/>
  <c r="M56" i="12"/>
  <c r="N56" i="12"/>
  <c r="I16" i="12"/>
  <c r="P16" i="12"/>
  <c r="H17" i="12"/>
  <c r="O17" i="12"/>
  <c r="I17" i="12"/>
  <c r="H18" i="12"/>
  <c r="I18" i="12"/>
  <c r="P18" i="12"/>
  <c r="H19" i="12"/>
  <c r="O19" i="12"/>
  <c r="I19" i="12"/>
  <c r="H20" i="12"/>
  <c r="I20" i="12"/>
  <c r="P20" i="12"/>
  <c r="H21" i="12"/>
  <c r="O21" i="12"/>
  <c r="I21" i="12"/>
  <c r="H22" i="12"/>
  <c r="O22" i="12"/>
  <c r="Q22" i="12"/>
  <c r="I22" i="12"/>
  <c r="H23" i="12"/>
  <c r="L23" i="12"/>
  <c r="M24" i="12"/>
  <c r="I23" i="12"/>
  <c r="H24" i="12"/>
  <c r="L24" i="12"/>
  <c r="M25" i="12"/>
  <c r="I24" i="12"/>
  <c r="H25" i="12"/>
  <c r="O25" i="12"/>
  <c r="I25" i="12"/>
  <c r="H26" i="12"/>
  <c r="O26" i="12"/>
  <c r="I26" i="12"/>
  <c r="P26" i="12"/>
  <c r="H27" i="12"/>
  <c r="O27" i="12"/>
  <c r="Q27" i="12"/>
  <c r="I27" i="12"/>
  <c r="H28" i="12"/>
  <c r="O28" i="12"/>
  <c r="I28" i="12"/>
  <c r="P28" i="12"/>
  <c r="H29" i="12"/>
  <c r="O29" i="12"/>
  <c r="I29" i="12"/>
  <c r="H30" i="12"/>
  <c r="O30" i="12"/>
  <c r="Q30" i="12"/>
  <c r="I30" i="12"/>
  <c r="P30" i="12"/>
  <c r="H31" i="12"/>
  <c r="I31" i="12"/>
  <c r="M31" i="12"/>
  <c r="H32" i="12"/>
  <c r="I32" i="12"/>
  <c r="P32" i="12"/>
  <c r="H33" i="12"/>
  <c r="I33" i="12"/>
  <c r="H34" i="12"/>
  <c r="O34" i="12"/>
  <c r="I34" i="12"/>
  <c r="P34" i="12"/>
  <c r="H35" i="12"/>
  <c r="I35" i="12"/>
  <c r="H36" i="12"/>
  <c r="O36" i="12"/>
  <c r="I36" i="12"/>
  <c r="P36" i="12"/>
  <c r="H37" i="12"/>
  <c r="I37" i="12"/>
  <c r="L37" i="12"/>
  <c r="H38" i="12"/>
  <c r="I38" i="12"/>
  <c r="H39" i="12"/>
  <c r="O39" i="12"/>
  <c r="I39" i="12"/>
  <c r="H40" i="12"/>
  <c r="O40" i="12"/>
  <c r="I40" i="12"/>
  <c r="P40" i="12"/>
  <c r="H41" i="12"/>
  <c r="O41" i="12"/>
  <c r="I41" i="12"/>
  <c r="H42" i="12"/>
  <c r="O42" i="12"/>
  <c r="I42" i="12"/>
  <c r="P42" i="12"/>
  <c r="H43" i="12"/>
  <c r="O43" i="12"/>
  <c r="Q43" i="12"/>
  <c r="I43" i="12"/>
  <c r="H44" i="12"/>
  <c r="O44" i="12"/>
  <c r="I44" i="12"/>
  <c r="H45" i="12"/>
  <c r="O45" i="12"/>
  <c r="Q45" i="12"/>
  <c r="I45" i="12"/>
  <c r="P45" i="12"/>
  <c r="H46" i="12"/>
  <c r="O46" i="12"/>
  <c r="Q46" i="12"/>
  <c r="I46" i="12"/>
  <c r="P46" i="12"/>
  <c r="H47" i="12"/>
  <c r="I47" i="12"/>
  <c r="P47" i="12"/>
  <c r="H48" i="12"/>
  <c r="I48" i="12"/>
  <c r="H49" i="12"/>
  <c r="O49" i="12"/>
  <c r="I49" i="12"/>
  <c r="H50" i="12"/>
  <c r="I50" i="12"/>
  <c r="P50" i="12"/>
  <c r="H51" i="12"/>
  <c r="I51" i="12"/>
  <c r="P51" i="12"/>
  <c r="R51" i="12"/>
  <c r="H52" i="12"/>
  <c r="O52" i="12"/>
  <c r="I52" i="12"/>
  <c r="H53" i="12"/>
  <c r="I53" i="12"/>
  <c r="H54" i="12"/>
  <c r="O54" i="12"/>
  <c r="I54" i="12"/>
  <c r="P54" i="12"/>
  <c r="H55" i="12"/>
  <c r="O55" i="12"/>
  <c r="I55" i="12"/>
  <c r="H56" i="12"/>
  <c r="J56" i="12"/>
  <c r="I56" i="12"/>
  <c r="P57" i="12"/>
  <c r="H58" i="12"/>
  <c r="O58" i="12"/>
  <c r="I58" i="12"/>
  <c r="P58" i="12"/>
  <c r="H59" i="12"/>
  <c r="I59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H60" i="12"/>
  <c r="I60" i="12"/>
  <c r="H61" i="12"/>
  <c r="I61" i="12"/>
  <c r="P61" i="12"/>
  <c r="H62" i="12"/>
  <c r="O62" i="12"/>
  <c r="I62" i="12"/>
  <c r="H63" i="12"/>
  <c r="K63" i="12"/>
  <c r="I63" i="12"/>
  <c r="O63" i="12"/>
  <c r="H64" i="12"/>
  <c r="I64" i="12"/>
  <c r="H65" i="12"/>
  <c r="N117" i="12"/>
  <c r="I65" i="12"/>
  <c r="H66" i="12"/>
  <c r="I66" i="12"/>
  <c r="H67" i="12"/>
  <c r="K67" i="12"/>
  <c r="I67" i="12"/>
  <c r="H68" i="12"/>
  <c r="K68" i="12"/>
  <c r="I68" i="12"/>
  <c r="Q68" i="12"/>
  <c r="R68" i="12"/>
  <c r="H69" i="12"/>
  <c r="I69" i="12"/>
  <c r="Q69" i="12"/>
  <c r="R69" i="12"/>
  <c r="H70" i="12"/>
  <c r="K70" i="12"/>
  <c r="I70" i="12"/>
  <c r="H71" i="12"/>
  <c r="K71" i="12"/>
  <c r="J123" i="12"/>
  <c r="I71" i="12"/>
  <c r="H72" i="12"/>
  <c r="J124" i="12"/>
  <c r="I72" i="12"/>
  <c r="H73" i="12"/>
  <c r="J125" i="12"/>
  <c r="I73" i="12"/>
  <c r="H74" i="12"/>
  <c r="J126" i="12"/>
  <c r="I74" i="12"/>
  <c r="H75" i="12"/>
  <c r="K75" i="12"/>
  <c r="J127" i="12"/>
  <c r="H76" i="12"/>
  <c r="J76" i="12"/>
  <c r="H77" i="12"/>
  <c r="J77" i="12"/>
  <c r="J129" i="12"/>
  <c r="H78" i="12"/>
  <c r="J78" i="12"/>
  <c r="J130" i="12"/>
  <c r="H79" i="12"/>
  <c r="K79" i="12"/>
  <c r="J131" i="12"/>
  <c r="H80" i="12"/>
  <c r="K80" i="12"/>
  <c r="J132" i="12"/>
  <c r="H81" i="12"/>
  <c r="J81" i="12"/>
  <c r="J133" i="12"/>
  <c r="H82" i="12"/>
  <c r="J82" i="12"/>
  <c r="H83" i="12"/>
  <c r="H84" i="12"/>
  <c r="J84" i="12"/>
  <c r="H85" i="12"/>
  <c r="J85" i="12"/>
  <c r="H86" i="12"/>
  <c r="J86" i="12"/>
  <c r="L86" i="12"/>
  <c r="M86" i="12"/>
  <c r="H87" i="12"/>
  <c r="L87" i="12"/>
  <c r="M87" i="12"/>
  <c r="N87" i="12"/>
  <c r="H88" i="12"/>
  <c r="J88" i="12"/>
  <c r="L88" i="12"/>
  <c r="M88" i="12"/>
  <c r="N88" i="12"/>
  <c r="H89" i="12"/>
  <c r="L89" i="12"/>
  <c r="M89" i="12"/>
  <c r="N89" i="12"/>
  <c r="H90" i="12"/>
  <c r="J90" i="12"/>
  <c r="L90" i="12"/>
  <c r="M90" i="12"/>
  <c r="H91" i="12"/>
  <c r="J91" i="12"/>
  <c r="L91" i="12"/>
  <c r="M91" i="12"/>
  <c r="H92" i="12"/>
  <c r="L92" i="12"/>
  <c r="M92" i="12"/>
  <c r="H93" i="12"/>
  <c r="L93" i="12"/>
  <c r="M93" i="12"/>
  <c r="H94" i="12"/>
  <c r="L94" i="12"/>
  <c r="M94" i="12"/>
  <c r="H95" i="12"/>
  <c r="J95" i="12"/>
  <c r="L95" i="12"/>
  <c r="M95" i="12"/>
  <c r="H96" i="12"/>
  <c r="J96" i="12"/>
  <c r="L96" i="12"/>
  <c r="M96" i="12"/>
  <c r="H97" i="12"/>
  <c r="L97" i="12"/>
  <c r="M97" i="12"/>
  <c r="H98" i="12"/>
  <c r="L98" i="12"/>
  <c r="M98" i="12"/>
  <c r="H99" i="12"/>
  <c r="K100" i="12"/>
  <c r="L99" i="12"/>
  <c r="M99" i="12"/>
  <c r="N101" i="12"/>
  <c r="N102" i="12"/>
  <c r="N103" i="12"/>
  <c r="N104" i="12"/>
  <c r="N106" i="12"/>
  <c r="N109" i="12"/>
  <c r="J110" i="12"/>
  <c r="J112" i="12"/>
  <c r="N112" i="12"/>
  <c r="J114" i="12"/>
  <c r="J134" i="12"/>
  <c r="J99" i="12"/>
  <c r="N111" i="12"/>
  <c r="N96" i="12"/>
  <c r="J94" i="12"/>
  <c r="N90" i="12"/>
  <c r="N120" i="12"/>
  <c r="N118" i="12"/>
  <c r="N116" i="12"/>
  <c r="O53" i="12"/>
  <c r="Q53" i="12"/>
  <c r="P24" i="12"/>
  <c r="N24" i="12"/>
  <c r="P21" i="12"/>
  <c r="P19" i="12"/>
  <c r="P17" i="12"/>
  <c r="P14" i="12"/>
  <c r="P10" i="12"/>
  <c r="P7" i="12"/>
  <c r="J128" i="12"/>
  <c r="N108" i="12"/>
  <c r="J108" i="12"/>
  <c r="N107" i="12"/>
  <c r="J107" i="12"/>
  <c r="J105" i="12"/>
  <c r="N105" i="12"/>
  <c r="J121" i="12"/>
  <c r="N121" i="12"/>
  <c r="J119" i="12"/>
  <c r="N119" i="12"/>
  <c r="N115" i="12"/>
  <c r="J115" i="12"/>
  <c r="J100" i="12"/>
  <c r="J101" i="12"/>
  <c r="J102" i="12"/>
  <c r="J103" i="12"/>
  <c r="J104" i="12"/>
  <c r="K104" i="12"/>
  <c r="J106" i="12"/>
  <c r="K106" i="12"/>
  <c r="J109" i="12"/>
  <c r="J111" i="12"/>
  <c r="J116" i="12"/>
  <c r="J117" i="12"/>
  <c r="J118" i="12"/>
  <c r="J120" i="12"/>
  <c r="J122" i="12"/>
  <c r="K118" i="12"/>
  <c r="K120" i="12"/>
  <c r="K128" i="12"/>
  <c r="K129" i="12"/>
  <c r="H134" i="8"/>
  <c r="H134" i="2"/>
  <c r="H134" i="3"/>
  <c r="I134" i="9"/>
  <c r="I83" i="14"/>
  <c r="N95" i="12"/>
  <c r="N113" i="12"/>
  <c r="J113" i="12"/>
  <c r="N98" i="12"/>
  <c r="N99" i="12"/>
  <c r="N100" i="12"/>
  <c r="N114" i="12"/>
  <c r="N97" i="12"/>
  <c r="N91" i="12"/>
  <c r="N92" i="12"/>
  <c r="N93" i="12"/>
  <c r="N94" i="12"/>
  <c r="K137" i="12"/>
  <c r="Q42" i="12"/>
  <c r="P63" i="12"/>
  <c r="J44" i="12"/>
  <c r="K101" i="12"/>
  <c r="I106" i="9"/>
  <c r="H104" i="8"/>
  <c r="K117" i="12"/>
  <c r="K123" i="12"/>
  <c r="K125" i="12"/>
  <c r="K127" i="12"/>
  <c r="K131" i="12"/>
  <c r="K133" i="12"/>
  <c r="K140" i="12"/>
  <c r="K142" i="12"/>
  <c r="K144" i="12"/>
  <c r="K111" i="12"/>
  <c r="J139" i="12"/>
  <c r="J141" i="12"/>
  <c r="J143" i="12"/>
  <c r="J146" i="12"/>
  <c r="J147" i="12"/>
  <c r="I96" i="14"/>
  <c r="J148" i="12"/>
  <c r="N149" i="12"/>
  <c r="J149" i="12"/>
  <c r="K149" i="12"/>
  <c r="A4" i="2"/>
  <c r="A3" i="11"/>
  <c r="A3" i="8"/>
  <c r="A3" i="5"/>
  <c r="J75" i="12"/>
  <c r="H67" i="8"/>
  <c r="H59" i="8"/>
  <c r="H14" i="8"/>
  <c r="H89" i="2"/>
  <c r="H69" i="2"/>
  <c r="H59" i="3"/>
  <c r="H50" i="3"/>
  <c r="H46" i="3"/>
  <c r="H44" i="3"/>
  <c r="H43" i="3"/>
  <c r="H79" i="6"/>
  <c r="H77" i="6"/>
  <c r="H44" i="6"/>
  <c r="H30" i="6"/>
  <c r="H95" i="5"/>
  <c r="H87" i="5"/>
  <c r="H83" i="5"/>
  <c r="H81" i="5"/>
  <c r="H80" i="5"/>
  <c r="H32" i="5"/>
  <c r="H24" i="5"/>
  <c r="H20" i="5"/>
  <c r="H18" i="5"/>
  <c r="H17" i="5"/>
  <c r="H41" i="4"/>
  <c r="H25" i="4"/>
  <c r="H21" i="4"/>
  <c r="H19" i="4"/>
  <c r="H18" i="4"/>
  <c r="H67" i="11"/>
  <c r="H59" i="11"/>
  <c r="H20" i="11"/>
  <c r="H12" i="11"/>
  <c r="H8" i="11"/>
  <c r="H6" i="11"/>
  <c r="H5" i="11"/>
  <c r="I99" i="9"/>
  <c r="I95" i="9"/>
  <c r="I93" i="9"/>
  <c r="I92" i="9"/>
  <c r="I67" i="9"/>
  <c r="I63" i="9"/>
  <c r="I61" i="9"/>
  <c r="I60" i="9"/>
  <c r="I38" i="9"/>
  <c r="I34" i="9"/>
  <c r="I32" i="9"/>
  <c r="I31" i="9"/>
  <c r="I6" i="9"/>
  <c r="I32" i="14"/>
  <c r="I31" i="14"/>
  <c r="I18" i="14"/>
  <c r="I16" i="14"/>
  <c r="I15" i="14"/>
  <c r="I101" i="9"/>
  <c r="I35" i="14"/>
  <c r="I39" i="14"/>
  <c r="I40" i="14"/>
  <c r="I41" i="14"/>
  <c r="K109" i="12"/>
  <c r="I60" i="14"/>
  <c r="I45" i="14"/>
  <c r="H113" i="11"/>
  <c r="I47" i="14"/>
  <c r="H114" i="3"/>
  <c r="H116" i="7"/>
  <c r="H114" i="5"/>
  <c r="I64" i="14"/>
  <c r="I51" i="14"/>
  <c r="I75" i="14"/>
  <c r="I80" i="14"/>
  <c r="H139" i="6"/>
  <c r="H140" i="2"/>
  <c r="H142" i="7"/>
  <c r="H140" i="11"/>
  <c r="I140" i="9"/>
  <c r="I89" i="14"/>
  <c r="H143" i="7"/>
  <c r="I141" i="9"/>
  <c r="I90" i="14"/>
  <c r="J142" i="12"/>
  <c r="H142" i="2"/>
  <c r="H142" i="3"/>
  <c r="H142" i="11"/>
  <c r="I91" i="14"/>
  <c r="Q63" i="12"/>
  <c r="O57" i="12"/>
  <c r="Q58" i="12"/>
  <c r="K78" i="12"/>
  <c r="J22" i="12"/>
  <c r="H75" i="8"/>
  <c r="H71" i="8"/>
  <c r="H69" i="8"/>
  <c r="H68" i="8"/>
  <c r="H54" i="8"/>
  <c r="H50" i="8"/>
  <c r="H48" i="8"/>
  <c r="H47" i="8"/>
  <c r="H22" i="8"/>
  <c r="H18" i="8"/>
  <c r="H16" i="8"/>
  <c r="H15" i="8"/>
  <c r="H5" i="2"/>
  <c r="H97" i="3"/>
  <c r="H93" i="3"/>
  <c r="H92" i="3"/>
  <c r="H67" i="3"/>
  <c r="H63" i="3"/>
  <c r="H61" i="3"/>
  <c r="H60" i="3"/>
  <c r="H34" i="3"/>
  <c r="H30" i="3"/>
  <c r="H28" i="3"/>
  <c r="H27" i="3"/>
  <c r="H67" i="6"/>
  <c r="H63" i="6"/>
  <c r="H61" i="6"/>
  <c r="H60" i="6"/>
  <c r="H46" i="6"/>
  <c r="H20" i="6"/>
  <c r="H12" i="6"/>
  <c r="H9" i="6"/>
  <c r="H96" i="7"/>
  <c r="H94" i="7"/>
  <c r="H7" i="7"/>
  <c r="H99" i="5"/>
  <c r="H97" i="5"/>
  <c r="H96" i="5"/>
  <c r="H71" i="5"/>
  <c r="H67" i="5"/>
  <c r="H65" i="5"/>
  <c r="H64" i="5"/>
  <c r="H40" i="5"/>
  <c r="H36" i="5"/>
  <c r="H34" i="5"/>
  <c r="H33" i="5"/>
  <c r="H8" i="5"/>
  <c r="H3" i="5"/>
  <c r="H99" i="4"/>
  <c r="H98" i="4"/>
  <c r="H69" i="4"/>
  <c r="H60" i="4"/>
  <c r="H59" i="4"/>
  <c r="H49" i="4"/>
  <c r="H45" i="4"/>
  <c r="H43" i="4"/>
  <c r="H42" i="4"/>
  <c r="H9" i="4"/>
  <c r="H5" i="4"/>
  <c r="H3" i="4"/>
  <c r="H75" i="11"/>
  <c r="H71" i="11"/>
  <c r="H69" i="11"/>
  <c r="H68" i="11"/>
  <c r="H56" i="11"/>
  <c r="H54" i="11"/>
  <c r="H53" i="11"/>
  <c r="H28" i="11"/>
  <c r="H24" i="11"/>
  <c r="H22" i="11"/>
  <c r="H21" i="11"/>
  <c r="I89" i="10"/>
  <c r="I81" i="10"/>
  <c r="I77" i="10"/>
  <c r="I73" i="10"/>
  <c r="I69" i="10"/>
  <c r="I67" i="10"/>
  <c r="I66" i="10"/>
  <c r="I16" i="10"/>
  <c r="I8" i="10"/>
  <c r="I4" i="10"/>
  <c r="I87" i="9"/>
  <c r="I85" i="9"/>
  <c r="I84" i="9"/>
  <c r="I71" i="9"/>
  <c r="I69" i="9"/>
  <c r="I68" i="9"/>
  <c r="I56" i="9"/>
  <c r="I55" i="9"/>
  <c r="I42" i="9"/>
  <c r="I40" i="9"/>
  <c r="I39" i="9"/>
  <c r="I26" i="9"/>
  <c r="I24" i="9"/>
  <c r="I23" i="9"/>
  <c r="I10" i="9"/>
  <c r="I8" i="9"/>
  <c r="I7" i="9"/>
  <c r="I28" i="14"/>
  <c r="I27" i="14"/>
  <c r="I20" i="14"/>
  <c r="I19" i="14"/>
  <c r="I12" i="14"/>
  <c r="I11" i="14"/>
  <c r="H101" i="8"/>
  <c r="H101" i="2"/>
  <c r="H101" i="3"/>
  <c r="H103" i="7"/>
  <c r="H101" i="5"/>
  <c r="H101" i="4"/>
  <c r="H102" i="4"/>
  <c r="H102" i="11"/>
  <c r="I36" i="14"/>
  <c r="I105" i="9"/>
  <c r="H106" i="8"/>
  <c r="H106" i="3"/>
  <c r="H106" i="6"/>
  <c r="H108" i="7"/>
  <c r="H106" i="5"/>
  <c r="H106" i="4"/>
  <c r="H106" i="11"/>
  <c r="H107" i="4"/>
  <c r="H107" i="11"/>
  <c r="I107" i="9"/>
  <c r="H108" i="8"/>
  <c r="H108" i="3"/>
  <c r="H109" i="5"/>
  <c r="I109" i="9"/>
  <c r="I43" i="14"/>
  <c r="I111" i="9"/>
  <c r="H112" i="3"/>
  <c r="H114" i="7"/>
  <c r="H112" i="5"/>
  <c r="H112" i="4"/>
  <c r="H112" i="11"/>
  <c r="I110" i="10"/>
  <c r="I112" i="9"/>
  <c r="H113" i="8"/>
  <c r="H113" i="2"/>
  <c r="H113" i="3"/>
  <c r="H113" i="4"/>
  <c r="I114" i="9"/>
  <c r="H115" i="8"/>
  <c r="H115" i="3"/>
  <c r="H115" i="11"/>
  <c r="I113" i="10"/>
  <c r="I115" i="9"/>
  <c r="H116" i="2"/>
  <c r="H116" i="3"/>
  <c r="H118" i="7"/>
  <c r="I116" i="9"/>
  <c r="I65" i="14"/>
  <c r="H117" i="3"/>
  <c r="H117" i="5"/>
  <c r="H117" i="4"/>
  <c r="I117" i="9"/>
  <c r="I66" i="14"/>
  <c r="I53" i="14"/>
  <c r="I68" i="14"/>
  <c r="I72" i="14"/>
  <c r="H128" i="7"/>
  <c r="H126" i="4"/>
  <c r="I126" i="9"/>
  <c r="H127" i="8"/>
  <c r="H131" i="11"/>
  <c r="I131" i="9"/>
  <c r="H132" i="8"/>
  <c r="H132" i="2"/>
  <c r="H132" i="3"/>
  <c r="H144" i="3"/>
  <c r="H147" i="4"/>
  <c r="H147" i="11"/>
  <c r="I147" i="9"/>
  <c r="H148" i="2"/>
  <c r="H150" i="7"/>
  <c r="I149" i="9"/>
  <c r="H150" i="8"/>
  <c r="H150" i="3"/>
  <c r="I136" i="10"/>
  <c r="I87" i="14"/>
  <c r="H139" i="11"/>
  <c r="I139" i="9"/>
  <c r="H140" i="8"/>
  <c r="H141" i="8"/>
  <c r="H141" i="3"/>
  <c r="H143" i="3"/>
  <c r="H145" i="7"/>
  <c r="H143" i="5"/>
  <c r="J28" i="12"/>
  <c r="J71" i="12"/>
  <c r="J80" i="12"/>
  <c r="R8" i="12"/>
  <c r="P22" i="12"/>
  <c r="K74" i="12"/>
  <c r="J43" i="12"/>
  <c r="J38" i="12"/>
  <c r="J23" i="12"/>
  <c r="P15" i="12"/>
  <c r="H95" i="8"/>
  <c r="H93" i="8"/>
  <c r="H92" i="8"/>
  <c r="H79" i="8"/>
  <c r="H77" i="8"/>
  <c r="H76" i="8"/>
  <c r="H63" i="8"/>
  <c r="H61" i="8"/>
  <c r="H60" i="8"/>
  <c r="H56" i="8"/>
  <c r="H55" i="8"/>
  <c r="H42" i="8"/>
  <c r="H40" i="8"/>
  <c r="H39" i="8"/>
  <c r="H26" i="8"/>
  <c r="H24" i="8"/>
  <c r="H23" i="8"/>
  <c r="H10" i="8"/>
  <c r="H8" i="8"/>
  <c r="H7" i="8"/>
  <c r="H6" i="8"/>
  <c r="H5" i="8"/>
  <c r="H4" i="8"/>
  <c r="H3" i="8"/>
  <c r="H97" i="2"/>
  <c r="H93" i="2"/>
  <c r="H91" i="2"/>
  <c r="H90" i="2"/>
  <c r="H21" i="2"/>
  <c r="H13" i="2"/>
  <c r="H9" i="2"/>
  <c r="H7" i="2"/>
  <c r="H6" i="2"/>
  <c r="H87" i="3"/>
  <c r="H85" i="3"/>
  <c r="H84" i="3"/>
  <c r="H71" i="3"/>
  <c r="H69" i="3"/>
  <c r="H68" i="3"/>
  <c r="H54" i="3"/>
  <c r="H52" i="3"/>
  <c r="H51" i="3"/>
  <c r="H38" i="3"/>
  <c r="H36" i="3"/>
  <c r="H35" i="3"/>
  <c r="H22" i="3"/>
  <c r="H20" i="3"/>
  <c r="H19" i="3"/>
  <c r="H6" i="3"/>
  <c r="H4" i="3"/>
  <c r="H3" i="3"/>
  <c r="H87" i="6"/>
  <c r="H85" i="6"/>
  <c r="H71" i="6"/>
  <c r="H54" i="6"/>
  <c r="H53" i="6"/>
  <c r="H40" i="6"/>
  <c r="H38" i="6"/>
  <c r="H55" i="7"/>
  <c r="H51" i="7"/>
  <c r="H50" i="7"/>
  <c r="H48" i="7"/>
  <c r="H45" i="7"/>
  <c r="H13" i="7"/>
  <c r="H9" i="7"/>
  <c r="H8" i="7"/>
  <c r="H91" i="5"/>
  <c r="H89" i="5"/>
  <c r="H88" i="5"/>
  <c r="H75" i="5"/>
  <c r="H73" i="5"/>
  <c r="H72" i="5"/>
  <c r="H59" i="5"/>
  <c r="H44" i="5"/>
  <c r="H42" i="5"/>
  <c r="H41" i="5"/>
  <c r="H28" i="5"/>
  <c r="H26" i="5"/>
  <c r="H25" i="5"/>
  <c r="I52" i="9"/>
  <c r="I51" i="9"/>
  <c r="I44" i="9"/>
  <c r="I43" i="9"/>
  <c r="H12" i="5"/>
  <c r="H10" i="5"/>
  <c r="H9" i="5"/>
  <c r="H93" i="4"/>
  <c r="H91" i="4"/>
  <c r="H90" i="4"/>
  <c r="H85" i="4"/>
  <c r="H73" i="4"/>
  <c r="H71" i="4"/>
  <c r="H70" i="4"/>
  <c r="H67" i="4"/>
  <c r="H53" i="4"/>
  <c r="H51" i="4"/>
  <c r="H50" i="4"/>
  <c r="H37" i="4"/>
  <c r="H35" i="4"/>
  <c r="H34" i="4"/>
  <c r="H31" i="4"/>
  <c r="H30" i="4"/>
  <c r="H27" i="4"/>
  <c r="H26" i="4"/>
  <c r="H13" i="4"/>
  <c r="H11" i="4"/>
  <c r="H10" i="4"/>
  <c r="H95" i="11"/>
  <c r="H93" i="11"/>
  <c r="H92" i="11"/>
  <c r="H79" i="11"/>
  <c r="H77" i="11"/>
  <c r="H76" i="11"/>
  <c r="H63" i="11"/>
  <c r="H61" i="11"/>
  <c r="H60" i="11"/>
  <c r="H48" i="11"/>
  <c r="H46" i="11"/>
  <c r="H45" i="11"/>
  <c r="H32" i="11"/>
  <c r="H30" i="11"/>
  <c r="H29" i="11"/>
  <c r="H16" i="11"/>
  <c r="H14" i="11"/>
  <c r="H13" i="11"/>
  <c r="I97" i="10"/>
  <c r="I93" i="10"/>
  <c r="I91" i="10"/>
  <c r="I90" i="10"/>
  <c r="I57" i="10"/>
  <c r="I52" i="10"/>
  <c r="I50" i="10"/>
  <c r="I49" i="10"/>
  <c r="I24" i="10"/>
  <c r="I20" i="10"/>
  <c r="I18" i="10"/>
  <c r="I17" i="10"/>
  <c r="I97" i="9"/>
  <c r="I96" i="9"/>
  <c r="I89" i="9"/>
  <c r="I88" i="9"/>
  <c r="I81" i="9"/>
  <c r="I80" i="9"/>
  <c r="I73" i="9"/>
  <c r="I72" i="9"/>
  <c r="I65" i="9"/>
  <c r="I64" i="9"/>
  <c r="I36" i="9"/>
  <c r="I35" i="9"/>
  <c r="I28" i="9"/>
  <c r="I27" i="9"/>
  <c r="I20" i="9"/>
  <c r="I19" i="9"/>
  <c r="I12" i="9"/>
  <c r="I11" i="9"/>
  <c r="I33" i="14"/>
  <c r="I29" i="14"/>
  <c r="I25" i="14"/>
  <c r="I21" i="14"/>
  <c r="I17" i="14"/>
  <c r="I13" i="14"/>
  <c r="I9" i="14"/>
  <c r="I100" i="9"/>
  <c r="I100" i="10"/>
  <c r="I102" i="9"/>
  <c r="I104" i="10"/>
  <c r="H109" i="7"/>
  <c r="H107" i="5"/>
  <c r="I44" i="14"/>
  <c r="H117" i="11"/>
  <c r="H118" i="4"/>
  <c r="I67" i="14"/>
  <c r="H120" i="4"/>
  <c r="I118" i="10"/>
  <c r="I120" i="9"/>
  <c r="I123" i="9"/>
  <c r="H124" i="8"/>
  <c r="H124" i="2"/>
  <c r="H124" i="3"/>
  <c r="H128" i="2"/>
  <c r="H128" i="3"/>
  <c r="H138" i="5"/>
  <c r="H141" i="11"/>
  <c r="I142" i="10"/>
  <c r="I103" i="14"/>
  <c r="H157" i="7"/>
  <c r="H155" i="4"/>
  <c r="I153" i="10"/>
  <c r="I104" i="14"/>
  <c r="H156" i="6"/>
  <c r="I106" i="14"/>
  <c r="I108" i="14"/>
  <c r="I62" i="14"/>
  <c r="H115" i="2"/>
  <c r="H116" i="5"/>
  <c r="H116" i="4"/>
  <c r="I49" i="14"/>
  <c r="H123" i="8"/>
  <c r="H130" i="5"/>
  <c r="H130" i="4"/>
  <c r="H131" i="5"/>
  <c r="H131" i="4"/>
  <c r="H135" i="7"/>
  <c r="H133" i="5"/>
  <c r="H133" i="4"/>
  <c r="H133" i="11"/>
  <c r="I131" i="10"/>
  <c r="I133" i="9"/>
  <c r="I82" i="14"/>
  <c r="I132" i="10"/>
  <c r="H139" i="4"/>
  <c r="H142" i="4"/>
  <c r="H143" i="2"/>
  <c r="H145" i="2"/>
  <c r="I146" i="9"/>
  <c r="H148" i="4"/>
  <c r="H148" i="11"/>
  <c r="I146" i="10"/>
  <c r="H152" i="7"/>
  <c r="H97" i="8"/>
  <c r="H96" i="8"/>
  <c r="H89" i="8"/>
  <c r="H88" i="8"/>
  <c r="H81" i="8"/>
  <c r="H80" i="8"/>
  <c r="H73" i="8"/>
  <c r="H72" i="8"/>
  <c r="H65" i="8"/>
  <c r="H64" i="8"/>
  <c r="H52" i="8"/>
  <c r="H51" i="8"/>
  <c r="H44" i="8"/>
  <c r="H43" i="8"/>
  <c r="H36" i="8"/>
  <c r="H35" i="8"/>
  <c r="H28" i="8"/>
  <c r="H27" i="8"/>
  <c r="H20" i="8"/>
  <c r="H19" i="8"/>
  <c r="H12" i="8"/>
  <c r="H11" i="8"/>
  <c r="H81" i="2"/>
  <c r="H77" i="2"/>
  <c r="H75" i="2"/>
  <c r="H74" i="2"/>
  <c r="H73" i="2"/>
  <c r="H72" i="2"/>
  <c r="H71" i="2"/>
  <c r="H70" i="2"/>
  <c r="H43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99" i="3"/>
  <c r="H98" i="3"/>
  <c r="H95" i="3"/>
  <c r="H89" i="3"/>
  <c r="H88" i="3"/>
  <c r="H81" i="3"/>
  <c r="H80" i="3"/>
  <c r="H73" i="3"/>
  <c r="H72" i="3"/>
  <c r="H65" i="3"/>
  <c r="H64" i="3"/>
  <c r="H56" i="3"/>
  <c r="H55" i="3"/>
  <c r="H48" i="3"/>
  <c r="H47" i="3"/>
  <c r="H40" i="3"/>
  <c r="H39" i="3"/>
  <c r="H32" i="3"/>
  <c r="H31" i="3"/>
  <c r="H24" i="3"/>
  <c r="H23" i="3"/>
  <c r="H16" i="3"/>
  <c r="H15" i="3"/>
  <c r="H8" i="3"/>
  <c r="H7" i="3"/>
  <c r="H97" i="6"/>
  <c r="H65" i="6"/>
  <c r="H50" i="6"/>
  <c r="H42" i="6"/>
  <c r="H34" i="6"/>
  <c r="H33" i="6"/>
  <c r="H26" i="6"/>
  <c r="H25" i="6"/>
  <c r="H6" i="6"/>
  <c r="H5" i="6"/>
  <c r="H4" i="6"/>
  <c r="H3" i="6"/>
  <c r="H100" i="7"/>
  <c r="H99" i="7"/>
  <c r="H97" i="7"/>
  <c r="H92" i="7"/>
  <c r="H58" i="7"/>
  <c r="H56" i="7"/>
  <c r="H53" i="7"/>
  <c r="H43" i="7"/>
  <c r="H42" i="7"/>
  <c r="H40" i="7"/>
  <c r="H37" i="7"/>
  <c r="H31" i="7"/>
  <c r="H30" i="7"/>
  <c r="H28" i="7"/>
  <c r="H23" i="7"/>
  <c r="H22" i="7"/>
  <c r="H20" i="7"/>
  <c r="H15" i="7"/>
  <c r="H14" i="7"/>
  <c r="H11" i="7"/>
  <c r="H3" i="7"/>
  <c r="H93" i="5"/>
  <c r="H92" i="5"/>
  <c r="H85" i="5"/>
  <c r="H84" i="5"/>
  <c r="H77" i="5"/>
  <c r="H76" i="5"/>
  <c r="H69" i="5"/>
  <c r="H68" i="5"/>
  <c r="H61" i="5"/>
  <c r="H60" i="5"/>
  <c r="H54" i="5"/>
  <c r="H53" i="5"/>
  <c r="H46" i="5"/>
  <c r="H45" i="5"/>
  <c r="H38" i="5"/>
  <c r="H37" i="5"/>
  <c r="H30" i="5"/>
  <c r="H29" i="5"/>
  <c r="H22" i="5"/>
  <c r="H21" i="5"/>
  <c r="H14" i="5"/>
  <c r="H13" i="5"/>
  <c r="H6" i="5"/>
  <c r="H5" i="5"/>
  <c r="H4" i="5"/>
  <c r="H95" i="4"/>
  <c r="H94" i="4"/>
  <c r="H87" i="4"/>
  <c r="H86" i="4"/>
  <c r="H83" i="4"/>
  <c r="H82" i="4"/>
  <c r="H75" i="4"/>
  <c r="H74" i="4"/>
  <c r="H64" i="4"/>
  <c r="H63" i="4"/>
  <c r="H55" i="4"/>
  <c r="H54" i="4"/>
  <c r="H47" i="4"/>
  <c r="H46" i="4"/>
  <c r="H39" i="4"/>
  <c r="H38" i="4"/>
  <c r="H33" i="4"/>
  <c r="H29" i="4"/>
  <c r="H23" i="4"/>
  <c r="H22" i="4"/>
  <c r="H15" i="4"/>
  <c r="H14" i="4"/>
  <c r="H7" i="4"/>
  <c r="H6" i="4"/>
  <c r="H97" i="11"/>
  <c r="H96" i="11"/>
  <c r="H89" i="11"/>
  <c r="H88" i="11"/>
  <c r="H81" i="11"/>
  <c r="H80" i="11"/>
  <c r="H73" i="11"/>
  <c r="H72" i="11"/>
  <c r="H65" i="11"/>
  <c r="H64" i="11"/>
  <c r="H50" i="11"/>
  <c r="H49" i="11"/>
  <c r="H42" i="11"/>
  <c r="H41" i="11"/>
  <c r="H34" i="11"/>
  <c r="H33" i="11"/>
  <c r="H26" i="11"/>
  <c r="H25" i="11"/>
  <c r="H18" i="11"/>
  <c r="H17" i="11"/>
  <c r="H10" i="11"/>
  <c r="H9" i="11"/>
  <c r="I85" i="10"/>
  <c r="I83" i="10"/>
  <c r="I82" i="10"/>
  <c r="J79" i="12"/>
  <c r="K87" i="12"/>
  <c r="J74" i="12"/>
  <c r="K73" i="12"/>
  <c r="I75" i="10"/>
  <c r="I74" i="10"/>
  <c r="I61" i="10"/>
  <c r="I59" i="10"/>
  <c r="I58" i="10"/>
  <c r="I44" i="10"/>
  <c r="I42" i="10"/>
  <c r="I41" i="10"/>
  <c r="I28" i="10"/>
  <c r="I26" i="10"/>
  <c r="I25" i="10"/>
  <c r="I12" i="10"/>
  <c r="I10" i="10"/>
  <c r="I9" i="10"/>
  <c r="I98" i="9"/>
  <c r="I94" i="9"/>
  <c r="I90" i="9"/>
  <c r="I86" i="9"/>
  <c r="I82" i="9"/>
  <c r="I78" i="9"/>
  <c r="I74" i="9"/>
  <c r="I70" i="9"/>
  <c r="I66" i="9"/>
  <c r="I62" i="9"/>
  <c r="I58" i="9"/>
  <c r="I53" i="9"/>
  <c r="I49" i="9"/>
  <c r="I45" i="9"/>
  <c r="I41" i="9"/>
  <c r="I37" i="9"/>
  <c r="I33" i="9"/>
  <c r="I29" i="9"/>
  <c r="I25" i="9"/>
  <c r="I21" i="9"/>
  <c r="I17" i="9"/>
  <c r="I13" i="9"/>
  <c r="I9" i="9"/>
  <c r="I5" i="9"/>
  <c r="H104" i="5"/>
  <c r="H105" i="2"/>
  <c r="H105" i="3"/>
  <c r="H105" i="6"/>
  <c r="H107" i="7"/>
  <c r="H105" i="11"/>
  <c r="H107" i="3"/>
  <c r="H108" i="5"/>
  <c r="H109" i="8"/>
  <c r="H111" i="7"/>
  <c r="H109" i="11"/>
  <c r="H110" i="8"/>
  <c r="H110" i="3"/>
  <c r="H110" i="4"/>
  <c r="I108" i="10"/>
  <c r="I110" i="9"/>
  <c r="H111" i="6"/>
  <c r="H113" i="7"/>
  <c r="H111" i="5"/>
  <c r="H111" i="11"/>
  <c r="H113" i="6"/>
  <c r="I111" i="10"/>
  <c r="I113" i="9"/>
  <c r="H115" i="6"/>
  <c r="H117" i="7"/>
  <c r="H115" i="4"/>
  <c r="H117" i="8"/>
  <c r="H117" i="2"/>
  <c r="H120" i="7"/>
  <c r="H118" i="5"/>
  <c r="I115" i="10"/>
  <c r="H119" i="8"/>
  <c r="H119" i="6"/>
  <c r="H121" i="7"/>
  <c r="H119" i="5"/>
  <c r="H100" i="6"/>
  <c r="H105" i="7"/>
  <c r="H103" i="5"/>
  <c r="H120" i="8"/>
  <c r="H120" i="3"/>
  <c r="H133" i="8"/>
  <c r="H133" i="2"/>
  <c r="H134" i="4"/>
  <c r="H137" i="5"/>
  <c r="H137" i="4"/>
  <c r="H137" i="11"/>
  <c r="I135" i="10"/>
  <c r="I137" i="9"/>
  <c r="H146" i="7"/>
  <c r="H147" i="7"/>
  <c r="H145" i="4"/>
  <c r="H145" i="11"/>
  <c r="I145" i="9"/>
  <c r="H148" i="7"/>
  <c r="H146" i="5"/>
  <c r="H146" i="11"/>
  <c r="I144" i="10"/>
  <c r="H147" i="8"/>
  <c r="H147" i="2"/>
  <c r="H147" i="3"/>
  <c r="I151" i="9"/>
  <c r="I155" i="9"/>
  <c r="I105" i="14"/>
  <c r="H159" i="7"/>
  <c r="H157" i="4"/>
  <c r="I155" i="10"/>
  <c r="I157" i="9"/>
  <c r="I107" i="14"/>
  <c r="H161" i="7"/>
  <c r="I157" i="10"/>
  <c r="I159" i="9"/>
  <c r="H122" i="8"/>
  <c r="H122" i="3"/>
  <c r="H122" i="6"/>
  <c r="H122" i="5"/>
  <c r="H122" i="11"/>
  <c r="H123" i="4"/>
  <c r="H123" i="11"/>
  <c r="I125" i="9"/>
  <c r="H126" i="8"/>
  <c r="H126" i="3"/>
  <c r="H126" i="6"/>
  <c r="H126" i="11"/>
  <c r="H127" i="5"/>
  <c r="H127" i="11"/>
  <c r="H128" i="4"/>
  <c r="H128" i="11"/>
  <c r="I126" i="10"/>
  <c r="I130" i="9"/>
  <c r="H131" i="8"/>
  <c r="H131" i="6"/>
  <c r="H133" i="7"/>
  <c r="I138" i="9"/>
  <c r="H139" i="2"/>
  <c r="H139" i="5"/>
  <c r="H140" i="3"/>
  <c r="H141" i="5"/>
  <c r="H141" i="4"/>
  <c r="I142" i="9"/>
  <c r="H143" i="8"/>
  <c r="I147" i="10"/>
  <c r="H150" i="11"/>
  <c r="I152" i="9"/>
  <c r="I154" i="9"/>
  <c r="I156" i="9"/>
  <c r="I158" i="9"/>
  <c r="I138" i="10"/>
  <c r="I140" i="10"/>
  <c r="I143" i="10"/>
  <c r="I145" i="10"/>
  <c r="I95" i="10"/>
  <c r="I94" i="10"/>
  <c r="I87" i="10"/>
  <c r="I86" i="10"/>
  <c r="I79" i="10"/>
  <c r="I78" i="10"/>
  <c r="I71" i="10"/>
  <c r="I70" i="10"/>
  <c r="I63" i="10"/>
  <c r="I62" i="10"/>
  <c r="I54" i="10"/>
  <c r="I53" i="10"/>
  <c r="I46" i="10"/>
  <c r="I45" i="10"/>
  <c r="I38" i="10"/>
  <c r="I37" i="10"/>
  <c r="I30" i="10"/>
  <c r="I29" i="10"/>
  <c r="I22" i="10"/>
  <c r="I21" i="10"/>
  <c r="I14" i="10"/>
  <c r="I13" i="10"/>
  <c r="I6" i="10"/>
  <c r="I5" i="10"/>
  <c r="I99" i="10"/>
  <c r="I107" i="10"/>
  <c r="I109" i="10"/>
  <c r="I120" i="10"/>
  <c r="I121" i="10"/>
  <c r="I124" i="10"/>
  <c r="I125" i="10"/>
  <c r="I129" i="10"/>
  <c r="I134" i="10"/>
  <c r="I96" i="10"/>
  <c r="I92" i="10"/>
  <c r="I88" i="10"/>
  <c r="I84" i="10"/>
  <c r="I80" i="10"/>
  <c r="I76" i="10"/>
  <c r="I72" i="10"/>
  <c r="I68" i="10"/>
  <c r="I64" i="10"/>
  <c r="I60" i="10"/>
  <c r="I56" i="10"/>
  <c r="I51" i="10"/>
  <c r="I47" i="10"/>
  <c r="I43" i="10"/>
  <c r="I39" i="10"/>
  <c r="I35" i="10"/>
  <c r="I31" i="10"/>
  <c r="I27" i="10"/>
  <c r="I23" i="10"/>
  <c r="I19" i="10"/>
  <c r="I15" i="10"/>
  <c r="I11" i="10"/>
  <c r="I7" i="10"/>
  <c r="I3" i="10"/>
  <c r="I98" i="10"/>
  <c r="I103" i="10"/>
  <c r="I106" i="10"/>
  <c r="I112" i="10"/>
  <c r="I114" i="10"/>
  <c r="I117" i="10"/>
  <c r="I119" i="10"/>
  <c r="I122" i="10"/>
  <c r="I128" i="10"/>
  <c r="I130" i="10"/>
  <c r="I133" i="10"/>
  <c r="I137" i="10"/>
  <c r="I139" i="10"/>
  <c r="I141" i="10"/>
  <c r="I150" i="10"/>
  <c r="I152" i="10"/>
  <c r="I154" i="10"/>
  <c r="I156" i="10"/>
  <c r="H55" i="11"/>
  <c r="H51" i="11"/>
  <c r="H47" i="11"/>
  <c r="H43" i="11"/>
  <c r="H39" i="11"/>
  <c r="H35" i="11"/>
  <c r="H31" i="11"/>
  <c r="H27" i="11"/>
  <c r="H23" i="11"/>
  <c r="H19" i="11"/>
  <c r="H15" i="11"/>
  <c r="H11" i="11"/>
  <c r="H7" i="11"/>
  <c r="H3" i="11"/>
  <c r="H101" i="11"/>
  <c r="H108" i="11"/>
  <c r="H110" i="11"/>
  <c r="H116" i="11"/>
  <c r="H120" i="11"/>
  <c r="H125" i="11"/>
  <c r="H132" i="11"/>
  <c r="H134" i="11"/>
  <c r="H143" i="11"/>
  <c r="H149" i="11"/>
  <c r="H98" i="11"/>
  <c r="H94" i="11"/>
  <c r="H90" i="11"/>
  <c r="H86" i="11"/>
  <c r="H82" i="11"/>
  <c r="H78" i="11"/>
  <c r="H74" i="11"/>
  <c r="H70" i="11"/>
  <c r="H66" i="11"/>
  <c r="H62" i="11"/>
  <c r="H58" i="11"/>
  <c r="H153" i="11"/>
  <c r="H155" i="11"/>
  <c r="H157" i="11"/>
  <c r="H159" i="11"/>
  <c r="H152" i="11"/>
  <c r="H154" i="11"/>
  <c r="H156" i="11"/>
  <c r="H158" i="11"/>
  <c r="H96" i="4"/>
  <c r="H92" i="4"/>
  <c r="H88" i="4"/>
  <c r="H84" i="4"/>
  <c r="H80" i="4"/>
  <c r="H76" i="4"/>
  <c r="H72" i="4"/>
  <c r="H65" i="4"/>
  <c r="H61" i="4"/>
  <c r="H56" i="4"/>
  <c r="H52" i="4"/>
  <c r="H48" i="4"/>
  <c r="H44" i="4"/>
  <c r="H40" i="4"/>
  <c r="H36" i="4"/>
  <c r="H32" i="4"/>
  <c r="H28" i="4"/>
  <c r="H24" i="4"/>
  <c r="H20" i="4"/>
  <c r="H16" i="4"/>
  <c r="H12" i="4"/>
  <c r="H8" i="4"/>
  <c r="H4" i="4"/>
  <c r="H105" i="4"/>
  <c r="H109" i="4"/>
  <c r="H111" i="4"/>
  <c r="H114" i="4"/>
  <c r="H119" i="4"/>
  <c r="H122" i="4"/>
  <c r="H127" i="4"/>
  <c r="H132" i="4"/>
  <c r="H136" i="4"/>
  <c r="H140" i="4"/>
  <c r="H144" i="4"/>
  <c r="H146" i="4"/>
  <c r="H159" i="4"/>
  <c r="H152" i="4"/>
  <c r="H154" i="4"/>
  <c r="H156" i="4"/>
  <c r="H158" i="4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100" i="5"/>
  <c r="H102" i="5"/>
  <c r="H105" i="5"/>
  <c r="H110" i="5"/>
  <c r="H113" i="5"/>
  <c r="H115" i="5"/>
  <c r="H121" i="5"/>
  <c r="H124" i="5"/>
  <c r="H126" i="5"/>
  <c r="H128" i="5"/>
  <c r="H132" i="5"/>
  <c r="H134" i="5"/>
  <c r="H136" i="5"/>
  <c r="H140" i="5"/>
  <c r="H142" i="5"/>
  <c r="H145" i="5"/>
  <c r="H150" i="5"/>
  <c r="H151" i="5"/>
  <c r="H153" i="5"/>
  <c r="H155" i="5"/>
  <c r="H157" i="5"/>
  <c r="H159" i="5"/>
  <c r="H98" i="5"/>
  <c r="H94" i="5"/>
  <c r="H90" i="5"/>
  <c r="H86" i="5"/>
  <c r="H82" i="5"/>
  <c r="H78" i="5"/>
  <c r="H74" i="5"/>
  <c r="H70" i="5"/>
  <c r="H66" i="5"/>
  <c r="H62" i="5"/>
  <c r="H58" i="5"/>
  <c r="H152" i="5"/>
  <c r="H154" i="5"/>
  <c r="H156" i="5"/>
  <c r="H158" i="5"/>
  <c r="H101" i="7"/>
  <c r="H98" i="7"/>
  <c r="H95" i="7"/>
  <c r="H93" i="7"/>
  <c r="H57" i="7"/>
  <c r="H54" i="7"/>
  <c r="H52" i="7"/>
  <c r="H49" i="7"/>
  <c r="H46" i="7"/>
  <c r="H44" i="7"/>
  <c r="H41" i="7"/>
  <c r="H38" i="7"/>
  <c r="H36" i="7"/>
  <c r="H32" i="7"/>
  <c r="H29" i="7"/>
  <c r="H26" i="7"/>
  <c r="H24" i="7"/>
  <c r="H21" i="7"/>
  <c r="H18" i="7"/>
  <c r="H16" i="7"/>
  <c r="H12" i="7"/>
  <c r="H10" i="7"/>
  <c r="H4" i="7"/>
  <c r="H104" i="7"/>
  <c r="H106" i="7"/>
  <c r="H110" i="7"/>
  <c r="H112" i="7"/>
  <c r="H115" i="7"/>
  <c r="H119" i="7"/>
  <c r="H124" i="7"/>
  <c r="H130" i="7"/>
  <c r="H132" i="7"/>
  <c r="H137" i="7"/>
  <c r="H144" i="7"/>
  <c r="H154" i="7"/>
  <c r="H156" i="7"/>
  <c r="H158" i="7"/>
  <c r="H160" i="7"/>
  <c r="H55" i="6"/>
  <c r="H51" i="6"/>
  <c r="H47" i="6"/>
  <c r="H43" i="6"/>
  <c r="H39" i="6"/>
  <c r="H35" i="6"/>
  <c r="H31" i="6"/>
  <c r="H27" i="6"/>
  <c r="H23" i="6"/>
  <c r="H19" i="6"/>
  <c r="H15" i="6"/>
  <c r="H11" i="6"/>
  <c r="H7" i="6"/>
  <c r="H103" i="6"/>
  <c r="H116" i="6"/>
  <c r="H118" i="6"/>
  <c r="H120" i="6"/>
  <c r="H125" i="6"/>
  <c r="H129" i="6"/>
  <c r="H141" i="6"/>
  <c r="H148" i="6"/>
  <c r="H98" i="6"/>
  <c r="H94" i="6"/>
  <c r="H90" i="6"/>
  <c r="H86" i="6"/>
  <c r="H82" i="6"/>
  <c r="H78" i="6"/>
  <c r="H74" i="6"/>
  <c r="H70" i="6"/>
  <c r="H66" i="6"/>
  <c r="H62" i="6"/>
  <c r="H58" i="6"/>
  <c r="H159" i="6"/>
  <c r="H96" i="3"/>
  <c r="H94" i="3"/>
  <c r="H90" i="3"/>
  <c r="H86" i="3"/>
  <c r="H82" i="3"/>
  <c r="H78" i="3"/>
  <c r="H74" i="3"/>
  <c r="H70" i="3"/>
  <c r="H66" i="3"/>
  <c r="H62" i="3"/>
  <c r="H58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H100" i="3"/>
  <c r="H102" i="3"/>
  <c r="H104" i="3"/>
  <c r="H109" i="3"/>
  <c r="H119" i="3"/>
  <c r="H123" i="3"/>
  <c r="H125" i="3"/>
  <c r="H127" i="3"/>
  <c r="H129" i="3"/>
  <c r="H131" i="3"/>
  <c r="H133" i="3"/>
  <c r="H139" i="3"/>
  <c r="H145" i="3"/>
  <c r="H148" i="3"/>
  <c r="H151" i="3"/>
  <c r="H153" i="3"/>
  <c r="H155" i="3"/>
  <c r="H157" i="3"/>
  <c r="H159" i="3"/>
  <c r="H152" i="3"/>
  <c r="H154" i="3"/>
  <c r="H156" i="3"/>
  <c r="H158" i="3"/>
  <c r="H99" i="2"/>
  <c r="H98" i="2"/>
  <c r="H85" i="2"/>
  <c r="H83" i="2"/>
  <c r="H82" i="2"/>
  <c r="H65" i="2"/>
  <c r="H64" i="2"/>
  <c r="H63" i="2"/>
  <c r="H62" i="2"/>
  <c r="H61" i="2"/>
  <c r="H60" i="2"/>
  <c r="H59" i="2"/>
  <c r="H58" i="2"/>
  <c r="H17" i="2"/>
  <c r="H15" i="2"/>
  <c r="H14" i="2"/>
  <c r="H119" i="2"/>
  <c r="H122" i="2"/>
  <c r="H123" i="2"/>
  <c r="H108" i="2"/>
  <c r="H109" i="2"/>
  <c r="H95" i="2"/>
  <c r="H94" i="2"/>
  <c r="H87" i="2"/>
  <c r="H86" i="2"/>
  <c r="H79" i="2"/>
  <c r="H78" i="2"/>
  <c r="H68" i="2"/>
  <c r="H67" i="2"/>
  <c r="H66" i="2"/>
  <c r="H56" i="2"/>
  <c r="H55" i="2"/>
  <c r="H54" i="2"/>
  <c r="H53" i="2"/>
  <c r="H52" i="2"/>
  <c r="H51" i="2"/>
  <c r="H49" i="2"/>
  <c r="H48" i="2"/>
  <c r="H47" i="2"/>
  <c r="H45" i="2"/>
  <c r="H44" i="2"/>
  <c r="H19" i="2"/>
  <c r="H18" i="2"/>
  <c r="H11" i="2"/>
  <c r="H10" i="2"/>
  <c r="H3" i="2"/>
  <c r="H107" i="2"/>
  <c r="H111" i="2"/>
  <c r="H112" i="2"/>
  <c r="H121" i="2"/>
  <c r="H126" i="2"/>
  <c r="H127" i="2"/>
  <c r="H131" i="2"/>
  <c r="H137" i="2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H50" i="2"/>
  <c r="H46" i="2"/>
  <c r="H42" i="2"/>
  <c r="H106" i="2"/>
  <c r="H110" i="2"/>
  <c r="H114" i="2"/>
  <c r="H118" i="2"/>
  <c r="H120" i="2"/>
  <c r="H125" i="2"/>
  <c r="H129" i="2"/>
  <c r="H136" i="2"/>
  <c r="H141" i="2"/>
  <c r="H144" i="2"/>
  <c r="H146" i="2"/>
  <c r="H150" i="2"/>
  <c r="H151" i="2"/>
  <c r="H153" i="2"/>
  <c r="H155" i="2"/>
  <c r="H157" i="2"/>
  <c r="H159" i="2"/>
  <c r="A3" i="4"/>
  <c r="H96" i="2"/>
  <c r="H92" i="2"/>
  <c r="H88" i="2"/>
  <c r="H84" i="2"/>
  <c r="H80" i="2"/>
  <c r="H76" i="2"/>
  <c r="H20" i="2"/>
  <c r="H16" i="2"/>
  <c r="H12" i="2"/>
  <c r="H8" i="2"/>
  <c r="H4" i="2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4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H152" i="2"/>
  <c r="H154" i="2"/>
  <c r="H156" i="2"/>
  <c r="H158" i="2"/>
  <c r="H98" i="8"/>
  <c r="H94" i="8"/>
  <c r="H90" i="8"/>
  <c r="H86" i="8"/>
  <c r="H82" i="8"/>
  <c r="H78" i="8"/>
  <c r="H74" i="8"/>
  <c r="H70" i="8"/>
  <c r="H66" i="8"/>
  <c r="H62" i="8"/>
  <c r="H58" i="8"/>
  <c r="H53" i="8"/>
  <c r="H49" i="8"/>
  <c r="H45" i="8"/>
  <c r="H41" i="8"/>
  <c r="H37" i="8"/>
  <c r="H33" i="8"/>
  <c r="H29" i="8"/>
  <c r="H25" i="8"/>
  <c r="H21" i="8"/>
  <c r="H17" i="8"/>
  <c r="H13" i="8"/>
  <c r="H9" i="8"/>
  <c r="H105" i="8"/>
  <c r="H107" i="8"/>
  <c r="H112" i="8"/>
  <c r="H114" i="8"/>
  <c r="H116" i="8"/>
  <c r="H118" i="8"/>
  <c r="H121" i="8"/>
  <c r="H139" i="8"/>
  <c r="H142" i="8"/>
  <c r="H145" i="8"/>
  <c r="H148" i="8"/>
  <c r="H151" i="8"/>
  <c r="H153" i="8"/>
  <c r="H155" i="8"/>
  <c r="H157" i="8"/>
  <c r="H159" i="8"/>
  <c r="H152" i="8"/>
  <c r="H154" i="8"/>
  <c r="H156" i="8"/>
  <c r="H158" i="8"/>
  <c r="K122" i="12"/>
  <c r="K139" i="12"/>
  <c r="N123" i="12"/>
  <c r="N125" i="12"/>
  <c r="N127" i="12"/>
  <c r="N129" i="12"/>
  <c r="N131" i="12"/>
  <c r="N133" i="12"/>
  <c r="N135" i="12"/>
  <c r="N137" i="12"/>
  <c r="N139" i="12"/>
  <c r="J151" i="12"/>
  <c r="K152" i="12"/>
  <c r="N153" i="12"/>
  <c r="J154" i="12"/>
  <c r="J158" i="12"/>
  <c r="J67" i="12"/>
  <c r="K98" i="12"/>
  <c r="K92" i="12"/>
  <c r="K89" i="12"/>
  <c r="J55" i="12"/>
  <c r="P48" i="12"/>
  <c r="R48" i="12"/>
  <c r="J32" i="12"/>
  <c r="P11" i="12"/>
  <c r="R11" i="12"/>
  <c r="P9" i="12"/>
  <c r="R9" i="12"/>
  <c r="O7" i="12"/>
  <c r="Q7" i="12"/>
  <c r="J40" i="12"/>
  <c r="J48" i="12"/>
  <c r="J89" i="12"/>
  <c r="J92" i="12"/>
  <c r="R17" i="12"/>
  <c r="R19" i="12"/>
  <c r="R21" i="12"/>
  <c r="J61" i="12"/>
  <c r="K91" i="12"/>
  <c r="K88" i="12"/>
  <c r="J87" i="12"/>
  <c r="K85" i="12"/>
  <c r="J68" i="12"/>
  <c r="J66" i="12"/>
  <c r="K64" i="12"/>
  <c r="J63" i="12"/>
  <c r="P62" i="12"/>
  <c r="R62" i="12"/>
  <c r="K62" i="12"/>
  <c r="J51" i="12"/>
  <c r="P43" i="12"/>
  <c r="R43" i="12"/>
  <c r="O38" i="12"/>
  <c r="Q39" i="12"/>
  <c r="J36" i="12"/>
  <c r="J35" i="12"/>
  <c r="J34" i="12"/>
  <c r="J33" i="12"/>
  <c r="O32" i="12"/>
  <c r="J31" i="12"/>
  <c r="J17" i="12"/>
  <c r="J16" i="12"/>
  <c r="J15" i="12"/>
  <c r="J11" i="12"/>
  <c r="J5" i="12"/>
  <c r="K143" i="12"/>
  <c r="N144" i="12"/>
  <c r="R63" i="12"/>
  <c r="K112" i="12"/>
  <c r="K116" i="12"/>
  <c r="J65" i="12"/>
  <c r="R47" i="12"/>
  <c r="R46" i="12"/>
  <c r="Q26" i="12"/>
  <c r="K136" i="12"/>
  <c r="J144" i="12"/>
  <c r="N146" i="12"/>
  <c r="K146" i="12"/>
  <c r="N147" i="12"/>
  <c r="J150" i="12"/>
  <c r="N156" i="12"/>
  <c r="K157" i="12"/>
  <c r="R7" i="12"/>
  <c r="R14" i="12"/>
  <c r="R16" i="12"/>
  <c r="R18" i="12"/>
  <c r="K99" i="12"/>
  <c r="K97" i="12"/>
  <c r="K95" i="12"/>
  <c r="K93" i="12"/>
  <c r="K90" i="12"/>
  <c r="K84" i="12"/>
  <c r="K83" i="12"/>
  <c r="J69" i="12"/>
  <c r="P60" i="12"/>
  <c r="R61" i="12"/>
  <c r="R58" i="12"/>
  <c r="O56" i="12"/>
  <c r="P52" i="12"/>
  <c r="R52" i="12"/>
  <c r="O51" i="12"/>
  <c r="Q52" i="12"/>
  <c r="O48" i="12"/>
  <c r="Q49" i="12"/>
  <c r="J47" i="12"/>
  <c r="J39" i="12"/>
  <c r="P38" i="12"/>
  <c r="P37" i="12"/>
  <c r="R37" i="12"/>
  <c r="J37" i="12"/>
  <c r="J27" i="12"/>
  <c r="J25" i="12"/>
  <c r="J24" i="12"/>
  <c r="O23" i="12"/>
  <c r="Q23" i="12"/>
  <c r="J20" i="12"/>
  <c r="J19" i="12"/>
  <c r="J18" i="12"/>
  <c r="J13" i="12"/>
  <c r="J9" i="12"/>
  <c r="N150" i="12"/>
  <c r="Q40" i="12"/>
  <c r="Q41" i="12"/>
  <c r="Q28" i="12"/>
  <c r="Q29" i="12"/>
  <c r="Q55" i="12"/>
  <c r="N148" i="12"/>
  <c r="N154" i="12"/>
  <c r="K155" i="12"/>
  <c r="K158" i="12"/>
  <c r="K86" i="12"/>
  <c r="K76" i="12"/>
  <c r="J98" i="12"/>
  <c r="J93" i="12"/>
  <c r="J97" i="12"/>
  <c r="J62" i="12"/>
  <c r="J73" i="12"/>
  <c r="R13" i="12"/>
  <c r="R15" i="12"/>
  <c r="R20" i="12"/>
  <c r="P33" i="12"/>
  <c r="R33" i="12"/>
  <c r="P35" i="12"/>
  <c r="R35" i="12"/>
  <c r="K65" i="12"/>
  <c r="K69" i="12"/>
  <c r="L71" i="12"/>
  <c r="K77" i="12"/>
  <c r="K96" i="12"/>
  <c r="J52" i="12"/>
  <c r="J83" i="12"/>
  <c r="K94" i="12"/>
  <c r="J70" i="12"/>
  <c r="K66" i="12"/>
  <c r="J64" i="12"/>
  <c r="J60" i="12"/>
  <c r="P53" i="12"/>
  <c r="R53" i="12"/>
  <c r="P49" i="12"/>
  <c r="O47" i="12"/>
  <c r="Q47" i="12"/>
  <c r="J46" i="12"/>
  <c r="J45" i="12"/>
  <c r="Q44" i="12"/>
  <c r="P41" i="12"/>
  <c r="O35" i="12"/>
  <c r="Q35" i="12"/>
  <c r="O33" i="12"/>
  <c r="O31" i="12"/>
  <c r="Q31" i="12"/>
  <c r="P31" i="12"/>
  <c r="P29" i="12"/>
  <c r="P27" i="12"/>
  <c r="R27" i="12"/>
  <c r="J26" i="12"/>
  <c r="P25" i="12"/>
  <c r="R25" i="12"/>
  <c r="P23" i="12"/>
  <c r="R24" i="12"/>
  <c r="O20" i="12"/>
  <c r="O18" i="12"/>
  <c r="Q18" i="12"/>
  <c r="O16" i="12"/>
  <c r="Q17" i="12"/>
  <c r="O15" i="12"/>
  <c r="Q15" i="12"/>
  <c r="J14" i="12"/>
  <c r="O13" i="12"/>
  <c r="Q13" i="12"/>
  <c r="J12" i="12"/>
  <c r="O11" i="12"/>
  <c r="Q11" i="12"/>
  <c r="J10" i="12"/>
  <c r="O9" i="12"/>
  <c r="Q9" i="12"/>
  <c r="J8" i="12"/>
  <c r="J7" i="12"/>
  <c r="J6" i="12"/>
  <c r="K105" i="12"/>
  <c r="K114" i="12"/>
  <c r="K119" i="12"/>
  <c r="K124" i="12"/>
  <c r="K130" i="12"/>
  <c r="K134" i="12"/>
  <c r="J135" i="12"/>
  <c r="N122" i="12"/>
  <c r="N124" i="12"/>
  <c r="N126" i="12"/>
  <c r="N128" i="12"/>
  <c r="N130" i="12"/>
  <c r="N132" i="12"/>
  <c r="N134" i="12"/>
  <c r="N136" i="12"/>
  <c r="N138" i="12"/>
  <c r="N140" i="12"/>
  <c r="N143" i="12"/>
  <c r="K145" i="12"/>
  <c r="K147" i="12"/>
  <c r="K148" i="12"/>
  <c r="K151" i="12"/>
  <c r="N152" i="12"/>
  <c r="K154" i="12"/>
  <c r="K156" i="12"/>
  <c r="J157" i="12"/>
  <c r="N158" i="12"/>
  <c r="K81" i="12"/>
  <c r="K82" i="12"/>
  <c r="O50" i="12"/>
  <c r="Q50" i="12"/>
  <c r="J50" i="12"/>
  <c r="J59" i="12"/>
  <c r="P59" i="12"/>
  <c r="R59" i="12"/>
  <c r="L57" i="12"/>
  <c r="J58" i="12"/>
  <c r="O59" i="12"/>
  <c r="Q59" i="12"/>
  <c r="R22" i="12"/>
  <c r="K60" i="12"/>
  <c r="O60" i="12"/>
  <c r="O61" i="12"/>
  <c r="J54" i="12"/>
  <c r="J72" i="12"/>
  <c r="K61" i="12"/>
  <c r="P56" i="12"/>
  <c r="P55" i="12"/>
  <c r="R55" i="12"/>
  <c r="Q54" i="12"/>
  <c r="J53" i="12"/>
  <c r="J49" i="12"/>
  <c r="P44" i="12"/>
  <c r="J42" i="12"/>
  <c r="J41" i="12"/>
  <c r="P39" i="12"/>
  <c r="R39" i="12"/>
  <c r="O37" i="12"/>
  <c r="Q37" i="12"/>
  <c r="J30" i="12"/>
  <c r="J29" i="12"/>
  <c r="O24" i="12"/>
  <c r="J21" i="12"/>
  <c r="K102" i="12"/>
  <c r="K108" i="12"/>
  <c r="K115" i="12"/>
  <c r="K135" i="12"/>
  <c r="K138" i="12"/>
  <c r="J138" i="12"/>
  <c r="J140" i="12"/>
  <c r="N141" i="12"/>
  <c r="N145" i="12"/>
  <c r="J152" i="12"/>
  <c r="J153" i="12"/>
  <c r="K153" i="12"/>
  <c r="J155" i="12"/>
  <c r="N155" i="12"/>
  <c r="J156" i="12"/>
  <c r="K159" i="12"/>
  <c r="J159" i="12"/>
  <c r="N159" i="12"/>
  <c r="N151" i="12"/>
  <c r="N157" i="12"/>
  <c r="L64" i="12"/>
  <c r="Q33" i="12"/>
  <c r="Q8" i="12"/>
  <c r="R12" i="12"/>
  <c r="L66" i="12"/>
  <c r="R10" i="12"/>
  <c r="L67" i="12"/>
  <c r="R28" i="12"/>
  <c r="Q56" i="12"/>
  <c r="Q57" i="12"/>
  <c r="L69" i="12"/>
  <c r="R38" i="12"/>
  <c r="Q20" i="12"/>
  <c r="Q21" i="12"/>
  <c r="R31" i="12"/>
  <c r="R32" i="12"/>
  <c r="R49" i="12"/>
  <c r="R50" i="12"/>
  <c r="R40" i="12"/>
  <c r="R56" i="12"/>
  <c r="L63" i="12"/>
  <c r="R36" i="12"/>
  <c r="R60" i="12"/>
  <c r="Q16" i="12"/>
  <c r="L68" i="12"/>
  <c r="R34" i="12"/>
  <c r="Q10" i="12"/>
  <c r="Q14" i="12"/>
  <c r="Q32" i="12"/>
  <c r="R54" i="12"/>
  <c r="Q34" i="12"/>
  <c r="Q48" i="12"/>
  <c r="L65" i="12"/>
  <c r="R26" i="12"/>
  <c r="R29" i="12"/>
  <c r="R30" i="12"/>
  <c r="R41" i="12"/>
  <c r="R42" i="12"/>
  <c r="R23" i="12"/>
  <c r="Q12" i="12"/>
  <c r="Q36" i="12"/>
  <c r="L70" i="12"/>
  <c r="Q19" i="12"/>
  <c r="R44" i="12"/>
  <c r="R45" i="12"/>
  <c r="Q61" i="12"/>
  <c r="Q62" i="12"/>
  <c r="Q24" i="12"/>
  <c r="Q25" i="12"/>
  <c r="Q60" i="12"/>
  <c r="Q38" i="12"/>
  <c r="R57" i="12"/>
  <c r="Q51" i="12"/>
  <c r="G208" i="10"/>
  <c r="I208" i="10"/>
  <c r="I281" i="9"/>
  <c r="H281" i="4"/>
  <c r="H282" i="2"/>
  <c r="H282" i="11"/>
  <c r="H282" i="8"/>
  <c r="J283" i="12"/>
  <c r="H283" i="5"/>
  <c r="I281" i="10"/>
  <c r="I283" i="9"/>
  <c r="H283" i="4"/>
  <c r="I284" i="9"/>
  <c r="I234" i="14"/>
  <c r="H285" i="4"/>
  <c r="I285" i="10"/>
  <c r="H287" i="8"/>
  <c r="H287" i="5"/>
  <c r="H287" i="4"/>
  <c r="I286" i="10"/>
  <c r="H288" i="5"/>
  <c r="H288" i="2"/>
  <c r="J289" i="12"/>
  <c r="I287" i="10"/>
  <c r="H289" i="5"/>
  <c r="I238" i="14"/>
  <c r="H290" i="8"/>
  <c r="I239" i="14"/>
  <c r="H290" i="2"/>
  <c r="J291" i="12"/>
  <c r="I289" i="10"/>
  <c r="I291" i="9"/>
  <c r="H291" i="8"/>
  <c r="H291" i="11"/>
  <c r="I292" i="9"/>
  <c r="I290" i="10"/>
  <c r="I241" i="14"/>
  <c r="H293" i="8"/>
  <c r="H293" i="4"/>
  <c r="H293" i="11"/>
  <c r="H295" i="5"/>
  <c r="I244" i="14"/>
  <c r="H295" i="11"/>
  <c r="J294" i="12"/>
  <c r="I371" i="10"/>
  <c r="H366" i="2"/>
  <c r="I358" i="10"/>
  <c r="I340" i="10"/>
  <c r="H332" i="4"/>
  <c r="H326" i="4"/>
  <c r="H324" i="4"/>
  <c r="H314" i="4"/>
  <c r="H313" i="4"/>
  <c r="H312" i="4"/>
  <c r="H309" i="4"/>
  <c r="I315" i="10"/>
  <c r="H317" i="11"/>
  <c r="H317" i="4"/>
  <c r="H317" i="2"/>
  <c r="I254" i="14"/>
  <c r="H305" i="11"/>
  <c r="H305" i="4"/>
  <c r="H305" i="2"/>
  <c r="J301" i="12"/>
  <c r="J299" i="12"/>
  <c r="H73" i="6"/>
  <c r="H69" i="6"/>
  <c r="H21" i="6"/>
  <c r="H17" i="6"/>
  <c r="H13" i="6"/>
  <c r="H104" i="6"/>
  <c r="H140" i="6"/>
  <c r="H198" i="6"/>
  <c r="H236" i="6"/>
  <c r="H123" i="6"/>
  <c r="H134" i="6"/>
  <c r="H110" i="6"/>
  <c r="H133" i="6"/>
  <c r="H151" i="6"/>
  <c r="H160" i="6"/>
  <c r="H68" i="6"/>
  <c r="H258" i="6"/>
  <c r="H132" i="6"/>
  <c r="H49" i="6"/>
  <c r="H45" i="6"/>
  <c r="H41" i="6"/>
  <c r="H37" i="6"/>
  <c r="H29" i="6"/>
  <c r="H107" i="6"/>
  <c r="H112" i="6"/>
  <c r="A42" i="18"/>
  <c r="I385" i="10"/>
  <c r="J391" i="12"/>
  <c r="I389" i="10"/>
  <c r="H391" i="2"/>
  <c r="I391" i="10"/>
  <c r="H393" i="2"/>
  <c r="H394" i="2"/>
  <c r="B42" i="18" l="1"/>
  <c r="B41" i="18"/>
  <c r="F65" i="18"/>
  <c r="F66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E66" i="18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A43" i="18"/>
  <c r="A41" i="18"/>
  <c r="A40" i="18"/>
  <c r="B43" i="18"/>
  <c r="H395" i="2"/>
</calcChain>
</file>

<file path=xl/sharedStrings.xml><?xml version="1.0" encoding="utf-8"?>
<sst xmlns="http://schemas.openxmlformats.org/spreadsheetml/2006/main" count="2174" uniqueCount="303">
  <si>
    <t>Japan</t>
  </si>
  <si>
    <t>Nigeria</t>
  </si>
  <si>
    <t>Taiwan</t>
  </si>
  <si>
    <t>Italy</t>
  </si>
  <si>
    <t>Unshipped Balance</t>
  </si>
  <si>
    <t>Accumulated Exports</t>
  </si>
  <si>
    <t>Total Commitments</t>
  </si>
  <si>
    <t>EXPORT SALES, China</t>
  </si>
  <si>
    <t>% change</t>
  </si>
  <si>
    <t>EXPORT SALES, Japan</t>
  </si>
  <si>
    <t>EXPORT SALES, Mexico</t>
  </si>
  <si>
    <t>EXPORT SALES, Nigeria</t>
  </si>
  <si>
    <t>EXPORT SALES, Colombia</t>
  </si>
  <si>
    <t>EXPORT SALES, Italy</t>
  </si>
  <si>
    <t>EXPORT SALES, Taiwan</t>
  </si>
  <si>
    <t>EXPORT SALES, Korea</t>
  </si>
  <si>
    <t>EXPORT SALES, Egypt</t>
  </si>
  <si>
    <t>2006/07</t>
  </si>
  <si>
    <t>EXPORT SALES, Philippines</t>
  </si>
  <si>
    <t>Venezuela</t>
  </si>
  <si>
    <t>IRAQ 06/07</t>
  </si>
  <si>
    <t>??? Why the change last year?</t>
  </si>
  <si>
    <t>??? Good question -- may not have actually shipped, some was put back into unshipped balance - very strange?</t>
  </si>
  <si>
    <t>(Canceled sale?)</t>
  </si>
  <si>
    <t>-</t>
  </si>
  <si>
    <t>--------</t>
  </si>
  <si>
    <t>:</t>
  </si>
  <si>
    <t>1000 METRIC TONS</t>
  </si>
  <si>
    <t>Yemen</t>
  </si>
  <si>
    <t>JAPAN</t>
  </si>
  <si>
    <t>EGYPT</t>
  </si>
  <si>
    <t>NIGERIA</t>
  </si>
  <si>
    <t>this year</t>
  </si>
  <si>
    <t>last year</t>
  </si>
  <si>
    <t>Algeria</t>
  </si>
  <si>
    <t>---------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</si>
  <si>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300,000 mt</t>
    </r>
    <r>
      <rPr>
        <sz val="8"/>
        <rFont val="Times New Roman"/>
        <family val="1"/>
      </rPr>
      <t xml:space="preserve"> on 05/07 to Iraq for 2008/09.</t>
    </r>
  </si>
  <si>
    <t>--</t>
  </si>
  <si>
    <t>-----</t>
  </si>
  <si>
    <t>Indonesia</t>
  </si>
  <si>
    <t>Mexico</t>
  </si>
  <si>
    <r>
      <t>4</t>
    </r>
    <r>
      <rPr>
        <sz val="8"/>
        <rFont val="Times New Roman"/>
        <family val="1"/>
      </rPr>
      <t xml:space="preserve">Not Included, FAS Press Release:  </t>
    </r>
    <r>
      <rPr>
        <b/>
        <sz val="8"/>
        <rFont val="Times New Roman"/>
        <family val="1"/>
      </rPr>
      <t>100,000 mt</t>
    </r>
    <r>
      <rPr>
        <sz val="8"/>
        <rFont val="Times New Roman"/>
        <family val="1"/>
      </rPr>
      <t xml:space="preserve">  Nigeria on 6/11 for 2008/09.</t>
    </r>
  </si>
  <si>
    <t>BELGIUM</t>
  </si>
  <si>
    <t>FINLAND</t>
  </si>
  <si>
    <t>GERMANY</t>
  </si>
  <si>
    <t>ITALY</t>
  </si>
  <si>
    <t>NETHLDS</t>
  </si>
  <si>
    <t>PORTUGL</t>
  </si>
  <si>
    <t>SPAIN</t>
  </si>
  <si>
    <t>U KING</t>
  </si>
  <si>
    <t>SWITZLD</t>
  </si>
  <si>
    <t>TURKEY</t>
  </si>
  <si>
    <t>TAIWAN</t>
  </si>
  <si>
    <t>CHINA</t>
  </si>
  <si>
    <t>HG KONG</t>
  </si>
  <si>
    <t>INDNSIA</t>
  </si>
  <si>
    <t>IRAN</t>
  </si>
  <si>
    <t>ISRAEL</t>
  </si>
  <si>
    <t>KOR REP</t>
  </si>
  <si>
    <t>MALAYSA</t>
  </si>
  <si>
    <t>PHIL</t>
  </si>
  <si>
    <t>S ARAB</t>
  </si>
  <si>
    <t>SINGAPR</t>
  </si>
  <si>
    <t>THAILND</t>
  </si>
  <si>
    <t>U AR EM</t>
  </si>
  <si>
    <t>VIETNAM</t>
  </si>
  <si>
    <t>MOROCCO</t>
  </si>
  <si>
    <t>TUNISIA</t>
  </si>
  <si>
    <t>BARBADO</t>
  </si>
  <si>
    <t>C RICA</t>
  </si>
  <si>
    <t>CANADA</t>
  </si>
  <si>
    <t>COLOMB</t>
  </si>
  <si>
    <t>CUBA</t>
  </si>
  <si>
    <t>GUATMAL</t>
  </si>
  <si>
    <t>MEXICO</t>
  </si>
  <si>
    <t>PANAMA</t>
  </si>
  <si>
    <t>PERU</t>
  </si>
  <si>
    <t>VENEZ</t>
  </si>
  <si>
    <t>MALTA</t>
  </si>
  <si>
    <t>SWEDEN</t>
  </si>
  <si>
    <t>NORWAY</t>
  </si>
  <si>
    <t>BAHRAIN</t>
  </si>
  <si>
    <t>IRAQ</t>
  </si>
  <si>
    <t>S LANKA</t>
  </si>
  <si>
    <t>YEMEN</t>
  </si>
  <si>
    <t>ALGERIA</t>
  </si>
  <si>
    <t>CAMROON</t>
  </si>
  <si>
    <t>CO BRAZ</t>
  </si>
  <si>
    <t>CONGO DR</t>
  </si>
  <si>
    <t>ETHIOP</t>
  </si>
  <si>
    <t>GHANA</t>
  </si>
  <si>
    <t>KENYA</t>
  </si>
  <si>
    <t>LIBERIA</t>
  </si>
  <si>
    <t>MAURIT</t>
  </si>
  <si>
    <t>MOZAMBQ</t>
  </si>
  <si>
    <t>REP SAF</t>
  </si>
  <si>
    <t>SIER LN</t>
  </si>
  <si>
    <t>BELIZE</t>
  </si>
  <si>
    <t>BRAZIL</t>
  </si>
  <si>
    <t>CHILE</t>
  </si>
  <si>
    <t>DOM REP</t>
  </si>
  <si>
    <t>ECUADOR</t>
  </si>
  <si>
    <t>GUYANA</t>
  </si>
  <si>
    <t>HAITI</t>
  </si>
  <si>
    <t>HONDURA</t>
  </si>
  <si>
    <t>JAMAICA</t>
  </si>
  <si>
    <t>LW WW I</t>
  </si>
  <si>
    <t>NICARAG</t>
  </si>
  <si>
    <t>SALVADR</t>
  </si>
  <si>
    <t>SURINAM</t>
  </si>
  <si>
    <t>TRINID</t>
  </si>
  <si>
    <t>Colombia</t>
  </si>
  <si>
    <t>CU</t>
  </si>
  <si>
    <t>Philippines</t>
  </si>
  <si>
    <t>US</t>
  </si>
  <si>
    <t>C IVOIRE</t>
  </si>
  <si>
    <t>NAMIBIA</t>
  </si>
  <si>
    <t>EXPORTS</t>
  </si>
  <si>
    <t>TOTAL AC</t>
  </si>
  <si>
    <t>MULATED E</t>
  </si>
  <si>
    <t>XPORTS</t>
  </si>
  <si>
    <t>OF ALL</t>
  </si>
  <si>
    <t>WHEAT</t>
  </si>
  <si>
    <t>BY COUNT</t>
  </si>
  <si>
    <t>RY</t>
  </si>
  <si>
    <t>RANKED</t>
  </si>
  <si>
    <t>IN DES</t>
  </si>
  <si>
    <t>CENDING</t>
  </si>
  <si>
    <t>ORDER</t>
  </si>
  <si>
    <t>FOR MARK</t>
  </si>
  <si>
    <t>ETING</t>
  </si>
  <si>
    <t>YEAR 200</t>
  </si>
  <si>
    <t>COMPAR</t>
  </si>
  <si>
    <t>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</si>
  <si>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</si>
  <si>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</si>
  <si>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</si>
  <si>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</si>
  <si>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</si>
  <si>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</si>
  <si>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</si>
  <si>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</si>
  <si>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2009/</t>
  </si>
  <si>
    <t>2008/</t>
  </si>
  <si>
    <t>2007/</t>
  </si>
  <si>
    <t>2006/</t>
  </si>
  <si>
    <t>2005/</t>
  </si>
  <si>
    <t>COUNTRY</t>
  </si>
  <si>
    <t>RANK</t>
  </si>
  <si>
    <t>------</t>
  </si>
  <si>
    <t>BANGLADH</t>
  </si>
  <si>
    <t>PAKISTN</t>
  </si>
  <si>
    <t>SUDAN</t>
  </si>
  <si>
    <t>TNZANIA</t>
  </si>
  <si>
    <t>SENEGAL</t>
  </si>
  <si>
    <t>MALAWI</t>
  </si>
  <si>
    <t>GUIN-CON</t>
  </si>
  <si>
    <t>MALI</t>
  </si>
  <si>
    <t>NO KOR</t>
  </si>
  <si>
    <t>DENMARK</t>
  </si>
  <si>
    <t>ICELAND</t>
  </si>
  <si>
    <t>JORDAN</t>
  </si>
  <si>
    <t>N ZEAL</t>
  </si>
  <si>
    <t>OMAN</t>
  </si>
  <si>
    <t>BOLIVIA</t>
  </si>
  <si>
    <t>MADAGASR</t>
  </si>
  <si>
    <t>LEBANON</t>
  </si>
  <si>
    <t>BOSNIA</t>
  </si>
  <si>
    <t>CAMBODIA</t>
  </si>
  <si>
    <t>BURMA</t>
  </si>
  <si>
    <t>UKRAINE</t>
  </si>
  <si>
    <t>TOTAL</t>
  </si>
  <si>
    <t>Peru</t>
  </si>
  <si>
    <t>VENEZUELA</t>
  </si>
  <si>
    <t>SYRIA</t>
  </si>
  <si>
    <t>LIBYA</t>
  </si>
  <si>
    <t>*</t>
  </si>
  <si>
    <t>URUGUAY</t>
  </si>
  <si>
    <t>ACCUM</t>
  </si>
  <si>
    <t>ULATED EX</t>
  </si>
  <si>
    <t>PORTS</t>
  </si>
  <si>
    <t>OF ALL W</t>
  </si>
  <si>
    <t>HEAT</t>
  </si>
  <si>
    <t>BY COUNTR</t>
  </si>
  <si>
    <t>Y</t>
  </si>
  <si>
    <t>IN DE</t>
  </si>
  <si>
    <t>SCENDING</t>
  </si>
  <si>
    <t>YEAR 201</t>
  </si>
  <si>
    <t>0/2011</t>
  </si>
  <si>
    <t>COMPA</t>
  </si>
  <si>
    <t>RED WITH</t>
  </si>
  <si>
    <t>2010/</t>
  </si>
  <si>
    <t>Korea</t>
  </si>
  <si>
    <t>na</t>
  </si>
  <si>
    <t>n/a</t>
  </si>
  <si>
    <t xml:space="preserve">this year </t>
  </si>
  <si>
    <t>TOTAL A</t>
  </si>
  <si>
    <t>CC</t>
  </si>
  <si>
    <t>UMULATED</t>
  </si>
  <si>
    <t>EXPOR</t>
  </si>
  <si>
    <t>TS OF ALL</t>
  </si>
  <si>
    <t>WHEA</t>
  </si>
  <si>
    <t>T BY COUN</t>
  </si>
  <si>
    <t>TRY</t>
  </si>
  <si>
    <t>2011/</t>
  </si>
  <si>
    <t>Phil</t>
  </si>
  <si>
    <t>Egypt</t>
  </si>
  <si>
    <t>Indo</t>
  </si>
  <si>
    <t>Venez</t>
  </si>
  <si>
    <t>Iraq</t>
  </si>
  <si>
    <t>Procedure:</t>
  </si>
  <si>
    <t>http://www.fas.usda.gov/export-sales/myrkmay.htm</t>
  </si>
  <si>
    <t>1. After May 31, go to get Final Marketing Year Rankings report:</t>
  </si>
  <si>
    <t>2.  Select All Wheat</t>
  </si>
  <si>
    <t>Copy and paste into a word document, font 8, then copy into the EXCEL spreadsheet&gt;&gt;&gt;&gt;</t>
  </si>
  <si>
    <t>the top 10 changes year-year</t>
  </si>
  <si>
    <t xml:space="preserve">If there's an unusual country in the top 10, and is likely not to be there the following year (Spain was in 2011/12), skip to the next one. </t>
  </si>
  <si>
    <t>2.  Change the GTR Table line up and cell references.</t>
  </si>
  <si>
    <t>3.  Update all the tabs, since countries do tend to stay in the top 10 and even if they fall to #11, may be back</t>
  </si>
  <si>
    <t>YR AGO</t>
  </si>
  <si>
    <t>unshpd/cmts</t>
  </si>
  <si>
    <t>Cumulative Weekly Inspections:</t>
  </si>
  <si>
    <t xml:space="preserve">Weeks </t>
  </si>
  <si>
    <t>Export Sales</t>
  </si>
  <si>
    <t>Inspections (Mill Bushels)</t>
  </si>
  <si>
    <t>Inspections (Metric Tons)</t>
  </si>
  <si>
    <t>Remaining</t>
  </si>
  <si>
    <t>Date</t>
  </si>
  <si>
    <t>Shipped</t>
  </si>
  <si>
    <t>Unshipped</t>
  </si>
  <si>
    <t>Miss Gulf</t>
  </si>
  <si>
    <t>3-yr Ave</t>
  </si>
  <si>
    <t>PNW</t>
  </si>
  <si>
    <t>3-Yr Ave</t>
  </si>
  <si>
    <t>Total</t>
  </si>
  <si>
    <t>2012-13 Wheat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</si>
  <si>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</si>
  <si>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</si>
  <si>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</si>
  <si>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</si>
  <si>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.</t>
  </si>
  <si>
    <t>% ttl sls 3-yr</t>
  </si>
  <si>
    <t>%ttl shp 3</t>
  </si>
  <si>
    <t>%ttl shp ly</t>
  </si>
  <si>
    <t>ALL WHEAT      : 03/14   5315.1    636.8   19396.6   712.7    24711.6</t>
  </si>
  <si>
    <t xml:space="preserve">               : 03/21   5373.0    522.4   19919.0   731.9    25291.9  27900 3/</t>
  </si>
  <si>
    <t xml:space="preserve">               :YR AGO   4474.5    440.9   20938.8   769.4    25413.4</t>
  </si>
  <si>
    <t xml:space="preserve">               :</t>
  </si>
  <si>
    <t>OUTSTANDING EXPORT</t>
  </si>
  <si>
    <t>S</t>
  </si>
  <si>
    <t>DESTINATION</t>
  </si>
  <si>
    <t>EUROPEAN UNION - 27</t>
  </si>
  <si>
    <t>IRELAND</t>
  </si>
  <si>
    <t>AUSTRAL</t>
  </si>
  <si>
    <t>AFRICA</t>
  </si>
  <si>
    <t>MAURITN</t>
  </si>
  <si>
    <t>WESTERN HEMISPHERE</t>
  </si>
  <si>
    <t>ARGENT</t>
  </si>
  <si>
    <t>TOTAL KNOWN</t>
  </si>
  <si>
    <t>TOTAL UNKNOWN</t>
  </si>
  <si>
    <t>TOTAL KNOWN &amp; UNKNOWN</t>
  </si>
  <si>
    <t>EXPORTS FOR OWN ACCT</t>
  </si>
  <si>
    <t>OPTIONAL ORIGIN</t>
  </si>
  <si>
    <t>COUNTRY,</t>
  </si>
  <si>
    <t>REGION</t>
  </si>
  <si>
    <t>TING YEAR</t>
  </si>
  <si>
    <t>CCUMULATE</t>
  </si>
  <si>
    <t>D EXPORT</t>
  </si>
  <si>
    <t>HIS WEEK:</t>
  </si>
  <si>
    <t>F W IND</t>
  </si>
  <si>
    <t>ALL WHEAT</t>
  </si>
  <si>
    <t>MARKETI</t>
  </si>
  <si>
    <t>GAMBIA</t>
  </si>
  <si>
    <t>2012/</t>
  </si>
  <si>
    <t>----------------------</t>
  </si>
  <si>
    <t>OTHER ASIA AND OCEANIA</t>
  </si>
  <si>
    <t>ALES AND</t>
  </si>
  <si>
    <t>EXPORTS BY</t>
  </si>
  <si>
    <t>-----------</t>
  </si>
  <si>
    <t>RRENT MARKE</t>
  </si>
  <si>
    <t>OUTSTAND</t>
  </si>
  <si>
    <t>ING SALES:A</t>
  </si>
  <si>
    <t>THIS WEE</t>
  </si>
  <si>
    <t>K: YR AGO:T</t>
  </si>
  <si>
    <t>Brazil</t>
  </si>
  <si>
    <t>TURK IS</t>
  </si>
  <si>
    <t>NG YEAR 06/01</t>
  </si>
  <si>
    <t>AND MARKETING</t>
  </si>
  <si>
    <t>YEAR</t>
  </si>
  <si>
    <t>-------------</t>
  </si>
  <si>
    <t>:NEXT MARKET</t>
  </si>
  <si>
    <t>ING YEAR</t>
  </si>
  <si>
    <t>S: OUTSTANDIN</t>
  </si>
  <si>
    <t>G SALES</t>
  </si>
  <si>
    <t>:SECOND YR:</t>
  </si>
  <si>
    <t>THIRD YR</t>
  </si>
  <si>
    <t>AS OF SE</t>
  </si>
  <si>
    <t>ALL WHEAT      : 09/05     6522    911.9    9844.5   361.7    16366.5</t>
  </si>
  <si>
    <t xml:space="preserve">               : 09/12   6022.0   1204.4   11048.9   406.0    17071.0  29940 3/</t>
  </si>
  <si>
    <t xml:space="preserve">               :YR AGO   4259.5    776.0    8088.5   297.2    12348.0</t>
  </si>
  <si>
    <t>PTEMBER 12,</t>
  </si>
  <si>
    <t>net sales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</si>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</sst>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0_);[Red]\(0\)"/>
    <numFmt numFmtId="166" formatCode="0.0"/>
    <numFmt numFmtId="167" formatCode="_(* #,##0.0_);_(* \(#,##0.0\);_(* &quot;-&quot;??_);_(@_)"/>
    <numFmt numFmtId="168" formatCode="mm/dd/yy;@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vertAlign val="superscript"/>
      <sz val="8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0"/>
      <color indexed="10"/>
      <name val="Times New Roman"/>
      <family val="1"/>
    </font>
    <font>
      <sz val="8"/>
      <color indexed="10"/>
      <name val="Times New Roman"/>
      <family val="1"/>
    </font>
    <font>
      <sz val="8"/>
      <name val="Courier New"/>
      <family val="3"/>
    </font>
    <font>
      <sz val="10"/>
      <name val="Arial Unicode M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  <font>
      <vertAlign val="superscript"/>
      <sz val="8"/>
      <color indexed="9"/>
      <name val="Times New Roman"/>
      <family val="1"/>
    </font>
    <font>
      <sz val="9"/>
      <name val="Courier New"/>
      <family val="3"/>
    </font>
    <font>
      <sz val="10"/>
      <name val="Arial"/>
      <family val="2"/>
    </font>
    <font>
      <sz val="10"/>
      <name val="Arial"/>
      <family val="2"/>
    </font>
    <font>
      <vertAlign val="superscript"/>
      <sz val="12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15" fontId="2" fillId="2" borderId="0" xfId="0" applyNumberFormat="1" applyFont="1" applyFill="1" applyBorder="1"/>
    <xf numFmtId="0" fontId="0" fillId="2" borderId="0" xfId="0" applyFill="1"/>
    <xf numFmtId="0" fontId="5" fillId="2" borderId="0" xfId="0" applyFont="1" applyFill="1"/>
    <xf numFmtId="0" fontId="0" fillId="0" borderId="0" xfId="0" applyAlignme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5" fillId="3" borderId="0" xfId="0" applyFont="1" applyFill="1" applyBorder="1"/>
    <xf numFmtId="0" fontId="0" fillId="0" borderId="0" xfId="3" applyNumberFormat="1" applyFont="1"/>
    <xf numFmtId="165" fontId="0" fillId="0" borderId="0" xfId="3" applyNumberFormat="1" applyFont="1"/>
    <xf numFmtId="164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0" fontId="0" fillId="0" borderId="0" xfId="0" applyFill="1" applyBorder="1"/>
    <xf numFmtId="9" fontId="5" fillId="2" borderId="0" xfId="3" applyFont="1" applyFill="1" applyBorder="1"/>
    <xf numFmtId="0" fontId="0" fillId="0" borderId="9" xfId="0" applyBorder="1"/>
    <xf numFmtId="0" fontId="0" fillId="0" borderId="0" xfId="0" applyBorder="1"/>
    <xf numFmtId="0" fontId="0" fillId="4" borderId="0" xfId="0" applyFill="1"/>
    <xf numFmtId="0" fontId="0" fillId="0" borderId="0" xfId="3" applyNumberFormat="1" applyFont="1" applyFill="1" applyBorder="1"/>
    <xf numFmtId="0" fontId="0" fillId="4" borderId="0" xfId="0" applyFill="1" applyBorder="1"/>
    <xf numFmtId="0" fontId="0" fillId="5" borderId="0" xfId="0" applyFill="1"/>
    <xf numFmtId="169" fontId="5" fillId="2" borderId="0" xfId="0" applyNumberFormat="1" applyFont="1" applyFill="1" applyBorder="1"/>
    <xf numFmtId="169" fontId="3" fillId="2" borderId="0" xfId="1" applyNumberFormat="1" applyFont="1" applyFill="1" applyBorder="1" applyAlignment="1"/>
    <xf numFmtId="0" fontId="14" fillId="0" borderId="0" xfId="0" applyFont="1"/>
    <xf numFmtId="164" fontId="14" fillId="0" borderId="0" xfId="0" applyNumberFormat="1" applyFont="1"/>
    <xf numFmtId="43" fontId="0" fillId="0" borderId="0" xfId="0" applyNumberFormat="1"/>
    <xf numFmtId="16" fontId="0" fillId="0" borderId="0" xfId="0" applyNumberFormat="1"/>
    <xf numFmtId="166" fontId="0" fillId="0" borderId="0" xfId="3" applyNumberFormat="1" applyFont="1" applyFill="1" applyBorder="1"/>
    <xf numFmtId="166" fontId="0" fillId="0" borderId="0" xfId="0" applyNumberFormat="1" applyFill="1" applyBorder="1"/>
    <xf numFmtId="0" fontId="15" fillId="0" borderId="0" xfId="0" applyFont="1"/>
    <xf numFmtId="14" fontId="0" fillId="4" borderId="0" xfId="0" applyNumberFormat="1" applyFill="1"/>
    <xf numFmtId="0" fontId="0" fillId="4" borderId="0" xfId="3" applyNumberFormat="1" applyFont="1" applyFill="1" applyBorder="1"/>
    <xf numFmtId="14" fontId="0" fillId="0" borderId="0" xfId="0" applyNumberFormat="1" applyFill="1"/>
    <xf numFmtId="166" fontId="0" fillId="0" borderId="0" xfId="0" applyNumberFormat="1" applyAlignment="1">
      <alignment horizontal="left" indent="3"/>
    </xf>
    <xf numFmtId="0" fontId="0" fillId="6" borderId="0" xfId="0" applyFill="1"/>
    <xf numFmtId="0" fontId="0" fillId="7" borderId="0" xfId="0" applyFill="1"/>
    <xf numFmtId="0" fontId="7" fillId="0" borderId="0" xfId="0" applyFont="1"/>
    <xf numFmtId="0" fontId="16" fillId="0" borderId="0" xfId="0" applyFont="1"/>
    <xf numFmtId="0" fontId="17" fillId="0" borderId="0" xfId="0" applyFont="1"/>
    <xf numFmtId="0" fontId="18" fillId="2" borderId="0" xfId="0" applyFont="1" applyFill="1"/>
    <xf numFmtId="0" fontId="18" fillId="2" borderId="0" xfId="0" applyFont="1" applyFill="1" applyBorder="1"/>
    <xf numFmtId="3" fontId="19" fillId="2" borderId="0" xfId="1" applyNumberFormat="1" applyFont="1" applyFill="1" applyBorder="1"/>
    <xf numFmtId="0" fontId="1" fillId="0" borderId="0" xfId="0" applyFont="1"/>
    <xf numFmtId="9" fontId="0" fillId="0" borderId="0" xfId="3" applyFont="1" applyBorder="1"/>
    <xf numFmtId="171" fontId="0" fillId="0" borderId="0" xfId="0" applyNumberFormat="1" applyBorder="1"/>
    <xf numFmtId="164" fontId="0" fillId="0" borderId="0" xfId="0" applyNumberFormat="1" applyBorder="1"/>
    <xf numFmtId="0" fontId="1" fillId="8" borderId="0" xfId="0" applyFont="1" applyFill="1"/>
    <xf numFmtId="14" fontId="0" fillId="8" borderId="0" xfId="0" applyNumberFormat="1" applyFill="1"/>
    <xf numFmtId="0" fontId="0" fillId="8" borderId="0" xfId="0" applyFill="1"/>
    <xf numFmtId="0" fontId="0" fillId="8" borderId="0" xfId="0" applyFill="1" applyBorder="1"/>
    <xf numFmtId="0" fontId="22" fillId="8" borderId="0" xfId="3" applyNumberFormat="1" applyFont="1" applyFill="1" applyBorder="1"/>
    <xf numFmtId="0" fontId="1" fillId="9" borderId="0" xfId="0" applyFont="1" applyFill="1"/>
    <xf numFmtId="14" fontId="0" fillId="9" borderId="0" xfId="0" applyNumberFormat="1" applyFill="1"/>
    <xf numFmtId="0" fontId="0" fillId="9" borderId="0" xfId="0" applyFill="1"/>
    <xf numFmtId="0" fontId="0" fillId="10" borderId="0" xfId="0" applyFill="1"/>
    <xf numFmtId="0" fontId="0" fillId="9" borderId="0" xfId="0" applyFill="1" applyBorder="1"/>
    <xf numFmtId="0" fontId="22" fillId="9" borderId="0" xfId="3" applyNumberFormat="1" applyFont="1" applyFill="1" applyBorder="1"/>
    <xf numFmtId="0" fontId="0" fillId="0" borderId="8" xfId="0" applyBorder="1"/>
    <xf numFmtId="0" fontId="0" fillId="0" borderId="10" xfId="0" applyBorder="1"/>
    <xf numFmtId="0" fontId="16" fillId="0" borderId="8" xfId="0" applyFont="1" applyBorder="1"/>
    <xf numFmtId="0" fontId="1" fillId="0" borderId="0" xfId="0" applyFont="1" applyFill="1"/>
    <xf numFmtId="15" fontId="0" fillId="0" borderId="0" xfId="0" applyNumberFormat="1"/>
    <xf numFmtId="17" fontId="0" fillId="0" borderId="0" xfId="0" applyNumberFormat="1"/>
    <xf numFmtId="0" fontId="5" fillId="10" borderId="0" xfId="0" applyFont="1" applyFill="1"/>
    <xf numFmtId="0" fontId="3" fillId="10" borderId="0" xfId="0" applyFont="1" applyFill="1" applyBorder="1" applyAlignment="1">
      <alignment vertical="center"/>
    </xf>
    <xf numFmtId="14" fontId="1" fillId="0" borderId="0" xfId="0" applyNumberFormat="1" applyFont="1"/>
    <xf numFmtId="0" fontId="14" fillId="0" borderId="0" xfId="0" applyFont="1" applyAlignment="1">
      <alignment vertical="center"/>
    </xf>
    <xf numFmtId="0" fontId="0" fillId="3" borderId="0" xfId="0" applyFill="1" applyBorder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" fillId="0" borderId="1" xfId="0" applyFont="1" applyBorder="1"/>
    <xf numFmtId="165" fontId="5" fillId="10" borderId="0" xfId="0" applyNumberFormat="1" applyFont="1" applyFill="1" applyBorder="1"/>
    <xf numFmtId="164" fontId="5" fillId="10" borderId="0" xfId="0" applyNumberFormat="1" applyFont="1" applyFill="1" applyBorder="1"/>
    <xf numFmtId="0" fontId="3" fillId="10" borderId="0" xfId="0" applyFont="1" applyFill="1" applyBorder="1" applyAlignment="1">
      <alignment horizontal="center" wrapText="1"/>
    </xf>
    <xf numFmtId="0" fontId="21" fillId="0" borderId="0" xfId="0" applyFont="1"/>
    <xf numFmtId="0" fontId="1" fillId="0" borderId="0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Font="1"/>
    <xf numFmtId="0" fontId="1" fillId="0" borderId="0" xfId="3" applyNumberFormat="1" applyFont="1"/>
    <xf numFmtId="0" fontId="0" fillId="0" borderId="0" xfId="0" applyFont="1" applyFill="1" applyBorder="1"/>
    <xf numFmtId="3" fontId="5" fillId="10" borderId="0" xfId="1" applyNumberFormat="1" applyFont="1" applyFill="1" applyBorder="1" applyAlignment="1">
      <alignment horizontal="right"/>
    </xf>
    <xf numFmtId="166" fontId="1" fillId="0" borderId="0" xfId="0" applyNumberFormat="1" applyFont="1" applyFill="1" applyBorder="1"/>
    <xf numFmtId="166" fontId="1" fillId="0" borderId="0" xfId="0" applyNumberFormat="1" applyFont="1"/>
    <xf numFmtId="3" fontId="0" fillId="0" borderId="0" xfId="0" applyNumberFormat="1"/>
    <xf numFmtId="0" fontId="1" fillId="0" borderId="0" xfId="0" quotePrefix="1" applyFont="1"/>
    <xf numFmtId="4" fontId="3" fillId="2" borderId="0" xfId="0" applyNumberFormat="1" applyFont="1" applyFill="1" applyBorder="1"/>
    <xf numFmtId="0" fontId="26" fillId="0" borderId="0" xfId="0" applyFont="1"/>
    <xf numFmtId="0" fontId="25" fillId="0" borderId="0" xfId="2"/>
    <xf numFmtId="0" fontId="1" fillId="0" borderId="9" xfId="0" applyFont="1" applyBorder="1" applyAlignment="1">
      <alignment wrapText="1"/>
    </xf>
    <xf numFmtId="0" fontId="1" fillId="0" borderId="9" xfId="0" applyFont="1" applyBorder="1"/>
    <xf numFmtId="0" fontId="0" fillId="11" borderId="9" xfId="0" applyFill="1" applyBorder="1" applyAlignment="1">
      <alignment wrapText="1"/>
    </xf>
    <xf numFmtId="0" fontId="0" fillId="12" borderId="9" xfId="0" applyFill="1" applyBorder="1" applyAlignment="1">
      <alignment wrapText="1"/>
    </xf>
    <xf numFmtId="37" fontId="0" fillId="0" borderId="0" xfId="0" applyNumberFormat="1"/>
    <xf numFmtId="15" fontId="26" fillId="0" borderId="0" xfId="0" applyNumberFormat="1" applyFont="1"/>
    <xf numFmtId="164" fontId="26" fillId="0" borderId="0" xfId="1" applyNumberFormat="1" applyFont="1"/>
    <xf numFmtId="164" fontId="16" fillId="8" borderId="0" xfId="1" applyNumberFormat="1" applyFont="1" applyFill="1"/>
    <xf numFmtId="15" fontId="26" fillId="8" borderId="0" xfId="0" applyNumberFormat="1" applyFont="1" applyFill="1"/>
    <xf numFmtId="164" fontId="26" fillId="8" borderId="0" xfId="1" applyNumberFormat="1" applyFont="1" applyFill="1"/>
    <xf numFmtId="164" fontId="23" fillId="8" borderId="0" xfId="1" applyNumberFormat="1" applyFont="1" applyFill="1"/>
    <xf numFmtId="37" fontId="0" fillId="8" borderId="0" xfId="0" applyNumberFormat="1" applyFill="1"/>
    <xf numFmtId="0" fontId="1" fillId="13" borderId="11" xfId="0" applyFont="1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1" fillId="11" borderId="9" xfId="0" applyFont="1" applyFill="1" applyBorder="1" applyAlignment="1">
      <alignment horizontal="center" wrapText="1"/>
    </xf>
    <xf numFmtId="0" fontId="1" fillId="12" borderId="9" xfId="0" applyFont="1" applyFill="1" applyBorder="1" applyAlignment="1">
      <alignment horizontal="center" wrapText="1"/>
    </xf>
    <xf numFmtId="0" fontId="0" fillId="10" borderId="0" xfId="0" applyFill="1" applyBorder="1" applyAlignment="1">
      <alignment wrapText="1"/>
    </xf>
    <xf numFmtId="14" fontId="1" fillId="0" borderId="0" xfId="0" applyNumberFormat="1" applyFont="1" applyBorder="1"/>
    <xf numFmtId="0" fontId="16" fillId="13" borderId="9" xfId="0" applyFont="1" applyFill="1" applyBorder="1" applyAlignment="1">
      <alignment horizontal="right" wrapText="1"/>
    </xf>
    <xf numFmtId="0" fontId="0" fillId="13" borderId="9" xfId="0" applyFill="1" applyBorder="1" applyAlignment="1">
      <alignment horizontal="right" wrapText="1"/>
    </xf>
    <xf numFmtId="0" fontId="0" fillId="11" borderId="9" xfId="0" applyFill="1" applyBorder="1" applyAlignment="1">
      <alignment horizontal="right" wrapText="1"/>
    </xf>
    <xf numFmtId="0" fontId="0" fillId="12" borderId="9" xfId="0" applyFill="1" applyBorder="1" applyAlignment="1">
      <alignment horizontal="right" wrapText="1"/>
    </xf>
    <xf numFmtId="0" fontId="16" fillId="12" borderId="9" xfId="0" applyFont="1" applyFill="1" applyBorder="1" applyAlignment="1">
      <alignment horizontal="right" wrapText="1"/>
    </xf>
    <xf numFmtId="0" fontId="1" fillId="13" borderId="12" xfId="0" applyFont="1" applyFill="1" applyBorder="1" applyAlignment="1">
      <alignment horizontal="center"/>
    </xf>
    <xf numFmtId="43" fontId="26" fillId="0" borderId="0" xfId="0" applyNumberFormat="1" applyFont="1"/>
    <xf numFmtId="43" fontId="16" fillId="8" borderId="0" xfId="1" applyNumberFormat="1" applyFont="1" applyFill="1"/>
    <xf numFmtId="164" fontId="0" fillId="8" borderId="0" xfId="0" applyNumberFormat="1" applyFill="1"/>
    <xf numFmtId="164" fontId="23" fillId="10" borderId="0" xfId="1" applyNumberFormat="1" applyFont="1" applyFill="1" applyBorder="1" applyAlignment="1">
      <alignment wrapText="1"/>
    </xf>
    <xf numFmtId="9" fontId="0" fillId="0" borderId="0" xfId="3" applyFont="1"/>
    <xf numFmtId="0" fontId="14" fillId="8" borderId="0" xfId="0" applyFont="1" applyFill="1"/>
    <xf numFmtId="0" fontId="15" fillId="8" borderId="0" xfId="0" applyFont="1" applyFill="1"/>
    <xf numFmtId="0" fontId="15" fillId="0" borderId="0" xfId="0" applyFont="1" applyFill="1" applyAlignment="1">
      <alignment vertical="center"/>
    </xf>
    <xf numFmtId="0" fontId="0" fillId="0" borderId="0" xfId="0" applyFill="1"/>
    <xf numFmtId="0" fontId="0" fillId="8" borderId="2" xfId="0" applyFill="1" applyBorder="1"/>
    <xf numFmtId="0" fontId="0" fillId="0" borderId="0" xfId="0" applyFill="1" applyAlignment="1">
      <alignment vertical="center"/>
    </xf>
    <xf numFmtId="166" fontId="0" fillId="0" borderId="0" xfId="0" applyNumberFormat="1" applyFill="1"/>
    <xf numFmtId="0" fontId="9" fillId="2" borderId="0" xfId="0" applyFont="1" applyFill="1" applyBorder="1" applyAlignment="1">
      <alignment horizontal="left" wrapText="1"/>
    </xf>
    <xf numFmtId="0" fontId="20" fillId="2" borderId="0" xfId="0" applyFont="1" applyFill="1" applyBorder="1" applyAlignment="1">
      <alignment horizontal="left" wrapText="1"/>
    </xf>
    <xf numFmtId="0" fontId="24" fillId="2" borderId="0" xfId="0" applyFont="1" applyFill="1" applyBorder="1" applyAlignment="1">
      <alignment horizontal="left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11" borderId="9" xfId="0" applyFont="1" applyFill="1" applyBorder="1" applyAlignment="1">
      <alignment horizontal="center" wrapText="1"/>
    </xf>
    <xf numFmtId="0" fontId="1" fillId="12" borderId="9" xfId="0" applyFont="1" applyFill="1" applyBorder="1" applyAlignment="1">
      <alignment horizontal="center" wrapText="1"/>
    </xf>
    <xf numFmtId="0" fontId="1" fillId="13" borderId="11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3" fillId="10" borderId="0" xfId="0" applyFont="1" applyFill="1" applyBorder="1"/>
    <xf numFmtId="0" fontId="3" fillId="10" borderId="0" xfId="0" applyFont="1" applyFill="1" applyBorder="1" applyAlignment="1">
      <alignment horizontal="right"/>
    </xf>
    <xf numFmtId="0" fontId="3" fillId="10" borderId="0" xfId="0" applyFont="1" applyFill="1" applyBorder="1" applyAlignment="1">
      <alignment horizontal="right" vertical="center"/>
    </xf>
    <xf numFmtId="0" fontId="0" fillId="10" borderId="0" xfId="0" applyFill="1" applyBorder="1"/>
    <xf numFmtId="0" fontId="4" fillId="10" borderId="0" xfId="0" quotePrefix="1" applyFont="1" applyFill="1" applyBorder="1" applyAlignment="1">
      <alignment horizontal="center"/>
    </xf>
    <xf numFmtId="165" fontId="5" fillId="10" borderId="0" xfId="0" applyNumberFormat="1" applyFont="1" applyFill="1" applyBorder="1" applyAlignment="1">
      <alignment horizontal="right"/>
    </xf>
    <xf numFmtId="164" fontId="2" fillId="10" borderId="0" xfId="0" applyNumberFormat="1" applyFont="1" applyFill="1" applyBorder="1"/>
    <xf numFmtId="0" fontId="5" fillId="10" borderId="0" xfId="0" applyFont="1" applyFill="1" applyBorder="1"/>
    <xf numFmtId="164" fontId="5" fillId="10" borderId="0" xfId="1" applyNumberFormat="1" applyFont="1" applyFill="1" applyBorder="1" applyAlignment="1">
      <alignment horizontal="right"/>
    </xf>
    <xf numFmtId="3" fontId="3" fillId="10" borderId="0" xfId="1" applyNumberFormat="1" applyFont="1" applyFill="1" applyBorder="1" applyAlignment="1">
      <alignment horizontal="right"/>
    </xf>
    <xf numFmtId="164" fontId="3" fillId="10" borderId="0" xfId="1" applyNumberFormat="1" applyFont="1" applyFill="1" applyBorder="1" applyAlignment="1">
      <alignment horizontal="right"/>
    </xf>
    <xf numFmtId="165" fontId="3" fillId="10" borderId="0" xfId="0" applyNumberFormat="1" applyFont="1" applyFill="1" applyBorder="1" applyAlignment="1">
      <alignment horizontal="right"/>
    </xf>
    <xf numFmtId="0" fontId="10" fillId="10" borderId="0" xfId="0" applyFont="1" applyFill="1" applyBorder="1"/>
    <xf numFmtId="170" fontId="0" fillId="10" borderId="0" xfId="0" applyNumberFormat="1" applyFill="1" applyBorder="1" applyAlignment="1"/>
    <xf numFmtId="3" fontId="3" fillId="10" borderId="0" xfId="1" applyNumberFormat="1" applyFont="1" applyFill="1" applyBorder="1"/>
    <xf numFmtId="0" fontId="9" fillId="10" borderId="0" xfId="0" applyFont="1" applyFill="1" applyBorder="1" applyAlignment="1">
      <alignment horizontal="left"/>
    </xf>
    <xf numFmtId="0" fontId="6" fillId="10" borderId="0" xfId="0" applyFont="1" applyFill="1" applyBorder="1" applyAlignment="1"/>
    <xf numFmtId="0" fontId="0" fillId="10" borderId="0" xfId="0" applyFill="1" applyBorder="1" applyAlignment="1"/>
    <xf numFmtId="0" fontId="9" fillId="10" borderId="0" xfId="0" applyFont="1" applyFill="1" applyBorder="1" applyAlignment="1">
      <alignment horizontal="left" vertical="center" wrapText="1"/>
    </xf>
    <xf numFmtId="0" fontId="9" fillId="10" borderId="0" xfId="0" applyFont="1" applyFill="1" applyBorder="1" applyAlignment="1">
      <alignment horizontal="left" wrapText="1"/>
    </xf>
    <xf numFmtId="0" fontId="11" fillId="10" borderId="0" xfId="0" applyFont="1" applyFill="1" applyBorder="1"/>
    <xf numFmtId="15" fontId="5" fillId="10" borderId="0" xfId="0" applyNumberFormat="1" applyFont="1" applyFill="1" applyBorder="1"/>
    <xf numFmtId="168" fontId="3" fillId="10" borderId="0" xfId="0" applyNumberFormat="1" applyFont="1" applyFill="1" applyBorder="1" applyAlignment="1">
      <alignment horizontal="left"/>
    </xf>
    <xf numFmtId="0" fontId="3" fillId="10" borderId="0" xfId="0" applyFont="1" applyFill="1" applyBorder="1" applyAlignment="1">
      <alignment horizontal="center" wrapText="1"/>
    </xf>
    <xf numFmtId="0" fontId="3" fillId="10" borderId="0" xfId="0" applyFont="1" applyFill="1" applyBorder="1" applyAlignment="1">
      <alignment horizontal="right" vertical="center" wrapText="1"/>
    </xf>
    <xf numFmtId="0" fontId="3" fillId="10" borderId="0" xfId="0" applyFont="1" applyFill="1" applyBorder="1" applyAlignment="1">
      <alignment horizontal="right" wrapText="1"/>
    </xf>
    <xf numFmtId="0" fontId="4" fillId="10" borderId="0" xfId="0" quotePrefix="1" applyFont="1" applyFill="1" applyBorder="1" applyAlignment="1"/>
    <xf numFmtId="0" fontId="4" fillId="10" borderId="0" xfId="0" quotePrefix="1" applyFont="1" applyFill="1" applyBorder="1" applyAlignment="1">
      <alignment horizontal="center"/>
    </xf>
    <xf numFmtId="0" fontId="4" fillId="10" borderId="0" xfId="0" quotePrefix="1" applyFont="1" applyFill="1" applyBorder="1" applyAlignment="1">
      <alignment horizontal="right"/>
    </xf>
    <xf numFmtId="3" fontId="5" fillId="10" borderId="0" xfId="1" applyNumberFormat="1" applyFont="1" applyFill="1" applyBorder="1" applyAlignment="1"/>
    <xf numFmtId="3" fontId="3" fillId="10" borderId="0" xfId="0" applyNumberFormat="1" applyFont="1" applyFill="1" applyBorder="1" applyAlignment="1">
      <alignment horizontal="right"/>
    </xf>
    <xf numFmtId="43" fontId="0" fillId="10" borderId="0" xfId="0" applyNumberFormat="1" applyFill="1" applyBorder="1" applyAlignment="1"/>
    <xf numFmtId="3" fontId="3" fillId="10" borderId="0" xfId="1" applyNumberFormat="1" applyFont="1" applyFill="1" applyBorder="1" applyAlignment="1"/>
    <xf numFmtId="9" fontId="0" fillId="10" borderId="0" xfId="3" applyFont="1" applyFill="1" applyBorder="1" applyAlignment="1"/>
    <xf numFmtId="9" fontId="10" fillId="10" borderId="0" xfId="3" applyFont="1" applyFill="1" applyBorder="1" applyAlignment="1">
      <alignment horizontal="right"/>
    </xf>
    <xf numFmtId="9" fontId="5" fillId="10" borderId="0" xfId="3" applyFont="1" applyFill="1" applyBorder="1" applyAlignment="1"/>
    <xf numFmtId="38" fontId="5" fillId="10" borderId="0" xfId="0" applyNumberFormat="1" applyFont="1" applyFill="1" applyBorder="1" applyAlignment="1">
      <alignment horizontal="right"/>
    </xf>
    <xf numFmtId="0" fontId="17" fillId="10" borderId="0" xfId="0" applyFont="1" applyFill="1" applyBorder="1"/>
    <xf numFmtId="0" fontId="3" fillId="10" borderId="0" xfId="0" applyFont="1" applyFill="1" applyBorder="1" applyAlignment="1">
      <alignment wrapText="1"/>
    </xf>
    <xf numFmtId="9" fontId="10" fillId="10" borderId="0" xfId="3" applyFont="1" applyFill="1" applyBorder="1" applyAlignment="1"/>
    <xf numFmtId="0" fontId="3" fillId="10" borderId="0" xfId="0" applyFont="1" applyFill="1" applyBorder="1" applyAlignment="1"/>
    <xf numFmtId="164" fontId="3" fillId="10" borderId="0" xfId="1" applyNumberFormat="1" applyFont="1" applyFill="1" applyBorder="1"/>
    <xf numFmtId="164" fontId="12" fillId="10" borderId="0" xfId="0" applyNumberFormat="1" applyFont="1" applyFill="1" applyBorder="1" applyAlignment="1">
      <alignment horizontal="right"/>
    </xf>
    <xf numFmtId="164" fontId="3" fillId="10" borderId="0" xfId="1" applyNumberFormat="1" applyFont="1" applyFill="1" applyBorder="1" applyAlignment="1"/>
    <xf numFmtId="0" fontId="13" fillId="10" borderId="0" xfId="0" applyFont="1" applyFill="1" applyBorder="1" applyAlignment="1">
      <alignment shrinkToFi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Wheat Exports Sales and Shipments vs. 3-yr Average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485336017945821E-2"/>
          <c:y val="0.11997948968522811"/>
          <c:w val="0.8147565893690516"/>
          <c:h val="0.6694412798607579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pace'!$E$12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pace'!$E$13:$E$64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5548.3</c:v>
                </c:pt>
                <c:pt idx="1">
                  <c:v>5439.5098039215691</c:v>
                </c:pt>
                <c:pt idx="2">
                  <c:v>5330.719607843138</c:v>
                </c:pt>
                <c:pt idx="3">
                  <c:v>5221.9294117647069</c:v>
                </c:pt>
                <c:pt idx="4">
                  <c:v>5113.1392156862757</c:v>
                </c:pt>
                <c:pt idx="5">
                  <c:v>5004.3490196078446</c:v>
                </c:pt>
                <c:pt idx="6">
                  <c:v>4895.5588235294135</c:v>
                </c:pt>
                <c:pt idx="7">
                  <c:v>4786.7686274509824</c:v>
                </c:pt>
                <c:pt idx="8">
                  <c:v>4677.9784313725513</c:v>
                </c:pt>
                <c:pt idx="9">
                  <c:v>4569.1882352941202</c:v>
                </c:pt>
                <c:pt idx="10">
                  <c:v>4460.3980392156891</c:v>
                </c:pt>
                <c:pt idx="11">
                  <c:v>4351.607843137258</c:v>
                </c:pt>
                <c:pt idx="12">
                  <c:v>4242.8176470588269</c:v>
                </c:pt>
                <c:pt idx="13">
                  <c:v>4134.0274509803958</c:v>
                </c:pt>
                <c:pt idx="14">
                  <c:v>4025.2372549019642</c:v>
                </c:pt>
                <c:pt idx="15">
                  <c:v>3916.4470588235326</c:v>
                </c:pt>
                <c:pt idx="16">
                  <c:v>3807.6568627451011</c:v>
                </c:pt>
                <c:pt idx="17">
                  <c:v>3698.8666666666695</c:v>
                </c:pt>
                <c:pt idx="18">
                  <c:v>3590.076470588238</c:v>
                </c:pt>
                <c:pt idx="19">
                  <c:v>3481.2862745098064</c:v>
                </c:pt>
                <c:pt idx="20">
                  <c:v>3372.4960784313748</c:v>
                </c:pt>
                <c:pt idx="21">
                  <c:v>3263.7058823529433</c:v>
                </c:pt>
                <c:pt idx="22">
                  <c:v>3154.9156862745117</c:v>
                </c:pt>
                <c:pt idx="23">
                  <c:v>3046.1254901960801</c:v>
                </c:pt>
                <c:pt idx="24">
                  <c:v>2937.3352941176486</c:v>
                </c:pt>
                <c:pt idx="25">
                  <c:v>2828.545098039217</c:v>
                </c:pt>
                <c:pt idx="26">
                  <c:v>2719.7549019607854</c:v>
                </c:pt>
                <c:pt idx="27">
                  <c:v>2610.9647058823539</c:v>
                </c:pt>
                <c:pt idx="28">
                  <c:v>2502.1745098039223</c:v>
                </c:pt>
                <c:pt idx="29">
                  <c:v>2393.3843137254908</c:v>
                </c:pt>
                <c:pt idx="30">
                  <c:v>2284.5941176470592</c:v>
                </c:pt>
                <c:pt idx="31">
                  <c:v>2175.8039215686276</c:v>
                </c:pt>
                <c:pt idx="32">
                  <c:v>2067.0137254901961</c:v>
                </c:pt>
                <c:pt idx="33">
                  <c:v>1958.2235294117647</c:v>
                </c:pt>
                <c:pt idx="34">
                  <c:v>1849.4333333333334</c:v>
                </c:pt>
                <c:pt idx="35">
                  <c:v>1740.6431372549021</c:v>
                </c:pt>
                <c:pt idx="36">
                  <c:v>1631.8529411764707</c:v>
                </c:pt>
                <c:pt idx="37">
                  <c:v>1523.0627450980394</c:v>
                </c:pt>
                <c:pt idx="38">
                  <c:v>1414.2725490196081</c:v>
                </c:pt>
                <c:pt idx="39">
                  <c:v>1305.4823529411767</c:v>
                </c:pt>
                <c:pt idx="40">
                  <c:v>1196.6921568627454</c:v>
                </c:pt>
                <c:pt idx="41">
                  <c:v>1087.901960784314</c:v>
                </c:pt>
                <c:pt idx="42">
                  <c:v>979.11176470588271</c:v>
                </c:pt>
                <c:pt idx="43">
                  <c:v>870.32156862745137</c:v>
                </c:pt>
                <c:pt idx="44">
                  <c:v>761.53137254902003</c:v>
                </c:pt>
                <c:pt idx="45">
                  <c:v>652.7411764705887</c:v>
                </c:pt>
                <c:pt idx="46">
                  <c:v>543.95098039215736</c:v>
                </c:pt>
                <c:pt idx="47">
                  <c:v>435.16078431372597</c:v>
                </c:pt>
                <c:pt idx="48">
                  <c:v>326.37058823529458</c:v>
                </c:pt>
                <c:pt idx="49">
                  <c:v>217.58039215686318</c:v>
                </c:pt>
                <c:pt idx="50">
                  <c:v>108.7901960784318</c:v>
                </c:pt>
                <c:pt idx="51">
                  <c:v>4.2632564145606011E-13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pace'!$F$12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pace'!$F$13:$F$64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667</c:v>
                </c:pt>
                <c:pt idx="1">
                  <c:v>653.92156862745094</c:v>
                </c:pt>
                <c:pt idx="2">
                  <c:v>640.84313725490188</c:v>
                </c:pt>
                <c:pt idx="3">
                  <c:v>627.76470588235281</c:v>
                </c:pt>
                <c:pt idx="4">
                  <c:v>614.68627450980375</c:v>
                </c:pt>
                <c:pt idx="5">
                  <c:v>601.60784313725469</c:v>
                </c:pt>
                <c:pt idx="6">
                  <c:v>588.52941176470563</c:v>
                </c:pt>
                <c:pt idx="7">
                  <c:v>575.45098039215657</c:v>
                </c:pt>
                <c:pt idx="8">
                  <c:v>562.3725490196075</c:v>
                </c:pt>
                <c:pt idx="9">
                  <c:v>549.29411764705844</c:v>
                </c:pt>
                <c:pt idx="10">
                  <c:v>536.21568627450938</c:v>
                </c:pt>
                <c:pt idx="11">
                  <c:v>523.13725490196032</c:v>
                </c:pt>
                <c:pt idx="12">
                  <c:v>510.05882352941131</c:v>
                </c:pt>
                <c:pt idx="13">
                  <c:v>496.98039215686231</c:v>
                </c:pt>
                <c:pt idx="14">
                  <c:v>483.9019607843133</c:v>
                </c:pt>
                <c:pt idx="15">
                  <c:v>470.8235294117643</c:v>
                </c:pt>
                <c:pt idx="16">
                  <c:v>457.74509803921529</c:v>
                </c:pt>
                <c:pt idx="17">
                  <c:v>444.66666666666629</c:v>
                </c:pt>
                <c:pt idx="18">
                  <c:v>431.58823529411728</c:v>
                </c:pt>
                <c:pt idx="19">
                  <c:v>418.50980392156828</c:v>
                </c:pt>
                <c:pt idx="20">
                  <c:v>405.43137254901927</c:v>
                </c:pt>
                <c:pt idx="21">
                  <c:v>392.35294117647027</c:v>
                </c:pt>
                <c:pt idx="22">
                  <c:v>379.27450980392126</c:v>
                </c:pt>
                <c:pt idx="23">
                  <c:v>366.19607843137226</c:v>
                </c:pt>
                <c:pt idx="24">
                  <c:v>353.11764705882325</c:v>
                </c:pt>
                <c:pt idx="25">
                  <c:v>340.03921568627425</c:v>
                </c:pt>
                <c:pt idx="26">
                  <c:v>326.96078431372524</c:v>
                </c:pt>
                <c:pt idx="27">
                  <c:v>313.88235294117624</c:v>
                </c:pt>
                <c:pt idx="28">
                  <c:v>300.80392156862723</c:v>
                </c:pt>
                <c:pt idx="29">
                  <c:v>287.72549019607823</c:v>
                </c:pt>
                <c:pt idx="30">
                  <c:v>274.64705882352922</c:v>
                </c:pt>
                <c:pt idx="31">
                  <c:v>261.56862745098022</c:v>
                </c:pt>
                <c:pt idx="32">
                  <c:v>248.49019607843121</c:v>
                </c:pt>
                <c:pt idx="33">
                  <c:v>235.41176470588221</c:v>
                </c:pt>
                <c:pt idx="34">
                  <c:v>222.3333333333332</c:v>
                </c:pt>
                <c:pt idx="35">
                  <c:v>209.2549019607842</c:v>
                </c:pt>
                <c:pt idx="36">
                  <c:v>196.17647058823519</c:v>
                </c:pt>
                <c:pt idx="37">
                  <c:v>183.09803921568619</c:v>
                </c:pt>
                <c:pt idx="38">
                  <c:v>170.01960784313718</c:v>
                </c:pt>
                <c:pt idx="39">
                  <c:v>156.94117647058818</c:v>
                </c:pt>
                <c:pt idx="40">
                  <c:v>143.86274509803917</c:v>
                </c:pt>
                <c:pt idx="41">
                  <c:v>130.78431372549016</c:v>
                </c:pt>
                <c:pt idx="42">
                  <c:v>117.70588235294115</c:v>
                </c:pt>
                <c:pt idx="43">
                  <c:v>104.62745098039213</c:v>
                </c:pt>
                <c:pt idx="44">
                  <c:v>91.549019607843107</c:v>
                </c:pt>
                <c:pt idx="45">
                  <c:v>78.470588235294088</c:v>
                </c:pt>
                <c:pt idx="46">
                  <c:v>65.392156862745068</c:v>
                </c:pt>
                <c:pt idx="47">
                  <c:v>52.313725490196056</c:v>
                </c:pt>
                <c:pt idx="48">
                  <c:v>39.235294117647044</c:v>
                </c:pt>
                <c:pt idx="49">
                  <c:v>26.156862745098032</c:v>
                </c:pt>
                <c:pt idx="50">
                  <c:v>13.078431372549016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pace'!$G$12</c:f>
              <c:strCache>
                <c:ptCount val="1"/>
                <c:pt idx="0">
                  <c:v>Actual Export Sales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pace'!$G$13:$G$64</c:f>
              <c:numCache>
                <c:formatCode>General</c:formatCode>
                <c:ptCount val="52"/>
                <c:pt idx="0">
                  <c:v>5548.3</c:v>
                </c:pt>
                <c:pt idx="1">
                  <c:v>6390.2999999999993</c:v>
                </c:pt>
                <c:pt idx="2">
                  <c:v>6714.8</c:v>
                </c:pt>
                <c:pt idx="3">
                  <c:v>7133.7000000000007</c:v>
                </c:pt>
                <c:pt idx="4">
                  <c:v>7445.5</c:v>
                </c:pt>
                <c:pt idx="5">
                  <c:v>8034.7000000000007</c:v>
                </c:pt>
                <c:pt idx="6">
                  <c:v>8401.7000000000007</c:v>
                </c:pt>
                <c:pt idx="7">
                  <c:v>8917.9000000000015</c:v>
                </c:pt>
                <c:pt idx="8">
                  <c:v>9583.1</c:v>
                </c:pt>
                <c:pt idx="9">
                  <c:v>9979.7999999999993</c:v>
                </c:pt>
                <c:pt idx="10">
                  <c:v>10419.9</c:v>
                </c:pt>
                <c:pt idx="11">
                  <c:v>10928.4</c:v>
                </c:pt>
                <c:pt idx="12">
                  <c:v>11477.2</c:v>
                </c:pt>
                <c:pt idx="13">
                  <c:v>11859.1</c:v>
                </c:pt>
                <c:pt idx="14">
                  <c:v>12348</c:v>
                </c:pt>
                <c:pt idx="15">
                  <c:v>12773.9</c:v>
                </c:pt>
                <c:pt idx="16">
                  <c:v>13081</c:v>
                </c:pt>
                <c:pt idx="17">
                  <c:v>13360.9</c:v>
                </c:pt>
                <c:pt idx="18">
                  <c:v>13770.9</c:v>
                </c:pt>
                <c:pt idx="19">
                  <c:v>14342.9</c:v>
                </c:pt>
                <c:pt idx="20">
                  <c:v>14705.7</c:v>
                </c:pt>
                <c:pt idx="21">
                  <c:v>14915.2</c:v>
                </c:pt>
                <c:pt idx="22">
                  <c:v>15229.7</c:v>
                </c:pt>
                <c:pt idx="23">
                  <c:v>15865.2</c:v>
                </c:pt>
                <c:pt idx="24">
                  <c:v>16144.5</c:v>
                </c:pt>
                <c:pt idx="25">
                  <c:v>16497.5</c:v>
                </c:pt>
                <c:pt idx="26">
                  <c:v>17016.099999999999</c:v>
                </c:pt>
                <c:pt idx="27">
                  <c:v>17667.3</c:v>
                </c:pt>
                <c:pt idx="28">
                  <c:v>18676.3</c:v>
                </c:pt>
                <c:pt idx="29">
                  <c:v>19076.599999999999</c:v>
                </c:pt>
                <c:pt idx="30">
                  <c:v>19310.400000000001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pace'!$H$12</c:f>
              <c:strCache>
                <c:ptCount val="1"/>
                <c:pt idx="0">
                  <c:v>Shipped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pace'!$H$13:$H$64</c:f>
              <c:numCache>
                <c:formatCode>General</c:formatCode>
                <c:ptCount val="52"/>
                <c:pt idx="0">
                  <c:v>667</c:v>
                </c:pt>
                <c:pt idx="1">
                  <c:v>1262.0999999999999</c:v>
                </c:pt>
                <c:pt idx="2">
                  <c:v>1734.7</c:v>
                </c:pt>
                <c:pt idx="3">
                  <c:v>2331.6</c:v>
                </c:pt>
                <c:pt idx="4">
                  <c:v>2742.6</c:v>
                </c:pt>
                <c:pt idx="5">
                  <c:v>3113.1</c:v>
                </c:pt>
                <c:pt idx="6">
                  <c:v>3383</c:v>
                </c:pt>
                <c:pt idx="7">
                  <c:v>3846.3</c:v>
                </c:pt>
                <c:pt idx="8">
                  <c:v>4442.5</c:v>
                </c:pt>
                <c:pt idx="9">
                  <c:v>5001.5</c:v>
                </c:pt>
                <c:pt idx="10">
                  <c:v>5671</c:v>
                </c:pt>
                <c:pt idx="11">
                  <c:v>6230.4</c:v>
                </c:pt>
                <c:pt idx="12">
                  <c:v>6825</c:v>
                </c:pt>
                <c:pt idx="13">
                  <c:v>7312.5</c:v>
                </c:pt>
                <c:pt idx="14">
                  <c:v>8088.5</c:v>
                </c:pt>
                <c:pt idx="15">
                  <c:v>8630.7999999999993</c:v>
                </c:pt>
                <c:pt idx="16">
                  <c:v>9221.7999999999993</c:v>
                </c:pt>
                <c:pt idx="17">
                  <c:v>9604</c:v>
                </c:pt>
                <c:pt idx="18">
                  <c:v>9734.9</c:v>
                </c:pt>
                <c:pt idx="19">
                  <c:v>10114.5</c:v>
                </c:pt>
                <c:pt idx="20">
                  <c:v>10409.700000000001</c:v>
                </c:pt>
                <c:pt idx="21">
                  <c:v>10802</c:v>
                </c:pt>
                <c:pt idx="22">
                  <c:v>11100.5</c:v>
                </c:pt>
                <c:pt idx="23">
                  <c:v>11430.1</c:v>
                </c:pt>
                <c:pt idx="24">
                  <c:v>11658.7</c:v>
                </c:pt>
                <c:pt idx="25">
                  <c:v>12045.2</c:v>
                </c:pt>
                <c:pt idx="26">
                  <c:v>12354.9</c:v>
                </c:pt>
                <c:pt idx="27">
                  <c:v>12763.1</c:v>
                </c:pt>
                <c:pt idx="28">
                  <c:v>13186.5</c:v>
                </c:pt>
                <c:pt idx="29">
                  <c:v>13345.4</c:v>
                </c:pt>
                <c:pt idx="30">
                  <c:v>13609.8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[2]Total!$B$1:$B$2</c:f>
              <c:strCache>
                <c:ptCount val="1"/>
                <c:pt idx="0">
                  <c:v>3-Year Ave, Total Sales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US!$B$319:$B$370</c:f>
              <c:numCache>
                <c:formatCode>_(* #,##0_);_(* \(#,##0\);_(* "-"??_);_(@_)</c:formatCode>
                <c:ptCount val="52"/>
                <c:pt idx="0">
                  <c:v>4765.8666666666659</c:v>
                </c:pt>
                <c:pt idx="1">
                  <c:v>5327.0999999999995</c:v>
                </c:pt>
                <c:pt idx="2">
                  <c:v>5910.5666666666657</c:v>
                </c:pt>
                <c:pt idx="3">
                  <c:v>6312.333333333333</c:v>
                </c:pt>
                <c:pt idx="4">
                  <c:v>6819.6333333333341</c:v>
                </c:pt>
                <c:pt idx="5">
                  <c:v>7236.6333333333341</c:v>
                </c:pt>
                <c:pt idx="6">
                  <c:v>7592.8999999999987</c:v>
                </c:pt>
                <c:pt idx="7">
                  <c:v>8249.1666666666661</c:v>
                </c:pt>
                <c:pt idx="8">
                  <c:v>8884.8333333333321</c:v>
                </c:pt>
                <c:pt idx="9">
                  <c:v>9609.3333333333339</c:v>
                </c:pt>
                <c:pt idx="10">
                  <c:v>10382.666666666668</c:v>
                </c:pt>
                <c:pt idx="11">
                  <c:v>11075.166666666666</c:v>
                </c:pt>
                <c:pt idx="12">
                  <c:v>11674.799999999997</c:v>
                </c:pt>
                <c:pt idx="13">
                  <c:v>12347.199999999999</c:v>
                </c:pt>
                <c:pt idx="14">
                  <c:v>12796.300000000001</c:v>
                </c:pt>
                <c:pt idx="15">
                  <c:v>13503.666666666666</c:v>
                </c:pt>
                <c:pt idx="16">
                  <c:v>14036.266666666668</c:v>
                </c:pt>
                <c:pt idx="17">
                  <c:v>14701.900000000001</c:v>
                </c:pt>
                <c:pt idx="18">
                  <c:v>15147.200000000003</c:v>
                </c:pt>
                <c:pt idx="19">
                  <c:v>15680.866666666667</c:v>
                </c:pt>
                <c:pt idx="20">
                  <c:v>16098.6</c:v>
                </c:pt>
                <c:pt idx="21">
                  <c:v>16488.7</c:v>
                </c:pt>
                <c:pt idx="22">
                  <c:v>17002.866666666665</c:v>
                </c:pt>
                <c:pt idx="23">
                  <c:v>17543.866666666665</c:v>
                </c:pt>
                <c:pt idx="24">
                  <c:v>17866.933333333338</c:v>
                </c:pt>
                <c:pt idx="25">
                  <c:v>18633.100000000002</c:v>
                </c:pt>
                <c:pt idx="26">
                  <c:v>19035.733333333334</c:v>
                </c:pt>
                <c:pt idx="27">
                  <c:v>19554.966666666664</c:v>
                </c:pt>
                <c:pt idx="28">
                  <c:v>19946.333333333332</c:v>
                </c:pt>
                <c:pt idx="29">
                  <c:v>20357.266666666666</c:v>
                </c:pt>
                <c:pt idx="30">
                  <c:v>20567.233333333334</c:v>
                </c:pt>
                <c:pt idx="31">
                  <c:v>20795.866666666665</c:v>
                </c:pt>
                <c:pt idx="32">
                  <c:v>21618.266666666666</c:v>
                </c:pt>
                <c:pt idx="33">
                  <c:v>22329.200000000001</c:v>
                </c:pt>
                <c:pt idx="34">
                  <c:v>22819.3</c:v>
                </c:pt>
                <c:pt idx="35">
                  <c:v>23368.366666666669</c:v>
                </c:pt>
                <c:pt idx="36">
                  <c:v>23844.600000000002</c:v>
                </c:pt>
                <c:pt idx="37">
                  <c:v>24539.8</c:v>
                </c:pt>
                <c:pt idx="38">
                  <c:v>24898.533333333336</c:v>
                </c:pt>
                <c:pt idx="39">
                  <c:v>25375.266666666663</c:v>
                </c:pt>
                <c:pt idx="40">
                  <c:v>25805.7</c:v>
                </c:pt>
                <c:pt idx="41">
                  <c:v>26325.433333333334</c:v>
                </c:pt>
                <c:pt idx="42">
                  <c:v>26634.799999999999</c:v>
                </c:pt>
                <c:pt idx="43">
                  <c:v>27031.766666666666</c:v>
                </c:pt>
                <c:pt idx="44">
                  <c:v>27363.966666666664</c:v>
                </c:pt>
                <c:pt idx="45">
                  <c:v>27586.399999999998</c:v>
                </c:pt>
                <c:pt idx="46">
                  <c:v>27861.3</c:v>
                </c:pt>
                <c:pt idx="47">
                  <c:v>28088.266666666663</c:v>
                </c:pt>
                <c:pt idx="48">
                  <c:v>28350.5</c:v>
                </c:pt>
                <c:pt idx="49">
                  <c:v>28583.466666666664</c:v>
                </c:pt>
                <c:pt idx="50">
                  <c:v>28647.633333333331</c:v>
                </c:pt>
                <c:pt idx="51">
                  <c:v>28603.200000000001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[2]Total!$C$1:$C$2</c:f>
              <c:strCache>
                <c:ptCount val="1"/>
                <c:pt idx="0">
                  <c:v>3-Year Ave, Shipped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US!$C$319:$C$370</c:f>
              <c:numCache>
                <c:formatCode>_(* #,##0_);_(* \(#,##0\);_(* "-"??_);_(@_)</c:formatCode>
                <c:ptCount val="52"/>
                <c:pt idx="0">
                  <c:v>121.36666666666667</c:v>
                </c:pt>
                <c:pt idx="1">
                  <c:v>600.5</c:v>
                </c:pt>
                <c:pt idx="2">
                  <c:v>1022.5333333333334</c:v>
                </c:pt>
                <c:pt idx="3">
                  <c:v>1488.5</c:v>
                </c:pt>
                <c:pt idx="4">
                  <c:v>2039.3333333333333</c:v>
                </c:pt>
                <c:pt idx="5">
                  <c:v>2405</c:v>
                </c:pt>
                <c:pt idx="6">
                  <c:v>2893.4666666666667</c:v>
                </c:pt>
                <c:pt idx="7">
                  <c:v>3334.5666666666671</c:v>
                </c:pt>
                <c:pt idx="8">
                  <c:v>3812.8666666666668</c:v>
                </c:pt>
                <c:pt idx="9">
                  <c:v>4291.0666666666666</c:v>
                </c:pt>
                <c:pt idx="10">
                  <c:v>4823.7666666666664</c:v>
                </c:pt>
                <c:pt idx="11">
                  <c:v>5299.2</c:v>
                </c:pt>
                <c:pt idx="12">
                  <c:v>5845.2</c:v>
                </c:pt>
                <c:pt idx="13">
                  <c:v>6424.5333333333328</c:v>
                </c:pt>
                <c:pt idx="14">
                  <c:v>7070.833333333333</c:v>
                </c:pt>
                <c:pt idx="15">
                  <c:v>7873</c:v>
                </c:pt>
                <c:pt idx="16">
                  <c:v>8519.1666666666661</c:v>
                </c:pt>
                <c:pt idx="17">
                  <c:v>9234.1</c:v>
                </c:pt>
                <c:pt idx="18">
                  <c:v>9751.7333333333336</c:v>
                </c:pt>
                <c:pt idx="19">
                  <c:v>10233.366666666667</c:v>
                </c:pt>
                <c:pt idx="20">
                  <c:v>10717.300000000001</c:v>
                </c:pt>
                <c:pt idx="21">
                  <c:v>11165.266666666668</c:v>
                </c:pt>
                <c:pt idx="22">
                  <c:v>11607.366666666669</c:v>
                </c:pt>
                <c:pt idx="23">
                  <c:v>12016.166666666666</c:v>
                </c:pt>
                <c:pt idx="24">
                  <c:v>12450.5</c:v>
                </c:pt>
                <c:pt idx="25">
                  <c:v>12875.533333333335</c:v>
                </c:pt>
                <c:pt idx="26">
                  <c:v>13346.233333333332</c:v>
                </c:pt>
                <c:pt idx="27">
                  <c:v>13805.033333333333</c:v>
                </c:pt>
                <c:pt idx="28">
                  <c:v>14285.433333333332</c:v>
                </c:pt>
                <c:pt idx="29">
                  <c:v>14703.6</c:v>
                </c:pt>
                <c:pt idx="30">
                  <c:v>15049.966666666667</c:v>
                </c:pt>
                <c:pt idx="31">
                  <c:v>15414.133333333333</c:v>
                </c:pt>
                <c:pt idx="32">
                  <c:v>15871.766666666665</c:v>
                </c:pt>
                <c:pt idx="33">
                  <c:v>16368.966666666667</c:v>
                </c:pt>
                <c:pt idx="34">
                  <c:v>16867.400000000001</c:v>
                </c:pt>
                <c:pt idx="35">
                  <c:v>17465.5</c:v>
                </c:pt>
                <c:pt idx="36">
                  <c:v>17942.266666666666</c:v>
                </c:pt>
                <c:pt idx="37">
                  <c:v>18562.633333333331</c:v>
                </c:pt>
                <c:pt idx="38">
                  <c:v>18969.266666666666</c:v>
                </c:pt>
                <c:pt idx="39">
                  <c:v>19490.166666666668</c:v>
                </c:pt>
                <c:pt idx="40">
                  <c:v>20110.5</c:v>
                </c:pt>
                <c:pt idx="41">
                  <c:v>20647.633333333331</c:v>
                </c:pt>
                <c:pt idx="42">
                  <c:v>21321.733333333334</c:v>
                </c:pt>
                <c:pt idx="43">
                  <c:v>21847.466666666664</c:v>
                </c:pt>
                <c:pt idx="44">
                  <c:v>22394.566666666669</c:v>
                </c:pt>
                <c:pt idx="45">
                  <c:v>23036.666666666668</c:v>
                </c:pt>
                <c:pt idx="46">
                  <c:v>23610.766666666666</c:v>
                </c:pt>
                <c:pt idx="47">
                  <c:v>24270.566666666666</c:v>
                </c:pt>
                <c:pt idx="48">
                  <c:v>24969.200000000001</c:v>
                </c:pt>
                <c:pt idx="49">
                  <c:v>25572.066666666666</c:v>
                </c:pt>
                <c:pt idx="50">
                  <c:v>26214.133333333331</c:v>
                </c:pt>
                <c:pt idx="51">
                  <c:v>26826.733333333334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34176"/>
        <c:axId val="104835712"/>
      </c:lineChart>
      <c:dateAx>
        <c:axId val="1048341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5712"/>
        <c:crosses val="autoZero"/>
        <c:auto val="1"/>
        <c:lblOffset val="100"/>
        <c:baseTimeUnit val="days"/>
      </c:dateAx>
      <c:valAx>
        <c:axId val="10483571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4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478690882030551"/>
          <c:y val="0.11597258675998834"/>
          <c:w val="0.37853073681881722"/>
          <c:h val="0.36131150272882556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7620</xdr:colOff>
      <xdr:row>27</xdr:row>
      <xdr:rowOff>45720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7398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22860</xdr:rowOff>
    </xdr:from>
    <xdr:to>
      <xdr:col>11</xdr:col>
      <xdr:colOff>243840</xdr:colOff>
      <xdr:row>97</xdr:row>
      <xdr:rowOff>129540</xdr:rowOff>
    </xdr:to>
    <xdr:graphicFrame macro="">
      <xdr:nvGraphicFramePr>
        <xdr:cNvPr id="110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0.01748</cdr:x>
      <cdr:y>0.95592</cdr:y>
    </cdr:from>
    <cdr:to>
      <cdr:x>0.2366</cdr:x>
      <cdr:y>0.98163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4472" y="4666128"/>
          <a:ext cx="1685365" cy="125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0.02681</cdr:x>
      <cdr:y>0.91919</cdr:y>
    </cdr:from>
    <cdr:to>
      <cdr:x>0.88928</cdr:x>
      <cdr:y>0.99082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06189" y="4486833"/>
          <a:ext cx="6633884" cy="349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0.47371</cdr:x>
      <cdr:y>0.59596</cdr:y>
    </cdr:from>
    <cdr:to>
      <cdr:x>0.91264</cdr:x>
      <cdr:y>0.771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1702" y="2862568"/>
          <a:ext cx="3485517" cy="8407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Week ending 1/03/13: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100" b="1" i="0" u="sng" strike="noStrike" baseline="0">
              <a:solidFill>
                <a:srgbClr val="FF0000"/>
              </a:solidFill>
              <a:latin typeface="Calibri"/>
              <a:cs typeface="Calibri"/>
            </a:rPr>
            <a:t>Total export sales: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19.3 mmt, down 3% from last year and 6% from 3-year ave; </a:t>
          </a:r>
          <a:r>
            <a:rPr lang="en-US" sz="1100" b="1" i="0" u="sng" strike="noStrike" baseline="0">
              <a:solidFill>
                <a:srgbClr val="800080"/>
              </a:solidFill>
              <a:latin typeface="Calibri"/>
              <a:cs typeface="Calibri"/>
            </a:rPr>
            <a:t>Shipped exports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13.6 mmt, down 13% from last year and 10% from 3-yr ave.</a:t>
          </a:r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AM25">
            <v>3671</v>
          </cell>
          <cell r="AN25">
            <v>7372</v>
          </cell>
          <cell r="AO25">
            <v>8390</v>
          </cell>
          <cell r="AP25">
            <v>4319</v>
          </cell>
          <cell r="AQ25">
            <v>22398</v>
          </cell>
          <cell r="AR25">
            <v>17056</v>
          </cell>
          <cell r="AS25">
            <v>100.02724795640326</v>
          </cell>
          <cell r="AT25">
            <v>200.87193460490462</v>
          </cell>
          <cell r="AU25">
            <v>228.61035422343323</v>
          </cell>
          <cell r="AV25">
            <v>117.68392370572207</v>
          </cell>
          <cell r="AW25">
            <v>610.29972752043591</v>
          </cell>
          <cell r="AX25">
            <v>464.7411444141689</v>
          </cell>
        </row>
        <row r="26">
          <cell r="AM26">
            <v>4077</v>
          </cell>
          <cell r="AN26">
            <v>5816</v>
          </cell>
          <cell r="AO26">
            <v>10732</v>
          </cell>
          <cell r="AP26">
            <v>2177</v>
          </cell>
          <cell r="AQ26">
            <v>20956</v>
          </cell>
          <cell r="AR26">
            <v>14062</v>
          </cell>
          <cell r="AS26">
            <v>111.08991825613079</v>
          </cell>
          <cell r="AT26">
            <v>158.47411444141687</v>
          </cell>
          <cell r="AU26">
            <v>292.42506811989097</v>
          </cell>
          <cell r="AV26">
            <v>59.318801089918253</v>
          </cell>
          <cell r="AW26">
            <v>571.00817438692093</v>
          </cell>
          <cell r="AX26">
            <v>383.16076294277929</v>
          </cell>
        </row>
        <row r="27">
          <cell r="AM27">
            <v>5467</v>
          </cell>
          <cell r="AN27">
            <v>10366</v>
          </cell>
          <cell r="AO27">
            <v>4586</v>
          </cell>
          <cell r="AP27">
            <v>2025</v>
          </cell>
          <cell r="AQ27">
            <v>19536</v>
          </cell>
          <cell r="AR27">
            <v>13706</v>
          </cell>
          <cell r="AS27">
            <v>148.96457765667574</v>
          </cell>
          <cell r="AT27">
            <v>282.45231607629427</v>
          </cell>
          <cell r="AU27">
            <v>124.95912806539509</v>
          </cell>
          <cell r="AV27">
            <v>55.177111716621248</v>
          </cell>
          <cell r="AW27">
            <v>532.31607629427788</v>
          </cell>
          <cell r="AX27">
            <v>373.46049046321525</v>
          </cell>
        </row>
        <row r="28">
          <cell r="AM28">
            <v>3491</v>
          </cell>
          <cell r="AN28">
            <v>9438</v>
          </cell>
          <cell r="AO28">
            <v>5338</v>
          </cell>
          <cell r="AP28">
            <v>2777</v>
          </cell>
          <cell r="AQ28">
            <v>22733</v>
          </cell>
          <cell r="AR28">
            <v>18313</v>
          </cell>
          <cell r="AS28">
            <v>95.12261580381471</v>
          </cell>
          <cell r="AT28">
            <v>257.16621253405992</v>
          </cell>
          <cell r="AU28">
            <v>145.44959128065395</v>
          </cell>
          <cell r="AV28">
            <v>75.667574931880097</v>
          </cell>
          <cell r="AW28">
            <v>619.42779291553131</v>
          </cell>
          <cell r="AX28">
            <v>498.99182561307896</v>
          </cell>
        </row>
        <row r="29">
          <cell r="AM29">
            <v>1526</v>
          </cell>
          <cell r="AN29">
            <v>9387</v>
          </cell>
          <cell r="AO29">
            <v>6505</v>
          </cell>
          <cell r="AP29">
            <v>603</v>
          </cell>
          <cell r="AQ29">
            <v>15155</v>
          </cell>
          <cell r="AR29">
            <v>18403</v>
          </cell>
          <cell r="AS29">
            <v>41.580381471389643</v>
          </cell>
          <cell r="AT29">
            <v>255.77656675749316</v>
          </cell>
          <cell r="AU29">
            <v>177.24795640326974</v>
          </cell>
          <cell r="AV29">
            <v>16.43051771117166</v>
          </cell>
          <cell r="AW29">
            <v>412.94277929155311</v>
          </cell>
          <cell r="AX29">
            <v>501.44414168937328</v>
          </cell>
        </row>
        <row r="30">
          <cell r="AM30">
            <v>3357</v>
          </cell>
          <cell r="AN30">
            <v>4307</v>
          </cell>
          <cell r="AO30">
            <v>6878</v>
          </cell>
          <cell r="AP30">
            <v>2190</v>
          </cell>
          <cell r="AQ30">
            <v>15215</v>
          </cell>
          <cell r="AR30">
            <v>14230</v>
          </cell>
          <cell r="AS30">
            <v>91.471389645776554</v>
          </cell>
          <cell r="AT30">
            <v>117.35694822888283</v>
          </cell>
          <cell r="AU30">
            <v>187.41144414168937</v>
          </cell>
          <cell r="AV30">
            <v>59.673024523160755</v>
          </cell>
          <cell r="AW30">
            <v>414.57765667574927</v>
          </cell>
          <cell r="AX30">
            <v>387.73841961852855</v>
          </cell>
        </row>
        <row r="31">
          <cell r="AM31">
            <v>1823</v>
          </cell>
          <cell r="AN31">
            <v>6578</v>
          </cell>
          <cell r="AO31">
            <v>5623</v>
          </cell>
          <cell r="AP31">
            <v>5936</v>
          </cell>
          <cell r="AQ31">
            <v>11796</v>
          </cell>
          <cell r="AR31">
            <v>23612</v>
          </cell>
          <cell r="AS31">
            <v>49.673024523160763</v>
          </cell>
          <cell r="AT31">
            <v>179.23705722070844</v>
          </cell>
          <cell r="AU31">
            <v>153.21525885558583</v>
          </cell>
          <cell r="AV31">
            <v>161.74386920980925</v>
          </cell>
          <cell r="AW31">
            <v>321.41689373296998</v>
          </cell>
          <cell r="AX31">
            <v>643.37874659400541</v>
          </cell>
        </row>
        <row r="32">
          <cell r="AM32">
            <v>5191</v>
          </cell>
          <cell r="AN32">
            <v>5328</v>
          </cell>
          <cell r="AO32">
            <v>5306</v>
          </cell>
          <cell r="AP32">
            <v>2766</v>
          </cell>
          <cell r="AQ32">
            <v>19060</v>
          </cell>
          <cell r="AR32">
            <v>16035</v>
          </cell>
          <cell r="AS32">
            <v>141.44414168937328</v>
          </cell>
          <cell r="AT32">
            <v>145.17711171662125</v>
          </cell>
          <cell r="AU32">
            <v>144.5776566757493</v>
          </cell>
          <cell r="AV32">
            <v>75.367847411444131</v>
          </cell>
          <cell r="AW32">
            <v>519.34604904632147</v>
          </cell>
          <cell r="AX32">
            <v>436.9209809264305</v>
          </cell>
        </row>
        <row r="33">
          <cell r="AM33">
            <v>6060</v>
          </cell>
          <cell r="AN33">
            <v>9765</v>
          </cell>
          <cell r="AO33">
            <v>8158</v>
          </cell>
          <cell r="AP33">
            <v>3614</v>
          </cell>
          <cell r="AQ33">
            <v>21209</v>
          </cell>
          <cell r="AR33">
            <v>24117</v>
          </cell>
          <cell r="AS33">
            <v>165.12261580381471</v>
          </cell>
          <cell r="AT33">
            <v>266.07629427792915</v>
          </cell>
          <cell r="AU33">
            <v>222.28882833787463</v>
          </cell>
          <cell r="AV33">
            <v>98.474114441416887</v>
          </cell>
          <cell r="AW33">
            <v>577.90190735694819</v>
          </cell>
          <cell r="AX33">
            <v>657.13896457765668</v>
          </cell>
        </row>
        <row r="34">
          <cell r="AM34">
            <v>2406</v>
          </cell>
          <cell r="AN34">
            <v>6929</v>
          </cell>
          <cell r="AO34">
            <v>13906</v>
          </cell>
          <cell r="AP34">
            <v>888</v>
          </cell>
          <cell r="AQ34">
            <v>22285</v>
          </cell>
          <cell r="AR34">
            <v>14852</v>
          </cell>
          <cell r="AS34">
            <v>65.558583106267022</v>
          </cell>
          <cell r="AT34">
            <v>188.80108991825611</v>
          </cell>
          <cell r="AU34">
            <v>378.91008174386917</v>
          </cell>
          <cell r="AV34">
            <v>24.196185286103539</v>
          </cell>
          <cell r="AW34">
            <v>607.22070844686641</v>
          </cell>
          <cell r="AX34">
            <v>404.68664850136236</v>
          </cell>
        </row>
        <row r="35">
          <cell r="AM35">
            <v>3461</v>
          </cell>
          <cell r="AN35">
            <v>8999</v>
          </cell>
          <cell r="AO35">
            <v>15412</v>
          </cell>
          <cell r="AP35">
            <v>4010</v>
          </cell>
          <cell r="AQ35">
            <v>23424</v>
          </cell>
          <cell r="AR35">
            <v>21855</v>
          </cell>
          <cell r="AS35">
            <v>94.305177111716617</v>
          </cell>
          <cell r="AT35">
            <v>245.2043596730245</v>
          </cell>
          <cell r="AU35">
            <v>419.94550408719346</v>
          </cell>
          <cell r="AV35">
            <v>109.26430517711171</v>
          </cell>
          <cell r="AW35">
            <v>638.2561307901907</v>
          </cell>
          <cell r="AX35">
            <v>595.50408719346046</v>
          </cell>
        </row>
        <row r="36">
          <cell r="AM36">
            <v>1689</v>
          </cell>
          <cell r="AN36">
            <v>9403</v>
          </cell>
          <cell r="AO36">
            <v>15061</v>
          </cell>
          <cell r="AP36">
            <v>608</v>
          </cell>
          <cell r="AQ36">
            <v>18888</v>
          </cell>
          <cell r="AR36">
            <v>24767</v>
          </cell>
          <cell r="AS36">
            <v>46.021798365122613</v>
          </cell>
          <cell r="AT36">
            <v>256.21253405994548</v>
          </cell>
          <cell r="AU36">
            <v>410.38147138964575</v>
          </cell>
          <cell r="AV36">
            <v>16.56675749318801</v>
          </cell>
          <cell r="AW36">
            <v>514.65940054495911</v>
          </cell>
          <cell r="AX36">
            <v>674.85013623978193</v>
          </cell>
        </row>
        <row r="37">
          <cell r="AM37">
            <v>4500</v>
          </cell>
          <cell r="AN37">
            <v>10305</v>
          </cell>
          <cell r="AO37">
            <v>16722</v>
          </cell>
          <cell r="AP37">
            <v>3638</v>
          </cell>
          <cell r="AQ37">
            <v>25446</v>
          </cell>
          <cell r="AR37">
            <v>27662</v>
          </cell>
          <cell r="AS37">
            <v>122.61580381471389</v>
          </cell>
          <cell r="AT37">
            <v>280.79019073569481</v>
          </cell>
          <cell r="AU37">
            <v>455.6403269754768</v>
          </cell>
          <cell r="AV37">
            <v>99.128065395095362</v>
          </cell>
          <cell r="AW37">
            <v>693.35149863760216</v>
          </cell>
          <cell r="AX37">
            <v>753.73297002724792</v>
          </cell>
        </row>
        <row r="38">
          <cell r="AM38">
            <v>628</v>
          </cell>
          <cell r="AN38">
            <v>7550</v>
          </cell>
          <cell r="AO38">
            <v>13093</v>
          </cell>
          <cell r="AP38">
            <v>4881</v>
          </cell>
          <cell r="AQ38">
            <v>20890</v>
          </cell>
          <cell r="AR38">
            <v>23906</v>
          </cell>
          <cell r="AS38">
            <v>17.111716621253404</v>
          </cell>
          <cell r="AT38">
            <v>205.72207084468664</v>
          </cell>
          <cell r="AU38">
            <v>356.75749318801087</v>
          </cell>
          <cell r="AV38">
            <v>132.99727520435965</v>
          </cell>
          <cell r="AW38">
            <v>569.20980926430514</v>
          </cell>
          <cell r="AX38">
            <v>651.38964577656668</v>
          </cell>
        </row>
        <row r="39">
          <cell r="AM39">
            <v>3572</v>
          </cell>
          <cell r="AN39">
            <v>9806</v>
          </cell>
          <cell r="AO39">
            <v>16452</v>
          </cell>
          <cell r="AP39">
            <v>4166</v>
          </cell>
          <cell r="AQ39">
            <v>29449</v>
          </cell>
          <cell r="AR39">
            <v>32210</v>
          </cell>
          <cell r="AS39">
            <v>97.329700272479556</v>
          </cell>
          <cell r="AT39">
            <v>267.19346049046317</v>
          </cell>
          <cell r="AU39">
            <v>448.283378746594</v>
          </cell>
          <cell r="AV39">
            <v>113.5149863760218</v>
          </cell>
          <cell r="AW39">
            <v>802.42506811989097</v>
          </cell>
          <cell r="AX39">
            <v>877.65667574931877</v>
          </cell>
        </row>
        <row r="40">
          <cell r="AM40">
            <v>4776</v>
          </cell>
          <cell r="AN40">
            <v>13929</v>
          </cell>
          <cell r="AO40">
            <v>10906</v>
          </cell>
          <cell r="AP40">
            <v>2884</v>
          </cell>
          <cell r="AQ40">
            <v>22620</v>
          </cell>
          <cell r="AR40">
            <v>33460</v>
          </cell>
          <cell r="AS40">
            <v>130.13623978201633</v>
          </cell>
          <cell r="AT40">
            <v>379.5367847411444</v>
          </cell>
          <cell r="AU40">
            <v>297.16621253405992</v>
          </cell>
          <cell r="AV40">
            <v>78.583106267029962</v>
          </cell>
          <cell r="AW40">
            <v>616.34877384196182</v>
          </cell>
          <cell r="AX40">
            <v>911.71662125340595</v>
          </cell>
        </row>
        <row r="41">
          <cell r="AM41">
            <v>1935</v>
          </cell>
          <cell r="AN41">
            <v>9534</v>
          </cell>
          <cell r="AO41">
            <v>12263</v>
          </cell>
          <cell r="AP41">
            <v>3683</v>
          </cell>
          <cell r="AQ41">
            <v>24553</v>
          </cell>
          <cell r="AR41">
            <v>24998</v>
          </cell>
          <cell r="AS41">
            <v>52.724795640326974</v>
          </cell>
          <cell r="AT41">
            <v>259.78201634877382</v>
          </cell>
          <cell r="AU41">
            <v>334.14168937329697</v>
          </cell>
          <cell r="AV41">
            <v>100.3542234332425</v>
          </cell>
          <cell r="AW41">
            <v>669.0190735694822</v>
          </cell>
          <cell r="AX41">
            <v>681.14441416893726</v>
          </cell>
        </row>
        <row r="42">
          <cell r="AM42">
            <v>2727</v>
          </cell>
          <cell r="AN42">
            <v>11481</v>
          </cell>
          <cell r="AO42">
            <v>3298</v>
          </cell>
          <cell r="AP42">
            <v>2063</v>
          </cell>
          <cell r="AQ42">
            <v>13845</v>
          </cell>
          <cell r="AR42">
            <v>30899</v>
          </cell>
          <cell r="AS42">
            <v>74.305177111716617</v>
          </cell>
          <cell r="AT42">
            <v>312.83378746594002</v>
          </cell>
          <cell r="AU42">
            <v>89.863760217983639</v>
          </cell>
          <cell r="AV42">
            <v>56.212534059945497</v>
          </cell>
          <cell r="AW42">
            <v>377.24795640326971</v>
          </cell>
          <cell r="AX42">
            <v>841.93460490463212</v>
          </cell>
        </row>
        <row r="43">
          <cell r="AM43">
            <v>1553</v>
          </cell>
          <cell r="AN43">
            <v>8468</v>
          </cell>
          <cell r="AO43">
            <v>2145</v>
          </cell>
          <cell r="AP43">
            <v>2944</v>
          </cell>
          <cell r="AQ43">
            <v>7004</v>
          </cell>
          <cell r="AR43">
            <v>23471</v>
          </cell>
          <cell r="AS43">
            <v>42.316076294277927</v>
          </cell>
          <cell r="AT43">
            <v>230.73569482288826</v>
          </cell>
          <cell r="AU43">
            <v>58.446866485013622</v>
          </cell>
          <cell r="AV43">
            <v>80.217983651226149</v>
          </cell>
          <cell r="AW43">
            <v>190.84468664850135</v>
          </cell>
          <cell r="AX43">
            <v>639.5367847411444</v>
          </cell>
        </row>
        <row r="44">
          <cell r="AM44">
            <v>4732</v>
          </cell>
          <cell r="AN44">
            <v>5213</v>
          </cell>
          <cell r="AO44">
            <v>5626</v>
          </cell>
          <cell r="AP44">
            <v>3489</v>
          </cell>
          <cell r="AQ44">
            <v>16454</v>
          </cell>
          <cell r="AR44">
            <v>21248</v>
          </cell>
          <cell r="AS44">
            <v>128.93732970027247</v>
          </cell>
          <cell r="AT44">
            <v>142.04359673024521</v>
          </cell>
          <cell r="AU44">
            <v>153.29700272479562</v>
          </cell>
          <cell r="AV44">
            <v>95.068119891008166</v>
          </cell>
          <cell r="AW44">
            <v>448.33787465940048</v>
          </cell>
          <cell r="AX44">
            <v>578.96457765667571</v>
          </cell>
        </row>
        <row r="45">
          <cell r="AM45">
            <v>2530</v>
          </cell>
          <cell r="AN45">
            <v>8872</v>
          </cell>
          <cell r="AO45">
            <v>4279</v>
          </cell>
          <cell r="AP45">
            <v>3730</v>
          </cell>
          <cell r="AQ45">
            <v>9700</v>
          </cell>
          <cell r="AR45">
            <v>23902</v>
          </cell>
          <cell r="AS45">
            <v>68.937329700272471</v>
          </cell>
          <cell r="AT45">
            <v>241.74386920980925</v>
          </cell>
          <cell r="AU45">
            <v>116.59400544959126</v>
          </cell>
          <cell r="AV45">
            <v>101.63487738419617</v>
          </cell>
          <cell r="AW45">
            <v>264.3051771117166</v>
          </cell>
          <cell r="AX45">
            <v>651.28065395095359</v>
          </cell>
        </row>
        <row r="46">
          <cell r="AM46">
            <v>3625</v>
          </cell>
          <cell r="AN46">
            <v>4873</v>
          </cell>
          <cell r="AO46">
            <v>5524</v>
          </cell>
          <cell r="AP46">
            <v>3368</v>
          </cell>
          <cell r="AQ46">
            <v>14037</v>
          </cell>
          <cell r="AR46">
            <v>17741</v>
          </cell>
          <cell r="AS46">
            <v>98.773841961852852</v>
          </cell>
          <cell r="AT46">
            <v>132.7792915531335</v>
          </cell>
          <cell r="AU46">
            <v>150.51771117166211</v>
          </cell>
          <cell r="AV46">
            <v>91.771117166212534</v>
          </cell>
          <cell r="AW46">
            <v>382.47956403269751</v>
          </cell>
          <cell r="AX46">
            <v>483.40599455040871</v>
          </cell>
        </row>
        <row r="47">
          <cell r="AM47">
            <v>2720</v>
          </cell>
          <cell r="AN47">
            <v>9852</v>
          </cell>
          <cell r="AO47">
            <v>3081</v>
          </cell>
          <cell r="AP47">
            <v>1737</v>
          </cell>
          <cell r="AQ47">
            <v>10458</v>
          </cell>
          <cell r="AR47">
            <v>19379</v>
          </cell>
          <cell r="AS47">
            <v>74.114441416893726</v>
          </cell>
          <cell r="AT47">
            <v>268.44686648501363</v>
          </cell>
          <cell r="AU47">
            <v>83.950953678474107</v>
          </cell>
          <cell r="AV47">
            <v>47.329700272479563</v>
          </cell>
          <cell r="AW47">
            <v>284.95912806539508</v>
          </cell>
          <cell r="AX47">
            <v>528.03814713896452</v>
          </cell>
        </row>
        <row r="48">
          <cell r="AM48">
            <v>2674</v>
          </cell>
          <cell r="AN48">
            <v>2297</v>
          </cell>
          <cell r="AO48">
            <v>6011</v>
          </cell>
          <cell r="AP48">
            <v>4147</v>
          </cell>
          <cell r="AQ48">
            <v>11376</v>
          </cell>
          <cell r="AR48">
            <v>16863</v>
          </cell>
          <cell r="AS48">
            <v>72.861035422343321</v>
          </cell>
          <cell r="AT48">
            <v>62.58855585831062</v>
          </cell>
          <cell r="AU48">
            <v>163.78746594005449</v>
          </cell>
          <cell r="AV48">
            <v>112.99727520435967</v>
          </cell>
          <cell r="AW48">
            <v>309.9727520435967</v>
          </cell>
          <cell r="AX48">
            <v>459.48228882833786</v>
          </cell>
        </row>
        <row r="49">
          <cell r="AM49">
            <v>2390</v>
          </cell>
          <cell r="AN49">
            <v>6964</v>
          </cell>
          <cell r="AO49">
            <v>5289</v>
          </cell>
          <cell r="AP49">
            <v>951</v>
          </cell>
          <cell r="AQ49">
            <v>8132</v>
          </cell>
          <cell r="AR49">
            <v>22143</v>
          </cell>
          <cell r="AS49">
            <v>65.12261580381471</v>
          </cell>
          <cell r="AT49">
            <v>189.75476839237055</v>
          </cell>
          <cell r="AU49">
            <v>144.11444141689373</v>
          </cell>
          <cell r="AV49">
            <v>25.912806539509535</v>
          </cell>
          <cell r="AW49">
            <v>221.58038147138961</v>
          </cell>
          <cell r="AX49">
            <v>603.35149863760216</v>
          </cell>
        </row>
        <row r="50">
          <cell r="AM50">
            <v>2951</v>
          </cell>
          <cell r="AN50">
            <v>6636</v>
          </cell>
          <cell r="AO50">
            <v>7542</v>
          </cell>
          <cell r="AP50">
            <v>3003</v>
          </cell>
          <cell r="AQ50">
            <v>14648</v>
          </cell>
          <cell r="AR50">
            <v>22317</v>
          </cell>
          <cell r="AS50">
            <v>80.40871934604904</v>
          </cell>
          <cell r="AT50">
            <v>180.81743869209808</v>
          </cell>
          <cell r="AU50">
            <v>205.50408719346046</v>
          </cell>
          <cell r="AV50">
            <v>81.825613079019064</v>
          </cell>
          <cell r="AW50">
            <v>399.12806539509535</v>
          </cell>
          <cell r="AX50">
            <v>608.09264305177112</v>
          </cell>
        </row>
        <row r="51">
          <cell r="AM51">
            <v>2394</v>
          </cell>
          <cell r="AN51">
            <v>6392</v>
          </cell>
          <cell r="AO51">
            <v>4940</v>
          </cell>
          <cell r="AP51">
            <v>6057</v>
          </cell>
          <cell r="AQ51">
            <v>14270</v>
          </cell>
          <cell r="AR51">
            <v>21349</v>
          </cell>
          <cell r="AS51">
            <v>65.231607629427785</v>
          </cell>
          <cell r="AT51">
            <v>174.16893732970027</v>
          </cell>
          <cell r="AU51">
            <v>134.60490463215257</v>
          </cell>
          <cell r="AV51">
            <v>165.04087193460489</v>
          </cell>
          <cell r="AW51">
            <v>388.82833787465938</v>
          </cell>
          <cell r="AX51">
            <v>581.71662125340595</v>
          </cell>
        </row>
        <row r="52">
          <cell r="AM52">
            <v>1303</v>
          </cell>
          <cell r="AN52">
            <v>10368</v>
          </cell>
          <cell r="AO52">
            <v>11481</v>
          </cell>
          <cell r="AP52">
            <v>4045</v>
          </cell>
          <cell r="AQ52">
            <v>16639</v>
          </cell>
          <cell r="AR52">
            <v>19099</v>
          </cell>
          <cell r="AS52">
            <v>35.504087193460485</v>
          </cell>
          <cell r="AT52">
            <v>282.50681198910081</v>
          </cell>
          <cell r="AU52">
            <v>312.83378746594002</v>
          </cell>
          <cell r="AV52">
            <v>110.21798365122615</v>
          </cell>
          <cell r="AW52">
            <v>453.37874659400541</v>
          </cell>
          <cell r="AX52">
            <v>520.408719346049</v>
          </cell>
        </row>
        <row r="53">
          <cell r="AM53">
            <v>3741</v>
          </cell>
          <cell r="AN53">
            <v>7863</v>
          </cell>
          <cell r="AO53">
            <v>5885</v>
          </cell>
          <cell r="AP53">
            <v>4157</v>
          </cell>
          <cell r="AQ53">
            <v>15247</v>
          </cell>
          <cell r="AR53">
            <v>26305</v>
          </cell>
          <cell r="AS53">
            <v>101.93460490463214</v>
          </cell>
          <cell r="AT53">
            <v>214.25068119891006</v>
          </cell>
          <cell r="AU53">
            <v>160.35422343324248</v>
          </cell>
          <cell r="AV53">
            <v>113.26975476839236</v>
          </cell>
          <cell r="AW53">
            <v>415.44959128065392</v>
          </cell>
          <cell r="AX53">
            <v>716.75749318801081</v>
          </cell>
        </row>
        <row r="54">
          <cell r="AM54">
            <v>2499</v>
          </cell>
          <cell r="AN54">
            <v>9857</v>
          </cell>
          <cell r="AO54">
            <v>1958</v>
          </cell>
          <cell r="AP54">
            <v>4540</v>
          </cell>
          <cell r="AQ54">
            <v>7763</v>
          </cell>
          <cell r="AR54">
            <v>21201</v>
          </cell>
          <cell r="AS54">
            <v>68.092643051771105</v>
          </cell>
          <cell r="AT54">
            <v>268.58310626702996</v>
          </cell>
          <cell r="AU54">
            <v>53.351498637602177</v>
          </cell>
          <cell r="AV54">
            <v>123.70572207084467</v>
          </cell>
          <cell r="AW54">
            <v>211.5258855585831</v>
          </cell>
          <cell r="AX54">
            <v>577.68392370572201</v>
          </cell>
        </row>
        <row r="55">
          <cell r="AM55">
            <v>1802</v>
          </cell>
          <cell r="AN55">
            <v>4233</v>
          </cell>
          <cell r="AO55">
            <v>6071</v>
          </cell>
          <cell r="AP55">
            <v>1405</v>
          </cell>
          <cell r="AQ55">
            <v>9925</v>
          </cell>
          <cell r="AR55">
            <v>12586</v>
          </cell>
          <cell r="AS55">
            <v>49.100817438692097</v>
          </cell>
          <cell r="AT55">
            <v>115.34059945504086</v>
          </cell>
          <cell r="AU55">
            <v>165.42234332425068</v>
          </cell>
          <cell r="AV55">
            <v>38.283378746594003</v>
          </cell>
          <cell r="AW55">
            <v>270.4359673024523</v>
          </cell>
          <cell r="AX55">
            <v>342.94277929155311</v>
          </cell>
        </row>
        <row r="56">
          <cell r="AN56">
            <v>7146</v>
          </cell>
          <cell r="AP56">
            <v>549</v>
          </cell>
          <cell r="AR56">
            <v>19352</v>
          </cell>
          <cell r="AT56">
            <v>194.71389645776566</v>
          </cell>
          <cell r="AV56">
            <v>14.959128065395094</v>
          </cell>
          <cell r="AX56">
            <v>527.30245231607626</v>
          </cell>
        </row>
        <row r="57">
          <cell r="AN57">
            <v>11462</v>
          </cell>
          <cell r="AP57">
            <v>3157</v>
          </cell>
          <cell r="AR57">
            <v>24074</v>
          </cell>
          <cell r="AT57">
            <v>312.31607629427788</v>
          </cell>
          <cell r="AV57">
            <v>86.021798365122606</v>
          </cell>
          <cell r="AX57">
            <v>655.96730245231606</v>
          </cell>
        </row>
        <row r="58">
          <cell r="AN58">
            <v>7295</v>
          </cell>
          <cell r="AP58">
            <v>5403</v>
          </cell>
          <cell r="AR58">
            <v>25027</v>
          </cell>
          <cell r="AT58">
            <v>198.77384196185284</v>
          </cell>
          <cell r="AV58">
            <v>147.22070844686647</v>
          </cell>
          <cell r="AX58">
            <v>681.93460490463212</v>
          </cell>
        </row>
        <row r="59">
          <cell r="AN59">
            <v>10758</v>
          </cell>
          <cell r="AP59">
            <v>4998</v>
          </cell>
          <cell r="AR59">
            <v>25130</v>
          </cell>
          <cell r="AT59">
            <v>293.13351498637599</v>
          </cell>
          <cell r="AV59">
            <v>136.18528610354221</v>
          </cell>
          <cell r="AX59">
            <v>684.74114441416884</v>
          </cell>
        </row>
        <row r="60">
          <cell r="AN60">
            <v>11769</v>
          </cell>
          <cell r="AP60">
            <v>3454</v>
          </cell>
          <cell r="AR60">
            <v>30618</v>
          </cell>
          <cell r="AT60">
            <v>320.68119891008172</v>
          </cell>
          <cell r="AV60">
            <v>94.114441416893726</v>
          </cell>
          <cell r="AX60">
            <v>834.27792915531325</v>
          </cell>
        </row>
        <row r="61">
          <cell r="AN61">
            <v>7011</v>
          </cell>
          <cell r="AP61">
            <v>4009</v>
          </cell>
          <cell r="AR61">
            <v>24868</v>
          </cell>
          <cell r="AT61">
            <v>191.03542234332423</v>
          </cell>
          <cell r="AV61">
            <v>109.23705722070844</v>
          </cell>
          <cell r="AX61">
            <v>677.60217983651216</v>
          </cell>
        </row>
        <row r="62">
          <cell r="AN62">
            <v>11865</v>
          </cell>
          <cell r="AP62">
            <v>2096</v>
          </cell>
          <cell r="AR62">
            <v>31239</v>
          </cell>
          <cell r="AT62">
            <v>323.29700272479562</v>
          </cell>
          <cell r="AV62">
            <v>57.1117166212534</v>
          </cell>
          <cell r="AX62">
            <v>851.19891008174375</v>
          </cell>
        </row>
        <row r="63">
          <cell r="AN63">
            <v>8446</v>
          </cell>
          <cell r="AP63">
            <v>4120</v>
          </cell>
          <cell r="AR63">
            <v>19579</v>
          </cell>
          <cell r="AT63">
            <v>230.13623978201633</v>
          </cell>
          <cell r="AV63">
            <v>112.26158038147138</v>
          </cell>
          <cell r="AX63">
            <v>533.48773841961849</v>
          </cell>
        </row>
        <row r="64">
          <cell r="AN64">
            <v>5632</v>
          </cell>
          <cell r="AP64">
            <v>2251</v>
          </cell>
          <cell r="AR64">
            <v>21647</v>
          </cell>
          <cell r="AT64">
            <v>153.46049046321525</v>
          </cell>
          <cell r="AV64">
            <v>61.335149863760215</v>
          </cell>
          <cell r="AX64">
            <v>589.83651226158031</v>
          </cell>
        </row>
        <row r="65">
          <cell r="AN65">
            <v>9366</v>
          </cell>
          <cell r="AP65">
            <v>3257</v>
          </cell>
          <cell r="AR65">
            <v>28568</v>
          </cell>
          <cell r="AT65">
            <v>255.2043596730245</v>
          </cell>
          <cell r="AV65">
            <v>88.74659400544958</v>
          </cell>
          <cell r="AX65">
            <v>778.41961852861027</v>
          </cell>
        </row>
        <row r="66">
          <cell r="AN66">
            <v>7405</v>
          </cell>
          <cell r="AP66">
            <v>8605</v>
          </cell>
          <cell r="AR66">
            <v>26077</v>
          </cell>
          <cell r="AT66">
            <v>201.77111716621252</v>
          </cell>
          <cell r="AV66">
            <v>234.46866485013624</v>
          </cell>
          <cell r="AX66">
            <v>710.54495912806533</v>
          </cell>
        </row>
        <row r="67">
          <cell r="AN67">
            <v>13686</v>
          </cell>
          <cell r="AP67">
            <v>4038</v>
          </cell>
          <cell r="AR67">
            <v>29739</v>
          </cell>
          <cell r="AT67">
            <v>372.91553133514981</v>
          </cell>
          <cell r="AV67">
            <v>110.02724795640326</v>
          </cell>
          <cell r="AX67">
            <v>810.32697547683915</v>
          </cell>
        </row>
        <row r="68">
          <cell r="AN68">
            <v>7567</v>
          </cell>
          <cell r="AP68">
            <v>4379</v>
          </cell>
          <cell r="AR68">
            <v>29492</v>
          </cell>
          <cell r="AT68">
            <v>206.18528610354221</v>
          </cell>
          <cell r="AV68">
            <v>119.31880108991825</v>
          </cell>
          <cell r="AX68">
            <v>803.59673024523158</v>
          </cell>
        </row>
        <row r="69">
          <cell r="AN69">
            <v>8168</v>
          </cell>
          <cell r="AP69">
            <v>6209</v>
          </cell>
          <cell r="AR69">
            <v>28770</v>
          </cell>
          <cell r="AT69">
            <v>222.56130790190733</v>
          </cell>
          <cell r="AV69">
            <v>169.18256130790189</v>
          </cell>
          <cell r="AX69">
            <v>783.92370572207074</v>
          </cell>
        </row>
        <row r="70">
          <cell r="AN70">
            <v>12390</v>
          </cell>
          <cell r="AP70">
            <v>6655</v>
          </cell>
          <cell r="AR70">
            <v>38043</v>
          </cell>
          <cell r="AT70">
            <v>337.60217983651222</v>
          </cell>
          <cell r="AV70">
            <v>181.33514986376019</v>
          </cell>
          <cell r="AX70">
            <v>1036.5940054495911</v>
          </cell>
        </row>
        <row r="71">
          <cell r="AN71">
            <v>15941</v>
          </cell>
          <cell r="AP71">
            <v>2210</v>
          </cell>
          <cell r="AR71">
            <v>27892</v>
          </cell>
          <cell r="AT71">
            <v>434.35967302452315</v>
          </cell>
          <cell r="AV71">
            <v>60.217983651226156</v>
          </cell>
          <cell r="AX71">
            <v>759.99999999999989</v>
          </cell>
        </row>
        <row r="72">
          <cell r="AN72">
            <v>15148</v>
          </cell>
          <cell r="AP72">
            <v>3610</v>
          </cell>
          <cell r="AR72">
            <v>36655</v>
          </cell>
          <cell r="AT72">
            <v>412.75204359673023</v>
          </cell>
          <cell r="AV72">
            <v>98.365122615803813</v>
          </cell>
          <cell r="AX72">
            <v>998.77384196185278</v>
          </cell>
        </row>
        <row r="73">
          <cell r="AN73">
            <v>13109</v>
          </cell>
          <cell r="AP73">
            <v>6897</v>
          </cell>
          <cell r="AR73">
            <v>36997</v>
          </cell>
          <cell r="AT73">
            <v>357.19346049046317</v>
          </cell>
          <cell r="AV73">
            <v>187.92915531335149</v>
          </cell>
          <cell r="AX73">
            <v>1008.092643051771</v>
          </cell>
        </row>
        <row r="74">
          <cell r="AN74">
            <v>14272</v>
          </cell>
          <cell r="AP74">
            <v>5996</v>
          </cell>
          <cell r="AR74">
            <v>30204</v>
          </cell>
          <cell r="AT74">
            <v>388.88283378746593</v>
          </cell>
          <cell r="AV74">
            <v>163.37874659400543</v>
          </cell>
          <cell r="AX74">
            <v>822.99727520435965</v>
          </cell>
        </row>
        <row r="75">
          <cell r="AN75">
            <v>16076</v>
          </cell>
          <cell r="AP75">
            <v>1436</v>
          </cell>
          <cell r="AR75">
            <v>31190</v>
          </cell>
          <cell r="AT75">
            <v>438.03814713896452</v>
          </cell>
          <cell r="AV75">
            <v>39.128065395095362</v>
          </cell>
          <cell r="AX75">
            <v>849.86376021798355</v>
          </cell>
        </row>
        <row r="76">
          <cell r="AN76">
            <v>9425</v>
          </cell>
          <cell r="AP76">
            <v>2488</v>
          </cell>
          <cell r="AR76">
            <v>26354</v>
          </cell>
          <cell r="AT76">
            <v>256.81198910081741</v>
          </cell>
          <cell r="AV76">
            <v>67.79291553133514</v>
          </cell>
          <cell r="AX76">
            <v>718.09264305177101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1">
          <cell r="B1" t="str">
            <v>3-Year Ave,</v>
          </cell>
          <cell r="C1" t="str">
            <v>3-Year Ave,</v>
          </cell>
        </row>
        <row r="2">
          <cell r="B2" t="str">
            <v>Total Sales</v>
          </cell>
          <cell r="C2" t="str">
            <v>Shipped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R33"/>
  <sheetViews>
    <sheetView tabSelected="1" zoomScale="125" zoomScaleNormal="125" workbookViewId="0">
      <selection activeCell="L10" sqref="L10"/>
    </sheetView>
  </sheetViews>
  <sheetFormatPr defaultRowHeight="13.2" x14ac:dyDescent="0.25"/>
  <cols>
    <col min="1" max="1" width="22.88671875" customWidth="1"/>
    <col min="2" max="2" width="3.88671875" customWidth="1"/>
    <col min="3" max="3" width="10.88671875" customWidth="1"/>
    <col min="4" max="4" width="8.6640625" customWidth="1"/>
    <col min="5" max="5" width="0.88671875" customWidth="1"/>
    <col min="6" max="6" width="11.6640625" customWidth="1"/>
    <col min="7" max="7" width="0.6640625" customWidth="1"/>
    <col min="8" max="8" width="9.5546875" customWidth="1"/>
    <col min="9" max="9" width="1.109375" customWidth="1"/>
    <col min="10" max="10" width="5.109375" customWidth="1"/>
    <col min="11" max="11" width="15.6640625" bestFit="1" customWidth="1"/>
    <col min="12" max="12" width="12.109375" bestFit="1" customWidth="1"/>
  </cols>
  <sheetData>
    <row r="1" spans="1:14" x14ac:dyDescent="0.25">
      <c r="A1" s="154"/>
      <c r="B1" s="159"/>
      <c r="C1" s="150"/>
      <c r="D1" s="150"/>
      <c r="E1" s="150"/>
      <c r="F1" s="150"/>
      <c r="G1" s="150"/>
      <c r="H1" s="150"/>
      <c r="I1" s="150"/>
      <c r="J1" s="150"/>
    </row>
    <row r="2" spans="1:14" ht="13.8" x14ac:dyDescent="0.25">
      <c r="A2" s="167"/>
      <c r="B2" s="167"/>
      <c r="C2" s="154"/>
      <c r="D2" s="154"/>
      <c r="E2" s="154"/>
      <c r="F2" s="154"/>
      <c r="G2" s="154"/>
      <c r="H2" s="168"/>
      <c r="I2" s="150"/>
      <c r="J2" s="150"/>
      <c r="K2" s="2"/>
      <c r="L2" s="2"/>
    </row>
    <row r="3" spans="1:14" ht="15.75" customHeight="1" x14ac:dyDescent="0.25">
      <c r="A3" s="169"/>
      <c r="B3" s="170"/>
      <c r="C3" s="170"/>
      <c r="D3" s="170"/>
      <c r="E3" s="79"/>
      <c r="F3" s="171"/>
      <c r="G3" s="171"/>
      <c r="H3" s="172"/>
      <c r="I3" s="150"/>
      <c r="J3" s="150"/>
      <c r="K3" s="2"/>
      <c r="L3" s="2"/>
    </row>
    <row r="4" spans="1:14" ht="12.75" customHeight="1" x14ac:dyDescent="0.25">
      <c r="A4" s="147"/>
      <c r="B4" s="148"/>
      <c r="C4" s="148"/>
      <c r="D4" s="148"/>
      <c r="E4" s="148"/>
      <c r="F4" s="149"/>
      <c r="G4" s="149"/>
      <c r="H4" s="172"/>
      <c r="I4" s="150"/>
      <c r="J4" s="150"/>
      <c r="K4" s="2"/>
      <c r="L4" s="2"/>
    </row>
    <row r="5" spans="1:14" ht="13.5" customHeight="1" x14ac:dyDescent="0.25">
      <c r="A5" s="147"/>
      <c r="B5" s="148"/>
      <c r="C5" s="148"/>
      <c r="D5" s="148"/>
      <c r="E5" s="148"/>
      <c r="F5" s="149"/>
      <c r="G5" s="149"/>
      <c r="H5" s="148"/>
      <c r="I5" s="150"/>
      <c r="J5" s="150"/>
      <c r="K5" s="2"/>
      <c r="L5" s="2"/>
    </row>
    <row r="6" spans="1:14" x14ac:dyDescent="0.25">
      <c r="A6" s="150"/>
      <c r="B6" s="173"/>
      <c r="C6" s="174"/>
      <c r="D6" s="174"/>
      <c r="E6" s="151"/>
      <c r="F6" s="150"/>
      <c r="G6" s="150"/>
      <c r="H6" s="175"/>
      <c r="I6" s="164"/>
      <c r="J6" s="150"/>
      <c r="K6" s="2"/>
      <c r="L6" s="2"/>
    </row>
    <row r="7" spans="1:14" ht="4.2" customHeight="1" x14ac:dyDescent="0.25">
      <c r="A7" s="150"/>
      <c r="B7" s="150"/>
      <c r="C7" s="150"/>
      <c r="D7" s="150"/>
      <c r="E7" s="150"/>
      <c r="F7" s="150"/>
      <c r="G7" s="150"/>
      <c r="H7" s="150"/>
      <c r="I7" s="164"/>
      <c r="J7" s="150"/>
      <c r="K7" s="2"/>
      <c r="L7" s="2"/>
    </row>
    <row r="8" spans="1:14" x14ac:dyDescent="0.25">
      <c r="A8" s="154"/>
      <c r="B8" s="87"/>
      <c r="C8" s="87"/>
      <c r="D8" s="87"/>
      <c r="E8" s="155"/>
      <c r="F8" s="152"/>
      <c r="G8" s="152"/>
      <c r="H8" s="176"/>
      <c r="I8" s="164"/>
      <c r="J8" s="150"/>
      <c r="K8" s="2"/>
      <c r="L8" s="2"/>
    </row>
    <row r="9" spans="1:14" x14ac:dyDescent="0.25">
      <c r="A9" s="154"/>
      <c r="B9" s="87"/>
      <c r="C9" s="87"/>
      <c r="D9" s="87"/>
      <c r="E9" s="155"/>
      <c r="F9" s="152"/>
      <c r="G9" s="152"/>
      <c r="H9" s="176"/>
      <c r="I9" s="164"/>
      <c r="J9" s="150"/>
      <c r="K9" s="2"/>
      <c r="L9" s="2"/>
    </row>
    <row r="10" spans="1:14" x14ac:dyDescent="0.25">
      <c r="A10" s="154"/>
      <c r="B10" s="87"/>
      <c r="C10" s="87"/>
      <c r="D10" s="87"/>
      <c r="E10" s="155"/>
      <c r="F10" s="152"/>
      <c r="G10" s="152"/>
      <c r="H10" s="176"/>
      <c r="I10" s="164"/>
      <c r="J10" s="150"/>
      <c r="K10" s="2"/>
      <c r="L10" s="2"/>
    </row>
    <row r="11" spans="1:14" ht="15" customHeight="1" x14ac:dyDescent="0.3">
      <c r="A11" s="154"/>
      <c r="B11" s="87"/>
      <c r="C11" s="87"/>
      <c r="D11" s="87"/>
      <c r="E11" s="155"/>
      <c r="F11" s="152"/>
      <c r="G11" s="152"/>
      <c r="H11" s="176"/>
      <c r="I11" s="164"/>
      <c r="J11" s="153"/>
      <c r="K11" s="1"/>
      <c r="L11" s="2"/>
      <c r="M11" s="91"/>
    </row>
    <row r="12" spans="1:14" x14ac:dyDescent="0.25">
      <c r="A12" s="154"/>
      <c r="B12" s="87"/>
      <c r="C12" s="87"/>
      <c r="D12" s="87"/>
      <c r="E12" s="155"/>
      <c r="F12" s="152"/>
      <c r="G12" s="152"/>
      <c r="H12" s="176"/>
      <c r="I12" s="164"/>
      <c r="J12" s="77"/>
      <c r="K12" s="78" t="s">
        <v>302</v>
      </c>
      <c r="L12" s="60"/>
      <c r="M12" s="60"/>
      <c r="N12" s="60"/>
    </row>
    <row r="13" spans="1:14" x14ac:dyDescent="0.25">
      <c r="A13" s="154"/>
      <c r="B13" s="87"/>
      <c r="C13" s="87"/>
      <c r="D13" s="87"/>
      <c r="E13" s="155"/>
      <c r="F13" s="152"/>
      <c r="G13" s="152"/>
      <c r="H13" s="176"/>
      <c r="I13" s="164"/>
      <c r="J13" s="77"/>
      <c r="K13" s="79"/>
      <c r="L13" s="60"/>
      <c r="M13" s="60"/>
      <c r="N13" s="60"/>
    </row>
    <row r="14" spans="1:14" x14ac:dyDescent="0.25">
      <c r="A14" s="154"/>
      <c r="B14" s="87"/>
      <c r="C14" s="87"/>
      <c r="D14" s="87"/>
      <c r="E14" s="155"/>
      <c r="F14" s="152"/>
      <c r="G14" s="152"/>
      <c r="H14" s="176"/>
      <c r="I14" s="164"/>
      <c r="J14" s="77"/>
      <c r="K14" s="79"/>
      <c r="L14" s="60"/>
      <c r="M14" s="60"/>
      <c r="N14" s="60"/>
    </row>
    <row r="15" spans="1:14" x14ac:dyDescent="0.25">
      <c r="A15" s="154"/>
      <c r="B15" s="87"/>
      <c r="C15" s="87"/>
      <c r="D15" s="87"/>
      <c r="E15" s="155"/>
      <c r="F15" s="152"/>
      <c r="G15" s="152"/>
      <c r="H15" s="176"/>
      <c r="I15" s="164"/>
      <c r="J15" s="77"/>
      <c r="K15" s="79"/>
      <c r="L15" s="60"/>
      <c r="M15" s="60"/>
      <c r="N15" s="60"/>
    </row>
    <row r="16" spans="1:14" x14ac:dyDescent="0.25">
      <c r="A16" s="154"/>
      <c r="B16" s="87"/>
      <c r="C16" s="87"/>
      <c r="D16" s="87"/>
      <c r="E16" s="155"/>
      <c r="F16" s="152"/>
      <c r="G16" s="152"/>
      <c r="H16" s="176"/>
      <c r="I16" s="150"/>
      <c r="J16" s="150"/>
      <c r="K16" s="60"/>
      <c r="L16" s="60"/>
      <c r="M16" s="60"/>
      <c r="N16" s="60"/>
    </row>
    <row r="17" spans="1:18" x14ac:dyDescent="0.25">
      <c r="A17" s="154"/>
      <c r="B17" s="87"/>
      <c r="C17" s="87"/>
      <c r="D17" s="87"/>
      <c r="E17" s="155"/>
      <c r="F17" s="152"/>
      <c r="G17" s="152"/>
      <c r="H17" s="176"/>
      <c r="I17" s="164"/>
      <c r="J17" s="70"/>
      <c r="K17" s="60"/>
      <c r="L17" s="60"/>
      <c r="M17" s="60"/>
      <c r="N17" s="60"/>
    </row>
    <row r="18" spans="1:18" x14ac:dyDescent="0.25">
      <c r="A18" s="147"/>
      <c r="B18" s="177"/>
      <c r="C18" s="177"/>
      <c r="D18" s="177"/>
      <c r="E18" s="157"/>
      <c r="F18" s="158"/>
      <c r="G18" s="178"/>
      <c r="H18" s="179"/>
      <c r="I18" s="178"/>
      <c r="J18" s="164"/>
      <c r="K18" s="78"/>
      <c r="L18" s="60"/>
      <c r="M18" s="60"/>
      <c r="N18" s="60"/>
    </row>
    <row r="19" spans="1:18" ht="15.75" customHeight="1" x14ac:dyDescent="0.25">
      <c r="A19" s="147"/>
      <c r="B19" s="156"/>
      <c r="C19" s="156"/>
      <c r="D19" s="156"/>
      <c r="E19" s="157"/>
      <c r="F19" s="158"/>
      <c r="G19" s="158"/>
      <c r="H19" s="179"/>
      <c r="I19" s="164"/>
      <c r="J19" s="180"/>
      <c r="K19" s="20"/>
      <c r="L19" s="16"/>
    </row>
    <row r="20" spans="1:18" x14ac:dyDescent="0.25">
      <c r="A20" s="159"/>
      <c r="B20" s="181"/>
      <c r="C20" s="181"/>
      <c r="D20" s="181"/>
      <c r="E20" s="150"/>
      <c r="F20" s="158"/>
      <c r="G20" s="158"/>
      <c r="H20" s="182"/>
      <c r="I20" s="164"/>
      <c r="J20" s="180"/>
      <c r="K20" s="20"/>
      <c r="L20" s="31"/>
    </row>
    <row r="21" spans="1:18" ht="14.4" customHeight="1" x14ac:dyDescent="0.25">
      <c r="A21" s="154"/>
      <c r="B21" s="87"/>
      <c r="C21" s="183"/>
      <c r="D21" s="183"/>
      <c r="E21" s="157"/>
      <c r="F21" s="158"/>
      <c r="G21" s="158"/>
      <c r="H21" s="179"/>
      <c r="I21" s="164"/>
      <c r="J21" s="184"/>
      <c r="K21" s="20"/>
      <c r="L21" s="31"/>
      <c r="M21" s="90"/>
    </row>
    <row r="22" spans="1:18" ht="25.2" customHeight="1" x14ac:dyDescent="0.25">
      <c r="A22" s="185"/>
      <c r="B22" s="186"/>
      <c r="C22" s="186"/>
      <c r="D22" s="186"/>
      <c r="E22" s="182"/>
      <c r="F22" s="187"/>
      <c r="G22" s="187"/>
      <c r="H22" s="186"/>
      <c r="I22" s="164"/>
      <c r="J22" s="164"/>
      <c r="K22" s="92"/>
      <c r="M22" s="90"/>
    </row>
    <row r="23" spans="1:18" x14ac:dyDescent="0.25">
      <c r="A23" s="147"/>
      <c r="B23" s="161"/>
      <c r="C23" s="161"/>
      <c r="D23" s="161"/>
      <c r="E23" s="188"/>
      <c r="F23" s="158"/>
      <c r="G23" s="189"/>
      <c r="H23" s="190"/>
      <c r="I23" s="164"/>
      <c r="J23" s="160"/>
      <c r="K23" s="27"/>
      <c r="L23" s="49"/>
      <c r="M23" s="22"/>
      <c r="N23" s="22"/>
      <c r="O23" s="22"/>
      <c r="P23" s="22"/>
      <c r="Q23" s="22"/>
      <c r="R23" s="49"/>
    </row>
    <row r="24" spans="1:18" ht="12" customHeight="1" x14ac:dyDescent="0.25">
      <c r="A24" s="191"/>
      <c r="B24" s="191"/>
      <c r="C24" s="191"/>
      <c r="D24" s="191"/>
      <c r="E24" s="191"/>
      <c r="F24" s="191"/>
      <c r="G24" s="191"/>
      <c r="H24" s="191"/>
      <c r="I24" s="164"/>
      <c r="J24" s="161"/>
      <c r="K24" s="27"/>
      <c r="L24" s="50"/>
      <c r="M24" s="22"/>
      <c r="N24" s="22"/>
      <c r="O24" s="22"/>
      <c r="P24" s="22"/>
      <c r="Q24" s="22"/>
      <c r="R24" s="49"/>
    </row>
    <row r="25" spans="1:18" ht="12" customHeight="1" x14ac:dyDescent="0.25">
      <c r="A25" s="162"/>
      <c r="B25" s="162"/>
      <c r="C25" s="163"/>
      <c r="D25" s="163"/>
      <c r="E25" s="163"/>
      <c r="F25" s="163"/>
      <c r="G25" s="163"/>
      <c r="H25" s="163"/>
      <c r="I25" s="164"/>
      <c r="J25" s="164"/>
      <c r="K25" s="27"/>
      <c r="L25" s="51"/>
      <c r="M25" s="22"/>
      <c r="N25" s="22"/>
      <c r="O25" s="22"/>
      <c r="P25" s="22"/>
      <c r="Q25" s="22"/>
      <c r="R25" s="49"/>
    </row>
    <row r="26" spans="1:18" ht="23.4" customHeight="1" x14ac:dyDescent="0.25">
      <c r="A26" s="165"/>
      <c r="B26" s="165"/>
      <c r="C26" s="165"/>
      <c r="D26" s="165"/>
      <c r="E26" s="165"/>
      <c r="F26" s="165"/>
      <c r="G26" s="165"/>
      <c r="H26" s="165"/>
      <c r="I26" s="164"/>
      <c r="J26" s="164"/>
      <c r="K26" s="28"/>
      <c r="L26" s="22"/>
      <c r="M26" s="49"/>
      <c r="N26" s="22"/>
      <c r="O26" s="22"/>
      <c r="P26" s="22"/>
      <c r="Q26" s="22"/>
      <c r="R26" s="49"/>
    </row>
    <row r="27" spans="1:18" ht="13.2" customHeight="1" x14ac:dyDescent="0.25">
      <c r="A27" s="166"/>
      <c r="B27" s="166"/>
      <c r="C27" s="166"/>
      <c r="D27" s="166"/>
      <c r="E27" s="166"/>
      <c r="F27" s="166"/>
      <c r="G27" s="166"/>
      <c r="H27" s="166"/>
      <c r="I27" s="164"/>
      <c r="J27" s="164"/>
      <c r="K27" s="4"/>
    </row>
    <row r="28" spans="1:18" s="22" customFormat="1" ht="18.600000000000001" x14ac:dyDescent="0.3">
      <c r="A28" s="134"/>
      <c r="B28" s="134"/>
      <c r="C28" s="134"/>
      <c r="D28" s="134"/>
      <c r="E28" s="134"/>
      <c r="F28" s="134"/>
      <c r="G28" s="134"/>
      <c r="H28" s="134"/>
      <c r="I28" s="134"/>
      <c r="J28" s="73"/>
      <c r="K28" s="73"/>
    </row>
    <row r="29" spans="1:18" x14ac:dyDescent="0.25">
      <c r="A29" s="132"/>
      <c r="B29" s="132"/>
      <c r="C29" s="132"/>
      <c r="D29" s="132"/>
      <c r="E29" s="132"/>
      <c r="F29" s="132"/>
      <c r="G29" s="132"/>
      <c r="H29" s="132"/>
      <c r="I29" s="132"/>
      <c r="J29" s="45"/>
      <c r="K29" s="46"/>
    </row>
    <row r="30" spans="1:18" ht="21" customHeight="1" x14ac:dyDescent="0.25">
      <c r="A30" s="133"/>
      <c r="B30" s="133"/>
      <c r="C30" s="133"/>
      <c r="D30" s="133"/>
      <c r="E30" s="133"/>
      <c r="F30" s="133"/>
      <c r="G30" s="133"/>
      <c r="H30" s="133"/>
      <c r="I30" s="45"/>
      <c r="J30" s="45"/>
      <c r="K30" s="45"/>
    </row>
    <row r="31" spans="1:18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spans="1:18" x14ac:dyDescent="0.25">
      <c r="A32" s="45"/>
      <c r="B32" s="45"/>
      <c r="C32" s="47"/>
      <c r="D32" s="45"/>
      <c r="E32" s="45"/>
      <c r="F32" s="45"/>
      <c r="G32" s="45"/>
      <c r="H32" s="45"/>
      <c r="I32" s="45"/>
      <c r="J32" s="45"/>
      <c r="K32" s="45"/>
    </row>
    <row r="33" spans="1:11" x14ac:dyDescent="0.25">
      <c r="A33" s="45"/>
      <c r="B33" s="45"/>
      <c r="C33" s="46"/>
      <c r="D33" s="45"/>
      <c r="E33" s="45"/>
      <c r="F33" s="45"/>
      <c r="G33" s="45"/>
      <c r="H33" s="45"/>
      <c r="I33" s="45"/>
      <c r="J33" s="45"/>
      <c r="K33" s="45"/>
    </row>
  </sheetData>
  <mergeCells count="8">
    <mergeCell ref="A29:I29"/>
    <mergeCell ref="A30:H30"/>
    <mergeCell ref="B3:D3"/>
    <mergeCell ref="A27:H27"/>
    <mergeCell ref="A24:H24"/>
    <mergeCell ref="A26:H26"/>
    <mergeCell ref="C6:D6"/>
    <mergeCell ref="A28:I28"/>
  </mergeCells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R432"/>
  <sheetViews>
    <sheetView workbookViewId="0">
      <pane xSplit="3" ySplit="2" topLeftCell="D380" activePane="bottomRight" state="frozen"/>
      <selection pane="topRight" activeCell="D1" sqref="D1"/>
      <selection pane="bottomLeft" activeCell="A3" sqref="A3"/>
      <selection pane="bottomRight" activeCell="J400" sqref="J400:J401"/>
    </sheetView>
  </sheetViews>
  <sheetFormatPr defaultRowHeight="13.2" x14ac:dyDescent="0.25"/>
  <cols>
    <col min="1" max="1" width="10.44140625" customWidth="1"/>
    <col min="2" max="2" width="9.33203125" customWidth="1"/>
    <col min="3" max="3" width="9.109375" customWidth="1"/>
    <col min="8" max="8" width="11.5546875" bestFit="1" customWidth="1"/>
    <col min="11" max="11" width="10.44140625" bestFit="1" customWidth="1"/>
  </cols>
  <sheetData>
    <row r="1" spans="1:18" x14ac:dyDescent="0.25">
      <c r="A1" s="48" t="s">
        <v>114</v>
      </c>
      <c r="B1" s="48"/>
      <c r="C1" s="48"/>
      <c r="D1" t="s">
        <v>4</v>
      </c>
      <c r="F1" s="135" t="s">
        <v>5</v>
      </c>
      <c r="G1" s="136"/>
      <c r="H1" s="135" t="s">
        <v>6</v>
      </c>
      <c r="I1" s="136"/>
      <c r="J1" s="129" t="s">
        <v>301</v>
      </c>
    </row>
    <row r="2" spans="1:18" x14ac:dyDescent="0.25">
      <c r="B2" s="48" t="s">
        <v>220</v>
      </c>
      <c r="D2" s="6" t="s">
        <v>32</v>
      </c>
      <c r="E2" s="6" t="s">
        <v>33</v>
      </c>
      <c r="F2" s="6" t="s">
        <v>32</v>
      </c>
      <c r="G2" s="6" t="s">
        <v>33</v>
      </c>
      <c r="H2" s="6" t="s">
        <v>32</v>
      </c>
      <c r="I2" s="6" t="s">
        <v>33</v>
      </c>
      <c r="J2" s="9" t="s">
        <v>8</v>
      </c>
      <c r="N2" t="s">
        <v>17</v>
      </c>
    </row>
    <row r="3" spans="1:18" x14ac:dyDescent="0.25">
      <c r="A3" s="10">
        <v>38855</v>
      </c>
      <c r="B3" s="10"/>
      <c r="C3" s="10"/>
      <c r="D3">
        <v>1821.2</v>
      </c>
      <c r="E3">
        <v>1864.7</v>
      </c>
      <c r="F3">
        <v>24408.400000000001</v>
      </c>
      <c r="G3">
        <v>25531</v>
      </c>
      <c r="H3">
        <v>26229.599999999999</v>
      </c>
      <c r="I3">
        <v>27395.599999999999</v>
      </c>
      <c r="J3" s="14">
        <f>+(H3/I3-1)*100</f>
        <v>-4.2561579231701447</v>
      </c>
      <c r="L3">
        <v>2087.6</v>
      </c>
      <c r="M3">
        <v>1945.6</v>
      </c>
    </row>
    <row r="4" spans="1:18" x14ac:dyDescent="0.25">
      <c r="A4" s="10">
        <f>+A3+7</f>
        <v>38862</v>
      </c>
      <c r="B4" s="10"/>
      <c r="C4" s="10"/>
      <c r="D4">
        <v>1341.4</v>
      </c>
      <c r="E4">
        <v>1350.7</v>
      </c>
      <c r="F4">
        <v>24828.1</v>
      </c>
      <c r="G4">
        <v>26116.5</v>
      </c>
      <c r="H4">
        <f>+D4+F4</f>
        <v>26169.5</v>
      </c>
      <c r="I4">
        <f>+E4+G4</f>
        <v>27467.200000000001</v>
      </c>
      <c r="J4" s="14">
        <f>+(H4/I4-1)*100</f>
        <v>-4.7245441836080921</v>
      </c>
      <c r="L4">
        <v>2500</v>
      </c>
      <c r="M4">
        <v>2304.1999999999998</v>
      </c>
    </row>
    <row r="5" spans="1:18" x14ac:dyDescent="0.25">
      <c r="A5" s="58">
        <v>38869</v>
      </c>
      <c r="B5" s="58"/>
      <c r="C5" s="58"/>
      <c r="D5">
        <v>3651.1</v>
      </c>
      <c r="E5">
        <v>3648.7</v>
      </c>
      <c r="F5">
        <v>35.799999999999997</v>
      </c>
      <c r="G5">
        <v>105.1</v>
      </c>
      <c r="H5">
        <f t="shared" ref="H5:I7" si="0">+D5+F5</f>
        <v>3686.9</v>
      </c>
      <c r="I5">
        <f t="shared" si="0"/>
        <v>3753.7999999999997</v>
      </c>
      <c r="J5" s="14">
        <f t="shared" ref="J5:J49" si="1">+(H5/I5-1)*100</f>
        <v>-1.7821940433693784</v>
      </c>
    </row>
    <row r="6" spans="1:18" x14ac:dyDescent="0.25">
      <c r="A6" s="10">
        <f t="shared" ref="A6:A57" si="2">+A5+7</f>
        <v>38876</v>
      </c>
      <c r="B6" s="10"/>
      <c r="C6" s="10"/>
      <c r="D6">
        <v>3724.1</v>
      </c>
      <c r="E6">
        <v>3590.3</v>
      </c>
      <c r="F6">
        <v>424</v>
      </c>
      <c r="G6">
        <v>493.4</v>
      </c>
      <c r="H6">
        <f t="shared" si="0"/>
        <v>4148.1000000000004</v>
      </c>
      <c r="I6">
        <f t="shared" si="0"/>
        <v>4083.7000000000003</v>
      </c>
      <c r="J6" s="14">
        <f t="shared" si="1"/>
        <v>1.5770012488674601</v>
      </c>
      <c r="O6">
        <f>+H6-H5</f>
        <v>461.20000000000027</v>
      </c>
      <c r="P6">
        <f>+I6-I5</f>
        <v>329.90000000000055</v>
      </c>
    </row>
    <row r="7" spans="1:18" x14ac:dyDescent="0.25">
      <c r="A7" s="10">
        <f t="shared" si="2"/>
        <v>38883</v>
      </c>
      <c r="B7" s="10"/>
      <c r="C7" s="10"/>
      <c r="D7">
        <v>3600.1</v>
      </c>
      <c r="E7">
        <v>3775.1</v>
      </c>
      <c r="F7">
        <v>864.2</v>
      </c>
      <c r="G7">
        <v>821</v>
      </c>
      <c r="H7">
        <f t="shared" si="0"/>
        <v>4464.3</v>
      </c>
      <c r="I7">
        <f t="shared" si="0"/>
        <v>4596.1000000000004</v>
      </c>
      <c r="J7" s="14">
        <f t="shared" si="1"/>
        <v>-2.867648658645372</v>
      </c>
      <c r="O7">
        <f t="shared" ref="O7:O63" si="3">+H7-H6</f>
        <v>316.19999999999982</v>
      </c>
      <c r="P7">
        <f t="shared" ref="P7:P63" si="4">+I7-I6</f>
        <v>512.40000000000009</v>
      </c>
      <c r="Q7">
        <f>+O7+O6</f>
        <v>777.40000000000009</v>
      </c>
      <c r="R7">
        <f>+P7+P6</f>
        <v>842.30000000000064</v>
      </c>
    </row>
    <row r="8" spans="1:18" x14ac:dyDescent="0.25">
      <c r="A8" s="10">
        <f t="shared" si="2"/>
        <v>38890</v>
      </c>
      <c r="B8" s="10"/>
      <c r="C8" s="10"/>
      <c r="D8">
        <v>3769.6</v>
      </c>
      <c r="E8">
        <v>3945.6</v>
      </c>
      <c r="F8">
        <v>1237.2</v>
      </c>
      <c r="G8">
        <v>1238</v>
      </c>
      <c r="H8">
        <f t="shared" ref="H8:I49" si="5">+D8+F8</f>
        <v>5006.8</v>
      </c>
      <c r="I8">
        <f t="shared" si="5"/>
        <v>5183.6000000000004</v>
      </c>
      <c r="J8" s="14">
        <f t="shared" si="1"/>
        <v>-3.4107570028551581</v>
      </c>
      <c r="N8">
        <v>24490</v>
      </c>
      <c r="O8">
        <f t="shared" si="3"/>
        <v>542.5</v>
      </c>
      <c r="P8">
        <f t="shared" si="4"/>
        <v>587.5</v>
      </c>
      <c r="Q8">
        <f>+O8+O7</f>
        <v>858.69999999999982</v>
      </c>
      <c r="R8">
        <f>+P8+P7</f>
        <v>1099.9000000000001</v>
      </c>
    </row>
    <row r="9" spans="1:18" x14ac:dyDescent="0.25">
      <c r="A9" s="10">
        <f t="shared" si="2"/>
        <v>38897</v>
      </c>
      <c r="B9" s="10"/>
      <c r="C9" s="10"/>
      <c r="D9">
        <v>3686.3</v>
      </c>
      <c r="E9">
        <v>4119.1000000000004</v>
      </c>
      <c r="F9">
        <v>1619.2</v>
      </c>
      <c r="G9">
        <v>1694.3</v>
      </c>
      <c r="H9">
        <f t="shared" si="5"/>
        <v>5305.5</v>
      </c>
      <c r="I9" s="19">
        <f t="shared" si="5"/>
        <v>5813.4000000000005</v>
      </c>
      <c r="J9" s="24">
        <f t="shared" si="1"/>
        <v>-8.736711734957181</v>
      </c>
      <c r="O9">
        <f t="shared" si="3"/>
        <v>298.69999999999982</v>
      </c>
      <c r="P9">
        <f t="shared" si="4"/>
        <v>629.80000000000018</v>
      </c>
      <c r="Q9">
        <f t="shared" ref="Q9:Q69" si="6">+O9+O8</f>
        <v>841.19999999999982</v>
      </c>
      <c r="R9">
        <f t="shared" ref="R9:R69" si="7">+P9+P8</f>
        <v>1217.3000000000002</v>
      </c>
    </row>
    <row r="10" spans="1:18" x14ac:dyDescent="0.25">
      <c r="A10" s="10">
        <f t="shared" si="2"/>
        <v>38904</v>
      </c>
      <c r="B10" s="10"/>
      <c r="C10" s="10"/>
      <c r="D10">
        <v>3592.4</v>
      </c>
      <c r="E10">
        <v>4125.5</v>
      </c>
      <c r="F10">
        <v>1914.4</v>
      </c>
      <c r="G10">
        <v>1996.4</v>
      </c>
      <c r="H10">
        <f t="shared" si="5"/>
        <v>5506.8</v>
      </c>
      <c r="I10" s="19">
        <f t="shared" si="5"/>
        <v>6121.9</v>
      </c>
      <c r="J10" s="24">
        <f t="shared" si="1"/>
        <v>-10.047534262238845</v>
      </c>
      <c r="O10">
        <f t="shared" si="3"/>
        <v>201.30000000000018</v>
      </c>
      <c r="P10">
        <f t="shared" si="4"/>
        <v>308.49999999999909</v>
      </c>
      <c r="Q10">
        <f t="shared" si="6"/>
        <v>500</v>
      </c>
      <c r="R10">
        <f t="shared" si="7"/>
        <v>938.29999999999927</v>
      </c>
    </row>
    <row r="11" spans="1:18" x14ac:dyDescent="0.25">
      <c r="A11" s="10">
        <f t="shared" si="2"/>
        <v>38911</v>
      </c>
      <c r="B11" s="10"/>
      <c r="C11" s="10"/>
      <c r="D11">
        <v>3461.2</v>
      </c>
      <c r="E11">
        <v>4286.3</v>
      </c>
      <c r="F11">
        <v>2374.8000000000002</v>
      </c>
      <c r="G11">
        <v>2424.6</v>
      </c>
      <c r="H11">
        <f t="shared" si="5"/>
        <v>5836</v>
      </c>
      <c r="I11" s="19">
        <f t="shared" si="5"/>
        <v>6710.9</v>
      </c>
      <c r="J11" s="24">
        <f t="shared" si="1"/>
        <v>-13.036999508262671</v>
      </c>
      <c r="O11">
        <f t="shared" si="3"/>
        <v>329.19999999999982</v>
      </c>
      <c r="P11">
        <f t="shared" si="4"/>
        <v>589</v>
      </c>
      <c r="Q11">
        <f t="shared" si="6"/>
        <v>530.5</v>
      </c>
      <c r="R11">
        <f t="shared" si="7"/>
        <v>897.49999999999909</v>
      </c>
    </row>
    <row r="12" spans="1:18" x14ac:dyDescent="0.25">
      <c r="A12" s="10">
        <f t="shared" si="2"/>
        <v>38918</v>
      </c>
      <c r="B12" s="10"/>
      <c r="C12" s="10"/>
      <c r="D12">
        <v>3399.1</v>
      </c>
      <c r="E12">
        <v>4331.2</v>
      </c>
      <c r="F12">
        <v>2901.6</v>
      </c>
      <c r="G12">
        <v>2902.6</v>
      </c>
      <c r="H12">
        <f t="shared" si="5"/>
        <v>6300.7</v>
      </c>
      <c r="I12" s="19">
        <f t="shared" si="5"/>
        <v>7233.7999999999993</v>
      </c>
      <c r="J12" s="24">
        <f t="shared" si="1"/>
        <v>-12.899167795626088</v>
      </c>
      <c r="O12">
        <f t="shared" si="3"/>
        <v>464.69999999999982</v>
      </c>
      <c r="P12">
        <f t="shared" si="4"/>
        <v>522.89999999999964</v>
      </c>
      <c r="Q12">
        <f t="shared" si="6"/>
        <v>793.89999999999964</v>
      </c>
      <c r="R12">
        <f t="shared" si="7"/>
        <v>1111.8999999999996</v>
      </c>
    </row>
    <row r="13" spans="1:18" x14ac:dyDescent="0.25">
      <c r="A13" s="10">
        <f t="shared" si="2"/>
        <v>38925</v>
      </c>
      <c r="B13" s="10"/>
      <c r="C13" s="10"/>
      <c r="D13">
        <v>3611.8</v>
      </c>
      <c r="E13">
        <v>4569.3999999999996</v>
      </c>
      <c r="F13">
        <v>3272.2</v>
      </c>
      <c r="G13">
        <v>3526.7</v>
      </c>
      <c r="H13">
        <f t="shared" si="5"/>
        <v>6884</v>
      </c>
      <c r="I13" s="19">
        <f t="shared" si="5"/>
        <v>8096.0999999999995</v>
      </c>
      <c r="J13" s="24">
        <f t="shared" si="1"/>
        <v>-14.971405985597997</v>
      </c>
      <c r="O13">
        <f t="shared" si="3"/>
        <v>583.30000000000018</v>
      </c>
      <c r="P13">
        <f t="shared" si="4"/>
        <v>862.30000000000018</v>
      </c>
      <c r="Q13">
        <f t="shared" si="6"/>
        <v>1048</v>
      </c>
      <c r="R13">
        <f t="shared" si="7"/>
        <v>1385.1999999999998</v>
      </c>
    </row>
    <row r="14" spans="1:18" x14ac:dyDescent="0.25">
      <c r="A14" s="10">
        <f t="shared" si="2"/>
        <v>38932</v>
      </c>
      <c r="B14" s="10"/>
      <c r="C14" s="10"/>
      <c r="D14">
        <v>3451.1</v>
      </c>
      <c r="E14">
        <v>4450.3</v>
      </c>
      <c r="F14">
        <v>3828.6</v>
      </c>
      <c r="G14">
        <v>4266.7</v>
      </c>
      <c r="H14">
        <f t="shared" si="5"/>
        <v>7279.7</v>
      </c>
      <c r="I14" s="19">
        <f t="shared" si="5"/>
        <v>8717</v>
      </c>
      <c r="J14" s="24">
        <f t="shared" si="1"/>
        <v>-16.488470804175748</v>
      </c>
      <c r="O14">
        <f t="shared" si="3"/>
        <v>395.69999999999982</v>
      </c>
      <c r="P14">
        <f t="shared" si="4"/>
        <v>620.90000000000055</v>
      </c>
      <c r="Q14">
        <f t="shared" si="6"/>
        <v>979</v>
      </c>
      <c r="R14">
        <f t="shared" si="7"/>
        <v>1483.2000000000007</v>
      </c>
    </row>
    <row r="15" spans="1:18" x14ac:dyDescent="0.25">
      <c r="A15" s="10">
        <f t="shared" si="2"/>
        <v>38939</v>
      </c>
      <c r="B15" s="10"/>
      <c r="C15" s="10"/>
      <c r="D15">
        <v>3451.1</v>
      </c>
      <c r="E15">
        <v>4350</v>
      </c>
      <c r="F15">
        <v>4216.3</v>
      </c>
      <c r="G15">
        <v>4835.3999999999996</v>
      </c>
      <c r="H15">
        <f t="shared" si="5"/>
        <v>7667.4</v>
      </c>
      <c r="I15" s="19">
        <f t="shared" si="5"/>
        <v>9185.4</v>
      </c>
      <c r="J15" s="24">
        <f t="shared" si="1"/>
        <v>-16.526226402769616</v>
      </c>
      <c r="O15">
        <f t="shared" si="3"/>
        <v>387.69999999999982</v>
      </c>
      <c r="P15">
        <f t="shared" si="4"/>
        <v>468.39999999999964</v>
      </c>
      <c r="Q15">
        <f t="shared" si="6"/>
        <v>783.39999999999964</v>
      </c>
      <c r="R15">
        <f t="shared" si="7"/>
        <v>1089.3000000000002</v>
      </c>
    </row>
    <row r="16" spans="1:18" x14ac:dyDescent="0.25">
      <c r="A16" s="10">
        <f t="shared" si="2"/>
        <v>38946</v>
      </c>
      <c r="B16" s="10"/>
      <c r="C16" s="10"/>
      <c r="D16">
        <v>3454</v>
      </c>
      <c r="E16">
        <v>4815.1000000000004</v>
      </c>
      <c r="F16">
        <v>4607</v>
      </c>
      <c r="G16">
        <v>5223.7</v>
      </c>
      <c r="H16">
        <f t="shared" si="5"/>
        <v>8061</v>
      </c>
      <c r="I16" s="19">
        <f t="shared" si="5"/>
        <v>10038.799999999999</v>
      </c>
      <c r="J16" s="24">
        <f t="shared" si="1"/>
        <v>-19.701557955134074</v>
      </c>
      <c r="O16">
        <f t="shared" si="3"/>
        <v>393.60000000000036</v>
      </c>
      <c r="P16">
        <f t="shared" si="4"/>
        <v>853.39999999999964</v>
      </c>
      <c r="Q16">
        <f t="shared" si="6"/>
        <v>781.30000000000018</v>
      </c>
      <c r="R16">
        <f t="shared" si="7"/>
        <v>1321.7999999999993</v>
      </c>
    </row>
    <row r="17" spans="1:18" x14ac:dyDescent="0.25">
      <c r="A17" s="10">
        <f t="shared" si="2"/>
        <v>38953</v>
      </c>
      <c r="B17" s="10"/>
      <c r="C17" s="10"/>
      <c r="D17">
        <v>3463.9</v>
      </c>
      <c r="E17">
        <v>4644.8999999999996</v>
      </c>
      <c r="F17">
        <v>5032.5</v>
      </c>
      <c r="G17">
        <v>5790.7</v>
      </c>
      <c r="H17">
        <f t="shared" si="5"/>
        <v>8496.4</v>
      </c>
      <c r="I17" s="19">
        <f t="shared" si="5"/>
        <v>10435.599999999999</v>
      </c>
      <c r="J17" s="24">
        <f t="shared" si="1"/>
        <v>-18.58254436735788</v>
      </c>
      <c r="O17">
        <f t="shared" si="3"/>
        <v>435.39999999999964</v>
      </c>
      <c r="P17">
        <f t="shared" si="4"/>
        <v>396.79999999999927</v>
      </c>
      <c r="Q17">
        <f t="shared" si="6"/>
        <v>829</v>
      </c>
      <c r="R17">
        <f t="shared" si="7"/>
        <v>1250.1999999999989</v>
      </c>
    </row>
    <row r="18" spans="1:18" x14ac:dyDescent="0.25">
      <c r="A18" s="10">
        <f t="shared" si="2"/>
        <v>38960</v>
      </c>
      <c r="B18" s="10"/>
      <c r="C18" s="10"/>
      <c r="D18">
        <v>3222.1</v>
      </c>
      <c r="E18">
        <v>5066.7</v>
      </c>
      <c r="F18">
        <v>5657.7</v>
      </c>
      <c r="G18">
        <v>6222.9</v>
      </c>
      <c r="H18">
        <f t="shared" si="5"/>
        <v>8879.7999999999993</v>
      </c>
      <c r="I18" s="19">
        <f t="shared" si="5"/>
        <v>11289.599999999999</v>
      </c>
      <c r="J18" s="24">
        <f t="shared" si="1"/>
        <v>-21.345308956916099</v>
      </c>
      <c r="O18">
        <f t="shared" si="3"/>
        <v>383.39999999999964</v>
      </c>
      <c r="P18">
        <f t="shared" si="4"/>
        <v>854</v>
      </c>
      <c r="Q18">
        <f t="shared" si="6"/>
        <v>818.79999999999927</v>
      </c>
      <c r="R18">
        <f t="shared" si="7"/>
        <v>1250.7999999999993</v>
      </c>
    </row>
    <row r="19" spans="1:18" x14ac:dyDescent="0.25">
      <c r="A19" s="10">
        <f t="shared" si="2"/>
        <v>38967</v>
      </c>
      <c r="B19" s="10"/>
      <c r="C19" s="10"/>
      <c r="D19">
        <v>3343.4</v>
      </c>
      <c r="E19">
        <v>5263</v>
      </c>
      <c r="F19">
        <v>5873.7</v>
      </c>
      <c r="G19">
        <v>6610.9</v>
      </c>
      <c r="H19">
        <f t="shared" si="5"/>
        <v>9217.1</v>
      </c>
      <c r="I19" s="19">
        <f t="shared" si="5"/>
        <v>11873.9</v>
      </c>
      <c r="J19" s="24">
        <f t="shared" si="1"/>
        <v>-22.375125274762286</v>
      </c>
      <c r="O19">
        <f t="shared" si="3"/>
        <v>337.30000000000109</v>
      </c>
      <c r="P19">
        <f t="shared" si="4"/>
        <v>584.30000000000109</v>
      </c>
      <c r="Q19">
        <f t="shared" si="6"/>
        <v>720.70000000000073</v>
      </c>
      <c r="R19">
        <f t="shared" si="7"/>
        <v>1438.3000000000011</v>
      </c>
    </row>
    <row r="20" spans="1:18" x14ac:dyDescent="0.25">
      <c r="A20" s="10">
        <f t="shared" si="2"/>
        <v>38974</v>
      </c>
      <c r="B20" s="10"/>
      <c r="C20" s="10"/>
      <c r="D20">
        <v>3334</v>
      </c>
      <c r="E20">
        <v>5252.4</v>
      </c>
      <c r="F20">
        <v>6402.6</v>
      </c>
      <c r="G20">
        <v>7416.5</v>
      </c>
      <c r="H20">
        <f t="shared" si="5"/>
        <v>9736.6</v>
      </c>
      <c r="I20" s="19">
        <f t="shared" si="5"/>
        <v>12668.9</v>
      </c>
      <c r="J20" s="24">
        <f t="shared" si="1"/>
        <v>-23.145655897512807</v>
      </c>
      <c r="O20">
        <f t="shared" si="3"/>
        <v>519.5</v>
      </c>
      <c r="P20">
        <f t="shared" si="4"/>
        <v>795</v>
      </c>
      <c r="Q20">
        <f t="shared" si="6"/>
        <v>856.80000000000109</v>
      </c>
      <c r="R20">
        <f t="shared" si="7"/>
        <v>1379.3000000000011</v>
      </c>
    </row>
    <row r="21" spans="1:18" x14ac:dyDescent="0.25">
      <c r="A21" s="10">
        <f t="shared" si="2"/>
        <v>38981</v>
      </c>
      <c r="B21" s="10"/>
      <c r="C21" s="10"/>
      <c r="D21">
        <v>3423.6</v>
      </c>
      <c r="E21">
        <v>5236.8999999999996</v>
      </c>
      <c r="F21">
        <v>6721.4</v>
      </c>
      <c r="G21">
        <v>8023.1</v>
      </c>
      <c r="H21">
        <f t="shared" si="5"/>
        <v>10145</v>
      </c>
      <c r="I21" s="19">
        <f t="shared" si="5"/>
        <v>13260</v>
      </c>
      <c r="J21" s="24">
        <f t="shared" si="1"/>
        <v>-23.491704374057321</v>
      </c>
      <c r="O21">
        <f t="shared" si="3"/>
        <v>408.39999999999964</v>
      </c>
      <c r="P21">
        <f t="shared" si="4"/>
        <v>591.10000000000036</v>
      </c>
      <c r="Q21">
        <f t="shared" si="6"/>
        <v>927.89999999999964</v>
      </c>
      <c r="R21">
        <f t="shared" si="7"/>
        <v>1386.1000000000004</v>
      </c>
    </row>
    <row r="22" spans="1:18" x14ac:dyDescent="0.25">
      <c r="A22" s="10">
        <f t="shared" si="2"/>
        <v>38988</v>
      </c>
      <c r="B22" s="10"/>
      <c r="C22" s="10"/>
      <c r="D22">
        <v>3303.9</v>
      </c>
      <c r="E22">
        <v>5128.1000000000004</v>
      </c>
      <c r="F22">
        <v>7218.8</v>
      </c>
      <c r="G22">
        <v>8607.5</v>
      </c>
      <c r="H22">
        <f t="shared" si="5"/>
        <v>10522.7</v>
      </c>
      <c r="I22" s="19">
        <f t="shared" si="5"/>
        <v>13735.6</v>
      </c>
      <c r="J22" s="24">
        <f t="shared" si="1"/>
        <v>-23.391042255161764</v>
      </c>
      <c r="O22">
        <f t="shared" si="3"/>
        <v>377.70000000000073</v>
      </c>
      <c r="P22">
        <f t="shared" si="4"/>
        <v>475.60000000000036</v>
      </c>
      <c r="Q22">
        <f t="shared" si="6"/>
        <v>786.10000000000036</v>
      </c>
      <c r="R22">
        <f t="shared" si="7"/>
        <v>1066.7000000000007</v>
      </c>
    </row>
    <row r="23" spans="1:18" x14ac:dyDescent="0.25">
      <c r="A23" s="10">
        <f t="shared" si="2"/>
        <v>38995</v>
      </c>
      <c r="B23" s="10"/>
      <c r="C23" s="10"/>
      <c r="D23">
        <v>3544.6</v>
      </c>
      <c r="E23">
        <v>4807.8</v>
      </c>
      <c r="F23">
        <v>7670.5</v>
      </c>
      <c r="G23">
        <v>9285</v>
      </c>
      <c r="H23">
        <f t="shared" si="5"/>
        <v>11215.1</v>
      </c>
      <c r="I23" s="19">
        <f t="shared" si="5"/>
        <v>14092.8</v>
      </c>
      <c r="J23" s="24">
        <f t="shared" si="1"/>
        <v>-20.419646911898269</v>
      </c>
      <c r="K23" s="12">
        <v>25180</v>
      </c>
      <c r="L23" s="16">
        <f>+K23-H23</f>
        <v>13964.9</v>
      </c>
      <c r="O23">
        <f t="shared" si="3"/>
        <v>692.39999999999964</v>
      </c>
      <c r="P23">
        <f t="shared" si="4"/>
        <v>357.19999999999891</v>
      </c>
      <c r="Q23">
        <f t="shared" si="6"/>
        <v>1070.1000000000004</v>
      </c>
      <c r="R23">
        <f t="shared" si="7"/>
        <v>832.79999999999927</v>
      </c>
    </row>
    <row r="24" spans="1:18" x14ac:dyDescent="0.25">
      <c r="A24" s="10">
        <f t="shared" si="2"/>
        <v>39002</v>
      </c>
      <c r="B24" s="10"/>
      <c r="C24" s="10"/>
      <c r="D24">
        <v>3405.4</v>
      </c>
      <c r="E24">
        <v>4651.3999999999996</v>
      </c>
      <c r="F24">
        <v>8247</v>
      </c>
      <c r="G24">
        <v>9836.7000000000007</v>
      </c>
      <c r="H24">
        <f t="shared" si="5"/>
        <v>11652.4</v>
      </c>
      <c r="I24" s="19">
        <f t="shared" si="5"/>
        <v>14488.1</v>
      </c>
      <c r="J24" s="24">
        <f t="shared" si="1"/>
        <v>-19.572614766601561</v>
      </c>
      <c r="K24" s="12">
        <v>25180</v>
      </c>
      <c r="L24" s="16">
        <f>+K24-H24</f>
        <v>13527.6</v>
      </c>
      <c r="M24">
        <f>+L23/33</f>
        <v>423.17878787878789</v>
      </c>
      <c r="N24">
        <f>+H24-H23</f>
        <v>437.29999999999927</v>
      </c>
      <c r="O24">
        <f t="shared" si="3"/>
        <v>437.29999999999927</v>
      </c>
      <c r="P24">
        <f t="shared" si="4"/>
        <v>395.30000000000109</v>
      </c>
      <c r="Q24">
        <f t="shared" si="6"/>
        <v>1129.6999999999989</v>
      </c>
      <c r="R24">
        <f t="shared" si="7"/>
        <v>752.5</v>
      </c>
    </row>
    <row r="25" spans="1:18" x14ac:dyDescent="0.25">
      <c r="A25" s="10">
        <f t="shared" si="2"/>
        <v>39009</v>
      </c>
      <c r="B25" s="10"/>
      <c r="C25" s="10"/>
      <c r="D25">
        <v>3438</v>
      </c>
      <c r="E25">
        <v>4332</v>
      </c>
      <c r="F25">
        <v>8675.2000000000007</v>
      </c>
      <c r="G25">
        <v>10535.2</v>
      </c>
      <c r="H25">
        <f t="shared" si="5"/>
        <v>12113.2</v>
      </c>
      <c r="I25" s="19">
        <f t="shared" si="5"/>
        <v>14867.2</v>
      </c>
      <c r="J25" s="24">
        <f t="shared" si="1"/>
        <v>-18.523999139044335</v>
      </c>
      <c r="M25">
        <f>+L24/33</f>
        <v>409.92727272727274</v>
      </c>
      <c r="O25">
        <f t="shared" si="3"/>
        <v>460.80000000000109</v>
      </c>
      <c r="P25">
        <f t="shared" si="4"/>
        <v>379.10000000000036</v>
      </c>
      <c r="Q25">
        <f t="shared" si="6"/>
        <v>898.10000000000036</v>
      </c>
      <c r="R25">
        <f t="shared" si="7"/>
        <v>774.40000000000146</v>
      </c>
    </row>
    <row r="26" spans="1:18" x14ac:dyDescent="0.25">
      <c r="A26" s="10">
        <f t="shared" si="2"/>
        <v>39016</v>
      </c>
      <c r="B26" s="10"/>
      <c r="C26" s="10"/>
      <c r="D26">
        <v>4028.2</v>
      </c>
      <c r="E26">
        <v>4218.8999999999996</v>
      </c>
      <c r="F26">
        <v>9023.7000000000007</v>
      </c>
      <c r="G26">
        <v>11082.2</v>
      </c>
      <c r="H26">
        <f t="shared" si="5"/>
        <v>13051.900000000001</v>
      </c>
      <c r="I26" s="19">
        <f t="shared" si="5"/>
        <v>15301.1</v>
      </c>
      <c r="J26" s="24">
        <f t="shared" si="1"/>
        <v>-14.699596761017176</v>
      </c>
      <c r="O26">
        <f t="shared" si="3"/>
        <v>938.70000000000073</v>
      </c>
      <c r="P26">
        <f t="shared" si="4"/>
        <v>433.89999999999964</v>
      </c>
      <c r="Q26">
        <f t="shared" si="6"/>
        <v>1399.5000000000018</v>
      </c>
      <c r="R26">
        <f t="shared" si="7"/>
        <v>813</v>
      </c>
    </row>
    <row r="27" spans="1:18" x14ac:dyDescent="0.25">
      <c r="A27" s="10">
        <f t="shared" si="2"/>
        <v>39023</v>
      </c>
      <c r="B27" s="10"/>
      <c r="C27" s="10"/>
      <c r="D27">
        <v>4344.2</v>
      </c>
      <c r="E27">
        <v>5169</v>
      </c>
      <c r="F27">
        <v>9280.7000000000007</v>
      </c>
      <c r="G27">
        <v>11514.2</v>
      </c>
      <c r="H27">
        <f t="shared" si="5"/>
        <v>13624.900000000001</v>
      </c>
      <c r="I27" s="19">
        <f t="shared" si="5"/>
        <v>16683.2</v>
      </c>
      <c r="J27" s="24">
        <f t="shared" si="1"/>
        <v>-18.331615037882422</v>
      </c>
      <c r="O27">
        <f t="shared" si="3"/>
        <v>573</v>
      </c>
      <c r="P27">
        <f t="shared" si="4"/>
        <v>1382.1000000000004</v>
      </c>
      <c r="Q27">
        <f t="shared" si="6"/>
        <v>1511.7000000000007</v>
      </c>
      <c r="R27">
        <f t="shared" si="7"/>
        <v>1816</v>
      </c>
    </row>
    <row r="28" spans="1:18" x14ac:dyDescent="0.25">
      <c r="A28" s="10">
        <f t="shared" si="2"/>
        <v>39030</v>
      </c>
      <c r="B28" s="10"/>
      <c r="C28" s="10"/>
      <c r="D28">
        <v>4327.2</v>
      </c>
      <c r="E28">
        <v>5355.9</v>
      </c>
      <c r="F28">
        <v>9620.7999999999993</v>
      </c>
      <c r="G28">
        <v>11891.5</v>
      </c>
      <c r="H28">
        <f t="shared" si="5"/>
        <v>13948</v>
      </c>
      <c r="I28" s="19">
        <f t="shared" si="5"/>
        <v>17247.400000000001</v>
      </c>
      <c r="J28" s="24">
        <f t="shared" si="1"/>
        <v>-19.129839859920928</v>
      </c>
      <c r="O28">
        <f t="shared" si="3"/>
        <v>323.09999999999854</v>
      </c>
      <c r="P28">
        <f t="shared" si="4"/>
        <v>564.20000000000073</v>
      </c>
      <c r="Q28">
        <f t="shared" si="6"/>
        <v>896.09999999999854</v>
      </c>
      <c r="R28">
        <f t="shared" si="7"/>
        <v>1946.3000000000011</v>
      </c>
    </row>
    <row r="29" spans="1:18" x14ac:dyDescent="0.25">
      <c r="A29" s="10">
        <f t="shared" si="2"/>
        <v>39037</v>
      </c>
      <c r="B29" s="10"/>
      <c r="C29" s="10"/>
      <c r="D29">
        <v>4373.1000000000004</v>
      </c>
      <c r="E29">
        <v>5336.9</v>
      </c>
      <c r="F29">
        <v>9936.2999999999993</v>
      </c>
      <c r="G29">
        <v>12343.1</v>
      </c>
      <c r="H29">
        <f t="shared" si="5"/>
        <v>14309.4</v>
      </c>
      <c r="I29" s="19">
        <f t="shared" si="5"/>
        <v>17680</v>
      </c>
      <c r="J29" s="24">
        <f t="shared" si="1"/>
        <v>-19.064479638009047</v>
      </c>
      <c r="O29">
        <f t="shared" si="3"/>
        <v>361.39999999999964</v>
      </c>
      <c r="P29">
        <f t="shared" si="4"/>
        <v>432.59999999999854</v>
      </c>
      <c r="Q29">
        <f t="shared" si="6"/>
        <v>684.49999999999818</v>
      </c>
      <c r="R29">
        <f t="shared" si="7"/>
        <v>996.79999999999927</v>
      </c>
    </row>
    <row r="30" spans="1:18" x14ac:dyDescent="0.25">
      <c r="A30" s="10">
        <f t="shared" si="2"/>
        <v>39044</v>
      </c>
      <c r="B30" s="10"/>
      <c r="C30" s="10"/>
      <c r="D30">
        <v>4511.7</v>
      </c>
      <c r="E30">
        <v>5040.8999999999996</v>
      </c>
      <c r="F30">
        <v>10344.9</v>
      </c>
      <c r="G30">
        <v>12889.8</v>
      </c>
      <c r="H30">
        <f t="shared" si="5"/>
        <v>14856.599999999999</v>
      </c>
      <c r="I30" s="19">
        <f t="shared" si="5"/>
        <v>17930.699999999997</v>
      </c>
      <c r="J30" s="24">
        <f t="shared" si="1"/>
        <v>-17.144339038632062</v>
      </c>
      <c r="K30" s="29"/>
      <c r="O30">
        <f t="shared" si="3"/>
        <v>547.19999999999891</v>
      </c>
      <c r="P30">
        <f t="shared" si="4"/>
        <v>250.69999999999709</v>
      </c>
      <c r="Q30">
        <f t="shared" si="6"/>
        <v>908.59999999999854</v>
      </c>
      <c r="R30">
        <f t="shared" si="7"/>
        <v>683.29999999999563</v>
      </c>
    </row>
    <row r="31" spans="1:18" x14ac:dyDescent="0.25">
      <c r="A31" s="10">
        <f t="shared" si="2"/>
        <v>39051</v>
      </c>
      <c r="B31" s="10"/>
      <c r="C31" s="10"/>
      <c r="D31">
        <v>4417.2</v>
      </c>
      <c r="E31">
        <v>5001.3999999999996</v>
      </c>
      <c r="F31">
        <v>10843.3</v>
      </c>
      <c r="G31">
        <v>13362.7</v>
      </c>
      <c r="H31">
        <f t="shared" si="5"/>
        <v>15260.5</v>
      </c>
      <c r="I31" s="19">
        <f t="shared" si="5"/>
        <v>18364.099999999999</v>
      </c>
      <c r="J31" s="24">
        <f t="shared" si="1"/>
        <v>-16.900365386814485</v>
      </c>
      <c r="K31" s="29">
        <v>24490</v>
      </c>
      <c r="L31" s="16">
        <v>900</v>
      </c>
      <c r="M31" s="31">
        <f>+K31/L31</f>
        <v>27.211111111111112</v>
      </c>
      <c r="O31">
        <f t="shared" si="3"/>
        <v>403.90000000000146</v>
      </c>
      <c r="P31">
        <f t="shared" si="4"/>
        <v>433.40000000000146</v>
      </c>
      <c r="Q31">
        <f t="shared" si="6"/>
        <v>951.10000000000036</v>
      </c>
      <c r="R31">
        <f t="shared" si="7"/>
        <v>684.09999999999854</v>
      </c>
    </row>
    <row r="32" spans="1:18" x14ac:dyDescent="0.25">
      <c r="A32" s="10">
        <f t="shared" si="2"/>
        <v>39058</v>
      </c>
      <c r="B32" s="10"/>
      <c r="C32" s="10"/>
      <c r="D32">
        <v>4475.3999999999996</v>
      </c>
      <c r="E32">
        <v>5018.3</v>
      </c>
      <c r="F32">
        <v>11256.2</v>
      </c>
      <c r="G32">
        <v>14058.5</v>
      </c>
      <c r="H32">
        <f t="shared" si="5"/>
        <v>15731.6</v>
      </c>
      <c r="I32" s="19">
        <f t="shared" si="5"/>
        <v>19076.8</v>
      </c>
      <c r="J32" s="24">
        <f t="shared" si="1"/>
        <v>-17.535435712488468</v>
      </c>
      <c r="K32" s="30"/>
      <c r="M32" s="31"/>
      <c r="O32">
        <f t="shared" si="3"/>
        <v>471.10000000000036</v>
      </c>
      <c r="P32">
        <f t="shared" si="4"/>
        <v>712.70000000000073</v>
      </c>
      <c r="Q32">
        <f t="shared" si="6"/>
        <v>875.00000000000182</v>
      </c>
      <c r="R32">
        <f t="shared" si="7"/>
        <v>1146.1000000000022</v>
      </c>
    </row>
    <row r="33" spans="1:18" x14ac:dyDescent="0.25">
      <c r="A33" s="10">
        <f t="shared" si="2"/>
        <v>39065</v>
      </c>
      <c r="B33" s="10"/>
      <c r="C33" s="10"/>
      <c r="D33">
        <v>4568</v>
      </c>
      <c r="E33">
        <v>5115.7</v>
      </c>
      <c r="F33">
        <v>11618.7</v>
      </c>
      <c r="G33">
        <v>14483.8</v>
      </c>
      <c r="H33">
        <f t="shared" si="5"/>
        <v>16186.7</v>
      </c>
      <c r="I33" s="19">
        <f t="shared" si="5"/>
        <v>19599.5</v>
      </c>
      <c r="J33" s="24">
        <f t="shared" si="1"/>
        <v>-17.412689099211708</v>
      </c>
      <c r="K33" s="29"/>
      <c r="L33" s="29"/>
      <c r="O33">
        <f t="shared" si="3"/>
        <v>455.10000000000036</v>
      </c>
      <c r="P33">
        <f t="shared" si="4"/>
        <v>522.70000000000073</v>
      </c>
      <c r="Q33">
        <f t="shared" si="6"/>
        <v>926.20000000000073</v>
      </c>
      <c r="R33">
        <f t="shared" si="7"/>
        <v>1235.4000000000015</v>
      </c>
    </row>
    <row r="34" spans="1:18" x14ac:dyDescent="0.25">
      <c r="A34" s="10">
        <f t="shared" si="2"/>
        <v>39072</v>
      </c>
      <c r="B34" s="10"/>
      <c r="C34" s="10"/>
      <c r="D34">
        <v>4630.1000000000004</v>
      </c>
      <c r="E34">
        <v>4833.6000000000004</v>
      </c>
      <c r="F34">
        <v>11910.7</v>
      </c>
      <c r="G34">
        <v>15122.4</v>
      </c>
      <c r="H34">
        <f t="shared" si="5"/>
        <v>16540.800000000003</v>
      </c>
      <c r="I34" s="19">
        <f t="shared" si="5"/>
        <v>19956</v>
      </c>
      <c r="J34" s="24">
        <f t="shared" si="1"/>
        <v>-17.113650030066129</v>
      </c>
      <c r="L34" s="29"/>
      <c r="O34">
        <f t="shared" si="3"/>
        <v>354.10000000000218</v>
      </c>
      <c r="P34">
        <f t="shared" si="4"/>
        <v>356.5</v>
      </c>
      <c r="Q34">
        <f t="shared" si="6"/>
        <v>809.20000000000255</v>
      </c>
      <c r="R34">
        <f t="shared" si="7"/>
        <v>879.20000000000073</v>
      </c>
    </row>
    <row r="35" spans="1:18" x14ac:dyDescent="0.25">
      <c r="A35" s="10">
        <f t="shared" si="2"/>
        <v>39079</v>
      </c>
      <c r="B35" s="10"/>
      <c r="C35" s="10"/>
      <c r="D35">
        <v>4277.2</v>
      </c>
      <c r="E35">
        <v>4727.2</v>
      </c>
      <c r="F35">
        <v>12398.7</v>
      </c>
      <c r="G35">
        <v>15453.2</v>
      </c>
      <c r="H35">
        <f t="shared" si="5"/>
        <v>16675.900000000001</v>
      </c>
      <c r="I35" s="19">
        <f t="shared" si="5"/>
        <v>20180.400000000001</v>
      </c>
      <c r="J35" s="24">
        <f t="shared" si="1"/>
        <v>-17.365859943311335</v>
      </c>
      <c r="L35" s="29"/>
      <c r="O35">
        <f t="shared" si="3"/>
        <v>135.09999999999854</v>
      </c>
      <c r="P35">
        <f t="shared" si="4"/>
        <v>224.40000000000146</v>
      </c>
      <c r="Q35">
        <f t="shared" si="6"/>
        <v>489.20000000000073</v>
      </c>
      <c r="R35">
        <f t="shared" si="7"/>
        <v>580.90000000000146</v>
      </c>
    </row>
    <row r="36" spans="1:18" x14ac:dyDescent="0.25">
      <c r="A36" s="10">
        <f t="shared" si="2"/>
        <v>39086</v>
      </c>
      <c r="B36" s="10"/>
      <c r="C36" s="10"/>
      <c r="D36">
        <v>4027.5</v>
      </c>
      <c r="E36">
        <v>4493.6000000000004</v>
      </c>
      <c r="F36">
        <v>12892.8</v>
      </c>
      <c r="G36">
        <v>16028.8</v>
      </c>
      <c r="H36">
        <f t="shared" si="5"/>
        <v>16920.3</v>
      </c>
      <c r="I36" s="19">
        <f t="shared" si="5"/>
        <v>20522.400000000001</v>
      </c>
      <c r="J36" s="24">
        <f t="shared" si="1"/>
        <v>-17.55204069699451</v>
      </c>
      <c r="K36">
        <v>23810</v>
      </c>
      <c r="L36">
        <v>875</v>
      </c>
      <c r="O36">
        <f t="shared" si="3"/>
        <v>244.39999999999782</v>
      </c>
      <c r="P36">
        <f t="shared" si="4"/>
        <v>342</v>
      </c>
      <c r="Q36">
        <f t="shared" si="6"/>
        <v>379.49999999999636</v>
      </c>
      <c r="R36">
        <f t="shared" si="7"/>
        <v>566.40000000000146</v>
      </c>
    </row>
    <row r="37" spans="1:18" x14ac:dyDescent="0.25">
      <c r="A37" s="10">
        <f t="shared" si="2"/>
        <v>39093</v>
      </c>
      <c r="B37" s="10"/>
      <c r="C37" s="10"/>
      <c r="D37">
        <v>4468.3999999999996</v>
      </c>
      <c r="E37">
        <v>4524.5</v>
      </c>
      <c r="F37">
        <v>13276.6</v>
      </c>
      <c r="G37">
        <v>16349.7</v>
      </c>
      <c r="H37">
        <f t="shared" si="5"/>
        <v>17745</v>
      </c>
      <c r="I37" s="19">
        <f t="shared" si="5"/>
        <v>20874.2</v>
      </c>
      <c r="J37" s="24">
        <f t="shared" si="1"/>
        <v>-14.99075413668548</v>
      </c>
      <c r="L37" s="31">
        <f>+L36/L31</f>
        <v>0.97222222222222221</v>
      </c>
      <c r="O37">
        <f t="shared" si="3"/>
        <v>824.70000000000073</v>
      </c>
      <c r="P37">
        <f t="shared" si="4"/>
        <v>351.79999999999927</v>
      </c>
      <c r="Q37">
        <f t="shared" si="6"/>
        <v>1069.0999999999985</v>
      </c>
      <c r="R37">
        <f t="shared" si="7"/>
        <v>693.79999999999927</v>
      </c>
    </row>
    <row r="38" spans="1:18" x14ac:dyDescent="0.25">
      <c r="A38" s="10">
        <f t="shared" si="2"/>
        <v>39100</v>
      </c>
      <c r="B38" s="10"/>
      <c r="C38" s="10"/>
      <c r="D38">
        <v>4183.8</v>
      </c>
      <c r="E38">
        <v>4409.5</v>
      </c>
      <c r="F38">
        <v>13807.3</v>
      </c>
      <c r="G38">
        <v>16839.7</v>
      </c>
      <c r="H38">
        <f t="shared" si="5"/>
        <v>17991.099999999999</v>
      </c>
      <c r="I38" s="19">
        <f t="shared" si="5"/>
        <v>21249.200000000001</v>
      </c>
      <c r="J38" s="24">
        <f t="shared" si="1"/>
        <v>-15.332812529412887</v>
      </c>
      <c r="K38" s="31"/>
      <c r="O38">
        <f t="shared" si="3"/>
        <v>246.09999999999854</v>
      </c>
      <c r="P38">
        <f t="shared" si="4"/>
        <v>375</v>
      </c>
      <c r="Q38">
        <f t="shared" si="6"/>
        <v>1070.7999999999993</v>
      </c>
      <c r="R38">
        <f t="shared" si="7"/>
        <v>726.79999999999927</v>
      </c>
    </row>
    <row r="39" spans="1:18" x14ac:dyDescent="0.25">
      <c r="A39" s="10">
        <f t="shared" si="2"/>
        <v>39107</v>
      </c>
      <c r="B39" s="10"/>
      <c r="C39" s="10"/>
      <c r="D39">
        <v>4169.7</v>
      </c>
      <c r="E39">
        <v>4185.3999999999996</v>
      </c>
      <c r="F39">
        <v>14381.9</v>
      </c>
      <c r="G39">
        <v>17416.5</v>
      </c>
      <c r="H39">
        <f t="shared" si="5"/>
        <v>18551.599999999999</v>
      </c>
      <c r="I39" s="19">
        <f t="shared" si="5"/>
        <v>21601.9</v>
      </c>
      <c r="J39" s="24">
        <f t="shared" si="1"/>
        <v>-14.120517176729841</v>
      </c>
      <c r="O39">
        <f t="shared" si="3"/>
        <v>560.5</v>
      </c>
      <c r="P39">
        <f t="shared" si="4"/>
        <v>352.70000000000073</v>
      </c>
      <c r="Q39">
        <f t="shared" si="6"/>
        <v>806.59999999999854</v>
      </c>
      <c r="R39">
        <f t="shared" si="7"/>
        <v>727.70000000000073</v>
      </c>
    </row>
    <row r="40" spans="1:18" x14ac:dyDescent="0.25">
      <c r="A40" s="10">
        <f t="shared" si="2"/>
        <v>39114</v>
      </c>
      <c r="B40" s="10"/>
      <c r="C40" s="10"/>
      <c r="D40">
        <v>4312.8</v>
      </c>
      <c r="E40">
        <v>3897.8</v>
      </c>
      <c r="F40">
        <v>14971.4</v>
      </c>
      <c r="G40">
        <v>18054.8</v>
      </c>
      <c r="H40">
        <f t="shared" si="5"/>
        <v>19284.2</v>
      </c>
      <c r="I40" s="19">
        <f t="shared" si="5"/>
        <v>21952.6</v>
      </c>
      <c r="J40" s="24">
        <f t="shared" si="1"/>
        <v>-12.155280012390325</v>
      </c>
      <c r="O40">
        <f t="shared" si="3"/>
        <v>732.60000000000218</v>
      </c>
      <c r="P40">
        <f t="shared" si="4"/>
        <v>350.69999999999709</v>
      </c>
      <c r="Q40">
        <f t="shared" si="6"/>
        <v>1293.1000000000022</v>
      </c>
      <c r="R40">
        <f t="shared" si="7"/>
        <v>703.39999999999782</v>
      </c>
    </row>
    <row r="41" spans="1:18" x14ac:dyDescent="0.25">
      <c r="A41" s="10">
        <f t="shared" si="2"/>
        <v>39121</v>
      </c>
      <c r="B41" s="10"/>
      <c r="C41" s="10"/>
      <c r="D41">
        <v>4265.2</v>
      </c>
      <c r="E41">
        <v>3999.4</v>
      </c>
      <c r="F41">
        <v>15380.4</v>
      </c>
      <c r="G41">
        <v>18546.900000000001</v>
      </c>
      <c r="H41">
        <f t="shared" si="5"/>
        <v>19645.599999999999</v>
      </c>
      <c r="I41" s="19">
        <f t="shared" si="5"/>
        <v>22546.300000000003</v>
      </c>
      <c r="J41" s="24">
        <f t="shared" si="1"/>
        <v>-12.865525607305873</v>
      </c>
      <c r="O41">
        <f t="shared" si="3"/>
        <v>361.39999999999782</v>
      </c>
      <c r="P41">
        <f t="shared" si="4"/>
        <v>593.70000000000437</v>
      </c>
      <c r="Q41">
        <f t="shared" si="6"/>
        <v>1094</v>
      </c>
      <c r="R41">
        <f t="shared" si="7"/>
        <v>944.40000000000146</v>
      </c>
    </row>
    <row r="42" spans="1:18" x14ac:dyDescent="0.25">
      <c r="A42" s="10">
        <f t="shared" si="2"/>
        <v>39128</v>
      </c>
      <c r="B42" s="10"/>
      <c r="C42" s="10"/>
      <c r="D42">
        <v>4287.3999999999996</v>
      </c>
      <c r="E42">
        <v>4059.4</v>
      </c>
      <c r="F42">
        <v>15809</v>
      </c>
      <c r="G42">
        <v>18997.400000000001</v>
      </c>
      <c r="H42">
        <f t="shared" si="5"/>
        <v>20096.400000000001</v>
      </c>
      <c r="I42" s="19">
        <f t="shared" si="5"/>
        <v>23056.800000000003</v>
      </c>
      <c r="J42" s="24">
        <f t="shared" si="1"/>
        <v>-12.839596127823471</v>
      </c>
      <c r="O42">
        <f t="shared" si="3"/>
        <v>450.80000000000291</v>
      </c>
      <c r="P42">
        <f t="shared" si="4"/>
        <v>510.5</v>
      </c>
      <c r="Q42">
        <f t="shared" si="6"/>
        <v>812.20000000000073</v>
      </c>
      <c r="R42">
        <f t="shared" si="7"/>
        <v>1104.2000000000044</v>
      </c>
    </row>
    <row r="43" spans="1:18" x14ac:dyDescent="0.25">
      <c r="A43" s="10">
        <f t="shared" si="2"/>
        <v>39135</v>
      </c>
      <c r="B43" s="10"/>
      <c r="C43" s="10"/>
      <c r="D43">
        <v>3996.6</v>
      </c>
      <c r="E43">
        <v>3804.2</v>
      </c>
      <c r="F43">
        <v>16421.400000000001</v>
      </c>
      <c r="G43">
        <v>19412</v>
      </c>
      <c r="H43">
        <f t="shared" si="5"/>
        <v>20418</v>
      </c>
      <c r="I43" s="19">
        <f t="shared" si="5"/>
        <v>23216.2</v>
      </c>
      <c r="J43" s="24">
        <f t="shared" si="1"/>
        <v>-12.052790723718786</v>
      </c>
      <c r="O43">
        <f t="shared" si="3"/>
        <v>321.59999999999854</v>
      </c>
      <c r="P43">
        <f t="shared" si="4"/>
        <v>159.39999999999782</v>
      </c>
      <c r="Q43">
        <f t="shared" si="6"/>
        <v>772.40000000000146</v>
      </c>
      <c r="R43">
        <f t="shared" si="7"/>
        <v>669.89999999999782</v>
      </c>
    </row>
    <row r="44" spans="1:18" x14ac:dyDescent="0.25">
      <c r="A44" s="10">
        <f t="shared" si="2"/>
        <v>39142</v>
      </c>
      <c r="B44" s="10"/>
      <c r="C44" s="10"/>
      <c r="D44">
        <v>3965.4</v>
      </c>
      <c r="E44">
        <v>3710</v>
      </c>
      <c r="F44">
        <v>16874.5</v>
      </c>
      <c r="G44">
        <v>19812.2</v>
      </c>
      <c r="H44">
        <f t="shared" si="5"/>
        <v>20839.900000000001</v>
      </c>
      <c r="I44" s="19">
        <f t="shared" si="5"/>
        <v>23522.2</v>
      </c>
      <c r="J44" s="24">
        <f t="shared" si="1"/>
        <v>-11.403270102286346</v>
      </c>
      <c r="O44">
        <f t="shared" si="3"/>
        <v>421.90000000000146</v>
      </c>
      <c r="P44">
        <f t="shared" si="4"/>
        <v>306</v>
      </c>
      <c r="Q44">
        <f t="shared" si="6"/>
        <v>743.5</v>
      </c>
      <c r="R44">
        <f t="shared" si="7"/>
        <v>465.39999999999782</v>
      </c>
    </row>
    <row r="45" spans="1:18" x14ac:dyDescent="0.25">
      <c r="A45" s="10">
        <f t="shared" si="2"/>
        <v>39149</v>
      </c>
      <c r="B45" s="10"/>
      <c r="C45" s="10"/>
      <c r="D45">
        <v>3865.1</v>
      </c>
      <c r="E45">
        <v>3473.9</v>
      </c>
      <c r="F45">
        <v>17418.2</v>
      </c>
      <c r="G45" s="29">
        <v>20385.599999999999</v>
      </c>
      <c r="H45">
        <f t="shared" si="5"/>
        <v>21283.3</v>
      </c>
      <c r="I45" s="19">
        <f t="shared" si="5"/>
        <v>23859.5</v>
      </c>
      <c r="J45" s="24">
        <f t="shared" si="1"/>
        <v>-10.797376307131334</v>
      </c>
      <c r="O45">
        <f t="shared" si="3"/>
        <v>443.39999999999782</v>
      </c>
      <c r="P45">
        <f t="shared" si="4"/>
        <v>337.29999999999927</v>
      </c>
      <c r="Q45">
        <f t="shared" si="6"/>
        <v>865.29999999999927</v>
      </c>
      <c r="R45">
        <f t="shared" si="7"/>
        <v>643.29999999999927</v>
      </c>
    </row>
    <row r="46" spans="1:18" x14ac:dyDescent="0.25">
      <c r="A46" s="10">
        <f t="shared" si="2"/>
        <v>39156</v>
      </c>
      <c r="B46" s="10"/>
      <c r="C46" s="10"/>
      <c r="D46">
        <v>3913.2</v>
      </c>
      <c r="E46">
        <v>3511.7</v>
      </c>
      <c r="F46">
        <v>17845</v>
      </c>
      <c r="G46" s="29">
        <v>20780</v>
      </c>
      <c r="H46">
        <f t="shared" si="5"/>
        <v>21758.2</v>
      </c>
      <c r="I46" s="19">
        <f t="shared" si="5"/>
        <v>24291.7</v>
      </c>
      <c r="J46" s="24">
        <f t="shared" si="1"/>
        <v>-10.429488261422627</v>
      </c>
      <c r="O46">
        <f t="shared" si="3"/>
        <v>474.90000000000146</v>
      </c>
      <c r="P46">
        <f t="shared" si="4"/>
        <v>432.20000000000073</v>
      </c>
      <c r="Q46">
        <f t="shared" si="6"/>
        <v>918.29999999999927</v>
      </c>
      <c r="R46">
        <f t="shared" si="7"/>
        <v>769.5</v>
      </c>
    </row>
    <row r="47" spans="1:18" x14ac:dyDescent="0.25">
      <c r="A47" s="10">
        <f t="shared" si="2"/>
        <v>39163</v>
      </c>
      <c r="B47" s="10"/>
      <c r="C47" s="10"/>
      <c r="D47">
        <v>4063.7</v>
      </c>
      <c r="E47">
        <v>3570.8</v>
      </c>
      <c r="F47">
        <v>18222.900000000001</v>
      </c>
      <c r="G47" s="29">
        <v>21229.5</v>
      </c>
      <c r="H47">
        <f t="shared" si="5"/>
        <v>22286.600000000002</v>
      </c>
      <c r="I47" s="19">
        <f t="shared" si="5"/>
        <v>24800.3</v>
      </c>
      <c r="J47" s="24">
        <f t="shared" si="1"/>
        <v>-10.135764486719911</v>
      </c>
      <c r="O47">
        <f t="shared" si="3"/>
        <v>528.40000000000146</v>
      </c>
      <c r="P47">
        <f t="shared" si="4"/>
        <v>508.59999999999854</v>
      </c>
      <c r="Q47">
        <f t="shared" si="6"/>
        <v>1003.3000000000029</v>
      </c>
      <c r="R47">
        <f t="shared" si="7"/>
        <v>940.79999999999927</v>
      </c>
    </row>
    <row r="48" spans="1:18" x14ac:dyDescent="0.25">
      <c r="A48" s="10">
        <f t="shared" si="2"/>
        <v>39170</v>
      </c>
      <c r="B48" s="10"/>
      <c r="C48" s="10"/>
      <c r="D48">
        <v>3884.1</v>
      </c>
      <c r="E48">
        <v>3527.6</v>
      </c>
      <c r="F48">
        <v>18616.5</v>
      </c>
      <c r="G48" s="29">
        <v>21543.8</v>
      </c>
      <c r="H48">
        <f t="shared" si="5"/>
        <v>22500.6</v>
      </c>
      <c r="I48" s="19">
        <f t="shared" si="5"/>
        <v>25071.399999999998</v>
      </c>
      <c r="J48" s="24">
        <f t="shared" si="1"/>
        <v>-10.253914819276144</v>
      </c>
      <c r="O48">
        <f t="shared" si="3"/>
        <v>213.99999999999636</v>
      </c>
      <c r="P48">
        <f t="shared" si="4"/>
        <v>271.09999999999854</v>
      </c>
      <c r="Q48">
        <f t="shared" si="6"/>
        <v>742.39999999999782</v>
      </c>
      <c r="R48">
        <f t="shared" si="7"/>
        <v>779.69999999999709</v>
      </c>
    </row>
    <row r="49" spans="1:18" x14ac:dyDescent="0.25">
      <c r="A49" s="10">
        <f t="shared" si="2"/>
        <v>39177</v>
      </c>
      <c r="B49" s="10"/>
      <c r="C49" s="10"/>
      <c r="D49">
        <v>4192.8</v>
      </c>
      <c r="E49">
        <v>3438</v>
      </c>
      <c r="F49">
        <v>19001.2</v>
      </c>
      <c r="G49" s="29">
        <v>21890.400000000001</v>
      </c>
      <c r="H49">
        <f t="shared" si="5"/>
        <v>23194</v>
      </c>
      <c r="I49" s="19">
        <f t="shared" si="5"/>
        <v>25328.400000000001</v>
      </c>
      <c r="J49" s="24">
        <f t="shared" si="1"/>
        <v>-8.4269041866047658</v>
      </c>
      <c r="O49">
        <f t="shared" si="3"/>
        <v>693.40000000000146</v>
      </c>
      <c r="P49">
        <f t="shared" si="4"/>
        <v>257.00000000000364</v>
      </c>
      <c r="Q49">
        <f t="shared" si="6"/>
        <v>907.39999999999782</v>
      </c>
      <c r="R49">
        <f t="shared" si="7"/>
        <v>528.10000000000218</v>
      </c>
    </row>
    <row r="50" spans="1:18" x14ac:dyDescent="0.25">
      <c r="A50" s="10">
        <f t="shared" si="2"/>
        <v>39184</v>
      </c>
      <c r="B50" s="10"/>
      <c r="C50" s="10"/>
      <c r="D50">
        <v>3841.7</v>
      </c>
      <c r="E50">
        <v>3429.5</v>
      </c>
      <c r="F50">
        <v>19695</v>
      </c>
      <c r="G50">
        <v>22109.7</v>
      </c>
      <c r="H50">
        <f t="shared" ref="H50:I53" si="8">+D50+F50</f>
        <v>23536.7</v>
      </c>
      <c r="I50" s="19">
        <f t="shared" si="8"/>
        <v>25539.200000000001</v>
      </c>
      <c r="J50" s="24">
        <f t="shared" ref="J50:J113" si="9">+(H50/I50-1)*100</f>
        <v>-7.8408877333667419</v>
      </c>
      <c r="O50">
        <f t="shared" si="3"/>
        <v>342.70000000000073</v>
      </c>
      <c r="P50">
        <f t="shared" si="4"/>
        <v>210.79999999999927</v>
      </c>
      <c r="Q50">
        <f t="shared" si="6"/>
        <v>1036.1000000000022</v>
      </c>
      <c r="R50">
        <f t="shared" si="7"/>
        <v>467.80000000000291</v>
      </c>
    </row>
    <row r="51" spans="1:18" x14ac:dyDescent="0.25">
      <c r="A51" s="10">
        <f t="shared" si="2"/>
        <v>39191</v>
      </c>
      <c r="B51" s="10"/>
      <c r="C51" s="10"/>
      <c r="D51">
        <v>3770.7</v>
      </c>
      <c r="E51">
        <v>3076.4</v>
      </c>
      <c r="F51">
        <v>20044.3</v>
      </c>
      <c r="G51">
        <v>22627</v>
      </c>
      <c r="H51">
        <f t="shared" si="8"/>
        <v>23815</v>
      </c>
      <c r="I51" s="19">
        <f t="shared" si="8"/>
        <v>25703.4</v>
      </c>
      <c r="J51" s="24">
        <f t="shared" si="9"/>
        <v>-7.3468879603476589</v>
      </c>
      <c r="O51">
        <f t="shared" si="3"/>
        <v>278.29999999999927</v>
      </c>
      <c r="P51">
        <f t="shared" si="4"/>
        <v>164.20000000000073</v>
      </c>
      <c r="Q51">
        <f t="shared" si="6"/>
        <v>621</v>
      </c>
      <c r="R51">
        <f t="shared" si="7"/>
        <v>375</v>
      </c>
    </row>
    <row r="52" spans="1:18" x14ac:dyDescent="0.25">
      <c r="A52" s="10">
        <f t="shared" si="2"/>
        <v>39198</v>
      </c>
      <c r="B52" s="10"/>
      <c r="C52" s="10"/>
      <c r="D52">
        <v>3477.7</v>
      </c>
      <c r="E52">
        <v>2859</v>
      </c>
      <c r="F52">
        <v>20490</v>
      </c>
      <c r="G52" s="29">
        <v>23233.3</v>
      </c>
      <c r="H52">
        <f t="shared" si="8"/>
        <v>23967.7</v>
      </c>
      <c r="I52" s="19">
        <f t="shared" si="8"/>
        <v>26092.3</v>
      </c>
      <c r="J52" s="24">
        <f t="shared" si="9"/>
        <v>-8.1426321175212539</v>
      </c>
      <c r="O52">
        <f t="shared" si="3"/>
        <v>152.70000000000073</v>
      </c>
      <c r="P52">
        <f t="shared" si="4"/>
        <v>388.89999999999782</v>
      </c>
      <c r="Q52">
        <f t="shared" si="6"/>
        <v>431</v>
      </c>
      <c r="R52">
        <f t="shared" si="7"/>
        <v>553.09999999999854</v>
      </c>
    </row>
    <row r="53" spans="1:18" x14ac:dyDescent="0.25">
      <c r="A53" s="10">
        <f t="shared" si="2"/>
        <v>39205</v>
      </c>
      <c r="B53" s="10"/>
      <c r="C53" s="10"/>
      <c r="D53">
        <v>3225.9</v>
      </c>
      <c r="E53">
        <v>2578.6</v>
      </c>
      <c r="F53">
        <v>20927</v>
      </c>
      <c r="G53" s="29">
        <v>23546.7</v>
      </c>
      <c r="H53">
        <f t="shared" si="8"/>
        <v>24152.9</v>
      </c>
      <c r="I53" s="19">
        <f t="shared" si="8"/>
        <v>26125.3</v>
      </c>
      <c r="J53" s="24">
        <f t="shared" si="9"/>
        <v>-7.5497697634094081</v>
      </c>
      <c r="K53">
        <v>1000.3</v>
      </c>
      <c r="O53">
        <f t="shared" si="3"/>
        <v>185.20000000000073</v>
      </c>
      <c r="P53">
        <f t="shared" si="4"/>
        <v>33</v>
      </c>
      <c r="Q53">
        <f t="shared" si="6"/>
        <v>337.90000000000146</v>
      </c>
      <c r="R53">
        <f t="shared" si="7"/>
        <v>421.89999999999782</v>
      </c>
    </row>
    <row r="54" spans="1:18" x14ac:dyDescent="0.25">
      <c r="A54" s="10">
        <f t="shared" si="2"/>
        <v>39212</v>
      </c>
      <c r="B54" s="10"/>
      <c r="C54" s="10"/>
      <c r="D54">
        <v>2715.8</v>
      </c>
      <c r="E54">
        <v>2273.5</v>
      </c>
      <c r="F54">
        <v>21493.9</v>
      </c>
      <c r="G54">
        <v>23950.799999999999</v>
      </c>
      <c r="H54">
        <f t="shared" ref="H54:I56" si="10">+D54+F54</f>
        <v>24209.7</v>
      </c>
      <c r="I54" s="19">
        <f t="shared" si="10"/>
        <v>26224.3</v>
      </c>
      <c r="J54" s="24">
        <f t="shared" si="9"/>
        <v>-7.6821878944337785</v>
      </c>
      <c r="K54">
        <v>1337.8</v>
      </c>
      <c r="O54">
        <f t="shared" si="3"/>
        <v>56.799999999999272</v>
      </c>
      <c r="P54">
        <f t="shared" si="4"/>
        <v>99</v>
      </c>
      <c r="Q54">
        <f t="shared" si="6"/>
        <v>242</v>
      </c>
      <c r="R54">
        <f t="shared" si="7"/>
        <v>132</v>
      </c>
    </row>
    <row r="55" spans="1:18" x14ac:dyDescent="0.25">
      <c r="A55" s="10">
        <f t="shared" si="2"/>
        <v>39219</v>
      </c>
      <c r="B55" s="10"/>
      <c r="C55" s="10"/>
      <c r="D55">
        <v>2047.8</v>
      </c>
      <c r="E55">
        <v>1821.2</v>
      </c>
      <c r="F55">
        <v>22025.4</v>
      </c>
      <c r="G55">
        <v>24408.400000000001</v>
      </c>
      <c r="H55">
        <f t="shared" si="10"/>
        <v>24073.200000000001</v>
      </c>
      <c r="I55" s="19">
        <f t="shared" si="10"/>
        <v>26229.600000000002</v>
      </c>
      <c r="J55" s="24">
        <f t="shared" si="9"/>
        <v>-8.2212462256382128</v>
      </c>
      <c r="K55">
        <v>2138.1999999999998</v>
      </c>
      <c r="O55">
        <f t="shared" si="3"/>
        <v>-136.5</v>
      </c>
      <c r="P55">
        <f t="shared" si="4"/>
        <v>5.3000000000029104</v>
      </c>
      <c r="Q55">
        <f t="shared" si="6"/>
        <v>-79.700000000000728</v>
      </c>
      <c r="R55">
        <f t="shared" si="7"/>
        <v>104.30000000000291</v>
      </c>
    </row>
    <row r="56" spans="1:18" x14ac:dyDescent="0.25">
      <c r="A56" s="10">
        <f t="shared" si="2"/>
        <v>39226</v>
      </c>
      <c r="B56" s="10"/>
      <c r="C56" s="10"/>
      <c r="D56">
        <v>1418.5</v>
      </c>
      <c r="E56">
        <v>1341.4</v>
      </c>
      <c r="F56">
        <v>22405.9</v>
      </c>
      <c r="G56">
        <v>24828.1</v>
      </c>
      <c r="H56">
        <f t="shared" si="10"/>
        <v>23824.400000000001</v>
      </c>
      <c r="I56" s="19">
        <f t="shared" si="10"/>
        <v>26169.5</v>
      </c>
      <c r="J56" s="24">
        <f t="shared" si="9"/>
        <v>-8.96119528458701</v>
      </c>
      <c r="K56">
        <v>3096.9</v>
      </c>
      <c r="L56">
        <f>+I57</f>
        <v>25320</v>
      </c>
      <c r="M56">
        <f>+H16</f>
        <v>8061</v>
      </c>
      <c r="N56">
        <f>+M56/L56</f>
        <v>0.3183649289099526</v>
      </c>
      <c r="O56">
        <f t="shared" si="3"/>
        <v>-248.79999999999927</v>
      </c>
      <c r="P56">
        <f t="shared" si="4"/>
        <v>-60.100000000002183</v>
      </c>
      <c r="Q56">
        <f t="shared" si="6"/>
        <v>-385.29999999999927</v>
      </c>
      <c r="R56">
        <f t="shared" si="7"/>
        <v>-54.799999999999272</v>
      </c>
    </row>
    <row r="57" spans="1:18" x14ac:dyDescent="0.25">
      <c r="A57" s="36">
        <f t="shared" si="2"/>
        <v>39233</v>
      </c>
      <c r="B57" s="36"/>
      <c r="C57" s="36"/>
      <c r="D57" s="23">
        <v>4330.8999999999996</v>
      </c>
      <c r="E57" s="23"/>
      <c r="F57" s="23"/>
      <c r="G57" s="23"/>
      <c r="H57" s="23">
        <v>22902.400000000001</v>
      </c>
      <c r="I57" s="23">
        <v>25320</v>
      </c>
      <c r="J57" s="23"/>
      <c r="K57" s="23"/>
      <c r="L57">
        <f>+H58-K56</f>
        <v>1647.1</v>
      </c>
      <c r="O57">
        <f t="shared" si="3"/>
        <v>-922</v>
      </c>
      <c r="P57">
        <f t="shared" si="4"/>
        <v>-849.5</v>
      </c>
      <c r="Q57">
        <f t="shared" si="6"/>
        <v>-1170.7999999999993</v>
      </c>
      <c r="R57">
        <f t="shared" si="7"/>
        <v>-909.60000000000218</v>
      </c>
    </row>
    <row r="58" spans="1:18" x14ac:dyDescent="0.25">
      <c r="A58" s="10">
        <f t="shared" ref="A58:A74" si="11">+A57+7</f>
        <v>39240</v>
      </c>
      <c r="B58" s="10"/>
      <c r="C58" s="10"/>
      <c r="D58">
        <v>4476.3999999999996</v>
      </c>
      <c r="E58">
        <v>3724.1</v>
      </c>
      <c r="F58">
        <v>267.60000000000002</v>
      </c>
      <c r="G58">
        <v>864.5</v>
      </c>
      <c r="H58">
        <f t="shared" ref="H58:I75" si="12">+D58+F58</f>
        <v>4744</v>
      </c>
      <c r="I58" s="19">
        <f t="shared" si="12"/>
        <v>4588.6000000000004</v>
      </c>
      <c r="J58" s="24">
        <f t="shared" si="9"/>
        <v>3.3866538813581482</v>
      </c>
      <c r="M58">
        <v>1</v>
      </c>
      <c r="O58">
        <f t="shared" si="3"/>
        <v>-18158.400000000001</v>
      </c>
      <c r="P58">
        <f t="shared" si="4"/>
        <v>-20731.400000000001</v>
      </c>
      <c r="Q58">
        <f t="shared" si="6"/>
        <v>-19080.400000000001</v>
      </c>
      <c r="R58">
        <f t="shared" si="7"/>
        <v>-21580.9</v>
      </c>
    </row>
    <row r="59" spans="1:18" x14ac:dyDescent="0.25">
      <c r="A59" s="10">
        <f t="shared" si="11"/>
        <v>39247</v>
      </c>
      <c r="B59" s="10"/>
      <c r="C59" s="10"/>
      <c r="D59">
        <v>4646</v>
      </c>
      <c r="E59">
        <v>3600.1</v>
      </c>
      <c r="F59">
        <v>638.9</v>
      </c>
      <c r="G59">
        <v>864.5</v>
      </c>
      <c r="H59">
        <f t="shared" si="12"/>
        <v>5284.9</v>
      </c>
      <c r="I59" s="19">
        <f t="shared" si="12"/>
        <v>4464.6000000000004</v>
      </c>
      <c r="J59" s="24">
        <f t="shared" si="9"/>
        <v>18.373426510773626</v>
      </c>
      <c r="M59">
        <f>+M58+1</f>
        <v>2</v>
      </c>
      <c r="O59">
        <f t="shared" si="3"/>
        <v>540.89999999999964</v>
      </c>
      <c r="P59">
        <f t="shared" si="4"/>
        <v>-124</v>
      </c>
      <c r="Q59">
        <f t="shared" si="6"/>
        <v>-17617.5</v>
      </c>
      <c r="R59">
        <f t="shared" si="7"/>
        <v>-20855.400000000001</v>
      </c>
    </row>
    <row r="60" spans="1:18" x14ac:dyDescent="0.25">
      <c r="A60" s="10">
        <f t="shared" si="11"/>
        <v>39254</v>
      </c>
      <c r="B60" s="10"/>
      <c r="C60" s="10"/>
      <c r="D60">
        <v>4824.8999999999996</v>
      </c>
      <c r="E60">
        <v>3769.6</v>
      </c>
      <c r="F60">
        <v>1082.8</v>
      </c>
      <c r="G60">
        <v>1237.2</v>
      </c>
      <c r="H60">
        <f t="shared" si="12"/>
        <v>5907.7</v>
      </c>
      <c r="I60" s="19">
        <f t="shared" si="12"/>
        <v>5006.8</v>
      </c>
      <c r="J60" s="24">
        <f t="shared" si="9"/>
        <v>17.993528800830873</v>
      </c>
      <c r="K60" s="17">
        <f t="shared" ref="K60:K67" si="13">+H60-H59</f>
        <v>622.80000000000018</v>
      </c>
      <c r="M60">
        <f t="shared" ref="M60:M80" si="14">+M59+1</f>
        <v>3</v>
      </c>
      <c r="O60">
        <f t="shared" si="3"/>
        <v>622.80000000000018</v>
      </c>
      <c r="P60">
        <f t="shared" si="4"/>
        <v>542.19999999999982</v>
      </c>
      <c r="Q60">
        <f t="shared" si="6"/>
        <v>1163.6999999999998</v>
      </c>
      <c r="R60">
        <f t="shared" si="7"/>
        <v>418.19999999999982</v>
      </c>
    </row>
    <row r="61" spans="1:18" x14ac:dyDescent="0.25">
      <c r="A61" s="10">
        <f t="shared" si="11"/>
        <v>39261</v>
      </c>
      <c r="B61" s="10"/>
      <c r="C61" s="10"/>
      <c r="D61">
        <v>4772.7</v>
      </c>
      <c r="E61">
        <v>3686.3</v>
      </c>
      <c r="F61">
        <v>1673.3</v>
      </c>
      <c r="G61">
        <v>1619.2</v>
      </c>
      <c r="H61">
        <f t="shared" si="12"/>
        <v>6446</v>
      </c>
      <c r="I61" s="19">
        <f t="shared" si="12"/>
        <v>5305.5</v>
      </c>
      <c r="J61" s="24">
        <f t="shared" si="9"/>
        <v>21.496560173404955</v>
      </c>
      <c r="K61" s="17">
        <f t="shared" si="13"/>
        <v>538.30000000000018</v>
      </c>
      <c r="M61">
        <f t="shared" si="14"/>
        <v>4</v>
      </c>
      <c r="O61">
        <f t="shared" si="3"/>
        <v>538.30000000000018</v>
      </c>
      <c r="P61">
        <f t="shared" si="4"/>
        <v>298.69999999999982</v>
      </c>
      <c r="Q61">
        <f t="shared" si="6"/>
        <v>1161.1000000000004</v>
      </c>
      <c r="R61">
        <f t="shared" si="7"/>
        <v>840.89999999999964</v>
      </c>
    </row>
    <row r="62" spans="1:18" x14ac:dyDescent="0.25">
      <c r="A62" s="10">
        <f t="shared" si="11"/>
        <v>39268</v>
      </c>
      <c r="B62" s="10"/>
      <c r="C62" s="10"/>
      <c r="D62">
        <v>5632.94</v>
      </c>
      <c r="E62">
        <v>3592.4</v>
      </c>
      <c r="F62">
        <v>1996.54</v>
      </c>
      <c r="G62">
        <v>1914.4</v>
      </c>
      <c r="H62" s="39">
        <f t="shared" ref="H62:I122" si="15">+D62+F62</f>
        <v>7629.48</v>
      </c>
      <c r="I62" s="19">
        <f t="shared" si="12"/>
        <v>5506.8</v>
      </c>
      <c r="J62" s="24">
        <f t="shared" si="9"/>
        <v>38.546524297232509</v>
      </c>
      <c r="K62" s="17">
        <f t="shared" si="13"/>
        <v>1183.4799999999996</v>
      </c>
      <c r="M62">
        <f t="shared" si="14"/>
        <v>5</v>
      </c>
      <c r="O62">
        <f t="shared" si="3"/>
        <v>1183.4799999999996</v>
      </c>
      <c r="P62">
        <f t="shared" si="4"/>
        <v>201.30000000000018</v>
      </c>
      <c r="Q62">
        <f t="shared" si="6"/>
        <v>1721.7799999999997</v>
      </c>
      <c r="R62">
        <f t="shared" si="7"/>
        <v>500</v>
      </c>
    </row>
    <row r="63" spans="1:18" x14ac:dyDescent="0.25">
      <c r="A63" s="10">
        <f t="shared" si="11"/>
        <v>39275</v>
      </c>
      <c r="B63" s="10"/>
      <c r="C63" s="10"/>
      <c r="D63">
        <v>5927</v>
      </c>
      <c r="E63">
        <v>3461.2</v>
      </c>
      <c r="F63">
        <v>2451.6999999999998</v>
      </c>
      <c r="G63">
        <v>2374.8000000000002</v>
      </c>
      <c r="H63">
        <f t="shared" si="15"/>
        <v>8378.7000000000007</v>
      </c>
      <c r="I63" s="19">
        <f t="shared" si="12"/>
        <v>5836</v>
      </c>
      <c r="J63" s="24">
        <f t="shared" si="9"/>
        <v>43.569225496915706</v>
      </c>
      <c r="K63" s="17">
        <f t="shared" si="13"/>
        <v>749.22000000000116</v>
      </c>
      <c r="L63" s="17">
        <f t="shared" ref="L63:L70" si="16">AVERAGE(K60:K63)</f>
        <v>773.45000000000027</v>
      </c>
      <c r="M63">
        <f t="shared" si="14"/>
        <v>6</v>
      </c>
      <c r="O63">
        <f t="shared" si="3"/>
        <v>749.22000000000116</v>
      </c>
      <c r="P63">
        <f t="shared" si="4"/>
        <v>329.19999999999982</v>
      </c>
      <c r="Q63">
        <f t="shared" si="6"/>
        <v>1932.7000000000007</v>
      </c>
      <c r="R63">
        <f t="shared" si="7"/>
        <v>530.5</v>
      </c>
    </row>
    <row r="64" spans="1:18" x14ac:dyDescent="0.25">
      <c r="A64" s="10">
        <f t="shared" si="11"/>
        <v>39282</v>
      </c>
      <c r="B64" s="10"/>
      <c r="C64" s="10"/>
      <c r="D64">
        <v>7572.2</v>
      </c>
      <c r="E64">
        <v>3399.1</v>
      </c>
      <c r="F64">
        <v>2884</v>
      </c>
      <c r="G64">
        <v>2901.6</v>
      </c>
      <c r="H64">
        <f t="shared" si="15"/>
        <v>10456.200000000001</v>
      </c>
      <c r="I64" s="19">
        <f t="shared" si="12"/>
        <v>6300.7</v>
      </c>
      <c r="J64" s="24">
        <f t="shared" si="9"/>
        <v>65.952989350389643</v>
      </c>
      <c r="K64" s="17">
        <f t="shared" si="13"/>
        <v>2077.5</v>
      </c>
      <c r="L64" s="17">
        <f t="shared" si="16"/>
        <v>1137.1250000000002</v>
      </c>
      <c r="M64">
        <f t="shared" si="14"/>
        <v>7</v>
      </c>
    </row>
    <row r="65" spans="1:18" x14ac:dyDescent="0.25">
      <c r="A65" s="10">
        <f t="shared" si="11"/>
        <v>39289</v>
      </c>
      <c r="B65" s="10"/>
      <c r="C65" s="10"/>
      <c r="D65">
        <v>8854.7999999999993</v>
      </c>
      <c r="E65">
        <v>3611.8</v>
      </c>
      <c r="F65">
        <v>3342.7</v>
      </c>
      <c r="G65">
        <v>3272.2</v>
      </c>
      <c r="H65">
        <f t="shared" si="15"/>
        <v>12197.5</v>
      </c>
      <c r="I65" s="19">
        <f t="shared" si="12"/>
        <v>6884</v>
      </c>
      <c r="J65" s="24">
        <f t="shared" si="9"/>
        <v>77.186228936664733</v>
      </c>
      <c r="K65" s="17">
        <f t="shared" si="13"/>
        <v>1741.2999999999993</v>
      </c>
      <c r="L65" s="17">
        <f t="shared" si="16"/>
        <v>1437.875</v>
      </c>
      <c r="M65">
        <f t="shared" si="14"/>
        <v>8</v>
      </c>
    </row>
    <row r="66" spans="1:18" x14ac:dyDescent="0.25">
      <c r="A66" s="10">
        <f t="shared" si="11"/>
        <v>39296</v>
      </c>
      <c r="B66" s="10"/>
      <c r="C66" s="10"/>
      <c r="D66">
        <v>8913.7000000000007</v>
      </c>
      <c r="E66">
        <v>3451.1</v>
      </c>
      <c r="F66">
        <v>4174.7</v>
      </c>
      <c r="G66">
        <v>3828.6</v>
      </c>
      <c r="H66">
        <f t="shared" si="15"/>
        <v>13088.400000000001</v>
      </c>
      <c r="I66" s="19">
        <f t="shared" si="12"/>
        <v>7279.7</v>
      </c>
      <c r="J66" s="24">
        <f t="shared" si="9"/>
        <v>79.793123342994932</v>
      </c>
      <c r="K66" s="17">
        <f t="shared" si="13"/>
        <v>890.90000000000146</v>
      </c>
      <c r="L66" s="17">
        <f t="shared" si="16"/>
        <v>1364.7300000000005</v>
      </c>
      <c r="M66">
        <f t="shared" si="14"/>
        <v>9</v>
      </c>
    </row>
    <row r="67" spans="1:18" x14ac:dyDescent="0.25">
      <c r="A67" s="10">
        <f t="shared" si="11"/>
        <v>39303</v>
      </c>
      <c r="B67" s="10"/>
      <c r="C67" s="10"/>
      <c r="D67">
        <v>9443.1</v>
      </c>
      <c r="E67">
        <v>3451.1</v>
      </c>
      <c r="F67">
        <v>4831.3999999999996</v>
      </c>
      <c r="G67">
        <v>4216.3</v>
      </c>
      <c r="H67">
        <f t="shared" si="15"/>
        <v>14274.5</v>
      </c>
      <c r="I67" s="19">
        <f t="shared" si="12"/>
        <v>7667.4</v>
      </c>
      <c r="J67" s="24">
        <f t="shared" si="9"/>
        <v>86.171322743041983</v>
      </c>
      <c r="K67" s="17">
        <f t="shared" si="13"/>
        <v>1186.0999999999985</v>
      </c>
      <c r="L67" s="17">
        <f t="shared" si="16"/>
        <v>1473.9499999999998</v>
      </c>
      <c r="M67">
        <f t="shared" si="14"/>
        <v>10</v>
      </c>
    </row>
    <row r="68" spans="1:18" x14ac:dyDescent="0.25">
      <c r="A68" s="10">
        <f t="shared" si="11"/>
        <v>39310</v>
      </c>
      <c r="B68" s="10"/>
      <c r="C68" s="10"/>
      <c r="D68">
        <v>9344.2000000000007</v>
      </c>
      <c r="E68">
        <v>3454</v>
      </c>
      <c r="F68">
        <v>5975.5</v>
      </c>
      <c r="G68">
        <v>4607</v>
      </c>
      <c r="H68">
        <f t="shared" si="15"/>
        <v>15319.7</v>
      </c>
      <c r="I68" s="19">
        <f t="shared" si="12"/>
        <v>8061</v>
      </c>
      <c r="J68" s="24">
        <f t="shared" si="9"/>
        <v>90.047140553281253</v>
      </c>
      <c r="K68" s="17">
        <f>+H68-H67</f>
        <v>1045.2000000000007</v>
      </c>
      <c r="L68" s="17">
        <f t="shared" si="16"/>
        <v>1215.875</v>
      </c>
      <c r="M68">
        <f t="shared" si="14"/>
        <v>11</v>
      </c>
      <c r="Q68">
        <f t="shared" si="6"/>
        <v>0</v>
      </c>
      <c r="R68">
        <f t="shared" si="7"/>
        <v>0</v>
      </c>
    </row>
    <row r="69" spans="1:18" x14ac:dyDescent="0.25">
      <c r="A69" s="10">
        <f t="shared" si="11"/>
        <v>39317</v>
      </c>
      <c r="B69" s="10"/>
      <c r="C69" s="10"/>
      <c r="D69">
        <v>9564.2000000000007</v>
      </c>
      <c r="E69">
        <v>3463.9</v>
      </c>
      <c r="F69">
        <v>6987.4</v>
      </c>
      <c r="G69">
        <v>5032.5</v>
      </c>
      <c r="H69">
        <f t="shared" si="15"/>
        <v>16551.599999999999</v>
      </c>
      <c r="I69" s="19">
        <f t="shared" si="12"/>
        <v>8496.4</v>
      </c>
      <c r="J69" s="24">
        <f t="shared" si="9"/>
        <v>94.807212466456377</v>
      </c>
      <c r="K69" s="17">
        <f>+H69-H68</f>
        <v>1231.8999999999978</v>
      </c>
      <c r="L69" s="17">
        <f t="shared" si="16"/>
        <v>1088.5249999999996</v>
      </c>
      <c r="M69">
        <f t="shared" si="14"/>
        <v>12</v>
      </c>
      <c r="Q69">
        <f t="shared" si="6"/>
        <v>0</v>
      </c>
      <c r="R69">
        <f t="shared" si="7"/>
        <v>0</v>
      </c>
    </row>
    <row r="70" spans="1:18" x14ac:dyDescent="0.25">
      <c r="A70" s="10">
        <f t="shared" si="11"/>
        <v>39324</v>
      </c>
      <c r="B70" s="10"/>
      <c r="C70" s="10"/>
      <c r="D70">
        <v>9124.1</v>
      </c>
      <c r="E70">
        <v>3222.1</v>
      </c>
      <c r="F70">
        <v>8145.8</v>
      </c>
      <c r="G70">
        <v>5657.7</v>
      </c>
      <c r="H70">
        <f t="shared" si="15"/>
        <v>17269.900000000001</v>
      </c>
      <c r="I70" s="19">
        <f t="shared" si="12"/>
        <v>8879.7999999999993</v>
      </c>
      <c r="J70" s="24">
        <f t="shared" si="9"/>
        <v>94.485236153967463</v>
      </c>
      <c r="K70" s="17">
        <f>+H70-H69</f>
        <v>718.30000000000291</v>
      </c>
      <c r="L70" s="17">
        <f t="shared" si="16"/>
        <v>1045.375</v>
      </c>
      <c r="M70">
        <f t="shared" si="14"/>
        <v>13</v>
      </c>
    </row>
    <row r="71" spans="1:18" x14ac:dyDescent="0.25">
      <c r="A71" s="10">
        <f t="shared" si="11"/>
        <v>39331</v>
      </c>
      <c r="B71" s="10"/>
      <c r="C71" s="10"/>
      <c r="D71">
        <v>10527.9</v>
      </c>
      <c r="E71">
        <v>3343.4</v>
      </c>
      <c r="F71">
        <v>8866.9</v>
      </c>
      <c r="G71">
        <v>5873.7</v>
      </c>
      <c r="H71">
        <f t="shared" si="15"/>
        <v>19394.8</v>
      </c>
      <c r="I71" s="19">
        <f t="shared" si="12"/>
        <v>9217.1</v>
      </c>
      <c r="J71" s="24">
        <f t="shared" si="9"/>
        <v>110.42193314600036</v>
      </c>
      <c r="K71" s="17">
        <f>+H71-H70</f>
        <v>2124.8999999999978</v>
      </c>
      <c r="L71" s="17">
        <f>AVERAGE(K68:K71)</f>
        <v>1280.0749999999998</v>
      </c>
      <c r="M71">
        <f t="shared" si="14"/>
        <v>14</v>
      </c>
    </row>
    <row r="72" spans="1:18" x14ac:dyDescent="0.25">
      <c r="A72" s="10">
        <f t="shared" si="11"/>
        <v>39338</v>
      </c>
      <c r="B72" s="10"/>
      <c r="C72" s="10"/>
      <c r="D72">
        <v>11047.3</v>
      </c>
      <c r="E72">
        <v>3334</v>
      </c>
      <c r="F72">
        <v>9787.4</v>
      </c>
      <c r="G72">
        <v>6402.6</v>
      </c>
      <c r="H72">
        <f t="shared" si="15"/>
        <v>20834.699999999997</v>
      </c>
      <c r="I72" s="19">
        <f t="shared" si="12"/>
        <v>9736.6</v>
      </c>
      <c r="J72" s="24">
        <f t="shared" si="9"/>
        <v>113.98332066635169</v>
      </c>
      <c r="M72">
        <f t="shared" si="14"/>
        <v>15</v>
      </c>
    </row>
    <row r="73" spans="1:18" x14ac:dyDescent="0.25">
      <c r="A73" s="10">
        <f t="shared" si="11"/>
        <v>39345</v>
      </c>
      <c r="B73" s="10"/>
      <c r="C73" s="10"/>
      <c r="D73">
        <v>11526.7</v>
      </c>
      <c r="E73">
        <v>3423.6</v>
      </c>
      <c r="F73">
        <v>10821.9</v>
      </c>
      <c r="G73">
        <v>6721.4</v>
      </c>
      <c r="H73">
        <f t="shared" si="15"/>
        <v>22348.6</v>
      </c>
      <c r="I73" s="19">
        <f t="shared" si="12"/>
        <v>10145</v>
      </c>
      <c r="J73" s="24">
        <f t="shared" si="9"/>
        <v>120.29176934450464</v>
      </c>
      <c r="K73" s="17">
        <f>+H73-H72</f>
        <v>1513.9000000000015</v>
      </c>
      <c r="M73">
        <f t="shared" si="14"/>
        <v>16</v>
      </c>
    </row>
    <row r="74" spans="1:18" x14ac:dyDescent="0.25">
      <c r="A74" s="10">
        <f t="shared" si="11"/>
        <v>39352</v>
      </c>
      <c r="B74" s="10"/>
      <c r="C74" s="10"/>
      <c r="D74">
        <v>11973.3</v>
      </c>
      <c r="E74">
        <v>3303.9</v>
      </c>
      <c r="F74">
        <v>11973.4</v>
      </c>
      <c r="G74">
        <v>7218.8</v>
      </c>
      <c r="H74">
        <f t="shared" si="15"/>
        <v>23946.699999999997</v>
      </c>
      <c r="I74" s="19">
        <f t="shared" si="12"/>
        <v>10522.7</v>
      </c>
      <c r="J74" s="24">
        <f t="shared" si="9"/>
        <v>127.57182092048613</v>
      </c>
      <c r="K74" s="17">
        <f t="shared" ref="K74:K91" si="17">+H74-H73</f>
        <v>1598.0999999999985</v>
      </c>
      <c r="M74">
        <f t="shared" si="14"/>
        <v>17</v>
      </c>
    </row>
    <row r="75" spans="1:18" x14ac:dyDescent="0.25">
      <c r="A75" s="10">
        <f>+A74+7</f>
        <v>39359</v>
      </c>
      <c r="B75" s="10"/>
      <c r="C75" s="10"/>
      <c r="D75">
        <v>12025.2</v>
      </c>
      <c r="E75">
        <v>3544.6</v>
      </c>
      <c r="F75">
        <v>12855.5</v>
      </c>
      <c r="G75">
        <v>7662.4</v>
      </c>
      <c r="H75">
        <f t="shared" si="15"/>
        <v>24880.7</v>
      </c>
      <c r="I75" s="19">
        <f t="shared" si="12"/>
        <v>11207</v>
      </c>
      <c r="J75" s="24">
        <f t="shared" si="9"/>
        <v>122.01035067368609</v>
      </c>
      <c r="K75" s="17">
        <f t="shared" si="17"/>
        <v>934.00000000000364</v>
      </c>
      <c r="M75">
        <f t="shared" si="14"/>
        <v>18</v>
      </c>
    </row>
    <row r="76" spans="1:18" x14ac:dyDescent="0.25">
      <c r="A76" s="10">
        <f t="shared" ref="A76:A252" si="18">+A75+7</f>
        <v>39366</v>
      </c>
      <c r="B76" s="10"/>
      <c r="C76" s="10"/>
      <c r="D76">
        <v>12019.2</v>
      </c>
      <c r="E76">
        <v>3405.4</v>
      </c>
      <c r="F76">
        <v>13845.9</v>
      </c>
      <c r="G76">
        <v>8247</v>
      </c>
      <c r="H76">
        <f t="shared" si="15"/>
        <v>25865.1</v>
      </c>
      <c r="I76" s="19">
        <f t="shared" si="15"/>
        <v>11652.4</v>
      </c>
      <c r="J76" s="24">
        <f t="shared" si="9"/>
        <v>121.97229755243555</v>
      </c>
      <c r="K76" s="17">
        <f t="shared" si="17"/>
        <v>984.39999999999782</v>
      </c>
      <c r="M76">
        <f t="shared" si="14"/>
        <v>19</v>
      </c>
    </row>
    <row r="77" spans="1:18" x14ac:dyDescent="0.25">
      <c r="A77" s="10">
        <f t="shared" si="18"/>
        <v>39373</v>
      </c>
      <c r="B77" s="10"/>
      <c r="C77" s="10"/>
      <c r="D77">
        <v>11713.6</v>
      </c>
      <c r="E77">
        <v>3438</v>
      </c>
      <c r="F77">
        <v>14693.9</v>
      </c>
      <c r="G77">
        <v>8675.2000000000007</v>
      </c>
      <c r="H77">
        <f t="shared" si="15"/>
        <v>26407.5</v>
      </c>
      <c r="I77" s="19">
        <f t="shared" si="15"/>
        <v>12113.2</v>
      </c>
      <c r="J77" s="24">
        <f t="shared" si="9"/>
        <v>118.00597695076442</v>
      </c>
      <c r="K77" s="17">
        <f t="shared" si="17"/>
        <v>542.40000000000146</v>
      </c>
      <c r="M77">
        <f t="shared" si="14"/>
        <v>20</v>
      </c>
    </row>
    <row r="78" spans="1:18" x14ac:dyDescent="0.25">
      <c r="A78" s="10">
        <f t="shared" si="18"/>
        <v>39380</v>
      </c>
      <c r="B78" s="10"/>
      <c r="C78" s="10"/>
      <c r="D78">
        <v>11048.2</v>
      </c>
      <c r="E78">
        <v>4028.2</v>
      </c>
      <c r="F78">
        <v>15533.2</v>
      </c>
      <c r="G78">
        <v>9023.7000000000007</v>
      </c>
      <c r="H78">
        <f t="shared" si="15"/>
        <v>26581.4</v>
      </c>
      <c r="I78" s="19">
        <f t="shared" si="15"/>
        <v>13051.900000000001</v>
      </c>
      <c r="J78" s="24">
        <f t="shared" si="9"/>
        <v>103.65923735241611</v>
      </c>
      <c r="K78" s="17">
        <f t="shared" si="17"/>
        <v>173.90000000000146</v>
      </c>
      <c r="M78">
        <f t="shared" si="14"/>
        <v>21</v>
      </c>
    </row>
    <row r="79" spans="1:18" x14ac:dyDescent="0.25">
      <c r="A79" s="10">
        <f t="shared" si="18"/>
        <v>39387</v>
      </c>
      <c r="B79" s="10"/>
      <c r="C79" s="10"/>
      <c r="D79">
        <v>10299.9</v>
      </c>
      <c r="E79">
        <v>4344.2</v>
      </c>
      <c r="F79">
        <v>16296.1</v>
      </c>
      <c r="G79">
        <v>9280.7000000000007</v>
      </c>
      <c r="H79">
        <f t="shared" si="15"/>
        <v>26596</v>
      </c>
      <c r="I79" s="19">
        <f t="shared" si="15"/>
        <v>13624.900000000001</v>
      </c>
      <c r="J79" s="24">
        <f t="shared" si="9"/>
        <v>95.201432671065447</v>
      </c>
      <c r="K79" s="17">
        <f t="shared" si="17"/>
        <v>14.599999999998545</v>
      </c>
      <c r="M79">
        <f t="shared" si="14"/>
        <v>22</v>
      </c>
    </row>
    <row r="80" spans="1:18" x14ac:dyDescent="0.25">
      <c r="A80" s="10">
        <f t="shared" si="18"/>
        <v>39394</v>
      </c>
      <c r="B80" s="10"/>
      <c r="C80" s="10"/>
      <c r="D80">
        <v>10126.299999999999</v>
      </c>
      <c r="E80">
        <v>4327.2</v>
      </c>
      <c r="F80">
        <v>16885.8</v>
      </c>
      <c r="G80">
        <v>9620.2999999999993</v>
      </c>
      <c r="H80">
        <f t="shared" si="15"/>
        <v>27012.1</v>
      </c>
      <c r="I80" s="19">
        <f t="shared" si="15"/>
        <v>13947.5</v>
      </c>
      <c r="J80" s="24">
        <f t="shared" si="9"/>
        <v>93.669833303459399</v>
      </c>
      <c r="K80" s="17">
        <f t="shared" si="17"/>
        <v>416.09999999999854</v>
      </c>
      <c r="M80">
        <f t="shared" si="14"/>
        <v>23</v>
      </c>
    </row>
    <row r="81" spans="1:14" x14ac:dyDescent="0.25">
      <c r="A81" s="10">
        <f t="shared" si="18"/>
        <v>39401</v>
      </c>
      <c r="B81" s="10"/>
      <c r="C81" s="10"/>
      <c r="D81">
        <v>10000.200000000001</v>
      </c>
      <c r="E81">
        <v>4373.1000000000004</v>
      </c>
      <c r="F81">
        <v>17503.599999999999</v>
      </c>
      <c r="G81">
        <v>9935.7999999999993</v>
      </c>
      <c r="H81">
        <f t="shared" si="15"/>
        <v>27503.8</v>
      </c>
      <c r="I81" s="19">
        <f t="shared" si="15"/>
        <v>14308.9</v>
      </c>
      <c r="J81" s="24">
        <f t="shared" si="9"/>
        <v>92.214635646345982</v>
      </c>
      <c r="K81" s="17">
        <f t="shared" si="17"/>
        <v>491.70000000000073</v>
      </c>
    </row>
    <row r="82" spans="1:14" x14ac:dyDescent="0.25">
      <c r="A82" s="10">
        <f t="shared" si="18"/>
        <v>39408</v>
      </c>
      <c r="B82" s="10"/>
      <c r="C82" s="10"/>
      <c r="D82">
        <v>9831.9</v>
      </c>
      <c r="E82">
        <v>4511.7</v>
      </c>
      <c r="F82">
        <v>18079.400000000001</v>
      </c>
      <c r="G82">
        <v>10344.9</v>
      </c>
      <c r="H82">
        <f t="shared" si="15"/>
        <v>27911.300000000003</v>
      </c>
      <c r="I82" s="19">
        <f t="shared" si="15"/>
        <v>14856.599999999999</v>
      </c>
      <c r="J82" s="24">
        <f t="shared" si="9"/>
        <v>87.871383762099043</v>
      </c>
      <c r="K82" s="17">
        <f t="shared" si="17"/>
        <v>407.50000000000364</v>
      </c>
      <c r="L82" s="17"/>
    </row>
    <row r="83" spans="1:14" x14ac:dyDescent="0.25">
      <c r="A83" s="10">
        <f t="shared" si="18"/>
        <v>39415</v>
      </c>
      <c r="B83" s="10"/>
      <c r="C83" s="10"/>
      <c r="D83">
        <v>9416</v>
      </c>
      <c r="E83">
        <v>4417.2</v>
      </c>
      <c r="F83">
        <v>18731.3</v>
      </c>
      <c r="G83">
        <v>10843.3</v>
      </c>
      <c r="H83">
        <f t="shared" si="15"/>
        <v>28147.3</v>
      </c>
      <c r="I83" s="19">
        <f t="shared" si="15"/>
        <v>15260.5</v>
      </c>
      <c r="J83" s="24">
        <f t="shared" si="9"/>
        <v>84.445463779037382</v>
      </c>
      <c r="K83" s="17">
        <f t="shared" si="17"/>
        <v>235.99999999999636</v>
      </c>
      <c r="L83" s="17"/>
    </row>
    <row r="84" spans="1:14" x14ac:dyDescent="0.25">
      <c r="A84" s="10">
        <f t="shared" si="18"/>
        <v>39422</v>
      </c>
      <c r="B84" s="10"/>
      <c r="C84" s="10"/>
      <c r="D84">
        <v>9265.9</v>
      </c>
      <c r="E84">
        <v>4475.3999999999996</v>
      </c>
      <c r="F84">
        <v>19395.2</v>
      </c>
      <c r="G84">
        <v>11256.2</v>
      </c>
      <c r="H84">
        <f t="shared" si="15"/>
        <v>28661.1</v>
      </c>
      <c r="I84" s="19">
        <f t="shared" si="15"/>
        <v>15731.6</v>
      </c>
      <c r="J84" s="24">
        <f t="shared" si="9"/>
        <v>82.188080042716564</v>
      </c>
      <c r="K84" s="17">
        <f t="shared" si="17"/>
        <v>513.79999999999927</v>
      </c>
      <c r="L84" s="17"/>
    </row>
    <row r="85" spans="1:14" x14ac:dyDescent="0.25">
      <c r="A85" s="10">
        <f t="shared" si="18"/>
        <v>39429</v>
      </c>
      <c r="B85" s="10"/>
      <c r="C85" s="10"/>
      <c r="D85">
        <v>8946.1</v>
      </c>
      <c r="E85">
        <v>4568</v>
      </c>
      <c r="F85">
        <v>19906</v>
      </c>
      <c r="G85">
        <v>11618.7</v>
      </c>
      <c r="H85">
        <f t="shared" si="15"/>
        <v>28852.1</v>
      </c>
      <c r="I85" s="19">
        <f t="shared" si="15"/>
        <v>16186.7</v>
      </c>
      <c r="J85" s="24">
        <f t="shared" si="9"/>
        <v>78.245720251811647</v>
      </c>
      <c r="K85" s="17">
        <f t="shared" si="17"/>
        <v>191</v>
      </c>
      <c r="L85" s="17"/>
      <c r="N85" s="41"/>
    </row>
    <row r="86" spans="1:14" x14ac:dyDescent="0.25">
      <c r="A86" s="10">
        <f t="shared" si="18"/>
        <v>39436</v>
      </c>
      <c r="B86" s="10"/>
      <c r="C86" s="10"/>
      <c r="D86">
        <v>8863.7999999999993</v>
      </c>
      <c r="E86">
        <v>4630.1000000000004</v>
      </c>
      <c r="F86">
        <v>20287.2</v>
      </c>
      <c r="G86">
        <v>11910.7</v>
      </c>
      <c r="H86">
        <f t="shared" si="15"/>
        <v>29151</v>
      </c>
      <c r="I86" s="19">
        <f t="shared" si="15"/>
        <v>16540.800000000003</v>
      </c>
      <c r="J86" s="24">
        <f t="shared" si="9"/>
        <v>76.236941381311624</v>
      </c>
      <c r="K86" s="17">
        <f t="shared" si="17"/>
        <v>298.90000000000146</v>
      </c>
      <c r="L86">
        <f t="shared" ref="L86:M92" si="19">+F86-F85</f>
        <v>381.20000000000073</v>
      </c>
      <c r="M86">
        <f t="shared" si="19"/>
        <v>292</v>
      </c>
      <c r="N86" s="41"/>
    </row>
    <row r="87" spans="1:14" x14ac:dyDescent="0.25">
      <c r="A87" s="10">
        <f t="shared" si="18"/>
        <v>39443</v>
      </c>
      <c r="B87" s="10"/>
      <c r="C87" s="10"/>
      <c r="D87">
        <v>8544.9</v>
      </c>
      <c r="E87">
        <v>4277.2</v>
      </c>
      <c r="F87">
        <v>20724.8</v>
      </c>
      <c r="G87">
        <v>12398.7</v>
      </c>
      <c r="H87">
        <f t="shared" si="15"/>
        <v>29269.699999999997</v>
      </c>
      <c r="I87" s="19">
        <f t="shared" si="15"/>
        <v>16675.900000000001</v>
      </c>
      <c r="J87" s="24">
        <f t="shared" si="9"/>
        <v>75.520961387391353</v>
      </c>
      <c r="K87" s="17">
        <f t="shared" si="17"/>
        <v>118.69999999999709</v>
      </c>
      <c r="L87">
        <f t="shared" si="19"/>
        <v>437.59999999999854</v>
      </c>
      <c r="M87">
        <f t="shared" si="19"/>
        <v>488</v>
      </c>
      <c r="N87" s="41">
        <f t="shared" ref="N87:N93" si="20">+I87-I86</f>
        <v>135.09999999999854</v>
      </c>
    </row>
    <row r="88" spans="1:14" x14ac:dyDescent="0.25">
      <c r="A88" s="10">
        <f t="shared" si="18"/>
        <v>39450</v>
      </c>
      <c r="B88" s="10"/>
      <c r="C88" s="10"/>
      <c r="D88">
        <v>8265.2999999999993</v>
      </c>
      <c r="E88">
        <v>4027.5</v>
      </c>
      <c r="F88">
        <v>21195.3</v>
      </c>
      <c r="G88">
        <v>12892.8</v>
      </c>
      <c r="H88">
        <f t="shared" si="15"/>
        <v>29460.6</v>
      </c>
      <c r="I88" s="19">
        <f t="shared" si="15"/>
        <v>16920.3</v>
      </c>
      <c r="J88" s="24">
        <f t="shared" si="9"/>
        <v>74.113934150103717</v>
      </c>
      <c r="K88" s="17">
        <f t="shared" si="17"/>
        <v>190.90000000000146</v>
      </c>
      <c r="L88">
        <f t="shared" si="19"/>
        <v>470.5</v>
      </c>
      <c r="M88">
        <f t="shared" si="19"/>
        <v>494.09999999999854</v>
      </c>
      <c r="N88" s="41">
        <f t="shared" si="20"/>
        <v>244.39999999999782</v>
      </c>
    </row>
    <row r="89" spans="1:14" x14ac:dyDescent="0.25">
      <c r="A89" s="10">
        <f t="shared" si="18"/>
        <v>39457</v>
      </c>
      <c r="B89" s="10"/>
      <c r="C89" s="10"/>
      <c r="D89">
        <v>7966.2</v>
      </c>
      <c r="E89">
        <v>4468.3999999999996</v>
      </c>
      <c r="F89">
        <v>21899.200000000001</v>
      </c>
      <c r="G89">
        <v>13276.6</v>
      </c>
      <c r="H89">
        <f t="shared" si="15"/>
        <v>29865.4</v>
      </c>
      <c r="I89" s="19">
        <f t="shared" si="15"/>
        <v>17745</v>
      </c>
      <c r="J89" s="24">
        <f t="shared" si="9"/>
        <v>68.303183995491693</v>
      </c>
      <c r="K89" s="17">
        <f t="shared" si="17"/>
        <v>404.80000000000291</v>
      </c>
      <c r="L89">
        <f t="shared" si="19"/>
        <v>703.90000000000146</v>
      </c>
      <c r="M89">
        <f t="shared" si="19"/>
        <v>383.80000000000109</v>
      </c>
      <c r="N89" s="41">
        <f t="shared" si="20"/>
        <v>824.70000000000073</v>
      </c>
    </row>
    <row r="90" spans="1:14" x14ac:dyDescent="0.25">
      <c r="A90" s="10">
        <f t="shared" si="18"/>
        <v>39464</v>
      </c>
      <c r="B90" s="10"/>
      <c r="C90" s="10"/>
      <c r="D90">
        <v>7894.1</v>
      </c>
      <c r="E90">
        <v>4183.8</v>
      </c>
      <c r="F90">
        <v>22394</v>
      </c>
      <c r="G90">
        <v>13807.3</v>
      </c>
      <c r="H90">
        <f t="shared" si="15"/>
        <v>30288.1</v>
      </c>
      <c r="I90" s="19">
        <f t="shared" si="15"/>
        <v>17991.099999999999</v>
      </c>
      <c r="J90" s="24">
        <f t="shared" si="9"/>
        <v>68.350462172963304</v>
      </c>
      <c r="K90" s="17">
        <f t="shared" si="17"/>
        <v>422.69999999999709</v>
      </c>
      <c r="L90">
        <f t="shared" si="19"/>
        <v>494.79999999999927</v>
      </c>
      <c r="M90">
        <f t="shared" si="19"/>
        <v>530.69999999999891</v>
      </c>
      <c r="N90" s="41">
        <f t="shared" si="20"/>
        <v>246.09999999999854</v>
      </c>
    </row>
    <row r="91" spans="1:14" x14ac:dyDescent="0.25">
      <c r="A91" s="10">
        <f t="shared" si="18"/>
        <v>39471</v>
      </c>
      <c r="B91" s="10"/>
      <c r="C91" s="10"/>
      <c r="D91">
        <v>7779</v>
      </c>
      <c r="E91">
        <v>4169.7</v>
      </c>
      <c r="F91">
        <v>23017.9</v>
      </c>
      <c r="G91">
        <v>14381.9</v>
      </c>
      <c r="H91">
        <f t="shared" si="15"/>
        <v>30796.9</v>
      </c>
      <c r="I91" s="19">
        <f t="shared" si="15"/>
        <v>18551.599999999999</v>
      </c>
      <c r="J91" s="24">
        <f t="shared" si="9"/>
        <v>66.006705621078538</v>
      </c>
      <c r="K91" s="17">
        <f t="shared" si="17"/>
        <v>508.80000000000291</v>
      </c>
      <c r="L91">
        <f t="shared" si="19"/>
        <v>623.90000000000146</v>
      </c>
      <c r="M91">
        <f t="shared" si="19"/>
        <v>574.60000000000036</v>
      </c>
      <c r="N91" s="41">
        <f t="shared" si="20"/>
        <v>560.5</v>
      </c>
    </row>
    <row r="92" spans="1:14" x14ac:dyDescent="0.25">
      <c r="A92" s="10">
        <f t="shared" si="18"/>
        <v>39478</v>
      </c>
      <c r="B92" s="10"/>
      <c r="C92" s="10"/>
      <c r="D92">
        <v>7631.4</v>
      </c>
      <c r="E92">
        <v>4312.8</v>
      </c>
      <c r="F92">
        <v>23478.3</v>
      </c>
      <c r="G92">
        <v>14971.4</v>
      </c>
      <c r="H92">
        <f t="shared" si="15"/>
        <v>31109.699999999997</v>
      </c>
      <c r="I92" s="19">
        <f t="shared" si="15"/>
        <v>19284.2</v>
      </c>
      <c r="J92" s="24">
        <f t="shared" si="9"/>
        <v>61.322222337457589</v>
      </c>
      <c r="K92" s="17">
        <f t="shared" ref="K92:K97" si="21">+H92-H91</f>
        <v>312.79999999999563</v>
      </c>
      <c r="L92">
        <f t="shared" si="19"/>
        <v>460.39999999999782</v>
      </c>
      <c r="M92">
        <f t="shared" si="19"/>
        <v>589.5</v>
      </c>
      <c r="N92" s="41">
        <f t="shared" si="20"/>
        <v>732.60000000000218</v>
      </c>
    </row>
    <row r="93" spans="1:14" x14ac:dyDescent="0.25">
      <c r="A93" s="10">
        <f t="shared" si="18"/>
        <v>39485</v>
      </c>
      <c r="B93" s="10"/>
      <c r="C93" s="10"/>
      <c r="D93">
        <v>7167.6</v>
      </c>
      <c r="E93">
        <v>4265.2</v>
      </c>
      <c r="F93">
        <v>24025.1</v>
      </c>
      <c r="G93">
        <v>15380.4</v>
      </c>
      <c r="H93">
        <f t="shared" si="15"/>
        <v>31192.699999999997</v>
      </c>
      <c r="I93" s="19">
        <f t="shared" si="15"/>
        <v>19645.599999999999</v>
      </c>
      <c r="J93" s="24">
        <f t="shared" si="9"/>
        <v>58.777028953048017</v>
      </c>
      <c r="K93" s="17">
        <f t="shared" si="21"/>
        <v>83</v>
      </c>
      <c r="L93">
        <f t="shared" ref="L93:M95" si="22">+F93-F92</f>
        <v>546.79999999999927</v>
      </c>
      <c r="M93">
        <f t="shared" si="22"/>
        <v>409</v>
      </c>
      <c r="N93" s="41">
        <f t="shared" si="20"/>
        <v>361.39999999999782</v>
      </c>
    </row>
    <row r="94" spans="1:14" x14ac:dyDescent="0.25">
      <c r="A94" s="10">
        <f t="shared" si="18"/>
        <v>39492</v>
      </c>
      <c r="B94" s="10"/>
      <c r="C94" s="10"/>
      <c r="D94">
        <v>6657.9</v>
      </c>
      <c r="E94">
        <v>4287.3999999999996</v>
      </c>
      <c r="F94">
        <v>24635.8</v>
      </c>
      <c r="G94">
        <v>15808.9</v>
      </c>
      <c r="H94">
        <f t="shared" si="15"/>
        <v>31293.699999999997</v>
      </c>
      <c r="I94" s="19">
        <f t="shared" si="15"/>
        <v>20096.3</v>
      </c>
      <c r="J94" s="24">
        <f t="shared" si="9"/>
        <v>55.718714390211119</v>
      </c>
      <c r="K94" s="17">
        <f t="shared" si="21"/>
        <v>101</v>
      </c>
      <c r="L94">
        <f t="shared" si="22"/>
        <v>610.70000000000073</v>
      </c>
      <c r="M94">
        <f t="shared" si="22"/>
        <v>428.5</v>
      </c>
      <c r="N94" s="41">
        <f t="shared" ref="N94:N99" si="23">+I94-I93</f>
        <v>450.70000000000073</v>
      </c>
    </row>
    <row r="95" spans="1:14" x14ac:dyDescent="0.25">
      <c r="A95" s="10">
        <f t="shared" si="18"/>
        <v>39499</v>
      </c>
      <c r="B95" s="10"/>
      <c r="C95" s="10"/>
      <c r="D95">
        <v>6456.2</v>
      </c>
      <c r="E95">
        <v>3996.6</v>
      </c>
      <c r="F95">
        <v>25146.1</v>
      </c>
      <c r="G95">
        <v>16421.400000000001</v>
      </c>
      <c r="H95">
        <f t="shared" si="15"/>
        <v>31602.3</v>
      </c>
      <c r="I95" s="19">
        <f t="shared" si="15"/>
        <v>20418</v>
      </c>
      <c r="J95" s="24">
        <f t="shared" si="9"/>
        <v>54.776667646194532</v>
      </c>
      <c r="K95" s="17">
        <f t="shared" si="21"/>
        <v>308.60000000000218</v>
      </c>
      <c r="L95">
        <f t="shared" si="22"/>
        <v>510.29999999999927</v>
      </c>
      <c r="M95">
        <f t="shared" si="22"/>
        <v>612.50000000000182</v>
      </c>
      <c r="N95" s="41">
        <f t="shared" si="23"/>
        <v>321.70000000000073</v>
      </c>
    </row>
    <row r="96" spans="1:14" x14ac:dyDescent="0.25">
      <c r="A96" s="10">
        <f t="shared" si="18"/>
        <v>39506</v>
      </c>
      <c r="B96" s="10"/>
      <c r="C96" s="10"/>
      <c r="D96">
        <v>6408.6</v>
      </c>
      <c r="E96">
        <v>3965.4</v>
      </c>
      <c r="F96">
        <v>25625.7</v>
      </c>
      <c r="G96">
        <v>16874.5</v>
      </c>
      <c r="H96">
        <f t="shared" si="15"/>
        <v>32034.300000000003</v>
      </c>
      <c r="I96" s="19">
        <f t="shared" si="15"/>
        <v>20839.900000000001</v>
      </c>
      <c r="J96" s="24">
        <f t="shared" si="9"/>
        <v>53.716188657335209</v>
      </c>
      <c r="K96" s="17">
        <f t="shared" si="21"/>
        <v>432.00000000000364</v>
      </c>
      <c r="L96">
        <f t="shared" ref="L96:M98" si="24">+F96-F95</f>
        <v>479.60000000000218</v>
      </c>
      <c r="M96">
        <f t="shared" si="24"/>
        <v>453.09999999999854</v>
      </c>
      <c r="N96" s="41">
        <f t="shared" si="23"/>
        <v>421.90000000000146</v>
      </c>
    </row>
    <row r="97" spans="1:15" x14ac:dyDescent="0.25">
      <c r="A97" s="10">
        <f t="shared" si="18"/>
        <v>39513</v>
      </c>
      <c r="B97" s="10"/>
      <c r="C97" s="10"/>
      <c r="D97">
        <v>6112.8</v>
      </c>
      <c r="E97">
        <v>3865.1</v>
      </c>
      <c r="F97">
        <v>26131.5</v>
      </c>
      <c r="G97">
        <v>17418.2</v>
      </c>
      <c r="H97">
        <f t="shared" si="15"/>
        <v>32244.3</v>
      </c>
      <c r="I97" s="19">
        <f t="shared" si="15"/>
        <v>21283.3</v>
      </c>
      <c r="J97" s="24">
        <f t="shared" si="9"/>
        <v>51.500472201209391</v>
      </c>
      <c r="K97" s="17">
        <f t="shared" si="21"/>
        <v>209.99999999999636</v>
      </c>
      <c r="L97">
        <f t="shared" si="24"/>
        <v>505.79999999999927</v>
      </c>
      <c r="M97">
        <f t="shared" si="24"/>
        <v>543.70000000000073</v>
      </c>
      <c r="N97" s="41">
        <f t="shared" si="23"/>
        <v>443.39999999999782</v>
      </c>
    </row>
    <row r="98" spans="1:15" x14ac:dyDescent="0.25">
      <c r="A98" s="10">
        <f t="shared" si="18"/>
        <v>39520</v>
      </c>
      <c r="B98" s="10"/>
      <c r="C98" s="10"/>
      <c r="D98">
        <v>5565.9</v>
      </c>
      <c r="E98">
        <v>3913.2</v>
      </c>
      <c r="F98">
        <v>26695.9</v>
      </c>
      <c r="G98">
        <v>17845</v>
      </c>
      <c r="H98">
        <f t="shared" si="15"/>
        <v>32261.800000000003</v>
      </c>
      <c r="I98" s="19">
        <f t="shared" si="15"/>
        <v>21758.2</v>
      </c>
      <c r="J98" s="24">
        <f t="shared" si="9"/>
        <v>48.274213859602355</v>
      </c>
      <c r="K98" s="17">
        <f t="shared" ref="K98:K103" si="25">+H98-H97</f>
        <v>17.500000000003638</v>
      </c>
      <c r="L98">
        <f t="shared" si="24"/>
        <v>564.40000000000146</v>
      </c>
      <c r="M98">
        <f t="shared" si="24"/>
        <v>426.79999999999927</v>
      </c>
      <c r="N98" s="41">
        <f t="shared" si="23"/>
        <v>474.90000000000146</v>
      </c>
    </row>
    <row r="99" spans="1:15" x14ac:dyDescent="0.25">
      <c r="A99" s="10">
        <f t="shared" si="18"/>
        <v>39527</v>
      </c>
      <c r="B99" s="10"/>
      <c r="C99" s="10"/>
      <c r="D99">
        <v>5414</v>
      </c>
      <c r="E99">
        <v>4063.7</v>
      </c>
      <c r="F99">
        <v>27227.599999999999</v>
      </c>
      <c r="G99">
        <v>18222.5</v>
      </c>
      <c r="H99">
        <f t="shared" si="15"/>
        <v>32641.599999999999</v>
      </c>
      <c r="I99" s="19">
        <f t="shared" si="15"/>
        <v>22286.2</v>
      </c>
      <c r="J99" s="24">
        <f t="shared" si="9"/>
        <v>46.465525751361824</v>
      </c>
      <c r="K99" s="17">
        <f t="shared" si="25"/>
        <v>379.79999999999563</v>
      </c>
      <c r="L99">
        <f t="shared" ref="L99:M101" si="26">+F99-F98</f>
        <v>531.69999999999709</v>
      </c>
      <c r="M99">
        <f t="shared" si="26"/>
        <v>377.5</v>
      </c>
      <c r="N99" s="41">
        <f t="shared" si="23"/>
        <v>528</v>
      </c>
    </row>
    <row r="100" spans="1:15" x14ac:dyDescent="0.25">
      <c r="A100" s="10">
        <f t="shared" si="18"/>
        <v>39534</v>
      </c>
      <c r="B100" s="10"/>
      <c r="C100" s="10"/>
      <c r="D100">
        <v>5202.6000000000004</v>
      </c>
      <c r="E100">
        <v>3884.1</v>
      </c>
      <c r="F100">
        <v>27706.3</v>
      </c>
      <c r="G100">
        <v>18616.099999999999</v>
      </c>
      <c r="H100">
        <f t="shared" si="15"/>
        <v>32908.9</v>
      </c>
      <c r="I100" s="19">
        <f t="shared" si="15"/>
        <v>22500.199999999997</v>
      </c>
      <c r="J100" s="24">
        <f t="shared" si="9"/>
        <v>46.260477684642829</v>
      </c>
      <c r="K100" s="17">
        <f t="shared" si="25"/>
        <v>267.30000000000291</v>
      </c>
      <c r="L100">
        <f t="shared" si="26"/>
        <v>478.70000000000073</v>
      </c>
      <c r="M100">
        <f t="shared" si="26"/>
        <v>393.59999999999854</v>
      </c>
      <c r="N100" s="41">
        <f t="shared" ref="N100:N105" si="27">+I100-I99</f>
        <v>213.99999999999636</v>
      </c>
    </row>
    <row r="101" spans="1:15" x14ac:dyDescent="0.25">
      <c r="A101" s="10">
        <f t="shared" si="18"/>
        <v>39541</v>
      </c>
      <c r="B101" s="10"/>
      <c r="C101" s="10"/>
      <c r="D101">
        <v>4896.7</v>
      </c>
      <c r="E101">
        <v>4192.8</v>
      </c>
      <c r="F101">
        <v>28466.400000000001</v>
      </c>
      <c r="G101">
        <v>19001.3</v>
      </c>
      <c r="H101">
        <f t="shared" si="15"/>
        <v>33363.1</v>
      </c>
      <c r="I101" s="19">
        <f t="shared" si="15"/>
        <v>23194.1</v>
      </c>
      <c r="J101" s="24">
        <f t="shared" si="9"/>
        <v>43.84304629194493</v>
      </c>
      <c r="K101" s="17">
        <f t="shared" si="25"/>
        <v>454.19999999999709</v>
      </c>
      <c r="L101">
        <f t="shared" si="26"/>
        <v>760.10000000000218</v>
      </c>
      <c r="M101">
        <f t="shared" si="26"/>
        <v>385.20000000000073</v>
      </c>
      <c r="N101" s="41">
        <f t="shared" si="27"/>
        <v>693.90000000000146</v>
      </c>
    </row>
    <row r="102" spans="1:15" x14ac:dyDescent="0.25">
      <c r="A102" s="10">
        <f t="shared" si="18"/>
        <v>39548</v>
      </c>
      <c r="B102" s="10"/>
      <c r="C102" s="10"/>
      <c r="D102">
        <v>4704.1000000000004</v>
      </c>
      <c r="E102">
        <v>3841.7</v>
      </c>
      <c r="F102">
        <v>28788.2</v>
      </c>
      <c r="G102">
        <v>19695.2</v>
      </c>
      <c r="H102">
        <f t="shared" si="15"/>
        <v>33492.300000000003</v>
      </c>
      <c r="I102" s="19">
        <f t="shared" si="15"/>
        <v>23536.9</v>
      </c>
      <c r="J102" s="24">
        <f t="shared" si="9"/>
        <v>42.296988983256092</v>
      </c>
      <c r="K102" s="17">
        <f t="shared" si="25"/>
        <v>129.20000000000437</v>
      </c>
      <c r="L102">
        <f t="shared" ref="L102:M104" si="28">+F102-F101</f>
        <v>321.79999999999927</v>
      </c>
      <c r="M102">
        <f t="shared" si="28"/>
        <v>693.90000000000146</v>
      </c>
      <c r="N102" s="41">
        <f t="shared" si="27"/>
        <v>342.80000000000291</v>
      </c>
    </row>
    <row r="103" spans="1:15" x14ac:dyDescent="0.25">
      <c r="A103" s="10">
        <f t="shared" si="18"/>
        <v>39555</v>
      </c>
      <c r="B103" s="10"/>
      <c r="C103" s="10"/>
      <c r="D103">
        <v>4311.7</v>
      </c>
      <c r="E103">
        <v>3770.7</v>
      </c>
      <c r="F103">
        <v>29338.6</v>
      </c>
      <c r="G103">
        <v>20044.5</v>
      </c>
      <c r="H103">
        <f t="shared" si="15"/>
        <v>33650.299999999996</v>
      </c>
      <c r="I103" s="19">
        <f t="shared" si="15"/>
        <v>23815.200000000001</v>
      </c>
      <c r="J103" s="24">
        <f t="shared" si="9"/>
        <v>41.297574658201455</v>
      </c>
      <c r="K103" s="17">
        <f t="shared" si="25"/>
        <v>157.99999999999272</v>
      </c>
      <c r="L103">
        <f t="shared" si="28"/>
        <v>550.39999999999782</v>
      </c>
      <c r="M103">
        <f t="shared" si="28"/>
        <v>349.29999999999927</v>
      </c>
      <c r="N103" s="41">
        <f t="shared" si="27"/>
        <v>278.29999999999927</v>
      </c>
    </row>
    <row r="104" spans="1:15" x14ac:dyDescent="0.25">
      <c r="A104" s="10">
        <f t="shared" si="18"/>
        <v>39562</v>
      </c>
      <c r="B104" s="10"/>
      <c r="C104" s="10"/>
      <c r="D104">
        <v>3912.8</v>
      </c>
      <c r="E104">
        <v>3477.7</v>
      </c>
      <c r="F104">
        <v>29913.599999999999</v>
      </c>
      <c r="G104">
        <v>20490.099999999999</v>
      </c>
      <c r="H104">
        <f t="shared" si="15"/>
        <v>33826.400000000001</v>
      </c>
      <c r="I104" s="19">
        <f t="shared" si="15"/>
        <v>23967.8</v>
      </c>
      <c r="J104" s="24">
        <f t="shared" si="9"/>
        <v>41.132686354191897</v>
      </c>
      <c r="K104" s="17">
        <f t="shared" ref="K104:K109" si="29">+H104-H103</f>
        <v>176.10000000000582</v>
      </c>
      <c r="L104">
        <f t="shared" si="28"/>
        <v>575</v>
      </c>
      <c r="M104">
        <f t="shared" si="28"/>
        <v>445.59999999999854</v>
      </c>
      <c r="N104" s="41">
        <f t="shared" si="27"/>
        <v>152.59999999999854</v>
      </c>
      <c r="O104">
        <v>3632.6</v>
      </c>
    </row>
    <row r="105" spans="1:15" x14ac:dyDescent="0.25">
      <c r="A105" s="10">
        <f t="shared" si="18"/>
        <v>39569</v>
      </c>
      <c r="B105" s="10"/>
      <c r="C105" s="10"/>
      <c r="D105">
        <v>3459.7</v>
      </c>
      <c r="E105">
        <v>3225.9</v>
      </c>
      <c r="F105">
        <v>30545.599999999999</v>
      </c>
      <c r="G105">
        <v>20927</v>
      </c>
      <c r="H105">
        <f t="shared" si="15"/>
        <v>34005.299999999996</v>
      </c>
      <c r="I105" s="19">
        <f t="shared" si="15"/>
        <v>24152.9</v>
      </c>
      <c r="J105" s="24">
        <f t="shared" si="9"/>
        <v>40.791788977721069</v>
      </c>
      <c r="K105" s="17">
        <f t="shared" si="29"/>
        <v>178.89999999999418</v>
      </c>
      <c r="L105">
        <f t="shared" ref="L105:M107" si="30">+F105-F104</f>
        <v>632</v>
      </c>
      <c r="M105">
        <f t="shared" si="30"/>
        <v>436.90000000000146</v>
      </c>
      <c r="N105" s="41">
        <f t="shared" si="27"/>
        <v>185.10000000000218</v>
      </c>
      <c r="O105">
        <v>3945.5</v>
      </c>
    </row>
    <row r="106" spans="1:15" x14ac:dyDescent="0.25">
      <c r="A106" s="10">
        <f t="shared" si="18"/>
        <v>39576</v>
      </c>
      <c r="B106" s="10"/>
      <c r="C106" s="10"/>
      <c r="D106">
        <v>2980.3</v>
      </c>
      <c r="E106">
        <v>2715.8</v>
      </c>
      <c r="F106">
        <v>31145.7</v>
      </c>
      <c r="G106">
        <v>21493.9</v>
      </c>
      <c r="H106">
        <f t="shared" si="15"/>
        <v>34126</v>
      </c>
      <c r="I106" s="19">
        <f t="shared" si="15"/>
        <v>24209.7</v>
      </c>
      <c r="J106" s="24">
        <f t="shared" si="9"/>
        <v>40.96002841836124</v>
      </c>
      <c r="K106" s="17">
        <f t="shared" si="29"/>
        <v>120.70000000000437</v>
      </c>
      <c r="L106">
        <f t="shared" si="30"/>
        <v>600.10000000000218</v>
      </c>
      <c r="M106">
        <f t="shared" si="30"/>
        <v>566.90000000000146</v>
      </c>
      <c r="N106" s="41">
        <f>+I106-I105</f>
        <v>56.799999999999272</v>
      </c>
      <c r="O106" s="42">
        <v>4389</v>
      </c>
    </row>
    <row r="107" spans="1:15" x14ac:dyDescent="0.25">
      <c r="A107" s="10">
        <f t="shared" si="18"/>
        <v>39583</v>
      </c>
      <c r="B107" s="10"/>
      <c r="C107" s="10"/>
      <c r="D107">
        <v>2752.4</v>
      </c>
      <c r="E107">
        <v>2047.8</v>
      </c>
      <c r="F107">
        <v>31447.5</v>
      </c>
      <c r="G107">
        <v>22025.4</v>
      </c>
      <c r="H107">
        <f t="shared" si="15"/>
        <v>34199.9</v>
      </c>
      <c r="I107" s="19">
        <f t="shared" si="15"/>
        <v>24073.200000000001</v>
      </c>
      <c r="J107" s="24">
        <f t="shared" si="9"/>
        <v>42.066281175747314</v>
      </c>
      <c r="K107" s="17">
        <f t="shared" si="29"/>
        <v>73.900000000001455</v>
      </c>
      <c r="L107">
        <f t="shared" si="30"/>
        <v>301.79999999999927</v>
      </c>
      <c r="M107">
        <f t="shared" si="30"/>
        <v>531.5</v>
      </c>
      <c r="N107" s="41">
        <f>+I107-I106</f>
        <v>-136.5</v>
      </c>
      <c r="O107" s="29">
        <v>4783.1000000000004</v>
      </c>
    </row>
    <row r="108" spans="1:15" x14ac:dyDescent="0.25">
      <c r="A108" s="10">
        <f t="shared" si="18"/>
        <v>39590</v>
      </c>
      <c r="B108" s="10"/>
      <c r="C108" s="10"/>
      <c r="D108">
        <v>2043.9</v>
      </c>
      <c r="E108">
        <v>1418.5</v>
      </c>
      <c r="F108">
        <v>31815.3</v>
      </c>
      <c r="G108">
        <v>22405.9</v>
      </c>
      <c r="H108">
        <f t="shared" si="15"/>
        <v>33859.199999999997</v>
      </c>
      <c r="I108" s="19">
        <f t="shared" si="15"/>
        <v>23824.400000000001</v>
      </c>
      <c r="J108" s="24">
        <f t="shared" si="9"/>
        <v>42.119843521767585</v>
      </c>
      <c r="K108" s="17">
        <f t="shared" si="29"/>
        <v>-340.70000000000437</v>
      </c>
      <c r="L108">
        <f>+F108-F107</f>
        <v>367.79999999999927</v>
      </c>
      <c r="M108">
        <f>+G108-G107</f>
        <v>380.5</v>
      </c>
      <c r="N108" s="41">
        <f>+I108-I107</f>
        <v>-248.79999999999927</v>
      </c>
      <c r="O108" s="29">
        <v>5687.8</v>
      </c>
    </row>
    <row r="109" spans="1:15" x14ac:dyDescent="0.25">
      <c r="A109" s="10">
        <f t="shared" si="18"/>
        <v>39597</v>
      </c>
      <c r="B109" s="10"/>
      <c r="C109" s="10"/>
      <c r="D109">
        <v>1614</v>
      </c>
      <c r="E109">
        <v>886.3</v>
      </c>
      <c r="F109">
        <v>32385.4</v>
      </c>
      <c r="G109">
        <v>22902.400000000001</v>
      </c>
      <c r="H109">
        <f t="shared" si="15"/>
        <v>33999.4</v>
      </c>
      <c r="I109" s="19">
        <f t="shared" si="15"/>
        <v>23788.7</v>
      </c>
      <c r="J109" s="24">
        <f t="shared" si="9"/>
        <v>42.922480001008893</v>
      </c>
      <c r="K109" s="17">
        <f t="shared" si="29"/>
        <v>140.20000000000437</v>
      </c>
      <c r="L109">
        <f>+F109-F108</f>
        <v>570.10000000000218</v>
      </c>
      <c r="M109">
        <f>+G109-G108</f>
        <v>496.5</v>
      </c>
      <c r="N109" s="41">
        <f>+I109-I108</f>
        <v>-35.700000000000728</v>
      </c>
      <c r="O109" s="29">
        <v>5785.4</v>
      </c>
    </row>
    <row r="110" spans="1:15" x14ac:dyDescent="0.25">
      <c r="A110" s="36">
        <f t="shared" si="18"/>
        <v>39604</v>
      </c>
      <c r="B110" s="36"/>
      <c r="C110" s="36"/>
      <c r="D110">
        <v>7177.4</v>
      </c>
      <c r="E110">
        <v>4476.3999999999996</v>
      </c>
      <c r="F110">
        <v>366.6</v>
      </c>
      <c r="G110">
        <v>267.60000000000002</v>
      </c>
      <c r="H110">
        <f t="shared" si="15"/>
        <v>7544</v>
      </c>
      <c r="I110" s="19">
        <f t="shared" si="15"/>
        <v>4744</v>
      </c>
      <c r="J110" s="24">
        <f t="shared" si="9"/>
        <v>59.021922428330534</v>
      </c>
    </row>
    <row r="111" spans="1:15" x14ac:dyDescent="0.25">
      <c r="A111" s="10">
        <f t="shared" si="18"/>
        <v>39611</v>
      </c>
      <c r="B111" s="10"/>
      <c r="C111" s="10"/>
      <c r="D111">
        <v>7341.5</v>
      </c>
      <c r="E111">
        <v>4646</v>
      </c>
      <c r="F111">
        <v>740.7</v>
      </c>
      <c r="G111">
        <v>638.9</v>
      </c>
      <c r="H111">
        <f t="shared" si="15"/>
        <v>8082.2</v>
      </c>
      <c r="I111" s="19">
        <f t="shared" si="15"/>
        <v>5284.9</v>
      </c>
      <c r="J111" s="24">
        <f t="shared" si="9"/>
        <v>52.930045980056391</v>
      </c>
      <c r="K111" s="17">
        <f t="shared" ref="K111:K116" si="31">+H111-H110</f>
        <v>538.19999999999982</v>
      </c>
      <c r="L111">
        <f t="shared" ref="L111:M113" si="32">+F111-F110</f>
        <v>374.1</v>
      </c>
      <c r="M111">
        <f t="shared" si="32"/>
        <v>371.29999999999995</v>
      </c>
      <c r="N111" s="41">
        <f t="shared" ref="N111:N116" si="33">+I111-I110</f>
        <v>540.89999999999964</v>
      </c>
      <c r="O111" s="29"/>
    </row>
    <row r="112" spans="1:15" x14ac:dyDescent="0.25">
      <c r="A112" s="10">
        <f t="shared" si="18"/>
        <v>39618</v>
      </c>
      <c r="B112" s="10"/>
      <c r="C112" s="10"/>
      <c r="D112">
        <v>7335.5</v>
      </c>
      <c r="E112">
        <v>4824.8999999999996</v>
      </c>
      <c r="F112">
        <v>1245</v>
      </c>
      <c r="G112">
        <v>1082.8</v>
      </c>
      <c r="H112">
        <f t="shared" si="15"/>
        <v>8580.5</v>
      </c>
      <c r="I112" s="19">
        <f t="shared" si="15"/>
        <v>5907.7</v>
      </c>
      <c r="J112" s="24">
        <f t="shared" si="9"/>
        <v>45.242649423633566</v>
      </c>
      <c r="K112" s="17">
        <f t="shared" si="31"/>
        <v>498.30000000000018</v>
      </c>
      <c r="L112">
        <f t="shared" si="32"/>
        <v>504.29999999999995</v>
      </c>
      <c r="M112">
        <f t="shared" si="32"/>
        <v>443.9</v>
      </c>
      <c r="N112" s="41">
        <f t="shared" si="33"/>
        <v>622.80000000000018</v>
      </c>
      <c r="O112" s="29"/>
    </row>
    <row r="113" spans="1:15" x14ac:dyDescent="0.25">
      <c r="A113" s="10">
        <f t="shared" si="18"/>
        <v>39625</v>
      </c>
      <c r="B113" s="10"/>
      <c r="C113" s="10"/>
      <c r="D113">
        <v>7567.4</v>
      </c>
      <c r="E113">
        <v>4772.7</v>
      </c>
      <c r="F113">
        <v>1861.2</v>
      </c>
      <c r="G113">
        <v>1655.2</v>
      </c>
      <c r="H113">
        <f t="shared" si="15"/>
        <v>9428.6</v>
      </c>
      <c r="I113" s="19">
        <f t="shared" si="15"/>
        <v>6427.9</v>
      </c>
      <c r="J113" s="24">
        <f t="shared" si="9"/>
        <v>46.682431276155526</v>
      </c>
      <c r="K113" s="17">
        <f t="shared" si="31"/>
        <v>848.10000000000036</v>
      </c>
      <c r="L113">
        <f t="shared" si="32"/>
        <v>616.20000000000005</v>
      </c>
      <c r="M113">
        <f t="shared" si="32"/>
        <v>572.40000000000009</v>
      </c>
      <c r="N113" s="41">
        <f t="shared" si="33"/>
        <v>520.19999999999982</v>
      </c>
      <c r="O113" s="29"/>
    </row>
    <row r="114" spans="1:15" x14ac:dyDescent="0.25">
      <c r="A114" s="10">
        <f t="shared" si="18"/>
        <v>39632</v>
      </c>
      <c r="B114" s="10"/>
      <c r="C114" s="10"/>
      <c r="D114">
        <v>7612.4</v>
      </c>
      <c r="E114">
        <v>5632.9</v>
      </c>
      <c r="F114">
        <v>2253.3000000000002</v>
      </c>
      <c r="G114">
        <v>1978.4</v>
      </c>
      <c r="H114">
        <f t="shared" si="15"/>
        <v>9865.7000000000007</v>
      </c>
      <c r="I114" s="19">
        <f t="shared" si="15"/>
        <v>7611.2999999999993</v>
      </c>
      <c r="J114" s="24">
        <f t="shared" ref="J114:J119" si="34">+(H114/I114-1)*100</f>
        <v>29.619118941573742</v>
      </c>
      <c r="K114" s="17">
        <f t="shared" si="31"/>
        <v>437.10000000000036</v>
      </c>
      <c r="L114">
        <f t="shared" ref="L114:M116" si="35">+F114-F113</f>
        <v>392.10000000000014</v>
      </c>
      <c r="M114">
        <f t="shared" si="35"/>
        <v>323.20000000000005</v>
      </c>
      <c r="N114" s="41">
        <f t="shared" si="33"/>
        <v>1183.3999999999996</v>
      </c>
      <c r="O114" s="29"/>
    </row>
    <row r="115" spans="1:15" x14ac:dyDescent="0.25">
      <c r="A115" s="10">
        <f t="shared" si="18"/>
        <v>39639</v>
      </c>
      <c r="B115" s="10"/>
      <c r="C115" s="10"/>
      <c r="D115">
        <v>7716.1</v>
      </c>
      <c r="E115">
        <v>5927</v>
      </c>
      <c r="F115">
        <v>2898.3</v>
      </c>
      <c r="G115">
        <v>2448.9</v>
      </c>
      <c r="H115">
        <f t="shared" si="15"/>
        <v>10614.400000000001</v>
      </c>
      <c r="I115" s="19">
        <f t="shared" si="15"/>
        <v>8375.9</v>
      </c>
      <c r="J115" s="24">
        <f t="shared" si="34"/>
        <v>26.725486216406622</v>
      </c>
      <c r="K115" s="17">
        <f t="shared" si="31"/>
        <v>748.70000000000073</v>
      </c>
      <c r="L115">
        <f t="shared" si="35"/>
        <v>645</v>
      </c>
      <c r="M115">
        <f t="shared" si="35"/>
        <v>470.5</v>
      </c>
      <c r="N115" s="41">
        <f t="shared" si="33"/>
        <v>764.60000000000036</v>
      </c>
      <c r="O115" s="29"/>
    </row>
    <row r="116" spans="1:15" x14ac:dyDescent="0.25">
      <c r="A116" s="10">
        <f t="shared" si="18"/>
        <v>39646</v>
      </c>
      <c r="B116" s="10"/>
      <c r="C116" s="10"/>
      <c r="D116">
        <v>7491.4</v>
      </c>
      <c r="E116">
        <v>7572.2</v>
      </c>
      <c r="F116">
        <v>3733.3</v>
      </c>
      <c r="G116">
        <v>2879.7</v>
      </c>
      <c r="H116" s="19">
        <f t="shared" si="15"/>
        <v>11224.7</v>
      </c>
      <c r="I116" s="19">
        <f t="shared" si="15"/>
        <v>10451.9</v>
      </c>
      <c r="J116" s="24">
        <f t="shared" si="34"/>
        <v>7.3938709708282868</v>
      </c>
      <c r="K116" s="17">
        <f t="shared" si="31"/>
        <v>610.29999999999927</v>
      </c>
      <c r="L116">
        <f t="shared" si="35"/>
        <v>835</v>
      </c>
      <c r="M116">
        <f t="shared" si="35"/>
        <v>430.79999999999973</v>
      </c>
      <c r="N116" s="41">
        <f t="shared" si="33"/>
        <v>2076</v>
      </c>
      <c r="O116" s="29"/>
    </row>
    <row r="117" spans="1:15" x14ac:dyDescent="0.25">
      <c r="A117" s="10">
        <f t="shared" si="18"/>
        <v>39653</v>
      </c>
      <c r="B117" s="10"/>
      <c r="C117" s="10"/>
      <c r="D117">
        <v>7639.9</v>
      </c>
      <c r="E117">
        <v>8854.7999999999993</v>
      </c>
      <c r="F117">
        <v>4311.2</v>
      </c>
      <c r="G117">
        <v>3338.4</v>
      </c>
      <c r="H117" s="19">
        <f t="shared" si="15"/>
        <v>11951.099999999999</v>
      </c>
      <c r="I117" s="19">
        <f t="shared" si="15"/>
        <v>12193.199999999999</v>
      </c>
      <c r="J117" s="24">
        <f t="shared" si="34"/>
        <v>-1.9855329199881977</v>
      </c>
      <c r="K117" s="17">
        <f t="shared" ref="K117:K136" si="36">+H117-H116</f>
        <v>726.39999999999782</v>
      </c>
      <c r="L117">
        <f t="shared" ref="L117:M119" si="37">+F117-F116</f>
        <v>577.89999999999964</v>
      </c>
      <c r="M117">
        <f t="shared" si="37"/>
        <v>458.70000000000027</v>
      </c>
      <c r="N117" s="41">
        <f>+I117-I116</f>
        <v>1741.2999999999993</v>
      </c>
      <c r="O117" s="29"/>
    </row>
    <row r="118" spans="1:15" x14ac:dyDescent="0.25">
      <c r="A118" s="10">
        <f t="shared" si="18"/>
        <v>39660</v>
      </c>
      <c r="B118" s="10"/>
      <c r="C118" s="10"/>
      <c r="D118">
        <v>7521.8</v>
      </c>
      <c r="E118">
        <v>8913.7000000000007</v>
      </c>
      <c r="F118">
        <v>5111.8999999999996</v>
      </c>
      <c r="G118">
        <v>4170.5</v>
      </c>
      <c r="H118" s="19">
        <f t="shared" si="15"/>
        <v>12633.7</v>
      </c>
      <c r="I118" s="19">
        <f t="shared" si="15"/>
        <v>13084.2</v>
      </c>
      <c r="J118" s="24">
        <f t="shared" si="34"/>
        <v>-3.4430840250072592</v>
      </c>
      <c r="K118" s="17">
        <f t="shared" si="36"/>
        <v>682.60000000000218</v>
      </c>
      <c r="L118">
        <f t="shared" si="37"/>
        <v>800.69999999999982</v>
      </c>
      <c r="M118">
        <f t="shared" si="37"/>
        <v>832.09999999999991</v>
      </c>
      <c r="N118" s="41">
        <f>+I118-I117</f>
        <v>891.00000000000182</v>
      </c>
      <c r="O118" s="29"/>
    </row>
    <row r="119" spans="1:15" x14ac:dyDescent="0.25">
      <c r="A119" s="10">
        <f t="shared" si="18"/>
        <v>39667</v>
      </c>
      <c r="B119" s="10"/>
      <c r="C119" s="10"/>
      <c r="D119">
        <v>7359.1</v>
      </c>
      <c r="E119">
        <v>9443.1</v>
      </c>
      <c r="F119">
        <v>5924.9</v>
      </c>
      <c r="G119">
        <v>4827.2</v>
      </c>
      <c r="H119" s="19">
        <f t="shared" si="15"/>
        <v>13284</v>
      </c>
      <c r="I119" s="19">
        <f t="shared" si="15"/>
        <v>14270.3</v>
      </c>
      <c r="J119" s="24">
        <f t="shared" si="34"/>
        <v>-6.9115575706186982</v>
      </c>
      <c r="K119" s="17">
        <f t="shared" si="36"/>
        <v>650.29999999999927</v>
      </c>
      <c r="L119">
        <f t="shared" si="37"/>
        <v>813</v>
      </c>
      <c r="M119">
        <f t="shared" si="37"/>
        <v>656.69999999999982</v>
      </c>
      <c r="N119" s="41">
        <f>+I119-I118</f>
        <v>1186.0999999999985</v>
      </c>
      <c r="O119" s="29"/>
    </row>
    <row r="120" spans="1:15" x14ac:dyDescent="0.25">
      <c r="A120" s="10">
        <f t="shared" si="18"/>
        <v>39674</v>
      </c>
      <c r="B120" s="10"/>
      <c r="C120" s="10"/>
      <c r="D120">
        <v>7270.3</v>
      </c>
      <c r="E120">
        <v>9344.2000000000007</v>
      </c>
      <c r="F120">
        <v>6930.2</v>
      </c>
      <c r="G120">
        <v>5975.5</v>
      </c>
      <c r="H120" s="19">
        <f t="shared" si="15"/>
        <v>14200.5</v>
      </c>
      <c r="I120" s="19">
        <f t="shared" si="15"/>
        <v>15319.7</v>
      </c>
      <c r="J120" s="24">
        <f t="shared" ref="J120:J125" si="38">+(H120/I120-1)*100</f>
        <v>-7.3056260892837344</v>
      </c>
      <c r="K120" s="17">
        <f t="shared" si="36"/>
        <v>916.5</v>
      </c>
      <c r="L120">
        <f>+F120-F119</f>
        <v>1005.3000000000002</v>
      </c>
      <c r="M120">
        <f>+G120-G119</f>
        <v>1148.3000000000002</v>
      </c>
      <c r="N120" s="41">
        <f>+I120-I119</f>
        <v>1049.4000000000015</v>
      </c>
    </row>
    <row r="121" spans="1:15" x14ac:dyDescent="0.25">
      <c r="A121" s="10">
        <f t="shared" si="18"/>
        <v>39681</v>
      </c>
      <c r="B121" s="10"/>
      <c r="C121" s="10"/>
      <c r="D121">
        <v>6978.7</v>
      </c>
      <c r="E121">
        <v>9564.2000000000007</v>
      </c>
      <c r="F121">
        <v>7648.7</v>
      </c>
      <c r="G121">
        <v>6987.1</v>
      </c>
      <c r="H121" s="19">
        <f t="shared" si="15"/>
        <v>14627.4</v>
      </c>
      <c r="I121" s="19">
        <f t="shared" si="15"/>
        <v>16551.300000000003</v>
      </c>
      <c r="J121" s="24">
        <f t="shared" si="38"/>
        <v>-11.623860361421778</v>
      </c>
      <c r="K121" s="17">
        <f t="shared" si="36"/>
        <v>426.89999999999964</v>
      </c>
      <c r="L121">
        <f>+F121-F120</f>
        <v>718.5</v>
      </c>
      <c r="M121">
        <f>+G121-G120</f>
        <v>1011.6000000000004</v>
      </c>
      <c r="N121" s="41">
        <f>+I121-I120</f>
        <v>1231.6000000000022</v>
      </c>
    </row>
    <row r="122" spans="1:15" x14ac:dyDescent="0.25">
      <c r="A122" s="10">
        <f t="shared" si="18"/>
        <v>39688</v>
      </c>
      <c r="B122" s="10"/>
      <c r="C122" s="10"/>
      <c r="D122">
        <v>6503.6</v>
      </c>
      <c r="E122">
        <v>9124.1</v>
      </c>
      <c r="F122">
        <v>8500.4</v>
      </c>
      <c r="G122">
        <v>8138.2</v>
      </c>
      <c r="H122" s="19">
        <f t="shared" si="15"/>
        <v>15004</v>
      </c>
      <c r="I122" s="19">
        <f t="shared" si="15"/>
        <v>17262.3</v>
      </c>
      <c r="J122" s="24">
        <f t="shared" si="38"/>
        <v>-13.082265978461727</v>
      </c>
      <c r="K122" s="17">
        <f t="shared" si="36"/>
        <v>376.60000000000036</v>
      </c>
      <c r="L122">
        <f>+F122-F121</f>
        <v>851.69999999999982</v>
      </c>
      <c r="M122">
        <f t="shared" ref="M122:M145" si="39">+G122-G121</f>
        <v>1151.0999999999995</v>
      </c>
      <c r="N122" s="41">
        <f t="shared" ref="N122:N145" si="40">+I122-I121</f>
        <v>710.99999999999636</v>
      </c>
    </row>
    <row r="123" spans="1:15" x14ac:dyDescent="0.25">
      <c r="A123" s="10">
        <f t="shared" si="18"/>
        <v>39695</v>
      </c>
      <c r="B123" s="10"/>
      <c r="C123" s="10"/>
      <c r="D123">
        <v>6273</v>
      </c>
      <c r="E123">
        <v>10527.9</v>
      </c>
      <c r="F123">
        <v>9188.2999999999993</v>
      </c>
      <c r="G123">
        <v>8853</v>
      </c>
      <c r="H123" s="19">
        <f t="shared" ref="H123:I138" si="41">+D123+F123</f>
        <v>15461.3</v>
      </c>
      <c r="I123" s="19">
        <f t="shared" si="41"/>
        <v>19380.900000000001</v>
      </c>
      <c r="J123" s="24">
        <f t="shared" si="38"/>
        <v>-20.224035003534414</v>
      </c>
      <c r="K123" s="17">
        <f t="shared" si="36"/>
        <v>457.29999999999927</v>
      </c>
      <c r="L123">
        <f>+F123-F122</f>
        <v>687.89999999999964</v>
      </c>
      <c r="M123">
        <f t="shared" si="39"/>
        <v>714.80000000000018</v>
      </c>
      <c r="N123" s="41">
        <f t="shared" si="40"/>
        <v>2118.6000000000022</v>
      </c>
    </row>
    <row r="124" spans="1:15" x14ac:dyDescent="0.25">
      <c r="A124" s="10">
        <f t="shared" si="18"/>
        <v>39702</v>
      </c>
      <c r="B124" s="10"/>
      <c r="C124" s="10"/>
      <c r="D124">
        <v>6393.9</v>
      </c>
      <c r="E124">
        <v>11047.3</v>
      </c>
      <c r="F124">
        <v>9724.7000000000007</v>
      </c>
      <c r="G124">
        <v>9773.5</v>
      </c>
      <c r="H124" s="19">
        <f t="shared" si="41"/>
        <v>16118.6</v>
      </c>
      <c r="I124" s="19">
        <f t="shared" si="41"/>
        <v>20820.8</v>
      </c>
      <c r="J124" s="24">
        <f t="shared" si="38"/>
        <v>-22.584146622608159</v>
      </c>
      <c r="K124" s="17">
        <f t="shared" si="36"/>
        <v>657.30000000000109</v>
      </c>
      <c r="L124">
        <f>+F124-F123</f>
        <v>536.40000000000146</v>
      </c>
      <c r="M124">
        <f t="shared" si="39"/>
        <v>920.5</v>
      </c>
      <c r="N124" s="41">
        <f t="shared" si="40"/>
        <v>1439.8999999999978</v>
      </c>
    </row>
    <row r="125" spans="1:15" x14ac:dyDescent="0.25">
      <c r="A125" s="10">
        <f t="shared" si="18"/>
        <v>39709</v>
      </c>
      <c r="B125" s="10"/>
      <c r="C125" s="10"/>
      <c r="D125">
        <v>5947.7</v>
      </c>
      <c r="E125">
        <v>11526.7</v>
      </c>
      <c r="F125">
        <v>10455.200000000001</v>
      </c>
      <c r="G125">
        <v>10808</v>
      </c>
      <c r="H125" s="19">
        <f t="shared" si="41"/>
        <v>16402.900000000001</v>
      </c>
      <c r="I125" s="19">
        <f t="shared" si="41"/>
        <v>22334.7</v>
      </c>
      <c r="J125" s="24">
        <f t="shared" si="38"/>
        <v>-26.55867327521748</v>
      </c>
      <c r="K125" s="17">
        <f t="shared" si="36"/>
        <v>284.30000000000109</v>
      </c>
      <c r="L125">
        <f>+F125-F124</f>
        <v>730.5</v>
      </c>
      <c r="M125">
        <f t="shared" si="39"/>
        <v>1034.5</v>
      </c>
      <c r="N125" s="41">
        <f t="shared" si="40"/>
        <v>1513.9000000000015</v>
      </c>
    </row>
    <row r="126" spans="1:15" x14ac:dyDescent="0.25">
      <c r="A126" s="10">
        <f t="shared" si="18"/>
        <v>39716</v>
      </c>
      <c r="B126" s="10"/>
      <c r="C126" s="10"/>
      <c r="D126">
        <v>5967.4</v>
      </c>
      <c r="E126">
        <v>11973.3</v>
      </c>
      <c r="F126">
        <v>11087.5</v>
      </c>
      <c r="G126">
        <v>11959.5</v>
      </c>
      <c r="H126" s="19">
        <f t="shared" si="41"/>
        <v>17054.900000000001</v>
      </c>
      <c r="I126" s="19">
        <f t="shared" si="41"/>
        <v>23932.799999999999</v>
      </c>
      <c r="J126" s="24">
        <f t="shared" ref="J126:J131" si="42">+(H126/I126-1)*100</f>
        <v>-28.738384142265005</v>
      </c>
      <c r="K126" s="17">
        <f t="shared" si="36"/>
        <v>652</v>
      </c>
      <c r="L126">
        <f t="shared" ref="L126:L142" si="43">+F126-F125</f>
        <v>632.29999999999927</v>
      </c>
      <c r="M126">
        <f t="shared" si="39"/>
        <v>1151.5</v>
      </c>
      <c r="N126" s="41">
        <f t="shared" si="40"/>
        <v>1598.0999999999985</v>
      </c>
    </row>
    <row r="127" spans="1:15" x14ac:dyDescent="0.25">
      <c r="A127" s="10">
        <f t="shared" si="18"/>
        <v>39723</v>
      </c>
      <c r="B127" s="10"/>
      <c r="C127" s="10"/>
      <c r="D127">
        <v>5586</v>
      </c>
      <c r="E127">
        <v>12025.2</v>
      </c>
      <c r="F127">
        <v>11980.8</v>
      </c>
      <c r="G127">
        <v>12841.6</v>
      </c>
      <c r="H127" s="19">
        <f t="shared" si="41"/>
        <v>17566.8</v>
      </c>
      <c r="I127" s="19">
        <f t="shared" si="41"/>
        <v>24866.800000000003</v>
      </c>
      <c r="J127" s="24">
        <f t="shared" si="42"/>
        <v>-29.356410957582014</v>
      </c>
      <c r="K127" s="17">
        <f t="shared" si="36"/>
        <v>511.89999999999782</v>
      </c>
      <c r="L127">
        <f t="shared" si="43"/>
        <v>893.29999999999927</v>
      </c>
      <c r="M127">
        <f t="shared" si="39"/>
        <v>882.10000000000036</v>
      </c>
      <c r="N127" s="41">
        <f t="shared" si="40"/>
        <v>934.00000000000364</v>
      </c>
    </row>
    <row r="128" spans="1:15" x14ac:dyDescent="0.25">
      <c r="A128" s="10">
        <f t="shared" si="18"/>
        <v>39730</v>
      </c>
      <c r="B128" s="10"/>
      <c r="C128" s="10"/>
      <c r="D128">
        <v>5369.9</v>
      </c>
      <c r="E128">
        <v>12019.2</v>
      </c>
      <c r="F128">
        <v>12632.6</v>
      </c>
      <c r="G128">
        <v>13832</v>
      </c>
      <c r="H128" s="19">
        <f t="shared" si="41"/>
        <v>18002.5</v>
      </c>
      <c r="I128" s="19">
        <f t="shared" si="41"/>
        <v>25851.200000000001</v>
      </c>
      <c r="J128" s="24">
        <f t="shared" si="42"/>
        <v>-30.361066410843595</v>
      </c>
      <c r="K128" s="17">
        <f t="shared" si="36"/>
        <v>435.70000000000073</v>
      </c>
      <c r="L128">
        <f t="shared" si="43"/>
        <v>651.80000000000109</v>
      </c>
      <c r="M128">
        <f t="shared" si="39"/>
        <v>990.39999999999964</v>
      </c>
      <c r="N128" s="41">
        <f t="shared" si="40"/>
        <v>984.39999999999782</v>
      </c>
    </row>
    <row r="129" spans="1:14" x14ac:dyDescent="0.25">
      <c r="A129" s="10">
        <f t="shared" si="18"/>
        <v>39737</v>
      </c>
      <c r="B129" s="10"/>
      <c r="C129" s="10"/>
      <c r="D129">
        <v>5234.2</v>
      </c>
      <c r="E129">
        <v>11713.6</v>
      </c>
      <c r="F129">
        <v>13152.2</v>
      </c>
      <c r="G129">
        <v>14687.6</v>
      </c>
      <c r="H129" s="19">
        <f t="shared" si="41"/>
        <v>18386.400000000001</v>
      </c>
      <c r="I129" s="19">
        <f t="shared" si="41"/>
        <v>26401.200000000001</v>
      </c>
      <c r="J129" s="24">
        <f t="shared" si="42"/>
        <v>-30.357711013135756</v>
      </c>
      <c r="K129" s="17">
        <f t="shared" si="36"/>
        <v>383.90000000000146</v>
      </c>
      <c r="L129">
        <f t="shared" si="43"/>
        <v>519.60000000000036</v>
      </c>
      <c r="M129">
        <f t="shared" si="39"/>
        <v>855.60000000000036</v>
      </c>
      <c r="N129" s="41">
        <f t="shared" si="40"/>
        <v>550</v>
      </c>
    </row>
    <row r="130" spans="1:14" x14ac:dyDescent="0.25">
      <c r="A130" s="10">
        <f t="shared" si="18"/>
        <v>39744</v>
      </c>
      <c r="B130" s="10"/>
      <c r="C130" s="10"/>
      <c r="D130">
        <v>5104.2</v>
      </c>
      <c r="E130">
        <v>11048.2</v>
      </c>
      <c r="F130">
        <v>13742.5</v>
      </c>
      <c r="G130">
        <v>15523.6</v>
      </c>
      <c r="H130" s="19">
        <f t="shared" ref="H130:H135" si="44">+D130+F130</f>
        <v>18846.7</v>
      </c>
      <c r="I130" s="19">
        <f t="shared" si="41"/>
        <v>26571.800000000003</v>
      </c>
      <c r="J130" s="24">
        <f t="shared" si="42"/>
        <v>-29.072550598755075</v>
      </c>
      <c r="K130" s="17">
        <f t="shared" si="36"/>
        <v>460.29999999999927</v>
      </c>
      <c r="L130">
        <f t="shared" si="43"/>
        <v>590.29999999999927</v>
      </c>
      <c r="M130">
        <f t="shared" si="39"/>
        <v>836</v>
      </c>
      <c r="N130" s="41">
        <f t="shared" si="40"/>
        <v>170.60000000000218</v>
      </c>
    </row>
    <row r="131" spans="1:14" x14ac:dyDescent="0.25">
      <c r="A131" s="10">
        <f t="shared" si="18"/>
        <v>39751</v>
      </c>
      <c r="B131" s="10"/>
      <c r="C131" s="10"/>
      <c r="D131">
        <v>5092.8</v>
      </c>
      <c r="E131">
        <v>10299.9</v>
      </c>
      <c r="F131">
        <v>14120.2</v>
      </c>
      <c r="G131">
        <v>16284.8</v>
      </c>
      <c r="H131" s="19">
        <f t="shared" si="44"/>
        <v>19213</v>
      </c>
      <c r="I131" s="19">
        <f t="shared" si="41"/>
        <v>26584.699999999997</v>
      </c>
      <c r="J131" s="24">
        <f t="shared" si="42"/>
        <v>-27.729107343697677</v>
      </c>
      <c r="K131" s="17">
        <f t="shared" si="36"/>
        <v>366.29999999999927</v>
      </c>
      <c r="L131">
        <f t="shared" si="43"/>
        <v>377.70000000000073</v>
      </c>
      <c r="M131">
        <f t="shared" si="39"/>
        <v>761.19999999999891</v>
      </c>
      <c r="N131" s="41">
        <f t="shared" si="40"/>
        <v>12.899999999994179</v>
      </c>
    </row>
    <row r="132" spans="1:14" x14ac:dyDescent="0.25">
      <c r="A132" s="10">
        <f t="shared" si="18"/>
        <v>39758</v>
      </c>
      <c r="B132" s="10"/>
      <c r="C132" s="10"/>
      <c r="D132">
        <v>4893.2</v>
      </c>
      <c r="E132">
        <v>10126.299999999999</v>
      </c>
      <c r="F132">
        <v>14568.2</v>
      </c>
      <c r="G132">
        <v>16874.5</v>
      </c>
      <c r="H132" s="19">
        <f t="shared" si="44"/>
        <v>19461.400000000001</v>
      </c>
      <c r="I132" s="19">
        <f t="shared" si="41"/>
        <v>27000.799999999999</v>
      </c>
      <c r="J132" s="24">
        <f t="shared" ref="J132:J137" si="45">+(H132/I132-1)*100</f>
        <v>-27.922876359218975</v>
      </c>
      <c r="K132" s="17">
        <f t="shared" si="36"/>
        <v>248.40000000000146</v>
      </c>
      <c r="L132">
        <f t="shared" si="43"/>
        <v>448</v>
      </c>
      <c r="M132">
        <f t="shared" si="39"/>
        <v>589.70000000000073</v>
      </c>
      <c r="N132" s="41">
        <f t="shared" si="40"/>
        <v>416.10000000000218</v>
      </c>
    </row>
    <row r="133" spans="1:14" x14ac:dyDescent="0.25">
      <c r="A133" s="10">
        <f t="shared" si="18"/>
        <v>39765</v>
      </c>
      <c r="B133" s="10"/>
      <c r="C133" s="10"/>
      <c r="D133">
        <v>4951.8999999999996</v>
      </c>
      <c r="E133">
        <v>10000.200000000001</v>
      </c>
      <c r="F133">
        <v>15020.4</v>
      </c>
      <c r="G133">
        <v>17492.3</v>
      </c>
      <c r="H133" s="19">
        <f t="shared" si="44"/>
        <v>19972.3</v>
      </c>
      <c r="I133" s="19">
        <f t="shared" si="41"/>
        <v>27492.5</v>
      </c>
      <c r="J133" s="24">
        <f t="shared" si="45"/>
        <v>-27.353641902336999</v>
      </c>
      <c r="K133" s="17">
        <f t="shared" si="36"/>
        <v>510.89999999999782</v>
      </c>
      <c r="L133">
        <f t="shared" si="43"/>
        <v>452.19999999999891</v>
      </c>
      <c r="M133">
        <f t="shared" si="39"/>
        <v>617.79999999999927</v>
      </c>
      <c r="N133" s="41">
        <f t="shared" si="40"/>
        <v>491.70000000000073</v>
      </c>
    </row>
    <row r="134" spans="1:14" x14ac:dyDescent="0.25">
      <c r="A134" s="10">
        <f t="shared" si="18"/>
        <v>39772</v>
      </c>
      <c r="B134" s="10"/>
      <c r="C134" s="10"/>
      <c r="D134">
        <v>4818.2</v>
      </c>
      <c r="E134">
        <v>9831.9</v>
      </c>
      <c r="F134">
        <v>15592.7</v>
      </c>
      <c r="G134">
        <v>18066.2</v>
      </c>
      <c r="H134" s="19">
        <f t="shared" si="44"/>
        <v>20410.900000000001</v>
      </c>
      <c r="I134" s="19">
        <f t="shared" si="41"/>
        <v>27898.1</v>
      </c>
      <c r="J134" s="24">
        <f t="shared" si="45"/>
        <v>-26.837669948849552</v>
      </c>
      <c r="K134" s="17">
        <f t="shared" si="36"/>
        <v>438.60000000000218</v>
      </c>
      <c r="L134">
        <f t="shared" si="43"/>
        <v>572.30000000000109</v>
      </c>
      <c r="M134">
        <f t="shared" si="39"/>
        <v>573.90000000000146</v>
      </c>
      <c r="N134" s="41">
        <f t="shared" si="40"/>
        <v>405.59999999999854</v>
      </c>
    </row>
    <row r="135" spans="1:14" x14ac:dyDescent="0.25">
      <c r="A135" s="10">
        <f t="shared" si="18"/>
        <v>39779</v>
      </c>
      <c r="B135" s="10"/>
      <c r="C135" s="10"/>
      <c r="D135">
        <v>4562.5</v>
      </c>
      <c r="E135">
        <v>9416</v>
      </c>
      <c r="F135">
        <v>16056</v>
      </c>
      <c r="G135">
        <v>18718</v>
      </c>
      <c r="H135" s="19">
        <f t="shared" si="44"/>
        <v>20618.5</v>
      </c>
      <c r="I135" s="19">
        <f t="shared" si="41"/>
        <v>28134</v>
      </c>
      <c r="J135" s="24">
        <f t="shared" si="45"/>
        <v>-26.713229544323593</v>
      </c>
      <c r="K135" s="17">
        <f t="shared" si="36"/>
        <v>207.59999999999854</v>
      </c>
      <c r="L135">
        <f t="shared" si="43"/>
        <v>463.29999999999927</v>
      </c>
      <c r="M135">
        <f t="shared" si="39"/>
        <v>651.79999999999927</v>
      </c>
      <c r="N135" s="41">
        <f t="shared" si="40"/>
        <v>235.90000000000146</v>
      </c>
    </row>
    <row r="136" spans="1:14" x14ac:dyDescent="0.25">
      <c r="A136" s="10">
        <f t="shared" si="18"/>
        <v>39786</v>
      </c>
      <c r="B136" s="10"/>
      <c r="C136" s="10"/>
      <c r="D136">
        <v>4480</v>
      </c>
      <c r="E136">
        <v>9265.9</v>
      </c>
      <c r="F136" s="44">
        <v>16377.8</v>
      </c>
      <c r="G136" s="44">
        <v>19381.900000000001</v>
      </c>
      <c r="H136" s="19">
        <f t="shared" ref="H136:H264" si="46">+D136+F136</f>
        <v>20857.8</v>
      </c>
      <c r="I136" s="19">
        <f t="shared" si="41"/>
        <v>28647.800000000003</v>
      </c>
      <c r="J136" s="24">
        <f t="shared" si="45"/>
        <v>-27.192314942159612</v>
      </c>
      <c r="K136" s="17">
        <f t="shared" si="36"/>
        <v>239.29999999999927</v>
      </c>
      <c r="L136">
        <f t="shared" si="43"/>
        <v>321.79999999999927</v>
      </c>
      <c r="M136">
        <f t="shared" si="39"/>
        <v>663.90000000000146</v>
      </c>
      <c r="N136" s="41">
        <f t="shared" si="40"/>
        <v>513.80000000000291</v>
      </c>
    </row>
    <row r="137" spans="1:14" x14ac:dyDescent="0.25">
      <c r="A137" s="10">
        <f t="shared" si="18"/>
        <v>39793</v>
      </c>
      <c r="B137" s="10"/>
      <c r="C137" s="10"/>
      <c r="D137">
        <v>4326.7</v>
      </c>
      <c r="E137">
        <v>8946.1</v>
      </c>
      <c r="F137" s="44">
        <v>16793.099999999999</v>
      </c>
      <c r="G137" s="44">
        <v>19906</v>
      </c>
      <c r="H137" s="19">
        <f t="shared" si="46"/>
        <v>21119.8</v>
      </c>
      <c r="I137" s="19">
        <f t="shared" si="41"/>
        <v>28852.1</v>
      </c>
      <c r="J137" s="24">
        <f t="shared" si="45"/>
        <v>-26.799782338200686</v>
      </c>
      <c r="K137" s="17">
        <f t="shared" ref="K137:K142" si="47">+H137-H136</f>
        <v>262</v>
      </c>
      <c r="L137">
        <f t="shared" si="43"/>
        <v>415.29999999999927</v>
      </c>
      <c r="M137">
        <f t="shared" si="39"/>
        <v>524.09999999999854</v>
      </c>
      <c r="N137" s="41">
        <f t="shared" si="40"/>
        <v>204.29999999999563</v>
      </c>
    </row>
    <row r="138" spans="1:14" x14ac:dyDescent="0.25">
      <c r="A138" s="10">
        <f t="shared" si="18"/>
        <v>39800</v>
      </c>
      <c r="B138" s="10"/>
      <c r="C138" s="10"/>
      <c r="D138">
        <v>4289.5</v>
      </c>
      <c r="E138">
        <v>8863.7999999999993</v>
      </c>
      <c r="F138" s="44">
        <v>17084</v>
      </c>
      <c r="G138" s="44">
        <v>20287.2</v>
      </c>
      <c r="H138" s="19">
        <f t="shared" si="46"/>
        <v>21373.5</v>
      </c>
      <c r="I138" s="19">
        <f t="shared" si="41"/>
        <v>29151</v>
      </c>
      <c r="J138" s="24">
        <f t="shared" ref="J138:J242" si="48">+(H138/I138-1)*100</f>
        <v>-26.680045281465471</v>
      </c>
      <c r="K138" s="17">
        <f t="shared" si="47"/>
        <v>253.70000000000073</v>
      </c>
      <c r="L138">
        <f t="shared" si="43"/>
        <v>290.90000000000146</v>
      </c>
      <c r="M138">
        <f t="shared" si="39"/>
        <v>381.20000000000073</v>
      </c>
      <c r="N138" s="41">
        <f t="shared" si="40"/>
        <v>298.90000000000146</v>
      </c>
    </row>
    <row r="139" spans="1:14" x14ac:dyDescent="0.25">
      <c r="A139" s="10">
        <f t="shared" si="18"/>
        <v>39807</v>
      </c>
      <c r="B139" s="10"/>
      <c r="C139" s="10"/>
      <c r="D139">
        <v>4530.6000000000004</v>
      </c>
      <c r="E139">
        <v>8544.9</v>
      </c>
      <c r="F139" s="44">
        <v>17261.099999999999</v>
      </c>
      <c r="G139" s="44">
        <v>20724.8</v>
      </c>
      <c r="H139" s="19">
        <f t="shared" si="46"/>
        <v>21791.699999999997</v>
      </c>
      <c r="I139" s="19">
        <f t="shared" ref="I139:I242" si="49">+E139+G139</f>
        <v>29269.699999999997</v>
      </c>
      <c r="J139" s="24">
        <f t="shared" si="48"/>
        <v>-25.548604871249115</v>
      </c>
      <c r="K139" s="17">
        <f t="shared" si="47"/>
        <v>418.19999999999709</v>
      </c>
      <c r="L139">
        <f t="shared" si="43"/>
        <v>177.09999999999854</v>
      </c>
      <c r="M139">
        <f t="shared" si="39"/>
        <v>437.59999999999854</v>
      </c>
      <c r="N139" s="41">
        <f t="shared" si="40"/>
        <v>118.69999999999709</v>
      </c>
    </row>
    <row r="140" spans="1:14" x14ac:dyDescent="0.25">
      <c r="A140" s="10">
        <f t="shared" si="18"/>
        <v>39814</v>
      </c>
      <c r="B140" s="10"/>
      <c r="C140" s="10"/>
      <c r="D140">
        <v>4220.6000000000004</v>
      </c>
      <c r="E140">
        <v>8265.2999999999993</v>
      </c>
      <c r="F140" s="44">
        <v>17613</v>
      </c>
      <c r="G140" s="44">
        <v>21195.3</v>
      </c>
      <c r="H140" s="19">
        <f t="shared" si="46"/>
        <v>21833.599999999999</v>
      </c>
      <c r="I140" s="19">
        <f t="shared" si="49"/>
        <v>29460.6</v>
      </c>
      <c r="J140" s="24">
        <f t="shared" si="48"/>
        <v>-25.888814212880927</v>
      </c>
      <c r="K140" s="17">
        <f t="shared" si="47"/>
        <v>41.900000000001455</v>
      </c>
      <c r="L140">
        <f t="shared" si="43"/>
        <v>351.90000000000146</v>
      </c>
      <c r="M140">
        <f t="shared" si="39"/>
        <v>470.5</v>
      </c>
      <c r="N140" s="41">
        <f t="shared" si="40"/>
        <v>190.90000000000146</v>
      </c>
    </row>
    <row r="141" spans="1:14" x14ac:dyDescent="0.25">
      <c r="A141" s="10">
        <f t="shared" si="18"/>
        <v>39821</v>
      </c>
      <c r="B141" s="10"/>
      <c r="C141" s="10"/>
      <c r="D141">
        <v>3738</v>
      </c>
      <c r="E141">
        <v>7966.2</v>
      </c>
      <c r="F141" s="44">
        <v>18183.5</v>
      </c>
      <c r="G141" s="44">
        <v>21899.200000000001</v>
      </c>
      <c r="H141" s="19">
        <f t="shared" si="46"/>
        <v>21921.5</v>
      </c>
      <c r="I141" s="19">
        <f t="shared" si="49"/>
        <v>29865.4</v>
      </c>
      <c r="J141" s="24">
        <f t="shared" si="48"/>
        <v>-26.599007547195086</v>
      </c>
      <c r="K141" s="17">
        <f t="shared" si="47"/>
        <v>87.900000000001455</v>
      </c>
      <c r="L141">
        <f t="shared" si="43"/>
        <v>570.5</v>
      </c>
      <c r="M141">
        <f t="shared" si="39"/>
        <v>703.90000000000146</v>
      </c>
      <c r="N141" s="41">
        <f t="shared" si="40"/>
        <v>404.80000000000291</v>
      </c>
    </row>
    <row r="142" spans="1:14" x14ac:dyDescent="0.25">
      <c r="A142" s="10">
        <f t="shared" si="18"/>
        <v>39828</v>
      </c>
      <c r="B142" s="10"/>
      <c r="C142" s="10"/>
      <c r="D142">
        <v>3965.9</v>
      </c>
      <c r="E142">
        <v>7894.1</v>
      </c>
      <c r="F142" s="44">
        <v>18365.8</v>
      </c>
      <c r="G142" s="44">
        <v>22394</v>
      </c>
      <c r="H142" s="19">
        <f t="shared" si="46"/>
        <v>22331.7</v>
      </c>
      <c r="I142" s="19">
        <f t="shared" si="49"/>
        <v>30288.1</v>
      </c>
      <c r="J142" s="24">
        <f t="shared" si="48"/>
        <v>-26.269062767225403</v>
      </c>
      <c r="K142" s="17">
        <f t="shared" si="47"/>
        <v>410.20000000000073</v>
      </c>
      <c r="L142">
        <f t="shared" si="43"/>
        <v>182.29999999999927</v>
      </c>
      <c r="M142">
        <f t="shared" si="39"/>
        <v>494.79999999999927</v>
      </c>
      <c r="N142" s="41">
        <f t="shared" si="40"/>
        <v>422.69999999999709</v>
      </c>
    </row>
    <row r="143" spans="1:14" x14ac:dyDescent="0.25">
      <c r="A143" s="10">
        <f t="shared" si="18"/>
        <v>39835</v>
      </c>
      <c r="B143" s="10"/>
      <c r="C143" s="10"/>
      <c r="D143">
        <v>3643.8</v>
      </c>
      <c r="E143">
        <v>7779</v>
      </c>
      <c r="F143" s="44">
        <v>18711.400000000001</v>
      </c>
      <c r="G143" s="44">
        <v>23017.9</v>
      </c>
      <c r="H143" s="19">
        <f t="shared" si="46"/>
        <v>22355.200000000001</v>
      </c>
      <c r="I143" s="19">
        <f t="shared" si="49"/>
        <v>30796.9</v>
      </c>
      <c r="J143" s="24">
        <f t="shared" si="48"/>
        <v>-27.410875769963859</v>
      </c>
      <c r="K143" s="17">
        <f t="shared" ref="K143:K148" si="50">+H143-H142</f>
        <v>23.5</v>
      </c>
      <c r="L143">
        <f t="shared" ref="L143:L148" si="51">+F143-F142</f>
        <v>345.60000000000218</v>
      </c>
      <c r="M143">
        <f t="shared" si="39"/>
        <v>623.90000000000146</v>
      </c>
      <c r="N143" s="41">
        <f t="shared" si="40"/>
        <v>508.80000000000291</v>
      </c>
    </row>
    <row r="144" spans="1:14" x14ac:dyDescent="0.25">
      <c r="A144" s="10">
        <f t="shared" si="18"/>
        <v>39842</v>
      </c>
      <c r="B144" s="10"/>
      <c r="C144" s="10"/>
      <c r="D144">
        <v>3567.8</v>
      </c>
      <c r="E144">
        <v>7631.4</v>
      </c>
      <c r="F144" s="44">
        <v>19114.2</v>
      </c>
      <c r="G144" s="44">
        <v>23478.3</v>
      </c>
      <c r="H144" s="19">
        <f t="shared" si="46"/>
        <v>22682</v>
      </c>
      <c r="I144" s="19">
        <f t="shared" si="49"/>
        <v>31109.699999999997</v>
      </c>
      <c r="J144" s="24">
        <f t="shared" si="48"/>
        <v>-27.090264451280465</v>
      </c>
      <c r="K144" s="17">
        <f t="shared" si="50"/>
        <v>326.79999999999927</v>
      </c>
      <c r="L144">
        <f t="shared" si="51"/>
        <v>402.79999999999927</v>
      </c>
      <c r="M144">
        <f t="shared" si="39"/>
        <v>460.39999999999782</v>
      </c>
      <c r="N144" s="41">
        <f t="shared" si="40"/>
        <v>312.79999999999563</v>
      </c>
    </row>
    <row r="145" spans="1:15" x14ac:dyDescent="0.25">
      <c r="A145" s="10">
        <f t="shared" si="18"/>
        <v>39849</v>
      </c>
      <c r="B145" s="10"/>
      <c r="C145" s="10"/>
      <c r="D145">
        <v>3462.2</v>
      </c>
      <c r="E145">
        <v>7167.6</v>
      </c>
      <c r="F145" s="44">
        <v>19631.5</v>
      </c>
      <c r="G145" s="44">
        <v>24025.1</v>
      </c>
      <c r="H145" s="19">
        <f t="shared" si="46"/>
        <v>23093.7</v>
      </c>
      <c r="I145" s="19">
        <f t="shared" si="49"/>
        <v>31192.699999999997</v>
      </c>
      <c r="J145" s="24">
        <f t="shared" si="48"/>
        <v>-25.964408339130618</v>
      </c>
      <c r="K145" s="17">
        <f t="shared" si="50"/>
        <v>411.70000000000073</v>
      </c>
      <c r="L145">
        <f t="shared" si="51"/>
        <v>517.29999999999927</v>
      </c>
      <c r="M145">
        <f t="shared" si="39"/>
        <v>546.79999999999927</v>
      </c>
      <c r="N145" s="41">
        <f t="shared" si="40"/>
        <v>83</v>
      </c>
    </row>
    <row r="146" spans="1:15" x14ac:dyDescent="0.25">
      <c r="A146" s="10">
        <f t="shared" si="18"/>
        <v>39856</v>
      </c>
      <c r="B146" s="10"/>
      <c r="C146" s="10"/>
      <c r="D146">
        <v>3642.7</v>
      </c>
      <c r="E146">
        <v>6657.9</v>
      </c>
      <c r="F146" s="44">
        <v>19884.400000000001</v>
      </c>
      <c r="G146" s="44">
        <v>24635.8</v>
      </c>
      <c r="H146" s="19">
        <f t="shared" si="46"/>
        <v>23527.100000000002</v>
      </c>
      <c r="I146" s="19">
        <f t="shared" si="49"/>
        <v>31293.699999999997</v>
      </c>
      <c r="J146" s="24">
        <f t="shared" si="48"/>
        <v>-24.818413929960325</v>
      </c>
      <c r="K146" s="17">
        <f t="shared" si="50"/>
        <v>433.40000000000146</v>
      </c>
      <c r="L146">
        <f t="shared" si="51"/>
        <v>252.90000000000146</v>
      </c>
      <c r="M146">
        <f t="shared" ref="M146:M151" si="52">+G146-G145</f>
        <v>610.70000000000073</v>
      </c>
      <c r="N146" s="41">
        <f t="shared" ref="N146:N155" si="53">+I146-I145</f>
        <v>101</v>
      </c>
    </row>
    <row r="147" spans="1:15" x14ac:dyDescent="0.25">
      <c r="A147" s="10">
        <f t="shared" si="18"/>
        <v>39863</v>
      </c>
      <c r="B147" s="10"/>
      <c r="C147" s="10"/>
      <c r="D147">
        <v>3811.1</v>
      </c>
      <c r="E147">
        <v>6456.2</v>
      </c>
      <c r="F147" s="44">
        <v>20181.400000000001</v>
      </c>
      <c r="G147" s="44">
        <v>25146.1</v>
      </c>
      <c r="H147" s="19">
        <f t="shared" si="46"/>
        <v>23992.5</v>
      </c>
      <c r="I147" s="19">
        <f t="shared" si="49"/>
        <v>31602.3</v>
      </c>
      <c r="J147" s="24">
        <f t="shared" si="48"/>
        <v>-24.079892919186264</v>
      </c>
      <c r="K147" s="17">
        <f t="shared" si="50"/>
        <v>465.39999999999782</v>
      </c>
      <c r="L147">
        <f t="shared" si="51"/>
        <v>297</v>
      </c>
      <c r="M147">
        <f t="shared" si="52"/>
        <v>510.29999999999927</v>
      </c>
      <c r="N147" s="41">
        <f t="shared" si="53"/>
        <v>308.60000000000218</v>
      </c>
    </row>
    <row r="148" spans="1:15" x14ac:dyDescent="0.25">
      <c r="A148" s="10">
        <f t="shared" si="18"/>
        <v>39870</v>
      </c>
      <c r="B148" s="10"/>
      <c r="C148" s="10"/>
      <c r="D148">
        <v>3844.3</v>
      </c>
      <c r="E148">
        <v>6408.6</v>
      </c>
      <c r="F148" s="44">
        <v>20433.400000000001</v>
      </c>
      <c r="G148" s="44">
        <v>25625.7</v>
      </c>
      <c r="H148" s="19">
        <f t="shared" si="46"/>
        <v>24277.7</v>
      </c>
      <c r="I148" s="19">
        <f t="shared" si="49"/>
        <v>32034.300000000003</v>
      </c>
      <c r="J148" s="24">
        <f t="shared" si="48"/>
        <v>-24.213421239109334</v>
      </c>
      <c r="K148" s="17">
        <f t="shared" si="50"/>
        <v>285.20000000000073</v>
      </c>
      <c r="L148">
        <f t="shared" si="51"/>
        <v>252</v>
      </c>
      <c r="M148">
        <f t="shared" si="52"/>
        <v>479.60000000000218</v>
      </c>
      <c r="N148" s="41">
        <f t="shared" si="53"/>
        <v>432.00000000000364</v>
      </c>
    </row>
    <row r="149" spans="1:15" x14ac:dyDescent="0.25">
      <c r="A149" s="10">
        <f t="shared" si="18"/>
        <v>39877</v>
      </c>
      <c r="B149" s="10"/>
      <c r="C149" s="10"/>
      <c r="D149">
        <v>3755.3</v>
      </c>
      <c r="E149">
        <v>6112.8</v>
      </c>
      <c r="F149" s="44">
        <v>20885.3</v>
      </c>
      <c r="G149" s="44">
        <v>26131.5</v>
      </c>
      <c r="H149" s="19">
        <f t="shared" si="46"/>
        <v>24640.6</v>
      </c>
      <c r="I149" s="19">
        <f t="shared" si="49"/>
        <v>32244.3</v>
      </c>
      <c r="J149" s="24">
        <f t="shared" si="48"/>
        <v>-23.581532239806723</v>
      </c>
      <c r="K149" s="17">
        <f t="shared" ref="K149:K154" si="54">+H149-H148</f>
        <v>362.89999999999782</v>
      </c>
      <c r="L149">
        <f t="shared" ref="L149:L154" si="55">+F149-F148</f>
        <v>451.89999999999782</v>
      </c>
      <c r="M149">
        <f t="shared" si="52"/>
        <v>505.79999999999927</v>
      </c>
      <c r="N149" s="41">
        <f t="shared" si="53"/>
        <v>209.99999999999636</v>
      </c>
    </row>
    <row r="150" spans="1:15" x14ac:dyDescent="0.25">
      <c r="A150" s="10">
        <f t="shared" si="18"/>
        <v>39884</v>
      </c>
      <c r="B150" s="10"/>
      <c r="C150" s="10"/>
      <c r="D150">
        <v>3657.5</v>
      </c>
      <c r="E150">
        <v>5565.9</v>
      </c>
      <c r="F150" s="44">
        <v>21196.9</v>
      </c>
      <c r="G150" s="44">
        <v>26695.9</v>
      </c>
      <c r="H150" s="19">
        <f t="shared" si="46"/>
        <v>24854.400000000001</v>
      </c>
      <c r="I150" s="19">
        <f t="shared" si="49"/>
        <v>32261.800000000003</v>
      </c>
      <c r="J150" s="24">
        <f t="shared" si="48"/>
        <v>-22.960281199437105</v>
      </c>
      <c r="K150" s="17">
        <f t="shared" si="54"/>
        <v>213.80000000000291</v>
      </c>
      <c r="L150">
        <f t="shared" si="55"/>
        <v>311.60000000000218</v>
      </c>
      <c r="M150">
        <f t="shared" si="52"/>
        <v>564.40000000000146</v>
      </c>
      <c r="N150" s="41">
        <f t="shared" si="53"/>
        <v>17.500000000003638</v>
      </c>
    </row>
    <row r="151" spans="1:15" x14ac:dyDescent="0.25">
      <c r="A151" s="10">
        <f t="shared" si="18"/>
        <v>39891</v>
      </c>
      <c r="B151" s="10"/>
      <c r="C151" s="10"/>
      <c r="D151">
        <v>3328.9</v>
      </c>
      <c r="E151">
        <v>5414</v>
      </c>
      <c r="F151" s="48">
        <v>21789.8</v>
      </c>
      <c r="G151" s="48">
        <v>27227.599999999999</v>
      </c>
      <c r="H151" s="19">
        <f t="shared" si="46"/>
        <v>25118.7</v>
      </c>
      <c r="I151" s="19">
        <f t="shared" si="49"/>
        <v>32641.599999999999</v>
      </c>
      <c r="J151" s="24">
        <f t="shared" si="48"/>
        <v>-23.046970736728589</v>
      </c>
      <c r="K151" s="17">
        <f t="shared" si="54"/>
        <v>264.29999999999927</v>
      </c>
      <c r="L151">
        <f t="shared" si="55"/>
        <v>592.89999999999782</v>
      </c>
      <c r="M151">
        <f t="shared" si="52"/>
        <v>531.69999999999709</v>
      </c>
      <c r="N151" s="41">
        <f t="shared" si="53"/>
        <v>379.79999999999563</v>
      </c>
    </row>
    <row r="152" spans="1:15" x14ac:dyDescent="0.25">
      <c r="A152" s="10">
        <f t="shared" si="18"/>
        <v>39898</v>
      </c>
      <c r="B152" s="10"/>
      <c r="C152" s="10"/>
      <c r="D152">
        <v>3235.7</v>
      </c>
      <c r="E152">
        <v>5202.6000000000004</v>
      </c>
      <c r="F152" s="48">
        <v>22166.5</v>
      </c>
      <c r="G152" s="48">
        <v>27706.3</v>
      </c>
      <c r="H152" s="19">
        <f t="shared" si="46"/>
        <v>25402.2</v>
      </c>
      <c r="I152" s="19">
        <f t="shared" si="49"/>
        <v>32908.9</v>
      </c>
      <c r="J152" s="24">
        <f t="shared" si="48"/>
        <v>-22.810546691016718</v>
      </c>
      <c r="K152" s="17">
        <f t="shared" si="54"/>
        <v>283.5</v>
      </c>
      <c r="L152">
        <f t="shared" si="55"/>
        <v>376.70000000000073</v>
      </c>
      <c r="M152">
        <f t="shared" ref="M152:M157" si="56">+G152-G151</f>
        <v>478.70000000000073</v>
      </c>
      <c r="N152" s="41">
        <f t="shared" si="53"/>
        <v>267.30000000000291</v>
      </c>
    </row>
    <row r="153" spans="1:15" x14ac:dyDescent="0.25">
      <c r="A153" s="10">
        <f t="shared" si="18"/>
        <v>39905</v>
      </c>
      <c r="B153" s="10"/>
      <c r="C153" s="10"/>
      <c r="D153">
        <v>2916.4</v>
      </c>
      <c r="E153">
        <v>4896.7</v>
      </c>
      <c r="F153" s="48">
        <v>22675.200000000001</v>
      </c>
      <c r="G153" s="48">
        <v>28466.400000000001</v>
      </c>
      <c r="H153" s="19">
        <f t="shared" si="46"/>
        <v>25591.600000000002</v>
      </c>
      <c r="I153" s="19">
        <f t="shared" si="49"/>
        <v>33363.1</v>
      </c>
      <c r="J153" s="24">
        <f t="shared" si="48"/>
        <v>-23.293698727036748</v>
      </c>
      <c r="K153" s="17">
        <f t="shared" si="54"/>
        <v>189.40000000000146</v>
      </c>
      <c r="L153">
        <f t="shared" si="55"/>
        <v>508.70000000000073</v>
      </c>
      <c r="M153">
        <f t="shared" si="56"/>
        <v>760.10000000000218</v>
      </c>
      <c r="N153" s="41">
        <f t="shared" si="53"/>
        <v>454.19999999999709</v>
      </c>
    </row>
    <row r="154" spans="1:15" x14ac:dyDescent="0.25">
      <c r="A154" s="10">
        <f t="shared" si="18"/>
        <v>39912</v>
      </c>
      <c r="B154" s="10"/>
      <c r="C154" s="10"/>
      <c r="D154">
        <v>2551.1999999999998</v>
      </c>
      <c r="E154">
        <v>4704.1000000000004</v>
      </c>
      <c r="F154" s="48">
        <v>23161.8</v>
      </c>
      <c r="G154" s="48">
        <v>28788.2</v>
      </c>
      <c r="H154" s="19">
        <f t="shared" si="46"/>
        <v>25713</v>
      </c>
      <c r="I154" s="19">
        <f t="shared" si="49"/>
        <v>33492.300000000003</v>
      </c>
      <c r="J154" s="24">
        <f t="shared" si="48"/>
        <v>-23.227129817898451</v>
      </c>
      <c r="K154" s="17">
        <f t="shared" si="54"/>
        <v>121.39999999999782</v>
      </c>
      <c r="L154">
        <f t="shared" si="55"/>
        <v>486.59999999999854</v>
      </c>
      <c r="M154">
        <f t="shared" si="56"/>
        <v>321.79999999999927</v>
      </c>
      <c r="N154" s="41">
        <f t="shared" si="53"/>
        <v>129.20000000000437</v>
      </c>
    </row>
    <row r="155" spans="1:15" x14ac:dyDescent="0.25">
      <c r="A155" s="10">
        <f t="shared" si="18"/>
        <v>39919</v>
      </c>
      <c r="B155" s="10"/>
      <c r="C155" s="10"/>
      <c r="D155">
        <v>2395.8000000000002</v>
      </c>
      <c r="E155">
        <v>4311.7</v>
      </c>
      <c r="F155" s="48">
        <v>23549.4</v>
      </c>
      <c r="G155" s="48">
        <v>29338.6</v>
      </c>
      <c r="H155" s="19">
        <f t="shared" si="46"/>
        <v>25945.200000000001</v>
      </c>
      <c r="I155" s="19">
        <f t="shared" si="49"/>
        <v>33650.299999999996</v>
      </c>
      <c r="J155" s="24">
        <f t="shared" si="48"/>
        <v>-22.89756703506357</v>
      </c>
      <c r="K155" s="17">
        <f t="shared" ref="K155:K160" si="57">+H155-H154</f>
        <v>232.20000000000073</v>
      </c>
      <c r="L155">
        <f t="shared" ref="L155:L160" si="58">+F155-F154</f>
        <v>387.60000000000218</v>
      </c>
      <c r="M155">
        <f t="shared" si="56"/>
        <v>550.39999999999782</v>
      </c>
      <c r="N155" s="41">
        <f t="shared" si="53"/>
        <v>157.99999999999272</v>
      </c>
    </row>
    <row r="156" spans="1:15" x14ac:dyDescent="0.25">
      <c r="A156" s="10">
        <f t="shared" si="18"/>
        <v>39926</v>
      </c>
      <c r="B156" s="10"/>
      <c r="C156" s="10"/>
      <c r="D156">
        <v>2175.4</v>
      </c>
      <c r="E156">
        <v>3912.8</v>
      </c>
      <c r="F156" s="48">
        <v>23912.2</v>
      </c>
      <c r="G156" s="48">
        <v>29913.599999999999</v>
      </c>
      <c r="H156" s="19">
        <f t="shared" si="46"/>
        <v>26087.600000000002</v>
      </c>
      <c r="I156" s="19">
        <f t="shared" si="49"/>
        <v>33826.400000000001</v>
      </c>
      <c r="J156" s="24">
        <f t="shared" si="48"/>
        <v>-22.877988789820968</v>
      </c>
      <c r="K156" s="17">
        <f t="shared" si="57"/>
        <v>142.40000000000146</v>
      </c>
      <c r="L156">
        <f t="shared" si="58"/>
        <v>362.79999999999927</v>
      </c>
      <c r="M156">
        <f t="shared" si="56"/>
        <v>575</v>
      </c>
      <c r="N156" s="41">
        <f t="shared" ref="N156:N161" si="59">+I156-I155</f>
        <v>176.10000000000582</v>
      </c>
    </row>
    <row r="157" spans="1:15" x14ac:dyDescent="0.25">
      <c r="A157" s="10">
        <f t="shared" si="18"/>
        <v>39933</v>
      </c>
      <c r="B157" s="10"/>
      <c r="C157" s="10"/>
      <c r="D157">
        <v>2161.4</v>
      </c>
      <c r="E157">
        <v>3459.7</v>
      </c>
      <c r="F157" s="48">
        <v>24180.9</v>
      </c>
      <c r="G157" s="48">
        <v>30521.3</v>
      </c>
      <c r="H157" s="19">
        <f t="shared" si="46"/>
        <v>26342.300000000003</v>
      </c>
      <c r="I157" s="19">
        <f t="shared" si="49"/>
        <v>33981</v>
      </c>
      <c r="J157" s="24">
        <f t="shared" si="48"/>
        <v>-22.479326682557886</v>
      </c>
      <c r="K157" s="17">
        <f t="shared" si="57"/>
        <v>254.70000000000073</v>
      </c>
      <c r="L157">
        <f t="shared" si="58"/>
        <v>268.70000000000073</v>
      </c>
      <c r="M157">
        <f t="shared" si="56"/>
        <v>607.70000000000073</v>
      </c>
      <c r="N157" s="41">
        <f t="shared" si="59"/>
        <v>154.59999999999854</v>
      </c>
      <c r="O157">
        <v>1422</v>
      </c>
    </row>
    <row r="158" spans="1:15" x14ac:dyDescent="0.25">
      <c r="A158" s="10">
        <f t="shared" si="18"/>
        <v>39940</v>
      </c>
      <c r="B158" s="10"/>
      <c r="C158" s="10"/>
      <c r="D158">
        <v>1952.8</v>
      </c>
      <c r="E158">
        <v>2980.3</v>
      </c>
      <c r="F158" s="48">
        <v>24465.8</v>
      </c>
      <c r="G158" s="48">
        <v>31121.4</v>
      </c>
      <c r="H158" s="19">
        <f t="shared" si="46"/>
        <v>26418.6</v>
      </c>
      <c r="I158" s="19">
        <f t="shared" si="49"/>
        <v>34101.700000000004</v>
      </c>
      <c r="J158" s="24">
        <f t="shared" si="48"/>
        <v>-22.529961849409286</v>
      </c>
      <c r="K158" s="17">
        <f t="shared" si="57"/>
        <v>76.299999999995634</v>
      </c>
      <c r="L158">
        <f t="shared" si="58"/>
        <v>284.89999999999782</v>
      </c>
      <c r="M158">
        <f>+G158-G157</f>
        <v>600.10000000000218</v>
      </c>
      <c r="N158" s="41">
        <f t="shared" si="59"/>
        <v>120.70000000000437</v>
      </c>
      <c r="O158" s="29">
        <v>1552.9</v>
      </c>
    </row>
    <row r="159" spans="1:15" x14ac:dyDescent="0.25">
      <c r="A159" s="10">
        <f t="shared" si="18"/>
        <v>39947</v>
      </c>
      <c r="B159" s="10"/>
      <c r="C159" s="10"/>
      <c r="D159">
        <v>1560.6</v>
      </c>
      <c r="E159">
        <v>2752.4</v>
      </c>
      <c r="F159" s="48">
        <v>24878.2</v>
      </c>
      <c r="G159" s="48">
        <v>31447.5</v>
      </c>
      <c r="H159" s="19">
        <f t="shared" si="46"/>
        <v>26438.799999999999</v>
      </c>
      <c r="I159" s="19">
        <f t="shared" si="49"/>
        <v>34199.9</v>
      </c>
      <c r="J159" s="24">
        <f t="shared" si="48"/>
        <v>-22.693341208600025</v>
      </c>
      <c r="K159" s="17">
        <f t="shared" si="57"/>
        <v>20.200000000000728</v>
      </c>
      <c r="L159">
        <f t="shared" si="58"/>
        <v>412.40000000000146</v>
      </c>
      <c r="M159">
        <f>+G159-G158</f>
        <v>326.09999999999854</v>
      </c>
      <c r="N159" s="41">
        <f t="shared" si="59"/>
        <v>98.19999999999709</v>
      </c>
      <c r="O159" s="29">
        <v>2096.3000000000002</v>
      </c>
    </row>
    <row r="160" spans="1:15" x14ac:dyDescent="0.25">
      <c r="A160" s="10">
        <f t="shared" si="18"/>
        <v>39954</v>
      </c>
      <c r="B160" s="10"/>
      <c r="C160" s="10"/>
      <c r="D160">
        <v>1204.5999999999999</v>
      </c>
      <c r="E160">
        <v>2043.9</v>
      </c>
      <c r="F160" s="48">
        <v>25338.2</v>
      </c>
      <c r="G160" s="48">
        <v>31815.3</v>
      </c>
      <c r="H160" s="19">
        <f t="shared" si="46"/>
        <v>26542.799999999999</v>
      </c>
      <c r="I160" s="19">
        <f t="shared" si="49"/>
        <v>33859.199999999997</v>
      </c>
      <c r="J160" s="24">
        <f t="shared" si="48"/>
        <v>-21.608307343351285</v>
      </c>
      <c r="K160" s="17">
        <f t="shared" si="57"/>
        <v>104</v>
      </c>
      <c r="L160">
        <f t="shared" si="58"/>
        <v>460</v>
      </c>
      <c r="M160">
        <f>+G160-G159</f>
        <v>367.79999999999927</v>
      </c>
      <c r="N160" s="41">
        <f t="shared" si="59"/>
        <v>-340.70000000000437</v>
      </c>
      <c r="O160" s="29">
        <v>2324.4</v>
      </c>
    </row>
    <row r="161" spans="1:16" x14ac:dyDescent="0.25">
      <c r="A161" s="10">
        <f t="shared" si="18"/>
        <v>39961</v>
      </c>
      <c r="B161" s="10"/>
      <c r="C161" s="10"/>
      <c r="D161">
        <v>1005.3</v>
      </c>
      <c r="E161">
        <v>1614</v>
      </c>
      <c r="F161" s="48">
        <v>25625.7</v>
      </c>
      <c r="G161" s="48">
        <v>32385.4</v>
      </c>
      <c r="H161" s="19">
        <f t="shared" si="46"/>
        <v>26631</v>
      </c>
      <c r="I161" s="19">
        <f t="shared" si="49"/>
        <v>33999.4</v>
      </c>
      <c r="J161" s="24">
        <f t="shared" si="48"/>
        <v>-21.672147155538045</v>
      </c>
      <c r="K161" s="17">
        <f t="shared" ref="K161:K166" si="60">+H161-H160</f>
        <v>88.200000000000728</v>
      </c>
      <c r="L161">
        <f>+F161-F160</f>
        <v>287.5</v>
      </c>
      <c r="M161">
        <f>+G161-G160</f>
        <v>570.10000000000218</v>
      </c>
      <c r="N161" s="41">
        <f t="shared" si="59"/>
        <v>140.20000000000437</v>
      </c>
      <c r="O161" s="29">
        <v>2501.4</v>
      </c>
    </row>
    <row r="162" spans="1:16" x14ac:dyDescent="0.25">
      <c r="A162" s="10">
        <f t="shared" si="18"/>
        <v>39968</v>
      </c>
      <c r="B162" s="10"/>
      <c r="C162" s="10"/>
      <c r="D162">
        <v>3410.4</v>
      </c>
      <c r="E162">
        <v>7177.4</v>
      </c>
      <c r="F162" s="48">
        <v>75.599999999999994</v>
      </c>
      <c r="G162" s="48">
        <v>366.6</v>
      </c>
      <c r="H162" s="19">
        <f t="shared" si="46"/>
        <v>3486</v>
      </c>
      <c r="I162" s="19">
        <f t="shared" si="49"/>
        <v>7544</v>
      </c>
      <c r="J162" s="24">
        <f t="shared" si="48"/>
        <v>-53.791092258748677</v>
      </c>
      <c r="K162" s="17"/>
      <c r="P162">
        <v>1</v>
      </c>
    </row>
    <row r="163" spans="1:16" x14ac:dyDescent="0.25">
      <c r="A163" s="10">
        <f t="shared" si="18"/>
        <v>39975</v>
      </c>
      <c r="B163" s="10"/>
      <c r="C163" s="10"/>
      <c r="D163">
        <v>3286.4</v>
      </c>
      <c r="E163">
        <v>7341.5</v>
      </c>
      <c r="F163" s="48">
        <v>468.4</v>
      </c>
      <c r="G163" s="48">
        <v>740.7</v>
      </c>
      <c r="H163" s="19">
        <f t="shared" si="46"/>
        <v>3754.8</v>
      </c>
      <c r="I163" s="19">
        <f t="shared" si="49"/>
        <v>8082.2</v>
      </c>
      <c r="J163" s="24">
        <f t="shared" si="48"/>
        <v>-53.542352329811195</v>
      </c>
      <c r="K163" s="17">
        <f t="shared" si="60"/>
        <v>268.80000000000018</v>
      </c>
      <c r="L163">
        <f t="shared" ref="L163:L174" si="61">+F163-F162</f>
        <v>392.79999999999995</v>
      </c>
      <c r="M163">
        <f t="shared" ref="M163:M174" si="62">+G163-G162</f>
        <v>374.1</v>
      </c>
      <c r="P163">
        <v>2</v>
      </c>
    </row>
    <row r="164" spans="1:16" x14ac:dyDescent="0.25">
      <c r="A164" s="10">
        <f t="shared" si="18"/>
        <v>39982</v>
      </c>
      <c r="B164" s="10"/>
      <c r="C164" s="10"/>
      <c r="D164">
        <v>3330.9</v>
      </c>
      <c r="E164">
        <v>7335.5</v>
      </c>
      <c r="F164" s="48">
        <v>792.2</v>
      </c>
      <c r="G164" s="48">
        <v>1245</v>
      </c>
      <c r="H164" s="19">
        <f t="shared" si="46"/>
        <v>4123.1000000000004</v>
      </c>
      <c r="I164" s="19">
        <f t="shared" si="49"/>
        <v>8580.5</v>
      </c>
      <c r="J164" s="24">
        <f t="shared" si="48"/>
        <v>-51.948021677058442</v>
      </c>
      <c r="K164" s="17">
        <f t="shared" si="60"/>
        <v>368.30000000000018</v>
      </c>
      <c r="L164">
        <f t="shared" si="61"/>
        <v>323.80000000000007</v>
      </c>
      <c r="M164">
        <f t="shared" si="62"/>
        <v>504.29999999999995</v>
      </c>
      <c r="P164">
        <v>3</v>
      </c>
    </row>
    <row r="165" spans="1:16" x14ac:dyDescent="0.25">
      <c r="A165" s="10">
        <f t="shared" si="18"/>
        <v>39989</v>
      </c>
      <c r="B165" s="10"/>
      <c r="C165" s="10"/>
      <c r="D165">
        <v>3206.1</v>
      </c>
      <c r="E165">
        <v>7567.4</v>
      </c>
      <c r="F165" s="48">
        <v>1158.9000000000001</v>
      </c>
      <c r="G165" s="48">
        <v>1681.2</v>
      </c>
      <c r="H165" s="19">
        <f t="shared" si="46"/>
        <v>4365</v>
      </c>
      <c r="I165" s="19">
        <f t="shared" si="49"/>
        <v>9248.6</v>
      </c>
      <c r="J165" s="24">
        <f t="shared" si="48"/>
        <v>-52.803667582120539</v>
      </c>
      <c r="K165" s="17">
        <f t="shared" si="60"/>
        <v>241.89999999999964</v>
      </c>
      <c r="L165">
        <f t="shared" si="61"/>
        <v>366.70000000000005</v>
      </c>
      <c r="M165">
        <f t="shared" si="62"/>
        <v>436.20000000000005</v>
      </c>
      <c r="P165">
        <v>4</v>
      </c>
    </row>
    <row r="166" spans="1:16" x14ac:dyDescent="0.25">
      <c r="A166" s="10">
        <f t="shared" si="18"/>
        <v>39996</v>
      </c>
      <c r="B166" s="10"/>
      <c r="C166" s="10"/>
      <c r="D166">
        <v>3422.1</v>
      </c>
      <c r="E166">
        <v>7612.4</v>
      </c>
      <c r="F166" s="48">
        <v>1527</v>
      </c>
      <c r="G166" s="48">
        <v>2253.3000000000002</v>
      </c>
      <c r="H166" s="19">
        <f t="shared" si="46"/>
        <v>4949.1000000000004</v>
      </c>
      <c r="I166" s="19">
        <f t="shared" si="49"/>
        <v>9865.7000000000007</v>
      </c>
      <c r="J166" s="24">
        <f t="shared" si="48"/>
        <v>-49.835287916721569</v>
      </c>
      <c r="K166" s="17">
        <f t="shared" si="60"/>
        <v>584.10000000000036</v>
      </c>
      <c r="L166">
        <f t="shared" si="61"/>
        <v>368.09999999999991</v>
      </c>
      <c r="M166">
        <f t="shared" si="62"/>
        <v>572.10000000000014</v>
      </c>
      <c r="P166">
        <v>5</v>
      </c>
    </row>
    <row r="167" spans="1:16" x14ac:dyDescent="0.25">
      <c r="A167" s="10">
        <f t="shared" si="18"/>
        <v>40003</v>
      </c>
      <c r="B167" s="10"/>
      <c r="C167" s="10"/>
      <c r="D167">
        <v>3680.2</v>
      </c>
      <c r="E167">
        <v>7716.1</v>
      </c>
      <c r="F167" s="48">
        <v>1691.4</v>
      </c>
      <c r="G167" s="48">
        <v>2898.3</v>
      </c>
      <c r="H167" s="19">
        <f t="shared" si="46"/>
        <v>5371.6</v>
      </c>
      <c r="I167" s="19">
        <f t="shared" si="49"/>
        <v>10614.400000000001</v>
      </c>
      <c r="J167" s="24">
        <f t="shared" si="48"/>
        <v>-49.393277057582154</v>
      </c>
      <c r="K167" s="17">
        <f t="shared" ref="K167:K173" si="63">+H167-H166</f>
        <v>422.5</v>
      </c>
      <c r="L167">
        <f t="shared" si="61"/>
        <v>164.40000000000009</v>
      </c>
      <c r="M167">
        <f t="shared" si="62"/>
        <v>645</v>
      </c>
      <c r="P167">
        <v>6</v>
      </c>
    </row>
    <row r="168" spans="1:16" x14ac:dyDescent="0.25">
      <c r="A168" s="10">
        <f t="shared" si="18"/>
        <v>40010</v>
      </c>
      <c r="B168" s="10"/>
      <c r="C168" s="10"/>
      <c r="D168">
        <v>3585.7</v>
      </c>
      <c r="E168">
        <v>7491.4</v>
      </c>
      <c r="F168" s="48">
        <v>2128.1999999999998</v>
      </c>
      <c r="G168" s="48">
        <v>3733.3</v>
      </c>
      <c r="H168" s="19">
        <f t="shared" si="46"/>
        <v>5713.9</v>
      </c>
      <c r="I168" s="19">
        <f t="shared" si="49"/>
        <v>11224.7</v>
      </c>
      <c r="J168" s="24">
        <f t="shared" si="48"/>
        <v>-49.095298760768671</v>
      </c>
      <c r="K168" s="17">
        <f t="shared" si="63"/>
        <v>342.29999999999927</v>
      </c>
      <c r="L168">
        <f t="shared" si="61"/>
        <v>436.79999999999973</v>
      </c>
      <c r="M168">
        <f t="shared" si="62"/>
        <v>835</v>
      </c>
      <c r="P168">
        <v>7</v>
      </c>
    </row>
    <row r="169" spans="1:16" x14ac:dyDescent="0.25">
      <c r="A169" s="10">
        <f t="shared" si="18"/>
        <v>40017</v>
      </c>
      <c r="B169" s="10"/>
      <c r="C169" s="10"/>
      <c r="D169">
        <v>3852.9</v>
      </c>
      <c r="E169">
        <v>7639.9</v>
      </c>
      <c r="F169" s="48">
        <v>2436.1</v>
      </c>
      <c r="G169" s="48">
        <v>4311.2</v>
      </c>
      <c r="H169" s="19">
        <f t="shared" si="46"/>
        <v>6289</v>
      </c>
      <c r="I169" s="19">
        <f t="shared" si="49"/>
        <v>11951.099999999999</v>
      </c>
      <c r="J169" s="24">
        <f t="shared" si="48"/>
        <v>-47.37722887432956</v>
      </c>
      <c r="K169" s="17">
        <f t="shared" si="63"/>
        <v>575.10000000000036</v>
      </c>
      <c r="L169">
        <f t="shared" si="61"/>
        <v>307.90000000000009</v>
      </c>
      <c r="M169">
        <f t="shared" si="62"/>
        <v>577.89999999999964</v>
      </c>
      <c r="P169">
        <v>8</v>
      </c>
    </row>
    <row r="170" spans="1:16" x14ac:dyDescent="0.25">
      <c r="A170" s="10">
        <f t="shared" si="18"/>
        <v>40024</v>
      </c>
      <c r="B170" s="10"/>
      <c r="C170" s="10"/>
      <c r="D170">
        <v>4015.7</v>
      </c>
      <c r="E170">
        <v>7521.8</v>
      </c>
      <c r="F170" s="48">
        <v>2826.1</v>
      </c>
      <c r="G170" s="48">
        <v>5111.8999999999996</v>
      </c>
      <c r="H170" s="19">
        <f t="shared" si="46"/>
        <v>6841.7999999999993</v>
      </c>
      <c r="I170" s="19">
        <f t="shared" si="49"/>
        <v>12633.7</v>
      </c>
      <c r="J170" s="24">
        <f t="shared" si="48"/>
        <v>-45.844843553353343</v>
      </c>
      <c r="K170" s="17">
        <f t="shared" si="63"/>
        <v>552.79999999999927</v>
      </c>
      <c r="L170">
        <f t="shared" si="61"/>
        <v>390</v>
      </c>
      <c r="M170">
        <f t="shared" si="62"/>
        <v>800.69999999999982</v>
      </c>
      <c r="P170">
        <v>9</v>
      </c>
    </row>
    <row r="171" spans="1:16" x14ac:dyDescent="0.25">
      <c r="A171" s="10">
        <f t="shared" si="18"/>
        <v>40031</v>
      </c>
      <c r="B171" s="10"/>
      <c r="C171" s="10"/>
      <c r="D171">
        <v>4115.3</v>
      </c>
      <c r="E171">
        <v>7359.1</v>
      </c>
      <c r="F171" s="48">
        <v>3205.6</v>
      </c>
      <c r="G171" s="48">
        <v>5924.9</v>
      </c>
      <c r="H171" s="19">
        <f t="shared" si="46"/>
        <v>7320.9</v>
      </c>
      <c r="I171" s="19">
        <f t="shared" si="49"/>
        <v>13284</v>
      </c>
      <c r="J171" s="24">
        <f t="shared" si="48"/>
        <v>-44.889340560072263</v>
      </c>
      <c r="K171" s="17">
        <f t="shared" si="63"/>
        <v>479.10000000000036</v>
      </c>
      <c r="L171">
        <f t="shared" si="61"/>
        <v>379.5</v>
      </c>
      <c r="M171">
        <f t="shared" si="62"/>
        <v>813</v>
      </c>
      <c r="P171">
        <v>10</v>
      </c>
    </row>
    <row r="172" spans="1:16" x14ac:dyDescent="0.25">
      <c r="A172" s="10">
        <f t="shared" si="18"/>
        <v>40038</v>
      </c>
      <c r="B172" s="10"/>
      <c r="C172" s="10"/>
      <c r="D172">
        <v>4099.2</v>
      </c>
      <c r="E172">
        <v>7270.3</v>
      </c>
      <c r="F172" s="48">
        <v>3580.5</v>
      </c>
      <c r="G172" s="48">
        <v>6930.2</v>
      </c>
      <c r="H172" s="19">
        <f t="shared" si="46"/>
        <v>7679.7</v>
      </c>
      <c r="I172" s="19">
        <f t="shared" si="49"/>
        <v>14200.5</v>
      </c>
      <c r="J172" s="24">
        <f t="shared" si="48"/>
        <v>-45.919509876412803</v>
      </c>
      <c r="K172" s="17">
        <f t="shared" si="63"/>
        <v>358.80000000000018</v>
      </c>
      <c r="L172">
        <f t="shared" si="61"/>
        <v>374.90000000000009</v>
      </c>
      <c r="M172">
        <f t="shared" si="62"/>
        <v>1005.3000000000002</v>
      </c>
      <c r="P172">
        <v>11</v>
      </c>
    </row>
    <row r="173" spans="1:16" x14ac:dyDescent="0.25">
      <c r="A173" s="10">
        <f t="shared" si="18"/>
        <v>40045</v>
      </c>
      <c r="B173" s="10"/>
      <c r="C173" s="10"/>
      <c r="D173">
        <v>4301.6000000000004</v>
      </c>
      <c r="E173">
        <v>6918.7</v>
      </c>
      <c r="F173" s="48">
        <v>4030.8</v>
      </c>
      <c r="G173" s="48">
        <v>7648.7</v>
      </c>
      <c r="H173" s="19">
        <f t="shared" si="46"/>
        <v>8332.4000000000015</v>
      </c>
      <c r="I173" s="19">
        <f t="shared" si="49"/>
        <v>14567.4</v>
      </c>
      <c r="J173" s="24">
        <f t="shared" si="48"/>
        <v>-42.801048917445797</v>
      </c>
      <c r="K173" s="17">
        <f t="shared" si="63"/>
        <v>652.70000000000164</v>
      </c>
      <c r="L173">
        <f t="shared" si="61"/>
        <v>450.30000000000018</v>
      </c>
      <c r="M173">
        <f t="shared" si="62"/>
        <v>718.5</v>
      </c>
      <c r="P173">
        <v>12</v>
      </c>
    </row>
    <row r="174" spans="1:16" x14ac:dyDescent="0.25">
      <c r="A174" s="10">
        <f t="shared" si="18"/>
        <v>40052</v>
      </c>
      <c r="B174" s="10"/>
      <c r="C174" s="10"/>
      <c r="D174">
        <v>4271.8999999999996</v>
      </c>
      <c r="E174">
        <v>6503.6</v>
      </c>
      <c r="F174" s="48">
        <v>4466.2</v>
      </c>
      <c r="G174" s="48">
        <v>8500.4</v>
      </c>
      <c r="H174" s="19">
        <f t="shared" si="46"/>
        <v>8738.0999999999985</v>
      </c>
      <c r="I174" s="19">
        <f t="shared" si="49"/>
        <v>15004</v>
      </c>
      <c r="J174" s="24">
        <f t="shared" si="48"/>
        <v>-41.761530258597709</v>
      </c>
      <c r="K174" s="17">
        <f t="shared" ref="K174:K213" si="64">+H174-H173</f>
        <v>405.69999999999709</v>
      </c>
      <c r="L174">
        <f t="shared" si="61"/>
        <v>435.39999999999964</v>
      </c>
      <c r="M174">
        <f t="shared" si="62"/>
        <v>851.69999999999982</v>
      </c>
      <c r="P174">
        <v>13</v>
      </c>
    </row>
    <row r="175" spans="1:16" x14ac:dyDescent="0.25">
      <c r="A175" s="10">
        <f t="shared" si="18"/>
        <v>40059</v>
      </c>
      <c r="B175" s="10"/>
      <c r="C175" s="10"/>
      <c r="D175">
        <v>4370.5</v>
      </c>
      <c r="E175">
        <v>6273</v>
      </c>
      <c r="F175" s="48">
        <v>4919.1000000000004</v>
      </c>
      <c r="G175" s="48">
        <v>9188.2999999999993</v>
      </c>
      <c r="H175" s="19">
        <f t="shared" si="46"/>
        <v>9289.6</v>
      </c>
      <c r="I175" s="19">
        <f t="shared" si="49"/>
        <v>15461.3</v>
      </c>
      <c r="J175" s="24">
        <f t="shared" si="48"/>
        <v>-39.917083298299616</v>
      </c>
      <c r="K175" s="17">
        <f t="shared" si="64"/>
        <v>551.50000000000182</v>
      </c>
    </row>
    <row r="176" spans="1:16" x14ac:dyDescent="0.25">
      <c r="A176" s="10">
        <f t="shared" si="18"/>
        <v>40066</v>
      </c>
      <c r="B176" s="10"/>
      <c r="C176" s="10"/>
      <c r="D176">
        <v>4223.8999999999996</v>
      </c>
      <c r="E176">
        <v>6393.9</v>
      </c>
      <c r="F176" s="48">
        <v>5515</v>
      </c>
      <c r="G176" s="48">
        <v>9724.7000000000007</v>
      </c>
      <c r="H176" s="19">
        <f t="shared" si="46"/>
        <v>9738.9</v>
      </c>
      <c r="I176" s="19">
        <f t="shared" si="49"/>
        <v>16118.6</v>
      </c>
      <c r="J176" s="24">
        <f t="shared" si="48"/>
        <v>-39.579740175945808</v>
      </c>
      <c r="K176" s="17">
        <f t="shared" si="64"/>
        <v>449.29999999999927</v>
      </c>
    </row>
    <row r="177" spans="1:11" x14ac:dyDescent="0.25">
      <c r="A177" s="10">
        <f t="shared" si="18"/>
        <v>40073</v>
      </c>
      <c r="B177" s="10"/>
      <c r="C177" s="10"/>
      <c r="D177">
        <v>4114.3</v>
      </c>
      <c r="E177">
        <v>5947.7</v>
      </c>
      <c r="F177" s="48">
        <v>6116.7</v>
      </c>
      <c r="G177" s="48">
        <v>10455.200000000001</v>
      </c>
      <c r="H177" s="19">
        <f t="shared" si="46"/>
        <v>10231</v>
      </c>
      <c r="I177" s="19">
        <f t="shared" si="49"/>
        <v>16402.900000000001</v>
      </c>
      <c r="J177" s="24">
        <f t="shared" si="48"/>
        <v>-37.626883051167795</v>
      </c>
      <c r="K177" s="17">
        <f t="shared" si="64"/>
        <v>492.10000000000036</v>
      </c>
    </row>
    <row r="178" spans="1:11" x14ac:dyDescent="0.25">
      <c r="A178" s="10">
        <f t="shared" si="18"/>
        <v>40080</v>
      </c>
      <c r="B178" s="10"/>
      <c r="C178" s="10"/>
      <c r="D178" s="48">
        <v>4021.2</v>
      </c>
      <c r="E178">
        <v>5967.4</v>
      </c>
      <c r="F178" s="48">
        <v>6748</v>
      </c>
      <c r="G178" s="48">
        <v>11087.5</v>
      </c>
      <c r="H178" s="19">
        <f t="shared" si="46"/>
        <v>10769.2</v>
      </c>
      <c r="I178" s="19">
        <f t="shared" si="49"/>
        <v>17054.900000000001</v>
      </c>
      <c r="J178" s="24">
        <f t="shared" si="48"/>
        <v>-36.855683703803599</v>
      </c>
      <c r="K178" s="17">
        <f t="shared" si="64"/>
        <v>538.20000000000073</v>
      </c>
    </row>
    <row r="179" spans="1:11" x14ac:dyDescent="0.25">
      <c r="A179" s="10">
        <f t="shared" si="18"/>
        <v>40087</v>
      </c>
      <c r="B179" s="10"/>
      <c r="C179" s="10"/>
      <c r="D179" s="48">
        <v>4113</v>
      </c>
      <c r="E179">
        <v>5586</v>
      </c>
      <c r="F179" s="48">
        <v>7413.5</v>
      </c>
      <c r="G179" s="48">
        <v>11980.8</v>
      </c>
      <c r="H179" s="19">
        <f t="shared" si="46"/>
        <v>11526.5</v>
      </c>
      <c r="I179" s="19">
        <f t="shared" si="49"/>
        <v>17566.8</v>
      </c>
      <c r="J179" s="24">
        <f t="shared" si="48"/>
        <v>-34.384748502857661</v>
      </c>
      <c r="K179" s="17">
        <f t="shared" si="64"/>
        <v>757.29999999999927</v>
      </c>
    </row>
    <row r="180" spans="1:11" x14ac:dyDescent="0.25">
      <c r="A180" s="10">
        <f t="shared" si="18"/>
        <v>40094</v>
      </c>
      <c r="B180" s="10"/>
      <c r="C180" s="10"/>
      <c r="D180" s="48">
        <v>4069</v>
      </c>
      <c r="E180">
        <v>5369.9</v>
      </c>
      <c r="F180" s="48">
        <v>7937.7</v>
      </c>
      <c r="G180" s="48">
        <v>12632.6</v>
      </c>
      <c r="H180" s="19">
        <f t="shared" si="46"/>
        <v>12006.7</v>
      </c>
      <c r="I180" s="19">
        <f t="shared" si="49"/>
        <v>18002.5</v>
      </c>
      <c r="J180" s="24">
        <f t="shared" si="48"/>
        <v>-33.305374253575891</v>
      </c>
      <c r="K180" s="17">
        <f t="shared" si="64"/>
        <v>480.20000000000073</v>
      </c>
    </row>
    <row r="181" spans="1:11" x14ac:dyDescent="0.25">
      <c r="A181" s="10">
        <f t="shared" si="18"/>
        <v>40101</v>
      </c>
      <c r="B181" s="10"/>
      <c r="C181" s="10"/>
      <c r="D181" s="48">
        <v>4229.3</v>
      </c>
      <c r="E181">
        <v>5234.2</v>
      </c>
      <c r="F181" s="48">
        <v>8405.1</v>
      </c>
      <c r="G181" s="48">
        <v>13152.2</v>
      </c>
      <c r="H181" s="19">
        <f t="shared" si="46"/>
        <v>12634.400000000001</v>
      </c>
      <c r="I181" s="19">
        <f t="shared" si="49"/>
        <v>18386.400000000001</v>
      </c>
      <c r="J181" s="24">
        <f t="shared" si="48"/>
        <v>-31.283992516207626</v>
      </c>
      <c r="K181" s="17">
        <f t="shared" si="64"/>
        <v>627.70000000000073</v>
      </c>
    </row>
    <row r="182" spans="1:11" x14ac:dyDescent="0.25">
      <c r="A182" s="10">
        <f t="shared" si="18"/>
        <v>40108</v>
      </c>
      <c r="B182" s="10"/>
      <c r="C182" s="10"/>
      <c r="D182" s="48">
        <v>4146.1000000000004</v>
      </c>
      <c r="E182">
        <v>5104.2</v>
      </c>
      <c r="F182" s="48">
        <v>8829.9</v>
      </c>
      <c r="G182" s="48">
        <v>13742.5</v>
      </c>
      <c r="H182" s="19">
        <f t="shared" si="46"/>
        <v>12976</v>
      </c>
      <c r="I182" s="19">
        <f t="shared" si="49"/>
        <v>18846.7</v>
      </c>
      <c r="J182" s="24">
        <f t="shared" si="48"/>
        <v>-31.14975035417341</v>
      </c>
      <c r="K182" s="17">
        <f t="shared" si="64"/>
        <v>341.59999999999854</v>
      </c>
    </row>
    <row r="183" spans="1:11" x14ac:dyDescent="0.25">
      <c r="A183" s="10">
        <f t="shared" si="18"/>
        <v>40115</v>
      </c>
      <c r="B183" s="10"/>
      <c r="C183" s="10"/>
      <c r="D183" s="48">
        <v>4140.8</v>
      </c>
      <c r="E183">
        <v>5092.8</v>
      </c>
      <c r="F183" s="48">
        <v>9119.7999999999993</v>
      </c>
      <c r="G183" s="48">
        <v>14120.2</v>
      </c>
      <c r="H183" s="19">
        <f t="shared" si="46"/>
        <v>13260.599999999999</v>
      </c>
      <c r="I183" s="19">
        <f t="shared" si="49"/>
        <v>19213</v>
      </c>
      <c r="J183" s="24">
        <f t="shared" si="48"/>
        <v>-30.981106542445225</v>
      </c>
      <c r="K183" s="17">
        <f t="shared" si="64"/>
        <v>284.59999999999854</v>
      </c>
    </row>
    <row r="184" spans="1:11" x14ac:dyDescent="0.25">
      <c r="A184" s="10">
        <f t="shared" si="18"/>
        <v>40122</v>
      </c>
      <c r="B184" s="10"/>
      <c r="C184" s="10"/>
      <c r="D184" s="48">
        <v>4096.5</v>
      </c>
      <c r="E184">
        <v>4893.2</v>
      </c>
      <c r="F184" s="48">
        <v>9576.2000000000007</v>
      </c>
      <c r="G184" s="48">
        <v>14568.2</v>
      </c>
      <c r="H184" s="19">
        <f t="shared" si="46"/>
        <v>13672.7</v>
      </c>
      <c r="I184" s="19">
        <f t="shared" si="49"/>
        <v>19461.400000000001</v>
      </c>
      <c r="J184" s="24">
        <f t="shared" si="48"/>
        <v>-29.744519921485612</v>
      </c>
      <c r="K184" s="17">
        <f t="shared" si="64"/>
        <v>412.10000000000218</v>
      </c>
    </row>
    <row r="185" spans="1:11" x14ac:dyDescent="0.25">
      <c r="A185" s="10">
        <f t="shared" si="18"/>
        <v>40129</v>
      </c>
      <c r="B185" s="10"/>
      <c r="C185" s="10"/>
      <c r="D185" s="48">
        <v>3972.1</v>
      </c>
      <c r="E185">
        <v>4951.8999999999996</v>
      </c>
      <c r="F185" s="48">
        <v>10063.1</v>
      </c>
      <c r="G185" s="48">
        <v>15020.4</v>
      </c>
      <c r="H185" s="19">
        <f t="shared" si="46"/>
        <v>14035.2</v>
      </c>
      <c r="I185" s="19">
        <f t="shared" si="49"/>
        <v>19972.3</v>
      </c>
      <c r="J185" s="24">
        <f t="shared" si="48"/>
        <v>-29.726671439944319</v>
      </c>
      <c r="K185" s="17">
        <f t="shared" si="64"/>
        <v>362.5</v>
      </c>
    </row>
    <row r="186" spans="1:11" x14ac:dyDescent="0.25">
      <c r="A186" s="10">
        <f t="shared" si="18"/>
        <v>40136</v>
      </c>
      <c r="B186" s="10"/>
      <c r="C186" s="10"/>
      <c r="D186" s="48">
        <v>3907.2</v>
      </c>
      <c r="E186">
        <v>4818.2</v>
      </c>
      <c r="F186" s="48">
        <v>10479.200000000001</v>
      </c>
      <c r="G186" s="48">
        <v>15592.7</v>
      </c>
      <c r="H186" s="19">
        <f t="shared" si="46"/>
        <v>14386.400000000001</v>
      </c>
      <c r="I186" s="19">
        <f t="shared" si="49"/>
        <v>20410.900000000001</v>
      </c>
      <c r="J186" s="24">
        <f t="shared" si="48"/>
        <v>-29.516091892077267</v>
      </c>
      <c r="K186" s="17">
        <f t="shared" si="64"/>
        <v>351.20000000000073</v>
      </c>
    </row>
    <row r="187" spans="1:11" x14ac:dyDescent="0.25">
      <c r="A187" s="10">
        <f t="shared" si="18"/>
        <v>40143</v>
      </c>
      <c r="B187" s="10"/>
      <c r="C187" s="10"/>
      <c r="D187" s="48">
        <v>3912.8</v>
      </c>
      <c r="E187">
        <v>4562.5</v>
      </c>
      <c r="F187" s="48">
        <v>10864.2</v>
      </c>
      <c r="G187" s="48">
        <v>16056</v>
      </c>
      <c r="H187" s="19">
        <f t="shared" si="46"/>
        <v>14777</v>
      </c>
      <c r="I187" s="19">
        <f t="shared" si="49"/>
        <v>20618.5</v>
      </c>
      <c r="J187" s="24">
        <f t="shared" si="48"/>
        <v>-28.33135291122051</v>
      </c>
      <c r="K187" s="17">
        <f t="shared" si="64"/>
        <v>390.59999999999854</v>
      </c>
    </row>
    <row r="188" spans="1:11" x14ac:dyDescent="0.25">
      <c r="A188" s="10">
        <f t="shared" si="18"/>
        <v>40150</v>
      </c>
      <c r="B188" s="10"/>
      <c r="C188" s="10"/>
      <c r="D188" s="48">
        <v>3851.4</v>
      </c>
      <c r="E188">
        <v>4480</v>
      </c>
      <c r="F188" s="48">
        <v>11170.8</v>
      </c>
      <c r="G188" s="48">
        <v>16377.8</v>
      </c>
      <c r="H188" s="19">
        <f t="shared" si="46"/>
        <v>15022.199999999999</v>
      </c>
      <c r="I188" s="19">
        <f t="shared" si="49"/>
        <v>20857.8</v>
      </c>
      <c r="J188" s="24">
        <f t="shared" si="48"/>
        <v>-27.978022610246533</v>
      </c>
      <c r="K188" s="17">
        <f t="shared" si="64"/>
        <v>245.19999999999891</v>
      </c>
    </row>
    <row r="189" spans="1:11" x14ac:dyDescent="0.25">
      <c r="A189" s="10">
        <f t="shared" si="18"/>
        <v>40157</v>
      </c>
      <c r="B189" s="10"/>
      <c r="C189" s="10"/>
      <c r="D189" s="48">
        <v>3858.3</v>
      </c>
      <c r="E189">
        <v>4326.7</v>
      </c>
      <c r="F189" s="48">
        <v>11508.9</v>
      </c>
      <c r="G189" s="48">
        <v>16793.099999999999</v>
      </c>
      <c r="H189" s="19">
        <f t="shared" si="46"/>
        <v>15367.2</v>
      </c>
      <c r="I189" s="19">
        <f t="shared" si="49"/>
        <v>21119.8</v>
      </c>
      <c r="J189" s="24">
        <f t="shared" si="48"/>
        <v>-27.237947329046676</v>
      </c>
      <c r="K189" s="17">
        <f t="shared" si="64"/>
        <v>345.00000000000182</v>
      </c>
    </row>
    <row r="190" spans="1:11" x14ac:dyDescent="0.25">
      <c r="A190" s="10">
        <f t="shared" si="18"/>
        <v>40164</v>
      </c>
      <c r="B190" s="10"/>
      <c r="C190" s="10"/>
      <c r="D190" s="48">
        <v>3751.9</v>
      </c>
      <c r="E190">
        <v>4289.5</v>
      </c>
      <c r="F190" s="48">
        <v>11836.6</v>
      </c>
      <c r="G190" s="48">
        <v>17084</v>
      </c>
      <c r="H190" s="19">
        <f t="shared" si="46"/>
        <v>15588.5</v>
      </c>
      <c r="I190" s="19">
        <f t="shared" si="49"/>
        <v>21373.5</v>
      </c>
      <c r="J190" s="24">
        <f t="shared" si="48"/>
        <v>-27.066226869721856</v>
      </c>
      <c r="K190" s="17">
        <f t="shared" si="64"/>
        <v>221.29999999999927</v>
      </c>
    </row>
    <row r="191" spans="1:11" x14ac:dyDescent="0.25">
      <c r="A191" s="10">
        <f t="shared" si="18"/>
        <v>40171</v>
      </c>
      <c r="B191" s="10"/>
      <c r="C191" s="10"/>
      <c r="D191" s="48">
        <v>3828.1</v>
      </c>
      <c r="E191">
        <v>4530.6000000000004</v>
      </c>
      <c r="F191" s="48">
        <v>12130.7</v>
      </c>
      <c r="G191" s="48">
        <v>17261.099999999999</v>
      </c>
      <c r="H191" s="19">
        <f t="shared" si="46"/>
        <v>15958.800000000001</v>
      </c>
      <c r="I191" s="19">
        <f t="shared" si="49"/>
        <v>21791.699999999997</v>
      </c>
      <c r="J191" s="24">
        <f t="shared" si="48"/>
        <v>-26.766612976500216</v>
      </c>
      <c r="K191" s="17">
        <f t="shared" si="64"/>
        <v>370.30000000000109</v>
      </c>
    </row>
    <row r="192" spans="1:11" x14ac:dyDescent="0.25">
      <c r="A192" s="10">
        <f t="shared" si="18"/>
        <v>40178</v>
      </c>
      <c r="B192" s="10"/>
      <c r="C192" s="10"/>
      <c r="D192" s="48">
        <v>3677.3</v>
      </c>
      <c r="E192">
        <v>4220.6000000000004</v>
      </c>
      <c r="F192" s="48">
        <v>12374.9</v>
      </c>
      <c r="G192" s="48">
        <v>17613</v>
      </c>
      <c r="H192" s="19">
        <f t="shared" si="46"/>
        <v>16052.2</v>
      </c>
      <c r="I192" s="19">
        <f t="shared" si="49"/>
        <v>21833.599999999999</v>
      </c>
      <c r="J192" s="24">
        <f t="shared" si="48"/>
        <v>-26.479371244320671</v>
      </c>
      <c r="K192" s="17">
        <f t="shared" si="64"/>
        <v>93.399999999999636</v>
      </c>
    </row>
    <row r="193" spans="1:13" x14ac:dyDescent="0.25">
      <c r="A193" s="10">
        <f t="shared" si="18"/>
        <v>40185</v>
      </c>
      <c r="B193" s="10"/>
      <c r="C193" s="10"/>
      <c r="D193" s="48">
        <v>3568.1</v>
      </c>
      <c r="E193">
        <v>3738</v>
      </c>
      <c r="F193" s="48">
        <v>12666</v>
      </c>
      <c r="G193" s="48">
        <v>18183.5</v>
      </c>
      <c r="H193" s="19">
        <f t="shared" si="46"/>
        <v>16234.1</v>
      </c>
      <c r="I193" s="19">
        <f t="shared" si="49"/>
        <v>21921.5</v>
      </c>
      <c r="J193" s="24">
        <f t="shared" si="48"/>
        <v>-25.944392491389735</v>
      </c>
      <c r="K193" s="17">
        <f t="shared" si="64"/>
        <v>181.89999999999964</v>
      </c>
    </row>
    <row r="194" spans="1:13" x14ac:dyDescent="0.25">
      <c r="A194" s="10">
        <f t="shared" si="18"/>
        <v>40192</v>
      </c>
      <c r="B194" s="10"/>
      <c r="C194" s="10"/>
      <c r="D194" s="48">
        <v>4077.3</v>
      </c>
      <c r="E194">
        <v>3965.9</v>
      </c>
      <c r="F194" s="48">
        <v>12982.6</v>
      </c>
      <c r="G194" s="48">
        <v>18365.8</v>
      </c>
      <c r="H194" s="19">
        <f t="shared" si="46"/>
        <v>17059.900000000001</v>
      </c>
      <c r="I194" s="19">
        <f t="shared" si="49"/>
        <v>22331.7</v>
      </c>
      <c r="J194" s="24">
        <f t="shared" si="48"/>
        <v>-23.606801094408393</v>
      </c>
      <c r="K194" s="17">
        <f t="shared" si="64"/>
        <v>825.80000000000109</v>
      </c>
    </row>
    <row r="195" spans="1:13" x14ac:dyDescent="0.25">
      <c r="A195" s="10">
        <f t="shared" si="18"/>
        <v>40199</v>
      </c>
      <c r="B195" s="10"/>
      <c r="C195" s="10"/>
      <c r="D195" s="48">
        <v>4314.2</v>
      </c>
      <c r="E195">
        <v>3643.8</v>
      </c>
      <c r="F195" s="48">
        <v>13407.4</v>
      </c>
      <c r="G195" s="48">
        <v>18711.400000000001</v>
      </c>
      <c r="H195" s="19">
        <f t="shared" si="46"/>
        <v>17721.599999999999</v>
      </c>
      <c r="I195" s="19">
        <f t="shared" si="49"/>
        <v>22355.200000000001</v>
      </c>
      <c r="J195" s="24">
        <f t="shared" si="48"/>
        <v>-20.727168622960214</v>
      </c>
      <c r="K195" s="17">
        <f t="shared" si="64"/>
        <v>661.69999999999709</v>
      </c>
    </row>
    <row r="196" spans="1:13" x14ac:dyDescent="0.25">
      <c r="A196" s="10">
        <f t="shared" si="18"/>
        <v>40206</v>
      </c>
      <c r="B196" s="10"/>
      <c r="C196" s="10"/>
      <c r="D196" s="48">
        <v>4282</v>
      </c>
      <c r="E196">
        <v>3567.8</v>
      </c>
      <c r="F196" s="48">
        <v>13856.9</v>
      </c>
      <c r="G196" s="48">
        <v>19114.2</v>
      </c>
      <c r="H196" s="19">
        <f t="shared" si="46"/>
        <v>18138.900000000001</v>
      </c>
      <c r="I196" s="19">
        <f t="shared" si="49"/>
        <v>22682</v>
      </c>
      <c r="J196" s="24">
        <f t="shared" si="48"/>
        <v>-20.029538841372009</v>
      </c>
      <c r="K196" s="17">
        <f t="shared" si="64"/>
        <v>417.30000000000291</v>
      </c>
    </row>
    <row r="197" spans="1:13" x14ac:dyDescent="0.25">
      <c r="A197" s="10">
        <f t="shared" si="18"/>
        <v>40213</v>
      </c>
      <c r="B197" s="10"/>
      <c r="C197" s="10"/>
      <c r="D197" s="48">
        <v>4382.2</v>
      </c>
      <c r="E197">
        <v>3462.2</v>
      </c>
      <c r="F197" s="48">
        <v>14304.8</v>
      </c>
      <c r="G197" s="48">
        <v>19631.5</v>
      </c>
      <c r="H197" s="19">
        <f t="shared" si="46"/>
        <v>18687</v>
      </c>
      <c r="I197" s="19">
        <f t="shared" si="49"/>
        <v>23093.7</v>
      </c>
      <c r="J197" s="24">
        <f t="shared" si="48"/>
        <v>-19.081827511399219</v>
      </c>
      <c r="K197" s="17">
        <f t="shared" si="64"/>
        <v>548.09999999999854</v>
      </c>
    </row>
    <row r="198" spans="1:13" x14ac:dyDescent="0.25">
      <c r="A198" s="10">
        <f t="shared" si="18"/>
        <v>40220</v>
      </c>
      <c r="B198" s="10"/>
      <c r="C198" s="10"/>
      <c r="D198" s="48">
        <v>4426.5</v>
      </c>
      <c r="E198">
        <v>3642.7</v>
      </c>
      <c r="F198" s="48">
        <v>14669.5</v>
      </c>
      <c r="G198" s="48">
        <v>19884.400000000001</v>
      </c>
      <c r="H198" s="19">
        <f t="shared" si="46"/>
        <v>19096</v>
      </c>
      <c r="I198" s="19">
        <f t="shared" si="49"/>
        <v>23527.100000000002</v>
      </c>
      <c r="J198" s="24">
        <f t="shared" si="48"/>
        <v>-18.834025442999781</v>
      </c>
      <c r="K198" s="17">
        <f t="shared" si="64"/>
        <v>409</v>
      </c>
    </row>
    <row r="199" spans="1:13" x14ac:dyDescent="0.25">
      <c r="A199" s="10">
        <f t="shared" si="18"/>
        <v>40227</v>
      </c>
      <c r="B199" s="10"/>
      <c r="C199" s="10"/>
      <c r="D199" s="48">
        <v>4342.3999999999996</v>
      </c>
      <c r="E199">
        <v>3811.1</v>
      </c>
      <c r="F199" s="48">
        <v>15129.2</v>
      </c>
      <c r="G199" s="48">
        <v>20181.400000000001</v>
      </c>
      <c r="H199" s="19">
        <f t="shared" si="46"/>
        <v>19471.599999999999</v>
      </c>
      <c r="I199" s="19">
        <f t="shared" si="49"/>
        <v>23992.5</v>
      </c>
      <c r="J199" s="24">
        <f t="shared" si="48"/>
        <v>-18.842971762008965</v>
      </c>
      <c r="K199" s="17">
        <f t="shared" si="64"/>
        <v>375.59999999999854</v>
      </c>
    </row>
    <row r="200" spans="1:13" x14ac:dyDescent="0.25">
      <c r="A200" s="10">
        <f t="shared" si="18"/>
        <v>40234</v>
      </c>
      <c r="B200" s="10"/>
      <c r="C200" s="10"/>
      <c r="D200" s="48">
        <v>3971.3</v>
      </c>
      <c r="E200">
        <v>3844.3</v>
      </c>
      <c r="F200" s="48">
        <v>15601.9</v>
      </c>
      <c r="G200" s="48">
        <v>20433.400000000001</v>
      </c>
      <c r="H200" s="19">
        <f t="shared" si="46"/>
        <v>19573.2</v>
      </c>
      <c r="I200" s="19">
        <f t="shared" si="49"/>
        <v>24277.7</v>
      </c>
      <c r="J200" s="24">
        <f t="shared" si="48"/>
        <v>-19.377865283778938</v>
      </c>
      <c r="K200" s="17">
        <f t="shared" si="64"/>
        <v>101.60000000000218</v>
      </c>
    </row>
    <row r="201" spans="1:13" x14ac:dyDescent="0.25">
      <c r="A201" s="10">
        <f t="shared" si="18"/>
        <v>40241</v>
      </c>
      <c r="B201" s="10"/>
      <c r="C201" s="10"/>
      <c r="D201" s="48">
        <v>3838.2</v>
      </c>
      <c r="E201">
        <v>3755.3</v>
      </c>
      <c r="F201" s="48">
        <v>16142.9</v>
      </c>
      <c r="G201" s="48">
        <v>20885.3</v>
      </c>
      <c r="H201" s="19">
        <f t="shared" si="46"/>
        <v>19981.099999999999</v>
      </c>
      <c r="I201" s="19">
        <f t="shared" si="49"/>
        <v>24640.6</v>
      </c>
      <c r="J201" s="24">
        <f t="shared" si="48"/>
        <v>-18.909847974481142</v>
      </c>
      <c r="K201" s="17">
        <f t="shared" si="64"/>
        <v>407.89999999999782</v>
      </c>
    </row>
    <row r="202" spans="1:13" x14ac:dyDescent="0.25">
      <c r="A202" s="10">
        <f t="shared" si="18"/>
        <v>40248</v>
      </c>
      <c r="B202" s="10"/>
      <c r="C202" s="10"/>
      <c r="D202" s="48">
        <v>3906.1</v>
      </c>
      <c r="E202">
        <v>3657.5</v>
      </c>
      <c r="F202" s="48">
        <v>16400.2</v>
      </c>
      <c r="G202" s="48">
        <v>21196.9</v>
      </c>
      <c r="H202" s="19">
        <f t="shared" si="46"/>
        <v>20306.3</v>
      </c>
      <c r="I202" s="19">
        <f t="shared" si="49"/>
        <v>24854.400000000001</v>
      </c>
      <c r="J202" s="24">
        <f t="shared" si="48"/>
        <v>-18.298973220033488</v>
      </c>
      <c r="K202" s="17">
        <f t="shared" si="64"/>
        <v>325.20000000000073</v>
      </c>
    </row>
    <row r="203" spans="1:13" x14ac:dyDescent="0.25">
      <c r="A203" s="10">
        <f t="shared" si="18"/>
        <v>40255</v>
      </c>
      <c r="B203" s="10"/>
      <c r="C203" s="10"/>
      <c r="D203" s="48">
        <v>3824.4</v>
      </c>
      <c r="E203">
        <v>3328.9</v>
      </c>
      <c r="F203" s="48">
        <v>16853.2</v>
      </c>
      <c r="G203" s="48">
        <v>21789.8</v>
      </c>
      <c r="H203" s="19">
        <f t="shared" si="46"/>
        <v>20677.600000000002</v>
      </c>
      <c r="I203" s="19">
        <f t="shared" si="49"/>
        <v>25118.7</v>
      </c>
      <c r="J203" s="24">
        <f t="shared" si="48"/>
        <v>-17.680453208167613</v>
      </c>
      <c r="K203" s="17">
        <f t="shared" si="64"/>
        <v>371.30000000000291</v>
      </c>
    </row>
    <row r="204" spans="1:13" x14ac:dyDescent="0.25">
      <c r="A204" s="10">
        <f t="shared" si="18"/>
        <v>40262</v>
      </c>
      <c r="B204" s="10"/>
      <c r="C204" s="10"/>
      <c r="D204" s="48">
        <v>3562</v>
      </c>
      <c r="E204">
        <v>3235.7</v>
      </c>
      <c r="F204" s="48">
        <v>17546.2</v>
      </c>
      <c r="G204" s="48">
        <v>22166.5</v>
      </c>
      <c r="H204" s="19">
        <f t="shared" si="46"/>
        <v>21108.2</v>
      </c>
      <c r="I204" s="19">
        <f t="shared" si="49"/>
        <v>25402.2</v>
      </c>
      <c r="J204" s="24">
        <f t="shared" si="48"/>
        <v>-16.904047680909528</v>
      </c>
      <c r="K204" s="17">
        <f t="shared" si="64"/>
        <v>430.59999999999854</v>
      </c>
    </row>
    <row r="205" spans="1:13" x14ac:dyDescent="0.25">
      <c r="A205" s="10">
        <f t="shared" si="18"/>
        <v>40269</v>
      </c>
      <c r="B205" s="10"/>
      <c r="C205" s="10"/>
      <c r="D205" s="48">
        <v>3435.4</v>
      </c>
      <c r="E205">
        <v>2916.4</v>
      </c>
      <c r="F205" s="48">
        <v>17996.5</v>
      </c>
      <c r="G205" s="48">
        <v>22675.200000000001</v>
      </c>
      <c r="H205" s="19">
        <f t="shared" si="46"/>
        <v>21431.9</v>
      </c>
      <c r="I205" s="19">
        <f t="shared" si="49"/>
        <v>25591.600000000002</v>
      </c>
      <c r="J205" s="24">
        <f t="shared" si="48"/>
        <v>-16.254161521749321</v>
      </c>
      <c r="K205" s="17">
        <f t="shared" si="64"/>
        <v>323.70000000000073</v>
      </c>
    </row>
    <row r="206" spans="1:13" x14ac:dyDescent="0.25">
      <c r="A206" s="10">
        <f t="shared" si="18"/>
        <v>40276</v>
      </c>
      <c r="B206" s="10"/>
      <c r="C206" s="10"/>
      <c r="D206" s="48">
        <v>3059.5</v>
      </c>
      <c r="E206">
        <v>2551.1999999999998</v>
      </c>
      <c r="F206" s="48">
        <v>18473.400000000001</v>
      </c>
      <c r="G206" s="48">
        <v>23161.8</v>
      </c>
      <c r="H206" s="19">
        <f t="shared" si="46"/>
        <v>21532.9</v>
      </c>
      <c r="I206" s="19">
        <f t="shared" si="49"/>
        <v>25713</v>
      </c>
      <c r="J206" s="24">
        <f t="shared" si="48"/>
        <v>-16.256757282308556</v>
      </c>
      <c r="K206" s="17">
        <f t="shared" si="64"/>
        <v>101</v>
      </c>
    </row>
    <row r="207" spans="1:13" x14ac:dyDescent="0.25">
      <c r="A207" s="10">
        <f t="shared" si="18"/>
        <v>40283</v>
      </c>
      <c r="B207" s="10"/>
      <c r="C207" s="10"/>
      <c r="D207" s="48">
        <v>2793.9</v>
      </c>
      <c r="E207">
        <v>2395.8000000000002</v>
      </c>
      <c r="F207" s="48">
        <v>18905.400000000001</v>
      </c>
      <c r="G207" s="48">
        <v>23523.1</v>
      </c>
      <c r="H207" s="19">
        <f t="shared" si="46"/>
        <v>21699.300000000003</v>
      </c>
      <c r="I207" s="19">
        <f t="shared" si="49"/>
        <v>25918.899999999998</v>
      </c>
      <c r="J207" s="24">
        <f t="shared" si="48"/>
        <v>-16.280011883220336</v>
      </c>
      <c r="K207" s="17">
        <f t="shared" si="64"/>
        <v>166.40000000000146</v>
      </c>
    </row>
    <row r="208" spans="1:13" x14ac:dyDescent="0.25">
      <c r="A208" s="10">
        <f t="shared" si="18"/>
        <v>40290</v>
      </c>
      <c r="B208" s="10"/>
      <c r="C208" s="10"/>
      <c r="D208" s="48">
        <v>2688.6</v>
      </c>
      <c r="E208">
        <v>2175.4</v>
      </c>
      <c r="F208" s="48">
        <v>19183.8</v>
      </c>
      <c r="G208" s="48">
        <v>23885.9</v>
      </c>
      <c r="H208" s="19">
        <f t="shared" si="46"/>
        <v>21872.399999999998</v>
      </c>
      <c r="I208" s="19">
        <f t="shared" si="49"/>
        <v>26061.300000000003</v>
      </c>
      <c r="J208" s="24">
        <f t="shared" si="48"/>
        <v>-16.073258049291496</v>
      </c>
      <c r="K208" s="17">
        <f t="shared" si="64"/>
        <v>173.09999999999491</v>
      </c>
      <c r="L208">
        <v>1860.7</v>
      </c>
      <c r="M208" s="29"/>
    </row>
    <row r="209" spans="1:13" x14ac:dyDescent="0.25">
      <c r="A209" s="10">
        <f t="shared" si="18"/>
        <v>40297</v>
      </c>
      <c r="B209" s="10"/>
      <c r="C209" s="10"/>
      <c r="D209" s="48">
        <v>2348</v>
      </c>
      <c r="E209">
        <v>2161.4</v>
      </c>
      <c r="F209" s="48">
        <v>19674.599999999999</v>
      </c>
      <c r="G209" s="48">
        <v>24154.7</v>
      </c>
      <c r="H209" s="19">
        <f t="shared" si="46"/>
        <v>22022.6</v>
      </c>
      <c r="I209" s="19">
        <f t="shared" si="49"/>
        <v>26316.100000000002</v>
      </c>
      <c r="J209" s="24">
        <f t="shared" si="48"/>
        <v>-16.315107481731729</v>
      </c>
      <c r="K209" s="17">
        <f t="shared" si="64"/>
        <v>150.20000000000073</v>
      </c>
      <c r="L209">
        <v>1994.7</v>
      </c>
      <c r="M209" s="29"/>
    </row>
    <row r="210" spans="1:13" x14ac:dyDescent="0.25">
      <c r="A210" s="10">
        <f t="shared" si="18"/>
        <v>40304</v>
      </c>
      <c r="B210" s="10"/>
      <c r="C210" s="10"/>
      <c r="D210" s="48">
        <v>2074.3000000000002</v>
      </c>
      <c r="E210">
        <v>1952.8</v>
      </c>
      <c r="F210" s="48">
        <v>20192.7</v>
      </c>
      <c r="G210" s="48">
        <v>24465.8</v>
      </c>
      <c r="H210" s="19">
        <f t="shared" si="46"/>
        <v>22267</v>
      </c>
      <c r="I210" s="19">
        <f t="shared" si="49"/>
        <v>26418.6</v>
      </c>
      <c r="J210" s="24">
        <f t="shared" si="48"/>
        <v>-15.71468586526159</v>
      </c>
      <c r="K210" s="17">
        <f t="shared" si="64"/>
        <v>244.40000000000146</v>
      </c>
      <c r="L210" s="29">
        <v>2235.8000000000002</v>
      </c>
    </row>
    <row r="211" spans="1:13" x14ac:dyDescent="0.25">
      <c r="A211" s="10">
        <f t="shared" si="18"/>
        <v>40311</v>
      </c>
      <c r="B211" s="10"/>
      <c r="C211" s="10"/>
      <c r="D211" s="48">
        <v>1989.3</v>
      </c>
      <c r="E211">
        <v>1560.6</v>
      </c>
      <c r="F211" s="48">
        <v>20528.3</v>
      </c>
      <c r="G211" s="48">
        <v>24878.2</v>
      </c>
      <c r="H211" s="19">
        <f t="shared" si="46"/>
        <v>22517.599999999999</v>
      </c>
      <c r="I211" s="19">
        <f t="shared" si="49"/>
        <v>26438.799999999999</v>
      </c>
      <c r="J211" s="24">
        <f t="shared" si="48"/>
        <v>-14.831232885002343</v>
      </c>
      <c r="K211" s="17">
        <f t="shared" si="64"/>
        <v>250.59999999999854</v>
      </c>
      <c r="L211" s="29">
        <v>2441</v>
      </c>
    </row>
    <row r="212" spans="1:13" x14ac:dyDescent="0.25">
      <c r="A212" s="10">
        <f t="shared" si="18"/>
        <v>40318</v>
      </c>
      <c r="B212" s="10"/>
      <c r="C212" s="10"/>
      <c r="D212" s="48">
        <v>1566.1</v>
      </c>
      <c r="E212">
        <v>1204.5999999999999</v>
      </c>
      <c r="F212" s="48">
        <v>21100.2</v>
      </c>
      <c r="G212" s="48">
        <v>25338.2</v>
      </c>
      <c r="H212" s="19">
        <f t="shared" si="46"/>
        <v>22666.3</v>
      </c>
      <c r="I212" s="19">
        <f t="shared" si="49"/>
        <v>26542.799999999999</v>
      </c>
      <c r="J212" s="24">
        <f t="shared" si="48"/>
        <v>-14.604713896047139</v>
      </c>
      <c r="K212" s="17">
        <f t="shared" si="64"/>
        <v>148.70000000000073</v>
      </c>
      <c r="L212" s="29">
        <v>2777.7</v>
      </c>
    </row>
    <row r="213" spans="1:13" x14ac:dyDescent="0.25">
      <c r="A213" s="10">
        <f t="shared" si="18"/>
        <v>40325</v>
      </c>
      <c r="B213" s="10"/>
      <c r="C213" s="10"/>
      <c r="D213" s="48">
        <v>1212.9000000000001</v>
      </c>
      <c r="E213">
        <v>1005.3</v>
      </c>
      <c r="F213" s="48">
        <v>21400.2</v>
      </c>
      <c r="G213" s="48">
        <v>25625.7</v>
      </c>
      <c r="H213" s="19">
        <f t="shared" si="46"/>
        <v>22613.100000000002</v>
      </c>
      <c r="I213" s="19">
        <f t="shared" si="49"/>
        <v>26631</v>
      </c>
      <c r="J213" s="24">
        <f t="shared" si="48"/>
        <v>-15.0873042694604</v>
      </c>
      <c r="K213" s="17">
        <f t="shared" si="64"/>
        <v>-53.19999999999709</v>
      </c>
      <c r="L213" s="29">
        <v>3072</v>
      </c>
    </row>
    <row r="214" spans="1:13" x14ac:dyDescent="0.25">
      <c r="A214" s="10">
        <f t="shared" si="18"/>
        <v>40332</v>
      </c>
      <c r="B214" s="10"/>
      <c r="C214" s="10"/>
      <c r="D214" s="48">
        <v>4027.6</v>
      </c>
      <c r="E214">
        <v>3410.4</v>
      </c>
      <c r="F214" s="48">
        <v>145.6</v>
      </c>
      <c r="G214" s="48">
        <v>75.599999999999994</v>
      </c>
      <c r="H214" s="19">
        <f t="shared" si="46"/>
        <v>4173.2</v>
      </c>
      <c r="I214" s="19">
        <f t="shared" si="49"/>
        <v>3486</v>
      </c>
      <c r="J214" s="24">
        <f t="shared" si="48"/>
        <v>19.713138267355124</v>
      </c>
    </row>
    <row r="215" spans="1:13" x14ac:dyDescent="0.25">
      <c r="A215" s="10">
        <f t="shared" si="18"/>
        <v>40339</v>
      </c>
      <c r="B215" s="10"/>
      <c r="C215" s="10"/>
      <c r="D215" s="48">
        <v>4592.3999999999996</v>
      </c>
      <c r="E215">
        <v>3286.4</v>
      </c>
      <c r="F215" s="48">
        <v>540.29999999999995</v>
      </c>
      <c r="G215" s="48">
        <v>468.4</v>
      </c>
      <c r="H215" s="19">
        <f t="shared" si="46"/>
        <v>5132.7</v>
      </c>
      <c r="I215" s="19">
        <f t="shared" si="49"/>
        <v>3754.8</v>
      </c>
      <c r="J215" s="24">
        <f t="shared" si="48"/>
        <v>36.697027804410354</v>
      </c>
      <c r="K215" s="17">
        <f t="shared" ref="K215:K242" si="65">+H215-H214</f>
        <v>959.5</v>
      </c>
    </row>
    <row r="216" spans="1:13" x14ac:dyDescent="0.25">
      <c r="A216" s="10">
        <f t="shared" si="18"/>
        <v>40346</v>
      </c>
      <c r="B216" s="10"/>
      <c r="C216" s="10"/>
      <c r="D216" s="48">
        <v>5032.7</v>
      </c>
      <c r="E216">
        <v>3330.9</v>
      </c>
      <c r="F216" s="48">
        <v>820.7</v>
      </c>
      <c r="G216" s="48">
        <v>792.2</v>
      </c>
      <c r="H216" s="19">
        <f t="shared" si="46"/>
        <v>5853.4</v>
      </c>
      <c r="I216" s="19">
        <f t="shared" si="49"/>
        <v>4123.1000000000004</v>
      </c>
      <c r="J216" s="24">
        <f t="shared" si="48"/>
        <v>41.965996458975027</v>
      </c>
      <c r="K216" s="17">
        <f t="shared" si="65"/>
        <v>720.69999999999982</v>
      </c>
    </row>
    <row r="217" spans="1:13" x14ac:dyDescent="0.25">
      <c r="A217" s="10">
        <f t="shared" si="18"/>
        <v>40353</v>
      </c>
      <c r="B217" s="10"/>
      <c r="C217" s="10"/>
      <c r="D217" s="48">
        <v>4902.3999999999996</v>
      </c>
      <c r="E217">
        <v>3206.1</v>
      </c>
      <c r="F217" s="48">
        <v>1369.3</v>
      </c>
      <c r="G217" s="48">
        <v>1158.9000000000001</v>
      </c>
      <c r="H217" s="19">
        <f t="shared" si="46"/>
        <v>6271.7</v>
      </c>
      <c r="I217" s="19">
        <f t="shared" si="49"/>
        <v>4365</v>
      </c>
      <c r="J217" s="24">
        <f t="shared" si="48"/>
        <v>43.681557846506294</v>
      </c>
      <c r="K217" s="17">
        <f t="shared" si="65"/>
        <v>418.30000000000018</v>
      </c>
    </row>
    <row r="218" spans="1:13" x14ac:dyDescent="0.25">
      <c r="A218" s="10">
        <f t="shared" si="18"/>
        <v>40360</v>
      </c>
      <c r="B218" s="10"/>
      <c r="C218" s="10"/>
      <c r="D218">
        <v>4858.3999999999996</v>
      </c>
      <c r="E218">
        <v>3422.1</v>
      </c>
      <c r="F218" s="48">
        <v>1926.9</v>
      </c>
      <c r="G218" s="48">
        <v>1527</v>
      </c>
      <c r="H218" s="19">
        <f t="shared" si="46"/>
        <v>6785.2999999999993</v>
      </c>
      <c r="I218" s="19">
        <f t="shared" si="49"/>
        <v>4949.1000000000004</v>
      </c>
      <c r="J218" s="24">
        <f t="shared" si="48"/>
        <v>37.101695257723598</v>
      </c>
      <c r="K218" s="17">
        <f t="shared" si="65"/>
        <v>513.59999999999945</v>
      </c>
    </row>
    <row r="219" spans="1:13" x14ac:dyDescent="0.25">
      <c r="A219" s="10">
        <f t="shared" si="18"/>
        <v>40367</v>
      </c>
      <c r="B219" s="10"/>
      <c r="C219" s="10"/>
      <c r="D219">
        <v>4811.8999999999996</v>
      </c>
      <c r="E219">
        <v>3680.2</v>
      </c>
      <c r="F219" s="48">
        <v>2282.9</v>
      </c>
      <c r="G219" s="48">
        <v>1691.4</v>
      </c>
      <c r="H219" s="19">
        <f t="shared" si="46"/>
        <v>7094.7999999999993</v>
      </c>
      <c r="I219" s="19">
        <f t="shared" si="49"/>
        <v>5371.6</v>
      </c>
      <c r="J219" s="24">
        <f t="shared" si="48"/>
        <v>32.07982723955616</v>
      </c>
      <c r="K219" s="17">
        <f t="shared" si="65"/>
        <v>309.5</v>
      </c>
    </row>
    <row r="220" spans="1:13" x14ac:dyDescent="0.25">
      <c r="A220" s="10">
        <f t="shared" si="18"/>
        <v>40374</v>
      </c>
      <c r="B220" s="10"/>
      <c r="C220" s="10"/>
      <c r="D220">
        <v>4649.3</v>
      </c>
      <c r="E220">
        <v>3585.7</v>
      </c>
      <c r="F220" s="48">
        <v>2827.6</v>
      </c>
      <c r="G220" s="48">
        <v>2128.1999999999998</v>
      </c>
      <c r="H220" s="19">
        <f t="shared" si="46"/>
        <v>7476.9</v>
      </c>
      <c r="I220" s="19">
        <f t="shared" si="49"/>
        <v>5713.9</v>
      </c>
      <c r="J220" s="24">
        <f t="shared" si="48"/>
        <v>30.854582684331188</v>
      </c>
      <c r="K220" s="17">
        <f t="shared" si="65"/>
        <v>382.10000000000036</v>
      </c>
    </row>
    <row r="221" spans="1:13" x14ac:dyDescent="0.25">
      <c r="A221" s="10">
        <f t="shared" si="18"/>
        <v>40381</v>
      </c>
      <c r="B221" s="10"/>
      <c r="C221" s="10"/>
      <c r="D221">
        <v>5117.8999999999996</v>
      </c>
      <c r="E221">
        <v>3852.9</v>
      </c>
      <c r="F221" s="48">
        <v>3278.9</v>
      </c>
      <c r="G221" s="48">
        <v>2436.1</v>
      </c>
      <c r="H221" s="19">
        <f t="shared" si="46"/>
        <v>8396.7999999999993</v>
      </c>
      <c r="I221" s="19">
        <f t="shared" si="49"/>
        <v>6289</v>
      </c>
      <c r="J221" s="24">
        <f t="shared" si="48"/>
        <v>33.515662267451084</v>
      </c>
      <c r="K221" s="17">
        <f t="shared" si="65"/>
        <v>919.89999999999964</v>
      </c>
    </row>
    <row r="222" spans="1:13" x14ac:dyDescent="0.25">
      <c r="A222" s="10">
        <f t="shared" si="18"/>
        <v>40388</v>
      </c>
      <c r="B222" s="10"/>
      <c r="C222" s="10"/>
      <c r="D222">
        <v>5399.8</v>
      </c>
      <c r="E222">
        <v>4015.7</v>
      </c>
      <c r="F222" s="48">
        <v>3851.6</v>
      </c>
      <c r="G222" s="48">
        <v>2826.1</v>
      </c>
      <c r="H222" s="19">
        <f t="shared" si="46"/>
        <v>9251.4</v>
      </c>
      <c r="I222" s="19">
        <f t="shared" si="49"/>
        <v>6841.7999999999993</v>
      </c>
      <c r="J222" s="24">
        <f t="shared" si="48"/>
        <v>35.218802069630819</v>
      </c>
      <c r="K222" s="17">
        <f t="shared" si="65"/>
        <v>854.60000000000036</v>
      </c>
    </row>
    <row r="223" spans="1:13" x14ac:dyDescent="0.25">
      <c r="A223" s="10">
        <f t="shared" si="18"/>
        <v>40395</v>
      </c>
      <c r="B223" s="10"/>
      <c r="C223" s="10"/>
      <c r="D223">
        <v>6295.3</v>
      </c>
      <c r="E223">
        <v>4115.3</v>
      </c>
      <c r="F223" s="48">
        <v>4274.3999999999996</v>
      </c>
      <c r="G223" s="48">
        <v>3205.6</v>
      </c>
      <c r="H223" s="19">
        <f t="shared" si="46"/>
        <v>10569.7</v>
      </c>
      <c r="I223" s="19">
        <f t="shared" si="49"/>
        <v>7320.9</v>
      </c>
      <c r="J223" s="24">
        <f t="shared" si="48"/>
        <v>44.377057465612182</v>
      </c>
      <c r="K223" s="17">
        <f t="shared" si="65"/>
        <v>1318.3000000000011</v>
      </c>
      <c r="L223">
        <f>F223-F222</f>
        <v>422.79999999999973</v>
      </c>
    </row>
    <row r="224" spans="1:13" x14ac:dyDescent="0.25">
      <c r="A224" s="10">
        <f t="shared" si="18"/>
        <v>40402</v>
      </c>
      <c r="B224" s="10"/>
      <c r="C224" s="10"/>
      <c r="D224">
        <v>7130.8</v>
      </c>
      <c r="E224">
        <v>4099.2</v>
      </c>
      <c r="F224" s="48">
        <v>4851.3</v>
      </c>
      <c r="G224" s="48">
        <v>3580.5</v>
      </c>
      <c r="H224" s="19">
        <f t="shared" si="46"/>
        <v>11982.1</v>
      </c>
      <c r="I224" s="19">
        <f t="shared" si="49"/>
        <v>7679.7</v>
      </c>
      <c r="J224" s="24">
        <f t="shared" si="48"/>
        <v>56.023021732619767</v>
      </c>
      <c r="K224" s="17">
        <f t="shared" si="65"/>
        <v>1412.3999999999996</v>
      </c>
      <c r="L224">
        <f>F224-F223</f>
        <v>576.90000000000055</v>
      </c>
    </row>
    <row r="225" spans="1:12" x14ac:dyDescent="0.25">
      <c r="A225" s="10">
        <f t="shared" si="18"/>
        <v>40409</v>
      </c>
      <c r="B225" s="10"/>
      <c r="C225" s="10"/>
      <c r="D225">
        <v>7701.5</v>
      </c>
      <c r="E225">
        <v>4301.6000000000004</v>
      </c>
      <c r="F225" s="48">
        <v>5358.3</v>
      </c>
      <c r="G225" s="48">
        <v>4030.8</v>
      </c>
      <c r="H225" s="19">
        <f t="shared" si="46"/>
        <v>13059.8</v>
      </c>
      <c r="I225" s="19">
        <f t="shared" si="49"/>
        <v>8332.4000000000015</v>
      </c>
      <c r="J225" s="24">
        <f t="shared" si="48"/>
        <v>56.735154337285735</v>
      </c>
      <c r="K225" s="17">
        <f t="shared" si="65"/>
        <v>1077.6999999999989</v>
      </c>
      <c r="L225">
        <f>F225-F224</f>
        <v>507</v>
      </c>
    </row>
    <row r="226" spans="1:12" x14ac:dyDescent="0.25">
      <c r="A226" s="10">
        <f t="shared" si="18"/>
        <v>40416</v>
      </c>
      <c r="B226" s="10"/>
      <c r="C226" s="10"/>
      <c r="D226">
        <v>8132.5</v>
      </c>
      <c r="E226">
        <v>4271.8999999999996</v>
      </c>
      <c r="F226" s="48">
        <v>5951.4</v>
      </c>
      <c r="G226" s="48">
        <v>4466.2</v>
      </c>
      <c r="H226" s="19">
        <f t="shared" si="46"/>
        <v>14083.9</v>
      </c>
      <c r="I226" s="19">
        <f t="shared" si="49"/>
        <v>8738.0999999999985</v>
      </c>
      <c r="J226" s="24">
        <f t="shared" si="48"/>
        <v>61.178059303509947</v>
      </c>
      <c r="K226" s="17">
        <f t="shared" si="65"/>
        <v>1024.1000000000004</v>
      </c>
      <c r="L226">
        <f>F226-F225</f>
        <v>593.09999999999945</v>
      </c>
    </row>
    <row r="227" spans="1:12" x14ac:dyDescent="0.25">
      <c r="A227" s="10">
        <f t="shared" si="18"/>
        <v>40423</v>
      </c>
      <c r="B227" s="10"/>
      <c r="C227" s="10"/>
      <c r="D227">
        <v>8425.9</v>
      </c>
      <c r="E227">
        <v>4370.5</v>
      </c>
      <c r="F227" s="48">
        <v>6611.4</v>
      </c>
      <c r="G227" s="48">
        <v>4913.1000000000004</v>
      </c>
      <c r="H227" s="19">
        <f t="shared" si="46"/>
        <v>15037.3</v>
      </c>
      <c r="I227" s="19">
        <f t="shared" si="49"/>
        <v>9283.6</v>
      </c>
      <c r="J227" s="24">
        <f t="shared" si="48"/>
        <v>61.977034770993988</v>
      </c>
      <c r="K227" s="17">
        <f t="shared" si="65"/>
        <v>953.39999999999964</v>
      </c>
    </row>
    <row r="228" spans="1:12" x14ac:dyDescent="0.25">
      <c r="A228" s="10">
        <f t="shared" si="18"/>
        <v>40430</v>
      </c>
      <c r="B228" s="10"/>
      <c r="C228" s="10"/>
      <c r="D228">
        <v>8038.6</v>
      </c>
      <c r="E228">
        <v>4223.8999999999996</v>
      </c>
      <c r="F228" s="48">
        <v>7483.2</v>
      </c>
      <c r="G228" s="48">
        <v>5484.2</v>
      </c>
      <c r="H228" s="19">
        <f t="shared" si="46"/>
        <v>15521.8</v>
      </c>
      <c r="I228" s="19">
        <f t="shared" si="49"/>
        <v>9708.0999999999985</v>
      </c>
      <c r="J228" s="24">
        <f t="shared" si="48"/>
        <v>59.885044447420221</v>
      </c>
      <c r="K228" s="17">
        <f t="shared" si="65"/>
        <v>484.5</v>
      </c>
    </row>
    <row r="229" spans="1:12" x14ac:dyDescent="0.25">
      <c r="A229" s="10">
        <f t="shared" si="18"/>
        <v>40437</v>
      </c>
      <c r="B229" s="10"/>
      <c r="C229" s="10"/>
      <c r="D229">
        <v>8070.4</v>
      </c>
      <c r="E229">
        <v>4114.3</v>
      </c>
      <c r="F229" s="48">
        <v>8401.7999999999993</v>
      </c>
      <c r="G229" s="48">
        <v>6100.8</v>
      </c>
      <c r="H229" s="19">
        <f t="shared" si="46"/>
        <v>16472.199999999997</v>
      </c>
      <c r="I229" s="19">
        <f t="shared" si="49"/>
        <v>10215.1</v>
      </c>
      <c r="J229" s="24">
        <f t="shared" si="48"/>
        <v>61.253438537067638</v>
      </c>
      <c r="K229" s="17">
        <f t="shared" si="65"/>
        <v>950.39999999999782</v>
      </c>
    </row>
    <row r="230" spans="1:12" x14ac:dyDescent="0.25">
      <c r="A230" s="10">
        <f t="shared" si="18"/>
        <v>40444</v>
      </c>
      <c r="B230" s="10"/>
      <c r="C230" s="10"/>
      <c r="D230">
        <v>7915.6</v>
      </c>
      <c r="E230">
        <v>4021.2</v>
      </c>
      <c r="F230" s="48">
        <v>9187.4</v>
      </c>
      <c r="G230" s="48">
        <v>6732.1</v>
      </c>
      <c r="H230" s="19">
        <f t="shared" si="46"/>
        <v>17103</v>
      </c>
      <c r="I230" s="19">
        <f t="shared" si="49"/>
        <v>10753.3</v>
      </c>
      <c r="J230" s="24">
        <f t="shared" si="48"/>
        <v>59.048850120428156</v>
      </c>
      <c r="K230" s="17">
        <f t="shared" si="65"/>
        <v>630.80000000000291</v>
      </c>
    </row>
    <row r="231" spans="1:12" x14ac:dyDescent="0.25">
      <c r="A231" s="10">
        <f t="shared" si="18"/>
        <v>40451</v>
      </c>
      <c r="B231" s="10"/>
      <c r="C231" s="10"/>
      <c r="D231">
        <v>7845.8</v>
      </c>
      <c r="E231">
        <v>4113</v>
      </c>
      <c r="F231" s="48">
        <v>10065.6</v>
      </c>
      <c r="G231" s="48">
        <v>7407.5</v>
      </c>
      <c r="H231" s="19">
        <f t="shared" si="46"/>
        <v>17911.400000000001</v>
      </c>
      <c r="I231" s="19">
        <f t="shared" si="49"/>
        <v>11520.5</v>
      </c>
      <c r="J231" s="24">
        <f t="shared" si="48"/>
        <v>55.474154767588232</v>
      </c>
      <c r="K231" s="17">
        <f t="shared" si="65"/>
        <v>808.40000000000146</v>
      </c>
    </row>
    <row r="232" spans="1:12" x14ac:dyDescent="0.25">
      <c r="A232" s="10">
        <f t="shared" si="18"/>
        <v>40458</v>
      </c>
      <c r="B232" s="10"/>
      <c r="C232" s="10"/>
      <c r="D232">
        <v>7554.1</v>
      </c>
      <c r="E232">
        <v>4069</v>
      </c>
      <c r="F232" s="48">
        <v>10729.3</v>
      </c>
      <c r="G232" s="48">
        <v>7931.7</v>
      </c>
      <c r="H232" s="19">
        <f t="shared" si="46"/>
        <v>18283.400000000001</v>
      </c>
      <c r="I232" s="19">
        <f t="shared" si="49"/>
        <v>12000.7</v>
      </c>
      <c r="J232" s="24">
        <f t="shared" si="48"/>
        <v>52.352779421200424</v>
      </c>
      <c r="K232" s="17">
        <f t="shared" si="65"/>
        <v>372</v>
      </c>
    </row>
    <row r="233" spans="1:12" x14ac:dyDescent="0.25">
      <c r="A233" s="10">
        <f t="shared" si="18"/>
        <v>40465</v>
      </c>
      <c r="B233" s="10"/>
      <c r="C233" s="10"/>
      <c r="D233">
        <v>7536</v>
      </c>
      <c r="E233">
        <v>4229.3</v>
      </c>
      <c r="F233" s="48">
        <v>11321.4</v>
      </c>
      <c r="G233" s="48">
        <v>8399.1</v>
      </c>
      <c r="H233" s="19">
        <f t="shared" si="46"/>
        <v>18857.400000000001</v>
      </c>
      <c r="I233" s="19">
        <f t="shared" si="49"/>
        <v>12628.400000000001</v>
      </c>
      <c r="J233" s="24">
        <f t="shared" si="48"/>
        <v>49.325330208102372</v>
      </c>
      <c r="K233" s="17">
        <f t="shared" si="65"/>
        <v>574</v>
      </c>
    </row>
    <row r="234" spans="1:12" x14ac:dyDescent="0.25">
      <c r="A234" s="10">
        <f t="shared" si="18"/>
        <v>40472</v>
      </c>
      <c r="B234" s="10"/>
      <c r="C234" s="10"/>
      <c r="D234">
        <v>7487.3</v>
      </c>
      <c r="E234">
        <v>4146.1000000000004</v>
      </c>
      <c r="F234" s="48">
        <v>11964.8</v>
      </c>
      <c r="G234" s="48">
        <v>8829.9</v>
      </c>
      <c r="H234" s="19">
        <f t="shared" si="46"/>
        <v>19452.099999999999</v>
      </c>
      <c r="I234" s="19">
        <f t="shared" si="49"/>
        <v>12976</v>
      </c>
      <c r="J234" s="24">
        <f t="shared" si="48"/>
        <v>49.908292231812567</v>
      </c>
      <c r="K234" s="17">
        <f t="shared" si="65"/>
        <v>594.69999999999709</v>
      </c>
    </row>
    <row r="235" spans="1:12" x14ac:dyDescent="0.25">
      <c r="A235" s="10">
        <f t="shared" si="18"/>
        <v>40479</v>
      </c>
      <c r="B235" s="10"/>
      <c r="C235" s="10"/>
      <c r="D235">
        <v>7623.3</v>
      </c>
      <c r="E235">
        <v>4140.8</v>
      </c>
      <c r="F235" s="48">
        <v>12394.4</v>
      </c>
      <c r="G235" s="48">
        <v>9119.7999999999993</v>
      </c>
      <c r="H235" s="19">
        <f t="shared" si="46"/>
        <v>20017.7</v>
      </c>
      <c r="I235" s="19">
        <f t="shared" si="49"/>
        <v>13260.599999999999</v>
      </c>
      <c r="J235" s="24">
        <f t="shared" si="48"/>
        <v>50.956216159148184</v>
      </c>
      <c r="K235" s="17">
        <f t="shared" si="65"/>
        <v>565.60000000000218</v>
      </c>
    </row>
    <row r="236" spans="1:12" x14ac:dyDescent="0.25">
      <c r="A236" s="10">
        <f t="shared" si="18"/>
        <v>40486</v>
      </c>
      <c r="B236" s="10"/>
      <c r="C236" s="10"/>
      <c r="D236">
        <v>7938.9</v>
      </c>
      <c r="E236">
        <v>4096.5</v>
      </c>
      <c r="F236" s="48">
        <v>12910.8</v>
      </c>
      <c r="G236" s="48">
        <v>9576.2000000000007</v>
      </c>
      <c r="H236" s="19">
        <f t="shared" si="46"/>
        <v>20849.699999999997</v>
      </c>
      <c r="I236" s="19">
        <f t="shared" si="49"/>
        <v>13672.7</v>
      </c>
      <c r="J236" s="24">
        <f t="shared" si="48"/>
        <v>52.491461086690961</v>
      </c>
      <c r="K236" s="17">
        <f t="shared" si="65"/>
        <v>831.99999999999636</v>
      </c>
    </row>
    <row r="237" spans="1:12" x14ac:dyDescent="0.25">
      <c r="A237" s="10">
        <f t="shared" si="18"/>
        <v>40493</v>
      </c>
      <c r="B237" s="10"/>
      <c r="C237" s="10"/>
      <c r="D237">
        <v>8444.2999999999993</v>
      </c>
      <c r="E237">
        <v>3972.1</v>
      </c>
      <c r="F237" s="48">
        <v>13348.8</v>
      </c>
      <c r="G237" s="48">
        <v>10063.1</v>
      </c>
      <c r="H237" s="19">
        <f t="shared" si="46"/>
        <v>21793.1</v>
      </c>
      <c r="I237" s="19">
        <f t="shared" si="49"/>
        <v>14035.2</v>
      </c>
      <c r="J237" s="24">
        <f t="shared" si="48"/>
        <v>55.274595303237547</v>
      </c>
      <c r="K237" s="17">
        <f t="shared" si="65"/>
        <v>943.40000000000146</v>
      </c>
    </row>
    <row r="238" spans="1:12" x14ac:dyDescent="0.25">
      <c r="A238" s="10">
        <f t="shared" si="18"/>
        <v>40500</v>
      </c>
      <c r="B238" s="10"/>
      <c r="C238" s="10"/>
      <c r="D238">
        <v>8665.2000000000007</v>
      </c>
      <c r="E238">
        <v>3907.2</v>
      </c>
      <c r="F238" s="48">
        <v>13873.1</v>
      </c>
      <c r="G238" s="48">
        <v>10479.200000000001</v>
      </c>
      <c r="H238" s="19">
        <f t="shared" si="46"/>
        <v>22538.300000000003</v>
      </c>
      <c r="I238" s="19">
        <f t="shared" si="49"/>
        <v>14386.400000000001</v>
      </c>
      <c r="J238" s="24">
        <f t="shared" si="48"/>
        <v>56.663932603013969</v>
      </c>
      <c r="K238" s="17">
        <f t="shared" si="65"/>
        <v>745.20000000000437</v>
      </c>
    </row>
    <row r="239" spans="1:12" x14ac:dyDescent="0.25">
      <c r="A239" s="10">
        <f t="shared" si="18"/>
        <v>40507</v>
      </c>
      <c r="B239" s="10"/>
      <c r="C239" s="10"/>
      <c r="D239">
        <v>8740.4</v>
      </c>
      <c r="E239">
        <v>3912.8</v>
      </c>
      <c r="F239" s="48">
        <v>14461.2</v>
      </c>
      <c r="G239" s="48">
        <v>10864.2</v>
      </c>
      <c r="H239" s="19">
        <f t="shared" si="46"/>
        <v>23201.599999999999</v>
      </c>
      <c r="I239" s="19">
        <f t="shared" si="49"/>
        <v>14777</v>
      </c>
      <c r="J239" s="24">
        <f t="shared" si="48"/>
        <v>57.011572037626038</v>
      </c>
      <c r="K239" s="17">
        <f t="shared" si="65"/>
        <v>663.29999999999563</v>
      </c>
    </row>
    <row r="240" spans="1:12" x14ac:dyDescent="0.25">
      <c r="A240" s="10">
        <f t="shared" si="18"/>
        <v>40514</v>
      </c>
      <c r="B240" s="10"/>
      <c r="C240" s="10"/>
      <c r="D240">
        <v>8600.7000000000007</v>
      </c>
      <c r="E240">
        <v>3851.4</v>
      </c>
      <c r="F240" s="48">
        <v>15136.4</v>
      </c>
      <c r="G240" s="48">
        <v>11170.8</v>
      </c>
      <c r="H240" s="19">
        <f t="shared" si="46"/>
        <v>23737.1</v>
      </c>
      <c r="I240" s="19">
        <f t="shared" si="49"/>
        <v>15022.199999999999</v>
      </c>
      <c r="J240" s="24">
        <f t="shared" si="48"/>
        <v>58.013473392712122</v>
      </c>
      <c r="K240" s="17">
        <f t="shared" si="65"/>
        <v>535.5</v>
      </c>
    </row>
    <row r="241" spans="1:11" x14ac:dyDescent="0.25">
      <c r="A241" s="10">
        <f t="shared" si="18"/>
        <v>40521</v>
      </c>
      <c r="B241" s="10"/>
      <c r="C241" s="10"/>
      <c r="D241">
        <v>8996</v>
      </c>
      <c r="E241">
        <v>3858.3</v>
      </c>
      <c r="F241" s="48">
        <v>15635.4</v>
      </c>
      <c r="G241" s="48">
        <v>11508.9</v>
      </c>
      <c r="H241" s="19">
        <f t="shared" si="46"/>
        <v>24631.4</v>
      </c>
      <c r="I241" s="19">
        <f t="shared" si="49"/>
        <v>15367.2</v>
      </c>
      <c r="J241" s="24">
        <f t="shared" si="48"/>
        <v>60.285543234941954</v>
      </c>
      <c r="K241" s="17">
        <f t="shared" si="65"/>
        <v>894.30000000000291</v>
      </c>
    </row>
    <row r="242" spans="1:11" x14ac:dyDescent="0.25">
      <c r="A242" s="10">
        <f t="shared" si="18"/>
        <v>40528</v>
      </c>
      <c r="B242" s="10"/>
      <c r="C242" s="10"/>
      <c r="D242">
        <v>8873</v>
      </c>
      <c r="E242">
        <v>3751.9</v>
      </c>
      <c r="F242" s="48">
        <v>16348.9</v>
      </c>
      <c r="G242" s="48">
        <v>11836.6</v>
      </c>
      <c r="H242" s="19">
        <f t="shared" si="46"/>
        <v>25221.9</v>
      </c>
      <c r="I242" s="19">
        <f t="shared" si="49"/>
        <v>15588.5</v>
      </c>
      <c r="J242" s="24">
        <f t="shared" si="48"/>
        <v>61.798120409276081</v>
      </c>
      <c r="K242" s="17">
        <f t="shared" si="65"/>
        <v>590.5</v>
      </c>
    </row>
    <row r="243" spans="1:11" x14ac:dyDescent="0.25">
      <c r="A243" s="10">
        <f t="shared" si="18"/>
        <v>40535</v>
      </c>
      <c r="B243" s="10"/>
      <c r="C243" s="10"/>
      <c r="D243">
        <v>8757.6</v>
      </c>
      <c r="E243">
        <v>3828.1</v>
      </c>
      <c r="F243" s="48">
        <v>16895.7</v>
      </c>
      <c r="G243" s="48">
        <v>12130.7</v>
      </c>
      <c r="H243" s="19">
        <f t="shared" si="46"/>
        <v>25653.300000000003</v>
      </c>
      <c r="I243" s="19">
        <f t="shared" ref="I243:I264" si="66">+E243+G243</f>
        <v>15958.800000000001</v>
      </c>
      <c r="J243" s="24">
        <f t="shared" ref="J243:J264" si="67">+(H243/I243-1)*100</f>
        <v>60.747048650274472</v>
      </c>
      <c r="K243" s="17">
        <f t="shared" ref="K243:K267" si="68">+H243-H242</f>
        <v>431.40000000000146</v>
      </c>
    </row>
    <row r="244" spans="1:11" x14ac:dyDescent="0.25">
      <c r="A244" s="10">
        <f t="shared" si="18"/>
        <v>40542</v>
      </c>
      <c r="B244" s="10"/>
      <c r="C244" s="10"/>
      <c r="D244">
        <v>8786.2999999999993</v>
      </c>
      <c r="E244">
        <v>3677.3</v>
      </c>
      <c r="F244" s="48">
        <v>17264.8</v>
      </c>
      <c r="G244" s="48">
        <v>12374.9</v>
      </c>
      <c r="H244" s="19">
        <f t="shared" si="46"/>
        <v>26051.1</v>
      </c>
      <c r="I244" s="19">
        <f t="shared" si="66"/>
        <v>16052.2</v>
      </c>
      <c r="J244" s="24">
        <f t="shared" si="67"/>
        <v>62.289904187587972</v>
      </c>
      <c r="K244" s="17">
        <f t="shared" si="68"/>
        <v>397.79999999999563</v>
      </c>
    </row>
    <row r="245" spans="1:11" x14ac:dyDescent="0.25">
      <c r="A245" s="10">
        <f t="shared" si="18"/>
        <v>40549</v>
      </c>
      <c r="B245" s="10"/>
      <c r="C245" s="10"/>
      <c r="D245">
        <v>8320</v>
      </c>
      <c r="E245">
        <v>3568.1</v>
      </c>
      <c r="F245" s="48">
        <v>17878.5</v>
      </c>
      <c r="G245" s="48">
        <v>12666</v>
      </c>
      <c r="H245" s="19">
        <f t="shared" si="46"/>
        <v>26198.5</v>
      </c>
      <c r="I245" s="19">
        <f t="shared" si="66"/>
        <v>16234.1</v>
      </c>
      <c r="J245" s="24">
        <f t="shared" si="67"/>
        <v>61.379442038671669</v>
      </c>
      <c r="K245" s="17">
        <f t="shared" si="68"/>
        <v>147.40000000000146</v>
      </c>
    </row>
    <row r="246" spans="1:11" x14ac:dyDescent="0.25">
      <c r="A246" s="10">
        <f t="shared" si="18"/>
        <v>40556</v>
      </c>
      <c r="B246" s="10"/>
      <c r="C246" s="10"/>
      <c r="D246">
        <v>8675.7999999999993</v>
      </c>
      <c r="E246">
        <v>4077.3</v>
      </c>
      <c r="F246" s="48">
        <v>18576.900000000001</v>
      </c>
      <c r="G246" s="48">
        <v>12982.6</v>
      </c>
      <c r="H246" s="19">
        <f t="shared" si="46"/>
        <v>27252.7</v>
      </c>
      <c r="I246" s="19">
        <f t="shared" si="66"/>
        <v>17059.900000000001</v>
      </c>
      <c r="J246" s="24">
        <f t="shared" si="67"/>
        <v>59.747126302029898</v>
      </c>
      <c r="K246" s="17">
        <f t="shared" si="68"/>
        <v>1054.2000000000007</v>
      </c>
    </row>
    <row r="247" spans="1:11" x14ac:dyDescent="0.25">
      <c r="A247" s="10">
        <f t="shared" si="18"/>
        <v>40563</v>
      </c>
      <c r="B247" s="10"/>
      <c r="C247" s="10"/>
      <c r="D247">
        <v>8900</v>
      </c>
      <c r="E247">
        <v>4313.2</v>
      </c>
      <c r="F247" s="48">
        <v>19219</v>
      </c>
      <c r="G247" s="48">
        <v>13407.4</v>
      </c>
      <c r="H247" s="19">
        <f t="shared" si="46"/>
        <v>28119</v>
      </c>
      <c r="I247" s="19">
        <f t="shared" si="66"/>
        <v>17720.599999999999</v>
      </c>
      <c r="J247" s="24">
        <f t="shared" si="67"/>
        <v>58.679728677358575</v>
      </c>
      <c r="K247" s="17">
        <f t="shared" si="68"/>
        <v>866.29999999999927</v>
      </c>
    </row>
    <row r="248" spans="1:11" x14ac:dyDescent="0.25">
      <c r="A248" s="10">
        <f t="shared" si="18"/>
        <v>40570</v>
      </c>
      <c r="B248" s="10"/>
      <c r="C248" s="10"/>
      <c r="D248">
        <v>8842.9</v>
      </c>
      <c r="E248">
        <v>4282</v>
      </c>
      <c r="F248" s="48">
        <v>19810.3</v>
      </c>
      <c r="G248" s="48">
        <v>13856.9</v>
      </c>
      <c r="H248" s="19">
        <f t="shared" si="46"/>
        <v>28653.199999999997</v>
      </c>
      <c r="I248" s="19">
        <f t="shared" si="66"/>
        <v>18138.900000000001</v>
      </c>
      <c r="J248" s="24">
        <f t="shared" si="67"/>
        <v>57.965477509661525</v>
      </c>
      <c r="K248" s="17">
        <f t="shared" si="68"/>
        <v>534.19999999999709</v>
      </c>
    </row>
    <row r="249" spans="1:11" x14ac:dyDescent="0.25">
      <c r="A249" s="10">
        <f t="shared" si="18"/>
        <v>40577</v>
      </c>
      <c r="B249" s="10"/>
      <c r="C249" s="10"/>
      <c r="D249">
        <v>8351.7000000000007</v>
      </c>
      <c r="E249">
        <v>4382.2</v>
      </c>
      <c r="F249" s="48">
        <v>20692.7</v>
      </c>
      <c r="G249" s="48">
        <v>14304.8</v>
      </c>
      <c r="H249" s="19">
        <f t="shared" si="46"/>
        <v>29044.400000000001</v>
      </c>
      <c r="I249" s="19">
        <f t="shared" si="66"/>
        <v>18687</v>
      </c>
      <c r="J249" s="24">
        <f t="shared" si="67"/>
        <v>55.425697008615614</v>
      </c>
      <c r="K249" s="17">
        <f t="shared" si="68"/>
        <v>391.20000000000437</v>
      </c>
    </row>
    <row r="250" spans="1:11" x14ac:dyDescent="0.25">
      <c r="A250" s="10">
        <f t="shared" si="18"/>
        <v>40584</v>
      </c>
      <c r="B250" s="10"/>
      <c r="C250" s="10"/>
      <c r="D250">
        <v>8364.5</v>
      </c>
      <c r="E250">
        <v>4426.5</v>
      </c>
      <c r="F250" s="48">
        <v>21279.200000000001</v>
      </c>
      <c r="G250" s="48">
        <v>14669.5</v>
      </c>
      <c r="H250" s="19">
        <f t="shared" si="46"/>
        <v>29643.7</v>
      </c>
      <c r="I250" s="19">
        <f t="shared" si="66"/>
        <v>19096</v>
      </c>
      <c r="J250" s="24">
        <f t="shared" si="67"/>
        <v>55.235127775450366</v>
      </c>
      <c r="K250" s="17">
        <f t="shared" si="68"/>
        <v>599.29999999999927</v>
      </c>
    </row>
    <row r="251" spans="1:11" x14ac:dyDescent="0.25">
      <c r="A251" s="10">
        <f t="shared" si="18"/>
        <v>40591</v>
      </c>
      <c r="B251" s="10"/>
      <c r="C251" s="10"/>
      <c r="D251">
        <v>8502</v>
      </c>
      <c r="E251">
        <v>4342.3999999999996</v>
      </c>
      <c r="F251" s="48">
        <v>22150.1</v>
      </c>
      <c r="G251" s="48">
        <v>15129.2</v>
      </c>
      <c r="H251" s="19">
        <f t="shared" si="46"/>
        <v>30652.1</v>
      </c>
      <c r="I251" s="19">
        <f t="shared" si="66"/>
        <v>19471.599999999999</v>
      </c>
      <c r="J251" s="24">
        <f t="shared" si="67"/>
        <v>57.419523819306065</v>
      </c>
      <c r="K251" s="17">
        <f t="shared" si="68"/>
        <v>1008.3999999999978</v>
      </c>
    </row>
    <row r="252" spans="1:11" x14ac:dyDescent="0.25">
      <c r="A252" s="10">
        <f t="shared" si="18"/>
        <v>40598</v>
      </c>
      <c r="B252" s="10"/>
      <c r="C252" s="10"/>
      <c r="D252">
        <v>8521.1</v>
      </c>
      <c r="E252">
        <v>3971.3</v>
      </c>
      <c r="F252" s="48">
        <v>22691.5</v>
      </c>
      <c r="G252" s="48">
        <v>15601.9</v>
      </c>
      <c r="H252" s="19">
        <f t="shared" si="46"/>
        <v>31212.6</v>
      </c>
      <c r="I252" s="19">
        <f t="shared" si="66"/>
        <v>19573.2</v>
      </c>
      <c r="J252" s="24">
        <f t="shared" si="67"/>
        <v>59.466004536815632</v>
      </c>
      <c r="K252" s="17">
        <f t="shared" si="68"/>
        <v>560.5</v>
      </c>
    </row>
    <row r="253" spans="1:11" x14ac:dyDescent="0.25">
      <c r="A253" s="10">
        <f t="shared" ref="A253:A316" si="69">+A252+7</f>
        <v>40605</v>
      </c>
      <c r="B253" s="10"/>
      <c r="C253" s="10"/>
      <c r="D253">
        <v>8507.7999999999993</v>
      </c>
      <c r="E253">
        <v>3838.2</v>
      </c>
      <c r="F253" s="48">
        <v>23280.5</v>
      </c>
      <c r="G253" s="48">
        <v>16142.9</v>
      </c>
      <c r="H253" s="19">
        <f t="shared" si="46"/>
        <v>31788.3</v>
      </c>
      <c r="I253" s="19">
        <f t="shared" si="66"/>
        <v>19981.099999999999</v>
      </c>
      <c r="J253" s="24">
        <f t="shared" si="67"/>
        <v>59.091841790492026</v>
      </c>
      <c r="K253" s="17">
        <f t="shared" si="68"/>
        <v>575.70000000000073</v>
      </c>
    </row>
    <row r="254" spans="1:11" x14ac:dyDescent="0.25">
      <c r="A254" s="10">
        <f t="shared" si="69"/>
        <v>40612</v>
      </c>
      <c r="B254" s="10"/>
      <c r="C254" s="10"/>
      <c r="D254">
        <v>8480.7999999999993</v>
      </c>
      <c r="E254">
        <v>3906.1</v>
      </c>
      <c r="F254" s="48">
        <v>23971.200000000001</v>
      </c>
      <c r="G254" s="48">
        <v>16400.2</v>
      </c>
      <c r="H254" s="19">
        <f t="shared" si="46"/>
        <v>32452</v>
      </c>
      <c r="I254" s="19">
        <f t="shared" si="66"/>
        <v>20306.3</v>
      </c>
      <c r="J254" s="24">
        <f t="shared" si="67"/>
        <v>59.812471991450941</v>
      </c>
      <c r="K254" s="17">
        <f t="shared" si="68"/>
        <v>663.70000000000073</v>
      </c>
    </row>
    <row r="255" spans="1:11" x14ac:dyDescent="0.25">
      <c r="A255" s="10">
        <f t="shared" si="69"/>
        <v>40619</v>
      </c>
      <c r="B255" s="10"/>
      <c r="C255" s="10"/>
      <c r="D255">
        <v>8519.6</v>
      </c>
      <c r="E255">
        <v>3824.4</v>
      </c>
      <c r="F255" s="48">
        <v>24591.8</v>
      </c>
      <c r="G255" s="48">
        <v>16853.2</v>
      </c>
      <c r="H255" s="19">
        <f t="shared" si="46"/>
        <v>33111.4</v>
      </c>
      <c r="I255" s="19">
        <f t="shared" si="66"/>
        <v>20677.600000000002</v>
      </c>
      <c r="J255" s="24">
        <f t="shared" si="67"/>
        <v>60.131736758618004</v>
      </c>
      <c r="K255" s="17">
        <f t="shared" si="68"/>
        <v>659.40000000000146</v>
      </c>
    </row>
    <row r="256" spans="1:11" x14ac:dyDescent="0.25">
      <c r="A256" s="10">
        <f t="shared" si="69"/>
        <v>40626</v>
      </c>
      <c r="B256" s="10"/>
      <c r="C256" s="10"/>
      <c r="D256">
        <v>7902.7</v>
      </c>
      <c r="E256">
        <v>3562</v>
      </c>
      <c r="F256" s="48">
        <v>25480.2</v>
      </c>
      <c r="G256" s="48">
        <v>17546.2</v>
      </c>
      <c r="H256" s="19">
        <f t="shared" si="46"/>
        <v>33382.9</v>
      </c>
      <c r="I256" s="19">
        <f t="shared" si="66"/>
        <v>21108.2</v>
      </c>
      <c r="J256" s="24">
        <f t="shared" si="67"/>
        <v>58.151334552448809</v>
      </c>
      <c r="K256" s="17">
        <f t="shared" si="68"/>
        <v>271.5</v>
      </c>
    </row>
    <row r="257" spans="1:12" x14ac:dyDescent="0.25">
      <c r="A257" s="10">
        <f t="shared" si="69"/>
        <v>40633</v>
      </c>
      <c r="B257" s="10"/>
      <c r="C257" s="10"/>
      <c r="D257">
        <v>7639.4</v>
      </c>
      <c r="E257">
        <v>3435.4</v>
      </c>
      <c r="F257" s="48">
        <v>26202.400000000001</v>
      </c>
      <c r="G257" s="48">
        <v>17996.5</v>
      </c>
      <c r="H257" s="19">
        <f t="shared" si="46"/>
        <v>33841.800000000003</v>
      </c>
      <c r="I257" s="19">
        <f t="shared" si="66"/>
        <v>21431.9</v>
      </c>
      <c r="J257" s="24">
        <f t="shared" si="67"/>
        <v>57.903872265174819</v>
      </c>
      <c r="K257" s="17">
        <f t="shared" si="68"/>
        <v>458.90000000000146</v>
      </c>
    </row>
    <row r="258" spans="1:12" x14ac:dyDescent="0.25">
      <c r="A258" s="10">
        <f t="shared" si="69"/>
        <v>40640</v>
      </c>
      <c r="B258" s="10"/>
      <c r="C258" s="10"/>
      <c r="D258">
        <v>7358.3</v>
      </c>
      <c r="E258">
        <v>3059.5</v>
      </c>
      <c r="F258" s="48">
        <v>26927</v>
      </c>
      <c r="G258" s="48">
        <v>18473.400000000001</v>
      </c>
      <c r="H258" s="19">
        <f t="shared" si="46"/>
        <v>34285.300000000003</v>
      </c>
      <c r="I258" s="19">
        <f t="shared" si="66"/>
        <v>21532.9</v>
      </c>
      <c r="J258" s="24">
        <f t="shared" si="67"/>
        <v>59.222863617998513</v>
      </c>
      <c r="K258" s="17">
        <f t="shared" si="68"/>
        <v>443.5</v>
      </c>
    </row>
    <row r="259" spans="1:12" x14ac:dyDescent="0.25">
      <c r="A259" s="10">
        <f t="shared" si="69"/>
        <v>40647</v>
      </c>
      <c r="B259" s="10"/>
      <c r="C259" s="10"/>
      <c r="D259">
        <v>6631.2</v>
      </c>
      <c r="E259">
        <v>2793.9</v>
      </c>
      <c r="F259" s="48">
        <v>27789</v>
      </c>
      <c r="G259" s="48">
        <v>18905.400000000001</v>
      </c>
      <c r="H259" s="19">
        <f t="shared" si="46"/>
        <v>34420.199999999997</v>
      </c>
      <c r="I259" s="19">
        <f t="shared" si="66"/>
        <v>21699.300000000003</v>
      </c>
      <c r="J259" s="24">
        <f t="shared" si="67"/>
        <v>58.623550068435357</v>
      </c>
      <c r="K259" s="17">
        <f t="shared" si="68"/>
        <v>134.89999999999418</v>
      </c>
    </row>
    <row r="260" spans="1:12" x14ac:dyDescent="0.25">
      <c r="A260" s="10">
        <f t="shared" si="69"/>
        <v>40654</v>
      </c>
      <c r="B260" s="10"/>
      <c r="C260" s="10"/>
      <c r="D260">
        <v>6069.9</v>
      </c>
      <c r="E260">
        <v>2688.6</v>
      </c>
      <c r="F260" s="48">
        <v>28615.200000000001</v>
      </c>
      <c r="G260" s="48">
        <v>19183.8</v>
      </c>
      <c r="H260" s="19">
        <f t="shared" si="46"/>
        <v>34685.1</v>
      </c>
      <c r="I260" s="19">
        <f t="shared" si="66"/>
        <v>21872.399999999998</v>
      </c>
      <c r="J260" s="24">
        <f t="shared" si="67"/>
        <v>58.579305426016347</v>
      </c>
      <c r="K260" s="17">
        <f t="shared" si="68"/>
        <v>264.90000000000146</v>
      </c>
    </row>
    <row r="261" spans="1:12" x14ac:dyDescent="0.25">
      <c r="A261" s="10">
        <f t="shared" si="69"/>
        <v>40661</v>
      </c>
      <c r="B261" s="10"/>
      <c r="C261" s="10"/>
      <c r="D261">
        <v>5476.7</v>
      </c>
      <c r="E261">
        <v>2348</v>
      </c>
      <c r="F261" s="48">
        <v>29482.3</v>
      </c>
      <c r="G261" s="48">
        <v>19674.599999999999</v>
      </c>
      <c r="H261" s="19">
        <f t="shared" si="46"/>
        <v>34959</v>
      </c>
      <c r="I261" s="19">
        <f t="shared" si="66"/>
        <v>22022.6</v>
      </c>
      <c r="J261" s="24">
        <f t="shared" si="67"/>
        <v>58.741474666933073</v>
      </c>
      <c r="K261" s="17">
        <f t="shared" si="68"/>
        <v>273.90000000000146</v>
      </c>
      <c r="L261">
        <v>2644</v>
      </c>
    </row>
    <row r="262" spans="1:12" x14ac:dyDescent="0.25">
      <c r="A262" s="10">
        <f t="shared" si="69"/>
        <v>40668</v>
      </c>
      <c r="B262" s="10"/>
      <c r="C262" s="10"/>
      <c r="D262">
        <v>4770.8</v>
      </c>
      <c r="E262">
        <v>2074.3000000000002</v>
      </c>
      <c r="F262" s="48">
        <v>30508.9</v>
      </c>
      <c r="G262" s="48">
        <v>20192.7</v>
      </c>
      <c r="H262" s="19">
        <f t="shared" si="46"/>
        <v>35279.700000000004</v>
      </c>
      <c r="I262" s="19">
        <f t="shared" si="66"/>
        <v>22267</v>
      </c>
      <c r="J262" s="24">
        <f t="shared" si="67"/>
        <v>58.439394619841046</v>
      </c>
      <c r="K262" s="17">
        <f t="shared" si="68"/>
        <v>320.70000000000437</v>
      </c>
      <c r="L262">
        <v>2873.9</v>
      </c>
    </row>
    <row r="263" spans="1:12" x14ac:dyDescent="0.25">
      <c r="A263" s="10">
        <f t="shared" si="69"/>
        <v>40675</v>
      </c>
      <c r="B263" s="10"/>
      <c r="C263" s="10"/>
      <c r="D263">
        <v>4103.3</v>
      </c>
      <c r="E263">
        <v>1989.3</v>
      </c>
      <c r="F263" s="48">
        <v>31303</v>
      </c>
      <c r="G263" s="48">
        <v>20528.3</v>
      </c>
      <c r="H263" s="19">
        <f t="shared" si="46"/>
        <v>35406.300000000003</v>
      </c>
      <c r="I263" s="19">
        <f t="shared" si="66"/>
        <v>22517.599999999999</v>
      </c>
      <c r="J263" s="24">
        <f t="shared" si="67"/>
        <v>57.23833801115574</v>
      </c>
      <c r="K263" s="17">
        <f t="shared" si="68"/>
        <v>126.59999999999854</v>
      </c>
      <c r="L263" s="48">
        <v>3546.1</v>
      </c>
    </row>
    <row r="264" spans="1:12" x14ac:dyDescent="0.25">
      <c r="A264" s="10">
        <f t="shared" si="69"/>
        <v>40682</v>
      </c>
      <c r="B264" s="10"/>
      <c r="C264" s="10"/>
      <c r="D264">
        <v>3288.1</v>
      </c>
      <c r="E264">
        <v>1566.1</v>
      </c>
      <c r="F264" s="48">
        <v>32089.4</v>
      </c>
      <c r="G264" s="48">
        <v>21100.2</v>
      </c>
      <c r="H264" s="19">
        <f t="shared" si="46"/>
        <v>35377.5</v>
      </c>
      <c r="I264" s="19">
        <f t="shared" si="66"/>
        <v>22666.3</v>
      </c>
      <c r="J264" s="24">
        <f t="shared" si="67"/>
        <v>56.079730701526053</v>
      </c>
      <c r="K264" s="17">
        <f t="shared" si="68"/>
        <v>-28.80000000000291</v>
      </c>
      <c r="L264" s="48">
        <v>4006.7</v>
      </c>
    </row>
    <row r="265" spans="1:12" x14ac:dyDescent="0.25">
      <c r="A265" s="10">
        <f t="shared" si="69"/>
        <v>40689</v>
      </c>
      <c r="B265" s="10"/>
      <c r="C265" s="10"/>
      <c r="D265">
        <v>2320.4</v>
      </c>
      <c r="E265">
        <v>1212.9000000000001</v>
      </c>
      <c r="F265" s="48">
        <v>32983.5</v>
      </c>
      <c r="G265" s="48">
        <v>21400.2</v>
      </c>
      <c r="H265" s="19">
        <f t="shared" ref="H265:H275" si="70">+D265+F265</f>
        <v>35303.9</v>
      </c>
      <c r="I265" s="19">
        <f t="shared" ref="I265:I275" si="71">+E265+G265</f>
        <v>22613.100000000002</v>
      </c>
      <c r="J265" s="24">
        <f t="shared" ref="J265:J275" si="72">+(H265/I265-1)*100</f>
        <v>56.121451724885119</v>
      </c>
      <c r="K265" s="17">
        <f t="shared" si="68"/>
        <v>-73.599999999998545</v>
      </c>
      <c r="L265" s="48">
        <v>4345.2</v>
      </c>
    </row>
    <row r="266" spans="1:12" x14ac:dyDescent="0.25">
      <c r="A266" s="10">
        <f t="shared" si="69"/>
        <v>40696</v>
      </c>
      <c r="B266" s="10"/>
      <c r="C266" s="10"/>
      <c r="D266">
        <v>6495.5</v>
      </c>
      <c r="E266">
        <v>4027.6</v>
      </c>
      <c r="F266" s="48">
        <v>142.9</v>
      </c>
      <c r="G266" s="48">
        <v>145.6</v>
      </c>
      <c r="H266" s="19">
        <f t="shared" si="70"/>
        <v>6638.4</v>
      </c>
      <c r="I266" s="19">
        <f t="shared" si="71"/>
        <v>4173.2</v>
      </c>
      <c r="J266" s="24">
        <f t="shared" si="72"/>
        <v>59.072174829866775</v>
      </c>
      <c r="K266" s="17">
        <f t="shared" si="68"/>
        <v>-28665.5</v>
      </c>
    </row>
    <row r="267" spans="1:12" x14ac:dyDescent="0.25">
      <c r="A267" s="10">
        <f t="shared" si="69"/>
        <v>40703</v>
      </c>
      <c r="B267" s="10"/>
      <c r="C267" s="10"/>
      <c r="D267">
        <v>6301</v>
      </c>
      <c r="E267">
        <v>4592.3999999999996</v>
      </c>
      <c r="F267" s="48">
        <v>792.8</v>
      </c>
      <c r="G267" s="48">
        <v>540.29999999999995</v>
      </c>
      <c r="H267" s="19">
        <f t="shared" si="70"/>
        <v>7093.8</v>
      </c>
      <c r="I267" s="19">
        <f t="shared" si="71"/>
        <v>5132.7</v>
      </c>
      <c r="J267" s="24">
        <f t="shared" si="72"/>
        <v>38.207960722426805</v>
      </c>
      <c r="K267" s="17">
        <f t="shared" si="68"/>
        <v>455.40000000000055</v>
      </c>
    </row>
    <row r="268" spans="1:12" x14ac:dyDescent="0.25">
      <c r="A268" s="10">
        <f t="shared" si="69"/>
        <v>40710</v>
      </c>
      <c r="B268" s="10"/>
      <c r="C268" s="10"/>
      <c r="D268">
        <v>6300.5</v>
      </c>
      <c r="E268">
        <v>5032.7</v>
      </c>
      <c r="F268" s="48">
        <v>1454.7</v>
      </c>
      <c r="G268" s="48">
        <v>820.7</v>
      </c>
      <c r="H268" s="19">
        <f t="shared" si="70"/>
        <v>7755.2</v>
      </c>
      <c r="I268" s="19">
        <f t="shared" si="71"/>
        <v>5853.4</v>
      </c>
      <c r="J268" s="24">
        <f t="shared" si="72"/>
        <v>32.490518331226291</v>
      </c>
      <c r="K268" s="17">
        <f t="shared" ref="K268:K273" si="73">+H268-H267</f>
        <v>661.39999999999964</v>
      </c>
    </row>
    <row r="269" spans="1:12" x14ac:dyDescent="0.25">
      <c r="A269" s="10">
        <f t="shared" si="69"/>
        <v>40717</v>
      </c>
      <c r="B269" s="10"/>
      <c r="C269" s="10"/>
      <c r="D269">
        <v>6363</v>
      </c>
      <c r="E269">
        <v>4902.3999999999996</v>
      </c>
      <c r="F269" s="48">
        <v>1937.3</v>
      </c>
      <c r="G269" s="48">
        <v>1369.3</v>
      </c>
      <c r="H269" s="19">
        <f t="shared" si="70"/>
        <v>8300.2999999999993</v>
      </c>
      <c r="I269" s="19">
        <f t="shared" si="71"/>
        <v>6271.7</v>
      </c>
      <c r="J269" s="24">
        <f t="shared" si="72"/>
        <v>32.345297128370291</v>
      </c>
      <c r="K269" s="17">
        <f t="shared" si="73"/>
        <v>545.09999999999945</v>
      </c>
    </row>
    <row r="270" spans="1:12" x14ac:dyDescent="0.25">
      <c r="A270" s="10">
        <f t="shared" si="69"/>
        <v>40724</v>
      </c>
      <c r="B270" s="10"/>
      <c r="C270" s="10"/>
      <c r="D270">
        <v>6060.4</v>
      </c>
      <c r="E270">
        <v>4858.3999999999996</v>
      </c>
      <c r="F270" s="48">
        <v>2664.1</v>
      </c>
      <c r="G270" s="48">
        <v>1926.9</v>
      </c>
      <c r="H270" s="19">
        <f t="shared" si="70"/>
        <v>8724.5</v>
      </c>
      <c r="I270" s="19">
        <f t="shared" si="71"/>
        <v>6785.2999999999993</v>
      </c>
      <c r="J270" s="24">
        <f t="shared" si="72"/>
        <v>28.57942905987947</v>
      </c>
      <c r="K270" s="17">
        <f t="shared" si="73"/>
        <v>424.20000000000073</v>
      </c>
    </row>
    <row r="271" spans="1:12" x14ac:dyDescent="0.25">
      <c r="A271" s="10">
        <f t="shared" si="69"/>
        <v>40731</v>
      </c>
      <c r="B271" s="10"/>
      <c r="C271" s="10"/>
      <c r="D271">
        <v>6002.8</v>
      </c>
      <c r="E271">
        <v>4811.8999999999996</v>
      </c>
      <c r="F271" s="48">
        <v>3240.7</v>
      </c>
      <c r="G271" s="48">
        <v>2282.9</v>
      </c>
      <c r="H271" s="19">
        <f t="shared" si="70"/>
        <v>9243.5</v>
      </c>
      <c r="I271" s="19">
        <f t="shared" si="71"/>
        <v>7094.7999999999993</v>
      </c>
      <c r="J271" s="24">
        <f t="shared" si="72"/>
        <v>30.285561256131267</v>
      </c>
      <c r="K271" s="17">
        <f t="shared" si="73"/>
        <v>519</v>
      </c>
    </row>
    <row r="272" spans="1:12" x14ac:dyDescent="0.25">
      <c r="A272" s="10">
        <f t="shared" si="69"/>
        <v>40738</v>
      </c>
      <c r="B272" s="10"/>
      <c r="C272" s="10"/>
      <c r="D272">
        <v>5863.3</v>
      </c>
      <c r="E272">
        <v>4649.3</v>
      </c>
      <c r="F272" s="48">
        <v>3724.6</v>
      </c>
      <c r="G272" s="48">
        <v>2827.6</v>
      </c>
      <c r="H272" s="19">
        <f t="shared" si="70"/>
        <v>9587.9</v>
      </c>
      <c r="I272" s="19">
        <f t="shared" si="71"/>
        <v>7476.9</v>
      </c>
      <c r="J272" s="24">
        <f t="shared" si="72"/>
        <v>28.23362623547192</v>
      </c>
      <c r="K272" s="17">
        <f t="shared" si="73"/>
        <v>344.39999999999964</v>
      </c>
      <c r="L272" s="48">
        <v>59.1</v>
      </c>
    </row>
    <row r="273" spans="1:12" x14ac:dyDescent="0.25">
      <c r="A273" s="10">
        <f t="shared" si="69"/>
        <v>40745</v>
      </c>
      <c r="B273" s="10"/>
      <c r="C273" s="10"/>
      <c r="D273">
        <v>5773</v>
      </c>
      <c r="E273">
        <v>5117.8999999999996</v>
      </c>
      <c r="F273" s="48">
        <v>4288.7</v>
      </c>
      <c r="G273" s="48">
        <v>3278.9</v>
      </c>
      <c r="H273" s="19">
        <f t="shared" si="70"/>
        <v>10061.700000000001</v>
      </c>
      <c r="I273" s="19">
        <f t="shared" si="71"/>
        <v>8396.7999999999993</v>
      </c>
      <c r="J273" s="24">
        <f t="shared" si="72"/>
        <v>19.827791539634166</v>
      </c>
      <c r="K273" s="17">
        <f t="shared" si="73"/>
        <v>473.80000000000109</v>
      </c>
      <c r="L273" s="48">
        <v>59.1</v>
      </c>
    </row>
    <row r="274" spans="1:12" x14ac:dyDescent="0.25">
      <c r="A274" s="10">
        <f t="shared" si="69"/>
        <v>40752</v>
      </c>
      <c r="B274" s="10"/>
      <c r="C274" s="10"/>
      <c r="D274">
        <v>5800.4</v>
      </c>
      <c r="E274">
        <v>5399.8</v>
      </c>
      <c r="F274" s="48">
        <v>4760.8999999999996</v>
      </c>
      <c r="G274" s="48">
        <v>3840.2</v>
      </c>
      <c r="H274" s="19">
        <f t="shared" si="70"/>
        <v>10561.3</v>
      </c>
      <c r="I274" s="19">
        <f t="shared" si="71"/>
        <v>9240</v>
      </c>
      <c r="J274" s="24">
        <f t="shared" si="72"/>
        <v>14.299783549783541</v>
      </c>
      <c r="K274" s="17">
        <f t="shared" ref="K274:K279" si="74">+H274-H273</f>
        <v>499.59999999999854</v>
      </c>
      <c r="L274" s="48">
        <v>63.6</v>
      </c>
    </row>
    <row r="275" spans="1:12" x14ac:dyDescent="0.25">
      <c r="A275" s="10">
        <f t="shared" si="69"/>
        <v>40759</v>
      </c>
      <c r="B275" s="10"/>
      <c r="C275" s="10"/>
      <c r="D275">
        <v>5544.2</v>
      </c>
      <c r="E275">
        <v>6295.3</v>
      </c>
      <c r="F275" s="48">
        <v>5393.2</v>
      </c>
      <c r="G275" s="48">
        <v>4274.3999999999996</v>
      </c>
      <c r="H275" s="19">
        <f t="shared" si="70"/>
        <v>10937.4</v>
      </c>
      <c r="I275" s="19">
        <f t="shared" si="71"/>
        <v>10569.7</v>
      </c>
      <c r="J275" s="24">
        <f t="shared" si="72"/>
        <v>3.4788120760286478</v>
      </c>
      <c r="K275" s="17">
        <f t="shared" si="74"/>
        <v>376.10000000000036</v>
      </c>
    </row>
    <row r="276" spans="1:12" x14ac:dyDescent="0.25">
      <c r="A276" s="10">
        <f t="shared" si="69"/>
        <v>40766</v>
      </c>
      <c r="B276" s="10"/>
      <c r="C276" s="10"/>
      <c r="D276">
        <v>5446.7</v>
      </c>
      <c r="E276">
        <v>7130.8</v>
      </c>
      <c r="F276" s="48">
        <v>6039.5</v>
      </c>
      <c r="G276" s="48">
        <v>4851.3</v>
      </c>
      <c r="H276" s="19">
        <f t="shared" ref="H276:H298" si="75">+D276+F276</f>
        <v>11486.2</v>
      </c>
      <c r="I276" s="19">
        <f t="shared" ref="I276:I298" si="76">+E276+G276</f>
        <v>11982.1</v>
      </c>
      <c r="J276" s="24">
        <f t="shared" ref="J276:J298" si="77">+(H276/I276-1)*100</f>
        <v>-4.1386735213359893</v>
      </c>
      <c r="K276" s="17">
        <f t="shared" si="74"/>
        <v>548.80000000000109</v>
      </c>
    </row>
    <row r="277" spans="1:12" x14ac:dyDescent="0.25">
      <c r="A277" s="10">
        <f t="shared" si="69"/>
        <v>40773</v>
      </c>
      <c r="B277" s="10"/>
      <c r="C277" s="10"/>
      <c r="D277">
        <v>5324.8</v>
      </c>
      <c r="E277">
        <v>7701.5</v>
      </c>
      <c r="F277" s="48">
        <v>6508.5</v>
      </c>
      <c r="G277" s="48">
        <v>5358.3</v>
      </c>
      <c r="H277" s="19">
        <f t="shared" si="75"/>
        <v>11833.3</v>
      </c>
      <c r="I277" s="19">
        <f t="shared" si="76"/>
        <v>13059.8</v>
      </c>
      <c r="J277" s="24">
        <f t="shared" si="77"/>
        <v>-9.3914148761849336</v>
      </c>
      <c r="K277" s="17">
        <f t="shared" si="74"/>
        <v>347.09999999999854</v>
      </c>
    </row>
    <row r="278" spans="1:12" x14ac:dyDescent="0.25">
      <c r="A278" s="10">
        <f t="shared" si="69"/>
        <v>40780</v>
      </c>
      <c r="B278" s="10"/>
      <c r="C278" s="10"/>
      <c r="D278">
        <v>5084.3999999999996</v>
      </c>
      <c r="E278">
        <v>8132.5</v>
      </c>
      <c r="F278" s="48">
        <v>7118</v>
      </c>
      <c r="G278" s="48">
        <v>5951.4</v>
      </c>
      <c r="H278" s="19">
        <f t="shared" si="75"/>
        <v>12202.4</v>
      </c>
      <c r="I278" s="19">
        <f t="shared" si="76"/>
        <v>14083.9</v>
      </c>
      <c r="J278" s="24">
        <f t="shared" si="77"/>
        <v>-13.359225782631235</v>
      </c>
      <c r="K278" s="17">
        <f t="shared" si="74"/>
        <v>369.10000000000036</v>
      </c>
      <c r="L278" s="48">
        <v>63.6</v>
      </c>
    </row>
    <row r="279" spans="1:12" x14ac:dyDescent="0.25">
      <c r="A279" s="10">
        <f t="shared" si="69"/>
        <v>40787</v>
      </c>
      <c r="B279" s="10"/>
      <c r="C279" s="10"/>
      <c r="D279">
        <v>4971.6000000000004</v>
      </c>
      <c r="E279">
        <v>8425.9</v>
      </c>
      <c r="F279" s="48">
        <v>7743.1</v>
      </c>
      <c r="G279" s="48">
        <v>6611.4</v>
      </c>
      <c r="H279" s="19">
        <f t="shared" si="75"/>
        <v>12714.7</v>
      </c>
      <c r="I279" s="19">
        <f t="shared" si="76"/>
        <v>15037.3</v>
      </c>
      <c r="J279" s="24">
        <f t="shared" si="77"/>
        <v>-15.445591961322835</v>
      </c>
      <c r="K279" s="17">
        <f t="shared" si="74"/>
        <v>512.30000000000109</v>
      </c>
      <c r="L279" s="48">
        <v>63.6</v>
      </c>
    </row>
    <row r="280" spans="1:12" x14ac:dyDescent="0.25">
      <c r="A280" s="10">
        <f t="shared" si="69"/>
        <v>40794</v>
      </c>
      <c r="B280" s="10"/>
      <c r="C280" s="10"/>
      <c r="D280">
        <v>4913.8999999999996</v>
      </c>
      <c r="E280">
        <v>8038.6</v>
      </c>
      <c r="F280" s="48">
        <v>8214.2999999999993</v>
      </c>
      <c r="G280" s="48">
        <v>7473.6</v>
      </c>
      <c r="H280" s="19">
        <f t="shared" si="75"/>
        <v>13128.199999999999</v>
      </c>
      <c r="I280" s="19">
        <f t="shared" si="76"/>
        <v>15512.2</v>
      </c>
      <c r="J280" s="24">
        <f t="shared" si="77"/>
        <v>-15.368548626242584</v>
      </c>
      <c r="K280" s="17">
        <v>521.5</v>
      </c>
      <c r="L280" s="48">
        <v>63.6</v>
      </c>
    </row>
    <row r="281" spans="1:12" x14ac:dyDescent="0.25">
      <c r="A281" s="10">
        <f t="shared" si="69"/>
        <v>40801</v>
      </c>
      <c r="B281" s="10"/>
      <c r="C281" s="10"/>
      <c r="D281">
        <v>4707.3</v>
      </c>
      <c r="E281">
        <v>8070.3</v>
      </c>
      <c r="F281" s="48">
        <v>9100.5</v>
      </c>
      <c r="G281" s="48">
        <v>8392.1</v>
      </c>
      <c r="H281" s="19">
        <f t="shared" si="75"/>
        <v>13807.8</v>
      </c>
      <c r="I281" s="19">
        <f t="shared" si="76"/>
        <v>16462.400000000001</v>
      </c>
      <c r="J281" s="24">
        <f t="shared" si="77"/>
        <v>-16.125230829040738</v>
      </c>
      <c r="L281" s="48">
        <v>63.6</v>
      </c>
    </row>
    <row r="282" spans="1:12" x14ac:dyDescent="0.25">
      <c r="A282" s="10">
        <f t="shared" si="69"/>
        <v>40808</v>
      </c>
      <c r="B282" s="10"/>
      <c r="C282" s="10"/>
      <c r="D282">
        <v>4614.5</v>
      </c>
      <c r="E282">
        <v>7915.6</v>
      </c>
      <c r="F282" s="48">
        <v>9622.1</v>
      </c>
      <c r="G282" s="48">
        <v>9177.7000000000007</v>
      </c>
      <c r="H282" s="19">
        <f t="shared" si="75"/>
        <v>14236.6</v>
      </c>
      <c r="I282" s="19">
        <f t="shared" si="76"/>
        <v>17093.300000000003</v>
      </c>
      <c r="J282" s="24">
        <f t="shared" si="77"/>
        <v>-16.712396085015779</v>
      </c>
    </row>
    <row r="283" spans="1:12" x14ac:dyDescent="0.25">
      <c r="A283" s="10">
        <f t="shared" si="69"/>
        <v>40815</v>
      </c>
      <c r="B283" s="10"/>
      <c r="C283" s="10"/>
      <c r="D283">
        <v>4444.6000000000004</v>
      </c>
      <c r="E283">
        <v>7845.8</v>
      </c>
      <c r="F283" s="48">
        <v>10223.200000000001</v>
      </c>
      <c r="G283" s="48">
        <v>10050.9</v>
      </c>
      <c r="H283" s="19">
        <f t="shared" si="75"/>
        <v>14667.800000000001</v>
      </c>
      <c r="I283" s="19">
        <f t="shared" si="76"/>
        <v>17896.7</v>
      </c>
      <c r="J283" s="24">
        <f t="shared" si="77"/>
        <v>-18.041873641509319</v>
      </c>
    </row>
    <row r="284" spans="1:12" x14ac:dyDescent="0.25">
      <c r="A284" s="10">
        <f t="shared" si="69"/>
        <v>40822</v>
      </c>
      <c r="B284" s="10"/>
      <c r="C284" s="10"/>
      <c r="D284">
        <v>4563.3</v>
      </c>
      <c r="E284">
        <v>7554.1</v>
      </c>
      <c r="F284" s="48">
        <v>10588.2</v>
      </c>
      <c r="G284" s="48">
        <v>10719.6</v>
      </c>
      <c r="H284" s="19">
        <f t="shared" si="75"/>
        <v>15151.5</v>
      </c>
      <c r="I284" s="19">
        <f t="shared" si="76"/>
        <v>18273.7</v>
      </c>
      <c r="J284" s="24">
        <f t="shared" si="77"/>
        <v>-17.085757126361933</v>
      </c>
      <c r="L284">
        <v>80.599999999999994</v>
      </c>
    </row>
    <row r="285" spans="1:12" x14ac:dyDescent="0.25">
      <c r="A285" s="10">
        <f t="shared" si="69"/>
        <v>40829</v>
      </c>
      <c r="B285" s="10"/>
      <c r="C285" s="10"/>
      <c r="D285">
        <v>4577.2</v>
      </c>
      <c r="E285" s="17">
        <v>7536</v>
      </c>
      <c r="F285" s="17">
        <v>10973.6</v>
      </c>
      <c r="G285" s="17">
        <v>11311.8</v>
      </c>
      <c r="H285" s="19">
        <f t="shared" si="75"/>
        <v>15550.8</v>
      </c>
      <c r="I285" s="19">
        <f t="shared" si="76"/>
        <v>18847.8</v>
      </c>
      <c r="J285" s="24">
        <f t="shared" si="77"/>
        <v>-17.492757775443291</v>
      </c>
    </row>
    <row r="286" spans="1:12" x14ac:dyDescent="0.25">
      <c r="A286" s="10">
        <f t="shared" si="69"/>
        <v>40836</v>
      </c>
      <c r="B286" s="10"/>
      <c r="C286" s="10"/>
      <c r="D286">
        <v>4510.5</v>
      </c>
      <c r="E286">
        <v>7487.3</v>
      </c>
      <c r="F286" s="48">
        <v>11357.2</v>
      </c>
      <c r="G286" s="48">
        <v>11964.8</v>
      </c>
      <c r="H286" s="19">
        <f t="shared" si="75"/>
        <v>15867.7</v>
      </c>
      <c r="I286" s="19">
        <f t="shared" si="76"/>
        <v>19452.099999999999</v>
      </c>
      <c r="J286" s="24">
        <f t="shared" si="77"/>
        <v>-18.426802247572226</v>
      </c>
    </row>
    <row r="287" spans="1:12" x14ac:dyDescent="0.25">
      <c r="A287" s="10">
        <f t="shared" si="69"/>
        <v>40843</v>
      </c>
      <c r="B287" s="10"/>
      <c r="C287" s="10"/>
      <c r="D287">
        <v>4206.2</v>
      </c>
      <c r="E287">
        <v>7623.3</v>
      </c>
      <c r="F287" s="48">
        <v>11981.6</v>
      </c>
      <c r="G287" s="48">
        <v>12394.4</v>
      </c>
      <c r="H287" s="19">
        <f t="shared" si="75"/>
        <v>16187.8</v>
      </c>
      <c r="I287" s="19">
        <f t="shared" si="76"/>
        <v>20017.7</v>
      </c>
      <c r="J287" s="24">
        <f t="shared" si="77"/>
        <v>-19.132567677605326</v>
      </c>
      <c r="L287">
        <v>80.599999999999994</v>
      </c>
    </row>
    <row r="288" spans="1:12" x14ac:dyDescent="0.25">
      <c r="A288" s="10">
        <f t="shared" si="69"/>
        <v>40850</v>
      </c>
      <c r="B288" s="10"/>
      <c r="C288" s="10"/>
      <c r="D288">
        <v>4151.1000000000004</v>
      </c>
      <c r="E288">
        <v>7938.9</v>
      </c>
      <c r="F288" s="48">
        <v>12335.1</v>
      </c>
      <c r="G288" s="48">
        <v>12910.8</v>
      </c>
      <c r="H288" s="19">
        <f t="shared" si="75"/>
        <v>16486.2</v>
      </c>
      <c r="I288" s="19">
        <f t="shared" si="76"/>
        <v>20849.699999999997</v>
      </c>
      <c r="J288" s="24">
        <f t="shared" si="77"/>
        <v>-20.928358681419866</v>
      </c>
    </row>
    <row r="289" spans="1:12" x14ac:dyDescent="0.25">
      <c r="A289" s="10">
        <f t="shared" si="69"/>
        <v>40857</v>
      </c>
      <c r="B289" s="10"/>
      <c r="C289" s="10"/>
      <c r="D289">
        <v>4166.7</v>
      </c>
      <c r="E289">
        <v>8444.2999999999993</v>
      </c>
      <c r="F289" s="48">
        <v>12636.6</v>
      </c>
      <c r="G289" s="48">
        <v>13348.8</v>
      </c>
      <c r="H289" s="19">
        <f t="shared" si="75"/>
        <v>16803.3</v>
      </c>
      <c r="I289" s="19">
        <f t="shared" si="76"/>
        <v>21793.1</v>
      </c>
      <c r="J289" s="24">
        <f t="shared" si="77"/>
        <v>-22.896237800037621</v>
      </c>
    </row>
    <row r="290" spans="1:12" x14ac:dyDescent="0.25">
      <c r="A290" s="10">
        <f t="shared" si="69"/>
        <v>40864</v>
      </c>
      <c r="B290" s="10"/>
      <c r="C290" s="10"/>
      <c r="D290">
        <v>3676.9</v>
      </c>
      <c r="E290">
        <v>6353.9</v>
      </c>
      <c r="F290" s="48">
        <v>12999.2</v>
      </c>
      <c r="G290" s="48">
        <v>13873.1</v>
      </c>
      <c r="H290" s="19">
        <f t="shared" si="75"/>
        <v>16676.100000000002</v>
      </c>
      <c r="I290" s="19">
        <f t="shared" si="76"/>
        <v>20227</v>
      </c>
      <c r="J290" s="24">
        <f t="shared" si="77"/>
        <v>-17.55524793592722</v>
      </c>
    </row>
    <row r="291" spans="1:12" x14ac:dyDescent="0.25">
      <c r="A291" s="10">
        <f t="shared" si="69"/>
        <v>40871</v>
      </c>
      <c r="B291" s="10"/>
      <c r="C291" s="10"/>
      <c r="D291">
        <v>4619.5</v>
      </c>
      <c r="E291">
        <v>8740.4</v>
      </c>
      <c r="F291" s="48">
        <v>13301.2</v>
      </c>
      <c r="G291" s="48">
        <v>14461.2</v>
      </c>
      <c r="H291" s="19">
        <f t="shared" si="75"/>
        <v>17920.7</v>
      </c>
      <c r="I291" s="19">
        <f t="shared" si="76"/>
        <v>23201.599999999999</v>
      </c>
      <c r="J291" s="24">
        <f t="shared" si="77"/>
        <v>-22.760930280670287</v>
      </c>
      <c r="L291">
        <v>98.1</v>
      </c>
    </row>
    <row r="292" spans="1:12" x14ac:dyDescent="0.25">
      <c r="A292" s="10">
        <f t="shared" si="69"/>
        <v>40878</v>
      </c>
      <c r="B292" s="10"/>
      <c r="C292" s="10"/>
      <c r="D292">
        <v>4616.3999999999996</v>
      </c>
      <c r="E292">
        <v>8600.7999999999993</v>
      </c>
      <c r="F292" s="48">
        <v>13731.5</v>
      </c>
      <c r="G292" s="48">
        <v>15131.3</v>
      </c>
      <c r="H292" s="19">
        <f t="shared" si="75"/>
        <v>18347.900000000001</v>
      </c>
      <c r="I292" s="34">
        <f>+E292+G291</f>
        <v>23062</v>
      </c>
      <c r="J292" s="24">
        <f t="shared" si="77"/>
        <v>-20.440985170410197</v>
      </c>
    </row>
    <row r="293" spans="1:12" x14ac:dyDescent="0.25">
      <c r="A293" s="10">
        <f t="shared" si="69"/>
        <v>40885</v>
      </c>
      <c r="B293" s="10"/>
      <c r="C293" s="10"/>
      <c r="D293">
        <v>4395.5</v>
      </c>
      <c r="E293">
        <v>8996</v>
      </c>
      <c r="F293" s="48">
        <v>14270.8</v>
      </c>
      <c r="G293" s="48">
        <v>15635.4</v>
      </c>
      <c r="H293" s="19">
        <f t="shared" si="75"/>
        <v>18666.3</v>
      </c>
      <c r="I293" s="19">
        <f t="shared" si="76"/>
        <v>24631.4</v>
      </c>
      <c r="J293" s="24">
        <f t="shared" si="77"/>
        <v>-24.217462263614742</v>
      </c>
    </row>
    <row r="294" spans="1:12" x14ac:dyDescent="0.25">
      <c r="A294" s="10">
        <f t="shared" si="69"/>
        <v>40892</v>
      </c>
      <c r="B294" s="10"/>
      <c r="C294" s="10"/>
      <c r="D294">
        <v>4357.8</v>
      </c>
      <c r="E294">
        <v>8873</v>
      </c>
      <c r="F294" s="48">
        <v>14670.8</v>
      </c>
      <c r="G294" s="48">
        <v>16287.3</v>
      </c>
      <c r="H294" s="19">
        <f t="shared" si="75"/>
        <v>19028.599999999999</v>
      </c>
      <c r="I294" s="19">
        <f t="shared" si="76"/>
        <v>25160.3</v>
      </c>
      <c r="J294" s="24">
        <f t="shared" si="77"/>
        <v>-24.370536122383278</v>
      </c>
    </row>
    <row r="295" spans="1:12" x14ac:dyDescent="0.25">
      <c r="A295" s="10">
        <f t="shared" si="69"/>
        <v>40899</v>
      </c>
      <c r="B295" s="10"/>
      <c r="C295" s="10"/>
      <c r="D295">
        <v>4375.3</v>
      </c>
      <c r="E295">
        <v>8757.6</v>
      </c>
      <c r="F295" s="48">
        <v>15084.4</v>
      </c>
      <c r="G295" s="48">
        <v>16828.8</v>
      </c>
      <c r="H295" s="19">
        <f t="shared" si="75"/>
        <v>19459.7</v>
      </c>
      <c r="I295" s="19">
        <f t="shared" si="76"/>
        <v>25586.400000000001</v>
      </c>
      <c r="J295" s="24">
        <f t="shared" si="77"/>
        <v>-23.94514273207642</v>
      </c>
    </row>
    <row r="296" spans="1:12" x14ac:dyDescent="0.25">
      <c r="A296" s="10">
        <f t="shared" si="69"/>
        <v>40906</v>
      </c>
      <c r="B296" s="10"/>
      <c r="C296" s="10"/>
      <c r="D296">
        <v>4088.2</v>
      </c>
      <c r="E296">
        <v>8786.2000000000007</v>
      </c>
      <c r="F296" s="48">
        <v>15510.2</v>
      </c>
      <c r="G296" s="48">
        <v>17264.8</v>
      </c>
      <c r="H296" s="19">
        <f t="shared" si="75"/>
        <v>19598.400000000001</v>
      </c>
      <c r="I296" s="19">
        <f t="shared" si="76"/>
        <v>26051</v>
      </c>
      <c r="J296" s="24">
        <f t="shared" si="77"/>
        <v>-24.769106752140026</v>
      </c>
      <c r="L296">
        <v>127.6</v>
      </c>
    </row>
    <row r="297" spans="1:12" x14ac:dyDescent="0.25">
      <c r="A297" s="10">
        <f t="shared" si="69"/>
        <v>40913</v>
      </c>
      <c r="B297" s="10"/>
      <c r="C297" s="10"/>
      <c r="D297">
        <v>4257.1000000000004</v>
      </c>
      <c r="E297">
        <v>8320</v>
      </c>
      <c r="F297" s="48">
        <v>15697.9</v>
      </c>
      <c r="G297" s="48">
        <v>17878.5</v>
      </c>
      <c r="H297" s="19">
        <f t="shared" si="75"/>
        <v>19955</v>
      </c>
      <c r="I297" s="19">
        <f t="shared" si="76"/>
        <v>26198.5</v>
      </c>
      <c r="J297" s="24">
        <f t="shared" si="77"/>
        <v>-23.83151707158807</v>
      </c>
    </row>
    <row r="298" spans="1:12" x14ac:dyDescent="0.25">
      <c r="A298" s="10">
        <f t="shared" si="69"/>
        <v>40920</v>
      </c>
      <c r="B298" s="10"/>
      <c r="C298" s="10"/>
      <c r="D298">
        <v>4486.3999999999996</v>
      </c>
      <c r="E298">
        <v>8675.7999999999993</v>
      </c>
      <c r="F298" s="48">
        <v>16055.8</v>
      </c>
      <c r="G298" s="48">
        <v>18549.099999999999</v>
      </c>
      <c r="H298" s="19">
        <f t="shared" si="75"/>
        <v>20542.199999999997</v>
      </c>
      <c r="I298" s="19">
        <f t="shared" si="76"/>
        <v>27224.899999999998</v>
      </c>
      <c r="J298" s="24">
        <f t="shared" si="77"/>
        <v>-24.546279325176592</v>
      </c>
    </row>
    <row r="299" spans="1:12" x14ac:dyDescent="0.25">
      <c r="A299" s="10">
        <f t="shared" si="69"/>
        <v>40927</v>
      </c>
      <c r="B299" s="10"/>
      <c r="C299" s="10"/>
      <c r="D299">
        <v>4666.5</v>
      </c>
      <c r="E299">
        <v>8900</v>
      </c>
      <c r="F299" s="48">
        <v>16480.5</v>
      </c>
      <c r="G299" s="48">
        <v>19219</v>
      </c>
      <c r="H299" s="19">
        <f t="shared" ref="H299:I317" si="78">+D299+F299</f>
        <v>21147</v>
      </c>
      <c r="I299" s="19">
        <f t="shared" si="78"/>
        <v>28119</v>
      </c>
      <c r="J299" s="24">
        <f t="shared" ref="J299:J318" si="79">+(H299/I299-1)*100</f>
        <v>-24.794622852875282</v>
      </c>
    </row>
    <row r="300" spans="1:12" x14ac:dyDescent="0.25">
      <c r="A300" s="10">
        <f t="shared" si="69"/>
        <v>40934</v>
      </c>
      <c r="B300" s="10"/>
      <c r="C300" s="10"/>
      <c r="D300">
        <v>4730.8</v>
      </c>
      <c r="E300">
        <v>8842.9</v>
      </c>
      <c r="F300" s="48">
        <v>16935</v>
      </c>
      <c r="G300" s="48">
        <v>19810.3</v>
      </c>
      <c r="H300" s="19">
        <f t="shared" si="78"/>
        <v>21665.8</v>
      </c>
      <c r="I300" s="19">
        <f t="shared" si="78"/>
        <v>28653.199999999997</v>
      </c>
      <c r="J300" s="24">
        <f t="shared" si="79"/>
        <v>-24.386106961875107</v>
      </c>
    </row>
    <row r="301" spans="1:12" x14ac:dyDescent="0.25">
      <c r="A301" s="10">
        <f t="shared" si="69"/>
        <v>40941</v>
      </c>
      <c r="B301" s="10"/>
      <c r="C301" s="10"/>
      <c r="D301">
        <v>4974.7</v>
      </c>
      <c r="E301">
        <v>8351.7000000000007</v>
      </c>
      <c r="F301" s="48">
        <v>17399</v>
      </c>
      <c r="G301" s="48">
        <v>20692.7</v>
      </c>
      <c r="H301" s="19">
        <f t="shared" si="78"/>
        <v>22373.7</v>
      </c>
      <c r="I301" s="19">
        <f t="shared" si="78"/>
        <v>29044.400000000001</v>
      </c>
      <c r="J301" s="24">
        <f t="shared" si="79"/>
        <v>-22.967250141163188</v>
      </c>
    </row>
    <row r="302" spans="1:12" x14ac:dyDescent="0.25">
      <c r="A302" s="10">
        <f t="shared" si="69"/>
        <v>40948</v>
      </c>
      <c r="B302" s="10"/>
      <c r="C302" s="10"/>
      <c r="D302">
        <v>4916</v>
      </c>
      <c r="E302">
        <v>8364.5</v>
      </c>
      <c r="F302" s="48">
        <v>17878.099999999999</v>
      </c>
      <c r="G302" s="48">
        <v>21279.200000000001</v>
      </c>
      <c r="H302" s="19">
        <f t="shared" si="78"/>
        <v>22794.1</v>
      </c>
      <c r="I302" s="19">
        <f t="shared" si="78"/>
        <v>29643.7</v>
      </c>
      <c r="J302" s="24">
        <f t="shared" si="79"/>
        <v>-23.106427335319147</v>
      </c>
    </row>
    <row r="303" spans="1:12" x14ac:dyDescent="0.25">
      <c r="A303" s="10">
        <f t="shared" si="69"/>
        <v>40955</v>
      </c>
      <c r="B303" s="10"/>
      <c r="C303" s="10"/>
      <c r="D303">
        <v>5087.1000000000004</v>
      </c>
      <c r="E303">
        <v>8502</v>
      </c>
      <c r="F303" s="48">
        <v>18408.599999999999</v>
      </c>
      <c r="G303" s="48">
        <v>22150.1</v>
      </c>
      <c r="H303" s="19">
        <f t="shared" si="78"/>
        <v>23495.699999999997</v>
      </c>
      <c r="I303" s="19">
        <f t="shared" si="78"/>
        <v>30652.1</v>
      </c>
      <c r="J303" s="24">
        <f t="shared" si="79"/>
        <v>-23.34717686553287</v>
      </c>
    </row>
    <row r="304" spans="1:12" x14ac:dyDescent="0.25">
      <c r="A304" s="10">
        <f t="shared" si="69"/>
        <v>40962</v>
      </c>
      <c r="B304" s="10"/>
      <c r="C304" s="10"/>
      <c r="D304">
        <v>5295.4</v>
      </c>
      <c r="E304">
        <v>8521.1</v>
      </c>
      <c r="F304" s="48">
        <v>18614.400000000001</v>
      </c>
      <c r="G304" s="48">
        <v>22691.5</v>
      </c>
      <c r="H304" s="19">
        <f t="shared" si="78"/>
        <v>23909.800000000003</v>
      </c>
      <c r="I304" s="19">
        <f t="shared" si="78"/>
        <v>31212.6</v>
      </c>
      <c r="J304" s="24">
        <f t="shared" si="79"/>
        <v>-23.396961483503443</v>
      </c>
    </row>
    <row r="305" spans="1:11" x14ac:dyDescent="0.25">
      <c r="A305" s="10">
        <f t="shared" si="69"/>
        <v>40969</v>
      </c>
      <c r="B305" s="10"/>
      <c r="C305" s="10"/>
      <c r="D305">
        <v>5309.3</v>
      </c>
      <c r="E305">
        <v>8507.7999999999993</v>
      </c>
      <c r="F305" s="48">
        <v>19047.099999999999</v>
      </c>
      <c r="G305" s="48">
        <v>23280.5</v>
      </c>
      <c r="H305" s="19">
        <f t="shared" si="78"/>
        <v>24356.399999999998</v>
      </c>
      <c r="I305" s="19">
        <f t="shared" si="78"/>
        <v>31788.3</v>
      </c>
      <c r="J305" s="24">
        <f t="shared" si="79"/>
        <v>-23.379356555713905</v>
      </c>
    </row>
    <row r="306" spans="1:11" x14ac:dyDescent="0.25">
      <c r="A306" s="10">
        <f t="shared" si="69"/>
        <v>40976</v>
      </c>
      <c r="B306" s="10"/>
      <c r="C306" s="10"/>
      <c r="D306">
        <v>4698.7</v>
      </c>
      <c r="E306">
        <v>8480.7999999999993</v>
      </c>
      <c r="F306" s="48">
        <v>19960.099999999999</v>
      </c>
      <c r="G306" s="48">
        <v>23970.3</v>
      </c>
      <c r="H306" s="19">
        <f t="shared" si="78"/>
        <v>24658.799999999999</v>
      </c>
      <c r="I306" s="19">
        <f t="shared" si="78"/>
        <v>32451.1</v>
      </c>
      <c r="J306" s="24">
        <f t="shared" si="79"/>
        <v>-24.01243717470286</v>
      </c>
    </row>
    <row r="307" spans="1:11" x14ac:dyDescent="0.25">
      <c r="A307" s="10">
        <f t="shared" si="69"/>
        <v>40983</v>
      </c>
      <c r="B307" s="10"/>
      <c r="C307" s="10"/>
      <c r="D307">
        <v>4689.3999999999996</v>
      </c>
      <c r="E307">
        <v>8519.6</v>
      </c>
      <c r="F307" s="48">
        <v>20497.900000000001</v>
      </c>
      <c r="G307" s="48">
        <v>24591.3</v>
      </c>
      <c r="H307" s="19">
        <f t="shared" si="78"/>
        <v>25187.300000000003</v>
      </c>
      <c r="I307" s="19">
        <f t="shared" si="78"/>
        <v>33110.9</v>
      </c>
      <c r="J307" s="24">
        <f t="shared" si="79"/>
        <v>-23.930488147407647</v>
      </c>
    </row>
    <row r="308" spans="1:11" x14ac:dyDescent="0.25">
      <c r="A308" s="10">
        <f t="shared" si="69"/>
        <v>40990</v>
      </c>
      <c r="B308" s="10"/>
      <c r="C308" s="10"/>
      <c r="D308">
        <v>4474.5</v>
      </c>
      <c r="E308">
        <v>7902.7</v>
      </c>
      <c r="F308" s="48">
        <v>20938.8</v>
      </c>
      <c r="G308" s="48">
        <v>25479.7</v>
      </c>
      <c r="H308" s="19">
        <f t="shared" si="78"/>
        <v>25413.3</v>
      </c>
      <c r="I308" s="19">
        <f t="shared" si="78"/>
        <v>33382.400000000001</v>
      </c>
      <c r="J308" s="24">
        <f t="shared" si="79"/>
        <v>-23.872160180214731</v>
      </c>
    </row>
    <row r="309" spans="1:11" x14ac:dyDescent="0.25">
      <c r="A309" s="10">
        <f t="shared" si="69"/>
        <v>40997</v>
      </c>
      <c r="B309" s="10"/>
      <c r="C309" s="10"/>
      <c r="D309">
        <v>4478.1000000000004</v>
      </c>
      <c r="E309">
        <v>7639.4</v>
      </c>
      <c r="F309" s="48">
        <v>21343.5</v>
      </c>
      <c r="G309" s="48">
        <v>26201.9</v>
      </c>
      <c r="H309" s="19">
        <f t="shared" si="78"/>
        <v>25821.599999999999</v>
      </c>
      <c r="I309" s="19">
        <f t="shared" si="78"/>
        <v>33841.300000000003</v>
      </c>
      <c r="J309" s="24">
        <f t="shared" si="79"/>
        <v>-23.697966685676974</v>
      </c>
    </row>
    <row r="310" spans="1:11" x14ac:dyDescent="0.25">
      <c r="A310" s="10">
        <f t="shared" si="69"/>
        <v>41004</v>
      </c>
      <c r="B310" s="10"/>
      <c r="C310" s="10"/>
      <c r="D310">
        <v>4490.3999999999996</v>
      </c>
      <c r="E310">
        <v>7358.3</v>
      </c>
      <c r="F310" s="48">
        <v>21783.3</v>
      </c>
      <c r="G310" s="48">
        <v>26926.5</v>
      </c>
      <c r="H310" s="19">
        <f t="shared" si="78"/>
        <v>26273.699999999997</v>
      </c>
      <c r="I310" s="19">
        <f t="shared" si="78"/>
        <v>34284.800000000003</v>
      </c>
      <c r="J310" s="24">
        <f t="shared" si="79"/>
        <v>-23.366331435504961</v>
      </c>
    </row>
    <row r="311" spans="1:11" x14ac:dyDescent="0.25">
      <c r="A311" s="10">
        <f t="shared" si="69"/>
        <v>41011</v>
      </c>
      <c r="B311" s="10"/>
      <c r="C311" s="10"/>
      <c r="D311">
        <v>4224.1000000000004</v>
      </c>
      <c r="E311">
        <v>6631.2</v>
      </c>
      <c r="F311" s="48">
        <v>22415.599999999999</v>
      </c>
      <c r="G311" s="48">
        <v>27788.5</v>
      </c>
      <c r="H311" s="19">
        <f t="shared" si="78"/>
        <v>26639.699999999997</v>
      </c>
      <c r="I311" s="19">
        <f t="shared" si="78"/>
        <v>34419.699999999997</v>
      </c>
      <c r="J311" s="24">
        <f t="shared" si="79"/>
        <v>-22.603334718199175</v>
      </c>
    </row>
    <row r="312" spans="1:11" x14ac:dyDescent="0.25">
      <c r="A312" s="10">
        <f t="shared" si="69"/>
        <v>41018</v>
      </c>
      <c r="B312" s="10"/>
      <c r="C312" s="10"/>
      <c r="D312">
        <v>3993.1</v>
      </c>
      <c r="E312">
        <v>6069.9</v>
      </c>
      <c r="F312" s="48">
        <v>23033.3</v>
      </c>
      <c r="G312" s="48">
        <v>28614.7</v>
      </c>
      <c r="H312" s="19">
        <f t="shared" si="78"/>
        <v>27026.399999999998</v>
      </c>
      <c r="I312" s="19">
        <f t="shared" si="78"/>
        <v>34684.6</v>
      </c>
      <c r="J312" s="24">
        <f t="shared" si="79"/>
        <v>-22.079539622772071</v>
      </c>
    </row>
    <row r="313" spans="1:11" x14ac:dyDescent="0.25">
      <c r="A313" s="10">
        <f t="shared" si="69"/>
        <v>41025</v>
      </c>
      <c r="B313" s="10"/>
      <c r="C313" s="10"/>
      <c r="D313">
        <v>3628.4</v>
      </c>
      <c r="E313">
        <v>5476.7</v>
      </c>
      <c r="F313" s="48">
        <v>23654.799999999999</v>
      </c>
      <c r="G313" s="48">
        <v>29481.8</v>
      </c>
      <c r="H313" s="19">
        <f t="shared" si="78"/>
        <v>27283.200000000001</v>
      </c>
      <c r="I313" s="19">
        <f t="shared" si="78"/>
        <v>34958.5</v>
      </c>
      <c r="J313" s="24">
        <f t="shared" si="79"/>
        <v>-21.955461475749814</v>
      </c>
      <c r="K313">
        <v>1855.4</v>
      </c>
    </row>
    <row r="314" spans="1:11" x14ac:dyDescent="0.25">
      <c r="A314" s="10">
        <f t="shared" si="69"/>
        <v>41032</v>
      </c>
      <c r="B314" s="10"/>
      <c r="C314" s="10"/>
      <c r="D314">
        <v>3298.8</v>
      </c>
      <c r="E314">
        <v>4770.8</v>
      </c>
      <c r="F314" s="48">
        <v>24206</v>
      </c>
      <c r="G314" s="48">
        <v>30508.3</v>
      </c>
      <c r="H314" s="19">
        <f t="shared" si="78"/>
        <v>27504.799999999999</v>
      </c>
      <c r="I314" s="19">
        <f t="shared" si="78"/>
        <v>35279.1</v>
      </c>
      <c r="J314" s="24">
        <f t="shared" si="79"/>
        <v>-22.036559889566341</v>
      </c>
      <c r="K314">
        <v>2184.3000000000002</v>
      </c>
    </row>
    <row r="315" spans="1:11" x14ac:dyDescent="0.25">
      <c r="A315" s="10">
        <f t="shared" si="69"/>
        <v>41039</v>
      </c>
      <c r="B315" s="10"/>
      <c r="C315" s="10"/>
      <c r="D315">
        <v>2941.6</v>
      </c>
      <c r="E315">
        <v>4103.3</v>
      </c>
      <c r="F315" s="48">
        <v>24884.9</v>
      </c>
      <c r="G315" s="48">
        <v>31302.5</v>
      </c>
      <c r="H315" s="19">
        <f t="shared" si="78"/>
        <v>27826.5</v>
      </c>
      <c r="I315" s="19">
        <f t="shared" si="78"/>
        <v>35405.800000000003</v>
      </c>
      <c r="J315" s="24">
        <f t="shared" si="79"/>
        <v>-21.406944624891977</v>
      </c>
      <c r="K315">
        <v>2574</v>
      </c>
    </row>
    <row r="316" spans="1:11" x14ac:dyDescent="0.25">
      <c r="A316" s="10">
        <f t="shared" si="69"/>
        <v>41046</v>
      </c>
      <c r="B316" s="10"/>
      <c r="C316" s="10"/>
      <c r="D316">
        <v>2446.3000000000002</v>
      </c>
      <c r="E316">
        <v>3288.1</v>
      </c>
      <c r="F316" s="48">
        <v>25452.799999999999</v>
      </c>
      <c r="G316" s="48">
        <v>32045.4</v>
      </c>
      <c r="H316" s="19">
        <f t="shared" si="78"/>
        <v>27899.1</v>
      </c>
      <c r="I316" s="19">
        <f t="shared" si="78"/>
        <v>35333.5</v>
      </c>
      <c r="J316" s="24">
        <f t="shared" si="79"/>
        <v>-21.040655468606285</v>
      </c>
      <c r="K316">
        <v>3328.6</v>
      </c>
    </row>
    <row r="317" spans="1:11" x14ac:dyDescent="0.25">
      <c r="A317" s="10">
        <f t="shared" ref="A317:A380" si="80">+A316+7</f>
        <v>41053</v>
      </c>
      <c r="B317" s="10"/>
      <c r="C317" s="10"/>
      <c r="D317">
        <v>1796.1</v>
      </c>
      <c r="E317">
        <v>2320.4</v>
      </c>
      <c r="F317" s="48">
        <v>26096.5</v>
      </c>
      <c r="G317" s="48">
        <v>32983.5</v>
      </c>
      <c r="H317" s="19">
        <f t="shared" si="78"/>
        <v>27892.6</v>
      </c>
      <c r="I317" s="19">
        <f t="shared" si="78"/>
        <v>35303.9</v>
      </c>
      <c r="J317" s="24">
        <f t="shared" si="79"/>
        <v>-20.992864810969902</v>
      </c>
      <c r="K317">
        <v>3654.1</v>
      </c>
    </row>
    <row r="318" spans="1:11" x14ac:dyDescent="0.25">
      <c r="A318" s="10">
        <f t="shared" si="80"/>
        <v>41060</v>
      </c>
      <c r="B318" s="10"/>
      <c r="C318" s="10"/>
      <c r="D318">
        <v>1295.5999999999999</v>
      </c>
      <c r="E318">
        <v>1815.5</v>
      </c>
      <c r="F318" s="48">
        <v>26627.3</v>
      </c>
      <c r="G318" s="48">
        <v>33438.5</v>
      </c>
      <c r="H318" s="19">
        <f>+D318+F318</f>
        <v>27922.899999999998</v>
      </c>
      <c r="I318" s="19">
        <f>+E318+G318</f>
        <v>35254</v>
      </c>
      <c r="J318" s="24">
        <f t="shared" si="79"/>
        <v>-20.795087082316911</v>
      </c>
      <c r="K318">
        <v>5115.3999999999996</v>
      </c>
    </row>
    <row r="319" spans="1:11" x14ac:dyDescent="0.25">
      <c r="A319" s="10">
        <f t="shared" si="80"/>
        <v>41067</v>
      </c>
      <c r="B319" s="12">
        <f>AVERAGE(H266,H214,H162)</f>
        <v>4765.8666666666659</v>
      </c>
      <c r="C319" s="12">
        <f>AVERAGE(F266,F214,F162)</f>
        <v>121.36666666666667</v>
      </c>
      <c r="D319">
        <v>4881.3</v>
      </c>
      <c r="E319">
        <v>6301</v>
      </c>
      <c r="F319">
        <v>667</v>
      </c>
      <c r="G319">
        <v>792.8</v>
      </c>
      <c r="H319" s="19">
        <f t="shared" ref="H319:H349" si="81">+D319+F319</f>
        <v>5548.3</v>
      </c>
      <c r="I319" s="19">
        <f t="shared" ref="I319:I349" si="82">+E319+G319</f>
        <v>7093.8</v>
      </c>
      <c r="J319" s="24">
        <f t="shared" ref="J319:J349" si="83">+(H319/I319-1)*100</f>
        <v>-21.786630578815302</v>
      </c>
    </row>
    <row r="320" spans="1:11" x14ac:dyDescent="0.25">
      <c r="A320" s="10">
        <f t="shared" si="80"/>
        <v>41074</v>
      </c>
      <c r="B320" s="12">
        <f t="shared" ref="B320:B370" si="84">AVERAGE(H267,H215,H163)</f>
        <v>5327.0999999999995</v>
      </c>
      <c r="C320" s="12">
        <f t="shared" ref="C320:C370" si="85">AVERAGE(F267,F215,F163)</f>
        <v>600.5</v>
      </c>
      <c r="D320">
        <v>5128.2</v>
      </c>
      <c r="E320">
        <v>6300.5</v>
      </c>
      <c r="F320">
        <v>1262.0999999999999</v>
      </c>
      <c r="G320">
        <v>1454.7</v>
      </c>
      <c r="H320" s="19">
        <f t="shared" si="81"/>
        <v>6390.2999999999993</v>
      </c>
      <c r="I320" s="19">
        <f t="shared" si="82"/>
        <v>7755.2</v>
      </c>
      <c r="J320" s="24">
        <f t="shared" si="83"/>
        <v>-17.599804002475761</v>
      </c>
    </row>
    <row r="321" spans="1:10" x14ac:dyDescent="0.25">
      <c r="A321" s="10">
        <f t="shared" si="80"/>
        <v>41081</v>
      </c>
      <c r="B321" s="12">
        <f t="shared" si="84"/>
        <v>5910.5666666666657</v>
      </c>
      <c r="C321" s="12">
        <f t="shared" si="85"/>
        <v>1022.5333333333334</v>
      </c>
      <c r="D321">
        <v>4980.1000000000004</v>
      </c>
      <c r="E321">
        <v>6363</v>
      </c>
      <c r="F321">
        <v>1734.7</v>
      </c>
      <c r="G321">
        <v>1937.3</v>
      </c>
      <c r="H321" s="19">
        <f t="shared" si="81"/>
        <v>6714.8</v>
      </c>
      <c r="I321" s="19">
        <f t="shared" si="82"/>
        <v>8300.2999999999993</v>
      </c>
      <c r="J321" s="24">
        <f t="shared" si="83"/>
        <v>-19.101719214968128</v>
      </c>
    </row>
    <row r="322" spans="1:10" x14ac:dyDescent="0.25">
      <c r="A322" s="10">
        <f t="shared" si="80"/>
        <v>41088</v>
      </c>
      <c r="B322" s="12">
        <f t="shared" si="84"/>
        <v>6312.333333333333</v>
      </c>
      <c r="C322" s="12">
        <f t="shared" si="85"/>
        <v>1488.5</v>
      </c>
      <c r="D322">
        <v>4802.1000000000004</v>
      </c>
      <c r="E322">
        <v>6060.3</v>
      </c>
      <c r="F322">
        <v>2331.6</v>
      </c>
      <c r="G322">
        <v>2664.1</v>
      </c>
      <c r="H322" s="19">
        <f t="shared" si="81"/>
        <v>7133.7000000000007</v>
      </c>
      <c r="I322" s="19">
        <f t="shared" si="82"/>
        <v>8724.4</v>
      </c>
      <c r="J322" s="24">
        <f t="shared" si="83"/>
        <v>-18.23277245426619</v>
      </c>
    </row>
    <row r="323" spans="1:10" x14ac:dyDescent="0.25">
      <c r="A323" s="10">
        <f t="shared" si="80"/>
        <v>41095</v>
      </c>
      <c r="B323" s="12">
        <f t="shared" si="84"/>
        <v>6819.6333333333341</v>
      </c>
      <c r="C323" s="12">
        <f t="shared" si="85"/>
        <v>2039.3333333333333</v>
      </c>
      <c r="D323">
        <v>4702.8999999999996</v>
      </c>
      <c r="E323">
        <v>6002.8</v>
      </c>
      <c r="F323">
        <v>2742.6</v>
      </c>
      <c r="G323">
        <v>3240.7</v>
      </c>
      <c r="H323" s="19">
        <f t="shared" si="81"/>
        <v>7445.5</v>
      </c>
      <c r="I323" s="19">
        <f t="shared" si="82"/>
        <v>9243.5</v>
      </c>
      <c r="J323" s="24">
        <f t="shared" si="83"/>
        <v>-19.451506464001731</v>
      </c>
    </row>
    <row r="324" spans="1:10" x14ac:dyDescent="0.25">
      <c r="A324" s="10">
        <f t="shared" si="80"/>
        <v>41102</v>
      </c>
      <c r="B324" s="12">
        <f t="shared" si="84"/>
        <v>7236.6333333333341</v>
      </c>
      <c r="C324" s="12">
        <f t="shared" si="85"/>
        <v>2405</v>
      </c>
      <c r="D324">
        <v>4921.6000000000004</v>
      </c>
      <c r="E324">
        <v>5863.2</v>
      </c>
      <c r="F324">
        <v>3113.1</v>
      </c>
      <c r="G324">
        <v>3724.6</v>
      </c>
      <c r="H324" s="19">
        <f t="shared" si="81"/>
        <v>8034.7000000000007</v>
      </c>
      <c r="I324" s="19">
        <f t="shared" si="82"/>
        <v>9587.7999999999993</v>
      </c>
      <c r="J324" s="24">
        <f t="shared" si="83"/>
        <v>-16.198710861720087</v>
      </c>
    </row>
    <row r="325" spans="1:10" x14ac:dyDescent="0.25">
      <c r="A325" s="10">
        <f t="shared" si="80"/>
        <v>41109</v>
      </c>
      <c r="B325" s="12">
        <f t="shared" si="84"/>
        <v>7592.8999999999987</v>
      </c>
      <c r="C325" s="12">
        <f t="shared" si="85"/>
        <v>2893.4666666666667</v>
      </c>
      <c r="D325">
        <v>5018.7</v>
      </c>
      <c r="E325">
        <v>5773</v>
      </c>
      <c r="F325">
        <v>3383</v>
      </c>
      <c r="G325">
        <v>4288.7</v>
      </c>
      <c r="H325" s="19">
        <f t="shared" si="81"/>
        <v>8401.7000000000007</v>
      </c>
      <c r="I325" s="19">
        <f t="shared" si="82"/>
        <v>10061.700000000001</v>
      </c>
      <c r="J325" s="24">
        <f t="shared" si="83"/>
        <v>-16.498206068556996</v>
      </c>
    </row>
    <row r="326" spans="1:10" x14ac:dyDescent="0.25">
      <c r="A326" s="10">
        <f t="shared" si="80"/>
        <v>41116</v>
      </c>
      <c r="B326" s="12">
        <f t="shared" si="84"/>
        <v>8249.1666666666661</v>
      </c>
      <c r="C326" s="12">
        <f t="shared" si="85"/>
        <v>3334.5666666666671</v>
      </c>
      <c r="D326">
        <v>5071.6000000000004</v>
      </c>
      <c r="E326">
        <v>5800.4</v>
      </c>
      <c r="F326">
        <v>3846.3</v>
      </c>
      <c r="G326">
        <v>4760.8999999999996</v>
      </c>
      <c r="H326" s="19">
        <f t="shared" si="81"/>
        <v>8917.9000000000015</v>
      </c>
      <c r="I326" s="19">
        <f t="shared" si="82"/>
        <v>10561.3</v>
      </c>
      <c r="J326" s="24">
        <f t="shared" si="83"/>
        <v>-15.56058439775404</v>
      </c>
    </row>
    <row r="327" spans="1:10" x14ac:dyDescent="0.25">
      <c r="A327" s="10">
        <f t="shared" si="80"/>
        <v>41123</v>
      </c>
      <c r="B327" s="12">
        <f t="shared" si="84"/>
        <v>8884.8333333333321</v>
      </c>
      <c r="C327" s="12">
        <f t="shared" si="85"/>
        <v>3812.8666666666668</v>
      </c>
      <c r="D327">
        <v>5140.6000000000004</v>
      </c>
      <c r="E327">
        <v>5544.2</v>
      </c>
      <c r="F327">
        <v>4442.5</v>
      </c>
      <c r="G327">
        <v>5393.2</v>
      </c>
      <c r="H327" s="19">
        <f t="shared" si="81"/>
        <v>9583.1</v>
      </c>
      <c r="I327" s="19">
        <f t="shared" si="82"/>
        <v>10937.4</v>
      </c>
      <c r="J327" s="24">
        <f t="shared" si="83"/>
        <v>-12.382284638030971</v>
      </c>
    </row>
    <row r="328" spans="1:10" x14ac:dyDescent="0.25">
      <c r="A328" s="10">
        <f t="shared" si="80"/>
        <v>41130</v>
      </c>
      <c r="B328" s="12">
        <f t="shared" si="84"/>
        <v>9609.3333333333339</v>
      </c>
      <c r="C328" s="12">
        <f t="shared" si="85"/>
        <v>4291.0666666666666</v>
      </c>
      <c r="D328">
        <v>4978.3</v>
      </c>
      <c r="E328">
        <v>5446.7</v>
      </c>
      <c r="F328">
        <v>5001.5</v>
      </c>
      <c r="G328">
        <v>6039.5</v>
      </c>
      <c r="H328" s="19">
        <f t="shared" si="81"/>
        <v>9979.7999999999993</v>
      </c>
      <c r="I328" s="19">
        <f t="shared" si="82"/>
        <v>11486.2</v>
      </c>
      <c r="J328" s="24">
        <f t="shared" si="83"/>
        <v>-13.114868276714676</v>
      </c>
    </row>
    <row r="329" spans="1:10" x14ac:dyDescent="0.25">
      <c r="A329" s="10">
        <f t="shared" si="80"/>
        <v>41137</v>
      </c>
      <c r="B329" s="12">
        <f t="shared" si="84"/>
        <v>10382.666666666668</v>
      </c>
      <c r="C329" s="12">
        <f t="shared" si="85"/>
        <v>4823.7666666666664</v>
      </c>
      <c r="D329">
        <v>4748.8999999999996</v>
      </c>
      <c r="E329">
        <v>5324.8</v>
      </c>
      <c r="F329">
        <v>5671</v>
      </c>
      <c r="G329">
        <v>6508.5</v>
      </c>
      <c r="H329" s="19">
        <f t="shared" si="81"/>
        <v>10419.9</v>
      </c>
      <c r="I329" s="19">
        <f t="shared" si="82"/>
        <v>11833.3</v>
      </c>
      <c r="J329" s="24">
        <f t="shared" si="83"/>
        <v>-11.944258997912671</v>
      </c>
    </row>
    <row r="330" spans="1:10" x14ac:dyDescent="0.25">
      <c r="A330" s="10">
        <f t="shared" si="80"/>
        <v>41144</v>
      </c>
      <c r="B330" s="12">
        <f t="shared" si="84"/>
        <v>11075.166666666666</v>
      </c>
      <c r="C330" s="12">
        <f t="shared" si="85"/>
        <v>5299.2</v>
      </c>
      <c r="D330">
        <v>4698</v>
      </c>
      <c r="E330">
        <v>5084.3999999999996</v>
      </c>
      <c r="F330">
        <v>6230.4</v>
      </c>
      <c r="G330">
        <v>7118</v>
      </c>
      <c r="H330" s="19">
        <f t="shared" si="81"/>
        <v>10928.4</v>
      </c>
      <c r="I330" s="19">
        <f t="shared" si="82"/>
        <v>12202.4</v>
      </c>
      <c r="J330" s="24">
        <f t="shared" si="83"/>
        <v>-10.44056906837999</v>
      </c>
    </row>
    <row r="331" spans="1:10" x14ac:dyDescent="0.25">
      <c r="A331" s="10">
        <f t="shared" si="80"/>
        <v>41151</v>
      </c>
      <c r="B331" s="12">
        <f t="shared" si="84"/>
        <v>11674.799999999997</v>
      </c>
      <c r="C331" s="12">
        <f t="shared" si="85"/>
        <v>5845.2</v>
      </c>
      <c r="D331">
        <v>4652.2</v>
      </c>
      <c r="E331">
        <v>4971.6000000000004</v>
      </c>
      <c r="F331">
        <v>6825</v>
      </c>
      <c r="G331">
        <v>7743.1</v>
      </c>
      <c r="H331" s="19">
        <f t="shared" si="81"/>
        <v>11477.2</v>
      </c>
      <c r="I331" s="19">
        <f t="shared" si="82"/>
        <v>12714.7</v>
      </c>
      <c r="J331" s="24">
        <f t="shared" si="83"/>
        <v>-9.7328289302932802</v>
      </c>
    </row>
    <row r="332" spans="1:10" x14ac:dyDescent="0.25">
      <c r="A332" s="10">
        <f t="shared" si="80"/>
        <v>41158</v>
      </c>
      <c r="B332" s="12">
        <f t="shared" si="84"/>
        <v>12347.199999999999</v>
      </c>
      <c r="C332" s="12">
        <f t="shared" si="85"/>
        <v>6424.5333333333328</v>
      </c>
      <c r="D332">
        <v>4546.6000000000004</v>
      </c>
      <c r="E332">
        <v>4971.6000000000004</v>
      </c>
      <c r="F332">
        <v>7312.5</v>
      </c>
      <c r="G332">
        <v>7743.1</v>
      </c>
      <c r="H332" s="19">
        <f t="shared" si="81"/>
        <v>11859.1</v>
      </c>
      <c r="I332" s="19">
        <f t="shared" si="82"/>
        <v>12714.7</v>
      </c>
      <c r="J332" s="24">
        <f t="shared" si="83"/>
        <v>-6.7292189355627752</v>
      </c>
    </row>
    <row r="333" spans="1:10" x14ac:dyDescent="0.25">
      <c r="A333" s="10">
        <f t="shared" si="80"/>
        <v>41165</v>
      </c>
      <c r="B333" s="12">
        <f t="shared" si="84"/>
        <v>12796.300000000001</v>
      </c>
      <c r="C333" s="12">
        <f t="shared" si="85"/>
        <v>7070.833333333333</v>
      </c>
      <c r="D333">
        <v>4259.5</v>
      </c>
      <c r="E333">
        <v>4707.3</v>
      </c>
      <c r="F333">
        <v>8088.5</v>
      </c>
      <c r="G333">
        <v>9100.4</v>
      </c>
      <c r="H333" s="19">
        <f t="shared" si="81"/>
        <v>12348</v>
      </c>
      <c r="I333" s="19">
        <f t="shared" si="82"/>
        <v>13807.7</v>
      </c>
      <c r="J333" s="24">
        <f t="shared" si="83"/>
        <v>-10.57163756454732</v>
      </c>
    </row>
    <row r="334" spans="1:10" x14ac:dyDescent="0.25">
      <c r="A334" s="10">
        <f t="shared" si="80"/>
        <v>41172</v>
      </c>
      <c r="B334" s="12">
        <f t="shared" si="84"/>
        <v>13503.666666666666</v>
      </c>
      <c r="C334" s="12">
        <f t="shared" si="85"/>
        <v>7873</v>
      </c>
      <c r="D334">
        <v>4143.1000000000004</v>
      </c>
      <c r="E334">
        <v>4614.5</v>
      </c>
      <c r="F334">
        <v>8630.7999999999993</v>
      </c>
      <c r="G334">
        <v>9622.1</v>
      </c>
      <c r="H334" s="19">
        <f t="shared" si="81"/>
        <v>12773.9</v>
      </c>
      <c r="I334" s="19">
        <f t="shared" si="82"/>
        <v>14236.6</v>
      </c>
      <c r="J334" s="24">
        <f t="shared" si="83"/>
        <v>-10.274222777910458</v>
      </c>
    </row>
    <row r="335" spans="1:10" x14ac:dyDescent="0.25">
      <c r="A335" s="10">
        <f t="shared" si="80"/>
        <v>41179</v>
      </c>
      <c r="B335" s="12">
        <f t="shared" si="84"/>
        <v>14036.266666666668</v>
      </c>
      <c r="C335" s="12">
        <f t="shared" si="85"/>
        <v>8519.1666666666661</v>
      </c>
      <c r="D335">
        <v>3859.2</v>
      </c>
      <c r="E335">
        <v>4444.6000000000004</v>
      </c>
      <c r="F335">
        <v>9221.7999999999993</v>
      </c>
      <c r="G335">
        <v>10223.200000000001</v>
      </c>
      <c r="H335" s="19">
        <f t="shared" si="81"/>
        <v>13081</v>
      </c>
      <c r="I335" s="19">
        <f t="shared" si="82"/>
        <v>14667.800000000001</v>
      </c>
      <c r="J335" s="24">
        <f t="shared" si="83"/>
        <v>-10.818254953026363</v>
      </c>
    </row>
    <row r="336" spans="1:10" x14ac:dyDescent="0.25">
      <c r="A336" s="10">
        <f t="shared" si="80"/>
        <v>41186</v>
      </c>
      <c r="B336" s="12">
        <f t="shared" si="84"/>
        <v>14701.900000000001</v>
      </c>
      <c r="C336" s="12">
        <f t="shared" si="85"/>
        <v>9234.1</v>
      </c>
      <c r="D336">
        <v>3756.9</v>
      </c>
      <c r="E336">
        <v>4563.3</v>
      </c>
      <c r="F336">
        <v>9604</v>
      </c>
      <c r="G336">
        <v>10588.2</v>
      </c>
      <c r="H336" s="19">
        <f t="shared" si="81"/>
        <v>13360.9</v>
      </c>
      <c r="I336" s="19">
        <f t="shared" si="82"/>
        <v>15151.5</v>
      </c>
      <c r="J336" s="24">
        <f t="shared" si="83"/>
        <v>-11.817971817971817</v>
      </c>
    </row>
    <row r="337" spans="1:13" x14ac:dyDescent="0.25">
      <c r="A337" s="10">
        <f t="shared" si="80"/>
        <v>41193</v>
      </c>
      <c r="B337" s="12">
        <f t="shared" si="84"/>
        <v>15147.200000000003</v>
      </c>
      <c r="C337" s="12">
        <f t="shared" si="85"/>
        <v>9751.7333333333336</v>
      </c>
      <c r="D337">
        <v>4036</v>
      </c>
      <c r="E337">
        <v>4577.2</v>
      </c>
      <c r="F337">
        <v>9734.9</v>
      </c>
      <c r="G337">
        <v>10973.6</v>
      </c>
      <c r="H337" s="19">
        <f t="shared" si="81"/>
        <v>13770.9</v>
      </c>
      <c r="I337" s="19">
        <f t="shared" si="82"/>
        <v>15550.8</v>
      </c>
      <c r="J337" s="24">
        <f t="shared" si="83"/>
        <v>-11.445713403812018</v>
      </c>
    </row>
    <row r="338" spans="1:13" x14ac:dyDescent="0.25">
      <c r="A338" s="10">
        <f t="shared" si="80"/>
        <v>41200</v>
      </c>
      <c r="B338" s="12">
        <f t="shared" si="84"/>
        <v>15680.866666666667</v>
      </c>
      <c r="C338" s="12">
        <f t="shared" si="85"/>
        <v>10233.366666666667</v>
      </c>
      <c r="D338">
        <v>4228.3999999999996</v>
      </c>
      <c r="E338">
        <v>4510.5</v>
      </c>
      <c r="F338">
        <v>10114.5</v>
      </c>
      <c r="G338">
        <v>11357.2</v>
      </c>
      <c r="H338" s="19">
        <f t="shared" si="81"/>
        <v>14342.9</v>
      </c>
      <c r="I338" s="19">
        <f t="shared" si="82"/>
        <v>15867.7</v>
      </c>
      <c r="J338" s="24">
        <f t="shared" si="83"/>
        <v>-9.6094582075537112</v>
      </c>
    </row>
    <row r="339" spans="1:13" x14ac:dyDescent="0.25">
      <c r="A339" s="10">
        <f t="shared" si="80"/>
        <v>41207</v>
      </c>
      <c r="B339" s="12">
        <f t="shared" si="84"/>
        <v>16098.6</v>
      </c>
      <c r="C339" s="12">
        <f t="shared" si="85"/>
        <v>10717.300000000001</v>
      </c>
      <c r="D339">
        <v>4296</v>
      </c>
      <c r="E339">
        <v>4206.2</v>
      </c>
      <c r="F339">
        <v>10409.700000000001</v>
      </c>
      <c r="G339">
        <v>11981.6</v>
      </c>
      <c r="H339" s="19">
        <f t="shared" si="81"/>
        <v>14705.7</v>
      </c>
      <c r="I339" s="19">
        <f t="shared" si="82"/>
        <v>16187.8</v>
      </c>
      <c r="J339" s="24">
        <f t="shared" si="83"/>
        <v>-9.1556604356367028</v>
      </c>
    </row>
    <row r="340" spans="1:13" x14ac:dyDescent="0.25">
      <c r="A340" s="10">
        <f t="shared" si="80"/>
        <v>41214</v>
      </c>
      <c r="B340" s="12">
        <f t="shared" si="84"/>
        <v>16488.7</v>
      </c>
      <c r="C340" s="12">
        <f t="shared" si="85"/>
        <v>11165.266666666668</v>
      </c>
      <c r="D340">
        <v>4113.2</v>
      </c>
      <c r="E340">
        <v>4151.1000000000004</v>
      </c>
      <c r="F340">
        <v>10802</v>
      </c>
      <c r="G340">
        <v>12335.1</v>
      </c>
      <c r="H340" s="19">
        <f t="shared" si="81"/>
        <v>14915.2</v>
      </c>
      <c r="I340" s="19">
        <f t="shared" si="82"/>
        <v>16486.2</v>
      </c>
      <c r="J340" s="24">
        <f t="shared" si="83"/>
        <v>-9.5291819825065858</v>
      </c>
    </row>
    <row r="341" spans="1:13" x14ac:dyDescent="0.25">
      <c r="A341" s="10">
        <f t="shared" si="80"/>
        <v>41221</v>
      </c>
      <c r="B341" s="12">
        <f t="shared" si="84"/>
        <v>17002.866666666665</v>
      </c>
      <c r="C341" s="12">
        <f t="shared" si="85"/>
        <v>11607.366666666669</v>
      </c>
      <c r="D341">
        <v>4129.2</v>
      </c>
      <c r="E341">
        <v>4166.7</v>
      </c>
      <c r="F341">
        <v>11100.5</v>
      </c>
      <c r="G341">
        <v>12636.6</v>
      </c>
      <c r="H341" s="19">
        <f t="shared" si="81"/>
        <v>15229.7</v>
      </c>
      <c r="I341" s="19">
        <f t="shared" si="82"/>
        <v>16803.3</v>
      </c>
      <c r="J341" s="24">
        <f t="shared" si="83"/>
        <v>-9.3648271470484943</v>
      </c>
    </row>
    <row r="342" spans="1:13" x14ac:dyDescent="0.25">
      <c r="A342" s="10">
        <f t="shared" si="80"/>
        <v>41228</v>
      </c>
      <c r="B342" s="12">
        <f t="shared" si="84"/>
        <v>17543.866666666665</v>
      </c>
      <c r="C342" s="12">
        <f t="shared" si="85"/>
        <v>12016.166666666666</v>
      </c>
      <c r="D342">
        <v>4435.1000000000004</v>
      </c>
      <c r="E342">
        <v>4418.6000000000004</v>
      </c>
      <c r="F342">
        <v>11430.1</v>
      </c>
      <c r="G342">
        <v>12999.2</v>
      </c>
      <c r="H342" s="19">
        <f t="shared" si="81"/>
        <v>15865.2</v>
      </c>
      <c r="I342" s="19">
        <f t="shared" si="82"/>
        <v>17417.800000000003</v>
      </c>
      <c r="J342" s="24">
        <f t="shared" si="83"/>
        <v>-8.9138697194823813</v>
      </c>
    </row>
    <row r="343" spans="1:13" x14ac:dyDescent="0.25">
      <c r="A343" s="10">
        <f t="shared" si="80"/>
        <v>41235</v>
      </c>
      <c r="B343" s="12">
        <f t="shared" si="84"/>
        <v>17866.933333333338</v>
      </c>
      <c r="C343" s="12">
        <f t="shared" si="85"/>
        <v>12450.5</v>
      </c>
      <c r="D343">
        <v>4485.8</v>
      </c>
      <c r="E343">
        <v>4619.5</v>
      </c>
      <c r="F343">
        <v>11658.7</v>
      </c>
      <c r="G343">
        <v>13301.2</v>
      </c>
      <c r="H343" s="19">
        <f t="shared" si="81"/>
        <v>16144.5</v>
      </c>
      <c r="I343" s="19">
        <f t="shared" si="82"/>
        <v>17920.7</v>
      </c>
      <c r="J343" s="24">
        <f t="shared" si="83"/>
        <v>-9.9114431913931984</v>
      </c>
    </row>
    <row r="344" spans="1:13" x14ac:dyDescent="0.25">
      <c r="A344" s="10">
        <f t="shared" si="80"/>
        <v>41242</v>
      </c>
      <c r="B344" s="12">
        <f t="shared" si="84"/>
        <v>18633.100000000002</v>
      </c>
      <c r="C344" s="12">
        <f t="shared" si="85"/>
        <v>12875.533333333335</v>
      </c>
      <c r="D344">
        <v>4452.3</v>
      </c>
      <c r="E344">
        <v>4616.3999999999996</v>
      </c>
      <c r="F344">
        <v>12045.2</v>
      </c>
      <c r="G344">
        <v>13724.3</v>
      </c>
      <c r="H344" s="19">
        <f t="shared" si="81"/>
        <v>16497.5</v>
      </c>
      <c r="I344" s="19">
        <f t="shared" si="82"/>
        <v>18340.699999999997</v>
      </c>
      <c r="J344" s="24">
        <f t="shared" si="83"/>
        <v>-10.049779997491903</v>
      </c>
    </row>
    <row r="345" spans="1:13" x14ac:dyDescent="0.25">
      <c r="A345" s="10">
        <f t="shared" si="80"/>
        <v>41249</v>
      </c>
      <c r="B345" s="12">
        <f t="shared" si="84"/>
        <v>19035.733333333334</v>
      </c>
      <c r="C345" s="12">
        <f t="shared" si="85"/>
        <v>13346.233333333332</v>
      </c>
      <c r="D345">
        <v>4661.2</v>
      </c>
      <c r="E345">
        <v>4395.5</v>
      </c>
      <c r="F345">
        <v>12354.9</v>
      </c>
      <c r="G345">
        <v>14262.3</v>
      </c>
      <c r="H345" s="19">
        <f t="shared" si="81"/>
        <v>17016.099999999999</v>
      </c>
      <c r="I345" s="19">
        <f t="shared" si="82"/>
        <v>18657.8</v>
      </c>
      <c r="J345" s="24">
        <f t="shared" si="83"/>
        <v>-8.7990009540245939</v>
      </c>
    </row>
    <row r="346" spans="1:13" x14ac:dyDescent="0.25">
      <c r="A346" s="10">
        <f t="shared" si="80"/>
        <v>41256</v>
      </c>
      <c r="B346" s="12">
        <f t="shared" si="84"/>
        <v>19554.966666666664</v>
      </c>
      <c r="C346" s="12">
        <f t="shared" si="85"/>
        <v>13805.033333333333</v>
      </c>
      <c r="D346">
        <v>4904.2</v>
      </c>
      <c r="E346">
        <v>4357.8</v>
      </c>
      <c r="F346">
        <v>12763.1</v>
      </c>
      <c r="G346">
        <v>14662.2</v>
      </c>
      <c r="H346" s="19">
        <f t="shared" si="81"/>
        <v>17667.3</v>
      </c>
      <c r="I346" s="19">
        <f t="shared" si="82"/>
        <v>19020</v>
      </c>
      <c r="J346" s="24">
        <f t="shared" si="83"/>
        <v>-7.1119873817034769</v>
      </c>
    </row>
    <row r="347" spans="1:13" x14ac:dyDescent="0.25">
      <c r="A347" s="10">
        <f t="shared" si="80"/>
        <v>41263</v>
      </c>
      <c r="B347" s="12">
        <f t="shared" si="84"/>
        <v>19946.333333333332</v>
      </c>
      <c r="C347" s="12">
        <f t="shared" si="85"/>
        <v>14285.433333333332</v>
      </c>
      <c r="D347">
        <v>5489.8</v>
      </c>
      <c r="E347">
        <v>4375.3</v>
      </c>
      <c r="F347">
        <v>13186.5</v>
      </c>
      <c r="G347">
        <v>15075.9</v>
      </c>
      <c r="H347" s="19">
        <f t="shared" si="81"/>
        <v>18676.3</v>
      </c>
      <c r="I347" s="19">
        <f t="shared" si="82"/>
        <v>19451.2</v>
      </c>
      <c r="J347" s="24">
        <f t="shared" si="83"/>
        <v>-3.9838159085300751</v>
      </c>
      <c r="K347" s="48" t="s">
        <v>241</v>
      </c>
      <c r="L347" s="48" t="s">
        <v>242</v>
      </c>
      <c r="M347" s="48" t="s">
        <v>243</v>
      </c>
    </row>
    <row r="348" spans="1:13" x14ac:dyDescent="0.25">
      <c r="A348" s="10">
        <f t="shared" si="80"/>
        <v>41270</v>
      </c>
      <c r="B348" s="12">
        <f t="shared" si="84"/>
        <v>20357.266666666666</v>
      </c>
      <c r="C348" s="12">
        <f t="shared" si="85"/>
        <v>14703.6</v>
      </c>
      <c r="D348">
        <v>5731.2</v>
      </c>
      <c r="E348">
        <v>4088.2</v>
      </c>
      <c r="F348">
        <v>13345.4</v>
      </c>
      <c r="G348">
        <v>15501.7</v>
      </c>
      <c r="H348" s="19">
        <f t="shared" si="81"/>
        <v>19076.599999999999</v>
      </c>
      <c r="I348" s="19">
        <f t="shared" si="82"/>
        <v>19589.900000000001</v>
      </c>
      <c r="J348" s="24">
        <f t="shared" si="83"/>
        <v>-2.620227770432737</v>
      </c>
    </row>
    <row r="349" spans="1:13" x14ac:dyDescent="0.25">
      <c r="A349" s="10">
        <f t="shared" si="80"/>
        <v>41277</v>
      </c>
      <c r="B349" s="12">
        <f t="shared" si="84"/>
        <v>20567.233333333334</v>
      </c>
      <c r="C349" s="12">
        <f t="shared" si="85"/>
        <v>15049.966666666667</v>
      </c>
      <c r="D349">
        <v>5700.6</v>
      </c>
      <c r="E349">
        <v>4257.1000000000004</v>
      </c>
      <c r="F349">
        <v>13609.8</v>
      </c>
      <c r="G349">
        <v>15697.9</v>
      </c>
      <c r="H349" s="19">
        <f t="shared" si="81"/>
        <v>19310.400000000001</v>
      </c>
      <c r="I349" s="19">
        <f t="shared" si="82"/>
        <v>19955</v>
      </c>
      <c r="J349" s="24">
        <f t="shared" si="83"/>
        <v>-3.23026810323227</v>
      </c>
      <c r="K349" s="124">
        <f>+H349/B349-1</f>
        <v>-6.1108526993583601E-2</v>
      </c>
      <c r="L349" s="124">
        <f>+F349/C349-1</f>
        <v>-9.5692349263232113E-2</v>
      </c>
      <c r="M349" s="124">
        <f>+F349/G349-1</f>
        <v>-0.13301779218876408</v>
      </c>
    </row>
    <row r="350" spans="1:13" x14ac:dyDescent="0.25">
      <c r="A350" s="10">
        <f t="shared" si="80"/>
        <v>41284</v>
      </c>
      <c r="B350" s="12">
        <f t="shared" si="84"/>
        <v>20795.866666666665</v>
      </c>
      <c r="C350" s="12">
        <f t="shared" si="85"/>
        <v>15414.133333333333</v>
      </c>
      <c r="D350">
        <v>5951.9</v>
      </c>
      <c r="E350">
        <v>4486.3999999999996</v>
      </c>
      <c r="F350">
        <v>13888.1</v>
      </c>
      <c r="G350">
        <v>16055.8</v>
      </c>
      <c r="H350" s="19">
        <f t="shared" ref="H350:H360" si="86">+D350+F350</f>
        <v>19840</v>
      </c>
      <c r="I350" s="19">
        <f t="shared" ref="I350:I360" si="87">+E350+G350</f>
        <v>20542.199999999997</v>
      </c>
      <c r="J350" s="24">
        <f t="shared" ref="J350:J360" si="88">+(H350/I350-1)*100</f>
        <v>-3.4183290981491643</v>
      </c>
    </row>
    <row r="351" spans="1:13" x14ac:dyDescent="0.25">
      <c r="A351" s="10">
        <f t="shared" si="80"/>
        <v>41291</v>
      </c>
      <c r="B351" s="12">
        <f t="shared" si="84"/>
        <v>21618.266666666666</v>
      </c>
      <c r="C351" s="12">
        <f t="shared" si="85"/>
        <v>15871.766666666665</v>
      </c>
      <c r="D351">
        <v>5965.2</v>
      </c>
      <c r="E351">
        <v>4666.5</v>
      </c>
      <c r="F351">
        <v>14447.5</v>
      </c>
      <c r="G351">
        <v>16480.5</v>
      </c>
      <c r="H351" s="19">
        <f t="shared" si="86"/>
        <v>20412.7</v>
      </c>
      <c r="I351" s="19">
        <f t="shared" si="87"/>
        <v>21147</v>
      </c>
      <c r="J351" s="24">
        <f t="shared" si="88"/>
        <v>-3.4723601456471354</v>
      </c>
      <c r="K351">
        <f t="shared" ref="K351:K356" si="89">+H351-H350</f>
        <v>572.70000000000073</v>
      </c>
    </row>
    <row r="352" spans="1:13" x14ac:dyDescent="0.25">
      <c r="A352" s="10">
        <f t="shared" si="80"/>
        <v>41298</v>
      </c>
      <c r="B352" s="12">
        <f t="shared" si="84"/>
        <v>22329.200000000001</v>
      </c>
      <c r="C352" s="12">
        <f t="shared" si="85"/>
        <v>16368.966666666667</v>
      </c>
      <c r="D352">
        <v>5634.7</v>
      </c>
      <c r="E352">
        <v>4730.8</v>
      </c>
      <c r="F352">
        <v>15071.5</v>
      </c>
      <c r="G352">
        <v>16935</v>
      </c>
      <c r="H352" s="19">
        <f t="shared" si="86"/>
        <v>20706.2</v>
      </c>
      <c r="I352" s="19">
        <f t="shared" si="87"/>
        <v>21665.8</v>
      </c>
      <c r="J352" s="24">
        <f t="shared" si="88"/>
        <v>-4.429100240932704</v>
      </c>
      <c r="K352">
        <f t="shared" si="89"/>
        <v>293.5</v>
      </c>
    </row>
    <row r="353" spans="1:12" x14ac:dyDescent="0.25">
      <c r="A353" s="10">
        <f t="shared" si="80"/>
        <v>41305</v>
      </c>
      <c r="B353" s="12">
        <f t="shared" si="84"/>
        <v>22819.3</v>
      </c>
      <c r="C353" s="12">
        <f t="shared" si="85"/>
        <v>16867.400000000001</v>
      </c>
      <c r="D353">
        <v>5468.1</v>
      </c>
      <c r="E353">
        <v>4974.7</v>
      </c>
      <c r="F353">
        <v>15528.9</v>
      </c>
      <c r="G353">
        <v>17399</v>
      </c>
      <c r="H353" s="19">
        <f t="shared" si="86"/>
        <v>20997</v>
      </c>
      <c r="I353" s="19">
        <f t="shared" si="87"/>
        <v>22373.7</v>
      </c>
      <c r="J353" s="24">
        <f t="shared" si="88"/>
        <v>-6.153206666756061</v>
      </c>
      <c r="K353">
        <f t="shared" si="89"/>
        <v>290.79999999999927</v>
      </c>
    </row>
    <row r="354" spans="1:12" x14ac:dyDescent="0.25">
      <c r="A354" s="10">
        <f t="shared" si="80"/>
        <v>41312</v>
      </c>
      <c r="B354" s="12">
        <f t="shared" si="84"/>
        <v>23368.366666666669</v>
      </c>
      <c r="C354" s="12">
        <f t="shared" si="85"/>
        <v>17465.5</v>
      </c>
      <c r="D354">
        <v>5543.3</v>
      </c>
      <c r="E354">
        <v>4916</v>
      </c>
      <c r="F354">
        <v>16105.4</v>
      </c>
      <c r="G354">
        <v>17878.099999999999</v>
      </c>
      <c r="H354" s="19">
        <f t="shared" si="86"/>
        <v>21648.7</v>
      </c>
      <c r="I354" s="19">
        <f t="shared" si="87"/>
        <v>22794.1</v>
      </c>
      <c r="J354" s="24">
        <f t="shared" si="88"/>
        <v>-5.0249845354718881</v>
      </c>
      <c r="K354">
        <f t="shared" si="89"/>
        <v>651.70000000000073</v>
      </c>
    </row>
    <row r="355" spans="1:12" x14ac:dyDescent="0.25">
      <c r="A355" s="10">
        <f t="shared" si="80"/>
        <v>41319</v>
      </c>
      <c r="B355" s="12">
        <f t="shared" si="84"/>
        <v>23844.600000000002</v>
      </c>
      <c r="C355" s="12">
        <f t="shared" si="85"/>
        <v>17942.266666666666</v>
      </c>
      <c r="D355">
        <v>5726.4</v>
      </c>
      <c r="E355">
        <v>5087.1000000000004</v>
      </c>
      <c r="F355">
        <v>16621.599999999999</v>
      </c>
      <c r="G355">
        <v>18408.599999999999</v>
      </c>
      <c r="H355" s="19">
        <f t="shared" si="86"/>
        <v>22348</v>
      </c>
      <c r="I355" s="19">
        <f t="shared" si="87"/>
        <v>23495.699999999997</v>
      </c>
      <c r="J355" s="24">
        <f t="shared" si="88"/>
        <v>-4.8847235877202966</v>
      </c>
      <c r="K355">
        <f t="shared" si="89"/>
        <v>699.29999999999927</v>
      </c>
    </row>
    <row r="356" spans="1:12" x14ac:dyDescent="0.25">
      <c r="A356" s="10">
        <f t="shared" si="80"/>
        <v>41326</v>
      </c>
      <c r="B356" s="12">
        <f t="shared" si="84"/>
        <v>24539.8</v>
      </c>
      <c r="C356" s="12">
        <f t="shared" si="85"/>
        <v>18562.633333333331</v>
      </c>
      <c r="D356">
        <v>5514.2</v>
      </c>
      <c r="E356">
        <v>5295.4</v>
      </c>
      <c r="F356">
        <v>17206.3</v>
      </c>
      <c r="G356">
        <v>18614.400000000001</v>
      </c>
      <c r="H356" s="19">
        <f t="shared" si="86"/>
        <v>22720.5</v>
      </c>
      <c r="I356" s="19">
        <f t="shared" si="87"/>
        <v>23909.800000000003</v>
      </c>
      <c r="J356" s="24">
        <f t="shared" si="88"/>
        <v>-4.9741110339693417</v>
      </c>
      <c r="K356">
        <f t="shared" si="89"/>
        <v>372.5</v>
      </c>
    </row>
    <row r="357" spans="1:12" x14ac:dyDescent="0.25">
      <c r="A357" s="10">
        <f t="shared" si="80"/>
        <v>41333</v>
      </c>
      <c r="B357" s="12">
        <f t="shared" si="84"/>
        <v>24898.533333333336</v>
      </c>
      <c r="C357" s="12">
        <f t="shared" si="85"/>
        <v>18969.266666666666</v>
      </c>
      <c r="D357">
        <v>5365.9</v>
      </c>
      <c r="E357">
        <v>5309.3</v>
      </c>
      <c r="F357">
        <v>17972.7</v>
      </c>
      <c r="G357">
        <v>19047.099999999999</v>
      </c>
      <c r="H357" s="19">
        <f t="shared" si="86"/>
        <v>23338.6</v>
      </c>
      <c r="I357" s="19">
        <f t="shared" si="87"/>
        <v>24356.399999999998</v>
      </c>
      <c r="J357" s="24">
        <f t="shared" si="88"/>
        <v>-4.1787784730091477</v>
      </c>
      <c r="K357">
        <f>+H357-H356</f>
        <v>618.09999999999854</v>
      </c>
    </row>
    <row r="358" spans="1:12" x14ac:dyDescent="0.25">
      <c r="A358" s="10">
        <f t="shared" si="80"/>
        <v>41340</v>
      </c>
      <c r="B358" s="12">
        <f t="shared" si="84"/>
        <v>25375.266666666663</v>
      </c>
      <c r="C358" s="12">
        <f t="shared" si="85"/>
        <v>19490.166666666668</v>
      </c>
      <c r="D358">
        <v>5467.4</v>
      </c>
      <c r="E358">
        <v>4698.7</v>
      </c>
      <c r="F358">
        <v>18759.8</v>
      </c>
      <c r="G358">
        <v>19949.3</v>
      </c>
      <c r="H358" s="19">
        <f t="shared" si="86"/>
        <v>24227.199999999997</v>
      </c>
      <c r="I358" s="19">
        <f t="shared" si="87"/>
        <v>24648</v>
      </c>
      <c r="J358" s="24">
        <f t="shared" si="88"/>
        <v>-1.7072379097695656</v>
      </c>
      <c r="K358">
        <f>+H358-H357</f>
        <v>888.59999999999854</v>
      </c>
    </row>
    <row r="359" spans="1:12" x14ac:dyDescent="0.25">
      <c r="A359" s="10">
        <f t="shared" si="80"/>
        <v>41347</v>
      </c>
      <c r="B359" s="12">
        <f t="shared" si="84"/>
        <v>25805.7</v>
      </c>
      <c r="C359" s="12">
        <f t="shared" si="85"/>
        <v>20110.5</v>
      </c>
      <c r="D359">
        <v>5315.1</v>
      </c>
      <c r="E359">
        <v>4689.3999999999996</v>
      </c>
      <c r="F359">
        <v>19396.599999999999</v>
      </c>
      <c r="G359">
        <v>20497.900000000001</v>
      </c>
      <c r="H359" s="19">
        <f t="shared" si="86"/>
        <v>24711.699999999997</v>
      </c>
      <c r="I359" s="19">
        <f t="shared" si="87"/>
        <v>25187.300000000003</v>
      </c>
      <c r="J359" s="24">
        <f t="shared" si="88"/>
        <v>-1.8882532069733782</v>
      </c>
      <c r="K359">
        <f>+H359-H358</f>
        <v>484.5</v>
      </c>
    </row>
    <row r="360" spans="1:12" x14ac:dyDescent="0.25">
      <c r="A360" s="10">
        <f t="shared" si="80"/>
        <v>41354</v>
      </c>
      <c r="B360" s="12">
        <f t="shared" si="84"/>
        <v>26325.433333333334</v>
      </c>
      <c r="C360" s="12">
        <f t="shared" si="85"/>
        <v>20647.633333333331</v>
      </c>
      <c r="D360">
        <v>5373</v>
      </c>
      <c r="E360">
        <v>4474.5</v>
      </c>
      <c r="F360">
        <v>19919</v>
      </c>
      <c r="G360">
        <v>20938.8</v>
      </c>
      <c r="H360" s="19">
        <f t="shared" si="86"/>
        <v>25292</v>
      </c>
      <c r="I360" s="19">
        <f t="shared" si="87"/>
        <v>25413.3</v>
      </c>
      <c r="J360" s="24">
        <f t="shared" si="88"/>
        <v>-0.47730912553662908</v>
      </c>
      <c r="K360">
        <f>+H360-H359</f>
        <v>580.30000000000291</v>
      </c>
    </row>
    <row r="361" spans="1:12" x14ac:dyDescent="0.25">
      <c r="A361" s="10">
        <f t="shared" si="80"/>
        <v>41361</v>
      </c>
      <c r="B361" s="12">
        <f t="shared" si="84"/>
        <v>26634.799999999999</v>
      </c>
      <c r="C361" s="12">
        <f t="shared" si="85"/>
        <v>21321.733333333334</v>
      </c>
      <c r="D361">
        <v>5005.8</v>
      </c>
      <c r="E361">
        <v>4478.2</v>
      </c>
      <c r="F361">
        <v>20427.3</v>
      </c>
      <c r="G361">
        <v>21343.5</v>
      </c>
      <c r="H361" s="19">
        <f t="shared" ref="H361:H388" si="90">+D361+F361</f>
        <v>25433.1</v>
      </c>
      <c r="I361" s="19">
        <f t="shared" ref="I361:I388" si="91">+E361+G361</f>
        <v>25821.7</v>
      </c>
      <c r="J361" s="24">
        <f t="shared" ref="J361:J388" si="92">+(H361/I361-1)*100</f>
        <v>-1.5049357710762767</v>
      </c>
      <c r="K361">
        <f t="shared" ref="K361:K388" si="93">+H361-H360</f>
        <v>141.09999999999854</v>
      </c>
    </row>
    <row r="362" spans="1:12" x14ac:dyDescent="0.25">
      <c r="A362" s="10">
        <f t="shared" si="80"/>
        <v>41368</v>
      </c>
      <c r="B362" s="12">
        <f t="shared" si="84"/>
        <v>27031.766666666666</v>
      </c>
      <c r="C362" s="12">
        <f t="shared" si="85"/>
        <v>21847.466666666664</v>
      </c>
      <c r="D362">
        <v>4497.1000000000004</v>
      </c>
      <c r="E362">
        <v>4490.3999999999996</v>
      </c>
      <c r="F362">
        <v>21199.5</v>
      </c>
      <c r="G362">
        <v>21783.3</v>
      </c>
      <c r="H362" s="19">
        <f t="shared" si="90"/>
        <v>25696.6</v>
      </c>
      <c r="I362" s="19">
        <f t="shared" si="91"/>
        <v>26273.699999999997</v>
      </c>
      <c r="J362" s="24">
        <f t="shared" si="92"/>
        <v>-2.1964930710177799</v>
      </c>
      <c r="K362">
        <f t="shared" si="93"/>
        <v>263.5</v>
      </c>
    </row>
    <row r="363" spans="1:12" x14ac:dyDescent="0.25">
      <c r="A363" s="10">
        <f t="shared" si="80"/>
        <v>41375</v>
      </c>
      <c r="B363" s="12">
        <f t="shared" si="84"/>
        <v>27363.966666666664</v>
      </c>
      <c r="C363" s="12">
        <f t="shared" si="85"/>
        <v>22394.566666666669</v>
      </c>
      <c r="D363">
        <v>4345.1000000000004</v>
      </c>
      <c r="E363">
        <v>4224.1000000000004</v>
      </c>
      <c r="F363">
        <v>21892.6</v>
      </c>
      <c r="G363">
        <v>22415.599999999999</v>
      </c>
      <c r="H363" s="19">
        <f t="shared" si="90"/>
        <v>26237.699999999997</v>
      </c>
      <c r="I363" s="19">
        <f t="shared" si="91"/>
        <v>26639.699999999997</v>
      </c>
      <c r="J363" s="24">
        <f t="shared" si="92"/>
        <v>-1.5090260025450775</v>
      </c>
      <c r="K363">
        <f t="shared" si="93"/>
        <v>541.09999999999854</v>
      </c>
    </row>
    <row r="364" spans="1:12" x14ac:dyDescent="0.25">
      <c r="A364" s="10">
        <f t="shared" si="80"/>
        <v>41382</v>
      </c>
      <c r="B364" s="12">
        <f t="shared" si="84"/>
        <v>27586.399999999998</v>
      </c>
      <c r="C364" s="12">
        <f t="shared" si="85"/>
        <v>23036.666666666668</v>
      </c>
      <c r="D364">
        <v>3874.5</v>
      </c>
      <c r="E364">
        <v>3993.1</v>
      </c>
      <c r="F364">
        <v>22435</v>
      </c>
      <c r="G364">
        <v>23033.3</v>
      </c>
      <c r="H364" s="19">
        <f t="shared" si="90"/>
        <v>26309.5</v>
      </c>
      <c r="I364" s="19">
        <f t="shared" si="91"/>
        <v>27026.399999999998</v>
      </c>
      <c r="J364" s="24">
        <f t="shared" si="92"/>
        <v>-2.6525915401237277</v>
      </c>
      <c r="K364">
        <f t="shared" si="93"/>
        <v>71.80000000000291</v>
      </c>
    </row>
    <row r="365" spans="1:12" x14ac:dyDescent="0.25">
      <c r="A365" s="10">
        <f t="shared" si="80"/>
        <v>41389</v>
      </c>
      <c r="B365" s="12">
        <f t="shared" si="84"/>
        <v>27861.3</v>
      </c>
      <c r="C365" s="12">
        <f t="shared" si="85"/>
        <v>23610.766666666666</v>
      </c>
      <c r="D365">
        <v>3248.4</v>
      </c>
      <c r="E365">
        <v>3628.4</v>
      </c>
      <c r="F365">
        <v>23280</v>
      </c>
      <c r="G365">
        <v>23654.799999999999</v>
      </c>
      <c r="H365" s="19">
        <f t="shared" si="90"/>
        <v>26528.400000000001</v>
      </c>
      <c r="I365" s="19">
        <f t="shared" si="91"/>
        <v>27283.200000000001</v>
      </c>
      <c r="J365" s="24">
        <f t="shared" si="92"/>
        <v>-2.7665376495425775</v>
      </c>
      <c r="K365">
        <f t="shared" si="93"/>
        <v>218.90000000000146</v>
      </c>
      <c r="L365">
        <v>3473.1</v>
      </c>
    </row>
    <row r="366" spans="1:12" x14ac:dyDescent="0.25">
      <c r="A366" s="10">
        <f t="shared" si="80"/>
        <v>41396</v>
      </c>
      <c r="B366" s="12">
        <f t="shared" si="84"/>
        <v>28088.266666666663</v>
      </c>
      <c r="C366" s="12">
        <f t="shared" si="85"/>
        <v>24270.566666666666</v>
      </c>
      <c r="D366">
        <v>2927.9</v>
      </c>
      <c r="E366">
        <v>3298.8</v>
      </c>
      <c r="F366">
        <v>23839.9</v>
      </c>
      <c r="G366">
        <v>24206</v>
      </c>
      <c r="H366" s="19">
        <f t="shared" si="90"/>
        <v>26767.800000000003</v>
      </c>
      <c r="I366" s="19">
        <f t="shared" si="91"/>
        <v>27504.799999999999</v>
      </c>
      <c r="J366" s="24">
        <f t="shared" si="92"/>
        <v>-2.6795322998167448</v>
      </c>
      <c r="K366">
        <f t="shared" si="93"/>
        <v>239.40000000000146</v>
      </c>
      <c r="L366">
        <v>3699.3</v>
      </c>
    </row>
    <row r="367" spans="1:12" x14ac:dyDescent="0.25">
      <c r="A367" s="10">
        <f t="shared" si="80"/>
        <v>41403</v>
      </c>
      <c r="B367" s="12">
        <f t="shared" si="84"/>
        <v>28350.5</v>
      </c>
      <c r="C367" s="12">
        <f t="shared" si="85"/>
        <v>24969.200000000001</v>
      </c>
      <c r="D367">
        <v>2326.1</v>
      </c>
      <c r="E367">
        <v>2941.6</v>
      </c>
      <c r="F367">
        <v>24530.1</v>
      </c>
      <c r="G367">
        <v>24884.9</v>
      </c>
      <c r="H367" s="19">
        <f t="shared" si="90"/>
        <v>26856.199999999997</v>
      </c>
      <c r="I367" s="19">
        <f t="shared" si="91"/>
        <v>27826.5</v>
      </c>
      <c r="J367" s="24">
        <f t="shared" si="92"/>
        <v>-3.4869638653801327</v>
      </c>
      <c r="K367">
        <f t="shared" si="93"/>
        <v>88.399999999994179</v>
      </c>
      <c r="L367">
        <v>4115</v>
      </c>
    </row>
    <row r="368" spans="1:12" x14ac:dyDescent="0.25">
      <c r="A368" s="10">
        <f t="shared" si="80"/>
        <v>41410</v>
      </c>
      <c r="B368" s="12">
        <f t="shared" si="84"/>
        <v>28583.466666666664</v>
      </c>
      <c r="C368" s="12">
        <f t="shared" si="85"/>
        <v>25572.066666666666</v>
      </c>
      <c r="D368">
        <v>2123.3000000000002</v>
      </c>
      <c r="E368">
        <v>2446.3000000000002</v>
      </c>
      <c r="F368">
        <v>24972.2</v>
      </c>
      <c r="G368">
        <v>25452.799999999999</v>
      </c>
      <c r="H368" s="19">
        <f t="shared" si="90"/>
        <v>27095.5</v>
      </c>
      <c r="I368" s="19">
        <f t="shared" si="91"/>
        <v>27899.1</v>
      </c>
      <c r="J368" s="24">
        <f t="shared" si="92"/>
        <v>-2.8803796538239501</v>
      </c>
      <c r="K368">
        <f t="shared" si="93"/>
        <v>239.30000000000291</v>
      </c>
      <c r="L368">
        <v>4828.1000000000004</v>
      </c>
    </row>
    <row r="369" spans="1:12" x14ac:dyDescent="0.25">
      <c r="A369" s="10">
        <f t="shared" si="80"/>
        <v>41417</v>
      </c>
      <c r="B369" s="12">
        <f t="shared" si="84"/>
        <v>28647.633333333331</v>
      </c>
      <c r="C369" s="12">
        <f t="shared" si="85"/>
        <v>26214.133333333331</v>
      </c>
      <c r="D369">
        <v>1566.7</v>
      </c>
      <c r="E369">
        <v>1796.1</v>
      </c>
      <c r="F369">
        <v>25564.7</v>
      </c>
      <c r="G369">
        <v>26096.5</v>
      </c>
      <c r="H369" s="19">
        <f t="shared" si="90"/>
        <v>27131.4</v>
      </c>
      <c r="I369" s="19">
        <f t="shared" si="91"/>
        <v>27892.6</v>
      </c>
      <c r="J369" s="24">
        <f t="shared" si="92"/>
        <v>-2.7290392433835353</v>
      </c>
      <c r="K369">
        <f t="shared" si="93"/>
        <v>35.900000000001455</v>
      </c>
      <c r="L369">
        <v>5556.4</v>
      </c>
    </row>
    <row r="370" spans="1:12" x14ac:dyDescent="0.25">
      <c r="A370" s="10">
        <f t="shared" si="80"/>
        <v>41424</v>
      </c>
      <c r="B370" s="12">
        <f t="shared" si="84"/>
        <v>28603.200000000001</v>
      </c>
      <c r="C370" s="12">
        <f t="shared" si="85"/>
        <v>26826.733333333334</v>
      </c>
      <c r="D370">
        <v>1005</v>
      </c>
      <c r="E370">
        <v>1295.5999999999999</v>
      </c>
      <c r="F370">
        <v>26093.200000000001</v>
      </c>
      <c r="G370">
        <v>26627.3</v>
      </c>
      <c r="H370" s="19">
        <f t="shared" si="90"/>
        <v>27098.2</v>
      </c>
      <c r="I370" s="19">
        <f t="shared" si="91"/>
        <v>27922.899999999998</v>
      </c>
      <c r="J370" s="24">
        <f t="shared" si="92"/>
        <v>-2.9534897879518129</v>
      </c>
      <c r="K370">
        <f t="shared" si="93"/>
        <v>-33.200000000000728</v>
      </c>
      <c r="L370">
        <v>6221.2</v>
      </c>
    </row>
    <row r="371" spans="1:12" x14ac:dyDescent="0.25">
      <c r="A371" s="10">
        <f t="shared" si="80"/>
        <v>41431</v>
      </c>
      <c r="B371" s="102">
        <f t="shared" ref="B371:B385" si="94">AVERAGE(H318,H266,H214)</f>
        <v>12911.499999999998</v>
      </c>
      <c r="C371" s="102">
        <f t="shared" ref="C371:C385" si="95">AVERAGE(F318,F266,F214)</f>
        <v>8971.9333333333325</v>
      </c>
      <c r="D371">
        <v>7030.6</v>
      </c>
      <c r="E371">
        <v>4881.3</v>
      </c>
      <c r="F371">
        <v>376.1</v>
      </c>
      <c r="G371">
        <v>667</v>
      </c>
      <c r="H371" s="19">
        <f t="shared" si="90"/>
        <v>7406.7000000000007</v>
      </c>
      <c r="I371" s="19">
        <f t="shared" si="91"/>
        <v>5548.3</v>
      </c>
      <c r="J371" s="24">
        <f t="shared" si="92"/>
        <v>33.494944397382987</v>
      </c>
    </row>
    <row r="372" spans="1:12" x14ac:dyDescent="0.25">
      <c r="A372" s="10">
        <f t="shared" si="80"/>
        <v>41438</v>
      </c>
      <c r="B372" s="102">
        <f t="shared" si="94"/>
        <v>5924.9333333333334</v>
      </c>
      <c r="C372" s="102">
        <f t="shared" si="95"/>
        <v>666.69999999999993</v>
      </c>
      <c r="D372">
        <v>6844.2</v>
      </c>
      <c r="E372">
        <v>5128.2</v>
      </c>
      <c r="F372">
        <v>995.3</v>
      </c>
      <c r="G372">
        <v>1262.0999999999999</v>
      </c>
      <c r="H372" s="19">
        <f t="shared" si="90"/>
        <v>7839.5</v>
      </c>
      <c r="I372" s="19">
        <f t="shared" si="91"/>
        <v>6390.2999999999993</v>
      </c>
      <c r="J372" s="24">
        <f t="shared" si="92"/>
        <v>22.678121527940796</v>
      </c>
      <c r="K372">
        <f t="shared" si="93"/>
        <v>432.79999999999927</v>
      </c>
    </row>
    <row r="373" spans="1:12" x14ac:dyDescent="0.25">
      <c r="A373" s="10">
        <f t="shared" si="80"/>
        <v>41445</v>
      </c>
      <c r="B373" s="102">
        <f t="shared" si="94"/>
        <v>6666.3</v>
      </c>
      <c r="C373" s="102">
        <f t="shared" si="95"/>
        <v>1179.1666666666667</v>
      </c>
      <c r="D373">
        <v>7097.1</v>
      </c>
      <c r="E373">
        <v>4980.2</v>
      </c>
      <c r="F373">
        <v>1474.3</v>
      </c>
      <c r="G373">
        <v>1734.7</v>
      </c>
      <c r="H373" s="19">
        <f t="shared" si="90"/>
        <v>8571.4</v>
      </c>
      <c r="I373" s="19">
        <f t="shared" si="91"/>
        <v>6714.9</v>
      </c>
      <c r="J373" s="24">
        <f t="shared" si="92"/>
        <v>27.647470550566645</v>
      </c>
      <c r="K373">
        <f t="shared" si="93"/>
        <v>731.89999999999964</v>
      </c>
    </row>
    <row r="374" spans="1:12" x14ac:dyDescent="0.25">
      <c r="A374" s="10">
        <f t="shared" si="80"/>
        <v>41452</v>
      </c>
      <c r="B374" s="102">
        <f t="shared" si="94"/>
        <v>7095.5999999999995</v>
      </c>
      <c r="C374" s="102">
        <f t="shared" si="95"/>
        <v>1680.4333333333334</v>
      </c>
      <c r="D374">
        <v>7001.6</v>
      </c>
      <c r="E374">
        <v>4802.1000000000004</v>
      </c>
      <c r="F374">
        <v>2162.6999999999998</v>
      </c>
      <c r="G374">
        <v>2331.6</v>
      </c>
      <c r="H374" s="19">
        <f t="shared" si="90"/>
        <v>9164.2999999999993</v>
      </c>
      <c r="I374" s="19">
        <f t="shared" si="91"/>
        <v>7133.7000000000007</v>
      </c>
      <c r="J374" s="24">
        <f t="shared" si="92"/>
        <v>28.464891991533126</v>
      </c>
      <c r="K374">
        <f t="shared" si="93"/>
        <v>592.89999999999964</v>
      </c>
    </row>
    <row r="375" spans="1:12" x14ac:dyDescent="0.25">
      <c r="A375" s="10">
        <f t="shared" si="80"/>
        <v>41459</v>
      </c>
      <c r="B375" s="102">
        <f t="shared" si="94"/>
        <v>7547.833333333333</v>
      </c>
      <c r="C375" s="102">
        <f t="shared" si="95"/>
        <v>2307.5333333333333</v>
      </c>
      <c r="D375">
        <v>7760.3</v>
      </c>
      <c r="E375">
        <v>4702.8999999999996</v>
      </c>
      <c r="F375">
        <v>2877.4</v>
      </c>
      <c r="G375">
        <v>2742.6</v>
      </c>
      <c r="H375" s="19">
        <f t="shared" si="90"/>
        <v>10637.7</v>
      </c>
      <c r="I375" s="19">
        <f t="shared" si="91"/>
        <v>7445.5</v>
      </c>
      <c r="J375" s="24">
        <f t="shared" si="92"/>
        <v>42.874219327110353</v>
      </c>
      <c r="K375">
        <f t="shared" si="93"/>
        <v>1473.4000000000015</v>
      </c>
    </row>
    <row r="376" spans="1:12" x14ac:dyDescent="0.25">
      <c r="A376" s="10">
        <f t="shared" si="80"/>
        <v>41466</v>
      </c>
      <c r="B376" s="102">
        <f t="shared" si="94"/>
        <v>7927.9333333333334</v>
      </c>
      <c r="C376" s="102">
        <f t="shared" si="95"/>
        <v>2755.3999999999996</v>
      </c>
      <c r="D376">
        <v>8030.9</v>
      </c>
      <c r="E376">
        <v>4921.6000000000004</v>
      </c>
      <c r="F376">
        <v>3603.4</v>
      </c>
      <c r="G376">
        <v>3113.1</v>
      </c>
      <c r="H376" s="19">
        <f t="shared" si="90"/>
        <v>11634.3</v>
      </c>
      <c r="I376" s="19">
        <f t="shared" si="91"/>
        <v>8034.7000000000007</v>
      </c>
      <c r="J376" s="24">
        <f t="shared" si="92"/>
        <v>44.800677063238183</v>
      </c>
      <c r="K376">
        <f t="shared" si="93"/>
        <v>996.59999999999854</v>
      </c>
    </row>
    <row r="377" spans="1:12" x14ac:dyDescent="0.25">
      <c r="A377" s="10">
        <f t="shared" si="80"/>
        <v>41473</v>
      </c>
      <c r="B377" s="102">
        <f t="shared" si="94"/>
        <v>8366.5</v>
      </c>
      <c r="C377" s="102">
        <f t="shared" si="95"/>
        <v>3221.7666666666664</v>
      </c>
      <c r="D377">
        <v>8124.4</v>
      </c>
      <c r="E377">
        <v>5018.7</v>
      </c>
      <c r="F377">
        <v>4171.3</v>
      </c>
      <c r="G377">
        <v>3383</v>
      </c>
      <c r="H377" s="19">
        <f t="shared" si="90"/>
        <v>12295.7</v>
      </c>
      <c r="I377" s="19">
        <f t="shared" si="91"/>
        <v>8401.7000000000007</v>
      </c>
      <c r="J377" s="24">
        <f t="shared" si="92"/>
        <v>46.347762952735749</v>
      </c>
      <c r="K377">
        <f t="shared" si="93"/>
        <v>661.40000000000146</v>
      </c>
    </row>
    <row r="378" spans="1:12" x14ac:dyDescent="0.25">
      <c r="A378" s="10">
        <f t="shared" si="80"/>
        <v>41480</v>
      </c>
      <c r="B378" s="102">
        <f t="shared" si="94"/>
        <v>8953.4</v>
      </c>
      <c r="C378" s="102">
        <f t="shared" si="95"/>
        <v>3650.2000000000003</v>
      </c>
      <c r="D378">
        <v>8093.9</v>
      </c>
      <c r="E378">
        <v>5071.6000000000004</v>
      </c>
      <c r="F378">
        <v>4798.7</v>
      </c>
      <c r="G378">
        <v>3846.3</v>
      </c>
      <c r="H378" s="19">
        <f t="shared" si="90"/>
        <v>12892.599999999999</v>
      </c>
      <c r="I378" s="19">
        <f t="shared" si="91"/>
        <v>8917.9000000000015</v>
      </c>
      <c r="J378" s="24">
        <f t="shared" si="92"/>
        <v>44.569909956379817</v>
      </c>
      <c r="K378">
        <f t="shared" si="93"/>
        <v>596.89999999999782</v>
      </c>
    </row>
    <row r="379" spans="1:12" x14ac:dyDescent="0.25">
      <c r="A379" s="10">
        <f t="shared" si="80"/>
        <v>41487</v>
      </c>
      <c r="B379" s="102">
        <f t="shared" si="94"/>
        <v>9576.8666666666668</v>
      </c>
      <c r="C379" s="102">
        <f t="shared" si="95"/>
        <v>4152.9333333333334</v>
      </c>
      <c r="D379">
        <v>8046.7</v>
      </c>
      <c r="E379">
        <v>5140.6000000000004</v>
      </c>
      <c r="F379">
        <v>5572.1</v>
      </c>
      <c r="G379">
        <v>4416.7</v>
      </c>
      <c r="H379" s="19">
        <f t="shared" si="90"/>
        <v>13618.8</v>
      </c>
      <c r="I379" s="19">
        <f t="shared" si="91"/>
        <v>9557.2999999999993</v>
      </c>
      <c r="J379" s="24">
        <f t="shared" si="92"/>
        <v>42.496311719837188</v>
      </c>
      <c r="K379">
        <f t="shared" si="93"/>
        <v>726.20000000000073</v>
      </c>
    </row>
    <row r="380" spans="1:12" x14ac:dyDescent="0.25">
      <c r="A380" s="10">
        <f t="shared" si="80"/>
        <v>41494</v>
      </c>
      <c r="B380" s="102">
        <f t="shared" si="94"/>
        <v>10363.4</v>
      </c>
      <c r="C380" s="102">
        <f t="shared" si="95"/>
        <v>4703.3666666666668</v>
      </c>
      <c r="D380">
        <v>7826.9</v>
      </c>
      <c r="E380">
        <v>4978.3</v>
      </c>
      <c r="F380">
        <v>6282</v>
      </c>
      <c r="G380">
        <v>4972.8</v>
      </c>
      <c r="H380" s="19">
        <f t="shared" si="90"/>
        <v>14108.9</v>
      </c>
      <c r="I380" s="19">
        <f t="shared" si="91"/>
        <v>9951.1</v>
      </c>
      <c r="J380" s="24">
        <f t="shared" si="92"/>
        <v>41.782315522907012</v>
      </c>
      <c r="K380">
        <f t="shared" si="93"/>
        <v>490.10000000000036</v>
      </c>
    </row>
    <row r="381" spans="1:12" x14ac:dyDescent="0.25">
      <c r="A381" s="10">
        <f t="shared" ref="A381:A432" si="96">+A380+7</f>
        <v>41501</v>
      </c>
      <c r="B381" s="102">
        <f t="shared" si="94"/>
        <v>11149.366666666667</v>
      </c>
      <c r="C381" s="102">
        <f t="shared" si="95"/>
        <v>5297.4333333333334</v>
      </c>
      <c r="D381">
        <v>7449.6</v>
      </c>
      <c r="E381">
        <v>4748.8999999999996</v>
      </c>
      <c r="F381">
        <v>7153.3</v>
      </c>
      <c r="G381">
        <v>5671</v>
      </c>
      <c r="H381" s="19">
        <f t="shared" si="90"/>
        <v>14602.900000000001</v>
      </c>
      <c r="I381" s="19">
        <f t="shared" si="91"/>
        <v>10419.9</v>
      </c>
      <c r="J381" s="24">
        <f t="shared" si="92"/>
        <v>40.14433919711324</v>
      </c>
      <c r="K381">
        <f t="shared" si="93"/>
        <v>494.00000000000182</v>
      </c>
    </row>
    <row r="382" spans="1:12" x14ac:dyDescent="0.25">
      <c r="A382" s="10">
        <f t="shared" si="96"/>
        <v>41508</v>
      </c>
      <c r="B382" s="102">
        <f t="shared" si="94"/>
        <v>11771</v>
      </c>
      <c r="C382" s="102">
        <f t="shared" si="95"/>
        <v>5845.9333333333334</v>
      </c>
      <c r="D382">
        <v>7176.5</v>
      </c>
      <c r="E382">
        <v>4698</v>
      </c>
      <c r="F382">
        <v>7977.8</v>
      </c>
      <c r="G382">
        <v>6224.8</v>
      </c>
      <c r="H382" s="19">
        <f t="shared" si="90"/>
        <v>15154.3</v>
      </c>
      <c r="I382" s="19">
        <f t="shared" si="91"/>
        <v>10922.8</v>
      </c>
      <c r="J382" s="24">
        <f t="shared" si="92"/>
        <v>38.740066649577031</v>
      </c>
      <c r="K382">
        <f t="shared" si="93"/>
        <v>551.39999999999782</v>
      </c>
    </row>
    <row r="383" spans="1:12" x14ac:dyDescent="0.25">
      <c r="A383" s="10">
        <f t="shared" si="96"/>
        <v>41515</v>
      </c>
      <c r="B383" s="102">
        <f t="shared" si="94"/>
        <v>12404.9</v>
      </c>
      <c r="C383" s="102">
        <f t="shared" si="95"/>
        <v>6433.2666666666664</v>
      </c>
      <c r="D383">
        <v>6890</v>
      </c>
      <c r="E383">
        <v>4652.2</v>
      </c>
      <c r="F383">
        <v>8932.6</v>
      </c>
      <c r="G383">
        <v>6825</v>
      </c>
      <c r="H383" s="19">
        <f t="shared" si="90"/>
        <v>15822.6</v>
      </c>
      <c r="I383" s="19">
        <f t="shared" si="91"/>
        <v>11477.2</v>
      </c>
      <c r="J383" s="24">
        <f t="shared" si="92"/>
        <v>37.86115080333181</v>
      </c>
      <c r="K383">
        <f t="shared" si="93"/>
        <v>668.30000000000109</v>
      </c>
    </row>
    <row r="384" spans="1:12" x14ac:dyDescent="0.25">
      <c r="A384" s="10">
        <f t="shared" si="96"/>
        <v>41522</v>
      </c>
      <c r="B384" s="102">
        <f t="shared" si="94"/>
        <v>13076.4</v>
      </c>
      <c r="C384" s="102">
        <f t="shared" si="95"/>
        <v>7059.833333333333</v>
      </c>
      <c r="D384">
        <v>6522</v>
      </c>
      <c r="E384">
        <v>4546.6000000000004</v>
      </c>
      <c r="F384">
        <v>9844.5</v>
      </c>
      <c r="G384">
        <v>7312.5</v>
      </c>
      <c r="H384" s="19">
        <f t="shared" si="90"/>
        <v>16366.5</v>
      </c>
      <c r="I384" s="19">
        <f t="shared" si="91"/>
        <v>11859.1</v>
      </c>
      <c r="J384" s="24">
        <f t="shared" si="92"/>
        <v>38.007943267195657</v>
      </c>
      <c r="K384">
        <f t="shared" si="93"/>
        <v>543.89999999999964</v>
      </c>
    </row>
    <row r="385" spans="1:14" x14ac:dyDescent="0.25">
      <c r="A385" s="10">
        <f t="shared" si="96"/>
        <v>41529</v>
      </c>
      <c r="B385" s="102">
        <f t="shared" si="94"/>
        <v>13503.033333333333</v>
      </c>
      <c r="C385" s="102">
        <f t="shared" si="95"/>
        <v>7670</v>
      </c>
      <c r="D385">
        <v>6022</v>
      </c>
      <c r="E385">
        <v>4259.5</v>
      </c>
      <c r="F385">
        <v>11048.9</v>
      </c>
      <c r="G385">
        <v>8088.5</v>
      </c>
      <c r="H385" s="19">
        <f t="shared" si="90"/>
        <v>17070.900000000001</v>
      </c>
      <c r="I385" s="19">
        <f t="shared" si="91"/>
        <v>12348</v>
      </c>
      <c r="J385" s="24">
        <f t="shared" si="92"/>
        <v>38.248299319727906</v>
      </c>
      <c r="K385">
        <f t="shared" si="93"/>
        <v>704.40000000000146</v>
      </c>
    </row>
    <row r="386" spans="1:14" x14ac:dyDescent="0.25">
      <c r="A386" s="10">
        <f t="shared" si="96"/>
        <v>41536</v>
      </c>
      <c r="B386" s="102">
        <f t="shared" ref="B386:B391" si="97">AVERAGE(H333,H281,H229)</f>
        <v>14209.333333333334</v>
      </c>
      <c r="C386" s="102">
        <f t="shared" ref="C386:C391" si="98">AVERAGE(F333,F281,F229)</f>
        <v>8530.2666666666664</v>
      </c>
      <c r="D386">
        <v>5613.8</v>
      </c>
      <c r="E386">
        <v>4143.1000000000004</v>
      </c>
      <c r="F386">
        <v>12077.4</v>
      </c>
      <c r="G386">
        <v>8630.7999999999993</v>
      </c>
      <c r="H386" s="19">
        <f t="shared" si="90"/>
        <v>17691.2</v>
      </c>
      <c r="I386" s="19">
        <f t="shared" si="91"/>
        <v>12773.9</v>
      </c>
      <c r="J386" s="24">
        <f t="shared" si="92"/>
        <v>38.494899756534821</v>
      </c>
      <c r="K386">
        <f t="shared" si="93"/>
        <v>620.29999999999927</v>
      </c>
    </row>
    <row r="387" spans="1:14" ht="15" x14ac:dyDescent="0.25">
      <c r="A387" s="10">
        <f t="shared" si="96"/>
        <v>41543</v>
      </c>
      <c r="B387" s="102">
        <f t="shared" si="97"/>
        <v>14704.5</v>
      </c>
      <c r="C387" s="102">
        <f t="shared" si="98"/>
        <v>9146.7666666666682</v>
      </c>
      <c r="D387">
        <v>5614.8</v>
      </c>
      <c r="E387">
        <v>3859.2</v>
      </c>
      <c r="F387">
        <v>12914.2</v>
      </c>
      <c r="G387">
        <v>9221.7999999999993</v>
      </c>
      <c r="H387" s="34">
        <f t="shared" si="90"/>
        <v>18529</v>
      </c>
      <c r="I387" s="19">
        <f t="shared" si="91"/>
        <v>13081</v>
      </c>
      <c r="J387" s="24">
        <f t="shared" si="92"/>
        <v>41.64819203424814</v>
      </c>
      <c r="K387">
        <f t="shared" si="93"/>
        <v>837.79999999999927</v>
      </c>
      <c r="N387" s="75"/>
    </row>
    <row r="388" spans="1:14" x14ac:dyDescent="0.25">
      <c r="A388" s="10">
        <f t="shared" si="96"/>
        <v>41550</v>
      </c>
      <c r="B388" s="102">
        <f t="shared" si="97"/>
        <v>15220.066666666668</v>
      </c>
      <c r="C388" s="102">
        <f t="shared" si="98"/>
        <v>9836.8666666666668</v>
      </c>
      <c r="D388">
        <v>5433.1</v>
      </c>
      <c r="E388">
        <v>3456.9</v>
      </c>
      <c r="F388">
        <v>13749.6</v>
      </c>
      <c r="G388">
        <v>9604</v>
      </c>
      <c r="H388" s="19">
        <f t="shared" si="90"/>
        <v>19182.7</v>
      </c>
      <c r="I388" s="19">
        <f t="shared" si="91"/>
        <v>13060.9</v>
      </c>
      <c r="J388" s="24">
        <f t="shared" si="92"/>
        <v>46.871195706268345</v>
      </c>
      <c r="K388" s="54">
        <f t="shared" si="93"/>
        <v>653.70000000000073</v>
      </c>
    </row>
    <row r="389" spans="1:14" x14ac:dyDescent="0.25">
      <c r="A389" s="10">
        <f t="shared" si="96"/>
        <v>41557</v>
      </c>
      <c r="B389" s="102">
        <f t="shared" si="97"/>
        <v>15598.6</v>
      </c>
      <c r="C389" s="102">
        <f t="shared" si="98"/>
        <v>10307.166666666666</v>
      </c>
    </row>
    <row r="390" spans="1:14" x14ac:dyDescent="0.25">
      <c r="A390" s="10">
        <f t="shared" si="96"/>
        <v>41564</v>
      </c>
      <c r="B390" s="102">
        <f t="shared" si="97"/>
        <v>16059.699999999999</v>
      </c>
      <c r="C390" s="102">
        <f t="shared" si="98"/>
        <v>10676.633333333333</v>
      </c>
    </row>
    <row r="391" spans="1:14" x14ac:dyDescent="0.25">
      <c r="A391" s="10">
        <f t="shared" si="96"/>
        <v>41571</v>
      </c>
      <c r="B391" s="102">
        <f t="shared" si="97"/>
        <v>16554.233333333334</v>
      </c>
      <c r="C391" s="102">
        <f t="shared" si="98"/>
        <v>11145.5</v>
      </c>
      <c r="D391">
        <v>5120</v>
      </c>
      <c r="E391">
        <v>4296</v>
      </c>
      <c r="F391">
        <v>15371.4</v>
      </c>
      <c r="G391">
        <v>10409.700000000001</v>
      </c>
      <c r="H391" s="19">
        <f t="shared" ref="H391:I393" si="99">+D391+F391</f>
        <v>20491.400000000001</v>
      </c>
      <c r="I391" s="19">
        <f t="shared" si="99"/>
        <v>14705.7</v>
      </c>
      <c r="J391" s="24">
        <f>+(H391/I391-1)*100</f>
        <v>39.343247856273408</v>
      </c>
      <c r="K391" s="54"/>
    </row>
    <row r="392" spans="1:14" x14ac:dyDescent="0.25">
      <c r="A392" s="10">
        <f t="shared" si="96"/>
        <v>41578</v>
      </c>
      <c r="B392" s="102">
        <f>AVERAGE(H339,H287,H235)</f>
        <v>16970.399999999998</v>
      </c>
      <c r="C392" s="102">
        <f>AVERAGE(F339,F287,F235)</f>
        <v>11595.233333333335</v>
      </c>
      <c r="D392" s="128">
        <v>5224.8999999999996</v>
      </c>
      <c r="E392" s="128">
        <v>4113.2</v>
      </c>
      <c r="F392" s="128">
        <v>15683.4</v>
      </c>
      <c r="G392" s="131">
        <v>10802</v>
      </c>
      <c r="H392" s="19">
        <f t="shared" si="99"/>
        <v>20908.3</v>
      </c>
      <c r="I392" s="19">
        <f t="shared" si="99"/>
        <v>14915.2</v>
      </c>
      <c r="J392" s="24">
        <f>+(H392/I392-1)*100</f>
        <v>40.181157476936271</v>
      </c>
    </row>
    <row r="393" spans="1:14" x14ac:dyDescent="0.25">
      <c r="A393" s="10">
        <f t="shared" si="96"/>
        <v>41585</v>
      </c>
      <c r="B393" s="102">
        <f>AVERAGE(H340,H288,H236)</f>
        <v>17417.033333333333</v>
      </c>
      <c r="C393" s="102">
        <f>AVERAGE(F340,F288,F236)</f>
        <v>12015.966666666665</v>
      </c>
      <c r="D393" s="128">
        <v>5129.8999999999996</v>
      </c>
      <c r="E393">
        <v>4129.2</v>
      </c>
      <c r="F393">
        <v>16066.2</v>
      </c>
      <c r="G393">
        <v>11100.5</v>
      </c>
      <c r="H393" s="19">
        <f t="shared" si="99"/>
        <v>21196.1</v>
      </c>
      <c r="I393" s="19">
        <f t="shared" si="99"/>
        <v>15229.7</v>
      </c>
      <c r="J393" s="24">
        <f>+(H393/I393-1)*100</f>
        <v>39.176083573543785</v>
      </c>
      <c r="K393">
        <v>103.9</v>
      </c>
    </row>
    <row r="394" spans="1:14" ht="15" x14ac:dyDescent="0.25">
      <c r="A394" s="10">
        <f t="shared" si="96"/>
        <v>41592</v>
      </c>
      <c r="B394" s="102">
        <f>AVERAGE(H341,H289,H237)</f>
        <v>17942.033333333333</v>
      </c>
      <c r="C394" s="102">
        <f>AVERAGE(F341,F289,F237)</f>
        <v>12361.966666666665</v>
      </c>
      <c r="D394" s="128">
        <v>5196.6000000000004</v>
      </c>
      <c r="E394">
        <v>4435.1000000000004</v>
      </c>
      <c r="F394">
        <v>16617.599999999999</v>
      </c>
      <c r="G394">
        <v>11430.1</v>
      </c>
      <c r="H394" s="19">
        <f>+D394+F394</f>
        <v>21814.199999999997</v>
      </c>
      <c r="I394" s="19">
        <f>+E394+G394</f>
        <v>15865.2</v>
      </c>
      <c r="J394" s="24">
        <f>+(H394/I394-1)*100</f>
        <v>37.49716360335826</v>
      </c>
      <c r="K394">
        <v>103.9</v>
      </c>
      <c r="M394" s="75"/>
    </row>
    <row r="395" spans="1:14" x14ac:dyDescent="0.25">
      <c r="A395" s="10">
        <f t="shared" si="96"/>
        <v>41599</v>
      </c>
      <c r="B395" s="102">
        <f>AVERAGE(H342,H290,H238)</f>
        <v>18359.866666666669</v>
      </c>
      <c r="C395" s="102">
        <f>AVERAGE(F342,F290,F238)</f>
        <v>12767.466666666667</v>
      </c>
      <c r="D395" s="128">
        <v>5427.7</v>
      </c>
      <c r="E395">
        <v>4485.8</v>
      </c>
      <c r="F395">
        <v>16948.7</v>
      </c>
      <c r="G395">
        <v>11658.7</v>
      </c>
      <c r="H395" s="19">
        <f>+D395+F395</f>
        <v>22376.400000000001</v>
      </c>
      <c r="I395" s="19">
        <f>+E395+G395</f>
        <v>16144.5</v>
      </c>
      <c r="J395" s="24">
        <f>+(H395/I395-1)*100</f>
        <v>38.600761869367297</v>
      </c>
      <c r="K395">
        <v>103.9</v>
      </c>
    </row>
    <row r="396" spans="1:14" x14ac:dyDescent="0.25">
      <c r="A396" s="10">
        <f t="shared" si="96"/>
        <v>41606</v>
      </c>
      <c r="B396" s="102">
        <f t="shared" ref="B396:B398" si="100">AVERAGE(H343,H291,H239)</f>
        <v>19088.933333333331</v>
      </c>
      <c r="C396" s="102">
        <f t="shared" ref="C396:C398" si="101">AVERAGE(F343,F291,F239)</f>
        <v>13140.366666666669</v>
      </c>
    </row>
    <row r="397" spans="1:14" x14ac:dyDescent="0.25">
      <c r="A397" s="10">
        <f t="shared" si="96"/>
        <v>41613</v>
      </c>
      <c r="B397" s="102">
        <f t="shared" si="100"/>
        <v>19527.5</v>
      </c>
      <c r="C397" s="102">
        <f t="shared" si="101"/>
        <v>13637.699999999999</v>
      </c>
    </row>
    <row r="398" spans="1:14" x14ac:dyDescent="0.25">
      <c r="A398" s="10">
        <f t="shared" si="96"/>
        <v>41620</v>
      </c>
      <c r="B398" s="102">
        <f t="shared" si="100"/>
        <v>20104.599999999999</v>
      </c>
      <c r="C398" s="102">
        <f t="shared" si="101"/>
        <v>14087.033333333333</v>
      </c>
    </row>
    <row r="399" spans="1:14" x14ac:dyDescent="0.25">
      <c r="A399" s="10">
        <f t="shared" si="96"/>
        <v>41627</v>
      </c>
      <c r="B399" s="53"/>
      <c r="C399" s="53"/>
    </row>
    <row r="400" spans="1:14" x14ac:dyDescent="0.25">
      <c r="A400" s="10">
        <f t="shared" si="96"/>
        <v>41634</v>
      </c>
      <c r="B400" s="53"/>
      <c r="C400" s="53"/>
    </row>
    <row r="401" spans="1:3" x14ac:dyDescent="0.25">
      <c r="A401" s="10">
        <f t="shared" si="96"/>
        <v>41641</v>
      </c>
      <c r="B401" s="53"/>
      <c r="C401" s="53"/>
    </row>
    <row r="402" spans="1:3" x14ac:dyDescent="0.25">
      <c r="A402" s="10">
        <f t="shared" si="96"/>
        <v>41648</v>
      </c>
      <c r="B402" s="53"/>
      <c r="C402" s="53"/>
    </row>
    <row r="403" spans="1:3" x14ac:dyDescent="0.25">
      <c r="A403" s="10">
        <f t="shared" si="96"/>
        <v>41655</v>
      </c>
      <c r="B403" s="53"/>
      <c r="C403" s="53"/>
    </row>
    <row r="404" spans="1:3" x14ac:dyDescent="0.25">
      <c r="A404" s="10">
        <f t="shared" si="96"/>
        <v>41662</v>
      </c>
      <c r="B404" s="53"/>
      <c r="C404" s="53"/>
    </row>
    <row r="405" spans="1:3" x14ac:dyDescent="0.25">
      <c r="A405" s="10">
        <f t="shared" si="96"/>
        <v>41669</v>
      </c>
      <c r="B405" s="53"/>
      <c r="C405" s="53"/>
    </row>
    <row r="406" spans="1:3" x14ac:dyDescent="0.25">
      <c r="A406" s="10">
        <f t="shared" si="96"/>
        <v>41676</v>
      </c>
      <c r="B406" s="53"/>
      <c r="C406" s="53"/>
    </row>
    <row r="407" spans="1:3" x14ac:dyDescent="0.25">
      <c r="A407" s="10">
        <f t="shared" si="96"/>
        <v>41683</v>
      </c>
      <c r="B407" s="53"/>
      <c r="C407" s="53"/>
    </row>
    <row r="408" spans="1:3" x14ac:dyDescent="0.25">
      <c r="A408" s="10">
        <f t="shared" si="96"/>
        <v>41690</v>
      </c>
      <c r="B408" s="53"/>
      <c r="C408" s="53"/>
    </row>
    <row r="409" spans="1:3" x14ac:dyDescent="0.25">
      <c r="A409" s="10">
        <f t="shared" si="96"/>
        <v>41697</v>
      </c>
      <c r="B409" s="53"/>
      <c r="C409" s="53"/>
    </row>
    <row r="410" spans="1:3" x14ac:dyDescent="0.25">
      <c r="A410" s="10">
        <f t="shared" si="96"/>
        <v>41704</v>
      </c>
      <c r="B410" s="53"/>
      <c r="C410" s="53"/>
    </row>
    <row r="411" spans="1:3" x14ac:dyDescent="0.25">
      <c r="A411" s="10">
        <f t="shared" si="96"/>
        <v>41711</v>
      </c>
      <c r="B411" s="53"/>
      <c r="C411" s="53"/>
    </row>
    <row r="412" spans="1:3" x14ac:dyDescent="0.25">
      <c r="A412" s="10">
        <f t="shared" si="96"/>
        <v>41718</v>
      </c>
      <c r="B412" s="53"/>
      <c r="C412" s="53"/>
    </row>
    <row r="413" spans="1:3" x14ac:dyDescent="0.25">
      <c r="A413" s="10">
        <f t="shared" si="96"/>
        <v>41725</v>
      </c>
      <c r="B413" s="53"/>
      <c r="C413" s="53"/>
    </row>
    <row r="414" spans="1:3" x14ac:dyDescent="0.25">
      <c r="A414" s="10">
        <f t="shared" si="96"/>
        <v>41732</v>
      </c>
      <c r="B414" s="53"/>
      <c r="C414" s="53"/>
    </row>
    <row r="415" spans="1:3" x14ac:dyDescent="0.25">
      <c r="A415" s="10">
        <f t="shared" si="96"/>
        <v>41739</v>
      </c>
      <c r="B415" s="10"/>
      <c r="C415" s="10"/>
    </row>
    <row r="416" spans="1:3" x14ac:dyDescent="0.25">
      <c r="A416" s="10">
        <f t="shared" si="96"/>
        <v>41746</v>
      </c>
      <c r="B416" s="10"/>
      <c r="C416" s="10"/>
    </row>
    <row r="417" spans="1:3" x14ac:dyDescent="0.25">
      <c r="A417" s="10">
        <f t="shared" si="96"/>
        <v>41753</v>
      </c>
      <c r="B417" s="10"/>
      <c r="C417" s="10"/>
    </row>
    <row r="418" spans="1:3" x14ac:dyDescent="0.25">
      <c r="A418" s="10">
        <f t="shared" si="96"/>
        <v>41760</v>
      </c>
      <c r="B418" s="10"/>
      <c r="C418" s="10"/>
    </row>
    <row r="419" spans="1:3" x14ac:dyDescent="0.25">
      <c r="A419" s="10">
        <f t="shared" si="96"/>
        <v>41767</v>
      </c>
      <c r="B419" s="10"/>
      <c r="C419" s="10"/>
    </row>
    <row r="420" spans="1:3" x14ac:dyDescent="0.25">
      <c r="A420" s="10">
        <f t="shared" si="96"/>
        <v>41774</v>
      </c>
      <c r="B420" s="10"/>
      <c r="C420" s="10"/>
    </row>
    <row r="421" spans="1:3" x14ac:dyDescent="0.25">
      <c r="A421" s="10">
        <f t="shared" si="96"/>
        <v>41781</v>
      </c>
      <c r="B421" s="10"/>
      <c r="C421" s="10"/>
    </row>
    <row r="422" spans="1:3" x14ac:dyDescent="0.25">
      <c r="A422" s="10">
        <f t="shared" si="96"/>
        <v>41788</v>
      </c>
      <c r="B422" s="10"/>
      <c r="C422" s="10"/>
    </row>
    <row r="423" spans="1:3" x14ac:dyDescent="0.25">
      <c r="A423" s="10">
        <f t="shared" si="96"/>
        <v>41795</v>
      </c>
      <c r="B423" s="10"/>
      <c r="C423" s="10"/>
    </row>
    <row r="424" spans="1:3" x14ac:dyDescent="0.25">
      <c r="A424" s="10">
        <f t="shared" si="96"/>
        <v>41802</v>
      </c>
      <c r="B424" s="10"/>
      <c r="C424" s="10"/>
    </row>
    <row r="425" spans="1:3" x14ac:dyDescent="0.25">
      <c r="A425" s="10">
        <f t="shared" si="96"/>
        <v>41809</v>
      </c>
      <c r="B425" s="10"/>
      <c r="C425" s="10"/>
    </row>
    <row r="426" spans="1:3" x14ac:dyDescent="0.25">
      <c r="A426" s="10">
        <f t="shared" si="96"/>
        <v>41816</v>
      </c>
      <c r="B426" s="10"/>
      <c r="C426" s="10"/>
    </row>
    <row r="427" spans="1:3" x14ac:dyDescent="0.25">
      <c r="A427" s="10">
        <f t="shared" si="96"/>
        <v>41823</v>
      </c>
      <c r="B427" s="10"/>
      <c r="C427" s="10"/>
    </row>
    <row r="428" spans="1:3" x14ac:dyDescent="0.25">
      <c r="A428" s="10">
        <f t="shared" si="96"/>
        <v>41830</v>
      </c>
      <c r="B428" s="10"/>
      <c r="C428" s="10"/>
    </row>
    <row r="429" spans="1:3" x14ac:dyDescent="0.25">
      <c r="A429" s="10">
        <f t="shared" si="96"/>
        <v>41837</v>
      </c>
      <c r="B429" s="10"/>
      <c r="C429" s="10"/>
    </row>
    <row r="430" spans="1:3" x14ac:dyDescent="0.25">
      <c r="A430" s="10">
        <f t="shared" si="96"/>
        <v>41844</v>
      </c>
      <c r="B430" s="10"/>
      <c r="C430" s="10"/>
    </row>
    <row r="431" spans="1:3" x14ac:dyDescent="0.25">
      <c r="A431" s="10">
        <f t="shared" si="96"/>
        <v>41851</v>
      </c>
      <c r="B431" s="10"/>
      <c r="C431" s="10"/>
    </row>
    <row r="432" spans="1:3" x14ac:dyDescent="0.25">
      <c r="A432" s="10">
        <f t="shared" si="96"/>
        <v>41858</v>
      </c>
      <c r="B432" s="10"/>
      <c r="C432" s="10"/>
    </row>
  </sheetData>
  <mergeCells count="2">
    <mergeCell ref="F1:G1"/>
    <mergeCell ref="H1:I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Z540"/>
  <sheetViews>
    <sheetView workbookViewId="0">
      <pane xSplit="1" ySplit="2" topLeftCell="B376" activePane="bottomRight" state="frozen"/>
      <selection pane="topRight" activeCell="B1" sqref="B1"/>
      <selection pane="bottomLeft" activeCell="A3" sqref="A3"/>
      <selection pane="bottomRight" activeCell="J395" sqref="J395"/>
    </sheetView>
  </sheetViews>
  <sheetFormatPr defaultRowHeight="13.2" x14ac:dyDescent="0.25"/>
  <cols>
    <col min="1" max="1" width="10.44140625" customWidth="1"/>
  </cols>
  <sheetData>
    <row r="1" spans="1:19" x14ac:dyDescent="0.25">
      <c r="A1" s="43" t="s">
        <v>31</v>
      </c>
      <c r="B1" t="s">
        <v>4</v>
      </c>
      <c r="D1" s="135" t="s">
        <v>5</v>
      </c>
      <c r="E1" s="136"/>
      <c r="F1" s="135" t="s">
        <v>6</v>
      </c>
      <c r="G1" s="136"/>
      <c r="H1" s="5"/>
      <c r="K1" s="132" t="s">
        <v>36</v>
      </c>
      <c r="L1" s="132"/>
      <c r="M1" s="132"/>
      <c r="N1" s="132"/>
      <c r="O1" s="132"/>
      <c r="P1" s="132"/>
      <c r="Q1" s="132"/>
      <c r="R1" s="132"/>
      <c r="S1" s="132"/>
    </row>
    <row r="2" spans="1:19" x14ac:dyDescent="0.25">
      <c r="A2" t="s">
        <v>11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  <c r="I2" s="19">
        <v>2006</v>
      </c>
    </row>
    <row r="3" spans="1:19" x14ac:dyDescent="0.25">
      <c r="A3" s="10">
        <f>Japan!A3</f>
        <v>38855</v>
      </c>
      <c r="B3">
        <v>203.9</v>
      </c>
      <c r="C3">
        <v>154.4</v>
      </c>
      <c r="D3">
        <v>2957.1</v>
      </c>
      <c r="E3">
        <v>2434.4</v>
      </c>
      <c r="F3" s="11">
        <f>+B3+D3</f>
        <v>3161</v>
      </c>
      <c r="G3" s="12">
        <f>+C3+E3</f>
        <v>2588.8000000000002</v>
      </c>
      <c r="H3" s="15">
        <f>+(F3/G3-1)*100</f>
        <v>22.102904820766376</v>
      </c>
      <c r="I3">
        <v>91.5</v>
      </c>
    </row>
    <row r="4" spans="1:19" x14ac:dyDescent="0.25">
      <c r="A4" s="10">
        <f>Japan!A4</f>
        <v>38862</v>
      </c>
      <c r="B4">
        <v>134.19999999999999</v>
      </c>
      <c r="C4">
        <v>120.9</v>
      </c>
      <c r="D4">
        <v>3003.6</v>
      </c>
      <c r="E4">
        <v>2496.1999999999998</v>
      </c>
      <c r="F4" s="11">
        <f>+B4+D4</f>
        <v>3137.7999999999997</v>
      </c>
      <c r="G4" s="12">
        <f>+C4+E4</f>
        <v>2617.1</v>
      </c>
      <c r="H4" s="15">
        <f>+(F4/G4-1)*100</f>
        <v>19.896068167055137</v>
      </c>
      <c r="I4">
        <v>111.8</v>
      </c>
    </row>
    <row r="5" spans="1:19" x14ac:dyDescent="0.25">
      <c r="A5" s="10">
        <f>+A4+7</f>
        <v>38869</v>
      </c>
      <c r="B5">
        <v>215</v>
      </c>
      <c r="C5">
        <v>499.8</v>
      </c>
      <c r="D5">
        <v>29.7</v>
      </c>
      <c r="E5">
        <v>47.6</v>
      </c>
      <c r="F5">
        <f t="shared" ref="F5:G7" si="0">+B5+D5</f>
        <v>244.7</v>
      </c>
      <c r="G5">
        <f t="shared" si="0"/>
        <v>547.4</v>
      </c>
      <c r="H5" s="14">
        <f t="shared" ref="H5:H38" si="1">+(F5/G5-1)*100</f>
        <v>-55.297771282426012</v>
      </c>
    </row>
    <row r="6" spans="1:19" x14ac:dyDescent="0.25">
      <c r="A6" s="10">
        <f t="shared" ref="A6:A252" si="2">+A5+7</f>
        <v>38876</v>
      </c>
      <c r="B6">
        <v>203.3</v>
      </c>
      <c r="C6">
        <v>463.4</v>
      </c>
      <c r="D6">
        <v>59.3</v>
      </c>
      <c r="E6">
        <v>117</v>
      </c>
      <c r="F6">
        <f t="shared" si="0"/>
        <v>262.60000000000002</v>
      </c>
      <c r="G6">
        <f t="shared" si="0"/>
        <v>580.4</v>
      </c>
      <c r="H6" s="14">
        <f t="shared" si="1"/>
        <v>-54.755341144038596</v>
      </c>
    </row>
    <row r="7" spans="1:19" x14ac:dyDescent="0.25">
      <c r="A7" s="10">
        <f t="shared" si="2"/>
        <v>38883</v>
      </c>
      <c r="B7">
        <v>272.7</v>
      </c>
      <c r="C7">
        <v>482.6</v>
      </c>
      <c r="D7">
        <v>98</v>
      </c>
      <c r="E7">
        <v>118.7</v>
      </c>
      <c r="F7">
        <f t="shared" si="0"/>
        <v>370.7</v>
      </c>
      <c r="G7">
        <f t="shared" si="0"/>
        <v>601.30000000000007</v>
      </c>
      <c r="H7" s="14">
        <f t="shared" si="1"/>
        <v>-38.350241144187599</v>
      </c>
    </row>
    <row r="8" spans="1:19" x14ac:dyDescent="0.25">
      <c r="A8" s="10">
        <f t="shared" si="2"/>
        <v>38890</v>
      </c>
      <c r="B8">
        <v>248.7</v>
      </c>
      <c r="C8">
        <v>517</v>
      </c>
      <c r="D8">
        <v>147.30000000000001</v>
      </c>
      <c r="E8">
        <v>195.1</v>
      </c>
      <c r="F8">
        <f t="shared" ref="F8:G38" si="3">+B8+D8</f>
        <v>396</v>
      </c>
      <c r="G8">
        <f t="shared" si="3"/>
        <v>712.1</v>
      </c>
      <c r="H8" s="14">
        <f t="shared" si="1"/>
        <v>-44.389832888639233</v>
      </c>
    </row>
    <row r="9" spans="1:19" x14ac:dyDescent="0.25">
      <c r="A9" s="10">
        <f t="shared" si="2"/>
        <v>38897</v>
      </c>
      <c r="B9">
        <v>305.7</v>
      </c>
      <c r="C9">
        <v>539.79999999999995</v>
      </c>
      <c r="D9">
        <v>184.6</v>
      </c>
      <c r="E9">
        <v>244.3</v>
      </c>
      <c r="F9" s="19">
        <f t="shared" si="3"/>
        <v>490.29999999999995</v>
      </c>
      <c r="G9" s="19">
        <f t="shared" si="3"/>
        <v>784.09999999999991</v>
      </c>
      <c r="H9" s="24">
        <f t="shared" si="1"/>
        <v>-37.469710496110189</v>
      </c>
    </row>
    <row r="10" spans="1:19" x14ac:dyDescent="0.25">
      <c r="A10" s="10">
        <f t="shared" si="2"/>
        <v>38904</v>
      </c>
      <c r="B10">
        <v>297.7</v>
      </c>
      <c r="C10">
        <v>516.6</v>
      </c>
      <c r="D10">
        <v>206.4</v>
      </c>
      <c r="E10">
        <v>331.7</v>
      </c>
      <c r="F10" s="19">
        <f t="shared" si="3"/>
        <v>504.1</v>
      </c>
      <c r="G10" s="19">
        <f t="shared" si="3"/>
        <v>848.3</v>
      </c>
      <c r="H10" s="24">
        <f t="shared" si="1"/>
        <v>-40.575268183425671</v>
      </c>
    </row>
    <row r="11" spans="1:19" x14ac:dyDescent="0.25">
      <c r="A11" s="10">
        <f t="shared" si="2"/>
        <v>38911</v>
      </c>
      <c r="B11">
        <v>275.10000000000002</v>
      </c>
      <c r="C11">
        <v>563.70000000000005</v>
      </c>
      <c r="D11">
        <v>300.3</v>
      </c>
      <c r="E11">
        <v>400.5</v>
      </c>
      <c r="F11" s="19">
        <f t="shared" si="3"/>
        <v>575.40000000000009</v>
      </c>
      <c r="G11" s="19">
        <f t="shared" si="3"/>
        <v>964.2</v>
      </c>
      <c r="H11" s="24">
        <f t="shared" si="1"/>
        <v>-40.323584318606088</v>
      </c>
    </row>
    <row r="12" spans="1:19" x14ac:dyDescent="0.25">
      <c r="A12" s="10">
        <f t="shared" si="2"/>
        <v>38918</v>
      </c>
      <c r="B12">
        <v>250.1</v>
      </c>
      <c r="C12">
        <v>552</v>
      </c>
      <c r="D12">
        <v>330.2</v>
      </c>
      <c r="E12">
        <v>412.2</v>
      </c>
      <c r="F12" s="19">
        <f t="shared" si="3"/>
        <v>580.29999999999995</v>
      </c>
      <c r="G12" s="19">
        <f t="shared" si="3"/>
        <v>964.2</v>
      </c>
      <c r="H12" s="24">
        <f t="shared" si="1"/>
        <v>-39.815390997718325</v>
      </c>
    </row>
    <row r="13" spans="1:19" x14ac:dyDescent="0.25">
      <c r="A13" s="10">
        <f t="shared" si="2"/>
        <v>38925</v>
      </c>
      <c r="B13">
        <v>360.8</v>
      </c>
      <c r="C13">
        <v>724.4</v>
      </c>
      <c r="D13">
        <v>435</v>
      </c>
      <c r="E13">
        <v>532.70000000000005</v>
      </c>
      <c r="F13" s="19">
        <f t="shared" si="3"/>
        <v>795.8</v>
      </c>
      <c r="G13" s="19">
        <f t="shared" si="3"/>
        <v>1257.0999999999999</v>
      </c>
      <c r="H13" s="24">
        <f t="shared" si="1"/>
        <v>-36.695569167130692</v>
      </c>
    </row>
    <row r="14" spans="1:19" x14ac:dyDescent="0.25">
      <c r="A14" s="10">
        <f t="shared" si="2"/>
        <v>38932</v>
      </c>
      <c r="B14">
        <v>280</v>
      </c>
      <c r="C14">
        <v>642.29999999999995</v>
      </c>
      <c r="D14">
        <v>544.70000000000005</v>
      </c>
      <c r="E14">
        <v>696.6</v>
      </c>
      <c r="F14" s="19">
        <f t="shared" si="3"/>
        <v>824.7</v>
      </c>
      <c r="G14" s="19">
        <f t="shared" si="3"/>
        <v>1338.9</v>
      </c>
      <c r="H14" s="24">
        <f t="shared" si="1"/>
        <v>-38.404660542236172</v>
      </c>
    </row>
    <row r="15" spans="1:19" x14ac:dyDescent="0.25">
      <c r="A15" s="10">
        <f t="shared" si="2"/>
        <v>38939</v>
      </c>
      <c r="B15">
        <v>284.2</v>
      </c>
      <c r="C15">
        <v>594.79999999999995</v>
      </c>
      <c r="D15">
        <v>560.5</v>
      </c>
      <c r="E15">
        <v>810.6</v>
      </c>
      <c r="F15" s="19">
        <f t="shared" si="3"/>
        <v>844.7</v>
      </c>
      <c r="G15" s="19">
        <f t="shared" si="3"/>
        <v>1405.4</v>
      </c>
      <c r="H15" s="24">
        <f t="shared" si="1"/>
        <v>-39.896114985057643</v>
      </c>
    </row>
    <row r="16" spans="1:19" x14ac:dyDescent="0.25">
      <c r="A16" s="10">
        <f t="shared" si="2"/>
        <v>38946</v>
      </c>
      <c r="B16">
        <v>306.10000000000002</v>
      </c>
      <c r="C16">
        <v>671.9</v>
      </c>
      <c r="D16">
        <v>663</v>
      </c>
      <c r="E16">
        <v>879.1</v>
      </c>
      <c r="F16" s="19">
        <f t="shared" si="3"/>
        <v>969.1</v>
      </c>
      <c r="G16" s="19">
        <f t="shared" si="3"/>
        <v>1551</v>
      </c>
      <c r="H16" s="24">
        <f t="shared" si="1"/>
        <v>-37.517730496453893</v>
      </c>
    </row>
    <row r="17" spans="1:8" x14ac:dyDescent="0.25">
      <c r="A17" s="10">
        <f t="shared" si="2"/>
        <v>38953</v>
      </c>
      <c r="B17">
        <v>337.1</v>
      </c>
      <c r="C17">
        <v>666.1</v>
      </c>
      <c r="D17">
        <v>687</v>
      </c>
      <c r="E17">
        <v>908.9</v>
      </c>
      <c r="F17" s="19">
        <f t="shared" si="3"/>
        <v>1024.0999999999999</v>
      </c>
      <c r="G17" s="19">
        <f t="shared" si="3"/>
        <v>1575</v>
      </c>
      <c r="H17" s="24">
        <f t="shared" si="1"/>
        <v>-34.977777777777789</v>
      </c>
    </row>
    <row r="18" spans="1:8" x14ac:dyDescent="0.25">
      <c r="A18" s="10">
        <f t="shared" si="2"/>
        <v>38960</v>
      </c>
      <c r="B18">
        <v>261.7</v>
      </c>
      <c r="C18">
        <v>834.6</v>
      </c>
      <c r="D18">
        <v>794.3</v>
      </c>
      <c r="E18">
        <v>933.8</v>
      </c>
      <c r="F18" s="19">
        <f t="shared" si="3"/>
        <v>1056</v>
      </c>
      <c r="G18" s="19">
        <f t="shared" si="3"/>
        <v>1768.4</v>
      </c>
      <c r="H18" s="24">
        <f t="shared" si="1"/>
        <v>-40.285003392897536</v>
      </c>
    </row>
    <row r="19" spans="1:8" x14ac:dyDescent="0.25">
      <c r="A19" s="10">
        <f t="shared" si="2"/>
        <v>38967</v>
      </c>
      <c r="B19">
        <v>279.7</v>
      </c>
      <c r="C19">
        <v>834.8</v>
      </c>
      <c r="D19">
        <v>794.3</v>
      </c>
      <c r="E19">
        <v>1021.3</v>
      </c>
      <c r="F19" s="19">
        <f t="shared" si="3"/>
        <v>1074</v>
      </c>
      <c r="G19" s="19">
        <f t="shared" si="3"/>
        <v>1856.1</v>
      </c>
      <c r="H19" s="24">
        <f t="shared" si="1"/>
        <v>-42.136738322288672</v>
      </c>
    </row>
    <row r="20" spans="1:8" x14ac:dyDescent="0.25">
      <c r="A20" s="10">
        <f t="shared" si="2"/>
        <v>38974</v>
      </c>
      <c r="B20">
        <v>237.9</v>
      </c>
      <c r="C20">
        <v>806</v>
      </c>
      <c r="D20">
        <v>877.8</v>
      </c>
      <c r="E20">
        <v>1148.3</v>
      </c>
      <c r="F20" s="19">
        <f t="shared" si="3"/>
        <v>1115.7</v>
      </c>
      <c r="G20" s="19">
        <f t="shared" si="3"/>
        <v>1954.3</v>
      </c>
      <c r="H20" s="24">
        <f t="shared" si="1"/>
        <v>-42.910505040167834</v>
      </c>
    </row>
    <row r="21" spans="1:8" x14ac:dyDescent="0.25">
      <c r="A21" s="10">
        <f t="shared" si="2"/>
        <v>38981</v>
      </c>
      <c r="B21">
        <v>295.89999999999998</v>
      </c>
      <c r="C21">
        <v>757.2</v>
      </c>
      <c r="D21">
        <v>879.4</v>
      </c>
      <c r="E21">
        <v>1228.0999999999999</v>
      </c>
      <c r="F21" s="19">
        <f t="shared" si="3"/>
        <v>1175.3</v>
      </c>
      <c r="G21" s="19">
        <f t="shared" si="3"/>
        <v>1985.3</v>
      </c>
      <c r="H21" s="24">
        <f t="shared" si="1"/>
        <v>-40.799879111469295</v>
      </c>
    </row>
    <row r="22" spans="1:8" x14ac:dyDescent="0.25">
      <c r="A22" s="10">
        <f t="shared" si="2"/>
        <v>38988</v>
      </c>
      <c r="B22">
        <v>255.4</v>
      </c>
      <c r="C22">
        <v>719.7</v>
      </c>
      <c r="D22">
        <v>973.1</v>
      </c>
      <c r="E22">
        <v>1271.3</v>
      </c>
      <c r="F22" s="19">
        <f t="shared" si="3"/>
        <v>1228.5</v>
      </c>
      <c r="G22" s="19">
        <f t="shared" si="3"/>
        <v>1991</v>
      </c>
      <c r="H22" s="24">
        <f t="shared" si="1"/>
        <v>-38.29733802109493</v>
      </c>
    </row>
    <row r="23" spans="1:8" x14ac:dyDescent="0.25">
      <c r="A23" s="10">
        <f t="shared" si="2"/>
        <v>38995</v>
      </c>
      <c r="B23">
        <v>233.4</v>
      </c>
      <c r="C23">
        <v>705.7</v>
      </c>
      <c r="D23">
        <v>999.6</v>
      </c>
      <c r="E23">
        <v>1346.7</v>
      </c>
      <c r="F23" s="19">
        <f t="shared" si="3"/>
        <v>1233</v>
      </c>
      <c r="G23" s="19">
        <f t="shared" si="3"/>
        <v>2052.4</v>
      </c>
      <c r="H23" s="24">
        <f t="shared" si="1"/>
        <v>-39.923991424673552</v>
      </c>
    </row>
    <row r="24" spans="1:8" x14ac:dyDescent="0.25">
      <c r="A24" s="10">
        <f t="shared" si="2"/>
        <v>39002</v>
      </c>
      <c r="B24">
        <v>200</v>
      </c>
      <c r="C24">
        <v>669.3</v>
      </c>
      <c r="D24">
        <v>1057.0999999999999</v>
      </c>
      <c r="E24">
        <v>1435.8</v>
      </c>
      <c r="F24" s="19">
        <f t="shared" si="3"/>
        <v>1257.0999999999999</v>
      </c>
      <c r="G24" s="19">
        <f t="shared" si="3"/>
        <v>2105.1</v>
      </c>
      <c r="H24" s="24">
        <f t="shared" si="1"/>
        <v>-40.283121941950505</v>
      </c>
    </row>
    <row r="25" spans="1:8" x14ac:dyDescent="0.25">
      <c r="A25" s="10">
        <f t="shared" si="2"/>
        <v>39009</v>
      </c>
      <c r="B25">
        <v>321.39999999999998</v>
      </c>
      <c r="C25">
        <v>652.6</v>
      </c>
      <c r="D25">
        <v>1057.0999999999999</v>
      </c>
      <c r="E25">
        <v>1483.4</v>
      </c>
      <c r="F25" s="19">
        <f t="shared" si="3"/>
        <v>1378.5</v>
      </c>
      <c r="G25" s="19">
        <f t="shared" si="3"/>
        <v>2136</v>
      </c>
      <c r="H25" s="24">
        <f t="shared" si="1"/>
        <v>-35.463483146067418</v>
      </c>
    </row>
    <row r="26" spans="1:8" x14ac:dyDescent="0.25">
      <c r="A26" s="10">
        <f t="shared" si="2"/>
        <v>39016</v>
      </c>
      <c r="B26">
        <v>289.89999999999998</v>
      </c>
      <c r="C26">
        <v>627.5</v>
      </c>
      <c r="D26">
        <v>1088.5999999999999</v>
      </c>
      <c r="E26">
        <v>1578.7</v>
      </c>
      <c r="F26" s="19">
        <f t="shared" si="3"/>
        <v>1378.5</v>
      </c>
      <c r="G26" s="19">
        <f t="shared" si="3"/>
        <v>2206.1999999999998</v>
      </c>
      <c r="H26" s="24">
        <f t="shared" si="1"/>
        <v>-37.516997552352457</v>
      </c>
    </row>
    <row r="27" spans="1:8" x14ac:dyDescent="0.25">
      <c r="A27" s="10">
        <f t="shared" si="2"/>
        <v>39023</v>
      </c>
      <c r="B27">
        <v>297.39999999999998</v>
      </c>
      <c r="C27">
        <v>600</v>
      </c>
      <c r="D27">
        <v>1109.5999999999999</v>
      </c>
      <c r="E27">
        <v>1624.2</v>
      </c>
      <c r="F27" s="19">
        <f t="shared" si="3"/>
        <v>1407</v>
      </c>
      <c r="G27" s="19">
        <f t="shared" si="3"/>
        <v>2224.1999999999998</v>
      </c>
      <c r="H27" s="24">
        <f t="shared" si="1"/>
        <v>-36.741300242783915</v>
      </c>
    </row>
    <row r="28" spans="1:8" x14ac:dyDescent="0.25">
      <c r="A28" s="10">
        <f t="shared" si="2"/>
        <v>39030</v>
      </c>
      <c r="B28">
        <v>316.8</v>
      </c>
      <c r="C28">
        <v>644.79999999999995</v>
      </c>
      <c r="D28">
        <v>1169.4000000000001</v>
      </c>
      <c r="E28">
        <v>1654.3</v>
      </c>
      <c r="F28" s="19">
        <f t="shared" si="3"/>
        <v>1486.2</v>
      </c>
      <c r="G28" s="19">
        <f t="shared" si="3"/>
        <v>2299.1</v>
      </c>
      <c r="H28" s="24">
        <f t="shared" si="1"/>
        <v>-35.357313731460124</v>
      </c>
    </row>
    <row r="29" spans="1:8" x14ac:dyDescent="0.25">
      <c r="A29" s="10">
        <f t="shared" si="2"/>
        <v>39037</v>
      </c>
      <c r="B29">
        <v>289.8</v>
      </c>
      <c r="C29">
        <v>635.9</v>
      </c>
      <c r="D29">
        <v>1200</v>
      </c>
      <c r="E29">
        <v>1727.3</v>
      </c>
      <c r="F29" s="19">
        <f t="shared" si="3"/>
        <v>1489.8</v>
      </c>
      <c r="G29" s="19">
        <f t="shared" si="3"/>
        <v>2363.1999999999998</v>
      </c>
      <c r="H29" s="24">
        <f t="shared" si="1"/>
        <v>-36.958361543669596</v>
      </c>
    </row>
    <row r="30" spans="1:8" x14ac:dyDescent="0.25">
      <c r="A30" s="10">
        <f t="shared" si="2"/>
        <v>39044</v>
      </c>
      <c r="B30">
        <v>260.89999999999998</v>
      </c>
      <c r="C30">
        <v>605.9</v>
      </c>
      <c r="D30">
        <v>1224.3</v>
      </c>
      <c r="E30">
        <v>1758.5</v>
      </c>
      <c r="F30" s="19">
        <f t="shared" si="3"/>
        <v>1485.1999999999998</v>
      </c>
      <c r="G30" s="19">
        <f t="shared" si="3"/>
        <v>2364.4</v>
      </c>
      <c r="H30" s="24">
        <f t="shared" si="1"/>
        <v>-37.184909490779916</v>
      </c>
    </row>
    <row r="31" spans="1:8" x14ac:dyDescent="0.25">
      <c r="A31" s="10">
        <f t="shared" si="2"/>
        <v>39051</v>
      </c>
      <c r="B31">
        <v>232.8</v>
      </c>
      <c r="C31">
        <v>585.9</v>
      </c>
      <c r="D31">
        <v>1256.2</v>
      </c>
      <c r="E31">
        <v>1780.5</v>
      </c>
      <c r="F31" s="19">
        <f t="shared" si="3"/>
        <v>1489</v>
      </c>
      <c r="G31" s="19">
        <f t="shared" si="3"/>
        <v>2366.4</v>
      </c>
      <c r="H31" s="24">
        <f t="shared" si="1"/>
        <v>-37.077417173766058</v>
      </c>
    </row>
    <row r="32" spans="1:8" x14ac:dyDescent="0.25">
      <c r="A32" s="10">
        <f t="shared" si="2"/>
        <v>39058</v>
      </c>
      <c r="B32">
        <v>305.3</v>
      </c>
      <c r="C32">
        <v>584.79999999999995</v>
      </c>
      <c r="D32">
        <v>1274.2</v>
      </c>
      <c r="E32">
        <v>1806.7</v>
      </c>
      <c r="F32" s="19">
        <f t="shared" si="3"/>
        <v>1579.5</v>
      </c>
      <c r="G32" s="19">
        <f t="shared" si="3"/>
        <v>2391.5</v>
      </c>
      <c r="H32" s="24">
        <f t="shared" si="1"/>
        <v>-33.953585615722346</v>
      </c>
    </row>
    <row r="33" spans="1:8" x14ac:dyDescent="0.25">
      <c r="A33" s="10">
        <f t="shared" si="2"/>
        <v>39065</v>
      </c>
      <c r="B33">
        <v>280.3</v>
      </c>
      <c r="C33">
        <v>622.29999999999995</v>
      </c>
      <c r="D33">
        <v>1299.2</v>
      </c>
      <c r="E33">
        <v>1855.1</v>
      </c>
      <c r="F33" s="19">
        <f t="shared" si="3"/>
        <v>1579.5</v>
      </c>
      <c r="G33" s="19">
        <f t="shared" si="3"/>
        <v>2477.3999999999996</v>
      </c>
      <c r="H33" s="24">
        <f t="shared" si="1"/>
        <v>-36.243642528457244</v>
      </c>
    </row>
    <row r="34" spans="1:8" x14ac:dyDescent="0.25">
      <c r="A34" s="10">
        <f t="shared" si="2"/>
        <v>39072</v>
      </c>
      <c r="B34">
        <v>352.2</v>
      </c>
      <c r="C34">
        <v>644.20000000000005</v>
      </c>
      <c r="D34">
        <v>1299.2</v>
      </c>
      <c r="E34">
        <v>1902.4</v>
      </c>
      <c r="F34" s="19">
        <f t="shared" si="3"/>
        <v>1651.4</v>
      </c>
      <c r="G34" s="19">
        <f t="shared" si="3"/>
        <v>2546.6000000000004</v>
      </c>
      <c r="H34" s="24">
        <f t="shared" si="1"/>
        <v>-35.152752689861003</v>
      </c>
    </row>
    <row r="35" spans="1:8" x14ac:dyDescent="0.25">
      <c r="A35" s="10">
        <f t="shared" si="2"/>
        <v>39079</v>
      </c>
      <c r="B35">
        <v>352.2</v>
      </c>
      <c r="C35">
        <v>671.4</v>
      </c>
      <c r="D35">
        <v>1299.2</v>
      </c>
      <c r="E35">
        <v>1973.4</v>
      </c>
      <c r="F35" s="19">
        <f t="shared" si="3"/>
        <v>1651.4</v>
      </c>
      <c r="G35" s="19">
        <f t="shared" si="3"/>
        <v>2644.8</v>
      </c>
      <c r="H35" s="24">
        <f t="shared" si="1"/>
        <v>-37.560496067755601</v>
      </c>
    </row>
    <row r="36" spans="1:8" x14ac:dyDescent="0.25">
      <c r="A36" s="10">
        <f t="shared" si="2"/>
        <v>39086</v>
      </c>
      <c r="B36">
        <v>351.3</v>
      </c>
      <c r="C36">
        <v>659.4</v>
      </c>
      <c r="D36">
        <v>1338.1</v>
      </c>
      <c r="E36">
        <v>1985.4</v>
      </c>
      <c r="F36" s="19">
        <f t="shared" si="3"/>
        <v>1689.3999999999999</v>
      </c>
      <c r="G36" s="19">
        <f t="shared" si="3"/>
        <v>2644.8</v>
      </c>
      <c r="H36" s="24">
        <f t="shared" si="1"/>
        <v>-36.123714458560208</v>
      </c>
    </row>
    <row r="37" spans="1:8" x14ac:dyDescent="0.25">
      <c r="A37" s="10">
        <f t="shared" si="2"/>
        <v>39093</v>
      </c>
      <c r="B37">
        <v>401.1</v>
      </c>
      <c r="C37">
        <v>634.6</v>
      </c>
      <c r="D37">
        <v>1363.5</v>
      </c>
      <c r="E37">
        <v>2054.8000000000002</v>
      </c>
      <c r="F37" s="19">
        <f t="shared" si="3"/>
        <v>1764.6</v>
      </c>
      <c r="G37" s="19">
        <f t="shared" si="3"/>
        <v>2689.4</v>
      </c>
      <c r="H37" s="24">
        <f t="shared" si="1"/>
        <v>-34.386852085967135</v>
      </c>
    </row>
    <row r="38" spans="1:8" x14ac:dyDescent="0.25">
      <c r="A38" s="10">
        <f t="shared" si="2"/>
        <v>39100</v>
      </c>
      <c r="B38">
        <v>375.1</v>
      </c>
      <c r="C38">
        <v>572.5</v>
      </c>
      <c r="D38">
        <v>1425</v>
      </c>
      <c r="E38">
        <v>2066.9</v>
      </c>
      <c r="F38" s="19">
        <f t="shared" si="3"/>
        <v>1800.1</v>
      </c>
      <c r="G38" s="19">
        <f t="shared" si="3"/>
        <v>2639.4</v>
      </c>
      <c r="H38" s="24">
        <f t="shared" si="1"/>
        <v>-31.798893687959396</v>
      </c>
    </row>
    <row r="39" spans="1:8" x14ac:dyDescent="0.25">
      <c r="A39" s="10">
        <f t="shared" si="2"/>
        <v>39107</v>
      </c>
      <c r="B39">
        <v>491.2</v>
      </c>
      <c r="C39">
        <v>493</v>
      </c>
      <c r="D39">
        <v>1509.7</v>
      </c>
      <c r="E39">
        <v>2144.3000000000002</v>
      </c>
      <c r="F39" s="19">
        <f t="shared" ref="F39:G41" si="4">+B39+D39</f>
        <v>2000.9</v>
      </c>
      <c r="G39" s="19">
        <f t="shared" si="4"/>
        <v>2637.3</v>
      </c>
      <c r="H39" s="24">
        <f t="shared" ref="H39:H44" si="5">+(F39/G39-1)*100</f>
        <v>-24.130739771736241</v>
      </c>
    </row>
    <row r="40" spans="1:8" x14ac:dyDescent="0.25">
      <c r="A40" s="10">
        <f t="shared" si="2"/>
        <v>39114</v>
      </c>
      <c r="B40">
        <v>471</v>
      </c>
      <c r="C40">
        <v>464</v>
      </c>
      <c r="D40">
        <v>1550.9</v>
      </c>
      <c r="E40">
        <v>2215.5</v>
      </c>
      <c r="F40" s="19">
        <f t="shared" si="4"/>
        <v>2021.9</v>
      </c>
      <c r="G40" s="19">
        <f t="shared" si="4"/>
        <v>2679.5</v>
      </c>
      <c r="H40" s="24">
        <f t="shared" si="5"/>
        <v>-24.541892144056721</v>
      </c>
    </row>
    <row r="41" spans="1:8" x14ac:dyDescent="0.25">
      <c r="A41" s="10">
        <f t="shared" si="2"/>
        <v>39121</v>
      </c>
      <c r="B41">
        <v>439.5</v>
      </c>
      <c r="C41">
        <v>480.6</v>
      </c>
      <c r="D41">
        <v>1609</v>
      </c>
      <c r="E41">
        <v>2262.8000000000002</v>
      </c>
      <c r="F41" s="19">
        <f t="shared" si="4"/>
        <v>2048.5</v>
      </c>
      <c r="G41" s="19">
        <f t="shared" si="4"/>
        <v>2743.4</v>
      </c>
      <c r="H41" s="24">
        <f t="shared" si="5"/>
        <v>-25.32988262739666</v>
      </c>
    </row>
    <row r="42" spans="1:8" x14ac:dyDescent="0.25">
      <c r="A42" s="10">
        <f t="shared" si="2"/>
        <v>39128</v>
      </c>
      <c r="B42">
        <v>429.3</v>
      </c>
      <c r="C42">
        <v>503.1</v>
      </c>
      <c r="D42">
        <v>1649.5</v>
      </c>
      <c r="E42">
        <v>2286.5</v>
      </c>
      <c r="F42" s="19">
        <f t="shared" ref="F42:G44" si="6">+B42+D42</f>
        <v>2078.8000000000002</v>
      </c>
      <c r="G42" s="19">
        <f t="shared" si="6"/>
        <v>2789.6</v>
      </c>
      <c r="H42" s="24">
        <f t="shared" si="5"/>
        <v>-25.480355606538563</v>
      </c>
    </row>
    <row r="43" spans="1:8" x14ac:dyDescent="0.25">
      <c r="A43" s="10">
        <f t="shared" si="2"/>
        <v>39135</v>
      </c>
      <c r="B43">
        <v>439.2</v>
      </c>
      <c r="C43">
        <v>478.6</v>
      </c>
      <c r="D43">
        <v>1753.6</v>
      </c>
      <c r="E43">
        <v>2330.4</v>
      </c>
      <c r="F43" s="19">
        <f t="shared" si="6"/>
        <v>2192.7999999999997</v>
      </c>
      <c r="G43" s="19">
        <f t="shared" si="6"/>
        <v>2809</v>
      </c>
      <c r="H43" s="24">
        <f t="shared" si="5"/>
        <v>-21.936632253471</v>
      </c>
    </row>
    <row r="44" spans="1:8" x14ac:dyDescent="0.25">
      <c r="A44" s="10">
        <f t="shared" si="2"/>
        <v>39142</v>
      </c>
      <c r="B44">
        <v>421.3</v>
      </c>
      <c r="C44">
        <v>437.5</v>
      </c>
      <c r="D44">
        <v>1838.8</v>
      </c>
      <c r="E44">
        <v>2371.5</v>
      </c>
      <c r="F44" s="19">
        <f t="shared" si="6"/>
        <v>2260.1</v>
      </c>
      <c r="G44" s="19">
        <f t="shared" si="6"/>
        <v>2809</v>
      </c>
      <c r="H44" s="24">
        <f t="shared" si="5"/>
        <v>-19.540761836952658</v>
      </c>
    </row>
    <row r="45" spans="1:8" x14ac:dyDescent="0.25">
      <c r="A45" s="10">
        <f t="shared" si="2"/>
        <v>39149</v>
      </c>
      <c r="B45">
        <v>350.7</v>
      </c>
      <c r="C45">
        <v>335.9</v>
      </c>
      <c r="D45">
        <v>1955.9</v>
      </c>
      <c r="E45">
        <v>2475</v>
      </c>
      <c r="F45" s="19">
        <f t="shared" ref="F45:G47" si="7">+B45+D45</f>
        <v>2306.6</v>
      </c>
      <c r="G45" s="19">
        <f t="shared" si="7"/>
        <v>2810.9</v>
      </c>
      <c r="H45" s="24">
        <f t="shared" ref="H45:H50" si="8">+(F45/G45-1)*100</f>
        <v>-17.940873029990399</v>
      </c>
    </row>
    <row r="46" spans="1:8" x14ac:dyDescent="0.25">
      <c r="A46" s="10">
        <f t="shared" si="2"/>
        <v>39156</v>
      </c>
      <c r="B46">
        <v>374.7</v>
      </c>
      <c r="C46">
        <v>380.2</v>
      </c>
      <c r="D46">
        <v>2017.1</v>
      </c>
      <c r="E46">
        <v>2548</v>
      </c>
      <c r="F46" s="19">
        <f t="shared" si="7"/>
        <v>2391.7999999999997</v>
      </c>
      <c r="G46" s="19">
        <f t="shared" si="7"/>
        <v>2928.2</v>
      </c>
      <c r="H46" s="24">
        <f t="shared" si="8"/>
        <v>-18.318420872891206</v>
      </c>
    </row>
    <row r="47" spans="1:8" x14ac:dyDescent="0.25">
      <c r="A47" s="10">
        <f t="shared" si="2"/>
        <v>39163</v>
      </c>
      <c r="B47">
        <v>366.9</v>
      </c>
      <c r="C47">
        <v>376.6</v>
      </c>
      <c r="D47">
        <v>2039.5</v>
      </c>
      <c r="E47">
        <v>2554</v>
      </c>
      <c r="F47" s="19">
        <f t="shared" si="7"/>
        <v>2406.4</v>
      </c>
      <c r="G47" s="19">
        <f t="shared" si="7"/>
        <v>2930.6</v>
      </c>
      <c r="H47" s="24">
        <f t="shared" si="8"/>
        <v>-17.887122091039377</v>
      </c>
    </row>
    <row r="48" spans="1:8" x14ac:dyDescent="0.25">
      <c r="A48" s="10">
        <f t="shared" si="2"/>
        <v>39170</v>
      </c>
      <c r="B48">
        <v>311.7</v>
      </c>
      <c r="C48">
        <v>336.1</v>
      </c>
      <c r="D48">
        <v>2063.3000000000002</v>
      </c>
      <c r="E48">
        <v>2605</v>
      </c>
      <c r="F48" s="19">
        <f t="shared" ref="F48:G50" si="9">+B48+D48</f>
        <v>2375</v>
      </c>
      <c r="G48" s="19">
        <f t="shared" si="9"/>
        <v>2941.1</v>
      </c>
      <c r="H48" s="24">
        <f t="shared" si="8"/>
        <v>-19.247900445411581</v>
      </c>
    </row>
    <row r="49" spans="1:9" x14ac:dyDescent="0.25">
      <c r="A49" s="10">
        <f t="shared" si="2"/>
        <v>39177</v>
      </c>
      <c r="B49">
        <v>312.8</v>
      </c>
      <c r="C49">
        <v>306.89999999999998</v>
      </c>
      <c r="D49">
        <v>2113.1999999999998</v>
      </c>
      <c r="E49">
        <v>2708.5</v>
      </c>
      <c r="F49" s="19">
        <f t="shared" si="9"/>
        <v>2426</v>
      </c>
      <c r="G49" s="19">
        <f t="shared" si="9"/>
        <v>3015.4</v>
      </c>
      <c r="H49" s="24">
        <f t="shared" si="8"/>
        <v>-19.546328845260994</v>
      </c>
    </row>
    <row r="50" spans="1:9" x14ac:dyDescent="0.25">
      <c r="A50" s="10">
        <f t="shared" si="2"/>
        <v>39184</v>
      </c>
      <c r="B50">
        <v>261.7</v>
      </c>
      <c r="C50">
        <v>304.8</v>
      </c>
      <c r="D50">
        <v>2162.3000000000002</v>
      </c>
      <c r="E50">
        <v>2721.3</v>
      </c>
      <c r="F50" s="19">
        <f t="shared" si="9"/>
        <v>2424</v>
      </c>
      <c r="G50" s="19">
        <f t="shared" si="9"/>
        <v>3026.1000000000004</v>
      </c>
      <c r="H50" s="24">
        <f t="shared" si="8"/>
        <v>-19.896896996133652</v>
      </c>
    </row>
    <row r="51" spans="1:9" x14ac:dyDescent="0.25">
      <c r="A51" s="10">
        <f t="shared" si="2"/>
        <v>39191</v>
      </c>
      <c r="B51">
        <v>259.5</v>
      </c>
      <c r="C51">
        <v>291.39999999999998</v>
      </c>
      <c r="D51">
        <v>2162.3000000000002</v>
      </c>
      <c r="E51">
        <v>2764.8</v>
      </c>
      <c r="F51" s="19">
        <f t="shared" ref="F51:G53" si="10">+B51+D51</f>
        <v>2421.8000000000002</v>
      </c>
      <c r="G51" s="19">
        <f t="shared" si="10"/>
        <v>3056.2000000000003</v>
      </c>
      <c r="H51" s="24">
        <f t="shared" ref="H51:H57" si="11">+(F51/G51-1)*100</f>
        <v>-20.757803808651264</v>
      </c>
    </row>
    <row r="52" spans="1:9" x14ac:dyDescent="0.25">
      <c r="A52" s="10">
        <f t="shared" si="2"/>
        <v>39198</v>
      </c>
      <c r="B52">
        <v>232.3</v>
      </c>
      <c r="C52">
        <v>226</v>
      </c>
      <c r="D52">
        <v>2260.4</v>
      </c>
      <c r="E52">
        <v>2840.4</v>
      </c>
      <c r="F52" s="19">
        <f t="shared" si="10"/>
        <v>2492.7000000000003</v>
      </c>
      <c r="G52" s="19">
        <f t="shared" si="10"/>
        <v>3066.4</v>
      </c>
      <c r="H52" s="24">
        <f t="shared" si="11"/>
        <v>-18.709235585703098</v>
      </c>
    </row>
    <row r="53" spans="1:9" x14ac:dyDescent="0.25">
      <c r="A53" s="10">
        <f t="shared" si="2"/>
        <v>39205</v>
      </c>
      <c r="B53">
        <v>214.2</v>
      </c>
      <c r="C53">
        <v>246.9</v>
      </c>
      <c r="D53">
        <v>2293.4</v>
      </c>
      <c r="E53">
        <v>2864.5</v>
      </c>
      <c r="F53" s="19">
        <f t="shared" si="10"/>
        <v>2507.6</v>
      </c>
      <c r="G53" s="19">
        <f t="shared" si="10"/>
        <v>3111.4</v>
      </c>
      <c r="H53" s="24">
        <f t="shared" si="11"/>
        <v>-19.406055152021608</v>
      </c>
      <c r="I53">
        <v>114.5</v>
      </c>
    </row>
    <row r="54" spans="1:9" x14ac:dyDescent="0.25">
      <c r="A54" s="10">
        <f t="shared" si="2"/>
        <v>39212</v>
      </c>
      <c r="B54">
        <v>210.1</v>
      </c>
      <c r="C54">
        <v>261.8</v>
      </c>
      <c r="D54">
        <v>2311</v>
      </c>
      <c r="E54">
        <v>2915.6</v>
      </c>
      <c r="F54" s="19">
        <f t="shared" ref="F54:G56" si="12">+B54+D54</f>
        <v>2521.1</v>
      </c>
      <c r="G54" s="19">
        <f t="shared" si="12"/>
        <v>3177.4</v>
      </c>
      <c r="H54" s="24">
        <f t="shared" si="11"/>
        <v>-20.655252722351612</v>
      </c>
      <c r="I54">
        <v>114.5</v>
      </c>
    </row>
    <row r="55" spans="1:9" x14ac:dyDescent="0.25">
      <c r="A55" s="10">
        <f t="shared" si="2"/>
        <v>39219</v>
      </c>
      <c r="B55">
        <v>241.6</v>
      </c>
      <c r="C55">
        <v>203.9</v>
      </c>
      <c r="D55">
        <v>2362.5</v>
      </c>
      <c r="E55">
        <v>2957.1</v>
      </c>
      <c r="F55" s="19">
        <f t="shared" si="12"/>
        <v>2604.1</v>
      </c>
      <c r="G55" s="19">
        <f t="shared" si="12"/>
        <v>3161</v>
      </c>
      <c r="H55" s="24">
        <f t="shared" si="11"/>
        <v>-17.61784245491933</v>
      </c>
      <c r="I55">
        <v>144.5</v>
      </c>
    </row>
    <row r="56" spans="1:9" x14ac:dyDescent="0.25">
      <c r="A56" s="10">
        <f t="shared" si="2"/>
        <v>39226</v>
      </c>
      <c r="B56">
        <v>218.5</v>
      </c>
      <c r="C56">
        <v>134.19999999999999</v>
      </c>
      <c r="D56">
        <v>2387.8000000000002</v>
      </c>
      <c r="E56">
        <v>3003.6</v>
      </c>
      <c r="F56" s="19">
        <f t="shared" si="12"/>
        <v>2606.3000000000002</v>
      </c>
      <c r="G56" s="19">
        <f t="shared" si="12"/>
        <v>3137.7999999999997</v>
      </c>
      <c r="H56" s="24">
        <f t="shared" si="11"/>
        <v>-16.938619414876655</v>
      </c>
      <c r="I56">
        <v>144.5</v>
      </c>
    </row>
    <row r="57" spans="1:9" x14ac:dyDescent="0.25">
      <c r="A57" s="10">
        <f t="shared" si="2"/>
        <v>39233</v>
      </c>
      <c r="D57">
        <v>2441.1999999999998</v>
      </c>
      <c r="E57">
        <v>3035.6</v>
      </c>
      <c r="F57">
        <v>2441.1999999999998</v>
      </c>
      <c r="G57">
        <v>3035.6</v>
      </c>
      <c r="H57" s="24">
        <f t="shared" si="11"/>
        <v>-19.580972460139677</v>
      </c>
    </row>
    <row r="58" spans="1:9" x14ac:dyDescent="0.25">
      <c r="A58" s="10">
        <f t="shared" si="2"/>
        <v>39240</v>
      </c>
      <c r="B58">
        <v>423.7</v>
      </c>
      <c r="C58">
        <v>203.3</v>
      </c>
      <c r="D58">
        <v>25.5</v>
      </c>
      <c r="E58">
        <v>59.3</v>
      </c>
      <c r="F58" s="19">
        <f t="shared" ref="F58:G60" si="13">+B58+D58</f>
        <v>449.2</v>
      </c>
      <c r="G58" s="19">
        <f t="shared" si="13"/>
        <v>262.60000000000002</v>
      </c>
      <c r="H58" s="24">
        <f t="shared" ref="H58:H63" si="14">+(F58/G58-1)*100</f>
        <v>71.058644325971045</v>
      </c>
    </row>
    <row r="59" spans="1:9" x14ac:dyDescent="0.25">
      <c r="A59" s="10">
        <f t="shared" si="2"/>
        <v>39247</v>
      </c>
      <c r="B59">
        <v>410.7</v>
      </c>
      <c r="C59">
        <v>272.7</v>
      </c>
      <c r="D59">
        <v>104.4</v>
      </c>
      <c r="E59">
        <v>59.3</v>
      </c>
      <c r="F59" s="19">
        <f t="shared" si="13"/>
        <v>515.1</v>
      </c>
      <c r="G59" s="19">
        <f t="shared" si="13"/>
        <v>332</v>
      </c>
      <c r="H59" s="24">
        <f t="shared" si="14"/>
        <v>55.150602409638559</v>
      </c>
    </row>
    <row r="60" spans="1:9" x14ac:dyDescent="0.25">
      <c r="A60" s="10">
        <f t="shared" si="2"/>
        <v>39254</v>
      </c>
      <c r="B60">
        <v>410.8</v>
      </c>
      <c r="C60">
        <v>248.7</v>
      </c>
      <c r="D60">
        <v>104.4</v>
      </c>
      <c r="E60">
        <v>147.30000000000001</v>
      </c>
      <c r="F60" s="19">
        <f t="shared" si="13"/>
        <v>515.20000000000005</v>
      </c>
      <c r="G60" s="19">
        <f t="shared" si="13"/>
        <v>396</v>
      </c>
      <c r="H60" s="24">
        <f t="shared" si="14"/>
        <v>30.101010101010118</v>
      </c>
    </row>
    <row r="61" spans="1:9" x14ac:dyDescent="0.25">
      <c r="A61" s="10">
        <f t="shared" si="2"/>
        <v>39261</v>
      </c>
      <c r="B61">
        <v>375</v>
      </c>
      <c r="C61">
        <v>305.7</v>
      </c>
      <c r="D61">
        <v>165.7</v>
      </c>
      <c r="E61">
        <v>184.6</v>
      </c>
      <c r="F61" s="19">
        <f t="shared" ref="F61:G63" si="15">+B61+D61</f>
        <v>540.70000000000005</v>
      </c>
      <c r="G61" s="19">
        <f t="shared" si="15"/>
        <v>490.29999999999995</v>
      </c>
      <c r="H61" s="24">
        <f t="shared" si="14"/>
        <v>10.279420762798308</v>
      </c>
    </row>
    <row r="62" spans="1:9" x14ac:dyDescent="0.25">
      <c r="A62" s="10">
        <f t="shared" si="2"/>
        <v>39268</v>
      </c>
      <c r="B62">
        <v>400</v>
      </c>
      <c r="C62">
        <v>297.7</v>
      </c>
      <c r="D62">
        <v>192.3</v>
      </c>
      <c r="E62">
        <v>206.4</v>
      </c>
      <c r="F62" s="19">
        <f t="shared" si="15"/>
        <v>592.29999999999995</v>
      </c>
      <c r="G62" s="19">
        <f t="shared" si="15"/>
        <v>504.1</v>
      </c>
      <c r="H62" s="24">
        <f t="shared" si="14"/>
        <v>17.49652846657408</v>
      </c>
    </row>
    <row r="63" spans="1:9" x14ac:dyDescent="0.25">
      <c r="A63" s="10">
        <f t="shared" si="2"/>
        <v>39275</v>
      </c>
      <c r="B63">
        <v>474.4</v>
      </c>
      <c r="C63">
        <v>275.10000000000002</v>
      </c>
      <c r="D63">
        <v>257.89999999999998</v>
      </c>
      <c r="E63">
        <v>300.3</v>
      </c>
      <c r="F63" s="19">
        <f t="shared" si="15"/>
        <v>732.3</v>
      </c>
      <c r="G63" s="19">
        <f t="shared" si="15"/>
        <v>575.40000000000009</v>
      </c>
      <c r="H63" s="24">
        <f t="shared" si="14"/>
        <v>27.267987486965552</v>
      </c>
    </row>
    <row r="64" spans="1:9" x14ac:dyDescent="0.25">
      <c r="A64" s="10">
        <f t="shared" si="2"/>
        <v>39282</v>
      </c>
      <c r="B64">
        <v>434.1</v>
      </c>
      <c r="C64">
        <v>250.1</v>
      </c>
      <c r="D64">
        <v>359.9</v>
      </c>
      <c r="E64">
        <v>330.2</v>
      </c>
      <c r="F64" s="19">
        <f t="shared" ref="F64:G66" si="16">+B64+D64</f>
        <v>794</v>
      </c>
      <c r="G64" s="19">
        <f t="shared" si="16"/>
        <v>580.29999999999995</v>
      </c>
      <c r="H64" s="24">
        <f t="shared" ref="H64:H69" si="17">+(F64/G64-1)*100</f>
        <v>36.825779769084967</v>
      </c>
    </row>
    <row r="65" spans="1:9" x14ac:dyDescent="0.25">
      <c r="A65" s="10">
        <f t="shared" si="2"/>
        <v>39289</v>
      </c>
      <c r="B65">
        <v>462.6</v>
      </c>
      <c r="C65">
        <v>360.8</v>
      </c>
      <c r="D65">
        <v>378.9</v>
      </c>
      <c r="E65">
        <v>435</v>
      </c>
      <c r="F65" s="19">
        <f t="shared" si="16"/>
        <v>841.5</v>
      </c>
      <c r="G65" s="19">
        <f t="shared" si="16"/>
        <v>795.8</v>
      </c>
      <c r="H65" s="24">
        <f t="shared" si="17"/>
        <v>5.7426489067605058</v>
      </c>
    </row>
    <row r="66" spans="1:9" x14ac:dyDescent="0.25">
      <c r="A66" s="10">
        <f t="shared" si="2"/>
        <v>39296</v>
      </c>
      <c r="B66">
        <v>411.9</v>
      </c>
      <c r="C66">
        <v>280</v>
      </c>
      <c r="D66">
        <v>478.5</v>
      </c>
      <c r="E66">
        <v>544.70000000000005</v>
      </c>
      <c r="F66" s="19">
        <f t="shared" si="16"/>
        <v>890.4</v>
      </c>
      <c r="G66" s="19">
        <f t="shared" si="16"/>
        <v>824.7</v>
      </c>
      <c r="H66" s="24">
        <f t="shared" si="17"/>
        <v>7.9665332848308346</v>
      </c>
    </row>
    <row r="67" spans="1:9" x14ac:dyDescent="0.25">
      <c r="A67" s="10">
        <f t="shared" si="2"/>
        <v>39303</v>
      </c>
      <c r="B67">
        <v>470.6</v>
      </c>
      <c r="C67">
        <v>284.2</v>
      </c>
      <c r="D67">
        <v>550.4</v>
      </c>
      <c r="E67">
        <v>560.5</v>
      </c>
      <c r="F67" s="19">
        <f t="shared" ref="F67:G69" si="18">+B67+D67</f>
        <v>1021</v>
      </c>
      <c r="G67" s="19">
        <f t="shared" si="18"/>
        <v>844.7</v>
      </c>
      <c r="H67" s="24">
        <f t="shared" si="17"/>
        <v>20.871315259855571</v>
      </c>
    </row>
    <row r="68" spans="1:9" x14ac:dyDescent="0.25">
      <c r="A68" s="10">
        <f t="shared" si="2"/>
        <v>39310</v>
      </c>
      <c r="B68">
        <v>462.7</v>
      </c>
      <c r="C68">
        <v>306.10000000000002</v>
      </c>
      <c r="D68">
        <v>619.6</v>
      </c>
      <c r="E68">
        <v>663</v>
      </c>
      <c r="F68" s="19">
        <f t="shared" si="18"/>
        <v>1082.3</v>
      </c>
      <c r="G68" s="19">
        <f t="shared" si="18"/>
        <v>969.1</v>
      </c>
      <c r="H68" s="24">
        <f t="shared" si="17"/>
        <v>11.680941079351959</v>
      </c>
    </row>
    <row r="69" spans="1:9" x14ac:dyDescent="0.25">
      <c r="A69" s="10">
        <f t="shared" si="2"/>
        <v>39317</v>
      </c>
      <c r="B69">
        <v>408.8</v>
      </c>
      <c r="C69">
        <v>337.1</v>
      </c>
      <c r="D69">
        <v>742.8</v>
      </c>
      <c r="E69">
        <v>687</v>
      </c>
      <c r="F69" s="19">
        <f t="shared" si="18"/>
        <v>1151.5999999999999</v>
      </c>
      <c r="G69" s="19">
        <f t="shared" si="18"/>
        <v>1024.0999999999999</v>
      </c>
      <c r="H69" s="24">
        <f t="shared" si="17"/>
        <v>12.449956058978607</v>
      </c>
      <c r="I69">
        <v>6</v>
      </c>
    </row>
    <row r="70" spans="1:9" x14ac:dyDescent="0.25">
      <c r="A70" s="10">
        <f t="shared" si="2"/>
        <v>39324</v>
      </c>
      <c r="B70">
        <v>393.8</v>
      </c>
      <c r="C70">
        <v>261.7</v>
      </c>
      <c r="D70">
        <v>763.9</v>
      </c>
      <c r="E70">
        <v>794.3</v>
      </c>
      <c r="F70" s="19">
        <f t="shared" ref="F70:G72" si="19">+B70+D70</f>
        <v>1157.7</v>
      </c>
      <c r="G70" s="19">
        <f t="shared" si="19"/>
        <v>1056</v>
      </c>
      <c r="H70" s="24">
        <f t="shared" ref="H70:H75" si="20">+(F70/G70-1)*100</f>
        <v>9.6306818181818308</v>
      </c>
    </row>
    <row r="71" spans="1:9" x14ac:dyDescent="0.25">
      <c r="A71" s="36">
        <f t="shared" si="2"/>
        <v>39331</v>
      </c>
      <c r="B71">
        <v>444.5</v>
      </c>
      <c r="C71">
        <v>279.7</v>
      </c>
      <c r="D71">
        <v>835.3</v>
      </c>
      <c r="E71">
        <v>794.3</v>
      </c>
      <c r="F71" s="19">
        <f t="shared" si="19"/>
        <v>1279.8</v>
      </c>
      <c r="G71" s="19">
        <f t="shared" si="19"/>
        <v>1074</v>
      </c>
      <c r="H71" s="24">
        <f t="shared" si="20"/>
        <v>19.162011173184347</v>
      </c>
    </row>
    <row r="72" spans="1:9" x14ac:dyDescent="0.25">
      <c r="A72" s="10">
        <f t="shared" si="2"/>
        <v>39338</v>
      </c>
      <c r="B72">
        <v>619.6</v>
      </c>
      <c r="C72">
        <v>237.9</v>
      </c>
      <c r="D72">
        <v>842.6</v>
      </c>
      <c r="E72">
        <v>877.8</v>
      </c>
      <c r="F72" s="19">
        <f t="shared" si="19"/>
        <v>1462.2</v>
      </c>
      <c r="G72" s="19">
        <f t="shared" si="19"/>
        <v>1115.7</v>
      </c>
      <c r="H72" s="24">
        <f t="shared" si="20"/>
        <v>31.056735681634851</v>
      </c>
    </row>
    <row r="73" spans="1:9" x14ac:dyDescent="0.25">
      <c r="A73" s="10">
        <f t="shared" si="2"/>
        <v>39345</v>
      </c>
      <c r="B73">
        <v>584.5</v>
      </c>
      <c r="C73">
        <v>295.89999999999998</v>
      </c>
      <c r="D73">
        <v>939.5</v>
      </c>
      <c r="E73">
        <v>879.4</v>
      </c>
      <c r="F73" s="19">
        <f t="shared" ref="F73:G75" si="21">+B73+D73</f>
        <v>1524</v>
      </c>
      <c r="G73" s="19">
        <f t="shared" si="21"/>
        <v>1175.3</v>
      </c>
      <c r="H73" s="24">
        <f t="shared" si="20"/>
        <v>29.669020675572199</v>
      </c>
    </row>
    <row r="74" spans="1:9" x14ac:dyDescent="0.25">
      <c r="A74" s="10">
        <f t="shared" si="2"/>
        <v>39352</v>
      </c>
      <c r="B74">
        <v>636.70000000000005</v>
      </c>
      <c r="C74">
        <v>255.4</v>
      </c>
      <c r="D74">
        <v>997.3</v>
      </c>
      <c r="E74">
        <v>973.1</v>
      </c>
      <c r="F74" s="19">
        <f t="shared" si="21"/>
        <v>1634</v>
      </c>
      <c r="G74" s="19">
        <f t="shared" si="21"/>
        <v>1228.5</v>
      </c>
      <c r="H74" s="24">
        <f t="shared" si="20"/>
        <v>33.007733007733009</v>
      </c>
    </row>
    <row r="75" spans="1:9" x14ac:dyDescent="0.25">
      <c r="A75" s="10">
        <f t="shared" si="2"/>
        <v>39359</v>
      </c>
      <c r="B75">
        <v>579</v>
      </c>
      <c r="C75">
        <v>233.4</v>
      </c>
      <c r="D75">
        <v>1050.8</v>
      </c>
      <c r="E75">
        <v>999.6</v>
      </c>
      <c r="F75" s="19">
        <f t="shared" si="21"/>
        <v>1629.8</v>
      </c>
      <c r="G75" s="19">
        <f t="shared" si="21"/>
        <v>1233</v>
      </c>
      <c r="H75" s="24">
        <f t="shared" si="20"/>
        <v>32.181670721816701</v>
      </c>
    </row>
    <row r="76" spans="1:9" x14ac:dyDescent="0.25">
      <c r="A76" s="10">
        <f t="shared" si="2"/>
        <v>39366</v>
      </c>
      <c r="B76">
        <v>571</v>
      </c>
      <c r="C76">
        <v>200</v>
      </c>
      <c r="D76">
        <v>1068.5999999999999</v>
      </c>
      <c r="E76">
        <v>1057.0999999999999</v>
      </c>
      <c r="F76" s="19">
        <f t="shared" ref="F76:G78" si="22">+B76+D76</f>
        <v>1639.6</v>
      </c>
      <c r="G76" s="19">
        <f t="shared" si="22"/>
        <v>1257.0999999999999</v>
      </c>
      <c r="H76" s="24">
        <f t="shared" ref="H76:H81" si="23">+(F76/G76-1)*100</f>
        <v>30.427173653647287</v>
      </c>
    </row>
    <row r="77" spans="1:9" x14ac:dyDescent="0.25">
      <c r="A77" s="10">
        <f t="shared" si="2"/>
        <v>39373</v>
      </c>
      <c r="B77">
        <v>590.29999999999995</v>
      </c>
      <c r="C77">
        <v>321.39999999999998</v>
      </c>
      <c r="D77">
        <v>1149</v>
      </c>
      <c r="E77">
        <v>1057.0999999999999</v>
      </c>
      <c r="F77" s="19">
        <f t="shared" si="22"/>
        <v>1739.3</v>
      </c>
      <c r="G77" s="19">
        <f t="shared" si="22"/>
        <v>1378.5</v>
      </c>
      <c r="H77" s="24">
        <f t="shared" si="23"/>
        <v>26.173376858904597</v>
      </c>
    </row>
    <row r="78" spans="1:9" x14ac:dyDescent="0.25">
      <c r="A78" s="10">
        <f t="shared" si="2"/>
        <v>39380</v>
      </c>
      <c r="B78">
        <v>637.5</v>
      </c>
      <c r="C78">
        <v>289.89999999999998</v>
      </c>
      <c r="D78">
        <v>1186.7</v>
      </c>
      <c r="E78">
        <v>1088.5999999999999</v>
      </c>
      <c r="F78" s="19">
        <f t="shared" si="22"/>
        <v>1824.2</v>
      </c>
      <c r="G78" s="19">
        <f t="shared" si="22"/>
        <v>1378.5</v>
      </c>
      <c r="H78" s="24">
        <f t="shared" si="23"/>
        <v>32.332245194051509</v>
      </c>
    </row>
    <row r="79" spans="1:9" x14ac:dyDescent="0.25">
      <c r="A79" s="10">
        <f t="shared" si="2"/>
        <v>39387</v>
      </c>
      <c r="B79">
        <v>612.1</v>
      </c>
      <c r="C79">
        <v>297.39999999999998</v>
      </c>
      <c r="D79">
        <v>1212</v>
      </c>
      <c r="E79">
        <v>1109.5999999999999</v>
      </c>
      <c r="F79" s="19">
        <f t="shared" ref="F79:G81" si="24">+B79+D79</f>
        <v>1824.1</v>
      </c>
      <c r="G79" s="19">
        <f t="shared" si="24"/>
        <v>1407</v>
      </c>
      <c r="H79" s="24">
        <f t="shared" si="23"/>
        <v>29.644633972992175</v>
      </c>
    </row>
    <row r="80" spans="1:9" x14ac:dyDescent="0.25">
      <c r="A80" s="10">
        <f t="shared" si="2"/>
        <v>39394</v>
      </c>
      <c r="B80">
        <v>619.6</v>
      </c>
      <c r="C80">
        <v>316.8</v>
      </c>
      <c r="D80">
        <v>1233.0999999999999</v>
      </c>
      <c r="E80">
        <v>1169.4000000000001</v>
      </c>
      <c r="F80" s="19">
        <f t="shared" si="24"/>
        <v>1852.6999999999998</v>
      </c>
      <c r="G80" s="19">
        <f t="shared" si="24"/>
        <v>1486.2</v>
      </c>
      <c r="H80" s="24">
        <f t="shared" si="23"/>
        <v>24.660207239940778</v>
      </c>
      <c r="I80">
        <v>30</v>
      </c>
    </row>
    <row r="81" spans="1:8" x14ac:dyDescent="0.25">
      <c r="A81" s="10">
        <f t="shared" si="2"/>
        <v>39401</v>
      </c>
      <c r="B81">
        <v>544.6</v>
      </c>
      <c r="C81">
        <v>289.8</v>
      </c>
      <c r="D81">
        <v>1317.6</v>
      </c>
      <c r="E81">
        <v>1200</v>
      </c>
      <c r="F81" s="19">
        <f t="shared" si="24"/>
        <v>1862.1999999999998</v>
      </c>
      <c r="G81" s="19">
        <f t="shared" si="24"/>
        <v>1489.8</v>
      </c>
      <c r="H81" s="24">
        <f t="shared" si="23"/>
        <v>24.996643844811373</v>
      </c>
    </row>
    <row r="82" spans="1:8" x14ac:dyDescent="0.25">
      <c r="A82" s="10">
        <f t="shared" si="2"/>
        <v>39408</v>
      </c>
      <c r="B82">
        <v>535.6</v>
      </c>
      <c r="C82">
        <v>260.89999999999998</v>
      </c>
      <c r="D82">
        <v>1346.7</v>
      </c>
      <c r="E82">
        <v>1224.3</v>
      </c>
      <c r="F82" s="19">
        <f t="shared" ref="F82:G84" si="25">+B82+D82</f>
        <v>1882.3000000000002</v>
      </c>
      <c r="G82" s="19">
        <f t="shared" si="25"/>
        <v>1485.1999999999998</v>
      </c>
      <c r="H82" s="24">
        <f t="shared" ref="H82:H87" si="26">+(F82/G82-1)*100</f>
        <v>26.737139779154351</v>
      </c>
    </row>
    <row r="83" spans="1:8" x14ac:dyDescent="0.25">
      <c r="A83" s="10">
        <f t="shared" si="2"/>
        <v>39415</v>
      </c>
      <c r="B83">
        <v>544.4</v>
      </c>
      <c r="C83">
        <v>232.8</v>
      </c>
      <c r="D83">
        <v>1410.4</v>
      </c>
      <c r="E83">
        <v>1256.2</v>
      </c>
      <c r="F83" s="19">
        <f t="shared" si="25"/>
        <v>1954.8000000000002</v>
      </c>
      <c r="G83" s="19">
        <f t="shared" si="25"/>
        <v>1489</v>
      </c>
      <c r="H83" s="24">
        <f t="shared" si="26"/>
        <v>31.282740094022856</v>
      </c>
    </row>
    <row r="84" spans="1:8" x14ac:dyDescent="0.25">
      <c r="A84" s="10">
        <f t="shared" si="2"/>
        <v>39422</v>
      </c>
      <c r="B84">
        <v>450.9</v>
      </c>
      <c r="C84">
        <v>305.3</v>
      </c>
      <c r="D84">
        <v>1475</v>
      </c>
      <c r="E84">
        <v>1274.2</v>
      </c>
      <c r="F84" s="19">
        <f t="shared" si="25"/>
        <v>1925.9</v>
      </c>
      <c r="G84" s="19">
        <f t="shared" si="25"/>
        <v>1579.5</v>
      </c>
      <c r="H84" s="24">
        <f t="shared" si="26"/>
        <v>21.930990819879725</v>
      </c>
    </row>
    <row r="85" spans="1:8" x14ac:dyDescent="0.25">
      <c r="A85" s="10">
        <f t="shared" si="2"/>
        <v>39429</v>
      </c>
      <c r="B85">
        <v>476</v>
      </c>
      <c r="C85">
        <v>280.3</v>
      </c>
      <c r="D85">
        <v>1519.7</v>
      </c>
      <c r="E85">
        <v>1299.2</v>
      </c>
      <c r="F85" s="19">
        <f t="shared" ref="F85:G87" si="27">+B85+D85</f>
        <v>1995.7</v>
      </c>
      <c r="G85" s="19">
        <f t="shared" si="27"/>
        <v>1579.5</v>
      </c>
      <c r="H85" s="24">
        <f t="shared" si="26"/>
        <v>26.350110794555249</v>
      </c>
    </row>
    <row r="86" spans="1:8" x14ac:dyDescent="0.25">
      <c r="A86" s="10">
        <f t="shared" si="2"/>
        <v>39436</v>
      </c>
      <c r="B86">
        <v>461.1</v>
      </c>
      <c r="C86">
        <v>352.2</v>
      </c>
      <c r="D86">
        <v>1540.6</v>
      </c>
      <c r="E86">
        <v>1299.2</v>
      </c>
      <c r="F86" s="19">
        <f t="shared" si="27"/>
        <v>2001.6999999999998</v>
      </c>
      <c r="G86" s="19">
        <f t="shared" si="27"/>
        <v>1651.4</v>
      </c>
      <c r="H86" s="24">
        <f t="shared" si="26"/>
        <v>21.212304711154161</v>
      </c>
    </row>
    <row r="87" spans="1:8" x14ac:dyDescent="0.25">
      <c r="A87" s="10">
        <f t="shared" si="2"/>
        <v>39443</v>
      </c>
      <c r="B87">
        <v>510.1</v>
      </c>
      <c r="C87">
        <v>352.2</v>
      </c>
      <c r="D87">
        <v>1544.1</v>
      </c>
      <c r="E87">
        <v>1299.2</v>
      </c>
      <c r="F87" s="19">
        <f t="shared" si="27"/>
        <v>2054.1999999999998</v>
      </c>
      <c r="G87" s="19">
        <f t="shared" si="27"/>
        <v>1651.4</v>
      </c>
      <c r="H87" s="24">
        <f t="shared" si="26"/>
        <v>24.391425457187822</v>
      </c>
    </row>
    <row r="88" spans="1:8" x14ac:dyDescent="0.25">
      <c r="A88" s="10">
        <f t="shared" si="2"/>
        <v>39450</v>
      </c>
      <c r="B88">
        <v>495</v>
      </c>
      <c r="C88">
        <v>351.3</v>
      </c>
      <c r="D88">
        <v>1609.4</v>
      </c>
      <c r="E88">
        <v>1338.1</v>
      </c>
      <c r="F88" s="19">
        <f t="shared" ref="F88:G90" si="28">+B88+D88</f>
        <v>2104.4</v>
      </c>
      <c r="G88" s="19">
        <f t="shared" si="28"/>
        <v>1689.3999999999999</v>
      </c>
      <c r="H88" s="24">
        <f t="shared" ref="H88:H93" si="29">+(F88/G88-1)*100</f>
        <v>24.564934296199858</v>
      </c>
    </row>
    <row r="89" spans="1:8" x14ac:dyDescent="0.25">
      <c r="A89" s="10">
        <f t="shared" si="2"/>
        <v>39457</v>
      </c>
      <c r="B89">
        <v>420.5</v>
      </c>
      <c r="C89">
        <v>401.1</v>
      </c>
      <c r="D89">
        <v>1650.9</v>
      </c>
      <c r="E89">
        <v>1363.5</v>
      </c>
      <c r="F89" s="19">
        <f t="shared" si="28"/>
        <v>2071.4</v>
      </c>
      <c r="G89" s="19">
        <f t="shared" si="28"/>
        <v>1764.6</v>
      </c>
      <c r="H89" s="24">
        <f t="shared" si="29"/>
        <v>17.386376515924297</v>
      </c>
    </row>
    <row r="90" spans="1:8" x14ac:dyDescent="0.25">
      <c r="A90" s="10">
        <f t="shared" si="2"/>
        <v>39464</v>
      </c>
      <c r="B90">
        <v>417.9</v>
      </c>
      <c r="C90">
        <v>375.1</v>
      </c>
      <c r="D90">
        <v>1701</v>
      </c>
      <c r="E90">
        <v>1425</v>
      </c>
      <c r="F90" s="19">
        <f t="shared" si="28"/>
        <v>2118.9</v>
      </c>
      <c r="G90" s="19">
        <f t="shared" si="28"/>
        <v>1800.1</v>
      </c>
      <c r="H90" s="24">
        <f t="shared" si="29"/>
        <v>17.710127215154724</v>
      </c>
    </row>
    <row r="91" spans="1:8" x14ac:dyDescent="0.25">
      <c r="A91" s="10">
        <f t="shared" si="2"/>
        <v>39471</v>
      </c>
      <c r="B91">
        <v>444.8</v>
      </c>
      <c r="C91">
        <v>491.2</v>
      </c>
      <c r="D91">
        <v>1701</v>
      </c>
      <c r="E91">
        <v>1509.7</v>
      </c>
      <c r="F91" s="19">
        <f t="shared" ref="F91:G93" si="30">+B91+D91</f>
        <v>2145.8000000000002</v>
      </c>
      <c r="G91" s="19">
        <f t="shared" si="30"/>
        <v>2000.9</v>
      </c>
      <c r="H91" s="24">
        <f t="shared" si="29"/>
        <v>7.2417412164526018</v>
      </c>
    </row>
    <row r="92" spans="1:8" x14ac:dyDescent="0.25">
      <c r="A92" s="10">
        <f t="shared" si="2"/>
        <v>39478</v>
      </c>
      <c r="B92">
        <v>454.9</v>
      </c>
      <c r="C92">
        <v>471</v>
      </c>
      <c r="D92">
        <v>1730.9</v>
      </c>
      <c r="E92">
        <v>1550.9</v>
      </c>
      <c r="F92" s="19">
        <f t="shared" si="30"/>
        <v>2185.8000000000002</v>
      </c>
      <c r="G92" s="19">
        <f t="shared" si="30"/>
        <v>2021.9</v>
      </c>
      <c r="H92" s="24">
        <f t="shared" si="29"/>
        <v>8.1062367080468878</v>
      </c>
    </row>
    <row r="93" spans="1:8" x14ac:dyDescent="0.25">
      <c r="A93" s="10">
        <f t="shared" si="2"/>
        <v>39485</v>
      </c>
      <c r="B93">
        <v>440.7</v>
      </c>
      <c r="C93">
        <v>439.5</v>
      </c>
      <c r="D93">
        <v>1745.1</v>
      </c>
      <c r="E93">
        <v>1609</v>
      </c>
      <c r="F93" s="19">
        <f t="shared" si="30"/>
        <v>2185.7999999999997</v>
      </c>
      <c r="G93" s="19">
        <f t="shared" si="30"/>
        <v>2048.5</v>
      </c>
      <c r="H93" s="24">
        <f t="shared" si="29"/>
        <v>6.7024652184525024</v>
      </c>
    </row>
    <row r="94" spans="1:8" x14ac:dyDescent="0.25">
      <c r="A94" s="10">
        <f t="shared" si="2"/>
        <v>39492</v>
      </c>
      <c r="B94">
        <v>399.9</v>
      </c>
      <c r="C94">
        <v>429.3</v>
      </c>
      <c r="D94">
        <v>1847.7</v>
      </c>
      <c r="E94">
        <v>1649.5</v>
      </c>
      <c r="F94" s="19">
        <f t="shared" ref="F94:G96" si="31">+B94+D94</f>
        <v>2247.6</v>
      </c>
      <c r="G94" s="19">
        <f t="shared" si="31"/>
        <v>2078.8000000000002</v>
      </c>
      <c r="H94" s="24">
        <f t="shared" ref="H94:H99" si="32">+(F94/G94-1)*100</f>
        <v>8.120069270733099</v>
      </c>
    </row>
    <row r="95" spans="1:8" x14ac:dyDescent="0.25">
      <c r="A95" s="10">
        <f t="shared" si="2"/>
        <v>39499</v>
      </c>
      <c r="B95">
        <v>374.4</v>
      </c>
      <c r="C95">
        <v>439.2</v>
      </c>
      <c r="D95">
        <v>1873.2</v>
      </c>
      <c r="E95">
        <v>1753.6</v>
      </c>
      <c r="F95" s="19">
        <f t="shared" si="31"/>
        <v>2247.6</v>
      </c>
      <c r="G95" s="19">
        <f t="shared" si="31"/>
        <v>2192.7999999999997</v>
      </c>
      <c r="H95" s="24">
        <f t="shared" si="32"/>
        <v>2.4990879241152841</v>
      </c>
    </row>
    <row r="96" spans="1:8" x14ac:dyDescent="0.25">
      <c r="A96" s="10">
        <f t="shared" si="2"/>
        <v>39506</v>
      </c>
      <c r="B96">
        <v>304.10000000000002</v>
      </c>
      <c r="C96">
        <v>421.3</v>
      </c>
      <c r="D96">
        <v>1942.3</v>
      </c>
      <c r="E96">
        <v>1838.8</v>
      </c>
      <c r="F96" s="19">
        <f t="shared" si="31"/>
        <v>2246.4</v>
      </c>
      <c r="G96" s="19">
        <f t="shared" si="31"/>
        <v>2260.1</v>
      </c>
      <c r="H96" s="24">
        <f t="shared" si="32"/>
        <v>-0.60616786867836447</v>
      </c>
    </row>
    <row r="97" spans="1:9" x14ac:dyDescent="0.25">
      <c r="A97" s="10">
        <f t="shared" si="2"/>
        <v>39513</v>
      </c>
      <c r="B97">
        <v>244.1</v>
      </c>
      <c r="C97">
        <v>350.7</v>
      </c>
      <c r="D97">
        <v>2008.7</v>
      </c>
      <c r="E97">
        <v>1955.9</v>
      </c>
      <c r="F97" s="19">
        <f t="shared" ref="F97:G99" si="33">+B97+D97</f>
        <v>2252.8000000000002</v>
      </c>
      <c r="G97" s="19">
        <f t="shared" si="33"/>
        <v>2306.6</v>
      </c>
      <c r="H97" s="24">
        <f t="shared" si="32"/>
        <v>-2.3324373536807275</v>
      </c>
    </row>
    <row r="98" spans="1:9" x14ac:dyDescent="0.25">
      <c r="A98" s="10">
        <f t="shared" si="2"/>
        <v>39520</v>
      </c>
      <c r="B98">
        <v>221.6</v>
      </c>
      <c r="C98">
        <v>374.7</v>
      </c>
      <c r="D98">
        <v>2036.2</v>
      </c>
      <c r="E98">
        <v>2017.1</v>
      </c>
      <c r="F98" s="19">
        <f t="shared" si="33"/>
        <v>2257.8000000000002</v>
      </c>
      <c r="G98" s="19">
        <f t="shared" si="33"/>
        <v>2391.7999999999997</v>
      </c>
      <c r="H98" s="24">
        <f t="shared" si="32"/>
        <v>-5.6024751233380581</v>
      </c>
    </row>
    <row r="99" spans="1:9" x14ac:dyDescent="0.25">
      <c r="A99" s="10">
        <f t="shared" si="2"/>
        <v>39527</v>
      </c>
      <c r="B99">
        <v>320.60000000000002</v>
      </c>
      <c r="C99">
        <v>366.9</v>
      </c>
      <c r="D99">
        <v>2063.6999999999998</v>
      </c>
      <c r="E99">
        <v>2039.5</v>
      </c>
      <c r="F99" s="19">
        <f t="shared" si="33"/>
        <v>2384.2999999999997</v>
      </c>
      <c r="G99" s="19">
        <f t="shared" si="33"/>
        <v>2406.4</v>
      </c>
      <c r="H99" s="24">
        <f t="shared" si="32"/>
        <v>-0.91838430851065578</v>
      </c>
    </row>
    <row r="100" spans="1:9" x14ac:dyDescent="0.25">
      <c r="A100" s="10">
        <f t="shared" si="2"/>
        <v>39534</v>
      </c>
      <c r="B100">
        <v>332.6</v>
      </c>
      <c r="C100">
        <v>311.7</v>
      </c>
      <c r="D100">
        <v>2063.6999999999998</v>
      </c>
      <c r="E100">
        <v>2063.3000000000002</v>
      </c>
      <c r="F100" s="19">
        <f t="shared" ref="F100:G102" si="34">+B100+D100</f>
        <v>2396.2999999999997</v>
      </c>
      <c r="G100" s="19">
        <f t="shared" si="34"/>
        <v>2375</v>
      </c>
      <c r="H100" s="24">
        <f t="shared" ref="H100:H105" si="35">+(F100/G100-1)*100</f>
        <v>0.89684210526315145</v>
      </c>
    </row>
    <row r="101" spans="1:9" x14ac:dyDescent="0.25">
      <c r="A101" s="10">
        <f t="shared" si="2"/>
        <v>39541</v>
      </c>
      <c r="B101">
        <v>356.9</v>
      </c>
      <c r="C101">
        <v>312.8</v>
      </c>
      <c r="D101">
        <v>2114.6</v>
      </c>
      <c r="E101">
        <v>2113.1999999999998</v>
      </c>
      <c r="F101" s="19">
        <f t="shared" si="34"/>
        <v>2471.5</v>
      </c>
      <c r="G101" s="19">
        <f t="shared" si="34"/>
        <v>2426</v>
      </c>
      <c r="H101" s="24">
        <f t="shared" si="35"/>
        <v>1.8755152514426943</v>
      </c>
    </row>
    <row r="102" spans="1:9" x14ac:dyDescent="0.25">
      <c r="A102" s="10">
        <f t="shared" si="2"/>
        <v>39548</v>
      </c>
      <c r="B102">
        <v>328.3</v>
      </c>
      <c r="C102">
        <v>261.7</v>
      </c>
      <c r="D102">
        <v>2154</v>
      </c>
      <c r="E102">
        <v>2162.3000000000002</v>
      </c>
      <c r="F102" s="19">
        <f t="shared" si="34"/>
        <v>2482.3000000000002</v>
      </c>
      <c r="G102" s="19">
        <f t="shared" si="34"/>
        <v>2424</v>
      </c>
      <c r="H102" s="24">
        <f t="shared" si="35"/>
        <v>2.4051155115511591</v>
      </c>
    </row>
    <row r="103" spans="1:9" x14ac:dyDescent="0.25">
      <c r="A103" s="10">
        <f t="shared" si="2"/>
        <v>39555</v>
      </c>
      <c r="B103">
        <v>372.7</v>
      </c>
      <c r="C103">
        <v>259.5</v>
      </c>
      <c r="D103">
        <v>2220.5</v>
      </c>
      <c r="E103">
        <v>2162.3000000000002</v>
      </c>
      <c r="F103" s="19">
        <f t="shared" ref="F103:G105" si="36">+B103+D103</f>
        <v>2593.1999999999998</v>
      </c>
      <c r="G103" s="19">
        <f t="shared" si="36"/>
        <v>2421.8000000000002</v>
      </c>
      <c r="H103" s="24">
        <f t="shared" si="35"/>
        <v>7.0773804608142532</v>
      </c>
    </row>
    <row r="104" spans="1:9" x14ac:dyDescent="0.25">
      <c r="A104" s="10">
        <f t="shared" si="2"/>
        <v>39562</v>
      </c>
      <c r="B104">
        <v>342.7</v>
      </c>
      <c r="C104">
        <v>232.3</v>
      </c>
      <c r="D104">
        <v>2274.8000000000002</v>
      </c>
      <c r="E104">
        <v>2260.4</v>
      </c>
      <c r="F104" s="19">
        <f t="shared" si="36"/>
        <v>2617.5</v>
      </c>
      <c r="G104" s="19">
        <f t="shared" si="36"/>
        <v>2492.7000000000003</v>
      </c>
      <c r="H104" s="24">
        <f t="shared" si="35"/>
        <v>5.0066193284390215</v>
      </c>
    </row>
    <row r="105" spans="1:9" x14ac:dyDescent="0.25">
      <c r="A105" s="10">
        <f t="shared" si="2"/>
        <v>39569</v>
      </c>
      <c r="B105">
        <v>298.3</v>
      </c>
      <c r="C105">
        <v>214.2</v>
      </c>
      <c r="D105">
        <v>2350.9</v>
      </c>
      <c r="E105">
        <v>2293.4</v>
      </c>
      <c r="F105" s="19">
        <f t="shared" si="36"/>
        <v>2649.2000000000003</v>
      </c>
      <c r="G105" s="19">
        <f t="shared" si="36"/>
        <v>2507.6</v>
      </c>
      <c r="H105" s="24">
        <f t="shared" si="35"/>
        <v>5.6468336257776475</v>
      </c>
      <c r="I105">
        <v>70.5</v>
      </c>
    </row>
    <row r="106" spans="1:9" x14ac:dyDescent="0.25">
      <c r="A106" s="10">
        <f t="shared" si="2"/>
        <v>39576</v>
      </c>
      <c r="B106">
        <v>268.7</v>
      </c>
      <c r="C106">
        <v>210.1</v>
      </c>
      <c r="D106">
        <v>2382.6999999999998</v>
      </c>
      <c r="E106">
        <v>2311</v>
      </c>
      <c r="F106" s="19">
        <f t="shared" ref="F106:G108" si="37">+B106+D106</f>
        <v>2651.3999999999996</v>
      </c>
      <c r="G106" s="19">
        <f t="shared" si="37"/>
        <v>2521.1</v>
      </c>
      <c r="H106" s="24">
        <f t="shared" ref="H106:H111" si="38">+(F106/G106-1)*100</f>
        <v>5.1683788822339372</v>
      </c>
      <c r="I106">
        <v>154.5</v>
      </c>
    </row>
    <row r="107" spans="1:9" x14ac:dyDescent="0.25">
      <c r="A107" s="10">
        <f t="shared" si="2"/>
        <v>39583</v>
      </c>
      <c r="B107">
        <v>225.6</v>
      </c>
      <c r="C107">
        <v>241.6</v>
      </c>
      <c r="D107">
        <v>2462.6999999999998</v>
      </c>
      <c r="E107">
        <v>2362.5</v>
      </c>
      <c r="F107" s="19">
        <f t="shared" si="37"/>
        <v>2688.2999999999997</v>
      </c>
      <c r="G107" s="19">
        <f t="shared" si="37"/>
        <v>2604.1</v>
      </c>
      <c r="H107" s="24">
        <f t="shared" si="38"/>
        <v>3.2333627740870119</v>
      </c>
      <c r="I107">
        <v>214.5</v>
      </c>
    </row>
    <row r="108" spans="1:9" x14ac:dyDescent="0.25">
      <c r="A108" s="10">
        <f t="shared" si="2"/>
        <v>39590</v>
      </c>
      <c r="B108">
        <v>225.6</v>
      </c>
      <c r="C108">
        <v>218.5</v>
      </c>
      <c r="D108">
        <v>2488.4</v>
      </c>
      <c r="E108">
        <v>2387.8000000000002</v>
      </c>
      <c r="F108" s="19">
        <f t="shared" si="37"/>
        <v>2714</v>
      </c>
      <c r="G108" s="19">
        <f t="shared" si="37"/>
        <v>2606.3000000000002</v>
      </c>
      <c r="H108" s="24">
        <f t="shared" si="38"/>
        <v>4.1322948240801072</v>
      </c>
      <c r="I108">
        <v>239.5</v>
      </c>
    </row>
    <row r="109" spans="1:9" x14ac:dyDescent="0.25">
      <c r="A109" s="10">
        <f t="shared" si="2"/>
        <v>39597</v>
      </c>
      <c r="B109">
        <v>163.30000000000001</v>
      </c>
      <c r="C109">
        <v>152.6</v>
      </c>
      <c r="D109">
        <v>2577.5</v>
      </c>
      <c r="E109">
        <v>2441.1999999999998</v>
      </c>
      <c r="F109" s="19">
        <f t="shared" ref="F109:G111" si="39">+B109+D109</f>
        <v>2740.8</v>
      </c>
      <c r="G109" s="19">
        <f t="shared" si="39"/>
        <v>2593.7999999999997</v>
      </c>
      <c r="H109" s="24">
        <f t="shared" si="38"/>
        <v>5.6673606291927081</v>
      </c>
      <c r="I109">
        <v>278.3</v>
      </c>
    </row>
    <row r="110" spans="1:9" x14ac:dyDescent="0.25">
      <c r="A110" s="10">
        <f t="shared" si="2"/>
        <v>39604</v>
      </c>
      <c r="B110">
        <v>472.4</v>
      </c>
      <c r="C110">
        <v>423.7</v>
      </c>
      <c r="D110">
        <v>4.3</v>
      </c>
      <c r="E110">
        <v>25.5</v>
      </c>
      <c r="F110" s="19">
        <f t="shared" si="39"/>
        <v>476.7</v>
      </c>
      <c r="G110" s="19">
        <f t="shared" si="39"/>
        <v>449.2</v>
      </c>
      <c r="H110" s="24">
        <f t="shared" si="38"/>
        <v>6.1219946571682948</v>
      </c>
    </row>
    <row r="111" spans="1:9" x14ac:dyDescent="0.25">
      <c r="A111" s="10">
        <f t="shared" si="2"/>
        <v>39611</v>
      </c>
      <c r="B111">
        <v>472.4</v>
      </c>
      <c r="C111">
        <v>423.7</v>
      </c>
      <c r="D111">
        <v>4.3</v>
      </c>
      <c r="E111">
        <v>25.5</v>
      </c>
      <c r="F111" s="19">
        <f t="shared" si="39"/>
        <v>476.7</v>
      </c>
      <c r="G111" s="19">
        <f t="shared" si="39"/>
        <v>449.2</v>
      </c>
      <c r="H111" s="24">
        <f t="shared" si="38"/>
        <v>6.1219946571682948</v>
      </c>
    </row>
    <row r="112" spans="1:9" x14ac:dyDescent="0.25">
      <c r="A112" s="10">
        <f t="shared" si="2"/>
        <v>39618</v>
      </c>
      <c r="B112">
        <v>548.4</v>
      </c>
      <c r="C112">
        <v>410.8</v>
      </c>
      <c r="D112">
        <v>106.7</v>
      </c>
      <c r="E112">
        <v>104.4</v>
      </c>
      <c r="F112" s="19">
        <f t="shared" ref="F112:G114" si="40">+B112+D112</f>
        <v>655.1</v>
      </c>
      <c r="G112" s="19">
        <f t="shared" si="40"/>
        <v>515.20000000000005</v>
      </c>
      <c r="H112" s="24">
        <f t="shared" ref="H112:H117" si="41">+(F112/G112-1)*100</f>
        <v>27.154503105590045</v>
      </c>
    </row>
    <row r="113" spans="1:8" x14ac:dyDescent="0.25">
      <c r="A113" s="10">
        <f t="shared" si="2"/>
        <v>39625</v>
      </c>
      <c r="B113">
        <v>550</v>
      </c>
      <c r="C113">
        <v>375</v>
      </c>
      <c r="D113">
        <v>191.3</v>
      </c>
      <c r="E113">
        <v>161.69999999999999</v>
      </c>
      <c r="F113" s="19">
        <f t="shared" si="40"/>
        <v>741.3</v>
      </c>
      <c r="G113" s="19">
        <f t="shared" si="40"/>
        <v>536.70000000000005</v>
      </c>
      <c r="H113" s="24">
        <f t="shared" si="41"/>
        <v>38.121855785354917</v>
      </c>
    </row>
    <row r="114" spans="1:8" x14ac:dyDescent="0.25">
      <c r="A114" s="10">
        <f t="shared" si="2"/>
        <v>39632</v>
      </c>
      <c r="B114">
        <v>627.1</v>
      </c>
      <c r="C114">
        <v>400</v>
      </c>
      <c r="D114">
        <v>214.2</v>
      </c>
      <c r="E114">
        <v>188.3</v>
      </c>
      <c r="F114" s="19">
        <f t="shared" si="40"/>
        <v>841.3</v>
      </c>
      <c r="G114" s="19">
        <f t="shared" si="40"/>
        <v>588.29999999999995</v>
      </c>
      <c r="H114" s="24">
        <f t="shared" si="41"/>
        <v>43.00526942036376</v>
      </c>
    </row>
    <row r="115" spans="1:8" x14ac:dyDescent="0.25">
      <c r="A115" s="10">
        <f t="shared" si="2"/>
        <v>39639</v>
      </c>
      <c r="B115">
        <v>737.8</v>
      </c>
      <c r="C115">
        <v>474.4</v>
      </c>
      <c r="D115">
        <v>285.5</v>
      </c>
      <c r="E115">
        <v>258.10000000000002</v>
      </c>
      <c r="F115" s="19">
        <f t="shared" ref="F115:G117" si="42">+B115+D115</f>
        <v>1023.3</v>
      </c>
      <c r="G115" s="19">
        <f t="shared" si="42"/>
        <v>732.5</v>
      </c>
      <c r="H115" s="24">
        <f t="shared" si="41"/>
        <v>39.699658703071663</v>
      </c>
    </row>
    <row r="116" spans="1:8" x14ac:dyDescent="0.25">
      <c r="A116" s="10">
        <f t="shared" si="2"/>
        <v>39646</v>
      </c>
      <c r="B116">
        <v>714.7</v>
      </c>
      <c r="C116">
        <v>434.1</v>
      </c>
      <c r="D116">
        <v>320.39999999999998</v>
      </c>
      <c r="E116">
        <v>360.1</v>
      </c>
      <c r="F116" s="19">
        <f t="shared" si="42"/>
        <v>1035.0999999999999</v>
      </c>
      <c r="G116" s="19">
        <f t="shared" si="42"/>
        <v>794.2</v>
      </c>
      <c r="H116" s="24">
        <f t="shared" si="41"/>
        <v>30.332409972299157</v>
      </c>
    </row>
    <row r="117" spans="1:8" x14ac:dyDescent="0.25">
      <c r="A117" s="10">
        <f t="shared" si="2"/>
        <v>39653</v>
      </c>
      <c r="B117">
        <v>694.6</v>
      </c>
      <c r="C117">
        <v>462.6</v>
      </c>
      <c r="D117">
        <v>446.3</v>
      </c>
      <c r="E117">
        <v>379.1</v>
      </c>
      <c r="F117" s="19">
        <f t="shared" si="42"/>
        <v>1140.9000000000001</v>
      </c>
      <c r="G117" s="19">
        <f t="shared" si="42"/>
        <v>841.7</v>
      </c>
      <c r="H117" s="24">
        <f t="shared" si="41"/>
        <v>35.547107045265534</v>
      </c>
    </row>
    <row r="118" spans="1:8" x14ac:dyDescent="0.25">
      <c r="A118" s="10">
        <f t="shared" si="2"/>
        <v>39660</v>
      </c>
      <c r="B118">
        <v>783.4</v>
      </c>
      <c r="C118">
        <v>411.9</v>
      </c>
      <c r="D118">
        <v>490</v>
      </c>
      <c r="E118">
        <v>478.7</v>
      </c>
      <c r="F118" s="19">
        <f t="shared" ref="F118:G120" si="43">+B118+D118</f>
        <v>1273.4000000000001</v>
      </c>
      <c r="G118" s="19">
        <f t="shared" si="43"/>
        <v>890.59999999999991</v>
      </c>
      <c r="H118" s="24">
        <f t="shared" ref="H118:H123" si="44">+(F118/G118-1)*100</f>
        <v>42.982259151134095</v>
      </c>
    </row>
    <row r="119" spans="1:8" x14ac:dyDescent="0.25">
      <c r="A119" s="10">
        <f t="shared" si="2"/>
        <v>39667</v>
      </c>
      <c r="B119">
        <v>783.8</v>
      </c>
      <c r="C119">
        <v>470.6</v>
      </c>
      <c r="D119">
        <v>577.79999999999995</v>
      </c>
      <c r="E119">
        <v>550.6</v>
      </c>
      <c r="F119" s="19">
        <f t="shared" si="43"/>
        <v>1361.6</v>
      </c>
      <c r="G119" s="19">
        <f t="shared" si="43"/>
        <v>1021.2</v>
      </c>
      <c r="H119" s="24">
        <f t="shared" si="44"/>
        <v>33.333333333333329</v>
      </c>
    </row>
    <row r="120" spans="1:8" x14ac:dyDescent="0.25">
      <c r="A120" s="10">
        <f t="shared" si="2"/>
        <v>39674</v>
      </c>
      <c r="B120">
        <v>684.1</v>
      </c>
      <c r="C120">
        <v>462.7</v>
      </c>
      <c r="D120">
        <v>683.5</v>
      </c>
      <c r="E120">
        <v>619.6</v>
      </c>
      <c r="F120" s="19">
        <f t="shared" si="43"/>
        <v>1367.6</v>
      </c>
      <c r="G120" s="19">
        <f t="shared" si="43"/>
        <v>1082.3</v>
      </c>
      <c r="H120" s="24">
        <f t="shared" si="44"/>
        <v>26.360528504111613</v>
      </c>
    </row>
    <row r="121" spans="1:8" x14ac:dyDescent="0.25">
      <c r="A121" s="10">
        <f t="shared" si="2"/>
        <v>39681</v>
      </c>
      <c r="B121">
        <v>682.2</v>
      </c>
      <c r="C121">
        <v>408.8</v>
      </c>
      <c r="D121">
        <v>741.3</v>
      </c>
      <c r="E121">
        <v>742.8</v>
      </c>
      <c r="F121" s="19">
        <f t="shared" ref="F121:G123" si="45">+B121+D121</f>
        <v>1423.5</v>
      </c>
      <c r="G121" s="19">
        <f t="shared" si="45"/>
        <v>1151.5999999999999</v>
      </c>
      <c r="H121" s="24">
        <f t="shared" si="44"/>
        <v>23.610628690517554</v>
      </c>
    </row>
    <row r="122" spans="1:8" x14ac:dyDescent="0.25">
      <c r="A122" s="10">
        <f t="shared" si="2"/>
        <v>39688</v>
      </c>
      <c r="B122">
        <v>634</v>
      </c>
      <c r="C122">
        <v>393.8</v>
      </c>
      <c r="D122">
        <v>826.4</v>
      </c>
      <c r="E122">
        <v>763.9</v>
      </c>
      <c r="F122" s="19">
        <f t="shared" si="45"/>
        <v>1460.4</v>
      </c>
      <c r="G122" s="19">
        <f t="shared" si="45"/>
        <v>1157.7</v>
      </c>
      <c r="H122" s="24">
        <f t="shared" si="44"/>
        <v>26.146670121793214</v>
      </c>
    </row>
    <row r="123" spans="1:8" x14ac:dyDescent="0.25">
      <c r="A123" s="10">
        <f t="shared" si="2"/>
        <v>39695</v>
      </c>
      <c r="B123">
        <v>607.70000000000005</v>
      </c>
      <c r="C123">
        <v>444.5</v>
      </c>
      <c r="D123">
        <v>874.1</v>
      </c>
      <c r="E123">
        <v>835.3</v>
      </c>
      <c r="F123" s="19">
        <f t="shared" si="45"/>
        <v>1481.8000000000002</v>
      </c>
      <c r="G123" s="19">
        <f t="shared" si="45"/>
        <v>1279.8</v>
      </c>
      <c r="H123" s="24">
        <f t="shared" si="44"/>
        <v>15.78371620565715</v>
      </c>
    </row>
    <row r="124" spans="1:8" x14ac:dyDescent="0.25">
      <c r="A124" s="10">
        <f t="shared" si="2"/>
        <v>39702</v>
      </c>
      <c r="B124">
        <v>724.9</v>
      </c>
      <c r="C124">
        <v>619.6</v>
      </c>
      <c r="D124">
        <v>874.1</v>
      </c>
      <c r="E124">
        <v>842.6</v>
      </c>
      <c r="F124" s="19">
        <f t="shared" ref="F124:G126" si="46">+B124+D124</f>
        <v>1599</v>
      </c>
      <c r="G124" s="19">
        <f t="shared" si="46"/>
        <v>1462.2</v>
      </c>
      <c r="H124" s="24">
        <f t="shared" ref="H124:H129" si="47">+(F124/G124-1)*100</f>
        <v>9.3557652851867132</v>
      </c>
    </row>
    <row r="125" spans="1:8" x14ac:dyDescent="0.25">
      <c r="A125" s="10">
        <f t="shared" si="2"/>
        <v>39709</v>
      </c>
      <c r="B125">
        <v>723.9</v>
      </c>
      <c r="C125">
        <v>584.5</v>
      </c>
      <c r="D125">
        <v>899</v>
      </c>
      <c r="E125">
        <v>939.5</v>
      </c>
      <c r="F125" s="19">
        <f t="shared" si="46"/>
        <v>1622.9</v>
      </c>
      <c r="G125" s="19">
        <f t="shared" si="46"/>
        <v>1524</v>
      </c>
      <c r="H125" s="24">
        <f t="shared" si="47"/>
        <v>6.4895013123359657</v>
      </c>
    </row>
    <row r="126" spans="1:8" x14ac:dyDescent="0.25">
      <c r="A126" s="10">
        <f t="shared" si="2"/>
        <v>39716</v>
      </c>
      <c r="B126">
        <v>831.3</v>
      </c>
      <c r="C126">
        <v>636.70000000000005</v>
      </c>
      <c r="D126">
        <v>944.1</v>
      </c>
      <c r="E126">
        <v>997.3</v>
      </c>
      <c r="F126" s="19">
        <f t="shared" si="46"/>
        <v>1775.4</v>
      </c>
      <c r="G126" s="19">
        <f t="shared" si="46"/>
        <v>1634</v>
      </c>
      <c r="H126" s="24">
        <f t="shared" si="47"/>
        <v>8.6536107711138399</v>
      </c>
    </row>
    <row r="127" spans="1:8" x14ac:dyDescent="0.25">
      <c r="A127" s="10">
        <f t="shared" si="2"/>
        <v>39723</v>
      </c>
      <c r="B127">
        <v>800.1</v>
      </c>
      <c r="C127">
        <v>579</v>
      </c>
      <c r="D127">
        <v>1024.8</v>
      </c>
      <c r="E127">
        <v>1050.8</v>
      </c>
      <c r="F127" s="19">
        <f t="shared" ref="F127:G129" si="48">+B127+D127</f>
        <v>1824.9</v>
      </c>
      <c r="G127" s="19">
        <f t="shared" si="48"/>
        <v>1629.8</v>
      </c>
      <c r="H127" s="24">
        <f t="shared" si="47"/>
        <v>11.970793962449399</v>
      </c>
    </row>
    <row r="128" spans="1:8" x14ac:dyDescent="0.25">
      <c r="A128" s="10">
        <f t="shared" si="2"/>
        <v>39730</v>
      </c>
      <c r="B128">
        <v>792</v>
      </c>
      <c r="C128">
        <v>571</v>
      </c>
      <c r="D128">
        <v>1084.7</v>
      </c>
      <c r="E128">
        <v>1068.5999999999999</v>
      </c>
      <c r="F128" s="19">
        <f t="shared" si="48"/>
        <v>1876.7</v>
      </c>
      <c r="G128" s="19">
        <f t="shared" si="48"/>
        <v>1639.6</v>
      </c>
      <c r="H128" s="24">
        <f t="shared" si="47"/>
        <v>14.460844108319115</v>
      </c>
    </row>
    <row r="129" spans="1:8" x14ac:dyDescent="0.25">
      <c r="A129" s="10">
        <f t="shared" si="2"/>
        <v>39737</v>
      </c>
      <c r="B129">
        <v>813.5</v>
      </c>
      <c r="C129">
        <v>590.29999999999995</v>
      </c>
      <c r="D129">
        <v>1112.4000000000001</v>
      </c>
      <c r="E129">
        <v>1149</v>
      </c>
      <c r="F129" s="19">
        <f t="shared" si="48"/>
        <v>1925.9</v>
      </c>
      <c r="G129" s="19">
        <f t="shared" si="48"/>
        <v>1739.3</v>
      </c>
      <c r="H129" s="24">
        <f t="shared" si="47"/>
        <v>10.728453975737384</v>
      </c>
    </row>
    <row r="130" spans="1:8" x14ac:dyDescent="0.25">
      <c r="A130" s="10">
        <f t="shared" si="2"/>
        <v>39744</v>
      </c>
      <c r="B130">
        <v>800.8</v>
      </c>
      <c r="C130">
        <v>637.5</v>
      </c>
      <c r="D130">
        <v>1162.2</v>
      </c>
      <c r="E130">
        <v>1186.7</v>
      </c>
      <c r="F130" s="19">
        <f t="shared" ref="F130:G132" si="49">+B130+D130</f>
        <v>1963</v>
      </c>
      <c r="G130" s="19">
        <f t="shared" si="49"/>
        <v>1824.2</v>
      </c>
      <c r="H130" s="24">
        <f t="shared" ref="H130:H135" si="50">+(F130/G130-1)*100</f>
        <v>7.6088148229360719</v>
      </c>
    </row>
    <row r="131" spans="1:8" x14ac:dyDescent="0.25">
      <c r="A131" s="10">
        <f t="shared" si="2"/>
        <v>39751</v>
      </c>
      <c r="B131">
        <v>795</v>
      </c>
      <c r="C131">
        <v>612.1</v>
      </c>
      <c r="D131">
        <v>1229.8</v>
      </c>
      <c r="E131">
        <v>1212</v>
      </c>
      <c r="F131" s="19">
        <f t="shared" si="49"/>
        <v>2024.8</v>
      </c>
      <c r="G131" s="19">
        <f t="shared" si="49"/>
        <v>1824.1</v>
      </c>
      <c r="H131" s="24">
        <f t="shared" si="50"/>
        <v>11.00268625623595</v>
      </c>
    </row>
    <row r="132" spans="1:8" x14ac:dyDescent="0.25">
      <c r="A132" s="10">
        <f t="shared" si="2"/>
        <v>39758</v>
      </c>
      <c r="B132">
        <v>764.2</v>
      </c>
      <c r="C132">
        <v>619.6</v>
      </c>
      <c r="D132">
        <v>1340.5</v>
      </c>
      <c r="E132">
        <v>1233.0999999999999</v>
      </c>
      <c r="F132" s="19">
        <f t="shared" si="49"/>
        <v>2104.6999999999998</v>
      </c>
      <c r="G132" s="19">
        <f t="shared" si="49"/>
        <v>1852.6999999999998</v>
      </c>
      <c r="H132" s="24">
        <f t="shared" si="50"/>
        <v>13.601770389161771</v>
      </c>
    </row>
    <row r="133" spans="1:8" x14ac:dyDescent="0.25">
      <c r="A133" s="10">
        <f t="shared" si="2"/>
        <v>39765</v>
      </c>
      <c r="B133">
        <v>738.3</v>
      </c>
      <c r="C133">
        <v>544.6</v>
      </c>
      <c r="D133">
        <v>1414.4</v>
      </c>
      <c r="E133">
        <v>1317.6</v>
      </c>
      <c r="F133" s="19">
        <f t="shared" ref="F133:G135" si="51">+B133+D133</f>
        <v>2152.6999999999998</v>
      </c>
      <c r="G133" s="19">
        <f t="shared" si="51"/>
        <v>1862.1999999999998</v>
      </c>
      <c r="H133" s="24">
        <f t="shared" si="50"/>
        <v>15.59982816024057</v>
      </c>
    </row>
    <row r="134" spans="1:8" x14ac:dyDescent="0.25">
      <c r="A134" s="10">
        <f t="shared" si="2"/>
        <v>39772</v>
      </c>
      <c r="B134">
        <v>832.1</v>
      </c>
      <c r="C134">
        <v>535.6</v>
      </c>
      <c r="D134">
        <v>1451.6</v>
      </c>
      <c r="E134">
        <v>1346.7</v>
      </c>
      <c r="F134" s="19">
        <f t="shared" si="51"/>
        <v>2283.6999999999998</v>
      </c>
      <c r="G134" s="19">
        <f t="shared" si="51"/>
        <v>1882.3000000000002</v>
      </c>
      <c r="H134" s="24">
        <f t="shared" si="50"/>
        <v>21.32497476491524</v>
      </c>
    </row>
    <row r="135" spans="1:8" x14ac:dyDescent="0.25">
      <c r="A135" s="10">
        <f t="shared" si="2"/>
        <v>39779</v>
      </c>
      <c r="B135">
        <v>770</v>
      </c>
      <c r="C135">
        <v>544.4</v>
      </c>
      <c r="D135">
        <v>1543.4</v>
      </c>
      <c r="E135">
        <v>1410.4</v>
      </c>
      <c r="F135" s="19">
        <f t="shared" si="51"/>
        <v>2313.4</v>
      </c>
      <c r="G135" s="19">
        <f t="shared" si="51"/>
        <v>1954.8000000000002</v>
      </c>
      <c r="H135" s="24">
        <f t="shared" si="50"/>
        <v>18.344587681604253</v>
      </c>
    </row>
    <row r="136" spans="1:8" x14ac:dyDescent="0.25">
      <c r="A136" s="10">
        <f t="shared" si="2"/>
        <v>39786</v>
      </c>
      <c r="B136">
        <v>740</v>
      </c>
      <c r="C136">
        <v>450.9</v>
      </c>
      <c r="D136">
        <v>1576.4</v>
      </c>
      <c r="E136">
        <v>1475</v>
      </c>
      <c r="F136" s="19">
        <f t="shared" ref="F136:G138" si="52">+B136+D136</f>
        <v>2316.4</v>
      </c>
      <c r="G136" s="19">
        <f t="shared" si="52"/>
        <v>1925.9</v>
      </c>
      <c r="H136" s="24">
        <f t="shared" ref="H136:H141" si="53">+(F136/G136-1)*100</f>
        <v>20.276234487771958</v>
      </c>
    </row>
    <row r="137" spans="1:8" x14ac:dyDescent="0.25">
      <c r="A137" s="10">
        <f t="shared" si="2"/>
        <v>39793</v>
      </c>
      <c r="B137">
        <v>700.1</v>
      </c>
      <c r="C137">
        <v>476</v>
      </c>
      <c r="D137">
        <v>1606.3</v>
      </c>
      <c r="E137">
        <v>1519.7</v>
      </c>
      <c r="F137" s="19">
        <f t="shared" si="52"/>
        <v>2306.4</v>
      </c>
      <c r="G137" s="19">
        <f t="shared" si="52"/>
        <v>1995.7</v>
      </c>
      <c r="H137" s="24">
        <f t="shared" si="53"/>
        <v>15.568472215262808</v>
      </c>
    </row>
    <row r="138" spans="1:8" x14ac:dyDescent="0.25">
      <c r="A138" s="10">
        <f t="shared" si="2"/>
        <v>39800</v>
      </c>
      <c r="B138">
        <v>700.1</v>
      </c>
      <c r="C138">
        <v>461.1</v>
      </c>
      <c r="D138">
        <v>1606.3</v>
      </c>
      <c r="E138">
        <v>1540.6</v>
      </c>
      <c r="F138" s="19">
        <f t="shared" si="52"/>
        <v>2306.4</v>
      </c>
      <c r="G138" s="19">
        <f t="shared" si="52"/>
        <v>2001.6999999999998</v>
      </c>
      <c r="H138" s="24">
        <f t="shared" si="53"/>
        <v>15.222061247939255</v>
      </c>
    </row>
    <row r="139" spans="1:8" x14ac:dyDescent="0.25">
      <c r="A139" s="10">
        <f t="shared" si="2"/>
        <v>39807</v>
      </c>
      <c r="B139">
        <v>662.6</v>
      </c>
      <c r="C139">
        <v>510.1</v>
      </c>
      <c r="D139">
        <v>1638.4</v>
      </c>
      <c r="E139">
        <v>1544.1</v>
      </c>
      <c r="F139" s="19">
        <f t="shared" ref="F139:G141" si="54">+B139+D139</f>
        <v>2301</v>
      </c>
      <c r="G139" s="19">
        <f t="shared" si="54"/>
        <v>2054.1999999999998</v>
      </c>
      <c r="H139" s="24">
        <f t="shared" si="53"/>
        <v>12.014409502482737</v>
      </c>
    </row>
    <row r="140" spans="1:8" x14ac:dyDescent="0.25">
      <c r="A140" s="10">
        <f t="shared" si="2"/>
        <v>39814</v>
      </c>
      <c r="B140">
        <v>638.6</v>
      </c>
      <c r="C140">
        <v>495</v>
      </c>
      <c r="D140">
        <v>1663.4</v>
      </c>
      <c r="E140">
        <v>1609.4</v>
      </c>
      <c r="F140" s="19">
        <f t="shared" si="54"/>
        <v>2302</v>
      </c>
      <c r="G140" s="19">
        <f t="shared" si="54"/>
        <v>2104.4</v>
      </c>
      <c r="H140" s="24">
        <f t="shared" si="53"/>
        <v>9.3898498384337614</v>
      </c>
    </row>
    <row r="141" spans="1:8" x14ac:dyDescent="0.25">
      <c r="A141" s="10">
        <f t="shared" si="2"/>
        <v>39821</v>
      </c>
      <c r="B141">
        <v>638.6</v>
      </c>
      <c r="C141">
        <v>420.5</v>
      </c>
      <c r="D141">
        <v>1663.4</v>
      </c>
      <c r="E141">
        <v>1650.9</v>
      </c>
      <c r="F141" s="19">
        <f t="shared" si="54"/>
        <v>2302</v>
      </c>
      <c r="G141" s="19">
        <f t="shared" si="54"/>
        <v>2071.4</v>
      </c>
      <c r="H141" s="24">
        <f t="shared" si="53"/>
        <v>11.132567345756495</v>
      </c>
    </row>
    <row r="142" spans="1:8" x14ac:dyDescent="0.25">
      <c r="A142" s="10">
        <f t="shared" si="2"/>
        <v>39828</v>
      </c>
      <c r="B142">
        <v>702.5</v>
      </c>
      <c r="C142">
        <v>417.9</v>
      </c>
      <c r="D142">
        <v>1680</v>
      </c>
      <c r="E142">
        <v>1701</v>
      </c>
      <c r="F142" s="19">
        <f t="shared" ref="F142:G144" si="55">+B142+D142</f>
        <v>2382.5</v>
      </c>
      <c r="G142" s="19">
        <f t="shared" si="55"/>
        <v>2118.9</v>
      </c>
      <c r="H142" s="24">
        <f t="shared" ref="H142:H147" si="56">+(F142/G142-1)*100</f>
        <v>12.440417197602516</v>
      </c>
    </row>
    <row r="143" spans="1:8" x14ac:dyDescent="0.25">
      <c r="A143" s="10">
        <f t="shared" si="2"/>
        <v>39835</v>
      </c>
      <c r="B143">
        <v>380.9</v>
      </c>
      <c r="C143">
        <v>444.8</v>
      </c>
      <c r="D143">
        <v>1725.6</v>
      </c>
      <c r="E143">
        <v>1701</v>
      </c>
      <c r="F143" s="19">
        <f t="shared" si="55"/>
        <v>2106.5</v>
      </c>
      <c r="G143" s="19">
        <f t="shared" si="55"/>
        <v>2145.8000000000002</v>
      </c>
      <c r="H143" s="24">
        <f t="shared" si="56"/>
        <v>-1.8314847609283369</v>
      </c>
    </row>
    <row r="144" spans="1:8" x14ac:dyDescent="0.25">
      <c r="A144" s="10">
        <f t="shared" si="2"/>
        <v>39842</v>
      </c>
      <c r="B144">
        <v>350.8</v>
      </c>
      <c r="C144">
        <v>454.9</v>
      </c>
      <c r="D144">
        <v>1786.6</v>
      </c>
      <c r="E144">
        <v>1730.9</v>
      </c>
      <c r="F144" s="19">
        <f t="shared" si="55"/>
        <v>2137.4</v>
      </c>
      <c r="G144" s="19">
        <f t="shared" si="55"/>
        <v>2185.8000000000002</v>
      </c>
      <c r="H144" s="24">
        <f t="shared" si="56"/>
        <v>-2.2142922499771345</v>
      </c>
    </row>
    <row r="145" spans="1:9" x14ac:dyDescent="0.25">
      <c r="A145" s="10">
        <f t="shared" si="2"/>
        <v>39849</v>
      </c>
      <c r="B145">
        <v>347.3</v>
      </c>
      <c r="C145">
        <v>440.7</v>
      </c>
      <c r="D145">
        <v>1869.2</v>
      </c>
      <c r="E145">
        <v>1745.1</v>
      </c>
      <c r="F145" s="19">
        <f t="shared" ref="F145:G147" si="57">+B145+D145</f>
        <v>2216.5</v>
      </c>
      <c r="G145" s="19">
        <f t="shared" si="57"/>
        <v>2185.7999999999997</v>
      </c>
      <c r="H145" s="24">
        <f t="shared" si="56"/>
        <v>1.4045200841797278</v>
      </c>
    </row>
    <row r="146" spans="1:9" x14ac:dyDescent="0.25">
      <c r="A146" s="10">
        <f t="shared" si="2"/>
        <v>39856</v>
      </c>
      <c r="B146">
        <v>339.8</v>
      </c>
      <c r="C146">
        <v>399.9</v>
      </c>
      <c r="D146">
        <v>1901.9</v>
      </c>
      <c r="E146">
        <v>1847.7</v>
      </c>
      <c r="F146" s="19">
        <f t="shared" si="57"/>
        <v>2241.7000000000003</v>
      </c>
      <c r="G146" s="19">
        <f t="shared" si="57"/>
        <v>2247.6</v>
      </c>
      <c r="H146" s="24">
        <f t="shared" si="56"/>
        <v>-0.26250222459510697</v>
      </c>
    </row>
    <row r="147" spans="1:9" x14ac:dyDescent="0.25">
      <c r="A147" s="10">
        <f t="shared" si="2"/>
        <v>39863</v>
      </c>
      <c r="B147">
        <v>403.8</v>
      </c>
      <c r="C147">
        <v>374.4</v>
      </c>
      <c r="D147">
        <v>1923.9</v>
      </c>
      <c r="E147">
        <v>1873.2</v>
      </c>
      <c r="F147" s="19">
        <f t="shared" si="57"/>
        <v>2327.7000000000003</v>
      </c>
      <c r="G147" s="19">
        <f t="shared" si="57"/>
        <v>2247.6</v>
      </c>
      <c r="H147" s="24">
        <f t="shared" si="56"/>
        <v>3.5638013881473807</v>
      </c>
    </row>
    <row r="148" spans="1:9" x14ac:dyDescent="0.25">
      <c r="A148" s="10">
        <f t="shared" si="2"/>
        <v>39870</v>
      </c>
      <c r="B148">
        <v>367.3</v>
      </c>
      <c r="C148">
        <v>304.10000000000002</v>
      </c>
      <c r="D148">
        <v>1961.2</v>
      </c>
      <c r="E148">
        <v>1942.3</v>
      </c>
      <c r="F148" s="19">
        <f t="shared" ref="F148:G150" si="58">+B148+D148</f>
        <v>2328.5</v>
      </c>
      <c r="G148" s="19">
        <f t="shared" si="58"/>
        <v>2246.4</v>
      </c>
      <c r="H148" s="24">
        <f t="shared" ref="H148:H153" si="59">+(F148/G148-1)*100</f>
        <v>3.6547364672364635</v>
      </c>
    </row>
    <row r="149" spans="1:9" x14ac:dyDescent="0.25">
      <c r="A149" s="10">
        <f t="shared" si="2"/>
        <v>39877</v>
      </c>
      <c r="B149">
        <v>402.1</v>
      </c>
      <c r="C149">
        <v>244.1</v>
      </c>
      <c r="D149">
        <v>2014.3</v>
      </c>
      <c r="E149">
        <v>2008.7</v>
      </c>
      <c r="F149" s="19">
        <f t="shared" si="58"/>
        <v>2416.4</v>
      </c>
      <c r="G149" s="19">
        <f t="shared" si="58"/>
        <v>2252.8000000000002</v>
      </c>
      <c r="H149" s="24">
        <f t="shared" si="59"/>
        <v>7.2620738636363535</v>
      </c>
    </row>
    <row r="150" spans="1:9" x14ac:dyDescent="0.25">
      <c r="A150" s="10">
        <f t="shared" si="2"/>
        <v>39884</v>
      </c>
      <c r="B150">
        <v>341.9</v>
      </c>
      <c r="C150">
        <v>221.6</v>
      </c>
      <c r="D150">
        <v>2085.8000000000002</v>
      </c>
      <c r="E150">
        <v>2036.2</v>
      </c>
      <c r="F150" s="19">
        <f t="shared" si="58"/>
        <v>2427.7000000000003</v>
      </c>
      <c r="G150" s="19">
        <f t="shared" si="58"/>
        <v>2257.8000000000002</v>
      </c>
      <c r="H150" s="24">
        <f t="shared" si="59"/>
        <v>7.5250243599964683</v>
      </c>
    </row>
    <row r="151" spans="1:9" x14ac:dyDescent="0.25">
      <c r="A151" s="10">
        <f t="shared" si="2"/>
        <v>39891</v>
      </c>
      <c r="B151">
        <v>320.60000000000002</v>
      </c>
      <c r="C151">
        <v>320.60000000000002</v>
      </c>
      <c r="D151">
        <v>2142.8000000000002</v>
      </c>
      <c r="E151">
        <v>2063.6999999999998</v>
      </c>
      <c r="F151" s="19">
        <f t="shared" ref="F151:G155" si="60">+B151+D151</f>
        <v>2463.4</v>
      </c>
      <c r="G151" s="19">
        <f t="shared" si="60"/>
        <v>2384.2999999999997</v>
      </c>
      <c r="H151" s="24">
        <f t="shared" si="59"/>
        <v>3.3175355450237198</v>
      </c>
    </row>
    <row r="152" spans="1:9" x14ac:dyDescent="0.25">
      <c r="A152" s="10">
        <f t="shared" si="2"/>
        <v>39898</v>
      </c>
      <c r="B152">
        <v>246.4</v>
      </c>
      <c r="C152">
        <v>332.6</v>
      </c>
      <c r="D152">
        <v>2226.4</v>
      </c>
      <c r="E152">
        <v>2063.6999999999998</v>
      </c>
      <c r="F152" s="19">
        <f t="shared" si="60"/>
        <v>2472.8000000000002</v>
      </c>
      <c r="G152" s="19">
        <f t="shared" si="60"/>
        <v>2396.2999999999997</v>
      </c>
      <c r="H152" s="24">
        <f t="shared" si="59"/>
        <v>3.1924216500438307</v>
      </c>
    </row>
    <row r="153" spans="1:9" x14ac:dyDescent="0.25">
      <c r="A153" s="10">
        <f t="shared" si="2"/>
        <v>39905</v>
      </c>
      <c r="B153">
        <v>305.2</v>
      </c>
      <c r="C153">
        <v>356.9</v>
      </c>
      <c r="D153">
        <v>2259.6</v>
      </c>
      <c r="E153">
        <v>2114.6</v>
      </c>
      <c r="F153" s="19">
        <f t="shared" si="60"/>
        <v>2564.7999999999997</v>
      </c>
      <c r="G153" s="19">
        <f t="shared" si="60"/>
        <v>2471.5</v>
      </c>
      <c r="H153" s="24">
        <f t="shared" si="59"/>
        <v>3.7750354036010458</v>
      </c>
    </row>
    <row r="154" spans="1:9" x14ac:dyDescent="0.25">
      <c r="A154" s="10">
        <f t="shared" si="2"/>
        <v>39912</v>
      </c>
      <c r="B154">
        <v>228.5</v>
      </c>
      <c r="C154">
        <v>328.3</v>
      </c>
      <c r="D154">
        <v>2361.6</v>
      </c>
      <c r="E154">
        <v>2154</v>
      </c>
      <c r="F154" s="19">
        <f t="shared" si="60"/>
        <v>2590.1</v>
      </c>
      <c r="G154" s="19">
        <f t="shared" si="60"/>
        <v>2482.3000000000002</v>
      </c>
      <c r="H154" s="24">
        <f t="shared" ref="H154:H159" si="61">+(F154/G154-1)*100</f>
        <v>4.3427466462554687</v>
      </c>
    </row>
    <row r="155" spans="1:9" x14ac:dyDescent="0.25">
      <c r="A155" s="10">
        <f t="shared" si="2"/>
        <v>39919</v>
      </c>
      <c r="B155">
        <v>318.5</v>
      </c>
      <c r="C155">
        <v>372.7</v>
      </c>
      <c r="D155">
        <v>2361.6</v>
      </c>
      <c r="E155">
        <v>2220.5</v>
      </c>
      <c r="F155" s="19">
        <f t="shared" si="60"/>
        <v>2680.1</v>
      </c>
      <c r="G155" s="19">
        <f t="shared" si="60"/>
        <v>2593.1999999999998</v>
      </c>
      <c r="H155" s="24">
        <f t="shared" si="61"/>
        <v>3.3510720345519163</v>
      </c>
    </row>
    <row r="156" spans="1:9" x14ac:dyDescent="0.25">
      <c r="A156" s="10">
        <f t="shared" si="2"/>
        <v>39926</v>
      </c>
      <c r="B156">
        <v>293.39999999999998</v>
      </c>
      <c r="C156">
        <v>342.7</v>
      </c>
      <c r="D156">
        <v>2386.8000000000002</v>
      </c>
      <c r="E156">
        <v>2274.8000000000002</v>
      </c>
      <c r="F156" s="19">
        <f t="shared" ref="F156:F187" si="62">+B156+D156</f>
        <v>2680.2000000000003</v>
      </c>
      <c r="G156" s="19">
        <f t="shared" ref="G156:G187" si="63">+C156+E156</f>
        <v>2617.5</v>
      </c>
      <c r="H156" s="24">
        <f t="shared" si="61"/>
        <v>2.3954154727793719</v>
      </c>
    </row>
    <row r="157" spans="1:9" x14ac:dyDescent="0.25">
      <c r="A157" s="10">
        <f t="shared" si="2"/>
        <v>39933</v>
      </c>
      <c r="B157">
        <v>246.4</v>
      </c>
      <c r="C157">
        <v>298.3</v>
      </c>
      <c r="D157">
        <v>2433.6999999999998</v>
      </c>
      <c r="E157">
        <v>2350.9</v>
      </c>
      <c r="F157" s="19">
        <f t="shared" si="62"/>
        <v>2680.1</v>
      </c>
      <c r="G157" s="19">
        <f t="shared" si="63"/>
        <v>2649.2000000000003</v>
      </c>
      <c r="H157" s="24">
        <f t="shared" si="61"/>
        <v>1.1663898535406725</v>
      </c>
      <c r="I157">
        <v>12</v>
      </c>
    </row>
    <row r="158" spans="1:9" x14ac:dyDescent="0.25">
      <c r="A158" s="10">
        <f t="shared" si="2"/>
        <v>39940</v>
      </c>
      <c r="B158">
        <v>230.8</v>
      </c>
      <c r="C158">
        <v>268.7</v>
      </c>
      <c r="D158">
        <v>2474.4</v>
      </c>
      <c r="E158">
        <v>2382.6999999999998</v>
      </c>
      <c r="F158" s="19">
        <f t="shared" si="62"/>
        <v>2705.2000000000003</v>
      </c>
      <c r="G158" s="19">
        <f t="shared" si="63"/>
        <v>2651.3999999999996</v>
      </c>
      <c r="H158" s="24">
        <f t="shared" si="61"/>
        <v>2.029116693067845</v>
      </c>
      <c r="I158">
        <v>12</v>
      </c>
    </row>
    <row r="159" spans="1:9" x14ac:dyDescent="0.25">
      <c r="A159" s="10">
        <f t="shared" si="2"/>
        <v>39947</v>
      </c>
      <c r="B159">
        <v>287</v>
      </c>
      <c r="C159">
        <v>225.6</v>
      </c>
      <c r="D159">
        <v>2474.4</v>
      </c>
      <c r="E159">
        <v>2462.6999999999998</v>
      </c>
      <c r="F159" s="19">
        <f t="shared" si="62"/>
        <v>2761.4</v>
      </c>
      <c r="G159" s="19">
        <f t="shared" si="63"/>
        <v>2688.2999999999997</v>
      </c>
      <c r="H159" s="24">
        <f t="shared" si="61"/>
        <v>2.7191905665290506</v>
      </c>
      <c r="I159">
        <v>37</v>
      </c>
    </row>
    <row r="160" spans="1:9" x14ac:dyDescent="0.25">
      <c r="A160" s="10">
        <f t="shared" si="2"/>
        <v>39954</v>
      </c>
      <c r="B160">
        <v>179.5</v>
      </c>
      <c r="C160">
        <v>225.6</v>
      </c>
      <c r="D160">
        <v>2599.1</v>
      </c>
      <c r="E160">
        <v>2488.4</v>
      </c>
      <c r="F160" s="19">
        <f t="shared" si="62"/>
        <v>2778.6</v>
      </c>
      <c r="G160" s="19">
        <f t="shared" si="63"/>
        <v>2714</v>
      </c>
      <c r="H160" s="24">
        <f t="shared" ref="H160:H191" si="64">+(F160/G160-1)*100</f>
        <v>2.3802505526897555</v>
      </c>
      <c r="I160">
        <v>122</v>
      </c>
    </row>
    <row r="161" spans="1:9" x14ac:dyDescent="0.25">
      <c r="A161" s="10">
        <f t="shared" si="2"/>
        <v>39961</v>
      </c>
      <c r="B161">
        <v>164.9</v>
      </c>
      <c r="C161">
        <v>163.30000000000001</v>
      </c>
      <c r="D161">
        <v>2624.6</v>
      </c>
      <c r="E161">
        <v>2577.5</v>
      </c>
      <c r="F161" s="19">
        <f t="shared" si="62"/>
        <v>2789.5</v>
      </c>
      <c r="G161" s="19">
        <f t="shared" si="63"/>
        <v>2740.8</v>
      </c>
      <c r="H161" s="24">
        <f t="shared" si="64"/>
        <v>1.7768534734384112</v>
      </c>
      <c r="I161">
        <v>122</v>
      </c>
    </row>
    <row r="162" spans="1:9" x14ac:dyDescent="0.25">
      <c r="A162" s="58">
        <f t="shared" si="2"/>
        <v>39968</v>
      </c>
      <c r="B162">
        <v>272.60000000000002</v>
      </c>
      <c r="C162">
        <v>472.4</v>
      </c>
      <c r="D162">
        <v>49.9</v>
      </c>
      <c r="E162">
        <v>4.3</v>
      </c>
      <c r="F162" s="19">
        <f t="shared" si="62"/>
        <v>322.5</v>
      </c>
      <c r="G162" s="19">
        <f t="shared" si="63"/>
        <v>476.7</v>
      </c>
      <c r="H162" s="24">
        <f t="shared" si="64"/>
        <v>-32.347388294524862</v>
      </c>
    </row>
    <row r="163" spans="1:9" x14ac:dyDescent="0.25">
      <c r="A163" s="10">
        <f t="shared" si="2"/>
        <v>39975</v>
      </c>
      <c r="B163">
        <v>273.3</v>
      </c>
      <c r="C163">
        <v>575.9</v>
      </c>
      <c r="D163">
        <v>95.2</v>
      </c>
      <c r="E163">
        <v>37.9</v>
      </c>
      <c r="F163" s="19">
        <f t="shared" si="62"/>
        <v>368.5</v>
      </c>
      <c r="G163" s="19">
        <f t="shared" si="63"/>
        <v>613.79999999999995</v>
      </c>
      <c r="H163" s="24">
        <f t="shared" si="64"/>
        <v>-39.964157706093182</v>
      </c>
    </row>
    <row r="164" spans="1:9" x14ac:dyDescent="0.25">
      <c r="A164" s="10">
        <f t="shared" si="2"/>
        <v>39982</v>
      </c>
      <c r="B164">
        <v>313.8</v>
      </c>
      <c r="C164">
        <v>548.4</v>
      </c>
      <c r="D164">
        <v>182.4</v>
      </c>
      <c r="E164">
        <v>106.7</v>
      </c>
      <c r="F164" s="19">
        <f t="shared" si="62"/>
        <v>496.20000000000005</v>
      </c>
      <c r="G164" s="19">
        <f t="shared" si="63"/>
        <v>655.1</v>
      </c>
      <c r="H164" s="24">
        <f t="shared" si="64"/>
        <v>-24.255838803236141</v>
      </c>
    </row>
    <row r="165" spans="1:9" x14ac:dyDescent="0.25">
      <c r="A165" s="10">
        <f t="shared" si="2"/>
        <v>39989</v>
      </c>
      <c r="B165">
        <v>315.89999999999998</v>
      </c>
      <c r="C165">
        <v>550</v>
      </c>
      <c r="D165">
        <v>221.4</v>
      </c>
      <c r="E165">
        <v>191.3</v>
      </c>
      <c r="F165" s="19">
        <f t="shared" si="62"/>
        <v>537.29999999999995</v>
      </c>
      <c r="G165" s="19">
        <f t="shared" si="63"/>
        <v>741.3</v>
      </c>
      <c r="H165" s="24">
        <f t="shared" si="64"/>
        <v>-27.519222986645087</v>
      </c>
    </row>
    <row r="166" spans="1:9" x14ac:dyDescent="0.25">
      <c r="A166" s="10">
        <f t="shared" si="2"/>
        <v>39996</v>
      </c>
      <c r="B166">
        <v>300.5</v>
      </c>
      <c r="C166">
        <v>627.1</v>
      </c>
      <c r="D166">
        <v>288.60000000000002</v>
      </c>
      <c r="E166">
        <v>214.2</v>
      </c>
      <c r="F166" s="19">
        <f t="shared" si="62"/>
        <v>589.1</v>
      </c>
      <c r="G166" s="19">
        <f t="shared" si="63"/>
        <v>841.3</v>
      </c>
      <c r="H166" s="24">
        <f t="shared" si="64"/>
        <v>-29.97741590395815</v>
      </c>
    </row>
    <row r="167" spans="1:9" x14ac:dyDescent="0.25">
      <c r="A167" s="10">
        <f t="shared" si="2"/>
        <v>40003</v>
      </c>
      <c r="B167">
        <v>497.3</v>
      </c>
      <c r="C167">
        <v>737.8</v>
      </c>
      <c r="D167">
        <v>335.4</v>
      </c>
      <c r="E167">
        <v>285.5</v>
      </c>
      <c r="F167" s="19">
        <f t="shared" si="62"/>
        <v>832.7</v>
      </c>
      <c r="G167" s="19">
        <f t="shared" si="63"/>
        <v>1023.3</v>
      </c>
      <c r="H167" s="24">
        <f t="shared" si="64"/>
        <v>-18.626013876673497</v>
      </c>
    </row>
    <row r="168" spans="1:9" x14ac:dyDescent="0.25">
      <c r="A168" s="10">
        <f t="shared" si="2"/>
        <v>40010</v>
      </c>
      <c r="B168">
        <v>488.4</v>
      </c>
      <c r="C168">
        <v>714.7</v>
      </c>
      <c r="D168">
        <v>422</v>
      </c>
      <c r="E168">
        <v>320.39999999999998</v>
      </c>
      <c r="F168" s="19">
        <f t="shared" si="62"/>
        <v>910.4</v>
      </c>
      <c r="G168" s="19">
        <f t="shared" si="63"/>
        <v>1035.0999999999999</v>
      </c>
      <c r="H168" s="24">
        <f t="shared" si="64"/>
        <v>-12.047145203361985</v>
      </c>
    </row>
    <row r="169" spans="1:9" x14ac:dyDescent="0.25">
      <c r="A169" s="10">
        <f t="shared" si="2"/>
        <v>40017</v>
      </c>
      <c r="B169">
        <v>429.8</v>
      </c>
      <c r="C169">
        <v>694.6</v>
      </c>
      <c r="D169">
        <v>485.8</v>
      </c>
      <c r="E169">
        <v>446.3</v>
      </c>
      <c r="F169" s="19">
        <f t="shared" si="62"/>
        <v>915.6</v>
      </c>
      <c r="G169" s="19">
        <f t="shared" si="63"/>
        <v>1140.9000000000001</v>
      </c>
      <c r="H169" s="24">
        <f t="shared" si="64"/>
        <v>-19.747567709702874</v>
      </c>
    </row>
    <row r="170" spans="1:9" x14ac:dyDescent="0.25">
      <c r="A170" s="10">
        <f t="shared" si="2"/>
        <v>40024</v>
      </c>
      <c r="B170">
        <v>461</v>
      </c>
      <c r="C170">
        <v>783.4</v>
      </c>
      <c r="D170">
        <v>557.1</v>
      </c>
      <c r="E170">
        <v>490</v>
      </c>
      <c r="F170" s="19">
        <f t="shared" si="62"/>
        <v>1018.1</v>
      </c>
      <c r="G170" s="19">
        <f t="shared" si="63"/>
        <v>1273.4000000000001</v>
      </c>
      <c r="H170" s="24">
        <f t="shared" si="64"/>
        <v>-20.04868855033768</v>
      </c>
    </row>
    <row r="171" spans="1:9" x14ac:dyDescent="0.25">
      <c r="A171" s="10">
        <f t="shared" si="2"/>
        <v>40031</v>
      </c>
      <c r="B171">
        <v>473</v>
      </c>
      <c r="C171">
        <v>783.8</v>
      </c>
      <c r="D171">
        <v>612.6</v>
      </c>
      <c r="E171">
        <v>577.79999999999995</v>
      </c>
      <c r="F171" s="19">
        <f t="shared" si="62"/>
        <v>1085.5999999999999</v>
      </c>
      <c r="G171" s="19">
        <f t="shared" si="63"/>
        <v>1361.6</v>
      </c>
      <c r="H171" s="24">
        <f t="shared" si="64"/>
        <v>-20.270270270270274</v>
      </c>
    </row>
    <row r="172" spans="1:9" x14ac:dyDescent="0.25">
      <c r="A172" s="10">
        <f t="shared" si="2"/>
        <v>40038</v>
      </c>
      <c r="B172">
        <v>428.9</v>
      </c>
      <c r="C172">
        <v>684.1</v>
      </c>
      <c r="D172">
        <v>656.7</v>
      </c>
      <c r="E172">
        <v>683.5</v>
      </c>
      <c r="F172" s="19">
        <f t="shared" si="62"/>
        <v>1085.5999999999999</v>
      </c>
      <c r="G172" s="19">
        <f t="shared" si="63"/>
        <v>1367.6</v>
      </c>
      <c r="H172" s="24">
        <f t="shared" si="64"/>
        <v>-20.620064346300094</v>
      </c>
    </row>
    <row r="173" spans="1:9" x14ac:dyDescent="0.25">
      <c r="A173" s="10">
        <f t="shared" si="2"/>
        <v>40045</v>
      </c>
      <c r="B173">
        <v>549.4</v>
      </c>
      <c r="C173">
        <v>682.2</v>
      </c>
      <c r="D173">
        <v>758.7</v>
      </c>
      <c r="E173">
        <v>741.3</v>
      </c>
      <c r="F173" s="19">
        <f t="shared" si="62"/>
        <v>1308.0999999999999</v>
      </c>
      <c r="G173" s="19">
        <f t="shared" si="63"/>
        <v>1423.5</v>
      </c>
      <c r="H173" s="24">
        <f t="shared" si="64"/>
        <v>-8.1067790656831775</v>
      </c>
    </row>
    <row r="174" spans="1:9" x14ac:dyDescent="0.25">
      <c r="A174" s="10">
        <f t="shared" si="2"/>
        <v>40052</v>
      </c>
      <c r="B174">
        <v>507.2</v>
      </c>
      <c r="C174">
        <v>634</v>
      </c>
      <c r="D174">
        <v>819.8</v>
      </c>
      <c r="E174">
        <v>826.4</v>
      </c>
      <c r="F174" s="19">
        <f t="shared" si="62"/>
        <v>1327</v>
      </c>
      <c r="G174" s="19">
        <f t="shared" si="63"/>
        <v>1460.4</v>
      </c>
      <c r="H174" s="24">
        <f t="shared" si="64"/>
        <v>-9.1344837030950536</v>
      </c>
    </row>
    <row r="175" spans="1:9" x14ac:dyDescent="0.25">
      <c r="A175" s="10">
        <f t="shared" si="2"/>
        <v>40059</v>
      </c>
      <c r="B175">
        <v>463</v>
      </c>
      <c r="C175">
        <v>607.70000000000005</v>
      </c>
      <c r="D175">
        <v>905.6</v>
      </c>
      <c r="E175">
        <v>874.1</v>
      </c>
      <c r="F175" s="19">
        <f t="shared" si="62"/>
        <v>1368.6</v>
      </c>
      <c r="G175" s="19">
        <f t="shared" si="63"/>
        <v>1481.8000000000002</v>
      </c>
      <c r="H175" s="24">
        <f t="shared" si="64"/>
        <v>-7.6393575381293211</v>
      </c>
    </row>
    <row r="176" spans="1:9" x14ac:dyDescent="0.25">
      <c r="A176" s="10">
        <f t="shared" si="2"/>
        <v>40066</v>
      </c>
      <c r="B176">
        <v>461.5</v>
      </c>
      <c r="C176">
        <v>724.9</v>
      </c>
      <c r="D176">
        <v>939.5</v>
      </c>
      <c r="E176">
        <v>874.1</v>
      </c>
      <c r="F176" s="19">
        <f t="shared" si="62"/>
        <v>1401</v>
      </c>
      <c r="G176" s="19">
        <f t="shared" si="63"/>
        <v>1599</v>
      </c>
      <c r="H176" s="24">
        <f t="shared" si="64"/>
        <v>-12.382739212007509</v>
      </c>
    </row>
    <row r="177" spans="1:8" x14ac:dyDescent="0.25">
      <c r="A177" s="10">
        <f t="shared" si="2"/>
        <v>40073</v>
      </c>
      <c r="B177">
        <v>489</v>
      </c>
      <c r="C177">
        <v>723.9</v>
      </c>
      <c r="D177">
        <v>986.2</v>
      </c>
      <c r="E177">
        <v>899</v>
      </c>
      <c r="F177" s="19">
        <f t="shared" si="62"/>
        <v>1475.2</v>
      </c>
      <c r="G177" s="19">
        <f t="shared" si="63"/>
        <v>1622.9</v>
      </c>
      <c r="H177" s="24">
        <f t="shared" si="64"/>
        <v>-9.100992051266255</v>
      </c>
    </row>
    <row r="178" spans="1:8" x14ac:dyDescent="0.25">
      <c r="A178" s="10">
        <f t="shared" si="2"/>
        <v>40080</v>
      </c>
      <c r="B178">
        <v>506.4</v>
      </c>
      <c r="C178">
        <v>831.3</v>
      </c>
      <c r="D178">
        <v>1031.9000000000001</v>
      </c>
      <c r="E178">
        <v>944.1</v>
      </c>
      <c r="F178" s="19">
        <f t="shared" si="62"/>
        <v>1538.3000000000002</v>
      </c>
      <c r="G178" s="19">
        <f t="shared" si="63"/>
        <v>1775.4</v>
      </c>
      <c r="H178" s="24">
        <f t="shared" si="64"/>
        <v>-13.35473696068491</v>
      </c>
    </row>
    <row r="179" spans="1:8" x14ac:dyDescent="0.25">
      <c r="A179" s="10">
        <f t="shared" si="2"/>
        <v>40087</v>
      </c>
      <c r="B179">
        <v>559.70000000000005</v>
      </c>
      <c r="C179">
        <v>800.1</v>
      </c>
      <c r="D179">
        <v>1137.7</v>
      </c>
      <c r="E179">
        <v>1024.8</v>
      </c>
      <c r="F179" s="19">
        <f t="shared" si="62"/>
        <v>1697.4</v>
      </c>
      <c r="G179" s="19">
        <f t="shared" si="63"/>
        <v>1824.9</v>
      </c>
      <c r="H179" s="24">
        <f t="shared" si="64"/>
        <v>-6.9866842018740716</v>
      </c>
    </row>
    <row r="180" spans="1:8" x14ac:dyDescent="0.25">
      <c r="A180" s="10">
        <f t="shared" si="2"/>
        <v>40094</v>
      </c>
      <c r="B180">
        <v>494.8</v>
      </c>
      <c r="C180">
        <v>792</v>
      </c>
      <c r="D180">
        <v>1241.2</v>
      </c>
      <c r="E180">
        <v>1084.7</v>
      </c>
      <c r="F180" s="19">
        <f t="shared" si="62"/>
        <v>1736</v>
      </c>
      <c r="G180" s="19">
        <f t="shared" si="63"/>
        <v>1876.7</v>
      </c>
      <c r="H180" s="24">
        <f t="shared" si="64"/>
        <v>-7.4972025363670314</v>
      </c>
    </row>
    <row r="181" spans="1:8" x14ac:dyDescent="0.25">
      <c r="A181" s="10">
        <f t="shared" si="2"/>
        <v>40101</v>
      </c>
      <c r="B181">
        <v>433.3</v>
      </c>
      <c r="C181">
        <v>813.5</v>
      </c>
      <c r="D181">
        <v>1276.7</v>
      </c>
      <c r="E181">
        <v>1112.4000000000001</v>
      </c>
      <c r="F181" s="19">
        <f t="shared" si="62"/>
        <v>1710</v>
      </c>
      <c r="G181" s="19">
        <f t="shared" si="63"/>
        <v>1925.9</v>
      </c>
      <c r="H181" s="24">
        <f t="shared" si="64"/>
        <v>-11.21034321615868</v>
      </c>
    </row>
    <row r="182" spans="1:8" x14ac:dyDescent="0.25">
      <c r="A182" s="10">
        <f t="shared" si="2"/>
        <v>40108</v>
      </c>
      <c r="B182">
        <v>405.9</v>
      </c>
      <c r="C182">
        <v>800.8</v>
      </c>
      <c r="D182">
        <v>1348</v>
      </c>
      <c r="E182">
        <v>1162.2</v>
      </c>
      <c r="F182" s="19">
        <f t="shared" si="62"/>
        <v>1753.9</v>
      </c>
      <c r="G182" s="19">
        <f t="shared" si="63"/>
        <v>1963</v>
      </c>
      <c r="H182" s="24">
        <f t="shared" si="64"/>
        <v>-10.652063168619453</v>
      </c>
    </row>
    <row r="183" spans="1:8" x14ac:dyDescent="0.25">
      <c r="A183" s="10">
        <f t="shared" si="2"/>
        <v>40115</v>
      </c>
      <c r="B183">
        <v>430.9</v>
      </c>
      <c r="C183">
        <v>795</v>
      </c>
      <c r="D183">
        <v>1354.1</v>
      </c>
      <c r="E183">
        <v>1229.8</v>
      </c>
      <c r="F183" s="19">
        <f t="shared" si="62"/>
        <v>1785</v>
      </c>
      <c r="G183" s="19">
        <f t="shared" si="63"/>
        <v>2024.8</v>
      </c>
      <c r="H183" s="24">
        <f t="shared" si="64"/>
        <v>-11.843145001975497</v>
      </c>
    </row>
    <row r="184" spans="1:8" x14ac:dyDescent="0.25">
      <c r="A184" s="10">
        <f t="shared" si="2"/>
        <v>40122</v>
      </c>
      <c r="B184">
        <v>442.3</v>
      </c>
      <c r="C184">
        <v>738.3</v>
      </c>
      <c r="D184">
        <v>1396.9</v>
      </c>
      <c r="E184">
        <v>1414.4</v>
      </c>
      <c r="F184" s="19">
        <f t="shared" si="62"/>
        <v>1839.2</v>
      </c>
      <c r="G184" s="19">
        <f t="shared" si="63"/>
        <v>2152.6999999999998</v>
      </c>
      <c r="H184" s="24">
        <f t="shared" si="64"/>
        <v>-14.563106796116498</v>
      </c>
    </row>
    <row r="185" spans="1:8" x14ac:dyDescent="0.25">
      <c r="A185" s="10">
        <f t="shared" si="2"/>
        <v>40129</v>
      </c>
      <c r="B185">
        <v>418.5</v>
      </c>
      <c r="C185">
        <v>738.3</v>
      </c>
      <c r="D185">
        <v>1504.2</v>
      </c>
      <c r="E185">
        <v>1414.4</v>
      </c>
      <c r="F185" s="19">
        <f t="shared" si="62"/>
        <v>1922.7</v>
      </c>
      <c r="G185" s="19">
        <f t="shared" si="63"/>
        <v>2152.6999999999998</v>
      </c>
      <c r="H185" s="24">
        <f t="shared" si="64"/>
        <v>-10.684256979606999</v>
      </c>
    </row>
    <row r="186" spans="1:8" x14ac:dyDescent="0.25">
      <c r="A186" s="10">
        <f t="shared" si="2"/>
        <v>40136</v>
      </c>
      <c r="B186">
        <v>393.2</v>
      </c>
      <c r="C186">
        <v>832.1</v>
      </c>
      <c r="D186">
        <v>1563.2</v>
      </c>
      <c r="E186">
        <v>1451.6</v>
      </c>
      <c r="F186" s="19">
        <f t="shared" si="62"/>
        <v>1956.4</v>
      </c>
      <c r="G186" s="19">
        <f t="shared" si="63"/>
        <v>2283.6999999999998</v>
      </c>
      <c r="H186" s="24">
        <f t="shared" si="64"/>
        <v>-14.332005079476273</v>
      </c>
    </row>
    <row r="187" spans="1:8" x14ac:dyDescent="0.25">
      <c r="A187" s="10">
        <f t="shared" si="2"/>
        <v>40143</v>
      </c>
      <c r="B187">
        <v>418</v>
      </c>
      <c r="C187">
        <v>770</v>
      </c>
      <c r="D187">
        <v>1594.3</v>
      </c>
      <c r="E187">
        <v>1543.4</v>
      </c>
      <c r="F187" s="19">
        <f t="shared" si="62"/>
        <v>2012.3</v>
      </c>
      <c r="G187" s="19">
        <f t="shared" si="63"/>
        <v>2313.4</v>
      </c>
      <c r="H187" s="24">
        <f t="shared" si="64"/>
        <v>-13.015475058355674</v>
      </c>
    </row>
    <row r="188" spans="1:8" x14ac:dyDescent="0.25">
      <c r="A188" s="10">
        <f t="shared" si="2"/>
        <v>40150</v>
      </c>
      <c r="B188">
        <v>462.4</v>
      </c>
      <c r="C188">
        <v>740</v>
      </c>
      <c r="D188">
        <v>1648.3</v>
      </c>
      <c r="E188">
        <v>1576.4</v>
      </c>
      <c r="F188" s="19">
        <f t="shared" ref="F188:F219" si="65">+B188+D188</f>
        <v>2110.6999999999998</v>
      </c>
      <c r="G188" s="19">
        <f t="shared" ref="G188:G219" si="66">+C188+E188</f>
        <v>2316.4</v>
      </c>
      <c r="H188" s="24">
        <f t="shared" si="64"/>
        <v>-8.8801588672077436</v>
      </c>
    </row>
    <row r="189" spans="1:8" x14ac:dyDescent="0.25">
      <c r="A189" s="10">
        <f t="shared" si="2"/>
        <v>40157</v>
      </c>
      <c r="B189">
        <v>512.4</v>
      </c>
      <c r="C189">
        <v>700.1</v>
      </c>
      <c r="D189">
        <v>1664.3</v>
      </c>
      <c r="E189">
        <v>1606.3</v>
      </c>
      <c r="F189" s="19">
        <f t="shared" si="65"/>
        <v>2176.6999999999998</v>
      </c>
      <c r="G189" s="19">
        <f t="shared" si="66"/>
        <v>2306.4</v>
      </c>
      <c r="H189" s="24">
        <f t="shared" si="64"/>
        <v>-5.6234824835241231</v>
      </c>
    </row>
    <row r="190" spans="1:8" x14ac:dyDescent="0.25">
      <c r="A190" s="10">
        <f t="shared" si="2"/>
        <v>40164</v>
      </c>
      <c r="B190">
        <v>449.2</v>
      </c>
      <c r="C190">
        <v>700.1</v>
      </c>
      <c r="D190">
        <v>1755.4</v>
      </c>
      <c r="E190">
        <v>1606.3</v>
      </c>
      <c r="F190" s="19">
        <f t="shared" si="65"/>
        <v>2204.6</v>
      </c>
      <c r="G190" s="19">
        <f t="shared" si="66"/>
        <v>2306.4</v>
      </c>
      <c r="H190" s="24">
        <f t="shared" si="64"/>
        <v>-4.4138050641692743</v>
      </c>
    </row>
    <row r="191" spans="1:8" x14ac:dyDescent="0.25">
      <c r="A191" s="10">
        <f t="shared" si="2"/>
        <v>40171</v>
      </c>
      <c r="B191">
        <v>449.2</v>
      </c>
      <c r="C191">
        <v>662.6</v>
      </c>
      <c r="D191">
        <v>1755.4</v>
      </c>
      <c r="E191">
        <v>1638.4</v>
      </c>
      <c r="F191" s="19">
        <f t="shared" si="65"/>
        <v>2204.6</v>
      </c>
      <c r="G191" s="19">
        <f t="shared" si="66"/>
        <v>2301</v>
      </c>
      <c r="H191" s="24">
        <f t="shared" si="64"/>
        <v>-4.18948283355064</v>
      </c>
    </row>
    <row r="192" spans="1:8" x14ac:dyDescent="0.25">
      <c r="A192" s="10">
        <f t="shared" si="2"/>
        <v>40178</v>
      </c>
      <c r="B192">
        <v>381.9</v>
      </c>
      <c r="C192">
        <v>638.6</v>
      </c>
      <c r="D192">
        <v>1857.6</v>
      </c>
      <c r="E192">
        <v>1663.4</v>
      </c>
      <c r="F192" s="19">
        <f t="shared" si="65"/>
        <v>2239.5</v>
      </c>
      <c r="G192" s="19">
        <f t="shared" si="66"/>
        <v>2302</v>
      </c>
      <c r="H192" s="24">
        <f t="shared" ref="H192:H223" si="67">+(F192/G192-1)*100</f>
        <v>-2.7150304083405685</v>
      </c>
    </row>
    <row r="193" spans="1:9" x14ac:dyDescent="0.25">
      <c r="A193" s="10">
        <f t="shared" si="2"/>
        <v>40185</v>
      </c>
      <c r="B193">
        <v>440.9</v>
      </c>
      <c r="C193">
        <v>638.6</v>
      </c>
      <c r="D193">
        <v>1889.3</v>
      </c>
      <c r="E193">
        <v>1663.4</v>
      </c>
      <c r="F193" s="19">
        <f t="shared" si="65"/>
        <v>2330.1999999999998</v>
      </c>
      <c r="G193" s="19">
        <f t="shared" si="66"/>
        <v>2302</v>
      </c>
      <c r="H193" s="24">
        <f t="shared" si="67"/>
        <v>1.2250217202432578</v>
      </c>
    </row>
    <row r="194" spans="1:9" x14ac:dyDescent="0.25">
      <c r="A194" s="10">
        <f t="shared" si="2"/>
        <v>40192</v>
      </c>
      <c r="B194">
        <v>510.8</v>
      </c>
      <c r="C194">
        <v>702.5</v>
      </c>
      <c r="D194">
        <v>1926.5</v>
      </c>
      <c r="E194">
        <v>1680</v>
      </c>
      <c r="F194" s="19">
        <f t="shared" si="65"/>
        <v>2437.3000000000002</v>
      </c>
      <c r="G194" s="19">
        <f t="shared" si="66"/>
        <v>2382.5</v>
      </c>
      <c r="H194" s="24">
        <f t="shared" si="67"/>
        <v>2.3001049317943334</v>
      </c>
    </row>
    <row r="195" spans="1:9" x14ac:dyDescent="0.25">
      <c r="A195" s="10">
        <f t="shared" si="2"/>
        <v>40199</v>
      </c>
      <c r="B195">
        <v>573.5</v>
      </c>
      <c r="C195">
        <v>380.9</v>
      </c>
      <c r="D195">
        <v>1976.7</v>
      </c>
      <c r="E195">
        <v>1725.6</v>
      </c>
      <c r="F195" s="19">
        <f t="shared" si="65"/>
        <v>2550.1999999999998</v>
      </c>
      <c r="G195" s="19">
        <f t="shared" si="66"/>
        <v>2106.5</v>
      </c>
      <c r="H195" s="24">
        <f t="shared" si="67"/>
        <v>21.063375267030615</v>
      </c>
    </row>
    <row r="196" spans="1:9" x14ac:dyDescent="0.25">
      <c r="A196" s="10">
        <f t="shared" si="2"/>
        <v>40206</v>
      </c>
      <c r="B196">
        <v>540.5</v>
      </c>
      <c r="C196">
        <v>350.8</v>
      </c>
      <c r="D196">
        <v>2028.5</v>
      </c>
      <c r="E196">
        <v>1786.6</v>
      </c>
      <c r="F196" s="19">
        <f t="shared" si="65"/>
        <v>2569</v>
      </c>
      <c r="G196" s="19">
        <f t="shared" si="66"/>
        <v>2137.4</v>
      </c>
      <c r="H196" s="24">
        <f t="shared" si="67"/>
        <v>20.192757555909036</v>
      </c>
      <c r="I196">
        <v>12</v>
      </c>
    </row>
    <row r="197" spans="1:9" x14ac:dyDescent="0.25">
      <c r="A197" s="10">
        <f t="shared" si="2"/>
        <v>40213</v>
      </c>
      <c r="B197">
        <v>535.70000000000005</v>
      </c>
      <c r="C197">
        <v>347.3</v>
      </c>
      <c r="D197">
        <v>2096.4</v>
      </c>
      <c r="E197">
        <v>1869.2</v>
      </c>
      <c r="F197" s="19">
        <f t="shared" si="65"/>
        <v>2632.1000000000004</v>
      </c>
      <c r="G197" s="19">
        <f t="shared" si="66"/>
        <v>2216.5</v>
      </c>
      <c r="H197" s="24">
        <f t="shared" si="67"/>
        <v>18.750281976088434</v>
      </c>
      <c r="I197">
        <v>12</v>
      </c>
    </row>
    <row r="198" spans="1:9" x14ac:dyDescent="0.25">
      <c r="A198" s="10">
        <f t="shared" si="2"/>
        <v>40220</v>
      </c>
      <c r="B198">
        <v>610.20000000000005</v>
      </c>
      <c r="C198">
        <v>339.8</v>
      </c>
      <c r="D198">
        <v>2184.9</v>
      </c>
      <c r="E198">
        <v>1901.9</v>
      </c>
      <c r="F198" s="19">
        <f t="shared" si="65"/>
        <v>2795.1000000000004</v>
      </c>
      <c r="G198" s="19">
        <f t="shared" si="66"/>
        <v>2241.7000000000003</v>
      </c>
      <c r="H198" s="24">
        <f t="shared" si="67"/>
        <v>24.686621760271233</v>
      </c>
      <c r="I198">
        <v>12</v>
      </c>
    </row>
    <row r="199" spans="1:9" x14ac:dyDescent="0.25">
      <c r="A199" s="10">
        <f t="shared" si="2"/>
        <v>40227</v>
      </c>
      <c r="B199">
        <v>704</v>
      </c>
      <c r="C199">
        <v>403.8</v>
      </c>
      <c r="D199">
        <v>2297.4</v>
      </c>
      <c r="E199">
        <v>1923.9</v>
      </c>
      <c r="F199" s="19">
        <f t="shared" si="65"/>
        <v>3001.4</v>
      </c>
      <c r="G199" s="19">
        <f t="shared" si="66"/>
        <v>2327.7000000000003</v>
      </c>
      <c r="H199" s="24">
        <f t="shared" si="67"/>
        <v>28.942733170082047</v>
      </c>
      <c r="I199">
        <v>12</v>
      </c>
    </row>
    <row r="200" spans="1:9" x14ac:dyDescent="0.25">
      <c r="A200" s="10">
        <f t="shared" si="2"/>
        <v>40234</v>
      </c>
      <c r="B200">
        <v>684.2</v>
      </c>
      <c r="C200">
        <v>367.3</v>
      </c>
      <c r="D200">
        <v>2338</v>
      </c>
      <c r="E200">
        <v>1961.2</v>
      </c>
      <c r="F200" s="19">
        <f t="shared" si="65"/>
        <v>3022.2</v>
      </c>
      <c r="G200" s="19">
        <f t="shared" si="66"/>
        <v>2328.5</v>
      </c>
      <c r="H200" s="24">
        <f t="shared" si="67"/>
        <v>29.791711402190234</v>
      </c>
      <c r="I200">
        <v>12</v>
      </c>
    </row>
    <row r="201" spans="1:9" x14ac:dyDescent="0.25">
      <c r="A201" s="10">
        <f t="shared" si="2"/>
        <v>40241</v>
      </c>
      <c r="B201">
        <v>763.3</v>
      </c>
      <c r="C201">
        <v>402.1</v>
      </c>
      <c r="D201">
        <v>2389.8000000000002</v>
      </c>
      <c r="E201">
        <v>2014.3</v>
      </c>
      <c r="F201" s="19">
        <f t="shared" si="65"/>
        <v>3153.1000000000004</v>
      </c>
      <c r="G201" s="19">
        <f t="shared" si="66"/>
        <v>2416.4</v>
      </c>
      <c r="H201" s="24">
        <f t="shared" si="67"/>
        <v>30.487502069193862</v>
      </c>
      <c r="I201">
        <v>12</v>
      </c>
    </row>
    <row r="202" spans="1:9" x14ac:dyDescent="0.25">
      <c r="A202" s="10">
        <f t="shared" si="2"/>
        <v>40248</v>
      </c>
      <c r="B202">
        <v>664.7</v>
      </c>
      <c r="C202">
        <v>341.9</v>
      </c>
      <c r="D202">
        <v>2487.6999999999998</v>
      </c>
      <c r="E202">
        <v>2085.8000000000002</v>
      </c>
      <c r="F202" s="19">
        <f t="shared" si="65"/>
        <v>3152.3999999999996</v>
      </c>
      <c r="G202" s="19">
        <f t="shared" si="66"/>
        <v>2427.7000000000003</v>
      </c>
      <c r="H202" s="24">
        <f t="shared" si="67"/>
        <v>29.851299583968327</v>
      </c>
      <c r="I202">
        <v>82</v>
      </c>
    </row>
    <row r="203" spans="1:9" x14ac:dyDescent="0.25">
      <c r="A203" s="10">
        <f t="shared" si="2"/>
        <v>40255</v>
      </c>
      <c r="B203">
        <v>694.7</v>
      </c>
      <c r="C203">
        <v>320.60000000000002</v>
      </c>
      <c r="D203">
        <v>2553.4</v>
      </c>
      <c r="E203">
        <v>2142.8000000000002</v>
      </c>
      <c r="F203" s="19">
        <f t="shared" si="65"/>
        <v>3248.1000000000004</v>
      </c>
      <c r="G203" s="19">
        <f t="shared" si="66"/>
        <v>2463.4</v>
      </c>
      <c r="H203" s="24">
        <f t="shared" si="67"/>
        <v>31.854347649590011</v>
      </c>
      <c r="I203">
        <v>82</v>
      </c>
    </row>
    <row r="204" spans="1:9" x14ac:dyDescent="0.25">
      <c r="A204" s="10">
        <f t="shared" si="2"/>
        <v>40262</v>
      </c>
      <c r="B204">
        <v>634.79999999999995</v>
      </c>
      <c r="C204">
        <v>246.4</v>
      </c>
      <c r="D204">
        <v>2646.2</v>
      </c>
      <c r="E204">
        <v>2226.4</v>
      </c>
      <c r="F204" s="19">
        <f t="shared" si="65"/>
        <v>3281</v>
      </c>
      <c r="G204" s="19">
        <f t="shared" si="66"/>
        <v>2472.8000000000002</v>
      </c>
      <c r="H204" s="24">
        <f t="shared" si="67"/>
        <v>32.683597541248787</v>
      </c>
      <c r="I204">
        <v>106</v>
      </c>
    </row>
    <row r="205" spans="1:9" x14ac:dyDescent="0.25">
      <c r="A205" s="10">
        <f t="shared" si="2"/>
        <v>40269</v>
      </c>
      <c r="B205">
        <v>561</v>
      </c>
      <c r="C205">
        <v>305.2</v>
      </c>
      <c r="D205">
        <v>2725.7</v>
      </c>
      <c r="E205">
        <v>2259.6</v>
      </c>
      <c r="F205" s="19">
        <f t="shared" si="65"/>
        <v>3286.7</v>
      </c>
      <c r="G205" s="19">
        <f t="shared" si="66"/>
        <v>2564.7999999999997</v>
      </c>
      <c r="H205" s="24">
        <f t="shared" si="67"/>
        <v>28.146444167186523</v>
      </c>
      <c r="I205">
        <v>316</v>
      </c>
    </row>
    <row r="206" spans="1:9" x14ac:dyDescent="0.25">
      <c r="A206" s="10">
        <f t="shared" si="2"/>
        <v>40276</v>
      </c>
      <c r="B206">
        <v>527.29999999999995</v>
      </c>
      <c r="C206">
        <v>228.5</v>
      </c>
      <c r="D206">
        <v>2791</v>
      </c>
      <c r="E206">
        <v>2361.6</v>
      </c>
      <c r="F206" s="19">
        <f t="shared" si="65"/>
        <v>3318.3</v>
      </c>
      <c r="G206" s="19">
        <f t="shared" si="66"/>
        <v>2590.1</v>
      </c>
      <c r="H206" s="24">
        <f t="shared" si="67"/>
        <v>28.114744604455446</v>
      </c>
      <c r="I206">
        <v>316</v>
      </c>
    </row>
    <row r="207" spans="1:9" x14ac:dyDescent="0.25">
      <c r="A207" s="10">
        <f t="shared" si="2"/>
        <v>40283</v>
      </c>
      <c r="B207">
        <v>541.29999999999995</v>
      </c>
      <c r="C207">
        <v>318.5</v>
      </c>
      <c r="D207">
        <v>2815.5</v>
      </c>
      <c r="E207">
        <v>2361.6</v>
      </c>
      <c r="F207" s="19">
        <f t="shared" si="65"/>
        <v>3356.8</v>
      </c>
      <c r="G207" s="19">
        <f t="shared" si="66"/>
        <v>2680.1</v>
      </c>
      <c r="H207" s="24">
        <f t="shared" si="67"/>
        <v>25.24905787097498</v>
      </c>
      <c r="I207">
        <v>316</v>
      </c>
    </row>
    <row r="208" spans="1:9" x14ac:dyDescent="0.25">
      <c r="A208" s="10">
        <f t="shared" si="2"/>
        <v>40290</v>
      </c>
      <c r="B208">
        <v>559.6</v>
      </c>
      <c r="C208">
        <v>293.39999999999998</v>
      </c>
      <c r="D208">
        <v>2844.8</v>
      </c>
      <c r="E208">
        <v>2386.8000000000002</v>
      </c>
      <c r="F208" s="19">
        <f t="shared" si="65"/>
        <v>3404.4</v>
      </c>
      <c r="G208" s="19">
        <f t="shared" si="66"/>
        <v>2680.2000000000003</v>
      </c>
      <c r="H208" s="24">
        <f t="shared" si="67"/>
        <v>27.020371614058636</v>
      </c>
      <c r="I208">
        <v>341</v>
      </c>
    </row>
    <row r="209" spans="1:9" x14ac:dyDescent="0.25">
      <c r="A209" s="10">
        <f t="shared" si="2"/>
        <v>40297</v>
      </c>
      <c r="B209">
        <v>442.7</v>
      </c>
      <c r="C209">
        <v>246.4</v>
      </c>
      <c r="D209">
        <v>2960.1</v>
      </c>
      <c r="E209">
        <v>2433.6999999999998</v>
      </c>
      <c r="F209" s="19">
        <f t="shared" si="65"/>
        <v>3402.7999999999997</v>
      </c>
      <c r="G209" s="19">
        <f t="shared" si="66"/>
        <v>2680.1</v>
      </c>
      <c r="H209" s="24">
        <f t="shared" si="67"/>
        <v>26.965411738367973</v>
      </c>
      <c r="I209">
        <v>391</v>
      </c>
    </row>
    <row r="210" spans="1:9" x14ac:dyDescent="0.25">
      <c r="A210" s="10">
        <f t="shared" si="2"/>
        <v>40304</v>
      </c>
      <c r="B210">
        <v>432.9</v>
      </c>
      <c r="C210">
        <v>230.8</v>
      </c>
      <c r="D210">
        <v>3018.6</v>
      </c>
      <c r="E210">
        <v>2474.4</v>
      </c>
      <c r="F210" s="19">
        <f t="shared" si="65"/>
        <v>3451.5</v>
      </c>
      <c r="G210" s="19">
        <f t="shared" si="66"/>
        <v>2705.2000000000003</v>
      </c>
      <c r="H210" s="24">
        <f t="shared" si="67"/>
        <v>27.587609049238495</v>
      </c>
      <c r="I210">
        <v>391</v>
      </c>
    </row>
    <row r="211" spans="1:9" x14ac:dyDescent="0.25">
      <c r="A211" s="10">
        <f t="shared" si="2"/>
        <v>40311</v>
      </c>
      <c r="B211">
        <v>391.9</v>
      </c>
      <c r="C211">
        <v>287</v>
      </c>
      <c r="D211">
        <v>3059.6</v>
      </c>
      <c r="E211">
        <v>2474.4</v>
      </c>
      <c r="F211" s="19">
        <f t="shared" si="65"/>
        <v>3451.5</v>
      </c>
      <c r="G211" s="19">
        <f t="shared" si="66"/>
        <v>2761.4</v>
      </c>
      <c r="H211" s="24">
        <f t="shared" si="67"/>
        <v>24.990946621279054</v>
      </c>
      <c r="I211">
        <v>391</v>
      </c>
    </row>
    <row r="212" spans="1:9" x14ac:dyDescent="0.25">
      <c r="A212" s="10">
        <f t="shared" si="2"/>
        <v>40318</v>
      </c>
      <c r="B212">
        <v>376.1</v>
      </c>
      <c r="C212">
        <v>179.5</v>
      </c>
      <c r="D212">
        <v>3130.4</v>
      </c>
      <c r="E212">
        <v>2599.1</v>
      </c>
      <c r="F212" s="19">
        <f t="shared" si="65"/>
        <v>3506.5</v>
      </c>
      <c r="G212" s="19">
        <f t="shared" si="66"/>
        <v>2778.6</v>
      </c>
      <c r="H212" s="24">
        <f t="shared" si="67"/>
        <v>26.196645792845331</v>
      </c>
      <c r="I212">
        <v>416</v>
      </c>
    </row>
    <row r="213" spans="1:9" x14ac:dyDescent="0.25">
      <c r="A213" s="10">
        <f t="shared" si="2"/>
        <v>40325</v>
      </c>
      <c r="B213">
        <v>309.3</v>
      </c>
      <c r="C213">
        <v>164.9</v>
      </c>
      <c r="D213">
        <v>3192.1</v>
      </c>
      <c r="E213">
        <v>2624.6</v>
      </c>
      <c r="F213" s="19">
        <f t="shared" si="65"/>
        <v>3501.4</v>
      </c>
      <c r="G213" s="19">
        <f t="shared" si="66"/>
        <v>2789.5</v>
      </c>
      <c r="H213" s="24">
        <f t="shared" si="67"/>
        <v>25.520702634880799</v>
      </c>
    </row>
    <row r="214" spans="1:9" x14ac:dyDescent="0.25">
      <c r="A214" s="10">
        <f t="shared" si="2"/>
        <v>40332</v>
      </c>
      <c r="B214">
        <v>661.5</v>
      </c>
      <c r="C214">
        <v>272.60000000000002</v>
      </c>
      <c r="D214">
        <v>60.4</v>
      </c>
      <c r="E214">
        <v>49.9</v>
      </c>
      <c r="F214" s="19">
        <f t="shared" si="65"/>
        <v>721.9</v>
      </c>
      <c r="G214" s="19">
        <f t="shared" si="66"/>
        <v>322.5</v>
      </c>
      <c r="H214" s="24">
        <f t="shared" si="67"/>
        <v>123.84496124031008</v>
      </c>
    </row>
    <row r="215" spans="1:9" x14ac:dyDescent="0.25">
      <c r="A215" s="10">
        <f t="shared" si="2"/>
        <v>40339</v>
      </c>
      <c r="B215">
        <v>687.9</v>
      </c>
      <c r="C215">
        <v>273.3</v>
      </c>
      <c r="D215">
        <v>127.9</v>
      </c>
      <c r="E215">
        <v>95.2</v>
      </c>
      <c r="F215" s="19">
        <f t="shared" si="65"/>
        <v>815.8</v>
      </c>
      <c r="G215" s="19">
        <f t="shared" si="66"/>
        <v>368.5</v>
      </c>
      <c r="H215" s="24">
        <f t="shared" si="67"/>
        <v>121.38398914518316</v>
      </c>
    </row>
    <row r="216" spans="1:9" x14ac:dyDescent="0.25">
      <c r="A216" s="10">
        <f t="shared" si="2"/>
        <v>40346</v>
      </c>
      <c r="B216">
        <v>735.4</v>
      </c>
      <c r="C216">
        <v>313.8</v>
      </c>
      <c r="D216">
        <v>127.9</v>
      </c>
      <c r="E216">
        <v>182.4</v>
      </c>
      <c r="F216" s="19">
        <f t="shared" si="65"/>
        <v>863.3</v>
      </c>
      <c r="G216" s="19">
        <f t="shared" si="66"/>
        <v>496.20000000000005</v>
      </c>
      <c r="H216" s="24">
        <f t="shared" si="67"/>
        <v>73.982265215638819</v>
      </c>
    </row>
    <row r="217" spans="1:9" x14ac:dyDescent="0.25">
      <c r="A217" s="10">
        <f t="shared" si="2"/>
        <v>40353</v>
      </c>
      <c r="B217">
        <v>710.7</v>
      </c>
      <c r="C217">
        <v>315.89999999999998</v>
      </c>
      <c r="D217">
        <v>164.6</v>
      </c>
      <c r="E217">
        <v>221.4</v>
      </c>
      <c r="F217" s="19">
        <f t="shared" si="65"/>
        <v>875.30000000000007</v>
      </c>
      <c r="G217" s="19">
        <f t="shared" si="66"/>
        <v>537.29999999999995</v>
      </c>
      <c r="H217" s="24">
        <f t="shared" si="67"/>
        <v>62.907128233761433</v>
      </c>
    </row>
    <row r="218" spans="1:9" x14ac:dyDescent="0.25">
      <c r="A218" s="10">
        <f t="shared" si="2"/>
        <v>40360</v>
      </c>
      <c r="B218">
        <v>623.70000000000005</v>
      </c>
      <c r="C218">
        <v>300.5</v>
      </c>
      <c r="D218">
        <v>291.89999999999998</v>
      </c>
      <c r="E218">
        <v>288.60000000000002</v>
      </c>
      <c r="F218" s="19">
        <f t="shared" si="65"/>
        <v>915.6</v>
      </c>
      <c r="G218" s="19">
        <f t="shared" si="66"/>
        <v>589.1</v>
      </c>
      <c r="H218" s="24">
        <f t="shared" si="67"/>
        <v>55.423527414700381</v>
      </c>
    </row>
    <row r="219" spans="1:9" x14ac:dyDescent="0.25">
      <c r="A219" s="10">
        <f t="shared" si="2"/>
        <v>40367</v>
      </c>
      <c r="B219">
        <v>658.7</v>
      </c>
      <c r="C219">
        <v>497.3</v>
      </c>
      <c r="D219">
        <v>351.1</v>
      </c>
      <c r="E219">
        <v>335.4</v>
      </c>
      <c r="F219" s="19">
        <f t="shared" si="65"/>
        <v>1009.8000000000001</v>
      </c>
      <c r="G219" s="19">
        <f t="shared" si="66"/>
        <v>832.7</v>
      </c>
      <c r="H219" s="24">
        <f t="shared" si="67"/>
        <v>21.268163804491415</v>
      </c>
    </row>
    <row r="220" spans="1:9" x14ac:dyDescent="0.25">
      <c r="A220" s="10">
        <f t="shared" si="2"/>
        <v>40374</v>
      </c>
      <c r="B220">
        <v>596.70000000000005</v>
      </c>
      <c r="C220">
        <v>488.4</v>
      </c>
      <c r="D220">
        <v>461.1</v>
      </c>
      <c r="E220">
        <v>422</v>
      </c>
      <c r="F220" s="19">
        <f t="shared" ref="F220:F251" si="68">+B220+D220</f>
        <v>1057.8000000000002</v>
      </c>
      <c r="G220" s="19">
        <f t="shared" ref="G220:G251" si="69">+C220+E220</f>
        <v>910.4</v>
      </c>
      <c r="H220" s="24">
        <f t="shared" si="67"/>
        <v>16.190685413005301</v>
      </c>
    </row>
    <row r="221" spans="1:9" x14ac:dyDescent="0.25">
      <c r="A221" s="10">
        <f t="shared" si="2"/>
        <v>40381</v>
      </c>
      <c r="B221">
        <v>640.6</v>
      </c>
      <c r="C221">
        <v>429.8</v>
      </c>
      <c r="D221">
        <v>539.20000000000005</v>
      </c>
      <c r="E221">
        <v>485.8</v>
      </c>
      <c r="F221" s="19">
        <f t="shared" si="68"/>
        <v>1179.8000000000002</v>
      </c>
      <c r="G221" s="19">
        <f t="shared" si="69"/>
        <v>915.6</v>
      </c>
      <c r="H221" s="24">
        <f t="shared" si="67"/>
        <v>28.855395369156845</v>
      </c>
    </row>
    <row r="222" spans="1:9" x14ac:dyDescent="0.25">
      <c r="A222" s="10">
        <f t="shared" si="2"/>
        <v>40388</v>
      </c>
      <c r="B222">
        <v>567.4</v>
      </c>
      <c r="C222">
        <v>461</v>
      </c>
      <c r="D222">
        <v>628.4</v>
      </c>
      <c r="E222">
        <v>557.1</v>
      </c>
      <c r="F222" s="19">
        <f t="shared" si="68"/>
        <v>1195.8</v>
      </c>
      <c r="G222" s="19">
        <f t="shared" si="69"/>
        <v>1018.1</v>
      </c>
      <c r="H222" s="24">
        <f t="shared" si="67"/>
        <v>17.454081131519494</v>
      </c>
    </row>
    <row r="223" spans="1:9" x14ac:dyDescent="0.25">
      <c r="A223" s="10">
        <f t="shared" si="2"/>
        <v>40395</v>
      </c>
      <c r="B223">
        <v>644.9</v>
      </c>
      <c r="C223">
        <v>473</v>
      </c>
      <c r="D223">
        <v>636.20000000000005</v>
      </c>
      <c r="E223">
        <v>612.6</v>
      </c>
      <c r="F223" s="19">
        <f t="shared" si="68"/>
        <v>1281.0999999999999</v>
      </c>
      <c r="G223" s="19">
        <f t="shared" si="69"/>
        <v>1085.5999999999999</v>
      </c>
      <c r="H223" s="24">
        <f t="shared" si="67"/>
        <v>18.008474576271194</v>
      </c>
    </row>
    <row r="224" spans="1:9" x14ac:dyDescent="0.25">
      <c r="A224" s="10">
        <f t="shared" si="2"/>
        <v>40402</v>
      </c>
      <c r="B224">
        <v>605.79999999999995</v>
      </c>
      <c r="C224">
        <v>428.9</v>
      </c>
      <c r="D224">
        <v>689.1</v>
      </c>
      <c r="E224">
        <v>656.7</v>
      </c>
      <c r="F224" s="19">
        <f t="shared" si="68"/>
        <v>1294.9000000000001</v>
      </c>
      <c r="G224" s="19">
        <f t="shared" si="69"/>
        <v>1085.5999999999999</v>
      </c>
      <c r="H224" s="24">
        <f t="shared" ref="H224:H255" si="70">+(F224/G224-1)*100</f>
        <v>19.279661016949177</v>
      </c>
    </row>
    <row r="225" spans="1:8" x14ac:dyDescent="0.25">
      <c r="A225" s="10">
        <f t="shared" si="2"/>
        <v>40409</v>
      </c>
      <c r="B225">
        <v>539.70000000000005</v>
      </c>
      <c r="C225">
        <v>549.4</v>
      </c>
      <c r="D225">
        <v>779.9</v>
      </c>
      <c r="E225">
        <v>758.7</v>
      </c>
      <c r="F225" s="19">
        <f t="shared" si="68"/>
        <v>1319.6</v>
      </c>
      <c r="G225" s="19">
        <f t="shared" si="69"/>
        <v>1308.0999999999999</v>
      </c>
      <c r="H225" s="24">
        <f t="shared" si="70"/>
        <v>0.87913768060545738</v>
      </c>
    </row>
    <row r="226" spans="1:8" x14ac:dyDescent="0.25">
      <c r="A226" s="10">
        <f t="shared" si="2"/>
        <v>40416</v>
      </c>
      <c r="B226">
        <v>607.9</v>
      </c>
      <c r="C226">
        <v>507.2</v>
      </c>
      <c r="D226">
        <v>883.4</v>
      </c>
      <c r="E226">
        <v>819.8</v>
      </c>
      <c r="F226" s="19">
        <f t="shared" si="68"/>
        <v>1491.3</v>
      </c>
      <c r="G226" s="19">
        <f t="shared" si="69"/>
        <v>1327</v>
      </c>
      <c r="H226" s="24">
        <f t="shared" si="70"/>
        <v>12.381311228334591</v>
      </c>
    </row>
    <row r="227" spans="1:8" x14ac:dyDescent="0.25">
      <c r="A227" s="10">
        <f t="shared" si="2"/>
        <v>40423</v>
      </c>
      <c r="B227">
        <v>570.9</v>
      </c>
      <c r="C227">
        <v>463</v>
      </c>
      <c r="D227">
        <v>935.7</v>
      </c>
      <c r="E227">
        <v>905.6</v>
      </c>
      <c r="F227" s="19">
        <f t="shared" si="68"/>
        <v>1506.6</v>
      </c>
      <c r="G227" s="19">
        <f t="shared" si="69"/>
        <v>1368.6</v>
      </c>
      <c r="H227" s="24">
        <f t="shared" si="70"/>
        <v>10.083296799649277</v>
      </c>
    </row>
    <row r="228" spans="1:8" x14ac:dyDescent="0.25">
      <c r="A228" s="10">
        <f t="shared" si="2"/>
        <v>40430</v>
      </c>
      <c r="B228">
        <v>512</v>
      </c>
      <c r="C228">
        <v>461.5</v>
      </c>
      <c r="D228">
        <v>999.4</v>
      </c>
      <c r="E228">
        <v>939.5</v>
      </c>
      <c r="F228" s="19">
        <f t="shared" si="68"/>
        <v>1511.4</v>
      </c>
      <c r="G228" s="19">
        <f t="shared" si="69"/>
        <v>1401</v>
      </c>
      <c r="H228" s="24">
        <f t="shared" si="70"/>
        <v>7.8800856531049401</v>
      </c>
    </row>
    <row r="229" spans="1:8" x14ac:dyDescent="0.25">
      <c r="A229" s="10">
        <f t="shared" si="2"/>
        <v>40437</v>
      </c>
      <c r="B229">
        <v>485.8</v>
      </c>
      <c r="C229">
        <v>489</v>
      </c>
      <c r="D229">
        <v>1112.5999999999999</v>
      </c>
      <c r="E229">
        <v>986.2</v>
      </c>
      <c r="F229" s="19">
        <f t="shared" si="68"/>
        <v>1598.3999999999999</v>
      </c>
      <c r="G229" s="19">
        <f t="shared" si="69"/>
        <v>1475.2</v>
      </c>
      <c r="H229" s="24">
        <f t="shared" si="70"/>
        <v>8.3514099783080109</v>
      </c>
    </row>
    <row r="230" spans="1:8" x14ac:dyDescent="0.25">
      <c r="A230" s="10">
        <f t="shared" si="2"/>
        <v>40444</v>
      </c>
      <c r="B230">
        <v>449.3</v>
      </c>
      <c r="C230">
        <v>506.4</v>
      </c>
      <c r="D230">
        <v>1130</v>
      </c>
      <c r="E230">
        <v>1031.9000000000001</v>
      </c>
      <c r="F230" s="19">
        <f t="shared" si="68"/>
        <v>1579.3</v>
      </c>
      <c r="G230" s="19">
        <f t="shared" si="69"/>
        <v>1538.3000000000002</v>
      </c>
      <c r="H230" s="24">
        <f t="shared" si="70"/>
        <v>2.6652798543846945</v>
      </c>
    </row>
    <row r="231" spans="1:8" x14ac:dyDescent="0.25">
      <c r="A231" s="10">
        <f t="shared" si="2"/>
        <v>40451</v>
      </c>
      <c r="B231">
        <v>451.1</v>
      </c>
      <c r="C231">
        <v>559.70000000000005</v>
      </c>
      <c r="D231">
        <v>1241.7</v>
      </c>
      <c r="E231">
        <v>1137.7</v>
      </c>
      <c r="F231" s="19">
        <f t="shared" si="68"/>
        <v>1692.8000000000002</v>
      </c>
      <c r="G231" s="19">
        <f t="shared" si="69"/>
        <v>1697.4</v>
      </c>
      <c r="H231" s="24">
        <f t="shared" si="70"/>
        <v>-0.27100271002709064</v>
      </c>
    </row>
    <row r="232" spans="1:8" x14ac:dyDescent="0.25">
      <c r="A232" s="10">
        <f t="shared" si="2"/>
        <v>40458</v>
      </c>
      <c r="B232">
        <v>397.7</v>
      </c>
      <c r="C232">
        <v>494.8</v>
      </c>
      <c r="D232">
        <v>1319.4</v>
      </c>
      <c r="E232">
        <v>1241.2</v>
      </c>
      <c r="F232" s="19">
        <f t="shared" si="68"/>
        <v>1717.1000000000001</v>
      </c>
      <c r="G232" s="19">
        <f t="shared" si="69"/>
        <v>1736</v>
      </c>
      <c r="H232" s="24">
        <f t="shared" si="70"/>
        <v>-1.0887096774193417</v>
      </c>
    </row>
    <row r="233" spans="1:8" x14ac:dyDescent="0.25">
      <c r="A233" s="10">
        <f t="shared" si="2"/>
        <v>40465</v>
      </c>
      <c r="B233">
        <v>489.2</v>
      </c>
      <c r="C233">
        <v>433.3</v>
      </c>
      <c r="D233">
        <v>1365.2</v>
      </c>
      <c r="E233">
        <v>1276.7</v>
      </c>
      <c r="F233" s="19">
        <f t="shared" si="68"/>
        <v>1854.4</v>
      </c>
      <c r="G233" s="19">
        <f t="shared" si="69"/>
        <v>1710</v>
      </c>
      <c r="H233" s="24">
        <f t="shared" si="70"/>
        <v>8.4444444444444535</v>
      </c>
    </row>
    <row r="234" spans="1:8" x14ac:dyDescent="0.25">
      <c r="A234" s="10">
        <f t="shared" si="2"/>
        <v>40472</v>
      </c>
      <c r="B234">
        <v>464.2</v>
      </c>
      <c r="C234">
        <v>405.9</v>
      </c>
      <c r="D234">
        <v>1412.5</v>
      </c>
      <c r="E234">
        <v>1348</v>
      </c>
      <c r="F234" s="19">
        <f t="shared" si="68"/>
        <v>1876.7</v>
      </c>
      <c r="G234" s="19">
        <f t="shared" si="69"/>
        <v>1753.9</v>
      </c>
      <c r="H234" s="24">
        <f t="shared" si="70"/>
        <v>7.0015394264211217</v>
      </c>
    </row>
    <row r="235" spans="1:8" x14ac:dyDescent="0.25">
      <c r="A235" s="10">
        <f t="shared" si="2"/>
        <v>40479</v>
      </c>
      <c r="B235">
        <v>443.2</v>
      </c>
      <c r="C235">
        <v>430.9</v>
      </c>
      <c r="D235">
        <v>1480.5</v>
      </c>
      <c r="E235">
        <v>1354.1</v>
      </c>
      <c r="F235" s="19">
        <f t="shared" si="68"/>
        <v>1923.7</v>
      </c>
      <c r="G235" s="19">
        <f t="shared" si="69"/>
        <v>1785</v>
      </c>
      <c r="H235" s="24">
        <f t="shared" si="70"/>
        <v>7.7703081232493032</v>
      </c>
    </row>
    <row r="236" spans="1:8" x14ac:dyDescent="0.25">
      <c r="A236" s="10">
        <f t="shared" si="2"/>
        <v>40486</v>
      </c>
      <c r="B236">
        <v>424.7</v>
      </c>
      <c r="C236">
        <v>442.3</v>
      </c>
      <c r="D236">
        <v>1507</v>
      </c>
      <c r="E236">
        <v>1396.9</v>
      </c>
      <c r="F236" s="19">
        <f t="shared" si="68"/>
        <v>1931.7</v>
      </c>
      <c r="G236" s="19">
        <f t="shared" si="69"/>
        <v>1839.2</v>
      </c>
      <c r="H236" s="24">
        <f t="shared" si="70"/>
        <v>5.029360591561538</v>
      </c>
    </row>
    <row r="237" spans="1:8" x14ac:dyDescent="0.25">
      <c r="A237" s="10">
        <f t="shared" si="2"/>
        <v>40493</v>
      </c>
      <c r="B237">
        <v>394.6</v>
      </c>
      <c r="C237">
        <v>418.5</v>
      </c>
      <c r="D237">
        <v>1622.9</v>
      </c>
      <c r="E237">
        <v>1504.2</v>
      </c>
      <c r="F237" s="19">
        <f t="shared" si="68"/>
        <v>2017.5</v>
      </c>
      <c r="G237" s="19">
        <f t="shared" si="69"/>
        <v>1922.7</v>
      </c>
      <c r="H237" s="24">
        <f t="shared" si="70"/>
        <v>4.9305663910126363</v>
      </c>
    </row>
    <row r="238" spans="1:8" x14ac:dyDescent="0.25">
      <c r="A238" s="10">
        <f t="shared" si="2"/>
        <v>40500</v>
      </c>
      <c r="B238">
        <v>410.6</v>
      </c>
      <c r="C238">
        <v>393.2</v>
      </c>
      <c r="D238">
        <v>1657.3</v>
      </c>
      <c r="E238">
        <v>1563.2</v>
      </c>
      <c r="F238" s="19">
        <f t="shared" si="68"/>
        <v>2067.9</v>
      </c>
      <c r="G238" s="19">
        <f t="shared" si="69"/>
        <v>1956.4</v>
      </c>
      <c r="H238" s="24">
        <f t="shared" si="70"/>
        <v>5.6992435084849635</v>
      </c>
    </row>
    <row r="239" spans="1:8" x14ac:dyDescent="0.25">
      <c r="A239" s="10">
        <f t="shared" si="2"/>
        <v>40507</v>
      </c>
      <c r="B239">
        <v>360.6</v>
      </c>
      <c r="C239">
        <v>418</v>
      </c>
      <c r="D239">
        <v>1705.7</v>
      </c>
      <c r="E239">
        <v>1594.3</v>
      </c>
      <c r="F239" s="19">
        <f t="shared" si="68"/>
        <v>2066.3000000000002</v>
      </c>
      <c r="G239" s="19">
        <f t="shared" si="69"/>
        <v>2012.3</v>
      </c>
      <c r="H239" s="24">
        <f t="shared" si="70"/>
        <v>2.6834964965462449</v>
      </c>
    </row>
    <row r="240" spans="1:8" x14ac:dyDescent="0.25">
      <c r="A240" s="10">
        <f t="shared" si="2"/>
        <v>40514</v>
      </c>
      <c r="B240">
        <v>374</v>
      </c>
      <c r="C240">
        <v>462.4</v>
      </c>
      <c r="D240">
        <v>1805.5</v>
      </c>
      <c r="E240">
        <v>1648.3</v>
      </c>
      <c r="F240" s="19">
        <f t="shared" si="68"/>
        <v>2179.5</v>
      </c>
      <c r="G240" s="19">
        <f t="shared" si="69"/>
        <v>2110.6999999999998</v>
      </c>
      <c r="H240" s="24">
        <f t="shared" si="70"/>
        <v>3.2595821291514726</v>
      </c>
    </row>
    <row r="241" spans="1:9" x14ac:dyDescent="0.25">
      <c r="A241" s="10">
        <f t="shared" si="2"/>
        <v>40521</v>
      </c>
      <c r="B241">
        <v>389.1</v>
      </c>
      <c r="C241">
        <v>512.4</v>
      </c>
      <c r="D241">
        <v>1830.4</v>
      </c>
      <c r="E241">
        <v>1664.3</v>
      </c>
      <c r="F241" s="19">
        <f t="shared" si="68"/>
        <v>2219.5</v>
      </c>
      <c r="G241" s="19">
        <f t="shared" si="69"/>
        <v>2176.6999999999998</v>
      </c>
      <c r="H241" s="24">
        <f t="shared" si="70"/>
        <v>1.9662792300271237</v>
      </c>
    </row>
    <row r="242" spans="1:9" x14ac:dyDescent="0.25">
      <c r="A242" s="10">
        <f t="shared" si="2"/>
        <v>40528</v>
      </c>
      <c r="B242">
        <v>354.1</v>
      </c>
      <c r="C242">
        <v>449.2</v>
      </c>
      <c r="D242">
        <v>1864.4</v>
      </c>
      <c r="E242">
        <v>1755.4</v>
      </c>
      <c r="F242" s="19">
        <f t="shared" si="68"/>
        <v>2218.5</v>
      </c>
      <c r="G242" s="19">
        <f t="shared" si="69"/>
        <v>2204.6</v>
      </c>
      <c r="H242" s="24">
        <f t="shared" si="70"/>
        <v>0.63049986392089696</v>
      </c>
    </row>
    <row r="243" spans="1:9" x14ac:dyDescent="0.25">
      <c r="A243" s="10">
        <f t="shared" si="2"/>
        <v>40535</v>
      </c>
      <c r="B243">
        <v>385.4</v>
      </c>
      <c r="C243">
        <v>449.2</v>
      </c>
      <c r="D243">
        <v>1930.2</v>
      </c>
      <c r="E243">
        <v>1755.4</v>
      </c>
      <c r="F243" s="19">
        <f t="shared" si="68"/>
        <v>2315.6</v>
      </c>
      <c r="G243" s="19">
        <f t="shared" si="69"/>
        <v>2204.6</v>
      </c>
      <c r="H243" s="24">
        <f t="shared" si="70"/>
        <v>5.0349269708790612</v>
      </c>
    </row>
    <row r="244" spans="1:9" x14ac:dyDescent="0.25">
      <c r="A244" s="10">
        <f t="shared" si="2"/>
        <v>40542</v>
      </c>
      <c r="B244">
        <v>380.5</v>
      </c>
      <c r="C244">
        <v>381.9</v>
      </c>
      <c r="D244">
        <v>2006</v>
      </c>
      <c r="E244">
        <v>1857.6</v>
      </c>
      <c r="F244" s="19">
        <f t="shared" si="68"/>
        <v>2386.5</v>
      </c>
      <c r="G244" s="19">
        <f t="shared" si="69"/>
        <v>2239.5</v>
      </c>
      <c r="H244" s="24">
        <f t="shared" si="70"/>
        <v>6.5639651707970481</v>
      </c>
    </row>
    <row r="245" spans="1:9" x14ac:dyDescent="0.25">
      <c r="A245" s="10">
        <f t="shared" si="2"/>
        <v>40549</v>
      </c>
      <c r="B245">
        <v>380.5</v>
      </c>
      <c r="C245">
        <v>440.9</v>
      </c>
      <c r="D245">
        <v>2006</v>
      </c>
      <c r="E245">
        <v>1889.3</v>
      </c>
      <c r="F245" s="19">
        <f t="shared" si="68"/>
        <v>2386.5</v>
      </c>
      <c r="G245" s="19">
        <f t="shared" si="69"/>
        <v>2330.1999999999998</v>
      </c>
      <c r="H245" s="24">
        <f t="shared" si="70"/>
        <v>2.4161016221783571</v>
      </c>
    </row>
    <row r="246" spans="1:9" x14ac:dyDescent="0.25">
      <c r="A246" s="10">
        <f t="shared" si="2"/>
        <v>40556</v>
      </c>
      <c r="B246">
        <v>418</v>
      </c>
      <c r="C246">
        <v>510.8</v>
      </c>
      <c r="D246">
        <v>2077.3000000000002</v>
      </c>
      <c r="E246">
        <v>1926.5</v>
      </c>
      <c r="F246" s="19">
        <f t="shared" si="68"/>
        <v>2495.3000000000002</v>
      </c>
      <c r="G246" s="19">
        <f t="shared" si="69"/>
        <v>2437.3000000000002</v>
      </c>
      <c r="H246" s="24">
        <f t="shared" si="70"/>
        <v>2.379682435481878</v>
      </c>
    </row>
    <row r="247" spans="1:9" x14ac:dyDescent="0.25">
      <c r="A247" s="10">
        <f t="shared" si="2"/>
        <v>40563</v>
      </c>
      <c r="B247">
        <v>436.6</v>
      </c>
      <c r="C247">
        <v>573.5</v>
      </c>
      <c r="D247">
        <v>2119.1999999999998</v>
      </c>
      <c r="E247">
        <v>1976.7</v>
      </c>
      <c r="F247" s="19">
        <f t="shared" si="68"/>
        <v>2555.7999999999997</v>
      </c>
      <c r="G247" s="19">
        <f t="shared" si="69"/>
        <v>2550.1999999999998</v>
      </c>
      <c r="H247" s="24">
        <f t="shared" si="70"/>
        <v>0.21959062034349053</v>
      </c>
    </row>
    <row r="248" spans="1:9" x14ac:dyDescent="0.25">
      <c r="A248" s="10">
        <f t="shared" si="2"/>
        <v>40570</v>
      </c>
      <c r="B248">
        <v>432.3</v>
      </c>
      <c r="C248">
        <v>540.5</v>
      </c>
      <c r="D248">
        <v>2143.1</v>
      </c>
      <c r="E248">
        <v>2028.5</v>
      </c>
      <c r="F248" s="19">
        <f t="shared" si="68"/>
        <v>2575.4</v>
      </c>
      <c r="G248" s="19">
        <f t="shared" si="69"/>
        <v>2569</v>
      </c>
      <c r="H248" s="24">
        <f t="shared" si="70"/>
        <v>0.24912417282989541</v>
      </c>
    </row>
    <row r="249" spans="1:9" x14ac:dyDescent="0.25">
      <c r="A249" s="10">
        <f t="shared" si="2"/>
        <v>40577</v>
      </c>
      <c r="B249">
        <v>329.3</v>
      </c>
      <c r="C249">
        <v>535.70000000000005</v>
      </c>
      <c r="D249">
        <v>2336.3000000000002</v>
      </c>
      <c r="E249">
        <v>2096.4</v>
      </c>
      <c r="F249" s="19">
        <f t="shared" si="68"/>
        <v>2665.6000000000004</v>
      </c>
      <c r="G249" s="19">
        <f t="shared" si="69"/>
        <v>2632.1000000000004</v>
      </c>
      <c r="H249" s="24">
        <f t="shared" si="70"/>
        <v>1.2727479958968058</v>
      </c>
    </row>
    <row r="250" spans="1:9" x14ac:dyDescent="0.25">
      <c r="A250" s="10">
        <f t="shared" si="2"/>
        <v>40584</v>
      </c>
      <c r="B250">
        <v>378.2</v>
      </c>
      <c r="C250">
        <v>610.20000000000005</v>
      </c>
      <c r="D250">
        <v>2408.1999999999998</v>
      </c>
      <c r="E250">
        <v>2184.9</v>
      </c>
      <c r="F250" s="19">
        <f t="shared" si="68"/>
        <v>2786.3999999999996</v>
      </c>
      <c r="G250" s="19">
        <f t="shared" si="69"/>
        <v>2795.1000000000004</v>
      </c>
      <c r="H250" s="24">
        <f t="shared" si="70"/>
        <v>-0.3112589889449624</v>
      </c>
    </row>
    <row r="251" spans="1:9" x14ac:dyDescent="0.25">
      <c r="A251" s="10">
        <f t="shared" si="2"/>
        <v>40591</v>
      </c>
      <c r="B251">
        <v>383.1</v>
      </c>
      <c r="C251">
        <v>704</v>
      </c>
      <c r="D251">
        <v>2458.4</v>
      </c>
      <c r="E251">
        <v>2297.4</v>
      </c>
      <c r="F251" s="19">
        <f t="shared" si="68"/>
        <v>2841.5</v>
      </c>
      <c r="G251" s="19">
        <f t="shared" si="69"/>
        <v>3001.4</v>
      </c>
      <c r="H251" s="24">
        <f t="shared" si="70"/>
        <v>-5.327513826880792</v>
      </c>
    </row>
    <row r="252" spans="1:9" x14ac:dyDescent="0.25">
      <c r="A252" s="10">
        <f t="shared" si="2"/>
        <v>40598</v>
      </c>
      <c r="B252">
        <v>472.9</v>
      </c>
      <c r="C252">
        <v>684.2</v>
      </c>
      <c r="D252">
        <v>2502.5</v>
      </c>
      <c r="E252">
        <v>2338</v>
      </c>
      <c r="F252" s="19">
        <f t="shared" ref="F252:F265" si="71">+B252+D252</f>
        <v>2975.4</v>
      </c>
      <c r="G252" s="19">
        <f t="shared" ref="G252:G265" si="72">+C252+E252</f>
        <v>3022.2</v>
      </c>
      <c r="H252" s="24">
        <f t="shared" si="70"/>
        <v>-1.5485407980941002</v>
      </c>
    </row>
    <row r="253" spans="1:9" x14ac:dyDescent="0.25">
      <c r="A253" s="10">
        <f t="shared" ref="A253:A316" si="73">+A252+7</f>
        <v>40605</v>
      </c>
      <c r="B253">
        <v>428.9</v>
      </c>
      <c r="C253">
        <v>763.3</v>
      </c>
      <c r="D253">
        <v>2558.5</v>
      </c>
      <c r="E253">
        <v>2389.8000000000002</v>
      </c>
      <c r="F253" s="19">
        <f t="shared" si="71"/>
        <v>2987.4</v>
      </c>
      <c r="G253" s="19">
        <f t="shared" si="72"/>
        <v>3153.1000000000004</v>
      </c>
      <c r="H253" s="24">
        <f t="shared" si="70"/>
        <v>-5.2551457295994535</v>
      </c>
    </row>
    <row r="254" spans="1:9" x14ac:dyDescent="0.25">
      <c r="A254" s="10">
        <f t="shared" si="73"/>
        <v>40612</v>
      </c>
      <c r="B254">
        <v>416</v>
      </c>
      <c r="C254">
        <v>664.7</v>
      </c>
      <c r="D254">
        <v>2605.8000000000002</v>
      </c>
      <c r="E254">
        <v>2487.6999999999998</v>
      </c>
      <c r="F254" s="19">
        <f t="shared" si="71"/>
        <v>3021.8</v>
      </c>
      <c r="G254" s="19">
        <f t="shared" si="72"/>
        <v>3152.3999999999996</v>
      </c>
      <c r="H254" s="24">
        <f t="shared" si="70"/>
        <v>-4.1428752696358151</v>
      </c>
    </row>
    <row r="255" spans="1:9" x14ac:dyDescent="0.25">
      <c r="A255" s="10">
        <f t="shared" si="73"/>
        <v>40619</v>
      </c>
      <c r="B255">
        <v>423.9</v>
      </c>
      <c r="C255">
        <v>694.7</v>
      </c>
      <c r="D255">
        <v>2748</v>
      </c>
      <c r="E255">
        <v>2553.4</v>
      </c>
      <c r="F255" s="19">
        <f t="shared" si="71"/>
        <v>3171.9</v>
      </c>
      <c r="G255" s="19">
        <f t="shared" si="72"/>
        <v>3248.1000000000004</v>
      </c>
      <c r="H255" s="24">
        <f t="shared" si="70"/>
        <v>-2.3459868846402609</v>
      </c>
      <c r="I255">
        <v>165</v>
      </c>
    </row>
    <row r="256" spans="1:9" x14ac:dyDescent="0.25">
      <c r="A256" s="10">
        <f t="shared" si="73"/>
        <v>40626</v>
      </c>
      <c r="B256">
        <v>515</v>
      </c>
      <c r="C256">
        <v>634.79999999999995</v>
      </c>
      <c r="D256">
        <v>2843.2</v>
      </c>
      <c r="E256">
        <v>2646.2</v>
      </c>
      <c r="F256" s="19">
        <f t="shared" si="71"/>
        <v>3358.2</v>
      </c>
      <c r="G256" s="19">
        <f t="shared" si="72"/>
        <v>3281</v>
      </c>
      <c r="H256" s="24">
        <f t="shared" ref="H256:H265" si="74">+(F256/G256-1)*100</f>
        <v>2.3529411764705799</v>
      </c>
      <c r="I256">
        <v>165</v>
      </c>
    </row>
    <row r="257" spans="1:9" x14ac:dyDescent="0.25">
      <c r="A257" s="10">
        <f t="shared" si="73"/>
        <v>40633</v>
      </c>
      <c r="B257">
        <v>542.29999999999995</v>
      </c>
      <c r="C257">
        <v>561</v>
      </c>
      <c r="D257">
        <v>2923.8</v>
      </c>
      <c r="E257">
        <v>2725.7</v>
      </c>
      <c r="F257" s="19">
        <f t="shared" si="71"/>
        <v>3466.1000000000004</v>
      </c>
      <c r="G257" s="19">
        <f t="shared" si="72"/>
        <v>3286.7</v>
      </c>
      <c r="H257" s="24">
        <f t="shared" si="74"/>
        <v>5.4583624912526441</v>
      </c>
      <c r="I257">
        <v>165</v>
      </c>
    </row>
    <row r="258" spans="1:9" x14ac:dyDescent="0.25">
      <c r="A258" s="10">
        <f t="shared" si="73"/>
        <v>40640</v>
      </c>
      <c r="B258">
        <v>460.4</v>
      </c>
      <c r="C258">
        <v>527.29999999999995</v>
      </c>
      <c r="D258">
        <v>3056.5</v>
      </c>
      <c r="E258">
        <v>2791</v>
      </c>
      <c r="F258" s="19">
        <f t="shared" si="71"/>
        <v>3516.9</v>
      </c>
      <c r="G258" s="19">
        <f t="shared" si="72"/>
        <v>3318.3</v>
      </c>
      <c r="H258" s="24">
        <f t="shared" si="74"/>
        <v>5.9849923153421969</v>
      </c>
      <c r="I258">
        <v>165</v>
      </c>
    </row>
    <row r="259" spans="1:9" x14ac:dyDescent="0.25">
      <c r="A259" s="10">
        <f t="shared" si="73"/>
        <v>40647</v>
      </c>
      <c r="B259">
        <v>400.3</v>
      </c>
      <c r="C259">
        <v>541.29999999999995</v>
      </c>
      <c r="D259">
        <v>3189.4</v>
      </c>
      <c r="E259">
        <v>2815.5</v>
      </c>
      <c r="F259" s="19">
        <f t="shared" si="71"/>
        <v>3589.7000000000003</v>
      </c>
      <c r="G259" s="19">
        <f t="shared" si="72"/>
        <v>3356.8</v>
      </c>
      <c r="H259" s="24">
        <f t="shared" si="74"/>
        <v>6.9381553860819789</v>
      </c>
      <c r="I259">
        <v>165</v>
      </c>
    </row>
    <row r="260" spans="1:9" x14ac:dyDescent="0.25">
      <c r="A260" s="10">
        <f t="shared" si="73"/>
        <v>40654</v>
      </c>
      <c r="B260">
        <v>420.3</v>
      </c>
      <c r="C260">
        <v>559.6</v>
      </c>
      <c r="D260">
        <v>3210.4</v>
      </c>
      <c r="E260">
        <v>2844.8</v>
      </c>
      <c r="F260" s="19">
        <f t="shared" si="71"/>
        <v>3630.7000000000003</v>
      </c>
      <c r="G260" s="19">
        <f t="shared" si="72"/>
        <v>3404.4</v>
      </c>
      <c r="H260" s="24">
        <f t="shared" si="74"/>
        <v>6.6472799906003965</v>
      </c>
      <c r="I260">
        <v>165</v>
      </c>
    </row>
    <row r="261" spans="1:9" x14ac:dyDescent="0.25">
      <c r="A261" s="10">
        <f t="shared" si="73"/>
        <v>40661</v>
      </c>
      <c r="B261">
        <v>380.3</v>
      </c>
      <c r="C261">
        <v>442.7</v>
      </c>
      <c r="D261">
        <v>3254.4</v>
      </c>
      <c r="E261">
        <v>2960.1</v>
      </c>
      <c r="F261" s="19">
        <f t="shared" si="71"/>
        <v>3634.7000000000003</v>
      </c>
      <c r="G261" s="19">
        <f t="shared" si="72"/>
        <v>3402.7999999999997</v>
      </c>
      <c r="H261" s="24">
        <f t="shared" si="74"/>
        <v>6.814975902198217</v>
      </c>
      <c r="I261">
        <v>165</v>
      </c>
    </row>
    <row r="262" spans="1:9" x14ac:dyDescent="0.25">
      <c r="A262" s="10">
        <f t="shared" si="73"/>
        <v>40668</v>
      </c>
      <c r="B262">
        <v>323.2</v>
      </c>
      <c r="C262">
        <v>432.9</v>
      </c>
      <c r="D262">
        <v>3358.5</v>
      </c>
      <c r="E262">
        <v>3018.6</v>
      </c>
      <c r="F262" s="19">
        <f t="shared" si="71"/>
        <v>3681.7</v>
      </c>
      <c r="G262" s="19">
        <f t="shared" si="72"/>
        <v>3451.5</v>
      </c>
      <c r="H262" s="24">
        <f t="shared" si="74"/>
        <v>6.6695639576995536</v>
      </c>
      <c r="I262">
        <v>240</v>
      </c>
    </row>
    <row r="263" spans="1:9" x14ac:dyDescent="0.25">
      <c r="A263" s="10">
        <f t="shared" si="73"/>
        <v>40675</v>
      </c>
      <c r="B263">
        <v>385.8</v>
      </c>
      <c r="C263">
        <v>391.9</v>
      </c>
      <c r="D263">
        <v>3435.9</v>
      </c>
      <c r="E263">
        <v>3059.6</v>
      </c>
      <c r="F263" s="19">
        <f t="shared" si="71"/>
        <v>3821.7000000000003</v>
      </c>
      <c r="G263" s="19">
        <f t="shared" si="72"/>
        <v>3451.5</v>
      </c>
      <c r="H263" s="24">
        <f t="shared" si="74"/>
        <v>10.725771403737516</v>
      </c>
      <c r="I263">
        <v>240</v>
      </c>
    </row>
    <row r="264" spans="1:9" x14ac:dyDescent="0.25">
      <c r="A264" s="10">
        <f t="shared" si="73"/>
        <v>40682</v>
      </c>
      <c r="B264">
        <v>299.8</v>
      </c>
      <c r="C264">
        <v>376.1</v>
      </c>
      <c r="D264">
        <v>3515.2</v>
      </c>
      <c r="E264">
        <v>3130.4</v>
      </c>
      <c r="F264" s="19">
        <f t="shared" si="71"/>
        <v>3815</v>
      </c>
      <c r="G264" s="19">
        <f t="shared" si="72"/>
        <v>3506.5</v>
      </c>
      <c r="H264" s="24">
        <f t="shared" si="74"/>
        <v>8.7979466704691376</v>
      </c>
      <c r="I264">
        <v>320</v>
      </c>
    </row>
    <row r="265" spans="1:9" x14ac:dyDescent="0.25">
      <c r="A265" s="10">
        <f t="shared" si="73"/>
        <v>40689</v>
      </c>
      <c r="B265">
        <v>222.9</v>
      </c>
      <c r="C265">
        <v>309.3</v>
      </c>
      <c r="D265">
        <v>3645.3</v>
      </c>
      <c r="E265">
        <v>3192.1</v>
      </c>
      <c r="F265" s="19">
        <f t="shared" si="71"/>
        <v>3868.2000000000003</v>
      </c>
      <c r="G265" s="19">
        <f t="shared" si="72"/>
        <v>3501.4</v>
      </c>
      <c r="H265" s="24">
        <f t="shared" si="74"/>
        <v>10.475809676129554</v>
      </c>
      <c r="I265">
        <v>338</v>
      </c>
    </row>
    <row r="266" spans="1:9" x14ac:dyDescent="0.25">
      <c r="A266" s="10">
        <f t="shared" si="73"/>
        <v>40696</v>
      </c>
      <c r="B266">
        <v>592.5</v>
      </c>
      <c r="C266">
        <v>661.5</v>
      </c>
      <c r="D266">
        <v>27.9</v>
      </c>
      <c r="E266">
        <v>60.4</v>
      </c>
      <c r="F266" s="19">
        <f t="shared" ref="F266:F274" si="75">+B266+D266</f>
        <v>620.4</v>
      </c>
      <c r="G266" s="19">
        <f t="shared" ref="G266:G274" si="76">+C266+E266</f>
        <v>721.9</v>
      </c>
      <c r="H266" s="24">
        <f t="shared" ref="H266:H274" si="77">+(F266/G266-1)*100</f>
        <v>-14.060119130073423</v>
      </c>
    </row>
    <row r="267" spans="1:9" x14ac:dyDescent="0.25">
      <c r="A267" s="10">
        <f t="shared" si="73"/>
        <v>40703</v>
      </c>
      <c r="B267">
        <v>590.29999999999995</v>
      </c>
      <c r="C267">
        <v>687.9</v>
      </c>
      <c r="D267">
        <v>104.2</v>
      </c>
      <c r="E267">
        <v>127.9</v>
      </c>
      <c r="F267" s="19">
        <f t="shared" si="75"/>
        <v>694.5</v>
      </c>
      <c r="G267" s="19">
        <f t="shared" si="76"/>
        <v>815.8</v>
      </c>
      <c r="H267" s="24">
        <f t="shared" si="77"/>
        <v>-14.868840402059325</v>
      </c>
    </row>
    <row r="268" spans="1:9" x14ac:dyDescent="0.25">
      <c r="A268" s="10">
        <f t="shared" si="73"/>
        <v>40710</v>
      </c>
      <c r="B268">
        <v>618.1</v>
      </c>
      <c r="C268">
        <v>735.4</v>
      </c>
      <c r="D268">
        <v>203.7</v>
      </c>
      <c r="E268">
        <v>127.9</v>
      </c>
      <c r="F268" s="19">
        <f t="shared" si="75"/>
        <v>821.8</v>
      </c>
      <c r="G268" s="19">
        <f t="shared" si="76"/>
        <v>863.3</v>
      </c>
      <c r="H268" s="24">
        <f t="shared" si="77"/>
        <v>-4.8071354106336113</v>
      </c>
    </row>
    <row r="269" spans="1:9" x14ac:dyDescent="0.25">
      <c r="A269" s="10">
        <f t="shared" si="73"/>
        <v>40717</v>
      </c>
      <c r="B269">
        <v>591</v>
      </c>
      <c r="C269">
        <v>710.7</v>
      </c>
      <c r="D269">
        <v>279</v>
      </c>
      <c r="E269">
        <v>164.6</v>
      </c>
      <c r="F269" s="19">
        <f t="shared" si="75"/>
        <v>870</v>
      </c>
      <c r="G269" s="19">
        <f t="shared" si="76"/>
        <v>875.30000000000007</v>
      </c>
      <c r="H269" s="24">
        <f t="shared" si="77"/>
        <v>-0.60550668342282954</v>
      </c>
    </row>
    <row r="270" spans="1:9" x14ac:dyDescent="0.25">
      <c r="A270" s="10">
        <f t="shared" si="73"/>
        <v>40724</v>
      </c>
      <c r="B270">
        <v>546.5</v>
      </c>
      <c r="C270">
        <v>623.70000000000005</v>
      </c>
      <c r="D270">
        <v>388.3</v>
      </c>
      <c r="E270">
        <v>291.89999999999998</v>
      </c>
      <c r="F270" s="19">
        <f t="shared" si="75"/>
        <v>934.8</v>
      </c>
      <c r="G270" s="19">
        <f t="shared" si="76"/>
        <v>915.6</v>
      </c>
      <c r="H270" s="24">
        <f t="shared" si="77"/>
        <v>2.0969855832241091</v>
      </c>
    </row>
    <row r="271" spans="1:9" x14ac:dyDescent="0.25">
      <c r="A271" s="10">
        <f t="shared" si="73"/>
        <v>40731</v>
      </c>
      <c r="B271">
        <v>596.9</v>
      </c>
      <c r="C271">
        <v>658.7</v>
      </c>
      <c r="D271">
        <v>439.5</v>
      </c>
      <c r="E271">
        <v>351.1</v>
      </c>
      <c r="F271" s="19">
        <f t="shared" si="75"/>
        <v>1036.4000000000001</v>
      </c>
      <c r="G271" s="19">
        <f t="shared" si="76"/>
        <v>1009.8000000000001</v>
      </c>
      <c r="H271" s="24">
        <f t="shared" si="77"/>
        <v>2.6341849871261758</v>
      </c>
    </row>
    <row r="272" spans="1:9" x14ac:dyDescent="0.25">
      <c r="A272" s="10">
        <f t="shared" si="73"/>
        <v>40738</v>
      </c>
      <c r="B272">
        <v>486.4</v>
      </c>
      <c r="C272">
        <v>596.70000000000005</v>
      </c>
      <c r="D272">
        <v>584.5</v>
      </c>
      <c r="E272">
        <v>461.1</v>
      </c>
      <c r="F272" s="19">
        <f t="shared" si="75"/>
        <v>1070.9000000000001</v>
      </c>
      <c r="G272" s="19">
        <f t="shared" si="76"/>
        <v>1057.8000000000002</v>
      </c>
      <c r="H272" s="24">
        <f t="shared" si="77"/>
        <v>1.2384193609377814</v>
      </c>
    </row>
    <row r="273" spans="1:10" x14ac:dyDescent="0.25">
      <c r="A273" s="10">
        <f t="shared" si="73"/>
        <v>40745</v>
      </c>
      <c r="B273">
        <v>495.2</v>
      </c>
      <c r="C273">
        <v>640.6</v>
      </c>
      <c r="D273">
        <v>610.70000000000005</v>
      </c>
      <c r="E273">
        <v>539.20000000000005</v>
      </c>
      <c r="F273" s="19">
        <f t="shared" si="75"/>
        <v>1105.9000000000001</v>
      </c>
      <c r="G273" s="19">
        <f t="shared" si="76"/>
        <v>1179.8000000000002</v>
      </c>
      <c r="H273" s="24">
        <f t="shared" si="77"/>
        <v>-6.2637735209357555</v>
      </c>
    </row>
    <row r="274" spans="1:10" x14ac:dyDescent="0.25">
      <c r="A274" s="10">
        <f t="shared" si="73"/>
        <v>40752</v>
      </c>
      <c r="B274">
        <v>516.1</v>
      </c>
      <c r="C274">
        <v>567.4</v>
      </c>
      <c r="D274">
        <v>649.6</v>
      </c>
      <c r="E274">
        <v>628.4</v>
      </c>
      <c r="F274" s="19">
        <f t="shared" si="75"/>
        <v>1165.7</v>
      </c>
      <c r="G274" s="19">
        <f t="shared" si="76"/>
        <v>1195.8</v>
      </c>
      <c r="H274" s="24">
        <f t="shared" si="77"/>
        <v>-2.5171433350058448</v>
      </c>
    </row>
    <row r="275" spans="1:10" x14ac:dyDescent="0.25">
      <c r="A275" s="10">
        <f t="shared" si="73"/>
        <v>40759</v>
      </c>
      <c r="B275">
        <v>387.6</v>
      </c>
      <c r="C275">
        <v>644.9</v>
      </c>
      <c r="D275">
        <v>835.3</v>
      </c>
      <c r="E275">
        <v>636.20000000000005</v>
      </c>
      <c r="F275" s="19">
        <f t="shared" ref="F275:F303" si="78">+B275+D275</f>
        <v>1222.9000000000001</v>
      </c>
      <c r="G275" s="19">
        <f t="shared" ref="G275:G303" si="79">+C275+E275</f>
        <v>1281.0999999999999</v>
      </c>
      <c r="H275" s="24">
        <f t="shared" ref="H275:H303" si="80">+(F275/G275-1)*100</f>
        <v>-4.5429708843962135</v>
      </c>
    </row>
    <row r="276" spans="1:10" x14ac:dyDescent="0.25">
      <c r="A276" s="10">
        <f t="shared" si="73"/>
        <v>40766</v>
      </c>
      <c r="B276">
        <v>397.6</v>
      </c>
      <c r="C276">
        <v>605.79999999999995</v>
      </c>
      <c r="D276">
        <v>888.7</v>
      </c>
      <c r="E276">
        <v>689.1</v>
      </c>
      <c r="F276" s="19">
        <f t="shared" si="78"/>
        <v>1286.3000000000002</v>
      </c>
      <c r="G276" s="19">
        <f t="shared" si="79"/>
        <v>1294.9000000000001</v>
      </c>
      <c r="H276" s="24">
        <f t="shared" si="80"/>
        <v>-0.66414394933971277</v>
      </c>
    </row>
    <row r="277" spans="1:10" x14ac:dyDescent="0.25">
      <c r="A277" s="10">
        <f t="shared" si="73"/>
        <v>40773</v>
      </c>
      <c r="B277">
        <v>379.2</v>
      </c>
      <c r="C277">
        <v>539.70000000000005</v>
      </c>
      <c r="D277">
        <v>925.1</v>
      </c>
      <c r="E277">
        <v>779.9</v>
      </c>
      <c r="F277" s="19">
        <f t="shared" si="78"/>
        <v>1304.3</v>
      </c>
      <c r="G277" s="19">
        <f t="shared" si="79"/>
        <v>1319.6</v>
      </c>
      <c r="H277" s="24">
        <f t="shared" si="80"/>
        <v>-1.1594422552288486</v>
      </c>
    </row>
    <row r="278" spans="1:10" x14ac:dyDescent="0.25">
      <c r="A278" s="10">
        <f t="shared" si="73"/>
        <v>40780</v>
      </c>
      <c r="B278">
        <v>350.1</v>
      </c>
      <c r="C278">
        <v>607.9</v>
      </c>
      <c r="D278">
        <v>987.2</v>
      </c>
      <c r="E278">
        <v>883.4</v>
      </c>
      <c r="F278" s="19">
        <f t="shared" si="78"/>
        <v>1337.3000000000002</v>
      </c>
      <c r="G278" s="19">
        <f t="shared" si="79"/>
        <v>1491.3</v>
      </c>
      <c r="H278" s="24">
        <f t="shared" si="80"/>
        <v>-10.326560718835898</v>
      </c>
    </row>
    <row r="279" spans="1:10" x14ac:dyDescent="0.25">
      <c r="A279" s="10">
        <f t="shared" si="73"/>
        <v>40787</v>
      </c>
      <c r="B279">
        <v>368.3</v>
      </c>
      <c r="C279">
        <v>570.9</v>
      </c>
      <c r="D279">
        <v>1015.6</v>
      </c>
      <c r="E279">
        <v>935.7</v>
      </c>
      <c r="F279" s="19">
        <f t="shared" si="78"/>
        <v>1383.9</v>
      </c>
      <c r="G279" s="19">
        <f t="shared" si="79"/>
        <v>1506.6</v>
      </c>
      <c r="H279" s="24">
        <f t="shared" si="80"/>
        <v>-8.1441656710473769</v>
      </c>
    </row>
    <row r="280" spans="1:10" x14ac:dyDescent="0.25">
      <c r="A280" s="10">
        <f t="shared" si="73"/>
        <v>40794</v>
      </c>
      <c r="B280">
        <v>332.6</v>
      </c>
      <c r="C280">
        <v>512</v>
      </c>
      <c r="D280">
        <v>1078.4000000000001</v>
      </c>
      <c r="E280">
        <v>999.4</v>
      </c>
      <c r="F280" s="19">
        <f t="shared" si="78"/>
        <v>1411</v>
      </c>
      <c r="G280" s="19">
        <f t="shared" si="79"/>
        <v>1511.4</v>
      </c>
      <c r="H280" s="24">
        <f t="shared" si="80"/>
        <v>-6.6428476908826362</v>
      </c>
    </row>
    <row r="281" spans="1:10" x14ac:dyDescent="0.25">
      <c r="A281" s="10">
        <f t="shared" si="73"/>
        <v>40801</v>
      </c>
      <c r="B281">
        <v>403.7</v>
      </c>
      <c r="C281">
        <v>485.8</v>
      </c>
      <c r="D281">
        <v>1215.8</v>
      </c>
      <c r="E281">
        <v>1112.5999999999999</v>
      </c>
      <c r="F281" s="19">
        <f t="shared" si="78"/>
        <v>1619.5</v>
      </c>
      <c r="G281" s="19">
        <f t="shared" si="79"/>
        <v>1598.3999999999999</v>
      </c>
      <c r="H281" s="24">
        <f t="shared" si="80"/>
        <v>1.3200700700700896</v>
      </c>
    </row>
    <row r="282" spans="1:10" x14ac:dyDescent="0.25">
      <c r="A282" s="10">
        <f t="shared" si="73"/>
        <v>40808</v>
      </c>
      <c r="B282">
        <v>462.7</v>
      </c>
      <c r="C282">
        <v>449.3</v>
      </c>
      <c r="D282">
        <v>1239.3</v>
      </c>
      <c r="E282">
        <v>1130</v>
      </c>
      <c r="F282" s="19">
        <f t="shared" si="78"/>
        <v>1702</v>
      </c>
      <c r="G282" s="19">
        <f t="shared" si="79"/>
        <v>1579.3</v>
      </c>
      <c r="H282" s="24">
        <f t="shared" si="80"/>
        <v>7.7692648641803252</v>
      </c>
      <c r="I282" s="80"/>
      <c r="J282" s="80"/>
    </row>
    <row r="283" spans="1:10" x14ac:dyDescent="0.25">
      <c r="A283" s="10">
        <f t="shared" si="73"/>
        <v>40815</v>
      </c>
      <c r="B283">
        <v>371.5</v>
      </c>
      <c r="C283">
        <v>451.1</v>
      </c>
      <c r="D283">
        <v>1291.5</v>
      </c>
      <c r="E283">
        <v>1241.7</v>
      </c>
      <c r="F283" s="19">
        <f t="shared" si="78"/>
        <v>1663</v>
      </c>
      <c r="G283" s="19">
        <f t="shared" si="79"/>
        <v>1692.8000000000002</v>
      </c>
      <c r="H283" s="24">
        <f t="shared" si="80"/>
        <v>-1.7603969754253379</v>
      </c>
    </row>
    <row r="284" spans="1:10" x14ac:dyDescent="0.25">
      <c r="A284" s="10">
        <f t="shared" si="73"/>
        <v>40822</v>
      </c>
      <c r="B284">
        <v>365.4</v>
      </c>
      <c r="C284">
        <v>397.7</v>
      </c>
      <c r="D284">
        <v>1344.8</v>
      </c>
      <c r="E284">
        <v>1319.4</v>
      </c>
      <c r="F284" s="19">
        <f t="shared" si="78"/>
        <v>1710.1999999999998</v>
      </c>
      <c r="G284" s="19">
        <f t="shared" si="79"/>
        <v>1717.1000000000001</v>
      </c>
      <c r="H284" s="24">
        <f t="shared" si="80"/>
        <v>-0.40184031215423355</v>
      </c>
    </row>
    <row r="285" spans="1:10" x14ac:dyDescent="0.25">
      <c r="A285" s="10">
        <f t="shared" si="73"/>
        <v>40829</v>
      </c>
      <c r="B285" s="17">
        <v>343</v>
      </c>
      <c r="C285" s="17">
        <v>489.2</v>
      </c>
      <c r="D285" s="17">
        <v>1373.1</v>
      </c>
      <c r="E285" s="17">
        <v>1365.2</v>
      </c>
      <c r="F285" s="19">
        <f t="shared" si="78"/>
        <v>1716.1</v>
      </c>
      <c r="G285" s="19">
        <f t="shared" si="79"/>
        <v>1854.4</v>
      </c>
      <c r="H285" s="24">
        <f t="shared" si="80"/>
        <v>-7.4579378774805916</v>
      </c>
      <c r="I285" s="80"/>
    </row>
    <row r="286" spans="1:10" x14ac:dyDescent="0.25">
      <c r="A286" s="10">
        <f t="shared" si="73"/>
        <v>40836</v>
      </c>
      <c r="B286">
        <v>344.9</v>
      </c>
      <c r="C286">
        <v>464.2</v>
      </c>
      <c r="D286">
        <v>1381.3</v>
      </c>
      <c r="E286">
        <v>1412.5</v>
      </c>
      <c r="F286" s="19">
        <f t="shared" si="78"/>
        <v>1726.1999999999998</v>
      </c>
      <c r="G286" s="19">
        <f t="shared" si="79"/>
        <v>1876.7</v>
      </c>
      <c r="H286" s="24">
        <f t="shared" si="80"/>
        <v>-8.0193957478552846</v>
      </c>
    </row>
    <row r="287" spans="1:10" x14ac:dyDescent="0.25">
      <c r="A287" s="10">
        <f t="shared" si="73"/>
        <v>40843</v>
      </c>
      <c r="B287">
        <v>374.5</v>
      </c>
      <c r="C287">
        <v>443.2</v>
      </c>
      <c r="D287">
        <v>1456.8</v>
      </c>
      <c r="E287">
        <v>1480.5</v>
      </c>
      <c r="F287" s="19">
        <f t="shared" si="78"/>
        <v>1831.3</v>
      </c>
      <c r="G287" s="19">
        <f t="shared" si="79"/>
        <v>1923.7</v>
      </c>
      <c r="H287" s="24">
        <f t="shared" si="80"/>
        <v>-4.803243749025321</v>
      </c>
    </row>
    <row r="288" spans="1:10" x14ac:dyDescent="0.25">
      <c r="A288" s="10">
        <f t="shared" si="73"/>
        <v>40850</v>
      </c>
      <c r="B288" s="17">
        <v>352</v>
      </c>
      <c r="C288">
        <v>424.7</v>
      </c>
      <c r="D288">
        <v>1531.1</v>
      </c>
      <c r="E288">
        <v>1507</v>
      </c>
      <c r="F288" s="19">
        <f t="shared" si="78"/>
        <v>1883.1</v>
      </c>
      <c r="G288" s="19">
        <f t="shared" si="79"/>
        <v>1931.7</v>
      </c>
      <c r="H288" s="24">
        <f t="shared" si="80"/>
        <v>-2.5159186209038786</v>
      </c>
    </row>
    <row r="289" spans="1:8" x14ac:dyDescent="0.25">
      <c r="A289" s="10">
        <f t="shared" si="73"/>
        <v>40857</v>
      </c>
      <c r="B289">
        <v>358.3</v>
      </c>
      <c r="C289">
        <v>394.6</v>
      </c>
      <c r="D289">
        <v>1588.5</v>
      </c>
      <c r="E289">
        <v>1622.9</v>
      </c>
      <c r="F289" s="19">
        <f t="shared" si="78"/>
        <v>1946.8</v>
      </c>
      <c r="G289" s="19">
        <f t="shared" si="79"/>
        <v>2017.5</v>
      </c>
      <c r="H289" s="24">
        <f t="shared" si="80"/>
        <v>-3.5043370508054505</v>
      </c>
    </row>
    <row r="290" spans="1:8" x14ac:dyDescent="0.25">
      <c r="A290" s="10">
        <f t="shared" si="73"/>
        <v>40864</v>
      </c>
      <c r="B290">
        <v>359.4</v>
      </c>
      <c r="C290">
        <v>410.6</v>
      </c>
      <c r="D290">
        <v>1612.4</v>
      </c>
      <c r="E290">
        <v>1657.3</v>
      </c>
      <c r="F290" s="19">
        <f t="shared" si="78"/>
        <v>1971.8000000000002</v>
      </c>
      <c r="G290" s="19">
        <f t="shared" si="79"/>
        <v>2067.9</v>
      </c>
      <c r="H290" s="24">
        <f t="shared" si="80"/>
        <v>-4.6472266550606882</v>
      </c>
    </row>
    <row r="291" spans="1:8" x14ac:dyDescent="0.25">
      <c r="A291" s="10">
        <f t="shared" si="73"/>
        <v>40871</v>
      </c>
      <c r="B291">
        <v>354.8</v>
      </c>
      <c r="C291">
        <v>360.6</v>
      </c>
      <c r="D291">
        <v>1686.8</v>
      </c>
      <c r="E291">
        <v>1750.7</v>
      </c>
      <c r="F291" s="19">
        <f t="shared" si="78"/>
        <v>2041.6</v>
      </c>
      <c r="G291" s="19">
        <f t="shared" si="79"/>
        <v>2111.3000000000002</v>
      </c>
      <c r="H291" s="24">
        <f t="shared" si="80"/>
        <v>-3.3012835693648546</v>
      </c>
    </row>
    <row r="292" spans="1:8" x14ac:dyDescent="0.25">
      <c r="A292" s="10">
        <f t="shared" si="73"/>
        <v>40878</v>
      </c>
      <c r="B292">
        <v>428.5</v>
      </c>
      <c r="C292" s="17">
        <v>374</v>
      </c>
      <c r="D292">
        <v>1711.1</v>
      </c>
      <c r="E292">
        <v>1805.5</v>
      </c>
      <c r="F292" s="19">
        <f t="shared" si="78"/>
        <v>2139.6</v>
      </c>
      <c r="G292" s="19">
        <f t="shared" si="79"/>
        <v>2179.5</v>
      </c>
      <c r="H292" s="24">
        <f t="shared" si="80"/>
        <v>-1.8306951135581562</v>
      </c>
    </row>
    <row r="293" spans="1:8" x14ac:dyDescent="0.25">
      <c r="A293" s="10">
        <f t="shared" si="73"/>
        <v>40885</v>
      </c>
      <c r="B293">
        <v>363.3</v>
      </c>
      <c r="C293">
        <v>389.1</v>
      </c>
      <c r="D293">
        <v>1789.3</v>
      </c>
      <c r="E293">
        <v>1830.5</v>
      </c>
      <c r="F293" s="19">
        <f t="shared" si="78"/>
        <v>2152.6</v>
      </c>
      <c r="G293" s="19">
        <f t="shared" si="79"/>
        <v>2219.6</v>
      </c>
      <c r="H293" s="24">
        <f t="shared" si="80"/>
        <v>-3.0185619030455912</v>
      </c>
    </row>
    <row r="294" spans="1:8" x14ac:dyDescent="0.25">
      <c r="A294" s="10">
        <f t="shared" si="73"/>
        <v>40892</v>
      </c>
      <c r="B294">
        <v>389.3</v>
      </c>
      <c r="C294">
        <v>354.1</v>
      </c>
      <c r="D294">
        <v>1815.9</v>
      </c>
      <c r="E294">
        <v>1864.5</v>
      </c>
      <c r="F294" s="19">
        <f t="shared" si="78"/>
        <v>2205.2000000000003</v>
      </c>
      <c r="G294" s="19">
        <f t="shared" si="79"/>
        <v>2218.6</v>
      </c>
      <c r="H294" s="24">
        <f t="shared" si="80"/>
        <v>-0.60398449472638394</v>
      </c>
    </row>
    <row r="295" spans="1:8" x14ac:dyDescent="0.25">
      <c r="A295" s="10">
        <f t="shared" si="73"/>
        <v>40899</v>
      </c>
      <c r="B295">
        <v>430.5</v>
      </c>
      <c r="C295">
        <v>385.4</v>
      </c>
      <c r="D295">
        <v>1917.4</v>
      </c>
      <c r="E295">
        <v>1930.2</v>
      </c>
      <c r="F295" s="19">
        <f t="shared" si="78"/>
        <v>2347.9</v>
      </c>
      <c r="G295" s="19">
        <f t="shared" si="79"/>
        <v>2315.6</v>
      </c>
      <c r="H295" s="24">
        <f t="shared" si="80"/>
        <v>1.3948868543790072</v>
      </c>
    </row>
    <row r="296" spans="1:8" x14ac:dyDescent="0.25">
      <c r="A296" s="10">
        <f t="shared" si="73"/>
        <v>40906</v>
      </c>
      <c r="B296">
        <v>387.1</v>
      </c>
      <c r="C296">
        <v>380.6</v>
      </c>
      <c r="D296">
        <v>1972.3</v>
      </c>
      <c r="E296">
        <v>2006</v>
      </c>
      <c r="F296" s="19">
        <f t="shared" si="78"/>
        <v>2359.4</v>
      </c>
      <c r="G296" s="19">
        <f t="shared" si="79"/>
        <v>2386.6</v>
      </c>
      <c r="H296" s="24">
        <f t="shared" si="80"/>
        <v>-1.1396966395709307</v>
      </c>
    </row>
    <row r="297" spans="1:8" x14ac:dyDescent="0.25">
      <c r="A297" s="10">
        <f t="shared" si="73"/>
        <v>40913</v>
      </c>
      <c r="B297">
        <v>358.6</v>
      </c>
      <c r="C297">
        <v>380.6</v>
      </c>
      <c r="D297">
        <v>2011.8</v>
      </c>
      <c r="E297">
        <v>2006</v>
      </c>
      <c r="F297" s="19">
        <f t="shared" si="78"/>
        <v>2370.4</v>
      </c>
      <c r="G297" s="19">
        <f t="shared" si="79"/>
        <v>2386.6</v>
      </c>
      <c r="H297" s="24">
        <f t="shared" si="80"/>
        <v>-0.67878991033267777</v>
      </c>
    </row>
    <row r="298" spans="1:8" x14ac:dyDescent="0.25">
      <c r="A298" s="10">
        <f t="shared" si="73"/>
        <v>40920</v>
      </c>
      <c r="B298">
        <v>382</v>
      </c>
      <c r="C298">
        <v>418</v>
      </c>
      <c r="D298">
        <v>2084.5</v>
      </c>
      <c r="E298">
        <v>2077.3000000000002</v>
      </c>
      <c r="F298" s="19">
        <f t="shared" si="78"/>
        <v>2466.5</v>
      </c>
      <c r="G298" s="19">
        <f t="shared" si="79"/>
        <v>2495.3000000000002</v>
      </c>
      <c r="H298" s="24">
        <f t="shared" si="80"/>
        <v>-1.1541698392978916</v>
      </c>
    </row>
    <row r="299" spans="1:8" x14ac:dyDescent="0.25">
      <c r="A299" s="10">
        <f t="shared" si="73"/>
        <v>40927</v>
      </c>
      <c r="B299">
        <v>376.3</v>
      </c>
      <c r="C299">
        <v>436.7</v>
      </c>
      <c r="D299">
        <v>2127.9</v>
      </c>
      <c r="E299">
        <v>2119.1999999999998</v>
      </c>
      <c r="F299" s="19">
        <f t="shared" si="78"/>
        <v>2504.2000000000003</v>
      </c>
      <c r="G299" s="19">
        <f t="shared" si="79"/>
        <v>2555.8999999999996</v>
      </c>
      <c r="H299" s="24">
        <f t="shared" si="80"/>
        <v>-2.022770843929711</v>
      </c>
    </row>
    <row r="300" spans="1:8" x14ac:dyDescent="0.25">
      <c r="A300" s="10">
        <f t="shared" si="73"/>
        <v>40934</v>
      </c>
      <c r="B300">
        <v>384.8</v>
      </c>
      <c r="C300">
        <v>432.3</v>
      </c>
      <c r="D300">
        <v>2225.1</v>
      </c>
      <c r="E300">
        <v>2143.1</v>
      </c>
      <c r="F300" s="19">
        <f t="shared" si="78"/>
        <v>2609.9</v>
      </c>
      <c r="G300" s="19">
        <f t="shared" si="79"/>
        <v>2575.4</v>
      </c>
      <c r="H300" s="24">
        <f t="shared" si="80"/>
        <v>1.3395977323910957</v>
      </c>
    </row>
    <row r="301" spans="1:8" x14ac:dyDescent="0.25">
      <c r="A301" s="10">
        <f t="shared" si="73"/>
        <v>40941</v>
      </c>
      <c r="B301">
        <v>370.8</v>
      </c>
      <c r="C301">
        <v>329.3</v>
      </c>
      <c r="D301">
        <v>2239.5</v>
      </c>
      <c r="E301">
        <v>2336.3000000000002</v>
      </c>
      <c r="F301" s="19">
        <f t="shared" si="78"/>
        <v>2610.3000000000002</v>
      </c>
      <c r="G301" s="19">
        <f t="shared" si="79"/>
        <v>2665.6000000000004</v>
      </c>
      <c r="H301" s="24">
        <f t="shared" si="80"/>
        <v>-2.0745798319327768</v>
      </c>
    </row>
    <row r="302" spans="1:8" x14ac:dyDescent="0.25">
      <c r="A302" s="10">
        <f t="shared" si="73"/>
        <v>40948</v>
      </c>
      <c r="B302">
        <v>341.7</v>
      </c>
      <c r="C302">
        <v>378.2</v>
      </c>
      <c r="D302">
        <v>2278.1</v>
      </c>
      <c r="E302">
        <v>2408.1999999999998</v>
      </c>
      <c r="F302" s="19">
        <f t="shared" si="78"/>
        <v>2619.7999999999997</v>
      </c>
      <c r="G302" s="19">
        <f t="shared" si="79"/>
        <v>2786.3999999999996</v>
      </c>
      <c r="H302" s="24">
        <f t="shared" si="80"/>
        <v>-5.9790410565604297</v>
      </c>
    </row>
    <row r="303" spans="1:8" x14ac:dyDescent="0.25">
      <c r="A303" s="10">
        <f t="shared" si="73"/>
        <v>40955</v>
      </c>
      <c r="B303">
        <v>310.2</v>
      </c>
      <c r="C303">
        <v>383.1</v>
      </c>
      <c r="D303">
        <v>2373.1</v>
      </c>
      <c r="E303">
        <v>2458.4</v>
      </c>
      <c r="F303" s="19">
        <f t="shared" si="78"/>
        <v>2683.2999999999997</v>
      </c>
      <c r="G303" s="19">
        <f t="shared" si="79"/>
        <v>2841.5</v>
      </c>
      <c r="H303" s="24">
        <f t="shared" si="80"/>
        <v>-5.5674819637515522</v>
      </c>
    </row>
    <row r="304" spans="1:8" x14ac:dyDescent="0.25">
      <c r="A304" s="10">
        <f t="shared" si="73"/>
        <v>40962</v>
      </c>
      <c r="B304">
        <v>296</v>
      </c>
      <c r="C304">
        <v>472.9</v>
      </c>
      <c r="D304">
        <v>2420.3000000000002</v>
      </c>
      <c r="E304">
        <v>2502.5</v>
      </c>
      <c r="F304" s="19">
        <f t="shared" ref="F304:F335" si="81">+B304+D304</f>
        <v>2716.3</v>
      </c>
      <c r="G304" s="19">
        <f t="shared" ref="G304:G335" si="82">+C304+E304</f>
        <v>2975.4</v>
      </c>
      <c r="H304" s="24">
        <f t="shared" ref="H304:H335" si="83">+(F304/G304-1)*100</f>
        <v>-8.7080728641527152</v>
      </c>
    </row>
    <row r="305" spans="1:9" x14ac:dyDescent="0.25">
      <c r="A305" s="10">
        <f t="shared" si="73"/>
        <v>40969</v>
      </c>
      <c r="B305">
        <v>348</v>
      </c>
      <c r="C305">
        <v>428.9</v>
      </c>
      <c r="D305">
        <v>2420.3000000000002</v>
      </c>
      <c r="E305">
        <v>2558.5</v>
      </c>
      <c r="F305" s="19">
        <f t="shared" si="81"/>
        <v>2768.3</v>
      </c>
      <c r="G305" s="19">
        <f t="shared" si="82"/>
        <v>2987.4</v>
      </c>
      <c r="H305" s="24">
        <f t="shared" si="83"/>
        <v>-7.3341367075048458</v>
      </c>
    </row>
    <row r="306" spans="1:9" x14ac:dyDescent="0.25">
      <c r="A306" s="10">
        <f t="shared" si="73"/>
        <v>40976</v>
      </c>
      <c r="B306">
        <v>271.5</v>
      </c>
      <c r="C306">
        <v>416</v>
      </c>
      <c r="D306">
        <v>2543</v>
      </c>
      <c r="E306">
        <v>2605.8000000000002</v>
      </c>
      <c r="F306" s="19">
        <f t="shared" si="81"/>
        <v>2814.5</v>
      </c>
      <c r="G306" s="19">
        <f t="shared" si="82"/>
        <v>3021.8</v>
      </c>
      <c r="H306" s="24">
        <f t="shared" si="83"/>
        <v>-6.8601495797206979</v>
      </c>
    </row>
    <row r="307" spans="1:9" x14ac:dyDescent="0.25">
      <c r="A307" s="10">
        <f t="shared" si="73"/>
        <v>40983</v>
      </c>
      <c r="B307">
        <v>316.39999999999998</v>
      </c>
      <c r="C307">
        <v>423.9</v>
      </c>
      <c r="D307">
        <v>2609.4</v>
      </c>
      <c r="E307">
        <v>2748</v>
      </c>
      <c r="F307" s="19">
        <f t="shared" si="81"/>
        <v>2925.8</v>
      </c>
      <c r="G307" s="19">
        <f t="shared" si="82"/>
        <v>3171.9</v>
      </c>
      <c r="H307" s="24">
        <f t="shared" si="83"/>
        <v>-7.7587565812289094</v>
      </c>
    </row>
    <row r="308" spans="1:9" x14ac:dyDescent="0.25">
      <c r="A308" s="10">
        <f t="shared" si="73"/>
        <v>40990</v>
      </c>
      <c r="B308">
        <v>319.89999999999998</v>
      </c>
      <c r="C308">
        <v>515</v>
      </c>
      <c r="D308">
        <v>2670.7</v>
      </c>
      <c r="E308">
        <v>2843.2</v>
      </c>
      <c r="F308" s="19">
        <f t="shared" si="81"/>
        <v>2990.6</v>
      </c>
      <c r="G308" s="19">
        <f t="shared" si="82"/>
        <v>3358.2</v>
      </c>
      <c r="H308" s="24">
        <f t="shared" si="83"/>
        <v>-10.94634030135191</v>
      </c>
    </row>
    <row r="309" spans="1:9" x14ac:dyDescent="0.25">
      <c r="A309" s="10">
        <f t="shared" si="73"/>
        <v>40997</v>
      </c>
      <c r="B309">
        <v>263.3</v>
      </c>
      <c r="C309">
        <v>542.29999999999995</v>
      </c>
      <c r="D309">
        <v>2786.4</v>
      </c>
      <c r="E309">
        <v>2923.8</v>
      </c>
      <c r="F309" s="19">
        <f t="shared" si="81"/>
        <v>3049.7000000000003</v>
      </c>
      <c r="G309" s="19">
        <f t="shared" si="82"/>
        <v>3466.1000000000004</v>
      </c>
      <c r="H309" s="24">
        <f t="shared" si="83"/>
        <v>-12.013502207091541</v>
      </c>
    </row>
    <row r="310" spans="1:9" x14ac:dyDescent="0.25">
      <c r="A310" s="10">
        <f t="shared" si="73"/>
        <v>41004</v>
      </c>
      <c r="B310">
        <v>264.7</v>
      </c>
      <c r="C310">
        <v>460.4</v>
      </c>
      <c r="D310">
        <v>2832.5</v>
      </c>
      <c r="E310">
        <v>3056.5</v>
      </c>
      <c r="F310" s="19">
        <f t="shared" si="81"/>
        <v>3097.2</v>
      </c>
      <c r="G310" s="19">
        <f t="shared" si="82"/>
        <v>3516.9</v>
      </c>
      <c r="H310" s="24">
        <f t="shared" si="83"/>
        <v>-11.933805339930059</v>
      </c>
    </row>
    <row r="311" spans="1:9" x14ac:dyDescent="0.25">
      <c r="A311" s="10">
        <f t="shared" si="73"/>
        <v>41011</v>
      </c>
      <c r="B311">
        <v>266</v>
      </c>
      <c r="C311">
        <v>400.3</v>
      </c>
      <c r="D311">
        <v>2868.8</v>
      </c>
      <c r="E311">
        <v>3189.4</v>
      </c>
      <c r="F311" s="19">
        <f t="shared" si="81"/>
        <v>3134.8</v>
      </c>
      <c r="G311" s="19">
        <f t="shared" si="82"/>
        <v>3589.7000000000003</v>
      </c>
      <c r="H311" s="24">
        <f t="shared" si="83"/>
        <v>-12.672368164470571</v>
      </c>
    </row>
    <row r="312" spans="1:9" x14ac:dyDescent="0.25">
      <c r="A312" s="10">
        <f t="shared" si="73"/>
        <v>41018</v>
      </c>
      <c r="B312">
        <v>297.5</v>
      </c>
      <c r="C312">
        <v>420.3</v>
      </c>
      <c r="D312">
        <v>2868.8</v>
      </c>
      <c r="E312">
        <v>3210.4</v>
      </c>
      <c r="F312" s="19">
        <f t="shared" si="81"/>
        <v>3166.3</v>
      </c>
      <c r="G312" s="19">
        <f t="shared" si="82"/>
        <v>3630.7000000000003</v>
      </c>
      <c r="H312" s="24">
        <f t="shared" si="83"/>
        <v>-12.7909218607982</v>
      </c>
    </row>
    <row r="313" spans="1:9" x14ac:dyDescent="0.25">
      <c r="A313" s="10">
        <f t="shared" si="73"/>
        <v>41025</v>
      </c>
      <c r="B313">
        <v>194.5</v>
      </c>
      <c r="C313">
        <v>380.3</v>
      </c>
      <c r="D313">
        <v>3013.6</v>
      </c>
      <c r="E313">
        <v>3254.4</v>
      </c>
      <c r="F313" s="19">
        <f t="shared" si="81"/>
        <v>3208.1</v>
      </c>
      <c r="G313" s="19">
        <f t="shared" si="82"/>
        <v>3634.7000000000003</v>
      </c>
      <c r="H313" s="24">
        <f t="shared" si="83"/>
        <v>-11.736869617850177</v>
      </c>
    </row>
    <row r="314" spans="1:9" x14ac:dyDescent="0.25">
      <c r="A314" s="10">
        <f t="shared" si="73"/>
        <v>41032</v>
      </c>
      <c r="B314">
        <v>194.5</v>
      </c>
      <c r="C314">
        <v>323.2</v>
      </c>
      <c r="D314">
        <v>3040.6</v>
      </c>
      <c r="E314">
        <v>3358.5</v>
      </c>
      <c r="F314" s="19">
        <f t="shared" si="81"/>
        <v>3235.1</v>
      </c>
      <c r="G314" s="19">
        <f t="shared" si="82"/>
        <v>3681.7</v>
      </c>
      <c r="H314" s="24">
        <f t="shared" si="83"/>
        <v>-12.130265909769944</v>
      </c>
      <c r="I314">
        <v>112</v>
      </c>
    </row>
    <row r="315" spans="1:9" x14ac:dyDescent="0.25">
      <c r="A315" s="10">
        <f t="shared" si="73"/>
        <v>41039</v>
      </c>
      <c r="B315">
        <v>190.2</v>
      </c>
      <c r="C315">
        <v>385.8</v>
      </c>
      <c r="D315">
        <v>3114.9</v>
      </c>
      <c r="E315">
        <v>3435.9</v>
      </c>
      <c r="F315" s="19">
        <f t="shared" si="81"/>
        <v>3305.1</v>
      </c>
      <c r="G315" s="19">
        <f t="shared" si="82"/>
        <v>3821.7000000000003</v>
      </c>
      <c r="H315" s="24">
        <f t="shared" si="83"/>
        <v>-13.517544548237703</v>
      </c>
      <c r="I315">
        <v>139.5</v>
      </c>
    </row>
    <row r="316" spans="1:9" x14ac:dyDescent="0.25">
      <c r="A316" s="10">
        <f t="shared" si="73"/>
        <v>41046</v>
      </c>
      <c r="B316">
        <v>178.8</v>
      </c>
      <c r="C316">
        <v>299.8</v>
      </c>
      <c r="D316">
        <v>3168.7</v>
      </c>
      <c r="E316">
        <v>3515.2</v>
      </c>
      <c r="F316" s="19">
        <f t="shared" si="81"/>
        <v>3347.5</v>
      </c>
      <c r="G316" s="19">
        <f t="shared" si="82"/>
        <v>3815</v>
      </c>
      <c r="H316" s="24">
        <f t="shared" si="83"/>
        <v>-12.254259501965926</v>
      </c>
      <c r="I316">
        <v>139.5</v>
      </c>
    </row>
    <row r="317" spans="1:9" x14ac:dyDescent="0.25">
      <c r="A317" s="10">
        <f t="shared" ref="A317:A380" si="84">+A316+7</f>
        <v>41053</v>
      </c>
      <c r="B317">
        <v>178.8</v>
      </c>
      <c r="C317">
        <v>222.9</v>
      </c>
      <c r="D317">
        <v>3168.7</v>
      </c>
      <c r="E317">
        <v>3645.3</v>
      </c>
      <c r="F317" s="19">
        <f t="shared" si="81"/>
        <v>3347.5</v>
      </c>
      <c r="G317" s="19">
        <f t="shared" si="82"/>
        <v>3868.2000000000003</v>
      </c>
      <c r="H317" s="24">
        <f t="shared" si="83"/>
        <v>-13.46104131120418</v>
      </c>
      <c r="I317">
        <v>139.5</v>
      </c>
    </row>
    <row r="318" spans="1:9" x14ac:dyDescent="0.25">
      <c r="A318" s="10">
        <f t="shared" si="84"/>
        <v>41060</v>
      </c>
      <c r="B318">
        <v>104.4</v>
      </c>
      <c r="C318">
        <v>218.9</v>
      </c>
      <c r="D318">
        <v>3248</v>
      </c>
      <c r="E318">
        <v>3645.3</v>
      </c>
      <c r="F318" s="19">
        <f t="shared" si="81"/>
        <v>3352.4</v>
      </c>
      <c r="G318" s="19">
        <f t="shared" si="82"/>
        <v>3864.2000000000003</v>
      </c>
      <c r="H318" s="24">
        <f t="shared" si="83"/>
        <v>-13.244656073702188</v>
      </c>
      <c r="I318">
        <v>270.89999999999998</v>
      </c>
    </row>
    <row r="319" spans="1:9" x14ac:dyDescent="0.25">
      <c r="A319" s="10">
        <f t="shared" si="84"/>
        <v>41067</v>
      </c>
      <c r="B319">
        <v>259.39999999999998</v>
      </c>
      <c r="C319">
        <v>590.29999999999995</v>
      </c>
      <c r="D319">
        <v>114.9</v>
      </c>
      <c r="E319">
        <v>104.2</v>
      </c>
      <c r="F319" s="19">
        <f t="shared" si="81"/>
        <v>374.29999999999995</v>
      </c>
      <c r="G319" s="19">
        <f t="shared" si="82"/>
        <v>694.5</v>
      </c>
      <c r="H319" s="24">
        <f t="shared" si="83"/>
        <v>-46.105111591072721</v>
      </c>
    </row>
    <row r="320" spans="1:9" x14ac:dyDescent="0.25">
      <c r="A320" s="10">
        <f t="shared" si="84"/>
        <v>41074</v>
      </c>
      <c r="B320">
        <v>319.89999999999998</v>
      </c>
      <c r="C320">
        <v>618.1</v>
      </c>
      <c r="D320">
        <v>114.9</v>
      </c>
      <c r="E320">
        <v>203.7</v>
      </c>
      <c r="F320" s="19">
        <f t="shared" si="81"/>
        <v>434.79999999999995</v>
      </c>
      <c r="G320" s="19">
        <f t="shared" si="82"/>
        <v>821.8</v>
      </c>
      <c r="H320" s="24">
        <f t="shared" si="83"/>
        <v>-47.09174981747384</v>
      </c>
    </row>
    <row r="321" spans="1:9" x14ac:dyDescent="0.25">
      <c r="A321" s="10">
        <f t="shared" si="84"/>
        <v>41081</v>
      </c>
      <c r="B321">
        <v>314.39999999999998</v>
      </c>
      <c r="C321">
        <v>591</v>
      </c>
      <c r="D321">
        <v>205.5</v>
      </c>
      <c r="E321">
        <v>279</v>
      </c>
      <c r="F321" s="19">
        <f t="shared" si="81"/>
        <v>519.9</v>
      </c>
      <c r="G321" s="19">
        <f t="shared" si="82"/>
        <v>870</v>
      </c>
      <c r="H321" s="24">
        <f t="shared" si="83"/>
        <v>-40.241379310344826</v>
      </c>
    </row>
    <row r="322" spans="1:9" x14ac:dyDescent="0.25">
      <c r="A322" s="10">
        <f t="shared" si="84"/>
        <v>41088</v>
      </c>
      <c r="B322">
        <v>280.5</v>
      </c>
      <c r="C322">
        <v>546.5</v>
      </c>
      <c r="D322">
        <v>284.39999999999998</v>
      </c>
      <c r="E322">
        <v>388.3</v>
      </c>
      <c r="F322" s="19">
        <f t="shared" si="81"/>
        <v>564.9</v>
      </c>
      <c r="G322" s="19">
        <f t="shared" si="82"/>
        <v>934.8</v>
      </c>
      <c r="H322" s="24">
        <f t="shared" si="83"/>
        <v>-39.569961489088577</v>
      </c>
    </row>
    <row r="323" spans="1:9" x14ac:dyDescent="0.25">
      <c r="A323" s="10">
        <f t="shared" si="84"/>
        <v>41095</v>
      </c>
      <c r="B323">
        <v>281.8</v>
      </c>
      <c r="C323">
        <v>596.9</v>
      </c>
      <c r="D323">
        <v>307.7</v>
      </c>
      <c r="E323">
        <v>439.5</v>
      </c>
      <c r="F323" s="19">
        <f t="shared" si="81"/>
        <v>589.5</v>
      </c>
      <c r="G323" s="19">
        <f t="shared" si="82"/>
        <v>1036.4000000000001</v>
      </c>
      <c r="H323" s="24">
        <f t="shared" si="83"/>
        <v>-43.120416827479744</v>
      </c>
    </row>
    <row r="324" spans="1:9" x14ac:dyDescent="0.25">
      <c r="A324" s="10">
        <f t="shared" si="84"/>
        <v>41102</v>
      </c>
      <c r="B324">
        <v>339.3</v>
      </c>
      <c r="C324">
        <v>486.4</v>
      </c>
      <c r="D324">
        <v>359.7</v>
      </c>
      <c r="E324">
        <v>584.5</v>
      </c>
      <c r="F324" s="19">
        <f t="shared" si="81"/>
        <v>699</v>
      </c>
      <c r="G324" s="19">
        <f t="shared" si="82"/>
        <v>1070.9000000000001</v>
      </c>
      <c r="H324" s="24">
        <f t="shared" si="83"/>
        <v>-34.727799047530119</v>
      </c>
    </row>
    <row r="325" spans="1:9" x14ac:dyDescent="0.25">
      <c r="A325" s="10">
        <f t="shared" si="84"/>
        <v>41109</v>
      </c>
      <c r="B325">
        <v>353.8</v>
      </c>
      <c r="C325">
        <v>495.2</v>
      </c>
      <c r="D325">
        <v>402.2</v>
      </c>
      <c r="E325">
        <v>610.70000000000005</v>
      </c>
      <c r="F325" s="19">
        <f t="shared" si="81"/>
        <v>756</v>
      </c>
      <c r="G325" s="19">
        <f t="shared" si="82"/>
        <v>1105.9000000000001</v>
      </c>
      <c r="H325" s="24">
        <f t="shared" si="83"/>
        <v>-31.639388733158526</v>
      </c>
    </row>
    <row r="326" spans="1:9" x14ac:dyDescent="0.25">
      <c r="A326" s="10">
        <f t="shared" si="84"/>
        <v>41116</v>
      </c>
      <c r="B326">
        <v>288.10000000000002</v>
      </c>
      <c r="C326">
        <v>516.1</v>
      </c>
      <c r="D326">
        <v>490.5</v>
      </c>
      <c r="E326">
        <v>649.6</v>
      </c>
      <c r="F326" s="19">
        <f t="shared" si="81"/>
        <v>778.6</v>
      </c>
      <c r="G326" s="19">
        <f t="shared" si="82"/>
        <v>1165.7</v>
      </c>
      <c r="H326" s="24">
        <f t="shared" si="83"/>
        <v>-33.20751479797547</v>
      </c>
    </row>
    <row r="327" spans="1:9" x14ac:dyDescent="0.25">
      <c r="A327" s="10">
        <f t="shared" si="84"/>
        <v>41123</v>
      </c>
      <c r="B327">
        <v>247</v>
      </c>
      <c r="C327">
        <v>387.6</v>
      </c>
      <c r="D327">
        <v>648</v>
      </c>
      <c r="E327">
        <v>835.3</v>
      </c>
      <c r="F327" s="19">
        <f t="shared" si="81"/>
        <v>895</v>
      </c>
      <c r="G327" s="19">
        <f t="shared" si="82"/>
        <v>1222.9000000000001</v>
      </c>
      <c r="H327" s="24">
        <f t="shared" si="83"/>
        <v>-26.813312617548458</v>
      </c>
    </row>
    <row r="328" spans="1:9" x14ac:dyDescent="0.25">
      <c r="A328" s="10">
        <f t="shared" si="84"/>
        <v>41130</v>
      </c>
      <c r="B328">
        <v>241.5</v>
      </c>
      <c r="C328">
        <v>397.6</v>
      </c>
      <c r="D328">
        <v>716.1</v>
      </c>
      <c r="E328">
        <v>888.7</v>
      </c>
      <c r="F328" s="19">
        <f t="shared" si="81"/>
        <v>957.6</v>
      </c>
      <c r="G328" s="19">
        <f t="shared" si="82"/>
        <v>1286.3000000000002</v>
      </c>
      <c r="H328" s="24">
        <f t="shared" si="83"/>
        <v>-25.553914327917294</v>
      </c>
    </row>
    <row r="329" spans="1:9" x14ac:dyDescent="0.25">
      <c r="A329" s="10">
        <f t="shared" si="84"/>
        <v>41137</v>
      </c>
      <c r="B329">
        <v>263.89999999999998</v>
      </c>
      <c r="C329">
        <v>379.2</v>
      </c>
      <c r="D329">
        <v>765.6</v>
      </c>
      <c r="E329">
        <v>925.1</v>
      </c>
      <c r="F329" s="19">
        <f t="shared" si="81"/>
        <v>1029.5</v>
      </c>
      <c r="G329" s="19">
        <f t="shared" si="82"/>
        <v>1304.3</v>
      </c>
      <c r="H329" s="24">
        <f t="shared" si="83"/>
        <v>-21.068772521659128</v>
      </c>
    </row>
    <row r="330" spans="1:9" x14ac:dyDescent="0.25">
      <c r="A330" s="10">
        <f t="shared" si="84"/>
        <v>41144</v>
      </c>
      <c r="B330">
        <v>335.8</v>
      </c>
      <c r="C330">
        <v>350.1</v>
      </c>
      <c r="D330">
        <v>818.3</v>
      </c>
      <c r="E330">
        <v>987.2</v>
      </c>
      <c r="F330" s="19">
        <f t="shared" si="81"/>
        <v>1154.0999999999999</v>
      </c>
      <c r="G330" s="19">
        <f t="shared" si="82"/>
        <v>1337.3000000000002</v>
      </c>
      <c r="H330" s="24">
        <f t="shared" si="83"/>
        <v>-13.699244746878058</v>
      </c>
    </row>
    <row r="331" spans="1:9" x14ac:dyDescent="0.25">
      <c r="A331" s="10">
        <f t="shared" si="84"/>
        <v>41151</v>
      </c>
      <c r="B331">
        <v>594.4</v>
      </c>
      <c r="C331">
        <v>368.3</v>
      </c>
      <c r="D331">
        <v>818.3</v>
      </c>
      <c r="E331">
        <v>1015.6</v>
      </c>
      <c r="F331" s="19">
        <f t="shared" si="81"/>
        <v>1412.6999999999998</v>
      </c>
      <c r="G331" s="19">
        <f t="shared" si="82"/>
        <v>1383.9</v>
      </c>
      <c r="H331" s="24">
        <f t="shared" si="83"/>
        <v>2.0810752221981144</v>
      </c>
      <c r="I331">
        <v>12</v>
      </c>
    </row>
    <row r="332" spans="1:9" x14ac:dyDescent="0.25">
      <c r="A332" s="10">
        <f t="shared" si="84"/>
        <v>41158</v>
      </c>
      <c r="B332">
        <v>527.9</v>
      </c>
      <c r="C332">
        <v>368.3</v>
      </c>
      <c r="D332">
        <v>900.8</v>
      </c>
      <c r="E332">
        <v>1015.6</v>
      </c>
      <c r="F332" s="19">
        <f t="shared" si="81"/>
        <v>1428.6999999999998</v>
      </c>
      <c r="G332" s="19">
        <f t="shared" si="82"/>
        <v>1383.9</v>
      </c>
      <c r="H332" s="24">
        <f t="shared" si="83"/>
        <v>3.2372281234193112</v>
      </c>
      <c r="I332">
        <v>12</v>
      </c>
    </row>
    <row r="333" spans="1:9" x14ac:dyDescent="0.25">
      <c r="A333" s="10">
        <f t="shared" si="84"/>
        <v>41165</v>
      </c>
      <c r="B333">
        <v>458.5</v>
      </c>
      <c r="C333">
        <v>403.7</v>
      </c>
      <c r="D333">
        <v>1006.1</v>
      </c>
      <c r="E333">
        <v>1215.8</v>
      </c>
      <c r="F333" s="19">
        <f t="shared" si="81"/>
        <v>1464.6</v>
      </c>
      <c r="G333" s="19">
        <f t="shared" si="82"/>
        <v>1619.5</v>
      </c>
      <c r="H333" s="24">
        <f t="shared" si="83"/>
        <v>-9.5646804569311517</v>
      </c>
      <c r="I333">
        <v>12</v>
      </c>
    </row>
    <row r="334" spans="1:9" x14ac:dyDescent="0.25">
      <c r="A334" s="10">
        <f t="shared" si="84"/>
        <v>41172</v>
      </c>
      <c r="B334">
        <v>455.5</v>
      </c>
      <c r="C334">
        <v>462.7</v>
      </c>
      <c r="D334">
        <v>1067.0999999999999</v>
      </c>
      <c r="E334">
        <v>1239.3</v>
      </c>
      <c r="F334" s="19">
        <f t="shared" si="81"/>
        <v>1522.6</v>
      </c>
      <c r="G334" s="19">
        <f t="shared" si="82"/>
        <v>1702</v>
      </c>
      <c r="H334" s="24">
        <f t="shared" si="83"/>
        <v>-10.540540540540544</v>
      </c>
    </row>
    <row r="335" spans="1:9" x14ac:dyDescent="0.25">
      <c r="A335" s="10">
        <f t="shared" si="84"/>
        <v>41179</v>
      </c>
      <c r="B335">
        <v>458.8</v>
      </c>
      <c r="C335">
        <v>371.5</v>
      </c>
      <c r="D335">
        <v>1118.8</v>
      </c>
      <c r="E335">
        <v>1291.5</v>
      </c>
      <c r="F335" s="19">
        <f t="shared" si="81"/>
        <v>1577.6</v>
      </c>
      <c r="G335" s="19">
        <f t="shared" si="82"/>
        <v>1663</v>
      </c>
      <c r="H335" s="24">
        <f t="shared" si="83"/>
        <v>-5.1352976548406541</v>
      </c>
      <c r="I335">
        <v>12</v>
      </c>
    </row>
    <row r="336" spans="1:9" x14ac:dyDescent="0.25">
      <c r="A336" s="10">
        <f t="shared" si="84"/>
        <v>41186</v>
      </c>
      <c r="B336">
        <v>408.8</v>
      </c>
      <c r="C336">
        <v>365.4</v>
      </c>
      <c r="D336">
        <v>1201</v>
      </c>
      <c r="E336">
        <v>1344.8</v>
      </c>
      <c r="F336" s="19">
        <f t="shared" ref="F336:F367" si="85">+B336+D336</f>
        <v>1609.8</v>
      </c>
      <c r="G336" s="19">
        <f t="shared" ref="G336:G367" si="86">+C336+E336</f>
        <v>1710.1999999999998</v>
      </c>
      <c r="H336" s="24">
        <f t="shared" ref="H336:H367" si="87">+(F336/G336-1)*100</f>
        <v>-5.8706584025260078</v>
      </c>
      <c r="I336">
        <v>12</v>
      </c>
    </row>
    <row r="337" spans="1:9" x14ac:dyDescent="0.25">
      <c r="A337" s="10">
        <f t="shared" si="84"/>
        <v>41193</v>
      </c>
      <c r="B337">
        <v>464.3</v>
      </c>
      <c r="C337">
        <v>343</v>
      </c>
      <c r="D337">
        <v>1201</v>
      </c>
      <c r="E337">
        <v>1373.1</v>
      </c>
      <c r="F337" s="19">
        <f t="shared" si="85"/>
        <v>1665.3</v>
      </c>
      <c r="G337" s="19">
        <f t="shared" si="86"/>
        <v>1716.1</v>
      </c>
      <c r="H337" s="24">
        <f t="shared" si="87"/>
        <v>-2.9602004545189686</v>
      </c>
      <c r="I337">
        <v>12</v>
      </c>
    </row>
    <row r="338" spans="1:9" x14ac:dyDescent="0.25">
      <c r="A338" s="10">
        <f t="shared" si="84"/>
        <v>41200</v>
      </c>
      <c r="B338">
        <v>397.7</v>
      </c>
      <c r="C338">
        <v>344.9</v>
      </c>
      <c r="D338">
        <v>1276.0999999999999</v>
      </c>
      <c r="E338">
        <v>1381.3</v>
      </c>
      <c r="F338" s="19">
        <f t="shared" si="85"/>
        <v>1673.8</v>
      </c>
      <c r="G338" s="19">
        <f t="shared" si="86"/>
        <v>1726.1999999999998</v>
      </c>
      <c r="H338" s="24">
        <f t="shared" si="87"/>
        <v>-3.0355694589271121</v>
      </c>
      <c r="I338">
        <v>12</v>
      </c>
    </row>
    <row r="339" spans="1:9" x14ac:dyDescent="0.25">
      <c r="A339" s="10">
        <f t="shared" si="84"/>
        <v>41207</v>
      </c>
      <c r="B339">
        <v>456.5</v>
      </c>
      <c r="C339">
        <v>374.5</v>
      </c>
      <c r="D339">
        <v>1306.4000000000001</v>
      </c>
      <c r="E339">
        <v>1456.8</v>
      </c>
      <c r="F339" s="19">
        <f t="shared" si="85"/>
        <v>1762.9</v>
      </c>
      <c r="G339" s="19">
        <f t="shared" si="86"/>
        <v>1831.3</v>
      </c>
      <c r="H339" s="24">
        <f t="shared" si="87"/>
        <v>-3.7350516026866121</v>
      </c>
      <c r="I339">
        <v>12</v>
      </c>
    </row>
    <row r="340" spans="1:9" x14ac:dyDescent="0.25">
      <c r="A340" s="10">
        <f t="shared" si="84"/>
        <v>41214</v>
      </c>
      <c r="B340">
        <v>410.5</v>
      </c>
      <c r="C340">
        <v>352</v>
      </c>
      <c r="D340">
        <v>1359.4</v>
      </c>
      <c r="E340">
        <v>1531.1</v>
      </c>
      <c r="F340" s="19">
        <f t="shared" si="85"/>
        <v>1769.9</v>
      </c>
      <c r="G340" s="19">
        <f t="shared" si="86"/>
        <v>1883.1</v>
      </c>
      <c r="H340" s="24">
        <f t="shared" si="87"/>
        <v>-6.0113642398173184</v>
      </c>
      <c r="I340">
        <v>12</v>
      </c>
    </row>
    <row r="341" spans="1:9" x14ac:dyDescent="0.25">
      <c r="A341" s="10">
        <f t="shared" si="84"/>
        <v>41221</v>
      </c>
      <c r="B341">
        <v>433.4</v>
      </c>
      <c r="C341">
        <v>358.3</v>
      </c>
      <c r="D341">
        <v>1417.5</v>
      </c>
      <c r="E341">
        <v>1588.5</v>
      </c>
      <c r="F341" s="19">
        <f t="shared" si="85"/>
        <v>1850.9</v>
      </c>
      <c r="G341" s="19">
        <f t="shared" si="86"/>
        <v>1946.8</v>
      </c>
      <c r="H341" s="24">
        <f t="shared" si="87"/>
        <v>-4.926032463529884</v>
      </c>
      <c r="I341">
        <v>12</v>
      </c>
    </row>
    <row r="342" spans="1:9" x14ac:dyDescent="0.25">
      <c r="A342" s="10">
        <f t="shared" si="84"/>
        <v>41228</v>
      </c>
      <c r="B342">
        <v>423.4</v>
      </c>
      <c r="C342">
        <v>359.4</v>
      </c>
      <c r="D342">
        <v>1443.8</v>
      </c>
      <c r="E342">
        <v>1612.4</v>
      </c>
      <c r="F342" s="19">
        <f t="shared" si="85"/>
        <v>1867.1999999999998</v>
      </c>
      <c r="G342" s="19">
        <f t="shared" si="86"/>
        <v>1971.8000000000002</v>
      </c>
      <c r="H342" s="24">
        <f t="shared" si="87"/>
        <v>-5.3047976468201803</v>
      </c>
      <c r="I342">
        <v>12</v>
      </c>
    </row>
    <row r="343" spans="1:9" x14ac:dyDescent="0.25">
      <c r="A343" s="10">
        <f t="shared" si="84"/>
        <v>41235</v>
      </c>
      <c r="B343">
        <v>424.4</v>
      </c>
      <c r="C343">
        <v>354.8</v>
      </c>
      <c r="D343">
        <v>1443.8</v>
      </c>
      <c r="E343">
        <v>1686.8</v>
      </c>
      <c r="F343" s="19">
        <f t="shared" si="85"/>
        <v>1868.1999999999998</v>
      </c>
      <c r="G343" s="19">
        <f t="shared" si="86"/>
        <v>2041.6</v>
      </c>
      <c r="H343" s="24">
        <f t="shared" si="87"/>
        <v>-8.4933385579937344</v>
      </c>
      <c r="I343">
        <v>12</v>
      </c>
    </row>
    <row r="344" spans="1:9" x14ac:dyDescent="0.25">
      <c r="A344" s="10">
        <f t="shared" si="84"/>
        <v>41242</v>
      </c>
      <c r="B344">
        <v>453.4</v>
      </c>
      <c r="C344">
        <v>428.5</v>
      </c>
      <c r="D344">
        <v>1443.8</v>
      </c>
      <c r="E344">
        <v>1711.1</v>
      </c>
      <c r="F344" s="19">
        <f t="shared" si="85"/>
        <v>1897.1999999999998</v>
      </c>
      <c r="G344" s="19">
        <f t="shared" si="86"/>
        <v>2139.6</v>
      </c>
      <c r="H344" s="24">
        <f t="shared" si="87"/>
        <v>-11.32922041503085</v>
      </c>
      <c r="I344">
        <v>12</v>
      </c>
    </row>
    <row r="345" spans="1:9" x14ac:dyDescent="0.25">
      <c r="A345" s="10">
        <f t="shared" si="84"/>
        <v>41249</v>
      </c>
      <c r="B345">
        <v>365</v>
      </c>
      <c r="C345">
        <v>363.3</v>
      </c>
      <c r="D345">
        <v>1531.2</v>
      </c>
      <c r="E345">
        <v>1789.3</v>
      </c>
      <c r="F345" s="19">
        <f t="shared" si="85"/>
        <v>1896.2</v>
      </c>
      <c r="G345" s="19">
        <f t="shared" si="86"/>
        <v>2152.6</v>
      </c>
      <c r="H345" s="24">
        <f t="shared" si="87"/>
        <v>-11.911177181083332</v>
      </c>
      <c r="I345">
        <v>12</v>
      </c>
    </row>
    <row r="346" spans="1:9" x14ac:dyDescent="0.25">
      <c r="A346" s="10">
        <f t="shared" si="84"/>
        <v>41256</v>
      </c>
      <c r="B346">
        <v>460.2</v>
      </c>
      <c r="C346">
        <v>389.3</v>
      </c>
      <c r="D346">
        <v>1579.1</v>
      </c>
      <c r="E346">
        <v>1815.9</v>
      </c>
      <c r="F346" s="19">
        <f t="shared" si="85"/>
        <v>2039.3</v>
      </c>
      <c r="G346" s="19">
        <f t="shared" si="86"/>
        <v>2205.2000000000003</v>
      </c>
      <c r="H346" s="24">
        <f t="shared" si="87"/>
        <v>-7.5231271539996536</v>
      </c>
      <c r="I346">
        <v>12</v>
      </c>
    </row>
    <row r="347" spans="1:9" x14ac:dyDescent="0.25">
      <c r="A347" s="10">
        <f t="shared" si="84"/>
        <v>41263</v>
      </c>
      <c r="B347">
        <v>559.70000000000005</v>
      </c>
      <c r="C347">
        <v>430.5</v>
      </c>
      <c r="D347">
        <v>1606.3</v>
      </c>
      <c r="E347">
        <v>1917.4</v>
      </c>
      <c r="F347" s="19">
        <f t="shared" si="85"/>
        <v>2166</v>
      </c>
      <c r="G347" s="19">
        <f t="shared" si="86"/>
        <v>2347.9</v>
      </c>
      <c r="H347" s="24">
        <f t="shared" si="87"/>
        <v>-7.7473486945781378</v>
      </c>
      <c r="I347">
        <v>12</v>
      </c>
    </row>
    <row r="348" spans="1:9" x14ac:dyDescent="0.25">
      <c r="A348" s="10">
        <f t="shared" si="84"/>
        <v>41270</v>
      </c>
      <c r="B348">
        <v>559.70000000000005</v>
      </c>
      <c r="C348">
        <v>387.1</v>
      </c>
      <c r="D348">
        <v>1606.3</v>
      </c>
      <c r="E348">
        <v>1972.3</v>
      </c>
      <c r="F348" s="19">
        <f t="shared" si="85"/>
        <v>2166</v>
      </c>
      <c r="G348" s="19">
        <f t="shared" si="86"/>
        <v>2359.4</v>
      </c>
      <c r="H348" s="24">
        <f t="shared" si="87"/>
        <v>-8.1969992370941824</v>
      </c>
      <c r="I348">
        <v>12</v>
      </c>
    </row>
    <row r="349" spans="1:9" x14ac:dyDescent="0.25">
      <c r="A349" s="10">
        <f t="shared" si="84"/>
        <v>41277</v>
      </c>
      <c r="B349">
        <v>523.6</v>
      </c>
      <c r="C349">
        <v>358.6</v>
      </c>
      <c r="D349">
        <v>1673.2</v>
      </c>
      <c r="E349">
        <v>2011.8</v>
      </c>
      <c r="F349" s="19">
        <f t="shared" si="85"/>
        <v>2196.8000000000002</v>
      </c>
      <c r="G349" s="19">
        <f t="shared" si="86"/>
        <v>2370.4</v>
      </c>
      <c r="H349" s="24">
        <f t="shared" si="87"/>
        <v>-7.3236584542693217</v>
      </c>
      <c r="I349">
        <v>12</v>
      </c>
    </row>
    <row r="350" spans="1:9" x14ac:dyDescent="0.25">
      <c r="A350" s="10">
        <f t="shared" si="84"/>
        <v>41284</v>
      </c>
      <c r="B350">
        <v>523.6</v>
      </c>
      <c r="C350">
        <v>382</v>
      </c>
      <c r="D350">
        <v>1673.2</v>
      </c>
      <c r="E350">
        <v>2084.5</v>
      </c>
      <c r="F350" s="19">
        <f t="shared" si="85"/>
        <v>2196.8000000000002</v>
      </c>
      <c r="G350" s="19">
        <f t="shared" si="86"/>
        <v>2466.5</v>
      </c>
      <c r="H350" s="24">
        <f t="shared" si="87"/>
        <v>-10.934522602878561</v>
      </c>
      <c r="I350">
        <v>12</v>
      </c>
    </row>
    <row r="351" spans="1:9" x14ac:dyDescent="0.25">
      <c r="A351" s="10">
        <f t="shared" si="84"/>
        <v>41291</v>
      </c>
      <c r="B351">
        <v>598.6</v>
      </c>
      <c r="C351">
        <v>376.3</v>
      </c>
      <c r="D351">
        <v>1698.2</v>
      </c>
      <c r="E351">
        <v>2127.9</v>
      </c>
      <c r="F351" s="19">
        <f t="shared" si="85"/>
        <v>2296.8000000000002</v>
      </c>
      <c r="G351" s="19">
        <f t="shared" si="86"/>
        <v>2504.2000000000003</v>
      </c>
      <c r="H351" s="24">
        <f t="shared" si="87"/>
        <v>-8.2820860953597979</v>
      </c>
      <c r="I351">
        <v>12</v>
      </c>
    </row>
    <row r="352" spans="1:9" x14ac:dyDescent="0.25">
      <c r="A352" s="10">
        <f t="shared" si="84"/>
        <v>41298</v>
      </c>
      <c r="B352">
        <v>560.9</v>
      </c>
      <c r="C352">
        <v>384.8</v>
      </c>
      <c r="D352">
        <v>1788.9</v>
      </c>
      <c r="E352">
        <v>2225.1</v>
      </c>
      <c r="F352" s="19">
        <f t="shared" si="85"/>
        <v>2349.8000000000002</v>
      </c>
      <c r="G352" s="19">
        <f t="shared" si="86"/>
        <v>2609.9</v>
      </c>
      <c r="H352" s="24">
        <f t="shared" si="87"/>
        <v>-9.9658990765929651</v>
      </c>
      <c r="I352">
        <v>92</v>
      </c>
    </row>
    <row r="353" spans="1:9" x14ac:dyDescent="0.25">
      <c r="A353" s="10">
        <f t="shared" si="84"/>
        <v>41305</v>
      </c>
      <c r="B353">
        <v>530.9</v>
      </c>
      <c r="C353">
        <v>370.8</v>
      </c>
      <c r="D353">
        <v>1818.9</v>
      </c>
      <c r="E353">
        <v>2239.5</v>
      </c>
      <c r="F353" s="19">
        <f t="shared" si="85"/>
        <v>2349.8000000000002</v>
      </c>
      <c r="G353" s="19">
        <f t="shared" si="86"/>
        <v>2610.3000000000002</v>
      </c>
      <c r="H353" s="24">
        <f t="shared" si="87"/>
        <v>-9.9796958204037889</v>
      </c>
      <c r="I353">
        <v>92</v>
      </c>
    </row>
    <row r="354" spans="1:9" x14ac:dyDescent="0.25">
      <c r="A354" s="10">
        <f t="shared" si="84"/>
        <v>41312</v>
      </c>
      <c r="B354">
        <v>541.6</v>
      </c>
      <c r="C354">
        <v>341.7</v>
      </c>
      <c r="D354">
        <v>1902.2</v>
      </c>
      <c r="E354">
        <v>2278.1</v>
      </c>
      <c r="F354" s="19">
        <f t="shared" si="85"/>
        <v>2443.8000000000002</v>
      </c>
      <c r="G354" s="19">
        <f t="shared" si="86"/>
        <v>2619.7999999999997</v>
      </c>
      <c r="H354" s="24">
        <f t="shared" si="87"/>
        <v>-6.718070081685612</v>
      </c>
      <c r="I354">
        <v>92</v>
      </c>
    </row>
    <row r="355" spans="1:9" x14ac:dyDescent="0.25">
      <c r="A355" s="10">
        <f t="shared" si="84"/>
        <v>41319</v>
      </c>
      <c r="B355">
        <v>547.6</v>
      </c>
      <c r="C355">
        <v>310.2</v>
      </c>
      <c r="D355">
        <v>1940.1</v>
      </c>
      <c r="E355">
        <v>2373.1</v>
      </c>
      <c r="F355" s="19">
        <f t="shared" si="85"/>
        <v>2487.6999999999998</v>
      </c>
      <c r="G355" s="19">
        <f t="shared" si="86"/>
        <v>2683.2999999999997</v>
      </c>
      <c r="H355" s="24">
        <f t="shared" si="87"/>
        <v>-7.289531546975736</v>
      </c>
      <c r="I355">
        <v>92</v>
      </c>
    </row>
    <row r="356" spans="1:9" x14ac:dyDescent="0.25">
      <c r="A356" s="10">
        <f t="shared" si="84"/>
        <v>41326</v>
      </c>
      <c r="B356">
        <v>499</v>
      </c>
      <c r="C356">
        <v>296</v>
      </c>
      <c r="D356">
        <v>1990.6</v>
      </c>
      <c r="E356">
        <v>2420.3000000000002</v>
      </c>
      <c r="F356" s="19">
        <f t="shared" si="85"/>
        <v>2489.6</v>
      </c>
      <c r="G356" s="19">
        <f t="shared" si="86"/>
        <v>2716.3</v>
      </c>
      <c r="H356" s="24">
        <f t="shared" si="87"/>
        <v>-8.3459117181460147</v>
      </c>
      <c r="I356">
        <v>92</v>
      </c>
    </row>
    <row r="357" spans="1:9" x14ac:dyDescent="0.25">
      <c r="A357" s="10">
        <f t="shared" si="84"/>
        <v>41333</v>
      </c>
      <c r="B357">
        <v>502</v>
      </c>
      <c r="C357">
        <v>348</v>
      </c>
      <c r="D357">
        <v>2072.1</v>
      </c>
      <c r="E357">
        <v>2420.3000000000002</v>
      </c>
      <c r="F357" s="19">
        <f t="shared" si="85"/>
        <v>2574.1</v>
      </c>
      <c r="G357" s="19">
        <f t="shared" si="86"/>
        <v>2768.3</v>
      </c>
      <c r="H357" s="24">
        <f t="shared" si="87"/>
        <v>-7.0151356428132861</v>
      </c>
      <c r="I357">
        <v>92</v>
      </c>
    </row>
    <row r="358" spans="1:9" x14ac:dyDescent="0.25">
      <c r="A358" s="10">
        <f t="shared" si="84"/>
        <v>41340</v>
      </c>
      <c r="B358">
        <v>479.9</v>
      </c>
      <c r="C358">
        <v>271.5</v>
      </c>
      <c r="D358">
        <v>2189.1</v>
      </c>
      <c r="E358">
        <v>2543</v>
      </c>
      <c r="F358" s="19">
        <f t="shared" si="85"/>
        <v>2669</v>
      </c>
      <c r="G358" s="19">
        <f t="shared" si="86"/>
        <v>2814.5</v>
      </c>
      <c r="H358" s="24">
        <f t="shared" si="87"/>
        <v>-5.1696571327056295</v>
      </c>
      <c r="I358">
        <v>92</v>
      </c>
    </row>
    <row r="359" spans="1:9" x14ac:dyDescent="0.25">
      <c r="A359" s="10">
        <f t="shared" si="84"/>
        <v>41347</v>
      </c>
      <c r="B359">
        <v>461</v>
      </c>
      <c r="C359">
        <v>316.39999999999998</v>
      </c>
      <c r="D359">
        <v>2301</v>
      </c>
      <c r="E359">
        <v>2609.4</v>
      </c>
      <c r="F359" s="19">
        <f t="shared" si="85"/>
        <v>2762</v>
      </c>
      <c r="G359" s="19">
        <f t="shared" si="86"/>
        <v>2925.8</v>
      </c>
      <c r="H359" s="24">
        <f t="shared" si="87"/>
        <v>-5.5984687948595351</v>
      </c>
      <c r="I359">
        <v>92</v>
      </c>
    </row>
    <row r="360" spans="1:9" x14ac:dyDescent="0.25">
      <c r="A360" s="10">
        <f t="shared" si="84"/>
        <v>41354</v>
      </c>
      <c r="B360">
        <v>461</v>
      </c>
      <c r="C360">
        <v>319.89999999999998</v>
      </c>
      <c r="D360">
        <v>2301</v>
      </c>
      <c r="E360">
        <v>2670.7</v>
      </c>
      <c r="F360" s="19">
        <f t="shared" si="85"/>
        <v>2762</v>
      </c>
      <c r="G360" s="19">
        <f t="shared" si="86"/>
        <v>2990.6</v>
      </c>
      <c r="H360" s="24">
        <f t="shared" si="87"/>
        <v>-7.6439510466127185</v>
      </c>
      <c r="I360">
        <v>92</v>
      </c>
    </row>
    <row r="361" spans="1:9" x14ac:dyDescent="0.25">
      <c r="A361" s="10">
        <f t="shared" si="84"/>
        <v>41361</v>
      </c>
      <c r="B361">
        <v>441</v>
      </c>
      <c r="C361">
        <v>263.3</v>
      </c>
      <c r="D361">
        <v>2325.1999999999998</v>
      </c>
      <c r="E361">
        <v>2786.4</v>
      </c>
      <c r="F361" s="19">
        <f t="shared" si="85"/>
        <v>2766.2</v>
      </c>
      <c r="G361" s="19">
        <f t="shared" si="86"/>
        <v>3049.7000000000003</v>
      </c>
      <c r="H361" s="24">
        <f t="shared" si="87"/>
        <v>-9.2959963275076376</v>
      </c>
      <c r="I361">
        <v>132</v>
      </c>
    </row>
    <row r="362" spans="1:9" x14ac:dyDescent="0.25">
      <c r="A362" s="10">
        <f t="shared" si="84"/>
        <v>41368</v>
      </c>
      <c r="B362">
        <v>382.6</v>
      </c>
      <c r="C362">
        <v>264.7</v>
      </c>
      <c r="D362">
        <v>2474.1</v>
      </c>
      <c r="E362">
        <v>2832.5</v>
      </c>
      <c r="F362" s="19">
        <f t="shared" si="85"/>
        <v>2856.7</v>
      </c>
      <c r="G362" s="19">
        <f t="shared" si="86"/>
        <v>3097.2</v>
      </c>
      <c r="H362" s="24">
        <f t="shared" si="87"/>
        <v>-7.7650781350897535</v>
      </c>
      <c r="I362">
        <v>132</v>
      </c>
    </row>
    <row r="363" spans="1:9" x14ac:dyDescent="0.25">
      <c r="A363" s="10">
        <f t="shared" si="84"/>
        <v>41375</v>
      </c>
      <c r="B363">
        <v>346.4</v>
      </c>
      <c r="C363">
        <v>266</v>
      </c>
      <c r="D363">
        <v>2583.8000000000002</v>
      </c>
      <c r="E363">
        <v>2868.8</v>
      </c>
      <c r="F363" s="19">
        <f t="shared" si="85"/>
        <v>2930.2000000000003</v>
      </c>
      <c r="G363" s="19">
        <f t="shared" si="86"/>
        <v>3134.8</v>
      </c>
      <c r="H363" s="24">
        <f t="shared" si="87"/>
        <v>-6.5267321679214003</v>
      </c>
      <c r="I363">
        <v>132</v>
      </c>
    </row>
    <row r="364" spans="1:9" x14ac:dyDescent="0.25">
      <c r="A364" s="10">
        <f t="shared" si="84"/>
        <v>41382</v>
      </c>
      <c r="B364">
        <v>318.89999999999998</v>
      </c>
      <c r="C364">
        <v>297.5</v>
      </c>
      <c r="D364">
        <v>2583.8000000000002</v>
      </c>
      <c r="E364">
        <v>2868.8</v>
      </c>
      <c r="F364" s="19">
        <f t="shared" si="85"/>
        <v>2902.7000000000003</v>
      </c>
      <c r="G364" s="19">
        <f t="shared" si="86"/>
        <v>3166.3</v>
      </c>
      <c r="H364" s="24">
        <f t="shared" si="87"/>
        <v>-8.3251744938887651</v>
      </c>
      <c r="I364">
        <v>132</v>
      </c>
    </row>
    <row r="365" spans="1:9" x14ac:dyDescent="0.25">
      <c r="A365" s="10">
        <f t="shared" si="84"/>
        <v>41389</v>
      </c>
      <c r="B365">
        <v>288.89999999999998</v>
      </c>
      <c r="C365">
        <v>194.5</v>
      </c>
      <c r="D365">
        <v>2659.9</v>
      </c>
      <c r="E365">
        <v>3013.6</v>
      </c>
      <c r="F365" s="19">
        <f t="shared" si="85"/>
        <v>2948.8</v>
      </c>
      <c r="G365" s="19">
        <f t="shared" si="86"/>
        <v>3208.1</v>
      </c>
      <c r="H365" s="24">
        <f t="shared" si="87"/>
        <v>-8.0826657523144441</v>
      </c>
      <c r="I365">
        <v>156</v>
      </c>
    </row>
    <row r="366" spans="1:9" x14ac:dyDescent="0.25">
      <c r="A366" s="10">
        <f t="shared" si="84"/>
        <v>41396</v>
      </c>
      <c r="B366">
        <v>293.39999999999998</v>
      </c>
      <c r="C366">
        <v>194.5</v>
      </c>
      <c r="D366">
        <v>2659.9</v>
      </c>
      <c r="E366">
        <v>3040.6</v>
      </c>
      <c r="F366" s="19">
        <f t="shared" si="85"/>
        <v>2953.3</v>
      </c>
      <c r="G366" s="19">
        <f t="shared" si="86"/>
        <v>3235.1</v>
      </c>
      <c r="H366" s="24">
        <f t="shared" si="87"/>
        <v>-8.7107044604494366</v>
      </c>
      <c r="I366">
        <v>156</v>
      </c>
    </row>
    <row r="367" spans="1:9" x14ac:dyDescent="0.25">
      <c r="A367" s="10">
        <f t="shared" si="84"/>
        <v>41403</v>
      </c>
      <c r="B367">
        <v>278.2</v>
      </c>
      <c r="C367">
        <v>190.2</v>
      </c>
      <c r="D367">
        <v>2704.5</v>
      </c>
      <c r="E367">
        <v>3114.9</v>
      </c>
      <c r="F367" s="19">
        <f t="shared" si="85"/>
        <v>2982.7</v>
      </c>
      <c r="G367" s="19">
        <f t="shared" si="86"/>
        <v>3305.1</v>
      </c>
      <c r="H367" s="24">
        <f t="shared" si="87"/>
        <v>-9.7546216453360035</v>
      </c>
      <c r="I367">
        <v>156</v>
      </c>
    </row>
    <row r="368" spans="1:9" x14ac:dyDescent="0.25">
      <c r="A368" s="10">
        <f t="shared" si="84"/>
        <v>41410</v>
      </c>
      <c r="B368">
        <v>243.3</v>
      </c>
      <c r="C368">
        <v>178.8</v>
      </c>
      <c r="D368">
        <v>2844.8</v>
      </c>
      <c r="E368">
        <v>3168.7</v>
      </c>
      <c r="F368" s="19">
        <f t="shared" ref="F368:F373" si="88">+B368+D368</f>
        <v>3088.1000000000004</v>
      </c>
      <c r="G368" s="19">
        <f t="shared" ref="G368:G373" si="89">+C368+E368</f>
        <v>3347.5</v>
      </c>
      <c r="H368" s="24">
        <f t="shared" ref="H368:H373" si="90">+(F368/G368-1)*100</f>
        <v>-7.7490664675130549</v>
      </c>
      <c r="I368">
        <v>156</v>
      </c>
    </row>
    <row r="369" spans="1:26" x14ac:dyDescent="0.25">
      <c r="A369" s="10">
        <f t="shared" si="84"/>
        <v>41417</v>
      </c>
      <c r="B369">
        <v>238.2</v>
      </c>
      <c r="C369">
        <v>178.8</v>
      </c>
      <c r="D369">
        <v>2928.2</v>
      </c>
      <c r="E369">
        <v>3168.7</v>
      </c>
      <c r="F369" s="19">
        <f t="shared" si="88"/>
        <v>3166.3999999999996</v>
      </c>
      <c r="G369" s="19">
        <f t="shared" si="89"/>
        <v>3347.5</v>
      </c>
      <c r="H369" s="24">
        <f t="shared" si="90"/>
        <v>-5.4100074682599031</v>
      </c>
      <c r="I369">
        <v>194.8</v>
      </c>
    </row>
    <row r="370" spans="1:26" x14ac:dyDescent="0.25">
      <c r="A370" s="10">
        <f t="shared" si="84"/>
        <v>41424</v>
      </c>
      <c r="B370">
        <v>198.2</v>
      </c>
      <c r="C370">
        <v>104.4</v>
      </c>
      <c r="D370">
        <v>2971.6</v>
      </c>
      <c r="E370">
        <v>3248</v>
      </c>
      <c r="F370" s="19">
        <f t="shared" si="88"/>
        <v>3169.7999999999997</v>
      </c>
      <c r="G370" s="19">
        <f t="shared" si="89"/>
        <v>3352.4</v>
      </c>
      <c r="H370" s="24">
        <f t="shared" si="90"/>
        <v>-5.4468440520224366</v>
      </c>
      <c r="I370">
        <v>198.3</v>
      </c>
    </row>
    <row r="371" spans="1:26" x14ac:dyDescent="0.25">
      <c r="A371" s="10">
        <f t="shared" si="84"/>
        <v>41431</v>
      </c>
      <c r="B371">
        <v>308.89999999999998</v>
      </c>
      <c r="C371">
        <v>259.39999999999998</v>
      </c>
      <c r="D371">
        <v>57.8</v>
      </c>
      <c r="E371">
        <v>114.9</v>
      </c>
      <c r="F371" s="19">
        <f t="shared" si="88"/>
        <v>366.7</v>
      </c>
      <c r="G371" s="19">
        <f t="shared" si="89"/>
        <v>374.29999999999995</v>
      </c>
      <c r="H371" s="24">
        <f t="shared" si="90"/>
        <v>-2.0304568527918732</v>
      </c>
      <c r="I371">
        <v>198.3</v>
      </c>
    </row>
    <row r="372" spans="1:26" x14ac:dyDescent="0.25">
      <c r="A372" s="10">
        <f t="shared" si="84"/>
        <v>41438</v>
      </c>
      <c r="B372">
        <v>336.4</v>
      </c>
      <c r="C372">
        <v>319.89999999999998</v>
      </c>
      <c r="D372">
        <v>57.8</v>
      </c>
      <c r="E372">
        <v>114.9</v>
      </c>
      <c r="F372" s="19">
        <f t="shared" si="88"/>
        <v>394.2</v>
      </c>
      <c r="G372" s="19">
        <f t="shared" si="89"/>
        <v>434.79999999999995</v>
      </c>
      <c r="H372" s="24">
        <f t="shared" si="90"/>
        <v>-9.3376264949401993</v>
      </c>
      <c r="I372">
        <v>114.9</v>
      </c>
    </row>
    <row r="373" spans="1:26" x14ac:dyDescent="0.25">
      <c r="A373" s="10">
        <f t="shared" si="84"/>
        <v>41445</v>
      </c>
      <c r="B373">
        <v>314.5</v>
      </c>
      <c r="C373">
        <v>314.39999999999998</v>
      </c>
      <c r="D373">
        <v>162</v>
      </c>
      <c r="E373">
        <v>205.5</v>
      </c>
      <c r="F373" s="19">
        <f t="shared" si="88"/>
        <v>476.5</v>
      </c>
      <c r="G373" s="19">
        <f t="shared" si="89"/>
        <v>519.9</v>
      </c>
      <c r="H373" s="24">
        <f t="shared" si="90"/>
        <v>-8.3477591844585479</v>
      </c>
    </row>
    <row r="374" spans="1:26" x14ac:dyDescent="0.25">
      <c r="A374" s="10">
        <f t="shared" si="84"/>
        <v>41452</v>
      </c>
      <c r="B374">
        <v>394.2</v>
      </c>
      <c r="C374">
        <v>280.5</v>
      </c>
      <c r="D374">
        <v>182.2</v>
      </c>
      <c r="E374">
        <v>284.39999999999998</v>
      </c>
      <c r="F374" s="19">
        <f t="shared" ref="F374:G377" si="91">+B374+D374</f>
        <v>576.4</v>
      </c>
      <c r="G374" s="19">
        <f t="shared" si="91"/>
        <v>564.9</v>
      </c>
      <c r="H374" s="24">
        <f t="shared" ref="H374:H379" si="92">+(F374/G374-1)*100</f>
        <v>2.0357585413347534</v>
      </c>
    </row>
    <row r="375" spans="1:26" x14ac:dyDescent="0.25">
      <c r="A375" s="10">
        <f t="shared" si="84"/>
        <v>41459</v>
      </c>
      <c r="B375">
        <v>415.2</v>
      </c>
      <c r="C375">
        <v>281.8</v>
      </c>
      <c r="D375">
        <v>206.6</v>
      </c>
      <c r="E375">
        <v>307.7</v>
      </c>
      <c r="F375" s="19">
        <f t="shared" si="91"/>
        <v>621.79999999999995</v>
      </c>
      <c r="G375" s="19">
        <f t="shared" si="91"/>
        <v>589.5</v>
      </c>
      <c r="H375" s="24">
        <f t="shared" si="92"/>
        <v>5.4792196776929591</v>
      </c>
    </row>
    <row r="376" spans="1:26" x14ac:dyDescent="0.25">
      <c r="A376" s="10">
        <f t="shared" si="84"/>
        <v>41466</v>
      </c>
      <c r="B376">
        <v>439.2</v>
      </c>
      <c r="C376">
        <v>339.3</v>
      </c>
      <c r="D376">
        <v>212</v>
      </c>
      <c r="E376">
        <v>359.7</v>
      </c>
      <c r="F376" s="19">
        <f t="shared" si="91"/>
        <v>651.20000000000005</v>
      </c>
      <c r="G376" s="19">
        <f t="shared" si="91"/>
        <v>699</v>
      </c>
      <c r="H376" s="24">
        <f t="shared" si="92"/>
        <v>-6.8383404864091446</v>
      </c>
    </row>
    <row r="377" spans="1:26" x14ac:dyDescent="0.25">
      <c r="A377" s="10">
        <f t="shared" si="84"/>
        <v>41473</v>
      </c>
      <c r="B377">
        <v>431.7</v>
      </c>
      <c r="C377">
        <v>353.8</v>
      </c>
      <c r="D377">
        <v>341.8</v>
      </c>
      <c r="E377">
        <v>402.2</v>
      </c>
      <c r="F377" s="19">
        <f t="shared" si="91"/>
        <v>773.5</v>
      </c>
      <c r="G377" s="19">
        <f t="shared" si="91"/>
        <v>756</v>
      </c>
      <c r="H377" s="24">
        <f t="shared" si="92"/>
        <v>2.314814814814814</v>
      </c>
    </row>
    <row r="378" spans="1:26" x14ac:dyDescent="0.25">
      <c r="A378" s="10">
        <f t="shared" si="84"/>
        <v>41480</v>
      </c>
      <c r="B378">
        <v>431.2</v>
      </c>
      <c r="C378">
        <v>288.10000000000002</v>
      </c>
      <c r="D378">
        <v>437.3</v>
      </c>
      <c r="E378">
        <v>490.5</v>
      </c>
      <c r="F378" s="19">
        <f t="shared" ref="F378:F388" si="93">+B378+D378</f>
        <v>868.5</v>
      </c>
      <c r="G378" s="19">
        <f t="shared" ref="G378:G388" si="94">+C378+E378</f>
        <v>778.6</v>
      </c>
      <c r="H378" s="24">
        <f t="shared" si="92"/>
        <v>11.546365270999237</v>
      </c>
    </row>
    <row r="379" spans="1:26" x14ac:dyDescent="0.25">
      <c r="A379" s="10">
        <f t="shared" si="84"/>
        <v>41487</v>
      </c>
      <c r="B379">
        <v>400.6</v>
      </c>
      <c r="C379">
        <v>247</v>
      </c>
      <c r="D379">
        <v>494.2</v>
      </c>
      <c r="E379">
        <v>648</v>
      </c>
      <c r="F379" s="19">
        <f t="shared" si="93"/>
        <v>894.8</v>
      </c>
      <c r="G379" s="19">
        <f t="shared" si="94"/>
        <v>895</v>
      </c>
      <c r="H379" s="24">
        <f t="shared" si="92"/>
        <v>-2.2346368715087106E-2</v>
      </c>
    </row>
    <row r="380" spans="1:26" x14ac:dyDescent="0.25">
      <c r="A380" s="10">
        <f t="shared" si="84"/>
        <v>41494</v>
      </c>
      <c r="B380">
        <v>429.8</v>
      </c>
      <c r="C380">
        <v>241.5</v>
      </c>
      <c r="D380">
        <v>528.20000000000005</v>
      </c>
      <c r="E380">
        <v>716.1</v>
      </c>
      <c r="F380" s="19">
        <f t="shared" si="93"/>
        <v>958</v>
      </c>
      <c r="G380" s="19">
        <f t="shared" si="94"/>
        <v>957.6</v>
      </c>
      <c r="H380" s="24">
        <f t="shared" ref="H380:H388" si="95">+(F380/G380-1)*100</f>
        <v>4.1771094402665021E-2</v>
      </c>
    </row>
    <row r="381" spans="1:26" x14ac:dyDescent="0.25">
      <c r="A381" s="10">
        <f t="shared" ref="A381:A415" si="96">+A380+7</f>
        <v>41501</v>
      </c>
      <c r="B381">
        <v>336.6</v>
      </c>
      <c r="C381">
        <v>263.89999999999998</v>
      </c>
      <c r="D381">
        <v>661.2</v>
      </c>
      <c r="E381">
        <v>765.6</v>
      </c>
      <c r="F381" s="19">
        <f t="shared" si="93"/>
        <v>997.80000000000007</v>
      </c>
      <c r="G381" s="19">
        <f t="shared" si="94"/>
        <v>1029.5</v>
      </c>
      <c r="H381" s="24">
        <f t="shared" si="95"/>
        <v>-3.0791646430305852</v>
      </c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5" x14ac:dyDescent="0.25">
      <c r="A382" s="10">
        <f t="shared" si="96"/>
        <v>41508</v>
      </c>
      <c r="B382">
        <v>265.2</v>
      </c>
      <c r="C382">
        <v>335.8</v>
      </c>
      <c r="D382">
        <v>769</v>
      </c>
      <c r="E382">
        <v>818.3</v>
      </c>
      <c r="F382" s="19">
        <f t="shared" si="93"/>
        <v>1034.2</v>
      </c>
      <c r="G382" s="19">
        <f t="shared" si="94"/>
        <v>1154.0999999999999</v>
      </c>
      <c r="H382" s="24">
        <f t="shared" si="95"/>
        <v>-10.389047742829904</v>
      </c>
      <c r="N382" s="128"/>
      <c r="O382" s="127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5" x14ac:dyDescent="0.25">
      <c r="A383" s="10">
        <f t="shared" si="96"/>
        <v>41515</v>
      </c>
      <c r="B383">
        <v>232.2</v>
      </c>
      <c r="C383">
        <v>594.4</v>
      </c>
      <c r="D383">
        <v>802</v>
      </c>
      <c r="E383">
        <v>818.3</v>
      </c>
      <c r="F383" s="19">
        <f t="shared" si="93"/>
        <v>1034.2</v>
      </c>
      <c r="G383" s="19">
        <f t="shared" si="94"/>
        <v>1412.6999999999998</v>
      </c>
      <c r="H383" s="24">
        <f t="shared" si="95"/>
        <v>-26.792666525093779</v>
      </c>
      <c r="N383" s="128"/>
      <c r="O383" s="127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5" x14ac:dyDescent="0.25">
      <c r="A384" s="10">
        <f t="shared" si="96"/>
        <v>41522</v>
      </c>
      <c r="B384">
        <v>329.7</v>
      </c>
      <c r="C384">
        <v>527.9</v>
      </c>
      <c r="D384">
        <v>802</v>
      </c>
      <c r="E384">
        <v>900.8</v>
      </c>
      <c r="F384" s="19">
        <f t="shared" si="93"/>
        <v>1131.7</v>
      </c>
      <c r="G384" s="19">
        <f t="shared" si="94"/>
        <v>1428.6999999999998</v>
      </c>
      <c r="H384" s="24">
        <f t="shared" si="95"/>
        <v>-20.788129068383832</v>
      </c>
      <c r="N384" s="128"/>
      <c r="O384" s="127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5" x14ac:dyDescent="0.25">
      <c r="A385" s="10">
        <f t="shared" si="96"/>
        <v>41529</v>
      </c>
      <c r="B385">
        <v>392.9</v>
      </c>
      <c r="C385">
        <v>458.5</v>
      </c>
      <c r="D385">
        <v>898</v>
      </c>
      <c r="E385">
        <v>1006.1</v>
      </c>
      <c r="F385" s="19">
        <f t="shared" si="93"/>
        <v>1290.9000000000001</v>
      </c>
      <c r="G385" s="19">
        <f t="shared" si="94"/>
        <v>1464.6</v>
      </c>
      <c r="H385" s="24">
        <f t="shared" si="95"/>
        <v>-11.859893486276107</v>
      </c>
      <c r="N385" s="128"/>
      <c r="O385" s="127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x14ac:dyDescent="0.25">
      <c r="A386" s="10">
        <f t="shared" si="96"/>
        <v>41536</v>
      </c>
      <c r="B386">
        <v>328.4</v>
      </c>
      <c r="C386">
        <v>455.5</v>
      </c>
      <c r="D386">
        <v>996.2</v>
      </c>
      <c r="E386">
        <v>1067.0999999999999</v>
      </c>
      <c r="F386" s="19">
        <f t="shared" si="93"/>
        <v>1324.6</v>
      </c>
      <c r="G386" s="19">
        <f t="shared" si="94"/>
        <v>1522.6</v>
      </c>
      <c r="H386" s="24">
        <f t="shared" si="95"/>
        <v>-13.004071982135823</v>
      </c>
      <c r="N386" s="128"/>
      <c r="O386" s="130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x14ac:dyDescent="0.25">
      <c r="A387" s="10">
        <f t="shared" si="96"/>
        <v>41543</v>
      </c>
      <c r="B387">
        <v>310.60000000000002</v>
      </c>
      <c r="C387">
        <v>458.8</v>
      </c>
      <c r="D387">
        <v>1033.9000000000001</v>
      </c>
      <c r="E387">
        <v>1118.8</v>
      </c>
      <c r="F387" s="19">
        <f t="shared" si="93"/>
        <v>1344.5</v>
      </c>
      <c r="G387" s="19">
        <f t="shared" si="94"/>
        <v>1577.6</v>
      </c>
      <c r="H387" s="24">
        <f t="shared" si="95"/>
        <v>-14.775608519269767</v>
      </c>
      <c r="N387" s="128"/>
      <c r="O387" s="130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5" x14ac:dyDescent="0.25">
      <c r="A388" s="10">
        <f t="shared" si="96"/>
        <v>41550</v>
      </c>
      <c r="B388">
        <v>402.1</v>
      </c>
      <c r="C388">
        <v>408.8</v>
      </c>
      <c r="D388">
        <v>1043.9000000000001</v>
      </c>
      <c r="E388">
        <v>1201</v>
      </c>
      <c r="F388" s="19">
        <f t="shared" si="93"/>
        <v>1446</v>
      </c>
      <c r="G388" s="19">
        <f t="shared" si="94"/>
        <v>1609.8</v>
      </c>
      <c r="H388" s="127">
        <f t="shared" si="95"/>
        <v>-10.17517704062616</v>
      </c>
      <c r="I388" s="128"/>
      <c r="J388" s="128"/>
      <c r="K388" s="128"/>
      <c r="L388" s="128"/>
      <c r="M388" s="128"/>
      <c r="N388" s="128"/>
      <c r="O388" s="127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5" x14ac:dyDescent="0.25">
      <c r="A389" s="10">
        <f t="shared" si="96"/>
        <v>41557</v>
      </c>
      <c r="N389" s="128"/>
      <c r="O389" s="127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5" x14ac:dyDescent="0.25">
      <c r="A390" s="10">
        <f t="shared" si="96"/>
        <v>41564</v>
      </c>
      <c r="N390" s="128"/>
      <c r="O390" s="127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5" x14ac:dyDescent="0.25">
      <c r="A391" s="10">
        <f t="shared" si="96"/>
        <v>41571</v>
      </c>
      <c r="B391">
        <v>443.4</v>
      </c>
      <c r="C391">
        <v>456.5</v>
      </c>
      <c r="D391">
        <v>1124.5999999999999</v>
      </c>
      <c r="E391">
        <v>1306.4000000000001</v>
      </c>
      <c r="F391" s="19">
        <f t="shared" ref="F391:G393" si="97">+B391+D391</f>
        <v>1568</v>
      </c>
      <c r="G391" s="19">
        <f t="shared" si="97"/>
        <v>1762.9</v>
      </c>
      <c r="H391" s="127">
        <f>+(F391/G391-1)*100</f>
        <v>-11.055646945374109</v>
      </c>
      <c r="N391" s="128"/>
      <c r="O391" s="127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5" x14ac:dyDescent="0.25">
      <c r="A392" s="10">
        <f t="shared" si="96"/>
        <v>41578</v>
      </c>
      <c r="B392">
        <v>406</v>
      </c>
      <c r="C392">
        <v>410.5</v>
      </c>
      <c r="D392">
        <v>1162</v>
      </c>
      <c r="E392">
        <v>1359.4</v>
      </c>
      <c r="F392" s="19">
        <f t="shared" si="97"/>
        <v>1568</v>
      </c>
      <c r="G392" s="19">
        <f t="shared" si="97"/>
        <v>1769.9</v>
      </c>
      <c r="H392" s="127">
        <f>+(F392/G392-1)*100</f>
        <v>-11.407424148256972</v>
      </c>
      <c r="K392" s="75"/>
      <c r="N392" s="128"/>
      <c r="O392" s="127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5" x14ac:dyDescent="0.25">
      <c r="A393" s="10">
        <f t="shared" si="96"/>
        <v>41585</v>
      </c>
      <c r="B393">
        <v>439</v>
      </c>
      <c r="C393">
        <v>433.4</v>
      </c>
      <c r="D393">
        <v>1213.7</v>
      </c>
      <c r="E393">
        <v>1417.5</v>
      </c>
      <c r="F393" s="19">
        <f t="shared" si="97"/>
        <v>1652.7</v>
      </c>
      <c r="G393" s="19">
        <f t="shared" si="97"/>
        <v>1850.9</v>
      </c>
      <c r="H393" s="127">
        <f>+(F393/G393-1)*100</f>
        <v>-10.708304068291108</v>
      </c>
      <c r="N393" s="128"/>
      <c r="O393" s="127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5" x14ac:dyDescent="0.25">
      <c r="A394" s="10">
        <f t="shared" si="96"/>
        <v>41592</v>
      </c>
      <c r="B394">
        <v>415</v>
      </c>
      <c r="C394">
        <v>423.4</v>
      </c>
      <c r="D394">
        <v>1298</v>
      </c>
      <c r="E394">
        <v>1443.8</v>
      </c>
      <c r="F394" s="19">
        <f>+B394+D394</f>
        <v>1713</v>
      </c>
      <c r="G394" s="19">
        <f>+C394+E394</f>
        <v>1867.1999999999998</v>
      </c>
      <c r="H394" s="127">
        <f>+(F394/G394-1)*100</f>
        <v>-8.2583547557840475</v>
      </c>
      <c r="N394" s="128"/>
      <c r="O394" s="127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5" x14ac:dyDescent="0.25">
      <c r="A395" s="10">
        <f t="shared" si="96"/>
        <v>41599</v>
      </c>
      <c r="B395">
        <v>507.4</v>
      </c>
      <c r="C395">
        <v>424.4</v>
      </c>
      <c r="D395">
        <v>1342.3</v>
      </c>
      <c r="E395">
        <v>1443.8</v>
      </c>
      <c r="F395" s="19">
        <f>+B395+D395</f>
        <v>1849.6999999999998</v>
      </c>
      <c r="G395" s="19">
        <f>+C395+E395</f>
        <v>1868.1999999999998</v>
      </c>
      <c r="H395" s="127">
        <f>+(F395/G395-1)*100</f>
        <v>-0.99025800235520434</v>
      </c>
      <c r="N395" s="128"/>
      <c r="O395" s="127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5" x14ac:dyDescent="0.25">
      <c r="A396" s="10">
        <f t="shared" si="96"/>
        <v>41606</v>
      </c>
      <c r="N396" s="128"/>
      <c r="O396" s="127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5" x14ac:dyDescent="0.25">
      <c r="A397" s="10">
        <f t="shared" si="96"/>
        <v>41613</v>
      </c>
      <c r="N397" s="128"/>
      <c r="O397" s="127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5" x14ac:dyDescent="0.25">
      <c r="A398" s="10">
        <f t="shared" si="96"/>
        <v>41620</v>
      </c>
      <c r="N398" s="128"/>
      <c r="O398" s="127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5" x14ac:dyDescent="0.25">
      <c r="A399" s="10">
        <f t="shared" si="96"/>
        <v>41627</v>
      </c>
      <c r="N399" s="128"/>
      <c r="O399" s="127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5" x14ac:dyDescent="0.25">
      <c r="A400" s="10">
        <f t="shared" si="96"/>
        <v>41634</v>
      </c>
      <c r="N400" s="128"/>
      <c r="O400" s="127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5" x14ac:dyDescent="0.25">
      <c r="A401" s="10">
        <f t="shared" si="96"/>
        <v>41641</v>
      </c>
      <c r="N401" s="128"/>
      <c r="O401" s="127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5" x14ac:dyDescent="0.25">
      <c r="A402" s="10">
        <f t="shared" si="96"/>
        <v>41648</v>
      </c>
      <c r="N402" s="128"/>
      <c r="O402" s="127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5" x14ac:dyDescent="0.25">
      <c r="A403" s="10">
        <f t="shared" si="96"/>
        <v>41655</v>
      </c>
      <c r="N403" s="128"/>
      <c r="O403" s="127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5" x14ac:dyDescent="0.25">
      <c r="A404" s="10">
        <f t="shared" si="96"/>
        <v>41662</v>
      </c>
      <c r="N404" s="128"/>
      <c r="O404" s="127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5" x14ac:dyDescent="0.25">
      <c r="A405" s="10">
        <f t="shared" si="96"/>
        <v>41669</v>
      </c>
      <c r="N405" s="128"/>
      <c r="O405" s="127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5" x14ac:dyDescent="0.25">
      <c r="A406" s="10">
        <f t="shared" si="96"/>
        <v>41676</v>
      </c>
      <c r="N406" s="128"/>
      <c r="O406" s="127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5" x14ac:dyDescent="0.25">
      <c r="A407" s="10">
        <f t="shared" si="96"/>
        <v>41683</v>
      </c>
      <c r="N407" s="128"/>
      <c r="O407" s="127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5" x14ac:dyDescent="0.25">
      <c r="A408" s="10">
        <f t="shared" si="96"/>
        <v>41690</v>
      </c>
      <c r="N408" s="128"/>
      <c r="O408" s="127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5" x14ac:dyDescent="0.25">
      <c r="A409" s="10">
        <f t="shared" si="96"/>
        <v>41697</v>
      </c>
      <c r="N409" s="128"/>
      <c r="O409" s="127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5" x14ac:dyDescent="0.25">
      <c r="A410" s="10">
        <f t="shared" si="96"/>
        <v>41704</v>
      </c>
      <c r="N410" s="128"/>
      <c r="O410" s="127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5" x14ac:dyDescent="0.25">
      <c r="A411" s="10">
        <f t="shared" si="96"/>
        <v>41711</v>
      </c>
      <c r="N411" s="128"/>
      <c r="O411" s="127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5" x14ac:dyDescent="0.25">
      <c r="A412" s="10">
        <f t="shared" si="96"/>
        <v>41718</v>
      </c>
      <c r="N412" s="128"/>
      <c r="O412" s="127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5" x14ac:dyDescent="0.25">
      <c r="A413" s="10">
        <f t="shared" si="96"/>
        <v>41725</v>
      </c>
      <c r="N413" s="128"/>
      <c r="O413" s="127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5" x14ac:dyDescent="0.25">
      <c r="A414" s="10">
        <f t="shared" si="96"/>
        <v>41732</v>
      </c>
      <c r="N414" s="128"/>
      <c r="O414" s="127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5" x14ac:dyDescent="0.25">
      <c r="A415" s="10">
        <f t="shared" si="96"/>
        <v>41739</v>
      </c>
      <c r="N415" s="128"/>
      <c r="O415" s="127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5" x14ac:dyDescent="0.25">
      <c r="N416" s="128"/>
      <c r="O416" s="127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4:26" ht="15" x14ac:dyDescent="0.25">
      <c r="N417" s="128"/>
      <c r="O417" s="127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4:26" ht="15" x14ac:dyDescent="0.25">
      <c r="N418" s="128"/>
      <c r="O418" s="127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4:26" ht="15" x14ac:dyDescent="0.25">
      <c r="N419" s="128"/>
      <c r="O419" s="127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4:26" ht="15" x14ac:dyDescent="0.25">
      <c r="N420" s="128"/>
      <c r="O420" s="127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4:26" ht="15" x14ac:dyDescent="0.25">
      <c r="N421" s="128"/>
      <c r="O421" s="127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4:26" ht="15" x14ac:dyDescent="0.25">
      <c r="N422" s="128"/>
      <c r="O422" s="127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4:26" ht="15" x14ac:dyDescent="0.25">
      <c r="N423" s="128"/>
      <c r="O423" s="127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4:26" ht="15" x14ac:dyDescent="0.25">
      <c r="N424" s="128"/>
      <c r="O424" s="127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4:26" ht="15" x14ac:dyDescent="0.25">
      <c r="N425" s="128"/>
      <c r="O425" s="127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4:26" ht="15" x14ac:dyDescent="0.25">
      <c r="N426" s="128"/>
      <c r="O426" s="127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4:26" ht="15" x14ac:dyDescent="0.25">
      <c r="N427" s="128"/>
      <c r="O427" s="127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4:26" ht="15" x14ac:dyDescent="0.25">
      <c r="N428" s="128"/>
      <c r="O428" s="127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4:26" ht="15" x14ac:dyDescent="0.25">
      <c r="N429" s="128"/>
      <c r="O429" s="127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4:26" ht="15" x14ac:dyDescent="0.25">
      <c r="N430" s="128"/>
      <c r="O430" s="127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4:26" ht="15" x14ac:dyDescent="0.25">
      <c r="N431" s="128"/>
      <c r="O431" s="127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4:26" ht="15" x14ac:dyDescent="0.25">
      <c r="N432" s="128"/>
      <c r="O432" s="127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4:26" ht="15" x14ac:dyDescent="0.25">
      <c r="N433" s="128"/>
      <c r="O433" s="127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4:26" ht="15" x14ac:dyDescent="0.25">
      <c r="N434" s="128"/>
      <c r="O434" s="127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4:26" ht="15" x14ac:dyDescent="0.25">
      <c r="N435" s="128"/>
      <c r="O435" s="127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4:26" ht="15" x14ac:dyDescent="0.25">
      <c r="N436" s="128"/>
      <c r="O436" s="127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4:26" ht="15" x14ac:dyDescent="0.25">
      <c r="N437" s="128"/>
      <c r="O437" s="127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4:26" ht="15" x14ac:dyDescent="0.25">
      <c r="N438" s="128"/>
      <c r="O438" s="127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4:26" ht="15" x14ac:dyDescent="0.25">
      <c r="N439" s="128"/>
      <c r="O439" s="127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4:26" ht="15" x14ac:dyDescent="0.25">
      <c r="N440" s="128"/>
      <c r="O440" s="127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4:26" ht="15" x14ac:dyDescent="0.25">
      <c r="N441" s="128"/>
      <c r="O441" s="127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4:26" ht="15" x14ac:dyDescent="0.25">
      <c r="N442" s="128"/>
      <c r="O442" s="127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4:26" ht="15" x14ac:dyDescent="0.25">
      <c r="N443" s="128"/>
      <c r="O443" s="127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4:26" ht="15" x14ac:dyDescent="0.25">
      <c r="N444" s="128"/>
      <c r="O444" s="127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4:26" ht="15" x14ac:dyDescent="0.25">
      <c r="N445" s="128"/>
      <c r="O445" s="127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4:26" ht="15" x14ac:dyDescent="0.25">
      <c r="N446" s="128"/>
      <c r="O446" s="127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4:26" ht="15" x14ac:dyDescent="0.25">
      <c r="N447" s="128"/>
      <c r="O447" s="127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4:26" ht="15" x14ac:dyDescent="0.25">
      <c r="N448" s="128"/>
      <c r="O448" s="127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4:26" ht="15" x14ac:dyDescent="0.25">
      <c r="N449" s="128"/>
      <c r="O449" s="127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4:26" ht="15" x14ac:dyDescent="0.25">
      <c r="N450" s="128"/>
      <c r="O450" s="127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4:26" ht="15" x14ac:dyDescent="0.25">
      <c r="N451" s="128"/>
      <c r="O451" s="127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4:26" ht="15" x14ac:dyDescent="0.25">
      <c r="N452" s="128"/>
      <c r="O452" s="127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4:26" ht="15" x14ac:dyDescent="0.25">
      <c r="N453" s="128"/>
      <c r="O453" s="127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4:26" ht="15" x14ac:dyDescent="0.25">
      <c r="N454" s="128"/>
      <c r="O454" s="127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4:26" ht="15" x14ac:dyDescent="0.25">
      <c r="N455" s="128"/>
      <c r="O455" s="127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4:26" ht="15" x14ac:dyDescent="0.25">
      <c r="N456" s="128"/>
      <c r="O456" s="127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4:26" ht="15" x14ac:dyDescent="0.25">
      <c r="N457" s="128"/>
      <c r="O457" s="127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4:26" ht="15" x14ac:dyDescent="0.25">
      <c r="N458" s="128"/>
      <c r="O458" s="127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4:26" ht="15" x14ac:dyDescent="0.25">
      <c r="N459" s="128"/>
      <c r="O459" s="127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4:26" ht="15" x14ac:dyDescent="0.25">
      <c r="N460" s="128"/>
      <c r="O460" s="127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4:26" ht="15" x14ac:dyDescent="0.25">
      <c r="N461" s="128"/>
      <c r="O461" s="127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4:26" ht="15" x14ac:dyDescent="0.25">
      <c r="N462" s="128"/>
      <c r="O462" s="127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4:26" ht="15" x14ac:dyDescent="0.25">
      <c r="N463" s="128"/>
      <c r="O463" s="127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4:26" ht="15" x14ac:dyDescent="0.25">
      <c r="N464" s="128"/>
      <c r="O464" s="127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4:26" ht="15" x14ac:dyDescent="0.25">
      <c r="N465" s="128"/>
      <c r="O465" s="127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4:26" ht="15" x14ac:dyDescent="0.25">
      <c r="N466" s="128"/>
      <c r="O466" s="127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4:26" ht="15" x14ac:dyDescent="0.25">
      <c r="N467" s="128"/>
      <c r="O467" s="127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4:26" ht="15" x14ac:dyDescent="0.25">
      <c r="N468" s="128"/>
      <c r="O468" s="127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4:26" ht="15" x14ac:dyDescent="0.25">
      <c r="N469" s="128"/>
      <c r="O469" s="127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4:26" ht="15" x14ac:dyDescent="0.25">
      <c r="N470" s="128"/>
      <c r="O470" s="127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4:26" ht="15" x14ac:dyDescent="0.25">
      <c r="N471" s="128"/>
      <c r="O471" s="127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4:26" ht="15" x14ac:dyDescent="0.25">
      <c r="N472" s="128"/>
      <c r="O472" s="127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4:26" ht="15" x14ac:dyDescent="0.25">
      <c r="N473" s="128"/>
      <c r="O473" s="127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4:26" ht="15" x14ac:dyDescent="0.25">
      <c r="N474" s="128"/>
      <c r="O474" s="127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4:26" ht="15" x14ac:dyDescent="0.25">
      <c r="N475" s="128"/>
      <c r="O475" s="127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4:26" ht="15" x14ac:dyDescent="0.25">
      <c r="N476" s="128"/>
      <c r="O476" s="127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4:26" ht="15" x14ac:dyDescent="0.25">
      <c r="N477" s="128"/>
      <c r="O477" s="127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4:26" ht="15" x14ac:dyDescent="0.25">
      <c r="N478" s="128"/>
      <c r="O478" s="127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4:26" ht="15" x14ac:dyDescent="0.25">
      <c r="N479" s="128"/>
      <c r="O479" s="127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4:26" ht="15" x14ac:dyDescent="0.25">
      <c r="N480" s="128"/>
      <c r="O480" s="127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4:26" ht="15" x14ac:dyDescent="0.25">
      <c r="N481" s="128"/>
      <c r="O481" s="127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4:26" x14ac:dyDescent="0.25">
      <c r="N482" s="128"/>
      <c r="O482" s="130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4:26" x14ac:dyDescent="0.25">
      <c r="N483" s="128"/>
      <c r="O483" s="130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4:26" ht="15" x14ac:dyDescent="0.25">
      <c r="N484" s="128"/>
      <c r="O484" s="127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4:26" ht="15" x14ac:dyDescent="0.25">
      <c r="N485" s="128"/>
      <c r="O485" s="127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4:26" ht="15" x14ac:dyDescent="0.25">
      <c r="N486" s="128"/>
      <c r="O486" s="127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4:26" ht="15" x14ac:dyDescent="0.25">
      <c r="N487" s="128"/>
      <c r="O487" s="127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4:26" ht="15" x14ac:dyDescent="0.25">
      <c r="N488" s="128"/>
      <c r="O488" s="127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4:26" ht="15" x14ac:dyDescent="0.25">
      <c r="N489" s="128"/>
      <c r="O489" s="127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4:26" ht="15" x14ac:dyDescent="0.25">
      <c r="N490" s="128"/>
      <c r="O490" s="127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4:26" ht="15" x14ac:dyDescent="0.25">
      <c r="N491" s="128"/>
      <c r="O491" s="127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4:26" ht="15" x14ac:dyDescent="0.25">
      <c r="N492" s="128"/>
      <c r="O492" s="127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4:26" ht="15" x14ac:dyDescent="0.25">
      <c r="N493" s="128"/>
      <c r="O493" s="127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4:26" ht="15" x14ac:dyDescent="0.25">
      <c r="N494" s="128"/>
      <c r="O494" s="127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4:26" ht="15" x14ac:dyDescent="0.25">
      <c r="N495" s="128"/>
      <c r="O495" s="127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4:26" ht="15" x14ac:dyDescent="0.25">
      <c r="N496" s="128"/>
      <c r="O496" s="127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4:26" ht="15" x14ac:dyDescent="0.25">
      <c r="N497" s="128"/>
      <c r="O497" s="127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4:26" ht="15" x14ac:dyDescent="0.25">
      <c r="N498" s="128"/>
      <c r="O498" s="127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4:26" ht="15" x14ac:dyDescent="0.25">
      <c r="N499" s="128"/>
      <c r="O499" s="127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4:26" ht="15" x14ac:dyDescent="0.25">
      <c r="N500" s="128"/>
      <c r="O500" s="127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4:26" ht="15" x14ac:dyDescent="0.25">
      <c r="N501" s="128"/>
      <c r="O501" s="127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4:26" ht="15" x14ac:dyDescent="0.25">
      <c r="N502" s="128"/>
      <c r="O502" s="127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4:26" ht="15" x14ac:dyDescent="0.25">
      <c r="N503" s="128"/>
      <c r="O503" s="127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4:26" ht="15" x14ac:dyDescent="0.25">
      <c r="N504" s="128"/>
      <c r="O504" s="127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4:26" ht="15" x14ac:dyDescent="0.25">
      <c r="N505" s="128"/>
      <c r="O505" s="127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4:26" ht="15" x14ac:dyDescent="0.25">
      <c r="N506" s="128"/>
      <c r="O506" s="127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4:26" ht="15" x14ac:dyDescent="0.25">
      <c r="N507" s="128"/>
      <c r="O507" s="127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4:26" ht="15" x14ac:dyDescent="0.25">
      <c r="N508" s="128"/>
      <c r="O508" s="127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4:26" ht="15" x14ac:dyDescent="0.25">
      <c r="N509" s="128"/>
      <c r="O509" s="127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4:26" ht="15" x14ac:dyDescent="0.25">
      <c r="N510" s="128"/>
      <c r="O510" s="127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4:26" ht="15" x14ac:dyDescent="0.25">
      <c r="N511" s="128"/>
      <c r="O511" s="127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4:26" ht="15" x14ac:dyDescent="0.25">
      <c r="N512" s="128"/>
      <c r="O512" s="127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4:26" ht="15" x14ac:dyDescent="0.25">
      <c r="N513" s="128"/>
      <c r="O513" s="127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4:26" ht="15" x14ac:dyDescent="0.25">
      <c r="N514" s="128"/>
      <c r="O514" s="127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4:26" ht="15" x14ac:dyDescent="0.25">
      <c r="N515" s="128"/>
      <c r="O515" s="127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4:26" ht="15" x14ac:dyDescent="0.25">
      <c r="N516" s="128"/>
      <c r="O516" s="127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4:26" ht="15" x14ac:dyDescent="0.25">
      <c r="N517" s="128"/>
      <c r="O517" s="127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4:26" ht="15" x14ac:dyDescent="0.25">
      <c r="N518" s="128"/>
      <c r="O518" s="127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4:26" ht="15" x14ac:dyDescent="0.25">
      <c r="N519" s="128"/>
      <c r="O519" s="127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4:26" ht="15" x14ac:dyDescent="0.25">
      <c r="N520" s="128"/>
      <c r="O520" s="127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4:26" ht="15" x14ac:dyDescent="0.25">
      <c r="N521" s="128"/>
      <c r="O521" s="127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4:26" ht="15" x14ac:dyDescent="0.25">
      <c r="N522" s="128"/>
      <c r="O522" s="127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4:26" ht="15" x14ac:dyDescent="0.25">
      <c r="N523" s="128"/>
      <c r="O523" s="127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4:26" ht="15" x14ac:dyDescent="0.25">
      <c r="O524" s="75"/>
    </row>
    <row r="525" spans="14:26" ht="15" x14ac:dyDescent="0.25">
      <c r="O525" s="75"/>
    </row>
    <row r="526" spans="14:26" ht="15" x14ac:dyDescent="0.25">
      <c r="O526" s="75"/>
    </row>
    <row r="527" spans="14:26" ht="15" x14ac:dyDescent="0.25">
      <c r="O527" s="75"/>
    </row>
    <row r="528" spans="14:26" ht="15" x14ac:dyDescent="0.25">
      <c r="O528" s="75"/>
    </row>
    <row r="529" spans="15:15" ht="15" x14ac:dyDescent="0.25">
      <c r="O529" s="75"/>
    </row>
    <row r="530" spans="15:15" ht="15" x14ac:dyDescent="0.25">
      <c r="O530" s="75"/>
    </row>
    <row r="531" spans="15:15" ht="15" x14ac:dyDescent="0.25">
      <c r="O531" s="75"/>
    </row>
    <row r="532" spans="15:15" ht="15" x14ac:dyDescent="0.25">
      <c r="O532" s="75"/>
    </row>
    <row r="533" spans="15:15" ht="15" x14ac:dyDescent="0.25">
      <c r="O533" s="75"/>
    </row>
    <row r="534" spans="15:15" ht="15" x14ac:dyDescent="0.25">
      <c r="O534" s="75"/>
    </row>
    <row r="535" spans="15:15" ht="15" x14ac:dyDescent="0.25">
      <c r="O535" s="75"/>
    </row>
    <row r="536" spans="15:15" x14ac:dyDescent="0.25">
      <c r="O536" s="74"/>
    </row>
    <row r="537" spans="15:15" x14ac:dyDescent="0.25">
      <c r="O537" s="74"/>
    </row>
    <row r="538" spans="15:15" ht="15" x14ac:dyDescent="0.25">
      <c r="O538" s="75"/>
    </row>
    <row r="539" spans="15:15" ht="15" x14ac:dyDescent="0.25">
      <c r="O539" s="75"/>
    </row>
    <row r="540" spans="15:15" ht="15" x14ac:dyDescent="0.35">
      <c r="O540" s="35"/>
    </row>
  </sheetData>
  <mergeCells count="3">
    <mergeCell ref="K1:S1"/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  <ignoredErrors>
    <ignoredError sqref="H291:H30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K478"/>
  <sheetViews>
    <sheetView topLeftCell="A374" workbookViewId="0">
      <selection activeCell="C404" sqref="C404"/>
    </sheetView>
  </sheetViews>
  <sheetFormatPr defaultRowHeight="13.2" x14ac:dyDescent="0.25"/>
  <cols>
    <col min="1" max="1" width="11.88671875" customWidth="1"/>
  </cols>
  <sheetData>
    <row r="1" spans="1:9" x14ac:dyDescent="0.25">
      <c r="A1" s="65" t="s">
        <v>29</v>
      </c>
      <c r="B1" s="63" t="s">
        <v>4</v>
      </c>
      <c r="C1" s="63"/>
      <c r="D1" s="137" t="s">
        <v>5</v>
      </c>
      <c r="E1" s="138"/>
      <c r="F1" s="137" t="s">
        <v>6</v>
      </c>
      <c r="G1" s="138"/>
      <c r="H1" s="64"/>
    </row>
    <row r="2" spans="1:9" x14ac:dyDescent="0.25">
      <c r="A2" s="22" t="s">
        <v>9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</row>
    <row r="3" spans="1:9" x14ac:dyDescent="0.25">
      <c r="A3" s="10">
        <v>38855</v>
      </c>
      <c r="B3">
        <v>193.7</v>
      </c>
      <c r="C3">
        <v>207.1</v>
      </c>
      <c r="D3">
        <v>2907.4</v>
      </c>
      <c r="E3">
        <v>2957.3</v>
      </c>
      <c r="F3" s="11">
        <f>+B3+D3</f>
        <v>3101.1</v>
      </c>
      <c r="G3" s="12">
        <f>+C3+E3</f>
        <v>3164.4</v>
      </c>
      <c r="H3" s="14">
        <f>+(F3/G3-1)*100</f>
        <v>-2.0003792188092562</v>
      </c>
      <c r="I3">
        <v>314.89999999999998</v>
      </c>
    </row>
    <row r="4" spans="1:9" x14ac:dyDescent="0.25">
      <c r="A4" s="10">
        <f>+A3+7</f>
        <v>38862</v>
      </c>
      <c r="B4">
        <v>131.9</v>
      </c>
      <c r="C4">
        <v>139.30000000000001</v>
      </c>
      <c r="D4">
        <v>2928</v>
      </c>
      <c r="E4">
        <v>3067.4</v>
      </c>
      <c r="F4" s="11">
        <f>+B4+D4</f>
        <v>3059.9</v>
      </c>
      <c r="G4" s="18">
        <f>+C4+E4</f>
        <v>3206.7000000000003</v>
      </c>
      <c r="H4" s="14">
        <f>+(F4/G4-1)*100</f>
        <v>-4.577914990488674</v>
      </c>
      <c r="I4">
        <v>452.9</v>
      </c>
    </row>
    <row r="5" spans="1:9" x14ac:dyDescent="0.25">
      <c r="A5" s="10">
        <f>+A4+7</f>
        <v>38869</v>
      </c>
      <c r="B5">
        <v>548.29999999999995</v>
      </c>
      <c r="C5">
        <v>387.3</v>
      </c>
      <c r="D5">
        <v>0</v>
      </c>
      <c r="E5">
        <v>20.6</v>
      </c>
      <c r="F5">
        <f t="shared" ref="F5:G7" si="0">+B5+D5</f>
        <v>548.29999999999995</v>
      </c>
      <c r="G5">
        <f t="shared" si="0"/>
        <v>407.90000000000003</v>
      </c>
      <c r="H5" s="14">
        <f t="shared" ref="H5:H38" si="1">+(F5/G5-1)*100</f>
        <v>34.420201029664121</v>
      </c>
    </row>
    <row r="6" spans="1:9" x14ac:dyDescent="0.25">
      <c r="A6" s="10">
        <f t="shared" ref="A6:A68" si="2">+A5+7</f>
        <v>38876</v>
      </c>
      <c r="B6">
        <v>604.70000000000005</v>
      </c>
      <c r="C6">
        <v>500.4</v>
      </c>
      <c r="D6">
        <v>35</v>
      </c>
      <c r="E6">
        <v>49.1</v>
      </c>
      <c r="F6">
        <f t="shared" si="0"/>
        <v>639.70000000000005</v>
      </c>
      <c r="G6">
        <f t="shared" si="0"/>
        <v>549.5</v>
      </c>
      <c r="H6" s="14">
        <f t="shared" si="1"/>
        <v>16.414922656960872</v>
      </c>
    </row>
    <row r="7" spans="1:9" x14ac:dyDescent="0.25">
      <c r="A7" s="10">
        <f t="shared" si="2"/>
        <v>38883</v>
      </c>
      <c r="B7">
        <v>586.1</v>
      </c>
      <c r="C7">
        <v>520.70000000000005</v>
      </c>
      <c r="D7">
        <v>84.9</v>
      </c>
      <c r="E7">
        <v>95.3</v>
      </c>
      <c r="F7">
        <f t="shared" si="0"/>
        <v>671</v>
      </c>
      <c r="G7">
        <f t="shared" si="0"/>
        <v>616</v>
      </c>
      <c r="H7" s="14">
        <f t="shared" si="1"/>
        <v>8.9285714285714199</v>
      </c>
    </row>
    <row r="8" spans="1:9" x14ac:dyDescent="0.25">
      <c r="A8" s="10">
        <f t="shared" si="2"/>
        <v>38890</v>
      </c>
      <c r="B8">
        <v>534.20000000000005</v>
      </c>
      <c r="C8">
        <v>520.70000000000005</v>
      </c>
      <c r="D8">
        <v>202.1</v>
      </c>
      <c r="E8">
        <v>115.8</v>
      </c>
      <c r="F8">
        <f t="shared" ref="F8:G38" si="3">+B8+D8</f>
        <v>736.30000000000007</v>
      </c>
      <c r="G8">
        <f t="shared" si="3"/>
        <v>636.5</v>
      </c>
      <c r="H8" s="14">
        <f t="shared" si="1"/>
        <v>15.679497250589169</v>
      </c>
    </row>
    <row r="9" spans="1:9" x14ac:dyDescent="0.25">
      <c r="A9" s="10">
        <f t="shared" si="2"/>
        <v>38897</v>
      </c>
      <c r="B9">
        <v>537.4</v>
      </c>
      <c r="C9">
        <v>580.70000000000005</v>
      </c>
      <c r="D9">
        <v>263.2</v>
      </c>
      <c r="E9">
        <v>136.4</v>
      </c>
      <c r="F9" s="19">
        <f t="shared" si="3"/>
        <v>800.59999999999991</v>
      </c>
      <c r="G9" s="19">
        <f t="shared" si="3"/>
        <v>717.1</v>
      </c>
      <c r="H9" s="24">
        <f t="shared" si="1"/>
        <v>11.644122158694724</v>
      </c>
    </row>
    <row r="10" spans="1:9" x14ac:dyDescent="0.25">
      <c r="A10" s="10">
        <f t="shared" si="2"/>
        <v>38904</v>
      </c>
      <c r="B10">
        <v>505.8</v>
      </c>
      <c r="C10">
        <v>514.9</v>
      </c>
      <c r="D10">
        <v>341.3</v>
      </c>
      <c r="E10">
        <v>244.3</v>
      </c>
      <c r="F10" s="19">
        <f t="shared" si="3"/>
        <v>847.1</v>
      </c>
      <c r="G10" s="19">
        <f t="shared" si="3"/>
        <v>759.2</v>
      </c>
      <c r="H10" s="24">
        <f t="shared" si="1"/>
        <v>11.577976817702851</v>
      </c>
    </row>
    <row r="11" spans="1:9" x14ac:dyDescent="0.25">
      <c r="A11" s="10">
        <f t="shared" si="2"/>
        <v>38911</v>
      </c>
      <c r="B11">
        <v>517.1</v>
      </c>
      <c r="C11">
        <v>468.9</v>
      </c>
      <c r="D11">
        <v>392.1</v>
      </c>
      <c r="E11">
        <v>290.5</v>
      </c>
      <c r="F11" s="19">
        <f t="shared" si="3"/>
        <v>909.2</v>
      </c>
      <c r="G11" s="19">
        <f t="shared" si="3"/>
        <v>759.4</v>
      </c>
      <c r="H11" s="24">
        <f t="shared" si="1"/>
        <v>19.726099552278132</v>
      </c>
    </row>
    <row r="12" spans="1:9" x14ac:dyDescent="0.25">
      <c r="A12" s="10">
        <f t="shared" si="2"/>
        <v>38918</v>
      </c>
      <c r="B12">
        <v>495.5</v>
      </c>
      <c r="C12">
        <v>473.6</v>
      </c>
      <c r="D12">
        <v>464.2</v>
      </c>
      <c r="E12">
        <v>336.9</v>
      </c>
      <c r="F12" s="19">
        <f t="shared" si="3"/>
        <v>959.7</v>
      </c>
      <c r="G12" s="19">
        <f t="shared" si="3"/>
        <v>810.5</v>
      </c>
      <c r="H12" s="24">
        <f t="shared" si="1"/>
        <v>18.408389882788413</v>
      </c>
    </row>
    <row r="13" spans="1:9" x14ac:dyDescent="0.25">
      <c r="A13" s="10">
        <f t="shared" si="2"/>
        <v>38925</v>
      </c>
      <c r="B13">
        <v>495.5</v>
      </c>
      <c r="C13">
        <v>588.29999999999995</v>
      </c>
      <c r="D13">
        <v>485.6</v>
      </c>
      <c r="E13">
        <v>365.6</v>
      </c>
      <c r="F13" s="19">
        <f t="shared" si="3"/>
        <v>981.1</v>
      </c>
      <c r="G13" s="19">
        <f t="shared" si="3"/>
        <v>953.9</v>
      </c>
      <c r="H13" s="24">
        <f t="shared" si="1"/>
        <v>2.8514519341650058</v>
      </c>
    </row>
    <row r="14" spans="1:9" x14ac:dyDescent="0.25">
      <c r="A14" s="10">
        <f t="shared" si="2"/>
        <v>38932</v>
      </c>
      <c r="B14">
        <v>494.8</v>
      </c>
      <c r="C14">
        <v>542.70000000000005</v>
      </c>
      <c r="D14">
        <v>545.9</v>
      </c>
      <c r="E14">
        <v>453.2</v>
      </c>
      <c r="F14" s="19">
        <f t="shared" si="3"/>
        <v>1040.7</v>
      </c>
      <c r="G14" s="19">
        <f t="shared" si="3"/>
        <v>995.90000000000009</v>
      </c>
      <c r="H14" s="24">
        <f t="shared" si="1"/>
        <v>4.4984436188372223</v>
      </c>
    </row>
    <row r="15" spans="1:9" x14ac:dyDescent="0.25">
      <c r="A15" s="10">
        <f t="shared" si="2"/>
        <v>38939</v>
      </c>
      <c r="B15">
        <v>575.70000000000005</v>
      </c>
      <c r="C15">
        <v>506.4</v>
      </c>
      <c r="D15">
        <v>587.6</v>
      </c>
      <c r="E15">
        <v>561.20000000000005</v>
      </c>
      <c r="F15" s="19">
        <f t="shared" si="3"/>
        <v>1163.3000000000002</v>
      </c>
      <c r="G15" s="19">
        <f t="shared" si="3"/>
        <v>1067.5999999999999</v>
      </c>
      <c r="H15" s="24">
        <f t="shared" si="1"/>
        <v>8.964031472461631</v>
      </c>
    </row>
    <row r="16" spans="1:9" x14ac:dyDescent="0.25">
      <c r="A16" s="10">
        <f t="shared" si="2"/>
        <v>38946</v>
      </c>
      <c r="B16">
        <v>532.9</v>
      </c>
      <c r="C16">
        <v>487.4</v>
      </c>
      <c r="D16">
        <v>608.20000000000005</v>
      </c>
      <c r="E16">
        <v>602.4</v>
      </c>
      <c r="F16" s="19">
        <f t="shared" si="3"/>
        <v>1141.0999999999999</v>
      </c>
      <c r="G16" s="19">
        <f t="shared" si="3"/>
        <v>1089.8</v>
      </c>
      <c r="H16" s="24">
        <f t="shared" si="1"/>
        <v>4.7072857405028312</v>
      </c>
    </row>
    <row r="17" spans="1:8" x14ac:dyDescent="0.25">
      <c r="A17" s="10">
        <f t="shared" si="2"/>
        <v>38953</v>
      </c>
      <c r="B17">
        <v>536.70000000000005</v>
      </c>
      <c r="C17">
        <v>463.7</v>
      </c>
      <c r="D17">
        <v>649.4</v>
      </c>
      <c r="E17">
        <v>670.7</v>
      </c>
      <c r="F17" s="19">
        <f t="shared" si="3"/>
        <v>1186.0999999999999</v>
      </c>
      <c r="G17" s="19">
        <f t="shared" si="3"/>
        <v>1134.4000000000001</v>
      </c>
      <c r="H17" s="24">
        <f t="shared" si="1"/>
        <v>4.5574753173483584</v>
      </c>
    </row>
    <row r="18" spans="1:8" x14ac:dyDescent="0.25">
      <c r="A18" s="10">
        <f t="shared" si="2"/>
        <v>38960</v>
      </c>
      <c r="B18">
        <v>470.5</v>
      </c>
      <c r="C18">
        <v>470.6</v>
      </c>
      <c r="D18">
        <v>770.4</v>
      </c>
      <c r="E18">
        <v>773.4</v>
      </c>
      <c r="F18" s="19">
        <f t="shared" si="3"/>
        <v>1240.9000000000001</v>
      </c>
      <c r="G18" s="19">
        <f t="shared" si="3"/>
        <v>1244</v>
      </c>
      <c r="H18" s="24">
        <f t="shared" si="1"/>
        <v>-0.24919614147909108</v>
      </c>
    </row>
    <row r="19" spans="1:8" x14ac:dyDescent="0.25">
      <c r="A19" s="10">
        <f t="shared" si="2"/>
        <v>38967</v>
      </c>
      <c r="B19">
        <v>404.8</v>
      </c>
      <c r="C19">
        <v>539.79999999999995</v>
      </c>
      <c r="D19">
        <v>868.9</v>
      </c>
      <c r="E19">
        <v>782.8</v>
      </c>
      <c r="F19" s="19">
        <f t="shared" si="3"/>
        <v>1273.7</v>
      </c>
      <c r="G19" s="19">
        <f t="shared" si="3"/>
        <v>1322.6</v>
      </c>
      <c r="H19" s="24">
        <f t="shared" si="1"/>
        <v>-3.6972629668833967</v>
      </c>
    </row>
    <row r="20" spans="1:8" x14ac:dyDescent="0.25">
      <c r="A20" s="10">
        <f t="shared" si="2"/>
        <v>38974</v>
      </c>
      <c r="B20">
        <v>457.3</v>
      </c>
      <c r="C20">
        <v>548.5</v>
      </c>
      <c r="D20">
        <v>926</v>
      </c>
      <c r="E20">
        <v>857.9</v>
      </c>
      <c r="F20" s="19">
        <f t="shared" si="3"/>
        <v>1383.3</v>
      </c>
      <c r="G20" s="19">
        <f t="shared" si="3"/>
        <v>1406.4</v>
      </c>
      <c r="H20" s="24">
        <f t="shared" si="1"/>
        <v>-1.642491467576801</v>
      </c>
    </row>
    <row r="21" spans="1:8" x14ac:dyDescent="0.25">
      <c r="A21" s="10">
        <f t="shared" si="2"/>
        <v>38981</v>
      </c>
      <c r="B21">
        <v>487.8</v>
      </c>
      <c r="C21">
        <v>617.6</v>
      </c>
      <c r="D21">
        <v>977.5</v>
      </c>
      <c r="E21">
        <v>878.5</v>
      </c>
      <c r="F21" s="19">
        <f t="shared" si="3"/>
        <v>1465.3</v>
      </c>
      <c r="G21" s="19">
        <f t="shared" si="3"/>
        <v>1496.1</v>
      </c>
      <c r="H21" s="24">
        <f t="shared" si="1"/>
        <v>-2.0586859167167959</v>
      </c>
    </row>
    <row r="22" spans="1:8" x14ac:dyDescent="0.25">
      <c r="A22" s="10">
        <f t="shared" si="2"/>
        <v>38988</v>
      </c>
      <c r="B22">
        <v>488.1</v>
      </c>
      <c r="C22">
        <v>553.9</v>
      </c>
      <c r="D22">
        <v>1042.7</v>
      </c>
      <c r="E22">
        <v>948.1</v>
      </c>
      <c r="F22" s="19">
        <f t="shared" si="3"/>
        <v>1530.8000000000002</v>
      </c>
      <c r="G22" s="19">
        <f t="shared" si="3"/>
        <v>1502</v>
      </c>
      <c r="H22" s="24">
        <f t="shared" si="1"/>
        <v>1.9174434087882997</v>
      </c>
    </row>
    <row r="23" spans="1:8" x14ac:dyDescent="0.25">
      <c r="A23" s="10">
        <f t="shared" si="2"/>
        <v>38995</v>
      </c>
      <c r="B23">
        <v>471.2</v>
      </c>
      <c r="C23">
        <v>466.3</v>
      </c>
      <c r="D23">
        <v>1109.7</v>
      </c>
      <c r="E23">
        <v>1057</v>
      </c>
      <c r="F23" s="19">
        <f t="shared" si="3"/>
        <v>1580.9</v>
      </c>
      <c r="G23" s="19">
        <f t="shared" si="3"/>
        <v>1523.3</v>
      </c>
      <c r="H23" s="24">
        <f t="shared" si="1"/>
        <v>3.7812643602704643</v>
      </c>
    </row>
    <row r="24" spans="1:8" x14ac:dyDescent="0.25">
      <c r="A24" s="10">
        <f t="shared" si="2"/>
        <v>39002</v>
      </c>
      <c r="B24">
        <v>451.3</v>
      </c>
      <c r="C24">
        <v>456.3</v>
      </c>
      <c r="D24">
        <v>1151.9000000000001</v>
      </c>
      <c r="E24">
        <v>1077.5999999999999</v>
      </c>
      <c r="F24" s="19">
        <f t="shared" si="3"/>
        <v>1603.2</v>
      </c>
      <c r="G24" s="19">
        <f t="shared" si="3"/>
        <v>1533.8999999999999</v>
      </c>
      <c r="H24" s="24">
        <f t="shared" si="1"/>
        <v>4.5178955603364157</v>
      </c>
    </row>
    <row r="25" spans="1:8" x14ac:dyDescent="0.25">
      <c r="A25" s="10">
        <f t="shared" si="2"/>
        <v>39009</v>
      </c>
      <c r="B25">
        <v>475.6</v>
      </c>
      <c r="C25">
        <v>528.79999999999995</v>
      </c>
      <c r="D25">
        <v>1228.8</v>
      </c>
      <c r="E25">
        <v>1099.2</v>
      </c>
      <c r="F25" s="19">
        <f t="shared" si="3"/>
        <v>1704.4</v>
      </c>
      <c r="G25" s="19">
        <f t="shared" si="3"/>
        <v>1628</v>
      </c>
      <c r="H25" s="24">
        <f t="shared" si="1"/>
        <v>4.6928746928746934</v>
      </c>
    </row>
    <row r="26" spans="1:8" x14ac:dyDescent="0.25">
      <c r="A26" s="10">
        <f t="shared" si="2"/>
        <v>39016</v>
      </c>
      <c r="B26">
        <v>510.4</v>
      </c>
      <c r="C26">
        <v>551.5</v>
      </c>
      <c r="D26">
        <v>1270.0999999999999</v>
      </c>
      <c r="E26">
        <v>1167.5</v>
      </c>
      <c r="F26" s="19">
        <f t="shared" si="3"/>
        <v>1780.5</v>
      </c>
      <c r="G26" s="19">
        <f t="shared" si="3"/>
        <v>1719</v>
      </c>
      <c r="H26" s="24">
        <f t="shared" si="1"/>
        <v>3.5776614310645716</v>
      </c>
    </row>
    <row r="27" spans="1:8" x14ac:dyDescent="0.25">
      <c r="A27" s="10">
        <f t="shared" si="2"/>
        <v>39023</v>
      </c>
      <c r="B27">
        <v>468.4</v>
      </c>
      <c r="C27">
        <v>592.5</v>
      </c>
      <c r="D27">
        <v>1312.4</v>
      </c>
      <c r="E27">
        <v>1234.3</v>
      </c>
      <c r="F27" s="19">
        <f t="shared" si="3"/>
        <v>1780.8000000000002</v>
      </c>
      <c r="G27" s="19">
        <f t="shared" si="3"/>
        <v>1826.8</v>
      </c>
      <c r="H27" s="24">
        <f t="shared" si="1"/>
        <v>-2.5180643748631382</v>
      </c>
    </row>
    <row r="28" spans="1:8" x14ac:dyDescent="0.25">
      <c r="A28" s="10">
        <f t="shared" si="2"/>
        <v>39030</v>
      </c>
      <c r="B28">
        <v>421</v>
      </c>
      <c r="C28">
        <v>662.7</v>
      </c>
      <c r="D28">
        <v>1364.6</v>
      </c>
      <c r="E28">
        <v>1255.8</v>
      </c>
      <c r="F28" s="19">
        <f t="shared" si="3"/>
        <v>1785.6</v>
      </c>
      <c r="G28" s="19">
        <f t="shared" si="3"/>
        <v>1918.5</v>
      </c>
      <c r="H28" s="24">
        <f t="shared" si="1"/>
        <v>-6.9272869429241606</v>
      </c>
    </row>
    <row r="29" spans="1:8" x14ac:dyDescent="0.25">
      <c r="A29" s="10">
        <f t="shared" si="2"/>
        <v>39037</v>
      </c>
      <c r="B29">
        <v>488</v>
      </c>
      <c r="C29">
        <v>664.6</v>
      </c>
      <c r="D29">
        <v>1364.6</v>
      </c>
      <c r="E29">
        <v>1327.2</v>
      </c>
      <c r="F29" s="19">
        <f t="shared" si="3"/>
        <v>1852.6</v>
      </c>
      <c r="G29" s="19">
        <f t="shared" si="3"/>
        <v>1991.8000000000002</v>
      </c>
      <c r="H29" s="24">
        <f t="shared" si="1"/>
        <v>-6.988653479264995</v>
      </c>
    </row>
    <row r="30" spans="1:8" x14ac:dyDescent="0.25">
      <c r="A30" s="10">
        <f t="shared" si="2"/>
        <v>39044</v>
      </c>
      <c r="B30">
        <v>507.2</v>
      </c>
      <c r="C30">
        <v>541.5</v>
      </c>
      <c r="D30">
        <v>1437</v>
      </c>
      <c r="E30">
        <v>1450.8</v>
      </c>
      <c r="F30" s="19">
        <f t="shared" si="3"/>
        <v>1944.2</v>
      </c>
      <c r="G30" s="19">
        <f t="shared" si="3"/>
        <v>1992.3</v>
      </c>
      <c r="H30" s="24">
        <f t="shared" si="1"/>
        <v>-2.4142950358881698</v>
      </c>
    </row>
    <row r="31" spans="1:8" x14ac:dyDescent="0.25">
      <c r="A31" s="10">
        <f t="shared" si="2"/>
        <v>39051</v>
      </c>
      <c r="B31">
        <v>491.8</v>
      </c>
      <c r="C31">
        <v>557.20000000000005</v>
      </c>
      <c r="D31">
        <v>1544.5</v>
      </c>
      <c r="E31">
        <v>1471.5</v>
      </c>
      <c r="F31" s="19">
        <f t="shared" si="3"/>
        <v>2036.3</v>
      </c>
      <c r="G31" s="19">
        <f t="shared" si="3"/>
        <v>2028.7</v>
      </c>
      <c r="H31" s="24">
        <f t="shared" si="1"/>
        <v>0.37462414354019202</v>
      </c>
    </row>
    <row r="32" spans="1:8" x14ac:dyDescent="0.25">
      <c r="A32" s="10">
        <f t="shared" si="2"/>
        <v>39058</v>
      </c>
      <c r="B32">
        <v>549.4</v>
      </c>
      <c r="C32">
        <v>537.20000000000005</v>
      </c>
      <c r="D32">
        <v>1565.1</v>
      </c>
      <c r="E32">
        <v>1544.6</v>
      </c>
      <c r="F32" s="19">
        <f t="shared" si="3"/>
        <v>2114.5</v>
      </c>
      <c r="G32" s="19">
        <f t="shared" si="3"/>
        <v>2081.8000000000002</v>
      </c>
      <c r="H32" s="24">
        <f t="shared" si="1"/>
        <v>1.5707560764722794</v>
      </c>
    </row>
    <row r="33" spans="1:8" x14ac:dyDescent="0.25">
      <c r="A33" s="10">
        <f t="shared" si="2"/>
        <v>39065</v>
      </c>
      <c r="B33">
        <v>659.8</v>
      </c>
      <c r="C33">
        <v>599.29999999999995</v>
      </c>
      <c r="D33">
        <v>1585.7</v>
      </c>
      <c r="E33">
        <v>1565.2</v>
      </c>
      <c r="F33" s="19">
        <f t="shared" si="3"/>
        <v>2245.5</v>
      </c>
      <c r="G33" s="19">
        <f t="shared" si="3"/>
        <v>2164.5</v>
      </c>
      <c r="H33" s="24">
        <f t="shared" si="1"/>
        <v>3.7422037422037313</v>
      </c>
    </row>
    <row r="34" spans="1:8" x14ac:dyDescent="0.25">
      <c r="A34" s="10">
        <f t="shared" si="2"/>
        <v>39072</v>
      </c>
      <c r="B34">
        <v>691</v>
      </c>
      <c r="C34">
        <v>656.3</v>
      </c>
      <c r="D34">
        <v>1647.5</v>
      </c>
      <c r="E34">
        <v>1590.8</v>
      </c>
      <c r="F34" s="19">
        <f t="shared" si="3"/>
        <v>2338.5</v>
      </c>
      <c r="G34" s="19">
        <f t="shared" si="3"/>
        <v>2247.1</v>
      </c>
      <c r="H34" s="24">
        <f t="shared" si="1"/>
        <v>4.0674647323216684</v>
      </c>
    </row>
    <row r="35" spans="1:8" x14ac:dyDescent="0.25">
      <c r="A35" s="10">
        <f t="shared" si="2"/>
        <v>39079</v>
      </c>
      <c r="B35">
        <v>645.79999999999995</v>
      </c>
      <c r="C35">
        <v>540.9</v>
      </c>
      <c r="D35">
        <v>1693.9</v>
      </c>
      <c r="E35">
        <v>1710.2</v>
      </c>
      <c r="F35" s="19">
        <f t="shared" si="3"/>
        <v>2339.6999999999998</v>
      </c>
      <c r="G35" s="19">
        <f t="shared" si="3"/>
        <v>2251.1</v>
      </c>
      <c r="H35" s="24">
        <f t="shared" si="1"/>
        <v>3.9358535826929053</v>
      </c>
    </row>
    <row r="36" spans="1:8" x14ac:dyDescent="0.25">
      <c r="A36" s="10">
        <f t="shared" si="2"/>
        <v>39086</v>
      </c>
      <c r="B36">
        <v>581.1</v>
      </c>
      <c r="C36">
        <v>515.1</v>
      </c>
      <c r="D36">
        <v>1759.3</v>
      </c>
      <c r="E36">
        <v>1736</v>
      </c>
      <c r="F36" s="19">
        <f t="shared" si="3"/>
        <v>2340.4</v>
      </c>
      <c r="G36" s="19">
        <f t="shared" si="3"/>
        <v>2251.1</v>
      </c>
      <c r="H36" s="24">
        <f t="shared" si="1"/>
        <v>3.9669494913597836</v>
      </c>
    </row>
    <row r="37" spans="1:8" x14ac:dyDescent="0.25">
      <c r="A37" s="10">
        <f t="shared" si="2"/>
        <v>39093</v>
      </c>
      <c r="B37">
        <v>652.29999999999995</v>
      </c>
      <c r="C37">
        <v>521.70000000000005</v>
      </c>
      <c r="D37">
        <v>1827.3</v>
      </c>
      <c r="E37">
        <v>1797.8</v>
      </c>
      <c r="F37" s="19">
        <f t="shared" si="3"/>
        <v>2479.6</v>
      </c>
      <c r="G37" s="19">
        <f t="shared" si="3"/>
        <v>2319.5</v>
      </c>
      <c r="H37" s="24">
        <f t="shared" si="1"/>
        <v>6.9023496443198828</v>
      </c>
    </row>
    <row r="38" spans="1:8" x14ac:dyDescent="0.25">
      <c r="A38" s="10">
        <f t="shared" si="2"/>
        <v>39100</v>
      </c>
      <c r="B38">
        <v>637.20000000000005</v>
      </c>
      <c r="C38">
        <v>505.9</v>
      </c>
      <c r="D38">
        <v>1903.8</v>
      </c>
      <c r="E38">
        <v>1853.4</v>
      </c>
      <c r="F38" s="19">
        <f t="shared" si="3"/>
        <v>2541</v>
      </c>
      <c r="G38" s="19">
        <f t="shared" si="3"/>
        <v>2359.3000000000002</v>
      </c>
      <c r="H38" s="24">
        <f t="shared" si="1"/>
        <v>7.7014368668672839</v>
      </c>
    </row>
    <row r="39" spans="1:8" x14ac:dyDescent="0.25">
      <c r="A39" s="10">
        <f t="shared" si="2"/>
        <v>39107</v>
      </c>
      <c r="B39">
        <v>621.5</v>
      </c>
      <c r="C39">
        <v>627.29999999999995</v>
      </c>
      <c r="D39">
        <v>1992</v>
      </c>
      <c r="E39">
        <v>1865.8</v>
      </c>
      <c r="F39" s="19">
        <f t="shared" ref="F39:G41" si="4">+B39+D39</f>
        <v>2613.5</v>
      </c>
      <c r="G39" s="19">
        <f t="shared" si="4"/>
        <v>2493.1</v>
      </c>
      <c r="H39" s="24">
        <f t="shared" ref="H39:H44" si="5">+(F39/G39-1)*100</f>
        <v>4.8293289478962054</v>
      </c>
    </row>
    <row r="40" spans="1:8" x14ac:dyDescent="0.25">
      <c r="A40" s="10">
        <f t="shared" si="2"/>
        <v>39114</v>
      </c>
      <c r="B40">
        <v>572.6</v>
      </c>
      <c r="C40">
        <v>571.6</v>
      </c>
      <c r="D40">
        <v>2053.8000000000002</v>
      </c>
      <c r="E40">
        <v>1985.6</v>
      </c>
      <c r="F40" s="19">
        <f t="shared" si="4"/>
        <v>2626.4</v>
      </c>
      <c r="G40" s="19">
        <f t="shared" si="4"/>
        <v>2557.1999999999998</v>
      </c>
      <c r="H40" s="24">
        <f t="shared" si="5"/>
        <v>2.7060847802283794</v>
      </c>
    </row>
    <row r="41" spans="1:8" x14ac:dyDescent="0.25">
      <c r="A41" s="10">
        <f t="shared" si="2"/>
        <v>39121</v>
      </c>
      <c r="B41">
        <v>500.9</v>
      </c>
      <c r="C41">
        <v>539</v>
      </c>
      <c r="D41">
        <v>2188</v>
      </c>
      <c r="E41">
        <v>2074.9</v>
      </c>
      <c r="F41" s="19">
        <f t="shared" si="4"/>
        <v>2688.9</v>
      </c>
      <c r="G41" s="19">
        <f t="shared" si="4"/>
        <v>2613.9</v>
      </c>
      <c r="H41" s="24">
        <f t="shared" si="5"/>
        <v>2.8692757947893943</v>
      </c>
    </row>
    <row r="42" spans="1:8" x14ac:dyDescent="0.25">
      <c r="A42" s="10">
        <f t="shared" si="2"/>
        <v>39128</v>
      </c>
      <c r="B42">
        <v>568.6</v>
      </c>
      <c r="C42">
        <v>506.8</v>
      </c>
      <c r="D42">
        <v>2234.4</v>
      </c>
      <c r="E42">
        <v>2168.5</v>
      </c>
      <c r="F42" s="19">
        <f t="shared" ref="F42:G44" si="6">+B42+D42</f>
        <v>2803</v>
      </c>
      <c r="G42" s="19">
        <f t="shared" si="6"/>
        <v>2675.3</v>
      </c>
      <c r="H42" s="24">
        <f t="shared" si="5"/>
        <v>4.7732964527342547</v>
      </c>
    </row>
    <row r="43" spans="1:8" x14ac:dyDescent="0.25">
      <c r="A43" s="10">
        <f t="shared" si="2"/>
        <v>39135</v>
      </c>
      <c r="B43">
        <v>526.79999999999995</v>
      </c>
      <c r="C43">
        <v>433</v>
      </c>
      <c r="D43">
        <v>2356.1999999999998</v>
      </c>
      <c r="E43">
        <v>2263.9</v>
      </c>
      <c r="F43" s="19">
        <f t="shared" si="6"/>
        <v>2883</v>
      </c>
      <c r="G43" s="19">
        <f t="shared" si="6"/>
        <v>2696.9</v>
      </c>
      <c r="H43" s="24">
        <f t="shared" si="5"/>
        <v>6.9005154065779228</v>
      </c>
    </row>
    <row r="44" spans="1:8" x14ac:dyDescent="0.25">
      <c r="A44" s="10">
        <f t="shared" si="2"/>
        <v>39142</v>
      </c>
      <c r="B44">
        <v>595.6</v>
      </c>
      <c r="C44">
        <v>572.5</v>
      </c>
      <c r="D44">
        <v>2384.1999999999998</v>
      </c>
      <c r="E44">
        <v>2263.9</v>
      </c>
      <c r="F44" s="19">
        <f t="shared" si="6"/>
        <v>2979.7999999999997</v>
      </c>
      <c r="G44" s="19">
        <f t="shared" si="6"/>
        <v>2836.4</v>
      </c>
      <c r="H44" s="24">
        <f t="shared" si="5"/>
        <v>5.0557044140459695</v>
      </c>
    </row>
    <row r="45" spans="1:8" x14ac:dyDescent="0.25">
      <c r="A45" s="10">
        <f t="shared" si="2"/>
        <v>39149</v>
      </c>
      <c r="B45">
        <v>616.9</v>
      </c>
      <c r="C45">
        <v>660.6</v>
      </c>
      <c r="D45">
        <v>2384.6</v>
      </c>
      <c r="E45">
        <v>2263.9</v>
      </c>
      <c r="F45" s="19">
        <f t="shared" ref="F45:G47" si="7">+B45+D45</f>
        <v>3001.5</v>
      </c>
      <c r="G45" s="19">
        <f t="shared" si="7"/>
        <v>2924.5</v>
      </c>
      <c r="H45" s="24">
        <f t="shared" ref="H45:H50" si="8">+(F45/G45-1)*100</f>
        <v>2.6329287057616613</v>
      </c>
    </row>
    <row r="46" spans="1:8" x14ac:dyDescent="0.25">
      <c r="A46" s="10">
        <f t="shared" si="2"/>
        <v>39156</v>
      </c>
      <c r="B46">
        <v>687.1</v>
      </c>
      <c r="C46">
        <v>752.8</v>
      </c>
      <c r="D46">
        <v>2387.3000000000002</v>
      </c>
      <c r="E46">
        <v>2263.9</v>
      </c>
      <c r="F46" s="19">
        <f t="shared" si="7"/>
        <v>3074.4</v>
      </c>
      <c r="G46" s="19">
        <f t="shared" si="7"/>
        <v>3016.7</v>
      </c>
      <c r="H46" s="24">
        <f t="shared" si="8"/>
        <v>1.9126860476679886</v>
      </c>
    </row>
    <row r="47" spans="1:8" x14ac:dyDescent="0.25">
      <c r="A47" s="10">
        <f t="shared" si="2"/>
        <v>39163</v>
      </c>
      <c r="B47">
        <v>583.1</v>
      </c>
      <c r="C47">
        <v>655.1</v>
      </c>
      <c r="D47">
        <v>2505.8000000000002</v>
      </c>
      <c r="E47">
        <v>2362.6999999999998</v>
      </c>
      <c r="F47" s="19">
        <f t="shared" si="7"/>
        <v>3088.9</v>
      </c>
      <c r="G47" s="19">
        <f t="shared" si="7"/>
        <v>3017.7999999999997</v>
      </c>
      <c r="H47" s="24">
        <f t="shared" si="8"/>
        <v>2.3560209424083878</v>
      </c>
    </row>
    <row r="48" spans="1:8" x14ac:dyDescent="0.25">
      <c r="A48" s="10">
        <f t="shared" si="2"/>
        <v>39170</v>
      </c>
      <c r="B48">
        <v>601.79999999999995</v>
      </c>
      <c r="C48">
        <v>649.20000000000005</v>
      </c>
      <c r="D48">
        <v>2526.6</v>
      </c>
      <c r="E48">
        <v>2404</v>
      </c>
      <c r="F48" s="19">
        <f t="shared" ref="F48:G50" si="9">+B48+D48</f>
        <v>3128.3999999999996</v>
      </c>
      <c r="G48" s="19">
        <f t="shared" si="9"/>
        <v>3053.2</v>
      </c>
      <c r="H48" s="24">
        <f t="shared" si="8"/>
        <v>2.4629896502030624</v>
      </c>
    </row>
    <row r="49" spans="1:9" x14ac:dyDescent="0.25">
      <c r="A49" s="10">
        <f t="shared" si="2"/>
        <v>39177</v>
      </c>
      <c r="B49">
        <v>632.70000000000005</v>
      </c>
      <c r="C49">
        <v>587.20000000000005</v>
      </c>
      <c r="D49">
        <v>2639.9</v>
      </c>
      <c r="E49">
        <v>2465.8000000000002</v>
      </c>
      <c r="F49" s="19">
        <f t="shared" si="9"/>
        <v>3272.6000000000004</v>
      </c>
      <c r="G49" s="19">
        <f t="shared" si="9"/>
        <v>3053</v>
      </c>
      <c r="H49" s="24">
        <f t="shared" si="8"/>
        <v>7.1929249918113447</v>
      </c>
    </row>
    <row r="50" spans="1:9" x14ac:dyDescent="0.25">
      <c r="A50" s="10">
        <f t="shared" si="2"/>
        <v>39184</v>
      </c>
      <c r="B50">
        <v>627</v>
      </c>
      <c r="C50">
        <v>601.4</v>
      </c>
      <c r="D50">
        <v>2716.2</v>
      </c>
      <c r="E50">
        <v>2512.5</v>
      </c>
      <c r="F50" s="19">
        <f t="shared" si="9"/>
        <v>3343.2</v>
      </c>
      <c r="G50" s="19">
        <f t="shared" si="9"/>
        <v>3113.9</v>
      </c>
      <c r="H50" s="24">
        <f t="shared" si="8"/>
        <v>7.3637560615305464</v>
      </c>
    </row>
    <row r="51" spans="1:9" x14ac:dyDescent="0.25">
      <c r="A51" s="10">
        <f t="shared" si="2"/>
        <v>39191</v>
      </c>
      <c r="B51">
        <v>712.7</v>
      </c>
      <c r="C51">
        <v>632</v>
      </c>
      <c r="D51">
        <v>2736.8</v>
      </c>
      <c r="E51">
        <v>2533.1</v>
      </c>
      <c r="F51" s="19">
        <f t="shared" ref="F51:G53" si="10">+B51+D51</f>
        <v>3449.5</v>
      </c>
      <c r="G51" s="19">
        <f t="shared" si="10"/>
        <v>3165.1</v>
      </c>
      <c r="H51" s="24">
        <f t="shared" ref="H51:H57" si="11">+(F51/G51-1)*100</f>
        <v>8.985498088528022</v>
      </c>
    </row>
    <row r="52" spans="1:9" x14ac:dyDescent="0.25">
      <c r="A52" s="10">
        <f t="shared" si="2"/>
        <v>39198</v>
      </c>
      <c r="B52">
        <v>635.6</v>
      </c>
      <c r="C52">
        <v>662.8</v>
      </c>
      <c r="D52">
        <v>2817.9</v>
      </c>
      <c r="E52">
        <v>2576.1</v>
      </c>
      <c r="F52" s="19">
        <f t="shared" si="10"/>
        <v>3453.5</v>
      </c>
      <c r="G52" s="19">
        <f t="shared" si="10"/>
        <v>3238.8999999999996</v>
      </c>
      <c r="H52" s="24">
        <f t="shared" si="11"/>
        <v>6.6257062582975923</v>
      </c>
    </row>
    <row r="53" spans="1:9" x14ac:dyDescent="0.25">
      <c r="A53" s="10">
        <f t="shared" si="2"/>
        <v>39205</v>
      </c>
      <c r="B53">
        <v>569.6</v>
      </c>
      <c r="C53">
        <v>508.8</v>
      </c>
      <c r="D53">
        <v>2884.4</v>
      </c>
      <c r="E53">
        <v>2643.9</v>
      </c>
      <c r="F53" s="19">
        <f t="shared" si="10"/>
        <v>3454</v>
      </c>
      <c r="G53" s="19">
        <f t="shared" si="10"/>
        <v>3152.7000000000003</v>
      </c>
      <c r="H53" s="24">
        <f t="shared" si="11"/>
        <v>9.5568877470104887</v>
      </c>
    </row>
    <row r="54" spans="1:9" x14ac:dyDescent="0.25">
      <c r="A54" s="10">
        <f t="shared" si="2"/>
        <v>39212</v>
      </c>
      <c r="B54">
        <v>451.4</v>
      </c>
      <c r="C54">
        <v>358.3</v>
      </c>
      <c r="D54">
        <v>3052.3</v>
      </c>
      <c r="E54">
        <v>2791.2</v>
      </c>
      <c r="F54" s="19">
        <f t="shared" ref="F54:G56" si="12">+B54+D54</f>
        <v>3503.7000000000003</v>
      </c>
      <c r="G54" s="19">
        <f t="shared" si="12"/>
        <v>3149.5</v>
      </c>
      <c r="H54" s="24">
        <f t="shared" si="11"/>
        <v>11.246229560247677</v>
      </c>
      <c r="I54">
        <v>20</v>
      </c>
    </row>
    <row r="55" spans="1:9" x14ac:dyDescent="0.25">
      <c r="A55" s="10">
        <f t="shared" si="2"/>
        <v>39219</v>
      </c>
      <c r="B55">
        <v>399.5</v>
      </c>
      <c r="C55">
        <v>193.7</v>
      </c>
      <c r="D55">
        <v>3130.3</v>
      </c>
      <c r="E55">
        <v>2907.4</v>
      </c>
      <c r="F55" s="19">
        <f t="shared" si="12"/>
        <v>3529.8</v>
      </c>
      <c r="G55" s="19">
        <f t="shared" si="12"/>
        <v>3101.1</v>
      </c>
      <c r="H55" s="24">
        <f t="shared" si="11"/>
        <v>13.824126922704849</v>
      </c>
      <c r="I55">
        <v>70.900000000000006</v>
      </c>
    </row>
    <row r="56" spans="1:9" x14ac:dyDescent="0.25">
      <c r="A56" s="10">
        <f t="shared" si="2"/>
        <v>39226</v>
      </c>
      <c r="B56">
        <v>250.8</v>
      </c>
      <c r="C56">
        <v>131.9</v>
      </c>
      <c r="D56">
        <v>3181.3</v>
      </c>
      <c r="E56">
        <v>2928</v>
      </c>
      <c r="F56" s="19">
        <f t="shared" si="12"/>
        <v>3432.1000000000004</v>
      </c>
      <c r="G56" s="19">
        <f t="shared" si="12"/>
        <v>3059.9</v>
      </c>
      <c r="H56" s="24">
        <f t="shared" si="11"/>
        <v>12.163796202490285</v>
      </c>
      <c r="I56">
        <v>204.3</v>
      </c>
    </row>
    <row r="57" spans="1:9" x14ac:dyDescent="0.25">
      <c r="A57" s="10">
        <f t="shared" si="2"/>
        <v>39233</v>
      </c>
      <c r="F57">
        <v>3227.7</v>
      </c>
      <c r="G57">
        <v>2965.7</v>
      </c>
      <c r="H57" s="24">
        <f t="shared" si="11"/>
        <v>8.8343392790909405</v>
      </c>
    </row>
    <row r="58" spans="1:9" x14ac:dyDescent="0.25">
      <c r="A58" s="10">
        <f t="shared" si="2"/>
        <v>39240</v>
      </c>
      <c r="B58">
        <v>449.2</v>
      </c>
      <c r="C58">
        <v>604.70000000000005</v>
      </c>
      <c r="D58">
        <v>57</v>
      </c>
      <c r="E58">
        <v>35</v>
      </c>
      <c r="F58" s="19">
        <f t="shared" ref="F58:G60" si="13">+B58+D58</f>
        <v>506.2</v>
      </c>
      <c r="G58" s="19">
        <f t="shared" si="13"/>
        <v>639.70000000000005</v>
      </c>
      <c r="H58" s="24">
        <f t="shared" ref="H58:H63" si="14">+(F58/G58-1)*100</f>
        <v>-20.869157417539476</v>
      </c>
    </row>
    <row r="59" spans="1:9" x14ac:dyDescent="0.25">
      <c r="A59" s="10">
        <f t="shared" si="2"/>
        <v>39247</v>
      </c>
      <c r="B59">
        <v>419.9</v>
      </c>
      <c r="C59">
        <v>586.1</v>
      </c>
      <c r="D59">
        <v>132.9</v>
      </c>
      <c r="E59">
        <v>84.9</v>
      </c>
      <c r="F59" s="19">
        <f t="shared" si="13"/>
        <v>552.79999999999995</v>
      </c>
      <c r="G59" s="19">
        <f t="shared" si="13"/>
        <v>671</v>
      </c>
      <c r="H59" s="24">
        <f t="shared" si="14"/>
        <v>-17.615499254843524</v>
      </c>
    </row>
    <row r="60" spans="1:9" x14ac:dyDescent="0.25">
      <c r="A60" s="10">
        <f t="shared" si="2"/>
        <v>39254</v>
      </c>
      <c r="B60">
        <v>424.9</v>
      </c>
      <c r="C60">
        <v>534.20000000000005</v>
      </c>
      <c r="D60">
        <v>153.5</v>
      </c>
      <c r="E60">
        <v>202.1</v>
      </c>
      <c r="F60" s="19">
        <f t="shared" si="13"/>
        <v>578.4</v>
      </c>
      <c r="G60" s="19">
        <f t="shared" si="13"/>
        <v>736.30000000000007</v>
      </c>
      <c r="H60" s="24">
        <f t="shared" si="14"/>
        <v>-21.445063153605879</v>
      </c>
    </row>
    <row r="61" spans="1:9" x14ac:dyDescent="0.25">
      <c r="A61" s="10">
        <f t="shared" si="2"/>
        <v>39261</v>
      </c>
      <c r="B61">
        <v>393.1</v>
      </c>
      <c r="C61">
        <v>537.4</v>
      </c>
      <c r="D61">
        <v>214.6</v>
      </c>
      <c r="E61">
        <v>263.2</v>
      </c>
      <c r="F61" s="19">
        <f t="shared" ref="F61:G63" si="15">+B61+D61</f>
        <v>607.70000000000005</v>
      </c>
      <c r="G61" s="19">
        <f t="shared" si="15"/>
        <v>800.59999999999991</v>
      </c>
      <c r="H61" s="24">
        <f t="shared" si="14"/>
        <v>-24.094429178116393</v>
      </c>
    </row>
    <row r="62" spans="1:9" x14ac:dyDescent="0.25">
      <c r="A62" s="10">
        <f t="shared" si="2"/>
        <v>39268</v>
      </c>
      <c r="B62">
        <v>363</v>
      </c>
      <c r="C62">
        <v>505.8</v>
      </c>
      <c r="D62">
        <v>245.6</v>
      </c>
      <c r="E62">
        <v>341.3</v>
      </c>
      <c r="F62" s="19">
        <f t="shared" si="15"/>
        <v>608.6</v>
      </c>
      <c r="G62" s="19">
        <f t="shared" si="15"/>
        <v>847.1</v>
      </c>
      <c r="H62" s="24">
        <f t="shared" si="14"/>
        <v>-28.154881359933892</v>
      </c>
    </row>
    <row r="63" spans="1:9" x14ac:dyDescent="0.25">
      <c r="A63" s="10">
        <f t="shared" si="2"/>
        <v>39275</v>
      </c>
      <c r="B63">
        <v>404.2</v>
      </c>
      <c r="C63">
        <v>517.1</v>
      </c>
      <c r="D63">
        <v>286.8</v>
      </c>
      <c r="E63">
        <v>392.1</v>
      </c>
      <c r="F63" s="19">
        <f t="shared" si="15"/>
        <v>691</v>
      </c>
      <c r="G63" s="19">
        <f t="shared" si="15"/>
        <v>909.2</v>
      </c>
      <c r="H63" s="24">
        <f t="shared" si="14"/>
        <v>-23.999120105587334</v>
      </c>
    </row>
    <row r="64" spans="1:9" x14ac:dyDescent="0.25">
      <c r="A64" s="10">
        <f t="shared" si="2"/>
        <v>39282</v>
      </c>
      <c r="B64">
        <v>438.7</v>
      </c>
      <c r="C64">
        <v>495.5</v>
      </c>
      <c r="D64">
        <v>340.3</v>
      </c>
      <c r="E64">
        <v>464.2</v>
      </c>
      <c r="F64" s="19">
        <f t="shared" ref="F64:G66" si="16">+B64+D64</f>
        <v>779</v>
      </c>
      <c r="G64" s="19">
        <f t="shared" si="16"/>
        <v>959.7</v>
      </c>
      <c r="H64" s="24">
        <f t="shared" ref="H64:H69" si="17">+(F64/G64-1)*100</f>
        <v>-18.828800666875068</v>
      </c>
    </row>
    <row r="65" spans="1:8" x14ac:dyDescent="0.25">
      <c r="A65" s="10">
        <f t="shared" si="2"/>
        <v>39289</v>
      </c>
      <c r="B65">
        <v>357.6</v>
      </c>
      <c r="C65">
        <v>495.8</v>
      </c>
      <c r="D65">
        <v>428.4</v>
      </c>
      <c r="E65">
        <v>485.6</v>
      </c>
      <c r="F65" s="19">
        <f t="shared" si="16"/>
        <v>786</v>
      </c>
      <c r="G65" s="19">
        <f t="shared" si="16"/>
        <v>981.40000000000009</v>
      </c>
      <c r="H65" s="24">
        <f t="shared" si="17"/>
        <v>-19.910332178520484</v>
      </c>
    </row>
    <row r="66" spans="1:8" x14ac:dyDescent="0.25">
      <c r="A66" s="10">
        <f t="shared" si="2"/>
        <v>39296</v>
      </c>
      <c r="B66">
        <v>387.6</v>
      </c>
      <c r="C66">
        <v>494.8</v>
      </c>
      <c r="D66">
        <v>495.3</v>
      </c>
      <c r="E66">
        <v>545.9</v>
      </c>
      <c r="F66" s="19">
        <f t="shared" si="16"/>
        <v>882.90000000000009</v>
      </c>
      <c r="G66" s="19">
        <f t="shared" si="16"/>
        <v>1040.7</v>
      </c>
      <c r="H66" s="24">
        <f t="shared" si="17"/>
        <v>-15.162871144422018</v>
      </c>
    </row>
    <row r="67" spans="1:8" x14ac:dyDescent="0.25">
      <c r="A67" s="10">
        <f t="shared" si="2"/>
        <v>39303</v>
      </c>
      <c r="B67">
        <v>431.4</v>
      </c>
      <c r="C67">
        <v>575.70000000000005</v>
      </c>
      <c r="D67">
        <v>583.5</v>
      </c>
      <c r="E67">
        <v>587.6</v>
      </c>
      <c r="F67" s="19">
        <f t="shared" ref="F67:G69" si="18">+B67+D67</f>
        <v>1014.9</v>
      </c>
      <c r="G67" s="19">
        <f t="shared" si="18"/>
        <v>1163.3000000000002</v>
      </c>
      <c r="H67" s="24">
        <f t="shared" si="17"/>
        <v>-12.756812516117954</v>
      </c>
    </row>
    <row r="68" spans="1:8" x14ac:dyDescent="0.25">
      <c r="A68" s="10">
        <f t="shared" si="2"/>
        <v>39310</v>
      </c>
      <c r="B68">
        <v>445.8</v>
      </c>
      <c r="C68">
        <v>532.9</v>
      </c>
      <c r="D68">
        <v>614.5</v>
      </c>
      <c r="E68">
        <v>608.20000000000005</v>
      </c>
      <c r="F68" s="19">
        <f t="shared" si="18"/>
        <v>1060.3</v>
      </c>
      <c r="G68" s="19">
        <f t="shared" si="18"/>
        <v>1141.0999999999999</v>
      </c>
      <c r="H68" s="24">
        <f t="shared" si="17"/>
        <v>-7.0808868635527045</v>
      </c>
    </row>
    <row r="69" spans="1:8" x14ac:dyDescent="0.25">
      <c r="A69" s="10">
        <f t="shared" ref="A69:A255" si="19">+A68+7</f>
        <v>39317</v>
      </c>
      <c r="B69">
        <v>404.6</v>
      </c>
      <c r="C69">
        <v>536.70000000000005</v>
      </c>
      <c r="D69">
        <v>676.3</v>
      </c>
      <c r="E69">
        <v>649.4</v>
      </c>
      <c r="F69" s="19">
        <f t="shared" si="18"/>
        <v>1080.9000000000001</v>
      </c>
      <c r="G69" s="19">
        <f t="shared" si="18"/>
        <v>1186.0999999999999</v>
      </c>
      <c r="H69" s="24">
        <f t="shared" si="17"/>
        <v>-8.8694039288424129</v>
      </c>
    </row>
    <row r="70" spans="1:8" x14ac:dyDescent="0.25">
      <c r="A70" s="10">
        <f t="shared" si="19"/>
        <v>39324</v>
      </c>
      <c r="B70">
        <v>379.6</v>
      </c>
      <c r="C70">
        <v>470.5</v>
      </c>
      <c r="D70">
        <v>722.7</v>
      </c>
      <c r="E70">
        <v>770.4</v>
      </c>
      <c r="F70" s="19">
        <f t="shared" ref="F70:G72" si="20">+B70+D70</f>
        <v>1102.3000000000002</v>
      </c>
      <c r="G70" s="19">
        <f t="shared" si="20"/>
        <v>1240.9000000000001</v>
      </c>
      <c r="H70" s="24">
        <f t="shared" ref="H70:H75" si="21">+(F70/G70-1)*100</f>
        <v>-11.169312595696667</v>
      </c>
    </row>
    <row r="71" spans="1:8" x14ac:dyDescent="0.25">
      <c r="A71" s="36">
        <f t="shared" si="19"/>
        <v>39331</v>
      </c>
      <c r="B71">
        <v>499.5</v>
      </c>
      <c r="C71">
        <v>404.8</v>
      </c>
      <c r="D71">
        <v>763.9</v>
      </c>
      <c r="E71">
        <v>868.9</v>
      </c>
      <c r="F71" s="19">
        <f t="shared" si="20"/>
        <v>1263.4000000000001</v>
      </c>
      <c r="G71" s="19">
        <f t="shared" si="20"/>
        <v>1273.7</v>
      </c>
      <c r="H71" s="24">
        <f t="shared" si="21"/>
        <v>-0.8086676611446908</v>
      </c>
    </row>
    <row r="72" spans="1:8" x14ac:dyDescent="0.25">
      <c r="A72" s="10">
        <f t="shared" si="19"/>
        <v>39338</v>
      </c>
      <c r="B72">
        <v>541.79999999999995</v>
      </c>
      <c r="C72">
        <v>457.3</v>
      </c>
      <c r="D72">
        <v>815.5</v>
      </c>
      <c r="E72">
        <v>926</v>
      </c>
      <c r="F72" s="19">
        <f t="shared" si="20"/>
        <v>1357.3</v>
      </c>
      <c r="G72" s="19">
        <f t="shared" si="20"/>
        <v>1383.3</v>
      </c>
      <c r="H72" s="24">
        <f t="shared" si="21"/>
        <v>-1.8795633629726027</v>
      </c>
    </row>
    <row r="73" spans="1:8" x14ac:dyDescent="0.25">
      <c r="A73" s="10">
        <f t="shared" si="19"/>
        <v>39345</v>
      </c>
      <c r="B73">
        <v>615.70000000000005</v>
      </c>
      <c r="C73">
        <v>487.8</v>
      </c>
      <c r="D73">
        <v>856.6</v>
      </c>
      <c r="E73">
        <v>977.5</v>
      </c>
      <c r="F73" s="19">
        <f t="shared" ref="F73:G75" si="22">+B73+D73</f>
        <v>1472.3000000000002</v>
      </c>
      <c r="G73" s="19">
        <f t="shared" si="22"/>
        <v>1465.3</v>
      </c>
      <c r="H73" s="24">
        <f t="shared" si="21"/>
        <v>0.47771787347301586</v>
      </c>
    </row>
    <row r="74" spans="1:8" x14ac:dyDescent="0.25">
      <c r="A74" s="10">
        <f t="shared" si="19"/>
        <v>39352</v>
      </c>
      <c r="B74">
        <v>538.29999999999995</v>
      </c>
      <c r="C74">
        <v>488.1</v>
      </c>
      <c r="D74">
        <v>935.5</v>
      </c>
      <c r="E74">
        <v>1042.7</v>
      </c>
      <c r="F74" s="19">
        <f t="shared" si="22"/>
        <v>1473.8</v>
      </c>
      <c r="G74" s="19">
        <f t="shared" si="22"/>
        <v>1530.8000000000002</v>
      </c>
      <c r="H74" s="24">
        <f t="shared" si="21"/>
        <v>-3.7235432453619155</v>
      </c>
    </row>
    <row r="75" spans="1:8" x14ac:dyDescent="0.25">
      <c r="A75" s="10">
        <f t="shared" si="19"/>
        <v>39359</v>
      </c>
      <c r="B75">
        <v>634</v>
      </c>
      <c r="C75">
        <v>471.2</v>
      </c>
      <c r="D75">
        <v>956.2</v>
      </c>
      <c r="E75">
        <v>1109.7</v>
      </c>
      <c r="F75" s="19">
        <f t="shared" si="22"/>
        <v>1590.2</v>
      </c>
      <c r="G75" s="19">
        <f t="shared" si="22"/>
        <v>1580.9</v>
      </c>
      <c r="H75" s="24">
        <f t="shared" si="21"/>
        <v>0.58827250300461653</v>
      </c>
    </row>
    <row r="76" spans="1:8" x14ac:dyDescent="0.25">
      <c r="A76" s="10">
        <f t="shared" si="19"/>
        <v>39366</v>
      </c>
      <c r="B76">
        <v>684.5</v>
      </c>
      <c r="C76">
        <v>451.3</v>
      </c>
      <c r="D76">
        <v>998.4</v>
      </c>
      <c r="E76">
        <v>1151.9000000000001</v>
      </c>
      <c r="F76" s="19">
        <f t="shared" ref="F76:G78" si="23">+B76+D76</f>
        <v>1682.9</v>
      </c>
      <c r="G76" s="19">
        <f t="shared" si="23"/>
        <v>1603.2</v>
      </c>
      <c r="H76" s="24">
        <f t="shared" ref="H76:H81" si="24">+(F76/G76-1)*100</f>
        <v>4.9713073852295508</v>
      </c>
    </row>
    <row r="77" spans="1:8" x14ac:dyDescent="0.25">
      <c r="A77" s="10">
        <f t="shared" si="19"/>
        <v>39373</v>
      </c>
      <c r="B77">
        <v>705.9</v>
      </c>
      <c r="C77">
        <v>475.6</v>
      </c>
      <c r="D77">
        <v>1054.7</v>
      </c>
      <c r="E77">
        <v>1228.8</v>
      </c>
      <c r="F77" s="19">
        <f t="shared" si="23"/>
        <v>1760.6</v>
      </c>
      <c r="G77" s="19">
        <f t="shared" si="23"/>
        <v>1704.4</v>
      </c>
      <c r="H77" s="24">
        <f t="shared" si="24"/>
        <v>3.2973480403660993</v>
      </c>
    </row>
    <row r="78" spans="1:8" x14ac:dyDescent="0.25">
      <c r="A78" s="10">
        <f t="shared" si="19"/>
        <v>39380</v>
      </c>
      <c r="B78">
        <v>617.20000000000005</v>
      </c>
      <c r="C78">
        <v>510.4</v>
      </c>
      <c r="D78">
        <v>1147.3</v>
      </c>
      <c r="E78">
        <v>1270.0999999999999</v>
      </c>
      <c r="F78" s="19">
        <f t="shared" si="23"/>
        <v>1764.5</v>
      </c>
      <c r="G78" s="19">
        <f t="shared" si="23"/>
        <v>1780.5</v>
      </c>
      <c r="H78" s="24">
        <f t="shared" si="24"/>
        <v>-0.89862398202752436</v>
      </c>
    </row>
    <row r="79" spans="1:8" x14ac:dyDescent="0.25">
      <c r="A79" s="10">
        <f t="shared" si="19"/>
        <v>39387</v>
      </c>
      <c r="B79">
        <v>556.79999999999995</v>
      </c>
      <c r="C79">
        <v>468.4</v>
      </c>
      <c r="D79">
        <v>1209.2</v>
      </c>
      <c r="E79">
        <v>1312.4</v>
      </c>
      <c r="F79" s="19">
        <f t="shared" ref="F79:G81" si="25">+B79+D79</f>
        <v>1766</v>
      </c>
      <c r="G79" s="19">
        <f t="shared" si="25"/>
        <v>1780.8000000000002</v>
      </c>
      <c r="H79" s="24">
        <f t="shared" si="24"/>
        <v>-0.83108715184188053</v>
      </c>
    </row>
    <row r="80" spans="1:8" x14ac:dyDescent="0.25">
      <c r="A80" s="10">
        <f t="shared" si="19"/>
        <v>39394</v>
      </c>
      <c r="B80">
        <v>530.6</v>
      </c>
      <c r="C80">
        <v>421</v>
      </c>
      <c r="D80">
        <v>1314.4</v>
      </c>
      <c r="E80">
        <v>1364.1</v>
      </c>
      <c r="F80" s="19">
        <f t="shared" si="25"/>
        <v>1845</v>
      </c>
      <c r="G80" s="19">
        <f t="shared" si="25"/>
        <v>1785.1</v>
      </c>
      <c r="H80" s="24">
        <f t="shared" si="24"/>
        <v>3.3555543106828845</v>
      </c>
    </row>
    <row r="81" spans="1:8" x14ac:dyDescent="0.25">
      <c r="A81" s="10">
        <f t="shared" si="19"/>
        <v>39401</v>
      </c>
      <c r="B81">
        <v>585.29999999999995</v>
      </c>
      <c r="C81">
        <v>488</v>
      </c>
      <c r="D81">
        <v>1340.2</v>
      </c>
      <c r="E81">
        <v>1364.1</v>
      </c>
      <c r="F81" s="19">
        <f t="shared" si="25"/>
        <v>1925.5</v>
      </c>
      <c r="G81" s="19">
        <f t="shared" si="25"/>
        <v>1852.1</v>
      </c>
      <c r="H81" s="24">
        <f t="shared" si="24"/>
        <v>3.9630689487608617</v>
      </c>
    </row>
    <row r="82" spans="1:8" x14ac:dyDescent="0.25">
      <c r="A82" s="10">
        <f t="shared" si="19"/>
        <v>39408</v>
      </c>
      <c r="B82">
        <v>669.8</v>
      </c>
      <c r="C82">
        <v>507.2</v>
      </c>
      <c r="D82">
        <v>1345.4</v>
      </c>
      <c r="E82">
        <v>1436.5</v>
      </c>
      <c r="F82" s="19">
        <f t="shared" ref="F82:G84" si="26">+B82+D82</f>
        <v>2015.2</v>
      </c>
      <c r="G82" s="19">
        <f t="shared" si="26"/>
        <v>1943.7</v>
      </c>
      <c r="H82" s="24">
        <f t="shared" ref="H82:H87" si="27">+(F82/G82-1)*100</f>
        <v>3.6785512167515577</v>
      </c>
    </row>
    <row r="83" spans="1:8" x14ac:dyDescent="0.25">
      <c r="A83" s="10">
        <f t="shared" si="19"/>
        <v>39415</v>
      </c>
      <c r="B83">
        <v>638.9</v>
      </c>
      <c r="C83">
        <v>491.8</v>
      </c>
      <c r="D83">
        <v>1396.9</v>
      </c>
      <c r="E83">
        <v>1544.5</v>
      </c>
      <c r="F83" s="19">
        <f t="shared" si="26"/>
        <v>2035.8000000000002</v>
      </c>
      <c r="G83" s="19">
        <f t="shared" si="26"/>
        <v>2036.3</v>
      </c>
      <c r="H83" s="24">
        <f t="shared" si="27"/>
        <v>-2.4554338751647808E-2</v>
      </c>
    </row>
    <row r="84" spans="1:8" x14ac:dyDescent="0.25">
      <c r="A84" s="10">
        <f t="shared" si="19"/>
        <v>39422</v>
      </c>
      <c r="B84">
        <v>660.8</v>
      </c>
      <c r="C84">
        <v>549.4</v>
      </c>
      <c r="D84">
        <v>1510</v>
      </c>
      <c r="E84">
        <v>1565.1</v>
      </c>
      <c r="F84" s="19">
        <f t="shared" si="26"/>
        <v>2170.8000000000002</v>
      </c>
      <c r="G84" s="19">
        <f t="shared" si="26"/>
        <v>2114.5</v>
      </c>
      <c r="H84" s="24">
        <f t="shared" si="27"/>
        <v>2.6625679829747062</v>
      </c>
    </row>
    <row r="85" spans="1:8" x14ac:dyDescent="0.25">
      <c r="A85" s="10">
        <f t="shared" si="19"/>
        <v>39429</v>
      </c>
      <c r="B85">
        <v>705.8</v>
      </c>
      <c r="C85">
        <v>659.8</v>
      </c>
      <c r="D85">
        <v>1583.8</v>
      </c>
      <c r="E85">
        <v>1585.7</v>
      </c>
      <c r="F85" s="19">
        <f t="shared" ref="F85:G87" si="28">+B85+D85</f>
        <v>2289.6</v>
      </c>
      <c r="G85" s="19">
        <f t="shared" si="28"/>
        <v>2245.5</v>
      </c>
      <c r="H85" s="24">
        <f t="shared" si="27"/>
        <v>1.9639278557114226</v>
      </c>
    </row>
    <row r="86" spans="1:8" x14ac:dyDescent="0.25">
      <c r="A86" s="10">
        <f t="shared" si="19"/>
        <v>39436</v>
      </c>
      <c r="B86">
        <v>920.1</v>
      </c>
      <c r="C86">
        <v>691</v>
      </c>
      <c r="D86">
        <v>1604.4</v>
      </c>
      <c r="E86">
        <v>1647.5</v>
      </c>
      <c r="F86" s="19">
        <f t="shared" si="28"/>
        <v>2524.5</v>
      </c>
      <c r="G86" s="19">
        <f t="shared" si="28"/>
        <v>2338.5</v>
      </c>
      <c r="H86" s="24">
        <f t="shared" si="27"/>
        <v>7.9538165490699253</v>
      </c>
    </row>
    <row r="87" spans="1:8" x14ac:dyDescent="0.25">
      <c r="A87" s="10">
        <f t="shared" si="19"/>
        <v>39443</v>
      </c>
      <c r="B87">
        <v>897.2</v>
      </c>
      <c r="C87">
        <v>645.79999999999995</v>
      </c>
      <c r="D87">
        <v>1627.4</v>
      </c>
      <c r="E87">
        <v>1693.9</v>
      </c>
      <c r="F87" s="19">
        <f t="shared" si="28"/>
        <v>2524.6000000000004</v>
      </c>
      <c r="G87" s="19">
        <f t="shared" si="28"/>
        <v>2339.6999999999998</v>
      </c>
      <c r="H87" s="24">
        <f t="shared" si="27"/>
        <v>7.902722571269849</v>
      </c>
    </row>
    <row r="88" spans="1:8" x14ac:dyDescent="0.25">
      <c r="A88" s="10">
        <f t="shared" si="19"/>
        <v>39450</v>
      </c>
      <c r="B88">
        <v>867.2</v>
      </c>
      <c r="C88">
        <v>581.1</v>
      </c>
      <c r="D88">
        <v>1672.8</v>
      </c>
      <c r="E88">
        <v>1759.3</v>
      </c>
      <c r="F88" s="19">
        <f t="shared" ref="F88:G90" si="29">+B88+D88</f>
        <v>2540</v>
      </c>
      <c r="G88" s="19">
        <f t="shared" si="29"/>
        <v>2340.4</v>
      </c>
      <c r="H88" s="24">
        <f t="shared" ref="H88:H93" si="30">+(F88/G88-1)*100</f>
        <v>8.5284566740728032</v>
      </c>
    </row>
    <row r="89" spans="1:8" x14ac:dyDescent="0.25">
      <c r="A89" s="10">
        <f t="shared" si="19"/>
        <v>39457</v>
      </c>
      <c r="B89">
        <v>420.5</v>
      </c>
      <c r="C89">
        <v>401.1</v>
      </c>
      <c r="D89">
        <v>1650.9</v>
      </c>
      <c r="E89">
        <v>1363.5</v>
      </c>
      <c r="F89" s="19">
        <f t="shared" si="29"/>
        <v>2071.4</v>
      </c>
      <c r="G89" s="19">
        <f t="shared" si="29"/>
        <v>1764.6</v>
      </c>
      <c r="H89" s="24">
        <f t="shared" si="30"/>
        <v>17.386376515924297</v>
      </c>
    </row>
    <row r="90" spans="1:8" x14ac:dyDescent="0.25">
      <c r="A90" s="10">
        <f t="shared" si="19"/>
        <v>39464</v>
      </c>
      <c r="B90">
        <v>837.3</v>
      </c>
      <c r="C90">
        <v>637.20000000000005</v>
      </c>
      <c r="D90">
        <v>1922.9</v>
      </c>
      <c r="E90">
        <v>1903.8</v>
      </c>
      <c r="F90" s="19">
        <f t="shared" si="29"/>
        <v>2760.2</v>
      </c>
      <c r="G90" s="19">
        <f t="shared" si="29"/>
        <v>2541</v>
      </c>
      <c r="H90" s="24">
        <f t="shared" si="30"/>
        <v>8.626524990161343</v>
      </c>
    </row>
    <row r="91" spans="1:8" x14ac:dyDescent="0.25">
      <c r="A91" s="10">
        <f t="shared" si="19"/>
        <v>39471</v>
      </c>
      <c r="B91">
        <v>929.1</v>
      </c>
      <c r="C91">
        <v>621.5</v>
      </c>
      <c r="D91">
        <v>1969.3</v>
      </c>
      <c r="E91">
        <v>1992</v>
      </c>
      <c r="F91" s="19">
        <f t="shared" ref="F91:G93" si="31">+B91+D91</f>
        <v>2898.4</v>
      </c>
      <c r="G91" s="19">
        <f t="shared" si="31"/>
        <v>2613.5</v>
      </c>
      <c r="H91" s="24">
        <f t="shared" si="30"/>
        <v>10.901090491677824</v>
      </c>
    </row>
    <row r="92" spans="1:8" x14ac:dyDescent="0.25">
      <c r="A92" s="10">
        <f t="shared" si="19"/>
        <v>39478</v>
      </c>
      <c r="B92">
        <v>853.4</v>
      </c>
      <c r="C92">
        <v>572.6</v>
      </c>
      <c r="D92">
        <v>2046.4</v>
      </c>
      <c r="E92">
        <v>2053.8000000000002</v>
      </c>
      <c r="F92" s="19">
        <f t="shared" si="31"/>
        <v>2899.8</v>
      </c>
      <c r="G92" s="19">
        <f t="shared" si="31"/>
        <v>2626.4</v>
      </c>
      <c r="H92" s="24">
        <f t="shared" si="30"/>
        <v>10.409686262564733</v>
      </c>
    </row>
    <row r="93" spans="1:8" x14ac:dyDescent="0.25">
      <c r="A93" s="10">
        <f t="shared" si="19"/>
        <v>39485</v>
      </c>
      <c r="B93">
        <v>904.4</v>
      </c>
      <c r="C93">
        <v>500.9</v>
      </c>
      <c r="D93">
        <v>2087.6</v>
      </c>
      <c r="E93">
        <v>2188</v>
      </c>
      <c r="F93" s="19">
        <f t="shared" si="31"/>
        <v>2992</v>
      </c>
      <c r="G93" s="19">
        <f t="shared" si="31"/>
        <v>2688.9</v>
      </c>
      <c r="H93" s="24">
        <f t="shared" si="30"/>
        <v>11.272267469969123</v>
      </c>
    </row>
    <row r="94" spans="1:8" x14ac:dyDescent="0.25">
      <c r="A94" s="10">
        <f t="shared" si="19"/>
        <v>39492</v>
      </c>
      <c r="B94">
        <v>865.5</v>
      </c>
      <c r="C94">
        <v>568.6</v>
      </c>
      <c r="D94">
        <v>2190.6</v>
      </c>
      <c r="E94">
        <v>2234.4</v>
      </c>
      <c r="F94" s="19">
        <f t="shared" ref="F94:G96" si="32">+B94+D94</f>
        <v>3056.1</v>
      </c>
      <c r="G94" s="19">
        <f t="shared" si="32"/>
        <v>2803</v>
      </c>
      <c r="H94" s="24">
        <f t="shared" ref="H94:H99" si="33">+(F94/G94-1)*100</f>
        <v>9.0296111309311478</v>
      </c>
    </row>
    <row r="95" spans="1:8" x14ac:dyDescent="0.25">
      <c r="A95" s="10">
        <f t="shared" si="19"/>
        <v>39499</v>
      </c>
      <c r="B95">
        <v>853.4</v>
      </c>
      <c r="C95">
        <v>526.79999999999995</v>
      </c>
      <c r="D95">
        <v>2313.1999999999998</v>
      </c>
      <c r="E95">
        <v>2356.1999999999998</v>
      </c>
      <c r="F95" s="19">
        <f t="shared" si="32"/>
        <v>3166.6</v>
      </c>
      <c r="G95" s="19">
        <f t="shared" si="32"/>
        <v>2883</v>
      </c>
      <c r="H95" s="24">
        <f t="shared" si="33"/>
        <v>9.8369753728754681</v>
      </c>
    </row>
    <row r="96" spans="1:8" x14ac:dyDescent="0.25">
      <c r="A96" s="10">
        <f t="shared" si="19"/>
        <v>39506</v>
      </c>
      <c r="B96">
        <v>782</v>
      </c>
      <c r="C96">
        <v>595.6</v>
      </c>
      <c r="D96">
        <v>2384.9</v>
      </c>
      <c r="E96">
        <v>2384.1999999999998</v>
      </c>
      <c r="F96" s="19">
        <f t="shared" si="32"/>
        <v>3166.9</v>
      </c>
      <c r="G96" s="19">
        <f t="shared" si="32"/>
        <v>2979.7999999999997</v>
      </c>
      <c r="H96" s="24">
        <f t="shared" si="33"/>
        <v>6.2789448956305893</v>
      </c>
    </row>
    <row r="97" spans="1:9" x14ac:dyDescent="0.25">
      <c r="A97" s="10">
        <f t="shared" si="19"/>
        <v>39513</v>
      </c>
      <c r="B97">
        <v>836.1</v>
      </c>
      <c r="C97">
        <v>616.9</v>
      </c>
      <c r="D97">
        <v>2405.5</v>
      </c>
      <c r="E97">
        <v>2384.6</v>
      </c>
      <c r="F97" s="19">
        <f t="shared" ref="F97:G99" si="34">+B97+D97</f>
        <v>3241.6</v>
      </c>
      <c r="G97" s="19">
        <f t="shared" si="34"/>
        <v>3001.5</v>
      </c>
      <c r="H97" s="24">
        <f t="shared" si="33"/>
        <v>7.9993336665000747</v>
      </c>
    </row>
    <row r="98" spans="1:9" x14ac:dyDescent="0.25">
      <c r="A98" s="10">
        <f t="shared" si="19"/>
        <v>39520</v>
      </c>
      <c r="B98">
        <v>879.3</v>
      </c>
      <c r="C98">
        <v>687.1</v>
      </c>
      <c r="D98">
        <v>2405.6</v>
      </c>
      <c r="E98">
        <v>2387.3000000000002</v>
      </c>
      <c r="F98" s="19">
        <f t="shared" si="34"/>
        <v>3284.8999999999996</v>
      </c>
      <c r="G98" s="19">
        <f t="shared" si="34"/>
        <v>3074.4</v>
      </c>
      <c r="H98" s="24">
        <f t="shared" si="33"/>
        <v>6.8468644288316227</v>
      </c>
    </row>
    <row r="99" spans="1:9" x14ac:dyDescent="0.25">
      <c r="A99" s="10">
        <f t="shared" si="19"/>
        <v>39527</v>
      </c>
      <c r="B99">
        <v>805.6</v>
      </c>
      <c r="C99">
        <v>583.1</v>
      </c>
      <c r="D99">
        <v>2534.4</v>
      </c>
      <c r="E99">
        <v>2505.4</v>
      </c>
      <c r="F99" s="19">
        <f t="shared" si="34"/>
        <v>3340</v>
      </c>
      <c r="G99" s="19">
        <f t="shared" si="34"/>
        <v>3088.5</v>
      </c>
      <c r="H99" s="24">
        <f t="shared" si="33"/>
        <v>8.1431115428201473</v>
      </c>
    </row>
    <row r="100" spans="1:9" x14ac:dyDescent="0.25">
      <c r="A100" s="10">
        <f t="shared" si="19"/>
        <v>39534</v>
      </c>
      <c r="B100">
        <v>687.7</v>
      </c>
      <c r="C100">
        <v>601.79999999999995</v>
      </c>
      <c r="D100">
        <v>2652.8</v>
      </c>
      <c r="E100">
        <v>2526.1999999999998</v>
      </c>
      <c r="F100" s="19">
        <f t="shared" ref="F100:G102" si="35">+B100+D100</f>
        <v>3340.5</v>
      </c>
      <c r="G100" s="19">
        <f t="shared" si="35"/>
        <v>3128</v>
      </c>
      <c r="H100" s="24">
        <f t="shared" ref="H100:H105" si="36">+(F100/G100-1)*100</f>
        <v>6.7934782608695565</v>
      </c>
    </row>
    <row r="101" spans="1:9" x14ac:dyDescent="0.25">
      <c r="A101" s="10">
        <f t="shared" si="19"/>
        <v>39541</v>
      </c>
      <c r="B101">
        <v>640.6</v>
      </c>
      <c r="C101">
        <v>632.70000000000005</v>
      </c>
      <c r="D101">
        <v>2704.3</v>
      </c>
      <c r="E101">
        <v>2639.5</v>
      </c>
      <c r="F101" s="19">
        <f t="shared" si="35"/>
        <v>3344.9</v>
      </c>
      <c r="G101" s="19">
        <f t="shared" si="35"/>
        <v>3272.2</v>
      </c>
      <c r="H101" s="24">
        <f t="shared" si="36"/>
        <v>2.2217468369904125</v>
      </c>
    </row>
    <row r="102" spans="1:9" x14ac:dyDescent="0.25">
      <c r="A102" s="10">
        <f t="shared" si="19"/>
        <v>39548</v>
      </c>
      <c r="B102">
        <v>595.1</v>
      </c>
      <c r="C102">
        <v>627</v>
      </c>
      <c r="D102">
        <v>2750.7</v>
      </c>
      <c r="E102">
        <v>2715.8</v>
      </c>
      <c r="F102" s="19">
        <f t="shared" si="35"/>
        <v>3345.7999999999997</v>
      </c>
      <c r="G102" s="19">
        <f t="shared" si="35"/>
        <v>3342.8</v>
      </c>
      <c r="H102" s="24">
        <f t="shared" si="36"/>
        <v>8.9745123848250508E-2</v>
      </c>
    </row>
    <row r="103" spans="1:9" x14ac:dyDescent="0.25">
      <c r="A103" s="10">
        <f t="shared" si="19"/>
        <v>39555</v>
      </c>
      <c r="B103">
        <v>567.9</v>
      </c>
      <c r="C103">
        <v>712.7</v>
      </c>
      <c r="D103">
        <v>2779.1</v>
      </c>
      <c r="E103">
        <v>2736.4</v>
      </c>
      <c r="F103" s="19">
        <f t="shared" ref="F103:G105" si="37">+B103+D103</f>
        <v>3347</v>
      </c>
      <c r="G103" s="19">
        <f t="shared" si="37"/>
        <v>3449.1000000000004</v>
      </c>
      <c r="H103" s="24">
        <f t="shared" si="36"/>
        <v>-2.9601925139891683</v>
      </c>
    </row>
    <row r="104" spans="1:9" x14ac:dyDescent="0.25">
      <c r="A104" s="10">
        <f t="shared" si="19"/>
        <v>39562</v>
      </c>
      <c r="B104">
        <v>560.9</v>
      </c>
      <c r="C104">
        <v>635.6</v>
      </c>
      <c r="D104">
        <v>2811.9</v>
      </c>
      <c r="E104">
        <v>2817.5</v>
      </c>
      <c r="F104" s="19">
        <f t="shared" si="37"/>
        <v>3372.8</v>
      </c>
      <c r="G104" s="19">
        <f t="shared" si="37"/>
        <v>3453.1</v>
      </c>
      <c r="H104" s="24">
        <f t="shared" si="36"/>
        <v>-2.3254467000666024</v>
      </c>
    </row>
    <row r="105" spans="1:9" x14ac:dyDescent="0.25">
      <c r="A105" s="10">
        <f t="shared" si="19"/>
        <v>39569</v>
      </c>
      <c r="B105">
        <v>452.6</v>
      </c>
      <c r="C105">
        <v>569.6</v>
      </c>
      <c r="D105">
        <v>2949.6</v>
      </c>
      <c r="E105">
        <v>2884.4</v>
      </c>
      <c r="F105" s="19">
        <f t="shared" si="37"/>
        <v>3402.2</v>
      </c>
      <c r="G105" s="19">
        <f t="shared" si="37"/>
        <v>3454</v>
      </c>
      <c r="H105" s="24">
        <f t="shared" si="36"/>
        <v>-1.499710480602201</v>
      </c>
      <c r="I105">
        <v>187.5</v>
      </c>
    </row>
    <row r="106" spans="1:9" x14ac:dyDescent="0.25">
      <c r="A106" s="10">
        <f t="shared" si="19"/>
        <v>39576</v>
      </c>
      <c r="B106">
        <v>383.4</v>
      </c>
      <c r="C106">
        <v>451.4</v>
      </c>
      <c r="D106">
        <v>3040.7</v>
      </c>
      <c r="E106">
        <v>3052.3</v>
      </c>
      <c r="F106" s="19">
        <f t="shared" ref="F106:G108" si="38">+B106+D106</f>
        <v>3424.1</v>
      </c>
      <c r="G106" s="19">
        <f t="shared" si="38"/>
        <v>3503.7000000000003</v>
      </c>
      <c r="H106" s="24">
        <f t="shared" ref="H106:H111" si="39">+(F106/G106-1)*100</f>
        <v>-2.2718840083340575</v>
      </c>
      <c r="I106">
        <v>187.5</v>
      </c>
    </row>
    <row r="107" spans="1:9" x14ac:dyDescent="0.25">
      <c r="A107" s="10">
        <f t="shared" si="19"/>
        <v>39583</v>
      </c>
      <c r="B107">
        <v>354.4</v>
      </c>
      <c r="C107">
        <v>399.5</v>
      </c>
      <c r="D107">
        <v>3112.6</v>
      </c>
      <c r="E107">
        <v>3130.3</v>
      </c>
      <c r="F107" s="19">
        <f t="shared" si="38"/>
        <v>3467</v>
      </c>
      <c r="G107" s="19">
        <f t="shared" si="38"/>
        <v>3529.8</v>
      </c>
      <c r="H107" s="24">
        <f t="shared" si="39"/>
        <v>-1.7791376281942384</v>
      </c>
      <c r="I107">
        <v>216.3</v>
      </c>
    </row>
    <row r="108" spans="1:9" x14ac:dyDescent="0.25">
      <c r="A108" s="10">
        <f t="shared" si="19"/>
        <v>39590</v>
      </c>
      <c r="B108">
        <v>284.8</v>
      </c>
      <c r="C108">
        <v>250.8</v>
      </c>
      <c r="D108">
        <v>3180.3</v>
      </c>
      <c r="E108">
        <v>3181.3</v>
      </c>
      <c r="F108" s="19">
        <f t="shared" si="38"/>
        <v>3465.1000000000004</v>
      </c>
      <c r="G108" s="19">
        <f t="shared" si="38"/>
        <v>3432.1000000000004</v>
      </c>
      <c r="H108" s="24">
        <f t="shared" si="39"/>
        <v>0.96151044549983578</v>
      </c>
      <c r="I108">
        <v>242.9</v>
      </c>
    </row>
    <row r="109" spans="1:9" x14ac:dyDescent="0.25">
      <c r="A109" s="10">
        <f t="shared" si="19"/>
        <v>39597</v>
      </c>
      <c r="B109">
        <v>177.6</v>
      </c>
      <c r="C109">
        <v>205.2</v>
      </c>
      <c r="D109">
        <v>3319.4</v>
      </c>
      <c r="E109">
        <v>3227.7</v>
      </c>
      <c r="F109" s="19">
        <f t="shared" ref="F109:G111" si="40">+B109+D109</f>
        <v>3497</v>
      </c>
      <c r="G109" s="19">
        <f t="shared" si="40"/>
        <v>3432.8999999999996</v>
      </c>
      <c r="H109" s="24">
        <f t="shared" si="39"/>
        <v>1.8672259605581498</v>
      </c>
      <c r="I109">
        <v>262.8</v>
      </c>
    </row>
    <row r="110" spans="1:9" x14ac:dyDescent="0.25">
      <c r="A110" s="10">
        <f t="shared" si="19"/>
        <v>39604</v>
      </c>
      <c r="B110">
        <v>501.5</v>
      </c>
      <c r="C110">
        <v>449.2</v>
      </c>
      <c r="D110">
        <v>97.8</v>
      </c>
      <c r="E110">
        <v>57</v>
      </c>
      <c r="F110" s="19">
        <f t="shared" si="40"/>
        <v>599.29999999999995</v>
      </c>
      <c r="G110" s="19">
        <f t="shared" si="40"/>
        <v>506.2</v>
      </c>
      <c r="H110" s="24">
        <f t="shared" si="39"/>
        <v>18.391939944685888</v>
      </c>
    </row>
    <row r="111" spans="1:9" x14ac:dyDescent="0.25">
      <c r="A111" s="10">
        <f t="shared" si="19"/>
        <v>39611</v>
      </c>
      <c r="B111">
        <v>501.5</v>
      </c>
      <c r="C111">
        <v>449.2</v>
      </c>
      <c r="D111">
        <v>97.8</v>
      </c>
      <c r="E111">
        <v>57</v>
      </c>
      <c r="F111" s="19">
        <f t="shared" si="40"/>
        <v>599.29999999999995</v>
      </c>
      <c r="G111" s="19">
        <f t="shared" si="40"/>
        <v>506.2</v>
      </c>
      <c r="H111" s="24">
        <f t="shared" si="39"/>
        <v>18.391939944685888</v>
      </c>
    </row>
    <row r="112" spans="1:9" x14ac:dyDescent="0.25">
      <c r="A112" s="10">
        <f t="shared" si="19"/>
        <v>39618</v>
      </c>
      <c r="B112">
        <v>756.8</v>
      </c>
      <c r="C112">
        <v>424.9</v>
      </c>
      <c r="D112">
        <v>162.69999999999999</v>
      </c>
      <c r="E112">
        <v>153.5</v>
      </c>
      <c r="F112" s="19">
        <f t="shared" ref="F112:G114" si="41">+B112+D112</f>
        <v>919.5</v>
      </c>
      <c r="G112" s="19">
        <f t="shared" si="41"/>
        <v>578.4</v>
      </c>
      <c r="H112" s="24">
        <f t="shared" ref="H112:H117" si="42">+(F112/G112-1)*100</f>
        <v>58.973029045643166</v>
      </c>
    </row>
    <row r="113" spans="1:8" x14ac:dyDescent="0.25">
      <c r="A113" s="10">
        <f t="shared" si="19"/>
        <v>39625</v>
      </c>
      <c r="B113">
        <v>879.5</v>
      </c>
      <c r="C113">
        <v>393.1</v>
      </c>
      <c r="D113">
        <v>189.5</v>
      </c>
      <c r="E113">
        <v>214.6</v>
      </c>
      <c r="F113" s="19">
        <f t="shared" si="41"/>
        <v>1069</v>
      </c>
      <c r="G113" s="19">
        <f t="shared" si="41"/>
        <v>607.70000000000005</v>
      </c>
      <c r="H113" s="24">
        <f t="shared" si="42"/>
        <v>75.909165706763176</v>
      </c>
    </row>
    <row r="114" spans="1:8" x14ac:dyDescent="0.25">
      <c r="A114" s="10">
        <f t="shared" si="19"/>
        <v>39632</v>
      </c>
      <c r="B114">
        <v>942.1</v>
      </c>
      <c r="C114">
        <v>363</v>
      </c>
      <c r="D114">
        <v>211.1</v>
      </c>
      <c r="E114">
        <v>245.6</v>
      </c>
      <c r="F114" s="19">
        <f t="shared" si="41"/>
        <v>1153.2</v>
      </c>
      <c r="G114" s="19">
        <f t="shared" si="41"/>
        <v>608.6</v>
      </c>
      <c r="H114" s="24">
        <f t="shared" si="42"/>
        <v>89.484061781137029</v>
      </c>
    </row>
    <row r="115" spans="1:8" x14ac:dyDescent="0.25">
      <c r="A115" s="10">
        <f t="shared" si="19"/>
        <v>39639</v>
      </c>
      <c r="B115">
        <v>1078.2</v>
      </c>
      <c r="C115">
        <v>404.2</v>
      </c>
      <c r="D115">
        <v>211.1</v>
      </c>
      <c r="E115">
        <v>286.8</v>
      </c>
      <c r="F115" s="19">
        <f t="shared" ref="F115:G117" si="43">+B115+D115</f>
        <v>1289.3</v>
      </c>
      <c r="G115" s="19">
        <f t="shared" si="43"/>
        <v>691</v>
      </c>
      <c r="H115" s="24">
        <f t="shared" si="42"/>
        <v>86.584659913169304</v>
      </c>
    </row>
    <row r="116" spans="1:8" x14ac:dyDescent="0.25">
      <c r="A116" s="10">
        <f t="shared" si="19"/>
        <v>39646</v>
      </c>
      <c r="B116">
        <v>1057.7</v>
      </c>
      <c r="C116">
        <v>438.7</v>
      </c>
      <c r="D116">
        <v>239.9</v>
      </c>
      <c r="E116">
        <v>340.3</v>
      </c>
      <c r="F116" s="19">
        <f t="shared" si="43"/>
        <v>1297.6000000000001</v>
      </c>
      <c r="G116" s="19">
        <f t="shared" si="43"/>
        <v>779</v>
      </c>
      <c r="H116" s="24">
        <f t="shared" si="42"/>
        <v>66.572528883183594</v>
      </c>
    </row>
    <row r="117" spans="1:8" x14ac:dyDescent="0.25">
      <c r="A117" s="10">
        <f t="shared" si="19"/>
        <v>39653</v>
      </c>
      <c r="B117">
        <v>1048.5999999999999</v>
      </c>
      <c r="C117">
        <v>357.6</v>
      </c>
      <c r="D117">
        <v>280.7</v>
      </c>
      <c r="E117">
        <v>428.4</v>
      </c>
      <c r="F117" s="19">
        <f t="shared" si="43"/>
        <v>1329.3</v>
      </c>
      <c r="G117" s="19">
        <f t="shared" si="43"/>
        <v>786</v>
      </c>
      <c r="H117" s="24">
        <f t="shared" si="42"/>
        <v>69.122137404580158</v>
      </c>
    </row>
    <row r="118" spans="1:8" x14ac:dyDescent="0.25">
      <c r="A118" s="10">
        <f t="shared" si="19"/>
        <v>39660</v>
      </c>
      <c r="B118">
        <v>964.8</v>
      </c>
      <c r="C118">
        <v>387.6</v>
      </c>
      <c r="D118">
        <v>407.7</v>
      </c>
      <c r="E118">
        <v>495.3</v>
      </c>
      <c r="F118" s="19">
        <f t="shared" ref="F118:G120" si="44">+B118+D118</f>
        <v>1372.5</v>
      </c>
      <c r="G118" s="19">
        <f t="shared" si="44"/>
        <v>882.90000000000009</v>
      </c>
      <c r="H118" s="24">
        <f t="shared" ref="H118:H123" si="45">+(F118/G118-1)*100</f>
        <v>55.453618756371029</v>
      </c>
    </row>
    <row r="119" spans="1:8" x14ac:dyDescent="0.25">
      <c r="A119" s="10">
        <f t="shared" si="19"/>
        <v>39667</v>
      </c>
      <c r="B119">
        <v>989.8</v>
      </c>
      <c r="C119">
        <v>431.4</v>
      </c>
      <c r="D119">
        <v>450</v>
      </c>
      <c r="E119">
        <v>583.5</v>
      </c>
      <c r="F119" s="19">
        <f t="shared" si="44"/>
        <v>1439.8</v>
      </c>
      <c r="G119" s="19">
        <f t="shared" si="44"/>
        <v>1014.9</v>
      </c>
      <c r="H119" s="24">
        <f t="shared" si="45"/>
        <v>41.866193713666377</v>
      </c>
    </row>
    <row r="120" spans="1:8" x14ac:dyDescent="0.25">
      <c r="A120" s="10">
        <f t="shared" si="19"/>
        <v>39674</v>
      </c>
      <c r="B120">
        <v>891.6</v>
      </c>
      <c r="C120">
        <v>445.8</v>
      </c>
      <c r="D120">
        <v>549</v>
      </c>
      <c r="E120">
        <v>614.5</v>
      </c>
      <c r="F120" s="19">
        <f t="shared" si="44"/>
        <v>1440.6</v>
      </c>
      <c r="G120" s="19">
        <f t="shared" si="44"/>
        <v>1060.3</v>
      </c>
      <c r="H120" s="24">
        <f t="shared" si="45"/>
        <v>35.867207394133736</v>
      </c>
    </row>
    <row r="121" spans="1:8" x14ac:dyDescent="0.25">
      <c r="A121" s="10">
        <f t="shared" si="19"/>
        <v>39681</v>
      </c>
      <c r="B121">
        <v>817.6</v>
      </c>
      <c r="C121">
        <v>404.6</v>
      </c>
      <c r="D121">
        <v>644.20000000000005</v>
      </c>
      <c r="E121">
        <v>676.3</v>
      </c>
      <c r="F121" s="19">
        <f t="shared" ref="F121:G123" si="46">+B121+D121</f>
        <v>1461.8000000000002</v>
      </c>
      <c r="G121" s="19">
        <f t="shared" si="46"/>
        <v>1080.9000000000001</v>
      </c>
      <c r="H121" s="24">
        <f t="shared" si="45"/>
        <v>35.239152558053476</v>
      </c>
    </row>
    <row r="122" spans="1:8" x14ac:dyDescent="0.25">
      <c r="A122" s="10">
        <f t="shared" si="19"/>
        <v>39688</v>
      </c>
      <c r="B122">
        <v>879.7</v>
      </c>
      <c r="C122">
        <v>379.6</v>
      </c>
      <c r="D122">
        <v>669.5</v>
      </c>
      <c r="E122">
        <v>722.7</v>
      </c>
      <c r="F122" s="19">
        <f t="shared" si="46"/>
        <v>1549.2</v>
      </c>
      <c r="G122" s="19">
        <f t="shared" si="46"/>
        <v>1102.3000000000002</v>
      </c>
      <c r="H122" s="24">
        <f t="shared" si="45"/>
        <v>40.542502041186587</v>
      </c>
    </row>
    <row r="123" spans="1:8" x14ac:dyDescent="0.25">
      <c r="A123" s="10">
        <f t="shared" si="19"/>
        <v>39695</v>
      </c>
      <c r="B123">
        <v>810.1</v>
      </c>
      <c r="C123">
        <v>499.5</v>
      </c>
      <c r="D123">
        <v>846.5</v>
      </c>
      <c r="E123">
        <v>763.9</v>
      </c>
      <c r="F123" s="19">
        <f t="shared" si="46"/>
        <v>1656.6</v>
      </c>
      <c r="G123" s="19">
        <f t="shared" si="46"/>
        <v>1263.4000000000001</v>
      </c>
      <c r="H123" s="24">
        <f t="shared" si="45"/>
        <v>31.122368212759199</v>
      </c>
    </row>
    <row r="124" spans="1:8" x14ac:dyDescent="0.25">
      <c r="A124" s="10">
        <f t="shared" si="19"/>
        <v>39702</v>
      </c>
      <c r="B124">
        <v>841.2</v>
      </c>
      <c r="C124">
        <v>541.79999999999995</v>
      </c>
      <c r="D124">
        <v>931.1</v>
      </c>
      <c r="E124">
        <v>815.5</v>
      </c>
      <c r="F124" s="19">
        <f t="shared" ref="F124:G126" si="47">+B124+D124</f>
        <v>1772.3000000000002</v>
      </c>
      <c r="G124" s="19">
        <f t="shared" si="47"/>
        <v>1357.3</v>
      </c>
      <c r="H124" s="24">
        <f t="shared" ref="H124:H129" si="48">+(F124/G124-1)*100</f>
        <v>30.575407058130132</v>
      </c>
    </row>
    <row r="125" spans="1:8" x14ac:dyDescent="0.25">
      <c r="A125" s="10">
        <f t="shared" si="19"/>
        <v>39709</v>
      </c>
      <c r="B125">
        <v>727.3</v>
      </c>
      <c r="C125">
        <v>615.70000000000005</v>
      </c>
      <c r="D125">
        <v>1081.3</v>
      </c>
      <c r="E125">
        <v>856.6</v>
      </c>
      <c r="F125" s="19">
        <f t="shared" si="47"/>
        <v>1808.6</v>
      </c>
      <c r="G125" s="19">
        <f t="shared" si="47"/>
        <v>1472.3000000000002</v>
      </c>
      <c r="H125" s="24">
        <f t="shared" si="48"/>
        <v>22.841812130679862</v>
      </c>
    </row>
    <row r="126" spans="1:8" x14ac:dyDescent="0.25">
      <c r="A126" s="10">
        <f t="shared" si="19"/>
        <v>39716</v>
      </c>
      <c r="B126">
        <v>650.5</v>
      </c>
      <c r="C126">
        <v>538.29999999999995</v>
      </c>
      <c r="D126">
        <v>1206.9000000000001</v>
      </c>
      <c r="E126">
        <v>935.5</v>
      </c>
      <c r="F126" s="19">
        <f t="shared" si="47"/>
        <v>1857.4</v>
      </c>
      <c r="G126" s="19">
        <f t="shared" si="47"/>
        <v>1473.8</v>
      </c>
      <c r="H126" s="24">
        <f t="shared" si="48"/>
        <v>26.02795494639707</v>
      </c>
    </row>
    <row r="127" spans="1:8" x14ac:dyDescent="0.25">
      <c r="A127" s="10">
        <f t="shared" si="19"/>
        <v>39723</v>
      </c>
      <c r="B127">
        <v>626.70000000000005</v>
      </c>
      <c r="C127">
        <v>634</v>
      </c>
      <c r="D127">
        <v>1231.0999999999999</v>
      </c>
      <c r="E127">
        <v>956.2</v>
      </c>
      <c r="F127" s="19">
        <f t="shared" ref="F127:G129" si="49">+B127+D127</f>
        <v>1857.8</v>
      </c>
      <c r="G127" s="19">
        <f t="shared" si="49"/>
        <v>1590.2</v>
      </c>
      <c r="H127" s="24">
        <f t="shared" si="48"/>
        <v>16.828071940636402</v>
      </c>
    </row>
    <row r="128" spans="1:8" x14ac:dyDescent="0.25">
      <c r="A128" s="10">
        <f t="shared" si="19"/>
        <v>39730</v>
      </c>
      <c r="B128">
        <v>605.1</v>
      </c>
      <c r="C128">
        <v>684.5</v>
      </c>
      <c r="D128">
        <v>1273.4000000000001</v>
      </c>
      <c r="E128">
        <v>998.4</v>
      </c>
      <c r="F128" s="19">
        <f t="shared" si="49"/>
        <v>1878.5</v>
      </c>
      <c r="G128" s="19">
        <f t="shared" si="49"/>
        <v>1682.9</v>
      </c>
      <c r="H128" s="24">
        <f t="shared" si="48"/>
        <v>11.622793986570802</v>
      </c>
    </row>
    <row r="129" spans="1:8" x14ac:dyDescent="0.25">
      <c r="A129" s="10">
        <f t="shared" si="19"/>
        <v>39737</v>
      </c>
      <c r="B129">
        <v>491.7</v>
      </c>
      <c r="C129">
        <v>705.9</v>
      </c>
      <c r="D129">
        <v>1386.8</v>
      </c>
      <c r="E129">
        <v>1054.7</v>
      </c>
      <c r="F129" s="19">
        <f t="shared" si="49"/>
        <v>1878.5</v>
      </c>
      <c r="G129" s="19">
        <f t="shared" si="49"/>
        <v>1760.6</v>
      </c>
      <c r="H129" s="24">
        <f t="shared" si="48"/>
        <v>6.696580711121225</v>
      </c>
    </row>
    <row r="130" spans="1:8" x14ac:dyDescent="0.25">
      <c r="A130" s="10">
        <f t="shared" si="19"/>
        <v>39744</v>
      </c>
      <c r="B130">
        <v>446</v>
      </c>
      <c r="C130">
        <v>617.20000000000005</v>
      </c>
      <c r="D130">
        <v>1462.5</v>
      </c>
      <c r="E130">
        <v>1147.3</v>
      </c>
      <c r="F130" s="19">
        <f t="shared" ref="F130:G132" si="50">+B130+D130</f>
        <v>1908.5</v>
      </c>
      <c r="G130" s="19">
        <f t="shared" si="50"/>
        <v>1764.5</v>
      </c>
      <c r="H130" s="24">
        <f t="shared" ref="H130:H135" si="51">+(F130/G130-1)*100</f>
        <v>8.1609521110796344</v>
      </c>
    </row>
    <row r="131" spans="1:8" x14ac:dyDescent="0.25">
      <c r="A131" s="10">
        <f t="shared" si="19"/>
        <v>39751</v>
      </c>
      <c r="B131">
        <v>435.7</v>
      </c>
      <c r="C131">
        <v>556.79999999999995</v>
      </c>
      <c r="D131">
        <v>1483.1</v>
      </c>
      <c r="E131">
        <v>1209.2</v>
      </c>
      <c r="F131" s="19">
        <f t="shared" si="50"/>
        <v>1918.8</v>
      </c>
      <c r="G131" s="19">
        <f t="shared" si="50"/>
        <v>1766</v>
      </c>
      <c r="H131" s="24">
        <f t="shared" si="51"/>
        <v>8.6523216308040709</v>
      </c>
    </row>
    <row r="132" spans="1:8" x14ac:dyDescent="0.25">
      <c r="A132" s="10">
        <f t="shared" si="19"/>
        <v>39758</v>
      </c>
      <c r="B132">
        <v>394.9</v>
      </c>
      <c r="C132">
        <v>530.6</v>
      </c>
      <c r="D132">
        <v>1524.5</v>
      </c>
      <c r="E132">
        <v>1314.4</v>
      </c>
      <c r="F132" s="19">
        <f t="shared" si="50"/>
        <v>1919.4</v>
      </c>
      <c r="G132" s="19">
        <f t="shared" si="50"/>
        <v>1845</v>
      </c>
      <c r="H132" s="24">
        <f t="shared" si="51"/>
        <v>4.0325203252032482</v>
      </c>
    </row>
    <row r="133" spans="1:8" x14ac:dyDescent="0.25">
      <c r="A133" s="10">
        <f t="shared" si="19"/>
        <v>39765</v>
      </c>
      <c r="B133">
        <v>441.2</v>
      </c>
      <c r="C133">
        <v>585.29999999999995</v>
      </c>
      <c r="D133">
        <v>1581.6</v>
      </c>
      <c r="E133">
        <v>1340.2</v>
      </c>
      <c r="F133" s="19">
        <f t="shared" ref="F133:G135" si="52">+B133+D133</f>
        <v>2022.8</v>
      </c>
      <c r="G133" s="19">
        <f t="shared" si="52"/>
        <v>1925.5</v>
      </c>
      <c r="H133" s="24">
        <f t="shared" si="51"/>
        <v>5.0532329265125853</v>
      </c>
    </row>
    <row r="134" spans="1:8" x14ac:dyDescent="0.25">
      <c r="A134" s="10">
        <f t="shared" si="19"/>
        <v>39772</v>
      </c>
      <c r="B134">
        <v>461.6</v>
      </c>
      <c r="C134">
        <v>669.8</v>
      </c>
      <c r="D134">
        <v>1653.7</v>
      </c>
      <c r="E134">
        <v>1345.4</v>
      </c>
      <c r="F134" s="19">
        <f t="shared" si="52"/>
        <v>2115.3000000000002</v>
      </c>
      <c r="G134" s="19">
        <f t="shared" si="52"/>
        <v>2015.2</v>
      </c>
      <c r="H134" s="24">
        <f t="shared" si="51"/>
        <v>4.9672489082969395</v>
      </c>
    </row>
    <row r="135" spans="1:8" x14ac:dyDescent="0.25">
      <c r="A135" s="10">
        <f t="shared" si="19"/>
        <v>39779</v>
      </c>
      <c r="B135">
        <v>396.2</v>
      </c>
      <c r="C135">
        <v>638.9</v>
      </c>
      <c r="D135">
        <v>1720.9</v>
      </c>
      <c r="E135">
        <v>1396.9</v>
      </c>
      <c r="F135" s="19">
        <f t="shared" si="52"/>
        <v>2117.1</v>
      </c>
      <c r="G135" s="19">
        <f t="shared" si="52"/>
        <v>2035.8000000000002</v>
      </c>
      <c r="H135" s="24">
        <f t="shared" si="51"/>
        <v>3.9935160624815724</v>
      </c>
    </row>
    <row r="136" spans="1:8" x14ac:dyDescent="0.25">
      <c r="A136" s="10">
        <f t="shared" si="19"/>
        <v>39786</v>
      </c>
      <c r="B136">
        <v>480.4</v>
      </c>
      <c r="C136">
        <v>660.8</v>
      </c>
      <c r="D136">
        <v>1721.2</v>
      </c>
      <c r="E136">
        <v>1510</v>
      </c>
      <c r="F136" s="19">
        <f t="shared" ref="F136:G138" si="53">+B136+D136</f>
        <v>2201.6</v>
      </c>
      <c r="G136" s="19">
        <f t="shared" si="53"/>
        <v>2170.8000000000002</v>
      </c>
      <c r="H136" s="24">
        <f t="shared" ref="H136:H141" si="54">+(F136/G136-1)*100</f>
        <v>1.418831767090456</v>
      </c>
    </row>
    <row r="137" spans="1:8" x14ac:dyDescent="0.25">
      <c r="A137" s="10">
        <f t="shared" si="19"/>
        <v>39793</v>
      </c>
      <c r="B137">
        <v>459.9</v>
      </c>
      <c r="C137">
        <v>705.8</v>
      </c>
      <c r="D137">
        <v>1763.4</v>
      </c>
      <c r="E137">
        <v>1583.8</v>
      </c>
      <c r="F137" s="19">
        <f t="shared" si="53"/>
        <v>2223.3000000000002</v>
      </c>
      <c r="G137" s="19">
        <f t="shared" si="53"/>
        <v>2289.6</v>
      </c>
      <c r="H137" s="24">
        <f t="shared" si="54"/>
        <v>-2.8957023060796505</v>
      </c>
    </row>
    <row r="138" spans="1:8" x14ac:dyDescent="0.25">
      <c r="A138" s="10">
        <f t="shared" si="19"/>
        <v>39800</v>
      </c>
      <c r="B138">
        <v>467.1</v>
      </c>
      <c r="C138">
        <v>920.1</v>
      </c>
      <c r="D138">
        <v>1809.9</v>
      </c>
      <c r="E138">
        <v>1604.4</v>
      </c>
      <c r="F138" s="19">
        <f t="shared" si="53"/>
        <v>2277</v>
      </c>
      <c r="G138" s="19">
        <f t="shared" si="53"/>
        <v>2524.5</v>
      </c>
      <c r="H138" s="24">
        <f t="shared" si="54"/>
        <v>-9.8039215686274499</v>
      </c>
    </row>
    <row r="139" spans="1:8" x14ac:dyDescent="0.25">
      <c r="A139" s="10">
        <f t="shared" si="19"/>
        <v>39807</v>
      </c>
      <c r="B139">
        <v>467.4</v>
      </c>
      <c r="C139">
        <v>897.2</v>
      </c>
      <c r="D139">
        <v>1809.9</v>
      </c>
      <c r="E139">
        <v>1627.4</v>
      </c>
      <c r="F139" s="19">
        <f t="shared" ref="F139:G141" si="55">+B139+D139</f>
        <v>2277.3000000000002</v>
      </c>
      <c r="G139" s="19">
        <f t="shared" si="55"/>
        <v>2524.6000000000004</v>
      </c>
      <c r="H139" s="24">
        <f t="shared" si="54"/>
        <v>-9.7956111859304524</v>
      </c>
    </row>
    <row r="140" spans="1:8" x14ac:dyDescent="0.25">
      <c r="A140" s="10">
        <f t="shared" si="19"/>
        <v>39814</v>
      </c>
      <c r="B140">
        <v>447.9</v>
      </c>
      <c r="C140">
        <v>867.2</v>
      </c>
      <c r="D140">
        <v>1830.1</v>
      </c>
      <c r="E140">
        <v>1672.8</v>
      </c>
      <c r="F140" s="19">
        <f t="shared" si="55"/>
        <v>2278</v>
      </c>
      <c r="G140" s="19">
        <f t="shared" si="55"/>
        <v>2540</v>
      </c>
      <c r="H140" s="24">
        <f t="shared" si="54"/>
        <v>-10.314960629921256</v>
      </c>
    </row>
    <row r="141" spans="1:8" x14ac:dyDescent="0.25">
      <c r="A141" s="10">
        <f t="shared" si="19"/>
        <v>39821</v>
      </c>
      <c r="B141">
        <v>431.4</v>
      </c>
      <c r="C141">
        <v>802.8</v>
      </c>
      <c r="D141">
        <v>1908.4</v>
      </c>
      <c r="E141">
        <v>1672.8</v>
      </c>
      <c r="F141" s="19">
        <f t="shared" si="55"/>
        <v>2339.8000000000002</v>
      </c>
      <c r="G141" s="19">
        <f t="shared" si="55"/>
        <v>2475.6</v>
      </c>
      <c r="H141" s="24">
        <f t="shared" si="54"/>
        <v>-5.4855388592664251</v>
      </c>
    </row>
    <row r="142" spans="1:8" x14ac:dyDescent="0.25">
      <c r="A142" s="10">
        <f t="shared" si="19"/>
        <v>39828</v>
      </c>
      <c r="B142">
        <v>506.9</v>
      </c>
      <c r="C142">
        <v>837.3</v>
      </c>
      <c r="D142">
        <v>1930.2</v>
      </c>
      <c r="E142">
        <v>1922.9</v>
      </c>
      <c r="F142" s="19">
        <f t="shared" ref="F142:G144" si="56">+B142+D142</f>
        <v>2437.1</v>
      </c>
      <c r="G142" s="19">
        <f t="shared" si="56"/>
        <v>2760.2</v>
      </c>
      <c r="H142" s="24">
        <f t="shared" ref="H142:H147" si="57">+(F142/G142-1)*100</f>
        <v>-11.705673501920144</v>
      </c>
    </row>
    <row r="143" spans="1:8" x14ac:dyDescent="0.25">
      <c r="A143" s="10">
        <f t="shared" si="19"/>
        <v>39835</v>
      </c>
      <c r="B143">
        <v>430.3</v>
      </c>
      <c r="C143">
        <v>929.1</v>
      </c>
      <c r="D143">
        <v>2008.9</v>
      </c>
      <c r="E143">
        <v>1969.3</v>
      </c>
      <c r="F143" s="19">
        <f t="shared" si="56"/>
        <v>2439.2000000000003</v>
      </c>
      <c r="G143" s="19">
        <f t="shared" si="56"/>
        <v>2898.4</v>
      </c>
      <c r="H143" s="24">
        <f t="shared" si="57"/>
        <v>-15.843223847640076</v>
      </c>
    </row>
    <row r="144" spans="1:8" x14ac:dyDescent="0.25">
      <c r="A144" s="10">
        <f t="shared" si="19"/>
        <v>39842</v>
      </c>
      <c r="B144">
        <v>367.9</v>
      </c>
      <c r="C144">
        <v>853.4</v>
      </c>
      <c r="D144">
        <v>2072.9</v>
      </c>
      <c r="E144">
        <v>2046.4</v>
      </c>
      <c r="F144" s="19">
        <f t="shared" si="56"/>
        <v>2440.8000000000002</v>
      </c>
      <c r="G144" s="19">
        <f t="shared" si="56"/>
        <v>2899.8</v>
      </c>
      <c r="H144" s="24">
        <f t="shared" si="57"/>
        <v>-15.828677839851025</v>
      </c>
    </row>
    <row r="145" spans="1:9" x14ac:dyDescent="0.25">
      <c r="A145" s="10">
        <f t="shared" si="19"/>
        <v>39849</v>
      </c>
      <c r="B145">
        <v>331.5</v>
      </c>
      <c r="C145">
        <v>904.4</v>
      </c>
      <c r="D145">
        <v>2175</v>
      </c>
      <c r="E145">
        <v>2087.6</v>
      </c>
      <c r="F145" s="19">
        <f t="shared" ref="F145:G147" si="58">+B145+D145</f>
        <v>2506.5</v>
      </c>
      <c r="G145" s="19">
        <f t="shared" si="58"/>
        <v>2992</v>
      </c>
      <c r="H145" s="24">
        <f t="shared" si="57"/>
        <v>-16.226604278074863</v>
      </c>
    </row>
    <row r="146" spans="1:9" x14ac:dyDescent="0.25">
      <c r="A146" s="10">
        <f t="shared" si="19"/>
        <v>39856</v>
      </c>
      <c r="B146">
        <v>359.6</v>
      </c>
      <c r="C146">
        <v>865.5</v>
      </c>
      <c r="D146">
        <v>2236.5</v>
      </c>
      <c r="E146">
        <v>2190.6</v>
      </c>
      <c r="F146" s="19">
        <f t="shared" si="58"/>
        <v>2596.1</v>
      </c>
      <c r="G146" s="19">
        <f t="shared" si="58"/>
        <v>3056.1</v>
      </c>
      <c r="H146" s="24">
        <f t="shared" si="57"/>
        <v>-15.051863486142469</v>
      </c>
    </row>
    <row r="147" spans="1:9" x14ac:dyDescent="0.25">
      <c r="A147" s="10">
        <f t="shared" si="19"/>
        <v>39863</v>
      </c>
      <c r="B147">
        <v>363.3</v>
      </c>
      <c r="C147">
        <v>853.4</v>
      </c>
      <c r="D147">
        <v>2258.1</v>
      </c>
      <c r="E147">
        <v>2313.1999999999998</v>
      </c>
      <c r="F147" s="19">
        <f t="shared" si="58"/>
        <v>2621.4</v>
      </c>
      <c r="G147" s="19">
        <f t="shared" si="58"/>
        <v>3166.6</v>
      </c>
      <c r="H147" s="24">
        <f t="shared" si="57"/>
        <v>-17.217204572727841</v>
      </c>
    </row>
    <row r="148" spans="1:9" x14ac:dyDescent="0.25">
      <c r="A148" s="10">
        <f t="shared" si="19"/>
        <v>39870</v>
      </c>
      <c r="B148">
        <v>388.8</v>
      </c>
      <c r="C148">
        <v>782</v>
      </c>
      <c r="D148">
        <v>2258.1</v>
      </c>
      <c r="E148">
        <v>2384.9</v>
      </c>
      <c r="F148" s="19">
        <f t="shared" ref="F148:G150" si="59">+B148+D148</f>
        <v>2646.9</v>
      </c>
      <c r="G148" s="19">
        <f t="shared" si="59"/>
        <v>3166.9</v>
      </c>
      <c r="H148" s="24">
        <f t="shared" ref="H148:H153" si="60">+(F148/G148-1)*100</f>
        <v>-16.419842748429058</v>
      </c>
    </row>
    <row r="149" spans="1:9" x14ac:dyDescent="0.25">
      <c r="A149" s="10">
        <f t="shared" si="19"/>
        <v>39877</v>
      </c>
      <c r="B149">
        <v>482.4</v>
      </c>
      <c r="C149">
        <v>836.1</v>
      </c>
      <c r="D149">
        <v>2300.3000000000002</v>
      </c>
      <c r="E149">
        <v>2405.5</v>
      </c>
      <c r="F149" s="19">
        <f t="shared" si="59"/>
        <v>2782.7000000000003</v>
      </c>
      <c r="G149" s="19">
        <f t="shared" si="59"/>
        <v>3241.6</v>
      </c>
      <c r="H149" s="24">
        <f t="shared" si="60"/>
        <v>-14.156589338598213</v>
      </c>
    </row>
    <row r="150" spans="1:9" x14ac:dyDescent="0.25">
      <c r="A150" s="10">
        <f t="shared" si="19"/>
        <v>39884</v>
      </c>
      <c r="B150">
        <v>553.70000000000005</v>
      </c>
      <c r="C150">
        <v>879.3</v>
      </c>
      <c r="D150">
        <v>2300.3000000000002</v>
      </c>
      <c r="E150">
        <v>2405.6</v>
      </c>
      <c r="F150" s="19">
        <f t="shared" si="59"/>
        <v>2854</v>
      </c>
      <c r="G150" s="19">
        <f t="shared" si="59"/>
        <v>3284.8999999999996</v>
      </c>
      <c r="H150" s="24">
        <f t="shared" si="60"/>
        <v>-13.117598709245327</v>
      </c>
    </row>
    <row r="151" spans="1:9" x14ac:dyDescent="0.25">
      <c r="A151" s="10">
        <f t="shared" si="19"/>
        <v>39891</v>
      </c>
      <c r="B151">
        <v>598.79999999999995</v>
      </c>
      <c r="C151">
        <v>805.6</v>
      </c>
      <c r="D151">
        <v>2351.3000000000002</v>
      </c>
      <c r="E151">
        <v>2534.4</v>
      </c>
      <c r="F151" s="19">
        <f t="shared" ref="F151:G155" si="61">+B151+D151</f>
        <v>2950.1000000000004</v>
      </c>
      <c r="G151" s="19">
        <f t="shared" si="61"/>
        <v>3340</v>
      </c>
      <c r="H151" s="24">
        <f t="shared" si="60"/>
        <v>-11.673652694610769</v>
      </c>
    </row>
    <row r="152" spans="1:9" x14ac:dyDescent="0.25">
      <c r="A152" s="10">
        <f t="shared" si="19"/>
        <v>39898</v>
      </c>
      <c r="B152">
        <v>514.6</v>
      </c>
      <c r="C152">
        <v>687.7</v>
      </c>
      <c r="D152">
        <v>2469.3000000000002</v>
      </c>
      <c r="E152">
        <v>2652.8</v>
      </c>
      <c r="F152" s="19">
        <f t="shared" si="61"/>
        <v>2983.9</v>
      </c>
      <c r="G152" s="19">
        <f t="shared" si="61"/>
        <v>3340.5</v>
      </c>
      <c r="H152" s="24">
        <f t="shared" si="60"/>
        <v>-10.675048645412366</v>
      </c>
    </row>
    <row r="153" spans="1:9" x14ac:dyDescent="0.25">
      <c r="A153" s="10">
        <f t="shared" si="19"/>
        <v>39905</v>
      </c>
      <c r="B153">
        <v>432.9</v>
      </c>
      <c r="C153">
        <v>640.6</v>
      </c>
      <c r="D153">
        <v>2565.1999999999998</v>
      </c>
      <c r="E153">
        <v>2704.3</v>
      </c>
      <c r="F153" s="19">
        <f t="shared" si="61"/>
        <v>2998.1</v>
      </c>
      <c r="G153" s="19">
        <f t="shared" si="61"/>
        <v>3344.9</v>
      </c>
      <c r="H153" s="24">
        <f t="shared" si="60"/>
        <v>-10.368022960327671</v>
      </c>
    </row>
    <row r="154" spans="1:9" x14ac:dyDescent="0.25">
      <c r="A154" s="10">
        <f t="shared" si="19"/>
        <v>39912</v>
      </c>
      <c r="B154">
        <v>340.3</v>
      </c>
      <c r="C154">
        <v>595.1</v>
      </c>
      <c r="D154">
        <v>2658.9</v>
      </c>
      <c r="E154">
        <v>2750.7</v>
      </c>
      <c r="F154" s="19">
        <f t="shared" si="61"/>
        <v>2999.2000000000003</v>
      </c>
      <c r="G154" s="19">
        <f t="shared" si="61"/>
        <v>3345.7999999999997</v>
      </c>
      <c r="H154" s="24">
        <f t="shared" ref="H154:H159" si="62">+(F154/G154-1)*100</f>
        <v>-10.359256381134541</v>
      </c>
    </row>
    <row r="155" spans="1:9" x14ac:dyDescent="0.25">
      <c r="A155" s="10">
        <f t="shared" si="19"/>
        <v>39919</v>
      </c>
      <c r="B155">
        <v>311.39999999999998</v>
      </c>
      <c r="C155">
        <v>567.9</v>
      </c>
      <c r="D155">
        <v>2731.6</v>
      </c>
      <c r="E155">
        <v>2779.1</v>
      </c>
      <c r="F155" s="19">
        <f t="shared" si="61"/>
        <v>3043</v>
      </c>
      <c r="G155" s="19">
        <f t="shared" si="61"/>
        <v>3347</v>
      </c>
      <c r="H155" s="24">
        <f t="shared" si="62"/>
        <v>-9.0827606812070467</v>
      </c>
    </row>
    <row r="156" spans="1:9" x14ac:dyDescent="0.25">
      <c r="A156" s="10">
        <f t="shared" si="19"/>
        <v>39926</v>
      </c>
      <c r="B156">
        <v>298.10000000000002</v>
      </c>
      <c r="C156">
        <v>560.9</v>
      </c>
      <c r="D156">
        <v>2791.3</v>
      </c>
      <c r="E156">
        <v>2811.9</v>
      </c>
      <c r="F156" s="19">
        <f t="shared" ref="F156:F187" si="63">+B156+D156</f>
        <v>3089.4</v>
      </c>
      <c r="G156" s="19">
        <f t="shared" ref="G156:G187" si="64">+C156+E156</f>
        <v>3372.8</v>
      </c>
      <c r="H156" s="24">
        <f t="shared" si="62"/>
        <v>-8.4025142314990582</v>
      </c>
    </row>
    <row r="157" spans="1:9" x14ac:dyDescent="0.25">
      <c r="A157" s="10">
        <f t="shared" si="19"/>
        <v>39933</v>
      </c>
      <c r="B157">
        <v>339.3</v>
      </c>
      <c r="C157">
        <v>452.6</v>
      </c>
      <c r="D157">
        <v>2821.8</v>
      </c>
      <c r="E157">
        <v>2949.6</v>
      </c>
      <c r="F157" s="19">
        <f t="shared" si="63"/>
        <v>3161.1000000000004</v>
      </c>
      <c r="G157" s="19">
        <f t="shared" si="64"/>
        <v>3402.2</v>
      </c>
      <c r="H157" s="24">
        <f t="shared" si="62"/>
        <v>-7.0865910293339436</v>
      </c>
      <c r="I157">
        <v>0.3</v>
      </c>
    </row>
    <row r="158" spans="1:9" x14ac:dyDescent="0.25">
      <c r="A158" s="10">
        <f t="shared" si="19"/>
        <v>39940</v>
      </c>
      <c r="B158">
        <v>303.10000000000002</v>
      </c>
      <c r="C158">
        <v>383.4</v>
      </c>
      <c r="D158">
        <v>2916.3</v>
      </c>
      <c r="E158">
        <v>3040.7</v>
      </c>
      <c r="F158" s="19">
        <f t="shared" si="63"/>
        <v>3219.4</v>
      </c>
      <c r="G158" s="19">
        <f t="shared" si="64"/>
        <v>3424.1</v>
      </c>
      <c r="H158" s="24">
        <f t="shared" si="62"/>
        <v>-5.9782132531176035</v>
      </c>
      <c r="I158">
        <v>0.3</v>
      </c>
    </row>
    <row r="159" spans="1:9" x14ac:dyDescent="0.25">
      <c r="A159" s="10">
        <f t="shared" si="19"/>
        <v>39947</v>
      </c>
      <c r="B159">
        <v>211.7</v>
      </c>
      <c r="C159">
        <v>354.4</v>
      </c>
      <c r="D159">
        <v>2993</v>
      </c>
      <c r="E159">
        <v>3112.6</v>
      </c>
      <c r="F159" s="19">
        <f t="shared" si="63"/>
        <v>3204.7</v>
      </c>
      <c r="G159" s="19">
        <f t="shared" si="64"/>
        <v>3467</v>
      </c>
      <c r="H159" s="24">
        <f t="shared" si="62"/>
        <v>-7.5656186905105338</v>
      </c>
      <c r="I159">
        <v>41.5</v>
      </c>
    </row>
    <row r="160" spans="1:9" x14ac:dyDescent="0.25">
      <c r="A160" s="10">
        <f t="shared" si="19"/>
        <v>39954</v>
      </c>
      <c r="B160">
        <v>257.3</v>
      </c>
      <c r="C160">
        <v>284.8</v>
      </c>
      <c r="D160">
        <v>3013.6</v>
      </c>
      <c r="E160">
        <v>3180.3</v>
      </c>
      <c r="F160" s="19">
        <f t="shared" si="63"/>
        <v>3270.9</v>
      </c>
      <c r="G160" s="19">
        <f t="shared" si="64"/>
        <v>3465.1000000000004</v>
      </c>
      <c r="H160" s="24">
        <f t="shared" ref="H160:H191" si="65">+(F160/G160-1)*100</f>
        <v>-5.6044558598597476</v>
      </c>
      <c r="I160">
        <v>41.5</v>
      </c>
    </row>
    <row r="161" spans="1:9" x14ac:dyDescent="0.25">
      <c r="A161" s="10">
        <f t="shared" si="19"/>
        <v>39961</v>
      </c>
      <c r="B161">
        <v>231.5</v>
      </c>
      <c r="C161">
        <v>177.6</v>
      </c>
      <c r="D161">
        <v>3060</v>
      </c>
      <c r="E161">
        <v>3319.4</v>
      </c>
      <c r="F161" s="19">
        <f t="shared" si="63"/>
        <v>3291.5</v>
      </c>
      <c r="G161" s="19">
        <f t="shared" si="64"/>
        <v>3497</v>
      </c>
      <c r="H161" s="24">
        <f t="shared" si="65"/>
        <v>-5.87646554189305</v>
      </c>
      <c r="I161">
        <v>41.5</v>
      </c>
    </row>
    <row r="162" spans="1:9" x14ac:dyDescent="0.25">
      <c r="A162" s="10">
        <f t="shared" si="19"/>
        <v>39968</v>
      </c>
      <c r="B162">
        <v>227.9</v>
      </c>
      <c r="C162">
        <v>501.5</v>
      </c>
      <c r="D162">
        <v>8.1999999999999993</v>
      </c>
      <c r="E162">
        <v>97.8</v>
      </c>
      <c r="F162" s="19">
        <f t="shared" si="63"/>
        <v>236.1</v>
      </c>
      <c r="G162" s="19">
        <f t="shared" si="64"/>
        <v>599.29999999999995</v>
      </c>
      <c r="H162" s="24">
        <f t="shared" si="65"/>
        <v>-60.604038044385113</v>
      </c>
    </row>
    <row r="163" spans="1:9" x14ac:dyDescent="0.25">
      <c r="A163" s="10">
        <f t="shared" si="19"/>
        <v>39975</v>
      </c>
      <c r="B163">
        <v>289.60000000000002</v>
      </c>
      <c r="C163">
        <v>555.5</v>
      </c>
      <c r="D163">
        <v>8.1999999999999993</v>
      </c>
      <c r="E163">
        <v>141.1</v>
      </c>
      <c r="F163" s="19">
        <f t="shared" si="63"/>
        <v>297.8</v>
      </c>
      <c r="G163" s="19">
        <f t="shared" si="64"/>
        <v>696.6</v>
      </c>
      <c r="H163" s="24">
        <f t="shared" si="65"/>
        <v>-57.249497559575083</v>
      </c>
    </row>
    <row r="164" spans="1:9" x14ac:dyDescent="0.25">
      <c r="A164" s="10">
        <f t="shared" si="19"/>
        <v>39982</v>
      </c>
      <c r="B164">
        <v>310.39999999999998</v>
      </c>
      <c r="C164">
        <v>756.8</v>
      </c>
      <c r="D164">
        <v>70.2</v>
      </c>
      <c r="E164">
        <v>162.69999999999999</v>
      </c>
      <c r="F164" s="19">
        <f t="shared" si="63"/>
        <v>380.59999999999997</v>
      </c>
      <c r="G164" s="19">
        <f t="shared" si="64"/>
        <v>919.5</v>
      </c>
      <c r="H164" s="24">
        <f t="shared" si="65"/>
        <v>-58.607939097335503</v>
      </c>
    </row>
    <row r="165" spans="1:9" x14ac:dyDescent="0.25">
      <c r="A165" s="10">
        <f t="shared" si="19"/>
        <v>39989</v>
      </c>
      <c r="B165">
        <v>284.7</v>
      </c>
      <c r="C165">
        <v>879.5</v>
      </c>
      <c r="D165">
        <v>97.4</v>
      </c>
      <c r="E165">
        <v>189.5</v>
      </c>
      <c r="F165" s="19">
        <f t="shared" si="63"/>
        <v>382.1</v>
      </c>
      <c r="G165" s="19">
        <f t="shared" si="64"/>
        <v>1069</v>
      </c>
      <c r="H165" s="24">
        <f t="shared" si="65"/>
        <v>-64.256314312441532</v>
      </c>
    </row>
    <row r="166" spans="1:9" x14ac:dyDescent="0.25">
      <c r="A166" s="10">
        <f t="shared" si="19"/>
        <v>39996</v>
      </c>
      <c r="B166">
        <v>350.2</v>
      </c>
      <c r="C166">
        <v>942.1</v>
      </c>
      <c r="D166">
        <v>119.3</v>
      </c>
      <c r="E166">
        <v>211.1</v>
      </c>
      <c r="F166" s="19">
        <f t="shared" si="63"/>
        <v>469.5</v>
      </c>
      <c r="G166" s="19">
        <f t="shared" si="64"/>
        <v>1153.2</v>
      </c>
      <c r="H166" s="24">
        <f t="shared" si="65"/>
        <v>-59.287200832466183</v>
      </c>
    </row>
    <row r="167" spans="1:9" x14ac:dyDescent="0.25">
      <c r="A167" s="10">
        <f t="shared" si="19"/>
        <v>40003</v>
      </c>
      <c r="B167">
        <v>354.5</v>
      </c>
      <c r="C167">
        <v>1078.2</v>
      </c>
      <c r="D167">
        <v>119.7</v>
      </c>
      <c r="E167">
        <v>211.1</v>
      </c>
      <c r="F167" s="19">
        <f t="shared" si="63"/>
        <v>474.2</v>
      </c>
      <c r="G167" s="19">
        <f t="shared" si="64"/>
        <v>1289.3</v>
      </c>
      <c r="H167" s="24">
        <f t="shared" si="65"/>
        <v>-63.220352129062277</v>
      </c>
    </row>
    <row r="168" spans="1:9" x14ac:dyDescent="0.25">
      <c r="A168" s="10">
        <f t="shared" si="19"/>
        <v>40010</v>
      </c>
      <c r="B168">
        <v>407.3</v>
      </c>
      <c r="C168">
        <v>1057.7</v>
      </c>
      <c r="D168">
        <v>161.5</v>
      </c>
      <c r="E168">
        <v>239.9</v>
      </c>
      <c r="F168" s="19">
        <f t="shared" si="63"/>
        <v>568.79999999999995</v>
      </c>
      <c r="G168" s="19">
        <f t="shared" si="64"/>
        <v>1297.6000000000001</v>
      </c>
      <c r="H168" s="24">
        <f t="shared" si="65"/>
        <v>-56.1652281134402</v>
      </c>
    </row>
    <row r="169" spans="1:9" x14ac:dyDescent="0.25">
      <c r="A169" s="10">
        <f t="shared" si="19"/>
        <v>40017</v>
      </c>
      <c r="B169">
        <v>500.1</v>
      </c>
      <c r="C169">
        <v>1048.5999999999999</v>
      </c>
      <c r="D169">
        <v>161.5</v>
      </c>
      <c r="E169">
        <v>280.7</v>
      </c>
      <c r="F169" s="19">
        <f t="shared" si="63"/>
        <v>661.6</v>
      </c>
      <c r="G169" s="19">
        <f t="shared" si="64"/>
        <v>1329.3</v>
      </c>
      <c r="H169" s="24">
        <f t="shared" si="65"/>
        <v>-50.229444068306627</v>
      </c>
    </row>
    <row r="170" spans="1:9" x14ac:dyDescent="0.25">
      <c r="A170" s="10">
        <f t="shared" si="19"/>
        <v>40024</v>
      </c>
      <c r="B170">
        <v>546.70000000000005</v>
      </c>
      <c r="C170">
        <v>964.8</v>
      </c>
      <c r="D170">
        <v>202.7</v>
      </c>
      <c r="E170">
        <v>407.7</v>
      </c>
      <c r="F170" s="19">
        <f t="shared" si="63"/>
        <v>749.40000000000009</v>
      </c>
      <c r="G170" s="19">
        <f t="shared" si="64"/>
        <v>1372.5</v>
      </c>
      <c r="H170" s="24">
        <f t="shared" si="65"/>
        <v>-45.398907103825124</v>
      </c>
    </row>
    <row r="171" spans="1:9" x14ac:dyDescent="0.25">
      <c r="A171" s="10">
        <f t="shared" si="19"/>
        <v>40031</v>
      </c>
      <c r="B171">
        <v>562.70000000000005</v>
      </c>
      <c r="C171">
        <v>989.8</v>
      </c>
      <c r="D171">
        <v>270.3</v>
      </c>
      <c r="E171">
        <v>450</v>
      </c>
      <c r="F171" s="19">
        <f t="shared" si="63"/>
        <v>833</v>
      </c>
      <c r="G171" s="19">
        <f t="shared" si="64"/>
        <v>1439.8</v>
      </c>
      <c r="H171" s="24">
        <f t="shared" si="65"/>
        <v>-42.144742325322959</v>
      </c>
    </row>
    <row r="172" spans="1:9" x14ac:dyDescent="0.25">
      <c r="A172" s="10">
        <f t="shared" si="19"/>
        <v>40038</v>
      </c>
      <c r="B172">
        <v>581.5</v>
      </c>
      <c r="C172">
        <v>891.6</v>
      </c>
      <c r="D172">
        <v>301.3</v>
      </c>
      <c r="E172">
        <v>549</v>
      </c>
      <c r="F172" s="19">
        <f t="shared" si="63"/>
        <v>882.8</v>
      </c>
      <c r="G172" s="19">
        <f t="shared" si="64"/>
        <v>1440.6</v>
      </c>
      <c r="H172" s="24">
        <f t="shared" si="65"/>
        <v>-38.71997778703318</v>
      </c>
    </row>
    <row r="173" spans="1:9" x14ac:dyDescent="0.25">
      <c r="A173" s="10">
        <f t="shared" si="19"/>
        <v>40045</v>
      </c>
      <c r="B173">
        <v>624.6</v>
      </c>
      <c r="C173">
        <v>817.6</v>
      </c>
      <c r="D173">
        <v>347.6</v>
      </c>
      <c r="E173">
        <v>644.20000000000005</v>
      </c>
      <c r="F173" s="19">
        <f t="shared" si="63"/>
        <v>972.2</v>
      </c>
      <c r="G173" s="19">
        <f t="shared" si="64"/>
        <v>1461.8000000000002</v>
      </c>
      <c r="H173" s="24">
        <f t="shared" si="65"/>
        <v>-33.492953892461351</v>
      </c>
    </row>
    <row r="174" spans="1:9" x14ac:dyDescent="0.25">
      <c r="A174" s="10">
        <f t="shared" si="19"/>
        <v>40052</v>
      </c>
      <c r="B174">
        <v>646.6</v>
      </c>
      <c r="C174">
        <v>879.7</v>
      </c>
      <c r="D174">
        <v>408.1</v>
      </c>
      <c r="E174">
        <v>669.5</v>
      </c>
      <c r="F174" s="19">
        <f t="shared" si="63"/>
        <v>1054.7</v>
      </c>
      <c r="G174" s="19">
        <f t="shared" si="64"/>
        <v>1549.2</v>
      </c>
      <c r="H174" s="24">
        <f t="shared" si="65"/>
        <v>-31.919700490575774</v>
      </c>
    </row>
    <row r="175" spans="1:9" x14ac:dyDescent="0.25">
      <c r="A175" s="10">
        <f t="shared" si="19"/>
        <v>40059</v>
      </c>
      <c r="B175">
        <v>716.3</v>
      </c>
      <c r="C175">
        <v>810.1</v>
      </c>
      <c r="D175">
        <v>455.6</v>
      </c>
      <c r="E175">
        <v>846.5</v>
      </c>
      <c r="F175" s="19">
        <f t="shared" si="63"/>
        <v>1171.9000000000001</v>
      </c>
      <c r="G175" s="19">
        <f t="shared" si="64"/>
        <v>1656.6</v>
      </c>
      <c r="H175" s="24">
        <f t="shared" si="65"/>
        <v>-29.258722685017492</v>
      </c>
    </row>
    <row r="176" spans="1:9" x14ac:dyDescent="0.25">
      <c r="A176" s="10">
        <f t="shared" si="19"/>
        <v>40066</v>
      </c>
      <c r="B176">
        <v>637.5</v>
      </c>
      <c r="C176">
        <v>841.2</v>
      </c>
      <c r="D176">
        <v>564.70000000000005</v>
      </c>
      <c r="E176">
        <v>931.1</v>
      </c>
      <c r="F176" s="19">
        <f t="shared" si="63"/>
        <v>1202.2</v>
      </c>
      <c r="G176" s="19">
        <f t="shared" si="64"/>
        <v>1772.3000000000002</v>
      </c>
      <c r="H176" s="24">
        <f t="shared" si="65"/>
        <v>-32.167240309202739</v>
      </c>
    </row>
    <row r="177" spans="1:8" x14ac:dyDescent="0.25">
      <c r="A177" s="10">
        <f t="shared" si="19"/>
        <v>40073</v>
      </c>
      <c r="B177">
        <v>583.5</v>
      </c>
      <c r="C177">
        <v>727.3</v>
      </c>
      <c r="D177">
        <v>680.1</v>
      </c>
      <c r="E177">
        <v>1081.3</v>
      </c>
      <c r="F177" s="19">
        <f t="shared" si="63"/>
        <v>1263.5999999999999</v>
      </c>
      <c r="G177" s="19">
        <f t="shared" si="64"/>
        <v>1808.6</v>
      </c>
      <c r="H177" s="24">
        <f t="shared" si="65"/>
        <v>-30.133805153157144</v>
      </c>
    </row>
    <row r="178" spans="1:8" x14ac:dyDescent="0.25">
      <c r="A178" s="10">
        <f t="shared" si="19"/>
        <v>40080</v>
      </c>
      <c r="B178">
        <v>532</v>
      </c>
      <c r="C178">
        <v>650.5</v>
      </c>
      <c r="D178">
        <v>763.5</v>
      </c>
      <c r="E178">
        <v>1206.9000000000001</v>
      </c>
      <c r="F178" s="19">
        <f t="shared" si="63"/>
        <v>1295.5</v>
      </c>
      <c r="G178" s="19">
        <f t="shared" si="64"/>
        <v>1857.4</v>
      </c>
      <c r="H178" s="24">
        <f t="shared" si="65"/>
        <v>-30.251965112522882</v>
      </c>
    </row>
    <row r="179" spans="1:8" x14ac:dyDescent="0.25">
      <c r="A179" s="10">
        <f t="shared" si="19"/>
        <v>40087</v>
      </c>
      <c r="B179">
        <v>500.7</v>
      </c>
      <c r="C179">
        <v>626.70000000000005</v>
      </c>
      <c r="D179">
        <v>881.6</v>
      </c>
      <c r="E179">
        <v>1231.0999999999999</v>
      </c>
      <c r="F179" s="19">
        <f t="shared" si="63"/>
        <v>1382.3</v>
      </c>
      <c r="G179" s="19">
        <f t="shared" si="64"/>
        <v>1857.8</v>
      </c>
      <c r="H179" s="24">
        <f t="shared" si="65"/>
        <v>-25.594789536010332</v>
      </c>
    </row>
    <row r="180" spans="1:8" x14ac:dyDescent="0.25">
      <c r="A180" s="10">
        <f t="shared" si="19"/>
        <v>40094</v>
      </c>
      <c r="B180">
        <v>586.4</v>
      </c>
      <c r="C180">
        <v>605.1</v>
      </c>
      <c r="D180">
        <v>922.8</v>
      </c>
      <c r="E180">
        <v>1273.4000000000001</v>
      </c>
      <c r="F180" s="19">
        <f t="shared" si="63"/>
        <v>1509.1999999999998</v>
      </c>
      <c r="G180" s="19">
        <f t="shared" si="64"/>
        <v>1878.5</v>
      </c>
      <c r="H180" s="24">
        <f t="shared" si="65"/>
        <v>-19.65930263508119</v>
      </c>
    </row>
    <row r="181" spans="1:8" x14ac:dyDescent="0.25">
      <c r="A181" s="10">
        <f t="shared" si="19"/>
        <v>40101</v>
      </c>
      <c r="B181">
        <v>569.1</v>
      </c>
      <c r="C181">
        <v>491.7</v>
      </c>
      <c r="D181">
        <v>1011.3</v>
      </c>
      <c r="E181">
        <v>1386.8</v>
      </c>
      <c r="F181" s="19">
        <f t="shared" si="63"/>
        <v>1580.4</v>
      </c>
      <c r="G181" s="19">
        <f t="shared" si="64"/>
        <v>1878.5</v>
      </c>
      <c r="H181" s="24">
        <f t="shared" si="65"/>
        <v>-15.869044450359326</v>
      </c>
    </row>
    <row r="182" spans="1:8" x14ac:dyDescent="0.25">
      <c r="A182" s="10">
        <f t="shared" si="19"/>
        <v>40108</v>
      </c>
      <c r="B182">
        <v>531.70000000000005</v>
      </c>
      <c r="C182">
        <v>446</v>
      </c>
      <c r="D182">
        <v>1121.5999999999999</v>
      </c>
      <c r="E182">
        <v>1462.5</v>
      </c>
      <c r="F182" s="19">
        <f t="shared" si="63"/>
        <v>1653.3</v>
      </c>
      <c r="G182" s="19">
        <f t="shared" si="64"/>
        <v>1908.5</v>
      </c>
      <c r="H182" s="24">
        <f t="shared" si="65"/>
        <v>-13.371757925072048</v>
      </c>
    </row>
    <row r="183" spans="1:8" x14ac:dyDescent="0.25">
      <c r="A183" s="10">
        <f t="shared" si="19"/>
        <v>40115</v>
      </c>
      <c r="B183">
        <v>507.1</v>
      </c>
      <c r="C183">
        <v>435.7</v>
      </c>
      <c r="D183">
        <v>1168.9000000000001</v>
      </c>
      <c r="E183">
        <v>1483.1</v>
      </c>
      <c r="F183" s="19">
        <f t="shared" si="63"/>
        <v>1676</v>
      </c>
      <c r="G183" s="19">
        <f t="shared" si="64"/>
        <v>1918.8</v>
      </c>
      <c r="H183" s="24">
        <f t="shared" si="65"/>
        <v>-12.6537419220346</v>
      </c>
    </row>
    <row r="184" spans="1:8" x14ac:dyDescent="0.25">
      <c r="A184" s="10">
        <f t="shared" si="19"/>
        <v>40122</v>
      </c>
      <c r="B184">
        <v>456.5</v>
      </c>
      <c r="C184">
        <v>441.2</v>
      </c>
      <c r="D184">
        <v>1219.5999999999999</v>
      </c>
      <c r="E184">
        <v>1581.6</v>
      </c>
      <c r="F184" s="19">
        <f t="shared" si="63"/>
        <v>1676.1</v>
      </c>
      <c r="G184" s="19">
        <f t="shared" si="64"/>
        <v>2022.8</v>
      </c>
      <c r="H184" s="24">
        <f t="shared" si="65"/>
        <v>-17.13960846351592</v>
      </c>
    </row>
    <row r="185" spans="1:8" x14ac:dyDescent="0.25">
      <c r="A185" s="10">
        <f t="shared" si="19"/>
        <v>40129</v>
      </c>
      <c r="B185">
        <v>420</v>
      </c>
      <c r="C185">
        <v>441.2</v>
      </c>
      <c r="D185">
        <v>1291.2</v>
      </c>
      <c r="E185">
        <v>1581.6</v>
      </c>
      <c r="F185" s="19">
        <f t="shared" si="63"/>
        <v>1711.2</v>
      </c>
      <c r="G185" s="19">
        <f t="shared" si="64"/>
        <v>2022.8</v>
      </c>
      <c r="H185" s="24">
        <f t="shared" si="65"/>
        <v>-15.404389954518482</v>
      </c>
    </row>
    <row r="186" spans="1:8" x14ac:dyDescent="0.25">
      <c r="A186" s="10">
        <f t="shared" si="19"/>
        <v>40136</v>
      </c>
      <c r="B186">
        <v>494.4</v>
      </c>
      <c r="C186">
        <v>461.6</v>
      </c>
      <c r="D186">
        <v>1302.5999999999999</v>
      </c>
      <c r="E186">
        <v>1653.7</v>
      </c>
      <c r="F186" s="19">
        <f t="shared" si="63"/>
        <v>1797</v>
      </c>
      <c r="G186" s="19">
        <f t="shared" si="64"/>
        <v>2115.3000000000002</v>
      </c>
      <c r="H186" s="24">
        <f t="shared" si="65"/>
        <v>-15.047510991348755</v>
      </c>
    </row>
    <row r="187" spans="1:8" x14ac:dyDescent="0.25">
      <c r="A187" s="10">
        <f t="shared" si="19"/>
        <v>40143</v>
      </c>
      <c r="B187">
        <v>547.29999999999995</v>
      </c>
      <c r="C187">
        <v>396.2</v>
      </c>
      <c r="D187">
        <v>1363.3</v>
      </c>
      <c r="E187">
        <v>1720.9</v>
      </c>
      <c r="F187" s="19">
        <f t="shared" si="63"/>
        <v>1910.6</v>
      </c>
      <c r="G187" s="19">
        <f t="shared" si="64"/>
        <v>2117.1</v>
      </c>
      <c r="H187" s="24">
        <f t="shared" si="65"/>
        <v>-9.7539086486231223</v>
      </c>
    </row>
    <row r="188" spans="1:8" x14ac:dyDescent="0.25">
      <c r="A188" s="10">
        <f t="shared" si="19"/>
        <v>40150</v>
      </c>
      <c r="B188">
        <v>561.20000000000005</v>
      </c>
      <c r="C188">
        <v>480.4</v>
      </c>
      <c r="D188">
        <v>1407.3</v>
      </c>
      <c r="E188">
        <v>1721.2</v>
      </c>
      <c r="F188" s="19">
        <f t="shared" ref="F188:F219" si="66">+B188+D188</f>
        <v>1968.5</v>
      </c>
      <c r="G188" s="19">
        <f t="shared" ref="G188:G219" si="67">+C188+E188</f>
        <v>2201.6</v>
      </c>
      <c r="H188" s="24">
        <f t="shared" si="65"/>
        <v>-10.587754360465118</v>
      </c>
    </row>
    <row r="189" spans="1:8" x14ac:dyDescent="0.25">
      <c r="A189" s="10">
        <f t="shared" si="19"/>
        <v>40157</v>
      </c>
      <c r="B189">
        <v>670.7</v>
      </c>
      <c r="C189">
        <v>459.9</v>
      </c>
      <c r="D189">
        <v>1435.8</v>
      </c>
      <c r="E189">
        <v>1763.4</v>
      </c>
      <c r="F189" s="19">
        <f t="shared" si="66"/>
        <v>2106.5</v>
      </c>
      <c r="G189" s="19">
        <f t="shared" si="67"/>
        <v>2223.3000000000002</v>
      </c>
      <c r="H189" s="24">
        <f t="shared" si="65"/>
        <v>-5.2534520757432706</v>
      </c>
    </row>
    <row r="190" spans="1:8" x14ac:dyDescent="0.25">
      <c r="A190" s="10">
        <f t="shared" si="19"/>
        <v>40164</v>
      </c>
      <c r="B190">
        <v>672.3</v>
      </c>
      <c r="C190">
        <v>467.1</v>
      </c>
      <c r="D190">
        <v>1500.3</v>
      </c>
      <c r="E190">
        <v>1809.9</v>
      </c>
      <c r="F190" s="19">
        <f t="shared" si="66"/>
        <v>2172.6</v>
      </c>
      <c r="G190" s="19">
        <f t="shared" si="67"/>
        <v>2277</v>
      </c>
      <c r="H190" s="24">
        <f t="shared" si="65"/>
        <v>-4.5849802371541575</v>
      </c>
    </row>
    <row r="191" spans="1:8" x14ac:dyDescent="0.25">
      <c r="A191" s="10">
        <f t="shared" si="19"/>
        <v>40171</v>
      </c>
      <c r="B191">
        <v>560.70000000000005</v>
      </c>
      <c r="C191">
        <v>467.4</v>
      </c>
      <c r="D191">
        <v>1614.6</v>
      </c>
      <c r="E191">
        <v>1809.9</v>
      </c>
      <c r="F191" s="19">
        <f t="shared" si="66"/>
        <v>2175.3000000000002</v>
      </c>
      <c r="G191" s="19">
        <f t="shared" si="67"/>
        <v>2277.3000000000002</v>
      </c>
      <c r="H191" s="24">
        <f t="shared" si="65"/>
        <v>-4.4789882755895132</v>
      </c>
    </row>
    <row r="192" spans="1:8" x14ac:dyDescent="0.25">
      <c r="A192" s="10">
        <f t="shared" si="19"/>
        <v>40178</v>
      </c>
      <c r="B192">
        <v>540.70000000000005</v>
      </c>
      <c r="C192">
        <v>447.9</v>
      </c>
      <c r="D192">
        <v>1634.4</v>
      </c>
      <c r="E192">
        <v>1830.1</v>
      </c>
      <c r="F192" s="19">
        <f t="shared" si="66"/>
        <v>2175.1000000000004</v>
      </c>
      <c r="G192" s="19">
        <f t="shared" si="67"/>
        <v>2278</v>
      </c>
      <c r="H192" s="24">
        <f t="shared" ref="H192:H223" si="68">+(F192/G192-1)*100</f>
        <v>-4.5171202809481841</v>
      </c>
    </row>
    <row r="193" spans="1:9" x14ac:dyDescent="0.25">
      <c r="A193" s="10">
        <f t="shared" si="19"/>
        <v>40185</v>
      </c>
      <c r="B193">
        <v>493.3</v>
      </c>
      <c r="C193">
        <v>431.4</v>
      </c>
      <c r="D193">
        <v>1707.6</v>
      </c>
      <c r="E193">
        <v>1908.4</v>
      </c>
      <c r="F193" s="19">
        <f t="shared" si="66"/>
        <v>2200.9</v>
      </c>
      <c r="G193" s="19">
        <f t="shared" si="67"/>
        <v>2339.8000000000002</v>
      </c>
      <c r="H193" s="24">
        <f t="shared" si="68"/>
        <v>-5.9364048209248672</v>
      </c>
    </row>
    <row r="194" spans="1:9" x14ac:dyDescent="0.25">
      <c r="A194" s="10">
        <f t="shared" si="19"/>
        <v>40192</v>
      </c>
      <c r="B194">
        <v>483.7</v>
      </c>
      <c r="C194">
        <v>506.9</v>
      </c>
      <c r="D194">
        <v>1794.5</v>
      </c>
      <c r="E194">
        <v>1930.2</v>
      </c>
      <c r="F194" s="19">
        <f t="shared" si="66"/>
        <v>2278.1999999999998</v>
      </c>
      <c r="G194" s="19">
        <f t="shared" si="67"/>
        <v>2437.1</v>
      </c>
      <c r="H194" s="24">
        <f t="shared" si="68"/>
        <v>-6.5200443149645126</v>
      </c>
    </row>
    <row r="195" spans="1:9" x14ac:dyDescent="0.25">
      <c r="A195" s="10">
        <f t="shared" si="19"/>
        <v>40199</v>
      </c>
      <c r="B195">
        <v>502.8</v>
      </c>
      <c r="C195">
        <v>430.3</v>
      </c>
      <c r="D195">
        <v>1854.2</v>
      </c>
      <c r="E195">
        <v>2008.9</v>
      </c>
      <c r="F195" s="19">
        <f t="shared" si="66"/>
        <v>2357</v>
      </c>
      <c r="G195" s="19">
        <f t="shared" si="67"/>
        <v>2439.2000000000003</v>
      </c>
      <c r="H195" s="24">
        <f t="shared" si="68"/>
        <v>-3.3699573630698643</v>
      </c>
    </row>
    <row r="196" spans="1:9" x14ac:dyDescent="0.25">
      <c r="A196" s="10">
        <f t="shared" si="19"/>
        <v>40206</v>
      </c>
      <c r="B196">
        <v>481.4</v>
      </c>
      <c r="C196">
        <v>367.9</v>
      </c>
      <c r="D196">
        <v>1945.8</v>
      </c>
      <c r="E196">
        <v>2072.9</v>
      </c>
      <c r="F196" s="19">
        <f t="shared" si="66"/>
        <v>2427.1999999999998</v>
      </c>
      <c r="G196" s="19">
        <f t="shared" si="67"/>
        <v>2440.8000000000002</v>
      </c>
      <c r="H196" s="24">
        <f t="shared" si="68"/>
        <v>-0.55719436250410981</v>
      </c>
    </row>
    <row r="197" spans="1:9" x14ac:dyDescent="0.25">
      <c r="A197" s="10">
        <f t="shared" si="19"/>
        <v>40213</v>
      </c>
      <c r="B197">
        <v>521.29999999999995</v>
      </c>
      <c r="C197">
        <v>331.5</v>
      </c>
      <c r="D197">
        <v>1971.6</v>
      </c>
      <c r="E197">
        <v>2175</v>
      </c>
      <c r="F197" s="19">
        <f t="shared" si="66"/>
        <v>2492.8999999999996</v>
      </c>
      <c r="G197" s="19">
        <f t="shared" si="67"/>
        <v>2506.5</v>
      </c>
      <c r="H197" s="24">
        <f t="shared" si="68"/>
        <v>-0.54258926790347051</v>
      </c>
    </row>
    <row r="198" spans="1:9" x14ac:dyDescent="0.25">
      <c r="A198" s="10">
        <f t="shared" si="19"/>
        <v>40220</v>
      </c>
      <c r="B198">
        <v>515.4</v>
      </c>
      <c r="C198">
        <v>359.6</v>
      </c>
      <c r="D198">
        <v>2060.6</v>
      </c>
      <c r="E198">
        <v>2236.5</v>
      </c>
      <c r="F198" s="19">
        <f t="shared" si="66"/>
        <v>2576</v>
      </c>
      <c r="G198" s="19">
        <f t="shared" si="67"/>
        <v>2596.1</v>
      </c>
      <c r="H198" s="24">
        <f t="shared" si="68"/>
        <v>-0.7742382804976633</v>
      </c>
    </row>
    <row r="199" spans="1:9" x14ac:dyDescent="0.25">
      <c r="A199" s="10">
        <f t="shared" si="19"/>
        <v>40227</v>
      </c>
      <c r="B199">
        <v>492.4</v>
      </c>
      <c r="C199">
        <v>363.3</v>
      </c>
      <c r="D199">
        <v>2127.6</v>
      </c>
      <c r="E199">
        <v>2258.1</v>
      </c>
      <c r="F199" s="19">
        <f t="shared" si="66"/>
        <v>2620</v>
      </c>
      <c r="G199" s="19">
        <f t="shared" si="67"/>
        <v>2621.4</v>
      </c>
      <c r="H199" s="24">
        <f t="shared" si="68"/>
        <v>-5.3406576638437286E-2</v>
      </c>
      <c r="I199">
        <v>4</v>
      </c>
    </row>
    <row r="200" spans="1:9" x14ac:dyDescent="0.25">
      <c r="A200" s="10">
        <f t="shared" si="19"/>
        <v>40234</v>
      </c>
      <c r="B200">
        <v>409.7</v>
      </c>
      <c r="C200">
        <v>388.8</v>
      </c>
      <c r="D200">
        <v>2212.3000000000002</v>
      </c>
      <c r="E200">
        <v>2258.1</v>
      </c>
      <c r="F200" s="19">
        <f t="shared" si="66"/>
        <v>2622</v>
      </c>
      <c r="G200" s="19">
        <f t="shared" si="67"/>
        <v>2646.9</v>
      </c>
      <c r="H200" s="24">
        <f t="shared" si="68"/>
        <v>-0.94072311005327647</v>
      </c>
      <c r="I200">
        <v>4</v>
      </c>
    </row>
    <row r="201" spans="1:9" x14ac:dyDescent="0.25">
      <c r="A201" s="10">
        <f t="shared" si="19"/>
        <v>40241</v>
      </c>
      <c r="B201">
        <v>456</v>
      </c>
      <c r="C201">
        <v>482.4</v>
      </c>
      <c r="D201">
        <v>2212.3000000000002</v>
      </c>
      <c r="E201">
        <v>2300.3000000000002</v>
      </c>
      <c r="F201" s="19">
        <f t="shared" si="66"/>
        <v>2668.3</v>
      </c>
      <c r="G201" s="19">
        <f t="shared" si="67"/>
        <v>2782.7000000000003</v>
      </c>
      <c r="H201" s="24">
        <f t="shared" si="68"/>
        <v>-4.1111151040356564</v>
      </c>
      <c r="I201">
        <v>8.4</v>
      </c>
    </row>
    <row r="202" spans="1:9" x14ac:dyDescent="0.25">
      <c r="A202" s="10">
        <f t="shared" si="19"/>
        <v>40248</v>
      </c>
      <c r="B202">
        <v>537.79999999999995</v>
      </c>
      <c r="C202">
        <v>553.70000000000005</v>
      </c>
      <c r="D202">
        <v>2212.4</v>
      </c>
      <c r="E202">
        <v>2300.3000000000002</v>
      </c>
      <c r="F202" s="19">
        <f t="shared" si="66"/>
        <v>2750.2</v>
      </c>
      <c r="G202" s="19">
        <f t="shared" si="67"/>
        <v>2854</v>
      </c>
      <c r="H202" s="24">
        <f t="shared" si="68"/>
        <v>-3.6370007007708538</v>
      </c>
      <c r="I202">
        <v>8.4</v>
      </c>
    </row>
    <row r="203" spans="1:9" x14ac:dyDescent="0.25">
      <c r="A203" s="10">
        <f t="shared" si="19"/>
        <v>40255</v>
      </c>
      <c r="B203">
        <v>499.8</v>
      </c>
      <c r="C203">
        <v>598.79999999999995</v>
      </c>
      <c r="D203">
        <v>2301</v>
      </c>
      <c r="E203">
        <v>2351.3000000000002</v>
      </c>
      <c r="F203" s="19">
        <f t="shared" si="66"/>
        <v>2800.8</v>
      </c>
      <c r="G203" s="19">
        <f t="shared" si="67"/>
        <v>2950.1000000000004</v>
      </c>
      <c r="H203" s="24">
        <f t="shared" si="68"/>
        <v>-5.0608453950713557</v>
      </c>
      <c r="I203">
        <v>8.4</v>
      </c>
    </row>
    <row r="204" spans="1:9" x14ac:dyDescent="0.25">
      <c r="A204" s="10">
        <f t="shared" si="19"/>
        <v>40262</v>
      </c>
      <c r="B204">
        <v>467.1</v>
      </c>
      <c r="C204">
        <v>514.6</v>
      </c>
      <c r="D204">
        <v>2504.3000000000002</v>
      </c>
      <c r="E204">
        <v>2469.3000000000002</v>
      </c>
      <c r="F204" s="19">
        <f t="shared" si="66"/>
        <v>2971.4</v>
      </c>
      <c r="G204" s="19">
        <f t="shared" si="67"/>
        <v>2983.9</v>
      </c>
      <c r="H204" s="24">
        <f t="shared" si="68"/>
        <v>-0.41891484299071413</v>
      </c>
      <c r="I204">
        <v>10.4</v>
      </c>
    </row>
    <row r="205" spans="1:9" x14ac:dyDescent="0.25">
      <c r="A205" s="10">
        <f t="shared" si="19"/>
        <v>40269</v>
      </c>
      <c r="B205">
        <v>423.9</v>
      </c>
      <c r="C205">
        <v>432.9</v>
      </c>
      <c r="D205">
        <v>2592.9</v>
      </c>
      <c r="E205">
        <v>2565.1999999999998</v>
      </c>
      <c r="F205" s="19">
        <f t="shared" si="66"/>
        <v>3016.8</v>
      </c>
      <c r="G205" s="19">
        <f t="shared" si="67"/>
        <v>2998.1</v>
      </c>
      <c r="H205" s="24">
        <f t="shared" si="68"/>
        <v>0.62372836129549469</v>
      </c>
      <c r="I205">
        <v>10.4</v>
      </c>
    </row>
    <row r="206" spans="1:9" x14ac:dyDescent="0.25">
      <c r="A206" s="10">
        <f t="shared" si="19"/>
        <v>40276</v>
      </c>
      <c r="B206">
        <v>408.9</v>
      </c>
      <c r="C206">
        <v>340.3</v>
      </c>
      <c r="D206">
        <v>2634.1</v>
      </c>
      <c r="E206">
        <v>2658.9</v>
      </c>
      <c r="F206" s="19">
        <f t="shared" si="66"/>
        <v>3043</v>
      </c>
      <c r="G206" s="19">
        <f t="shared" si="67"/>
        <v>2999.2000000000003</v>
      </c>
      <c r="H206" s="24">
        <f t="shared" si="68"/>
        <v>1.4603894371832293</v>
      </c>
      <c r="I206">
        <v>60.2</v>
      </c>
    </row>
    <row r="207" spans="1:9" x14ac:dyDescent="0.25">
      <c r="A207" s="10">
        <f t="shared" si="19"/>
        <v>40283</v>
      </c>
      <c r="B207">
        <v>475.6</v>
      </c>
      <c r="C207">
        <v>311.39999999999998</v>
      </c>
      <c r="D207">
        <v>2659.9</v>
      </c>
      <c r="E207">
        <v>2731.6</v>
      </c>
      <c r="F207" s="19">
        <f t="shared" si="66"/>
        <v>3135.5</v>
      </c>
      <c r="G207" s="19">
        <f t="shared" si="67"/>
        <v>3043</v>
      </c>
      <c r="H207" s="24">
        <f t="shared" si="68"/>
        <v>3.0397633913900712</v>
      </c>
      <c r="I207">
        <v>60.2</v>
      </c>
    </row>
    <row r="208" spans="1:9" x14ac:dyDescent="0.25">
      <c r="A208" s="10">
        <f t="shared" si="19"/>
        <v>40290</v>
      </c>
      <c r="B208">
        <v>497.1</v>
      </c>
      <c r="C208">
        <v>298.10000000000002</v>
      </c>
      <c r="D208">
        <v>2685.6</v>
      </c>
      <c r="E208">
        <v>2791.3</v>
      </c>
      <c r="F208" s="19">
        <f t="shared" si="66"/>
        <v>3182.7</v>
      </c>
      <c r="G208" s="19">
        <f t="shared" si="67"/>
        <v>3089.4</v>
      </c>
      <c r="H208" s="24">
        <f t="shared" si="68"/>
        <v>3.0200038842493671</v>
      </c>
      <c r="I208">
        <v>131.69999999999999</v>
      </c>
    </row>
    <row r="209" spans="1:9" x14ac:dyDescent="0.25">
      <c r="A209" s="10">
        <f t="shared" si="19"/>
        <v>40297</v>
      </c>
      <c r="B209">
        <v>453.7</v>
      </c>
      <c r="C209">
        <v>339.3</v>
      </c>
      <c r="D209">
        <v>2811.2</v>
      </c>
      <c r="E209">
        <v>2821.8</v>
      </c>
      <c r="F209" s="19">
        <f t="shared" si="66"/>
        <v>3264.8999999999996</v>
      </c>
      <c r="G209" s="19">
        <f t="shared" si="67"/>
        <v>3161.1000000000004</v>
      </c>
      <c r="H209" s="24">
        <f t="shared" si="68"/>
        <v>3.2836670779158972</v>
      </c>
      <c r="I209">
        <v>133.69999999999999</v>
      </c>
    </row>
    <row r="210" spans="1:9" x14ac:dyDescent="0.25">
      <c r="A210" s="10">
        <f t="shared" si="19"/>
        <v>40304</v>
      </c>
      <c r="B210">
        <v>362.6</v>
      </c>
      <c r="C210">
        <v>303.10000000000002</v>
      </c>
      <c r="D210">
        <v>2881.7</v>
      </c>
      <c r="E210">
        <v>2916.3</v>
      </c>
      <c r="F210" s="19">
        <f t="shared" si="66"/>
        <v>3244.2999999999997</v>
      </c>
      <c r="G210" s="19">
        <f t="shared" si="67"/>
        <v>3219.4</v>
      </c>
      <c r="H210" s="24">
        <f t="shared" si="68"/>
        <v>0.77343604398334431</v>
      </c>
      <c r="I210">
        <v>163.6</v>
      </c>
    </row>
    <row r="211" spans="1:9" x14ac:dyDescent="0.25">
      <c r="A211" s="10">
        <f t="shared" si="19"/>
        <v>40311</v>
      </c>
      <c r="B211">
        <v>424.6</v>
      </c>
      <c r="C211">
        <v>211.7</v>
      </c>
      <c r="D211">
        <v>2969.2</v>
      </c>
      <c r="E211">
        <v>2993</v>
      </c>
      <c r="F211" s="19">
        <f t="shared" si="66"/>
        <v>3393.7999999999997</v>
      </c>
      <c r="G211" s="19">
        <f t="shared" si="67"/>
        <v>3204.7</v>
      </c>
      <c r="H211" s="24">
        <f t="shared" si="68"/>
        <v>5.9007083346334976</v>
      </c>
      <c r="I211">
        <v>163.6</v>
      </c>
    </row>
    <row r="212" spans="1:9" x14ac:dyDescent="0.25">
      <c r="A212" s="10">
        <f t="shared" si="19"/>
        <v>40318</v>
      </c>
      <c r="B212">
        <v>317.7</v>
      </c>
      <c r="C212">
        <v>257.3</v>
      </c>
      <c r="D212">
        <v>3029.7</v>
      </c>
      <c r="E212">
        <v>3013.6</v>
      </c>
      <c r="F212" s="19">
        <f t="shared" si="66"/>
        <v>3347.3999999999996</v>
      </c>
      <c r="G212" s="19">
        <f t="shared" si="67"/>
        <v>3270.9</v>
      </c>
      <c r="H212" s="24">
        <f t="shared" si="68"/>
        <v>2.3388058332568962</v>
      </c>
      <c r="I212">
        <v>249.1</v>
      </c>
    </row>
    <row r="213" spans="1:9" x14ac:dyDescent="0.25">
      <c r="A213" s="10">
        <f t="shared" si="19"/>
        <v>40325</v>
      </c>
      <c r="B213">
        <v>261.3</v>
      </c>
      <c r="C213">
        <v>231.5</v>
      </c>
      <c r="D213">
        <v>3101.8</v>
      </c>
      <c r="E213">
        <v>3060</v>
      </c>
      <c r="F213" s="19">
        <f t="shared" si="66"/>
        <v>3363.1000000000004</v>
      </c>
      <c r="G213" s="19">
        <f t="shared" si="67"/>
        <v>3291.5</v>
      </c>
      <c r="H213" s="24">
        <f t="shared" si="68"/>
        <v>2.1753000151906621</v>
      </c>
      <c r="I213">
        <v>250.9</v>
      </c>
    </row>
    <row r="214" spans="1:9" x14ac:dyDescent="0.25">
      <c r="A214" s="10">
        <f t="shared" si="19"/>
        <v>40332</v>
      </c>
      <c r="B214">
        <v>461</v>
      </c>
      <c r="C214">
        <v>227.9</v>
      </c>
      <c r="D214">
        <v>25.8</v>
      </c>
      <c r="E214">
        <v>8.1999999999999993</v>
      </c>
      <c r="F214" s="19">
        <f t="shared" si="66"/>
        <v>486.8</v>
      </c>
      <c r="G214" s="19">
        <f t="shared" si="67"/>
        <v>236.1</v>
      </c>
      <c r="H214" s="24">
        <f t="shared" si="68"/>
        <v>106.18382041507837</v>
      </c>
    </row>
    <row r="215" spans="1:9" x14ac:dyDescent="0.25">
      <c r="A215" s="10">
        <f t="shared" si="19"/>
        <v>40339</v>
      </c>
      <c r="B215">
        <v>492.7</v>
      </c>
      <c r="C215">
        <v>289.60000000000002</v>
      </c>
      <c r="D215">
        <v>92.7</v>
      </c>
      <c r="E215">
        <v>8.1999999999999993</v>
      </c>
      <c r="F215" s="19">
        <f t="shared" si="66"/>
        <v>585.4</v>
      </c>
      <c r="G215" s="19">
        <f t="shared" si="67"/>
        <v>297.8</v>
      </c>
      <c r="H215" s="24">
        <f t="shared" si="68"/>
        <v>96.574882471457329</v>
      </c>
    </row>
    <row r="216" spans="1:9" x14ac:dyDescent="0.25">
      <c r="A216" s="10">
        <f t="shared" si="19"/>
        <v>40346</v>
      </c>
      <c r="B216">
        <v>471.6</v>
      </c>
      <c r="C216">
        <v>310.39999999999998</v>
      </c>
      <c r="D216">
        <v>177.2</v>
      </c>
      <c r="E216">
        <v>70.2</v>
      </c>
      <c r="F216" s="19">
        <f t="shared" si="66"/>
        <v>648.79999999999995</v>
      </c>
      <c r="G216" s="19">
        <f t="shared" si="67"/>
        <v>380.59999999999997</v>
      </c>
      <c r="H216" s="24">
        <f t="shared" si="68"/>
        <v>70.467682606410946</v>
      </c>
    </row>
    <row r="217" spans="1:9" x14ac:dyDescent="0.25">
      <c r="A217" s="10">
        <f t="shared" si="19"/>
        <v>40353</v>
      </c>
      <c r="B217">
        <v>494.4</v>
      </c>
      <c r="C217">
        <v>284.7</v>
      </c>
      <c r="D217">
        <v>273</v>
      </c>
      <c r="E217">
        <v>97.4</v>
      </c>
      <c r="F217" s="19">
        <f t="shared" si="66"/>
        <v>767.4</v>
      </c>
      <c r="G217" s="19">
        <f t="shared" si="67"/>
        <v>382.1</v>
      </c>
      <c r="H217" s="24">
        <f t="shared" si="68"/>
        <v>100.83747710023552</v>
      </c>
    </row>
    <row r="218" spans="1:9" x14ac:dyDescent="0.25">
      <c r="A218" s="10">
        <f t="shared" si="19"/>
        <v>40360</v>
      </c>
      <c r="B218">
        <v>443.9</v>
      </c>
      <c r="C218">
        <v>350.2</v>
      </c>
      <c r="D218">
        <v>326</v>
      </c>
      <c r="E218">
        <v>119.3</v>
      </c>
      <c r="F218" s="19">
        <f t="shared" si="66"/>
        <v>769.9</v>
      </c>
      <c r="G218" s="19">
        <f t="shared" si="67"/>
        <v>469.5</v>
      </c>
      <c r="H218" s="24">
        <f t="shared" si="68"/>
        <v>63.982960596379115</v>
      </c>
    </row>
    <row r="219" spans="1:9" x14ac:dyDescent="0.25">
      <c r="A219" s="10">
        <f t="shared" si="19"/>
        <v>40367</v>
      </c>
      <c r="B219">
        <v>349.6</v>
      </c>
      <c r="C219">
        <v>354.5</v>
      </c>
      <c r="D219">
        <v>420.8</v>
      </c>
      <c r="E219">
        <v>119.7</v>
      </c>
      <c r="F219" s="19">
        <f t="shared" si="66"/>
        <v>770.40000000000009</v>
      </c>
      <c r="G219" s="19">
        <f t="shared" si="67"/>
        <v>474.2</v>
      </c>
      <c r="H219" s="24">
        <f t="shared" si="68"/>
        <v>62.463095740194042</v>
      </c>
    </row>
    <row r="220" spans="1:9" x14ac:dyDescent="0.25">
      <c r="A220" s="10">
        <f t="shared" si="19"/>
        <v>40374</v>
      </c>
      <c r="B220">
        <v>277.8</v>
      </c>
      <c r="C220">
        <v>407.3</v>
      </c>
      <c r="D220">
        <v>496.1</v>
      </c>
      <c r="E220">
        <v>161.5</v>
      </c>
      <c r="F220" s="19">
        <f t="shared" ref="F220:F251" si="69">+B220+D220</f>
        <v>773.90000000000009</v>
      </c>
      <c r="G220" s="19">
        <f t="shared" ref="G220:G251" si="70">+C220+E220</f>
        <v>568.79999999999995</v>
      </c>
      <c r="H220" s="24">
        <f t="shared" si="68"/>
        <v>36.058368495077374</v>
      </c>
    </row>
    <row r="221" spans="1:9" x14ac:dyDescent="0.25">
      <c r="A221" s="10">
        <f t="shared" si="19"/>
        <v>40381</v>
      </c>
      <c r="B221">
        <v>402.1</v>
      </c>
      <c r="C221">
        <v>500.1</v>
      </c>
      <c r="D221">
        <v>533.5</v>
      </c>
      <c r="E221">
        <v>161.5</v>
      </c>
      <c r="F221" s="19">
        <f t="shared" si="69"/>
        <v>935.6</v>
      </c>
      <c r="G221" s="19">
        <f t="shared" si="70"/>
        <v>661.6</v>
      </c>
      <c r="H221" s="24">
        <f t="shared" si="68"/>
        <v>41.414752116082234</v>
      </c>
    </row>
    <row r="222" spans="1:9" x14ac:dyDescent="0.25">
      <c r="A222" s="10">
        <f t="shared" si="19"/>
        <v>40388</v>
      </c>
      <c r="B222">
        <v>474</v>
      </c>
      <c r="C222">
        <v>546.70000000000005</v>
      </c>
      <c r="D222">
        <v>622.29999999999995</v>
      </c>
      <c r="E222">
        <v>202.7</v>
      </c>
      <c r="F222" s="19">
        <f t="shared" si="69"/>
        <v>1096.3</v>
      </c>
      <c r="G222" s="19">
        <f t="shared" si="70"/>
        <v>749.40000000000009</v>
      </c>
      <c r="H222" s="24">
        <f t="shared" si="68"/>
        <v>46.290365625833971</v>
      </c>
    </row>
    <row r="223" spans="1:9" x14ac:dyDescent="0.25">
      <c r="A223" s="10">
        <f t="shared" si="19"/>
        <v>40395</v>
      </c>
      <c r="B223">
        <v>577.6</v>
      </c>
      <c r="C223">
        <v>562.70000000000005</v>
      </c>
      <c r="D223">
        <v>685.4</v>
      </c>
      <c r="E223">
        <v>270.3</v>
      </c>
      <c r="F223" s="19">
        <f t="shared" si="69"/>
        <v>1263</v>
      </c>
      <c r="G223" s="19">
        <f t="shared" si="70"/>
        <v>833</v>
      </c>
      <c r="H223" s="24">
        <f t="shared" si="68"/>
        <v>51.620648259303728</v>
      </c>
    </row>
    <row r="224" spans="1:9" x14ac:dyDescent="0.25">
      <c r="A224" s="10">
        <f t="shared" si="19"/>
        <v>40402</v>
      </c>
      <c r="B224">
        <v>591.79999999999995</v>
      </c>
      <c r="C224">
        <v>581.5</v>
      </c>
      <c r="D224">
        <v>747.1</v>
      </c>
      <c r="E224">
        <v>301.3</v>
      </c>
      <c r="F224" s="19">
        <f t="shared" si="69"/>
        <v>1338.9</v>
      </c>
      <c r="G224" s="19">
        <f t="shared" si="70"/>
        <v>882.8</v>
      </c>
      <c r="H224" s="24">
        <f t="shared" ref="H224:H255" si="71">+(F224/G224-1)*100</f>
        <v>51.665156320797493</v>
      </c>
    </row>
    <row r="225" spans="1:8" x14ac:dyDescent="0.25">
      <c r="A225" s="10">
        <f t="shared" si="19"/>
        <v>40409</v>
      </c>
      <c r="B225">
        <v>550.29999999999995</v>
      </c>
      <c r="C225">
        <v>624.6</v>
      </c>
      <c r="D225">
        <v>793.7</v>
      </c>
      <c r="E225">
        <v>347.6</v>
      </c>
      <c r="F225" s="19">
        <f t="shared" si="69"/>
        <v>1344</v>
      </c>
      <c r="G225" s="19">
        <f t="shared" si="70"/>
        <v>972.2</v>
      </c>
      <c r="H225" s="24">
        <f t="shared" si="71"/>
        <v>38.243159843653565</v>
      </c>
    </row>
    <row r="226" spans="1:8" x14ac:dyDescent="0.25">
      <c r="A226" s="10">
        <f t="shared" si="19"/>
        <v>40416</v>
      </c>
      <c r="B226">
        <v>576.29999999999995</v>
      </c>
      <c r="C226">
        <v>646.6</v>
      </c>
      <c r="D226">
        <v>819.4</v>
      </c>
      <c r="E226">
        <v>408.1</v>
      </c>
      <c r="F226" s="19">
        <f t="shared" si="69"/>
        <v>1395.6999999999998</v>
      </c>
      <c r="G226" s="19">
        <f t="shared" si="70"/>
        <v>1054.7</v>
      </c>
      <c r="H226" s="24">
        <f t="shared" si="71"/>
        <v>32.331468664075082</v>
      </c>
    </row>
    <row r="227" spans="1:8" x14ac:dyDescent="0.25">
      <c r="A227" s="10">
        <f t="shared" si="19"/>
        <v>40423</v>
      </c>
      <c r="B227">
        <v>699.5</v>
      </c>
      <c r="C227">
        <v>716.3</v>
      </c>
      <c r="D227">
        <v>845.2</v>
      </c>
      <c r="E227">
        <v>455.6</v>
      </c>
      <c r="F227" s="19">
        <f t="shared" si="69"/>
        <v>1544.7</v>
      </c>
      <c r="G227" s="19">
        <f t="shared" si="70"/>
        <v>1171.9000000000001</v>
      </c>
      <c r="H227" s="24">
        <f t="shared" si="71"/>
        <v>31.811588019455584</v>
      </c>
    </row>
    <row r="228" spans="1:8" x14ac:dyDescent="0.25">
      <c r="A228" s="10">
        <f t="shared" si="19"/>
        <v>40430</v>
      </c>
      <c r="B228">
        <v>698.4</v>
      </c>
      <c r="C228">
        <v>637.5</v>
      </c>
      <c r="D228">
        <v>914.3</v>
      </c>
      <c r="E228">
        <v>564.70000000000005</v>
      </c>
      <c r="F228" s="19">
        <f t="shared" si="69"/>
        <v>1612.6999999999998</v>
      </c>
      <c r="G228" s="19">
        <f t="shared" si="70"/>
        <v>1202.2</v>
      </c>
      <c r="H228" s="24">
        <f t="shared" si="71"/>
        <v>34.145732823157516</v>
      </c>
    </row>
    <row r="229" spans="1:8" x14ac:dyDescent="0.25">
      <c r="A229" s="10">
        <f t="shared" si="19"/>
        <v>40437</v>
      </c>
      <c r="B229">
        <v>695</v>
      </c>
      <c r="C229">
        <v>583.5</v>
      </c>
      <c r="D229">
        <v>986.4</v>
      </c>
      <c r="E229">
        <v>680.1</v>
      </c>
      <c r="F229" s="19">
        <f t="shared" si="69"/>
        <v>1681.4</v>
      </c>
      <c r="G229" s="19">
        <f t="shared" si="70"/>
        <v>1263.5999999999999</v>
      </c>
      <c r="H229" s="24">
        <f t="shared" si="71"/>
        <v>33.064260842038642</v>
      </c>
    </row>
    <row r="230" spans="1:8" x14ac:dyDescent="0.25">
      <c r="A230" s="10">
        <f t="shared" si="19"/>
        <v>40444</v>
      </c>
      <c r="B230">
        <v>633.79999999999995</v>
      </c>
      <c r="C230">
        <v>532</v>
      </c>
      <c r="D230">
        <v>1056.7</v>
      </c>
      <c r="E230">
        <v>763.5</v>
      </c>
      <c r="F230" s="19">
        <f t="shared" si="69"/>
        <v>1690.5</v>
      </c>
      <c r="G230" s="19">
        <f t="shared" si="70"/>
        <v>1295.5</v>
      </c>
      <c r="H230" s="24">
        <f t="shared" si="71"/>
        <v>30.49015824006176</v>
      </c>
    </row>
    <row r="231" spans="1:8" x14ac:dyDescent="0.25">
      <c r="A231" s="10">
        <f t="shared" si="19"/>
        <v>40451</v>
      </c>
      <c r="B231">
        <v>566.70000000000005</v>
      </c>
      <c r="C231">
        <v>500.7</v>
      </c>
      <c r="D231">
        <v>1120.7</v>
      </c>
      <c r="E231">
        <v>881.6</v>
      </c>
      <c r="F231" s="19">
        <f t="shared" si="69"/>
        <v>1687.4</v>
      </c>
      <c r="G231" s="19">
        <f t="shared" si="70"/>
        <v>1382.3</v>
      </c>
      <c r="H231" s="24">
        <f t="shared" si="71"/>
        <v>22.071909136945678</v>
      </c>
    </row>
    <row r="232" spans="1:8" x14ac:dyDescent="0.25">
      <c r="A232" s="10">
        <f t="shared" si="19"/>
        <v>40458</v>
      </c>
      <c r="B232">
        <v>632.70000000000005</v>
      </c>
      <c r="C232">
        <v>586.4</v>
      </c>
      <c r="D232">
        <v>1196.3</v>
      </c>
      <c r="E232">
        <v>922.8</v>
      </c>
      <c r="F232" s="19">
        <f t="shared" si="69"/>
        <v>1829</v>
      </c>
      <c r="G232" s="19">
        <f t="shared" si="70"/>
        <v>1509.1999999999998</v>
      </c>
      <c r="H232" s="24">
        <f t="shared" si="71"/>
        <v>21.190034455340601</v>
      </c>
    </row>
    <row r="233" spans="1:8" x14ac:dyDescent="0.25">
      <c r="A233" s="10">
        <f t="shared" si="19"/>
        <v>40465</v>
      </c>
      <c r="B233">
        <v>608.79999999999995</v>
      </c>
      <c r="C233">
        <v>569.1</v>
      </c>
      <c r="D233">
        <v>1222.3</v>
      </c>
      <c r="E233">
        <v>1011.3</v>
      </c>
      <c r="F233" s="19">
        <f t="shared" si="69"/>
        <v>1831.1</v>
      </c>
      <c r="G233" s="19">
        <f t="shared" si="70"/>
        <v>1580.4</v>
      </c>
      <c r="H233" s="24">
        <f t="shared" si="71"/>
        <v>15.863072639837995</v>
      </c>
    </row>
    <row r="234" spans="1:8" x14ac:dyDescent="0.25">
      <c r="A234" s="10">
        <f t="shared" si="19"/>
        <v>40472</v>
      </c>
      <c r="B234">
        <v>631.70000000000005</v>
      </c>
      <c r="C234">
        <v>531.70000000000005</v>
      </c>
      <c r="D234">
        <v>1275.5</v>
      </c>
      <c r="E234">
        <v>1121.5999999999999</v>
      </c>
      <c r="F234" s="19">
        <f t="shared" si="69"/>
        <v>1907.2</v>
      </c>
      <c r="G234" s="19">
        <f t="shared" si="70"/>
        <v>1653.3</v>
      </c>
      <c r="H234" s="24">
        <f t="shared" si="71"/>
        <v>15.35716445896087</v>
      </c>
    </row>
    <row r="235" spans="1:8" x14ac:dyDescent="0.25">
      <c r="A235" s="10">
        <f t="shared" si="19"/>
        <v>40479</v>
      </c>
      <c r="B235">
        <v>671.9</v>
      </c>
      <c r="C235">
        <v>507.1</v>
      </c>
      <c r="D235">
        <v>1296.8</v>
      </c>
      <c r="E235">
        <v>1168.9000000000001</v>
      </c>
      <c r="F235" s="19">
        <f t="shared" si="69"/>
        <v>1968.6999999999998</v>
      </c>
      <c r="G235" s="19">
        <f t="shared" si="70"/>
        <v>1676</v>
      </c>
      <c r="H235" s="24">
        <f t="shared" si="71"/>
        <v>17.464200477326951</v>
      </c>
    </row>
    <row r="236" spans="1:8" x14ac:dyDescent="0.25">
      <c r="A236" s="10">
        <f t="shared" si="19"/>
        <v>40486</v>
      </c>
      <c r="B236">
        <v>661.7</v>
      </c>
      <c r="C236">
        <v>456.5</v>
      </c>
      <c r="D236">
        <v>1470.1</v>
      </c>
      <c r="E236">
        <v>1219.5999999999999</v>
      </c>
      <c r="F236" s="19">
        <f t="shared" si="69"/>
        <v>2131.8000000000002</v>
      </c>
      <c r="G236" s="19">
        <f t="shared" si="70"/>
        <v>1676.1</v>
      </c>
      <c r="H236" s="24">
        <f t="shared" si="71"/>
        <v>27.188115267585488</v>
      </c>
    </row>
    <row r="237" spans="1:8" x14ac:dyDescent="0.25">
      <c r="A237" s="10">
        <f t="shared" si="19"/>
        <v>40493</v>
      </c>
      <c r="B237">
        <v>709.5</v>
      </c>
      <c r="C237">
        <v>420</v>
      </c>
      <c r="D237">
        <v>1490.8</v>
      </c>
      <c r="E237">
        <v>1291.2</v>
      </c>
      <c r="F237" s="19">
        <f t="shared" si="69"/>
        <v>2200.3000000000002</v>
      </c>
      <c r="G237" s="19">
        <f t="shared" si="70"/>
        <v>1711.2</v>
      </c>
      <c r="H237" s="24">
        <f t="shared" si="71"/>
        <v>28.582281439925204</v>
      </c>
    </row>
    <row r="238" spans="1:8" x14ac:dyDescent="0.25">
      <c r="A238" s="10">
        <f t="shared" si="19"/>
        <v>40500</v>
      </c>
      <c r="B238">
        <v>693.4</v>
      </c>
      <c r="C238">
        <v>494.4</v>
      </c>
      <c r="D238">
        <v>1510</v>
      </c>
      <c r="E238">
        <v>1302.5999999999999</v>
      </c>
      <c r="F238" s="19">
        <f t="shared" si="69"/>
        <v>2203.4</v>
      </c>
      <c r="G238" s="19">
        <f t="shared" si="70"/>
        <v>1797</v>
      </c>
      <c r="H238" s="24">
        <f t="shared" si="71"/>
        <v>22.615470228158042</v>
      </c>
    </row>
    <row r="239" spans="1:8" x14ac:dyDescent="0.25">
      <c r="A239" s="10">
        <f t="shared" si="19"/>
        <v>40507</v>
      </c>
      <c r="B239">
        <v>735.2</v>
      </c>
      <c r="C239">
        <v>547.29999999999995</v>
      </c>
      <c r="D239">
        <v>1536.8</v>
      </c>
      <c r="E239">
        <v>1363.3</v>
      </c>
      <c r="F239" s="19">
        <f t="shared" si="69"/>
        <v>2272</v>
      </c>
      <c r="G239" s="19">
        <f t="shared" si="70"/>
        <v>1910.6</v>
      </c>
      <c r="H239" s="24">
        <f t="shared" si="71"/>
        <v>18.915523919187692</v>
      </c>
    </row>
    <row r="240" spans="1:8" x14ac:dyDescent="0.25">
      <c r="A240" s="10">
        <f t="shared" si="19"/>
        <v>40514</v>
      </c>
      <c r="B240">
        <v>859.7</v>
      </c>
      <c r="C240">
        <v>561.20000000000005</v>
      </c>
      <c r="D240">
        <v>1583.6</v>
      </c>
      <c r="E240">
        <v>1407.3</v>
      </c>
      <c r="F240" s="19">
        <f t="shared" si="69"/>
        <v>2443.3000000000002</v>
      </c>
      <c r="G240" s="19">
        <f t="shared" si="70"/>
        <v>1968.5</v>
      </c>
      <c r="H240" s="24">
        <f t="shared" si="71"/>
        <v>24.119888239776486</v>
      </c>
    </row>
    <row r="241" spans="1:9" x14ac:dyDescent="0.25">
      <c r="A241" s="10">
        <f t="shared" si="19"/>
        <v>40521</v>
      </c>
      <c r="B241">
        <v>946.6</v>
      </c>
      <c r="C241">
        <v>670.7</v>
      </c>
      <c r="D241">
        <v>1638</v>
      </c>
      <c r="E241">
        <v>1435.8</v>
      </c>
      <c r="F241" s="19">
        <f t="shared" si="69"/>
        <v>2584.6</v>
      </c>
      <c r="G241" s="19">
        <f t="shared" si="70"/>
        <v>2106.5</v>
      </c>
      <c r="H241" s="24">
        <f t="shared" si="71"/>
        <v>22.696415855684783</v>
      </c>
    </row>
    <row r="242" spans="1:9" x14ac:dyDescent="0.25">
      <c r="A242" s="10">
        <f t="shared" si="19"/>
        <v>40528</v>
      </c>
      <c r="B242">
        <v>898.6</v>
      </c>
      <c r="C242">
        <v>672.3</v>
      </c>
      <c r="D242">
        <v>1687.8</v>
      </c>
      <c r="E242">
        <v>1500.3</v>
      </c>
      <c r="F242" s="19">
        <f t="shared" si="69"/>
        <v>2586.4</v>
      </c>
      <c r="G242" s="19">
        <f t="shared" si="70"/>
        <v>2172.6</v>
      </c>
      <c r="H242" s="24">
        <f t="shared" si="71"/>
        <v>19.046303967596433</v>
      </c>
    </row>
    <row r="243" spans="1:9" x14ac:dyDescent="0.25">
      <c r="A243" s="10">
        <f t="shared" si="19"/>
        <v>40535</v>
      </c>
      <c r="B243">
        <v>802.3</v>
      </c>
      <c r="C243">
        <v>560.70000000000005</v>
      </c>
      <c r="D243">
        <v>1783.5</v>
      </c>
      <c r="E243">
        <v>1614.6</v>
      </c>
      <c r="F243" s="19">
        <f t="shared" si="69"/>
        <v>2585.8000000000002</v>
      </c>
      <c r="G243" s="19">
        <f t="shared" si="70"/>
        <v>2175.3000000000002</v>
      </c>
      <c r="H243" s="24">
        <f t="shared" si="71"/>
        <v>18.87096032731117</v>
      </c>
    </row>
    <row r="244" spans="1:9" x14ac:dyDescent="0.25">
      <c r="A244" s="10">
        <f t="shared" si="19"/>
        <v>40542</v>
      </c>
      <c r="B244">
        <v>802.3</v>
      </c>
      <c r="C244">
        <v>540.70000000000005</v>
      </c>
      <c r="D244">
        <v>1783.5</v>
      </c>
      <c r="E244">
        <v>1634.4</v>
      </c>
      <c r="F244" s="19">
        <f t="shared" si="69"/>
        <v>2585.8000000000002</v>
      </c>
      <c r="G244" s="19">
        <f t="shared" si="70"/>
        <v>2175.1000000000004</v>
      </c>
      <c r="H244" s="24">
        <f t="shared" si="71"/>
        <v>18.881890487793651</v>
      </c>
    </row>
    <row r="245" spans="1:9" x14ac:dyDescent="0.25">
      <c r="A245" s="10">
        <f t="shared" si="19"/>
        <v>40549</v>
      </c>
      <c r="B245">
        <v>744.7</v>
      </c>
      <c r="C245">
        <v>493.3</v>
      </c>
      <c r="D245">
        <v>1841.4</v>
      </c>
      <c r="E245">
        <v>1707.6</v>
      </c>
      <c r="F245" s="19">
        <f t="shared" si="69"/>
        <v>2586.1000000000004</v>
      </c>
      <c r="G245" s="19">
        <f t="shared" si="70"/>
        <v>2200.9</v>
      </c>
      <c r="H245" s="24">
        <f t="shared" si="71"/>
        <v>17.501931028215733</v>
      </c>
    </row>
    <row r="246" spans="1:9" x14ac:dyDescent="0.25">
      <c r="A246" s="10">
        <f t="shared" si="19"/>
        <v>40556</v>
      </c>
      <c r="B246">
        <v>722.7</v>
      </c>
      <c r="C246">
        <v>483.7</v>
      </c>
      <c r="D246">
        <v>2004.3</v>
      </c>
      <c r="E246">
        <v>1794.5</v>
      </c>
      <c r="F246" s="19">
        <f t="shared" si="69"/>
        <v>2727</v>
      </c>
      <c r="G246" s="19">
        <f t="shared" si="70"/>
        <v>2278.1999999999998</v>
      </c>
      <c r="H246" s="24">
        <f t="shared" si="71"/>
        <v>19.699762970766411</v>
      </c>
    </row>
    <row r="247" spans="1:9" x14ac:dyDescent="0.25">
      <c r="A247" s="10">
        <f t="shared" si="19"/>
        <v>40563</v>
      </c>
      <c r="B247">
        <v>843.2</v>
      </c>
      <c r="C247">
        <v>502.8</v>
      </c>
      <c r="D247">
        <v>2004.3</v>
      </c>
      <c r="E247">
        <v>1854.2</v>
      </c>
      <c r="F247" s="19">
        <f t="shared" si="69"/>
        <v>2847.5</v>
      </c>
      <c r="G247" s="19">
        <f t="shared" si="70"/>
        <v>2357</v>
      </c>
      <c r="H247" s="24">
        <f t="shared" si="71"/>
        <v>20.810352142554088</v>
      </c>
    </row>
    <row r="248" spans="1:9" x14ac:dyDescent="0.25">
      <c r="A248" s="10">
        <f t="shared" si="19"/>
        <v>40570</v>
      </c>
      <c r="B248">
        <v>755.6</v>
      </c>
      <c r="C248">
        <v>481.4</v>
      </c>
      <c r="D248">
        <v>2139.1</v>
      </c>
      <c r="E248">
        <v>1945.8</v>
      </c>
      <c r="F248" s="19">
        <f t="shared" si="69"/>
        <v>2894.7</v>
      </c>
      <c r="G248" s="19">
        <f t="shared" si="70"/>
        <v>2427.1999999999998</v>
      </c>
      <c r="H248" s="24">
        <f t="shared" si="71"/>
        <v>19.260876730388922</v>
      </c>
    </row>
    <row r="249" spans="1:9" x14ac:dyDescent="0.25">
      <c r="A249" s="10">
        <f t="shared" si="19"/>
        <v>40577</v>
      </c>
      <c r="B249">
        <v>783.5</v>
      </c>
      <c r="C249">
        <v>521.29999999999995</v>
      </c>
      <c r="D249">
        <v>2203.9</v>
      </c>
      <c r="E249">
        <v>1971.6</v>
      </c>
      <c r="F249" s="19">
        <f t="shared" si="69"/>
        <v>2987.4</v>
      </c>
      <c r="G249" s="19">
        <f t="shared" si="70"/>
        <v>2492.8999999999996</v>
      </c>
      <c r="H249" s="24">
        <f t="shared" si="71"/>
        <v>19.836335191945142</v>
      </c>
    </row>
    <row r="250" spans="1:9" x14ac:dyDescent="0.25">
      <c r="A250" s="10">
        <f t="shared" si="19"/>
        <v>40584</v>
      </c>
      <c r="B250">
        <v>896.3</v>
      </c>
      <c r="C250">
        <v>515.4</v>
      </c>
      <c r="D250">
        <v>2226.1</v>
      </c>
      <c r="E250">
        <v>2060.6</v>
      </c>
      <c r="F250" s="19">
        <f t="shared" si="69"/>
        <v>3122.3999999999996</v>
      </c>
      <c r="G250" s="19">
        <f t="shared" si="70"/>
        <v>2576</v>
      </c>
      <c r="H250" s="24">
        <f t="shared" si="71"/>
        <v>21.211180124223581</v>
      </c>
    </row>
    <row r="251" spans="1:9" x14ac:dyDescent="0.25">
      <c r="A251" s="10">
        <f t="shared" si="19"/>
        <v>40591</v>
      </c>
      <c r="B251">
        <v>965.2</v>
      </c>
      <c r="C251">
        <v>492.4</v>
      </c>
      <c r="D251">
        <v>2268.1999999999998</v>
      </c>
      <c r="E251">
        <v>2127.6</v>
      </c>
      <c r="F251" s="19">
        <f t="shared" si="69"/>
        <v>3233.3999999999996</v>
      </c>
      <c r="G251" s="19">
        <f t="shared" si="70"/>
        <v>2620</v>
      </c>
      <c r="H251" s="24">
        <f t="shared" si="71"/>
        <v>23.412213740458011</v>
      </c>
    </row>
    <row r="252" spans="1:9" x14ac:dyDescent="0.25">
      <c r="A252" s="10">
        <f t="shared" si="19"/>
        <v>40598</v>
      </c>
      <c r="B252">
        <v>917.3</v>
      </c>
      <c r="C252">
        <v>409.7</v>
      </c>
      <c r="D252">
        <v>2317.5</v>
      </c>
      <c r="E252">
        <v>2212.3000000000002</v>
      </c>
      <c r="F252" s="19">
        <f t="shared" ref="F252:F265" si="72">+B252+D252</f>
        <v>3234.8</v>
      </c>
      <c r="G252" s="19">
        <f t="shared" ref="G252:G265" si="73">+C252+E252</f>
        <v>2622</v>
      </c>
      <c r="H252" s="24">
        <f t="shared" si="71"/>
        <v>23.371472158657514</v>
      </c>
    </row>
    <row r="253" spans="1:9" x14ac:dyDescent="0.25">
      <c r="A253" s="10">
        <f t="shared" si="19"/>
        <v>40605</v>
      </c>
      <c r="B253">
        <v>988.8</v>
      </c>
      <c r="C253">
        <v>456</v>
      </c>
      <c r="D253">
        <v>2398.4</v>
      </c>
      <c r="E253">
        <v>2212.3000000000002</v>
      </c>
      <c r="F253" s="19">
        <f t="shared" si="72"/>
        <v>3387.2</v>
      </c>
      <c r="G253" s="19">
        <f t="shared" si="73"/>
        <v>2668.3</v>
      </c>
      <c r="H253" s="24">
        <f t="shared" si="71"/>
        <v>26.942247873177671</v>
      </c>
    </row>
    <row r="254" spans="1:9" x14ac:dyDescent="0.25">
      <c r="A254" s="10">
        <f t="shared" si="19"/>
        <v>40612</v>
      </c>
      <c r="B254">
        <v>1006.3</v>
      </c>
      <c r="C254">
        <v>537.79999999999995</v>
      </c>
      <c r="D254">
        <v>2444.6999999999998</v>
      </c>
      <c r="E254">
        <v>2212.5</v>
      </c>
      <c r="F254" s="19">
        <f t="shared" si="72"/>
        <v>3451</v>
      </c>
      <c r="G254" s="19">
        <f t="shared" si="73"/>
        <v>2750.3</v>
      </c>
      <c r="H254" s="24">
        <f t="shared" si="71"/>
        <v>25.477220666836331</v>
      </c>
    </row>
    <row r="255" spans="1:9" x14ac:dyDescent="0.25">
      <c r="A255" s="10">
        <f t="shared" si="19"/>
        <v>40619</v>
      </c>
      <c r="B255">
        <v>953.9</v>
      </c>
      <c r="C255">
        <v>499.8</v>
      </c>
      <c r="D255">
        <v>2502.6</v>
      </c>
      <c r="E255">
        <v>2301</v>
      </c>
      <c r="F255" s="19">
        <f t="shared" si="72"/>
        <v>3456.5</v>
      </c>
      <c r="G255" s="19">
        <f t="shared" si="73"/>
        <v>2800.8</v>
      </c>
      <c r="H255" s="24">
        <f t="shared" si="71"/>
        <v>23.411168237646372</v>
      </c>
      <c r="I255">
        <v>32</v>
      </c>
    </row>
    <row r="256" spans="1:9" x14ac:dyDescent="0.25">
      <c r="A256" s="10">
        <f t="shared" ref="A256:A319" si="74">+A255+7</f>
        <v>40626</v>
      </c>
      <c r="B256">
        <v>977.8</v>
      </c>
      <c r="C256">
        <v>467.1</v>
      </c>
      <c r="D256">
        <v>2545.1999999999998</v>
      </c>
      <c r="E256">
        <v>2504.3000000000002</v>
      </c>
      <c r="F256" s="19">
        <f t="shared" si="72"/>
        <v>3523</v>
      </c>
      <c r="G256" s="19">
        <f t="shared" si="73"/>
        <v>2971.4</v>
      </c>
      <c r="H256" s="24">
        <f t="shared" ref="H256:H265" si="75">+(F256/G256-1)*100</f>
        <v>18.563640035000329</v>
      </c>
      <c r="I256">
        <v>32</v>
      </c>
    </row>
    <row r="257" spans="1:9" x14ac:dyDescent="0.25">
      <c r="A257" s="10">
        <f t="shared" si="74"/>
        <v>40633</v>
      </c>
      <c r="B257">
        <v>925.9</v>
      </c>
      <c r="C257">
        <v>423.9</v>
      </c>
      <c r="D257">
        <v>2598.6999999999998</v>
      </c>
      <c r="E257">
        <v>2592.9</v>
      </c>
      <c r="F257" s="19">
        <f t="shared" si="72"/>
        <v>3524.6</v>
      </c>
      <c r="G257" s="19">
        <f t="shared" si="73"/>
        <v>3016.8</v>
      </c>
      <c r="H257" s="24">
        <f t="shared" si="75"/>
        <v>16.83240519756033</v>
      </c>
      <c r="I257">
        <v>32</v>
      </c>
    </row>
    <row r="258" spans="1:9" x14ac:dyDescent="0.25">
      <c r="A258" s="10">
        <f t="shared" si="74"/>
        <v>40640</v>
      </c>
      <c r="B258">
        <v>979.5</v>
      </c>
      <c r="C258">
        <v>408.9</v>
      </c>
      <c r="D258">
        <v>2625.3</v>
      </c>
      <c r="E258">
        <v>2634.1</v>
      </c>
      <c r="F258" s="19">
        <f t="shared" si="72"/>
        <v>3604.8</v>
      </c>
      <c r="G258" s="19">
        <f t="shared" si="73"/>
        <v>3043</v>
      </c>
      <c r="H258" s="24">
        <f t="shared" si="75"/>
        <v>18.462044035491299</v>
      </c>
      <c r="I258">
        <v>37</v>
      </c>
    </row>
    <row r="259" spans="1:9" x14ac:dyDescent="0.25">
      <c r="A259" s="10">
        <f t="shared" si="74"/>
        <v>40647</v>
      </c>
      <c r="B259">
        <v>868.3</v>
      </c>
      <c r="C259">
        <v>475.6</v>
      </c>
      <c r="D259">
        <v>2664.2</v>
      </c>
      <c r="E259">
        <v>2659.9</v>
      </c>
      <c r="F259" s="19">
        <f t="shared" si="72"/>
        <v>3532.5</v>
      </c>
      <c r="G259" s="19">
        <f t="shared" si="73"/>
        <v>3135.5</v>
      </c>
      <c r="H259" s="24">
        <f t="shared" si="75"/>
        <v>12.661457502790618</v>
      </c>
      <c r="I259">
        <v>51</v>
      </c>
    </row>
    <row r="260" spans="1:9" x14ac:dyDescent="0.25">
      <c r="A260" s="10">
        <f t="shared" si="74"/>
        <v>40654</v>
      </c>
      <c r="B260">
        <v>723.8</v>
      </c>
      <c r="C260">
        <v>497.2</v>
      </c>
      <c r="D260">
        <v>2809.5</v>
      </c>
      <c r="E260">
        <v>2685.6</v>
      </c>
      <c r="F260" s="19">
        <f t="shared" si="72"/>
        <v>3533.3</v>
      </c>
      <c r="G260" s="19">
        <f t="shared" si="73"/>
        <v>3182.7999999999997</v>
      </c>
      <c r="H260" s="24">
        <f t="shared" si="75"/>
        <v>11.012316199572725</v>
      </c>
      <c r="I260">
        <v>51</v>
      </c>
    </row>
    <row r="261" spans="1:9" x14ac:dyDescent="0.25">
      <c r="A261" s="10">
        <f t="shared" si="74"/>
        <v>40661</v>
      </c>
      <c r="B261">
        <v>751.2</v>
      </c>
      <c r="C261">
        <v>453.7</v>
      </c>
      <c r="D261">
        <v>2858.4</v>
      </c>
      <c r="E261">
        <v>2811.2</v>
      </c>
      <c r="F261" s="19">
        <f t="shared" si="72"/>
        <v>3609.6000000000004</v>
      </c>
      <c r="G261" s="19">
        <f t="shared" si="73"/>
        <v>3264.8999999999996</v>
      </c>
      <c r="H261" s="24">
        <f t="shared" si="75"/>
        <v>10.557750620233408</v>
      </c>
      <c r="I261">
        <v>145.69999999999999</v>
      </c>
    </row>
    <row r="262" spans="1:9" x14ac:dyDescent="0.25">
      <c r="A262" s="10">
        <f t="shared" si="74"/>
        <v>40668</v>
      </c>
      <c r="B262">
        <v>649.1</v>
      </c>
      <c r="C262">
        <v>362.6</v>
      </c>
      <c r="D262">
        <v>2961.5</v>
      </c>
      <c r="E262">
        <v>2881.7</v>
      </c>
      <c r="F262" s="19">
        <f t="shared" si="72"/>
        <v>3610.6</v>
      </c>
      <c r="G262" s="19">
        <f t="shared" si="73"/>
        <v>3244.2999999999997</v>
      </c>
      <c r="H262" s="24">
        <f t="shared" si="75"/>
        <v>11.290571155565154</v>
      </c>
      <c r="I262">
        <v>145.69999999999999</v>
      </c>
    </row>
    <row r="263" spans="1:9" x14ac:dyDescent="0.25">
      <c r="A263" s="10">
        <f t="shared" si="74"/>
        <v>40675</v>
      </c>
      <c r="B263">
        <v>531.5</v>
      </c>
      <c r="C263">
        <v>424.6</v>
      </c>
      <c r="D263">
        <v>3082.3</v>
      </c>
      <c r="E263">
        <v>2969.2</v>
      </c>
      <c r="F263" s="19">
        <f t="shared" si="72"/>
        <v>3613.8</v>
      </c>
      <c r="G263" s="19">
        <f t="shared" si="73"/>
        <v>3393.7999999999997</v>
      </c>
      <c r="H263" s="24">
        <f t="shared" si="75"/>
        <v>6.4824090989451522</v>
      </c>
      <c r="I263">
        <v>145.69999999999999</v>
      </c>
    </row>
    <row r="264" spans="1:9" x14ac:dyDescent="0.25">
      <c r="A264" s="10">
        <f t="shared" si="74"/>
        <v>40682</v>
      </c>
      <c r="B264">
        <v>531.5</v>
      </c>
      <c r="C264">
        <v>317.7</v>
      </c>
      <c r="D264">
        <v>3082.3</v>
      </c>
      <c r="E264">
        <v>3029.7</v>
      </c>
      <c r="F264" s="19">
        <f t="shared" si="72"/>
        <v>3613.8</v>
      </c>
      <c r="G264" s="19">
        <f t="shared" si="73"/>
        <v>3347.3999999999996</v>
      </c>
      <c r="H264" s="24">
        <f t="shared" si="75"/>
        <v>7.9584154866463752</v>
      </c>
      <c r="I264">
        <v>113.4</v>
      </c>
    </row>
    <row r="265" spans="1:9" x14ac:dyDescent="0.25">
      <c r="A265" s="10">
        <f t="shared" si="74"/>
        <v>40689</v>
      </c>
      <c r="B265">
        <v>459.3</v>
      </c>
      <c r="C265">
        <v>261.3</v>
      </c>
      <c r="D265">
        <v>3139.5</v>
      </c>
      <c r="E265">
        <v>3101.8</v>
      </c>
      <c r="F265" s="19">
        <f t="shared" si="72"/>
        <v>3598.8</v>
      </c>
      <c r="G265" s="19">
        <f t="shared" si="73"/>
        <v>3363.1000000000004</v>
      </c>
      <c r="H265" s="24">
        <f t="shared" si="75"/>
        <v>7.0084148553417824</v>
      </c>
      <c r="I265">
        <v>303.5</v>
      </c>
    </row>
    <row r="266" spans="1:9" x14ac:dyDescent="0.25">
      <c r="A266" s="10">
        <f t="shared" si="74"/>
        <v>40696</v>
      </c>
      <c r="B266">
        <v>814.5</v>
      </c>
      <c r="C266">
        <v>461</v>
      </c>
      <c r="D266">
        <v>0</v>
      </c>
      <c r="E266">
        <v>25.8</v>
      </c>
      <c r="F266" s="19">
        <f t="shared" ref="F266:F274" si="76">+B266+D266</f>
        <v>814.5</v>
      </c>
      <c r="G266" s="19">
        <f t="shared" ref="G266:G274" si="77">+C266+E266</f>
        <v>486.8</v>
      </c>
      <c r="H266" s="24">
        <f t="shared" ref="H266:H274" si="78">+(F266/G266-1)*100</f>
        <v>67.317173377156948</v>
      </c>
    </row>
    <row r="267" spans="1:9" x14ac:dyDescent="0.25">
      <c r="A267" s="10">
        <f t="shared" si="74"/>
        <v>40703</v>
      </c>
      <c r="B267">
        <v>867.9</v>
      </c>
      <c r="C267">
        <v>492.7</v>
      </c>
      <c r="D267">
        <v>106</v>
      </c>
      <c r="E267">
        <v>92.7</v>
      </c>
      <c r="F267" s="19">
        <f t="shared" si="76"/>
        <v>973.9</v>
      </c>
      <c r="G267" s="19">
        <f t="shared" si="77"/>
        <v>585.4</v>
      </c>
      <c r="H267" s="24">
        <f t="shared" si="78"/>
        <v>66.364878715408253</v>
      </c>
    </row>
    <row r="268" spans="1:9" x14ac:dyDescent="0.25">
      <c r="A268" s="10">
        <f t="shared" si="74"/>
        <v>40710</v>
      </c>
      <c r="B268">
        <v>913.9</v>
      </c>
      <c r="C268">
        <v>471.6</v>
      </c>
      <c r="D268">
        <v>227.6</v>
      </c>
      <c r="E268">
        <v>177.2</v>
      </c>
      <c r="F268" s="19">
        <f t="shared" si="76"/>
        <v>1141.5</v>
      </c>
      <c r="G268" s="19">
        <f t="shared" si="77"/>
        <v>648.79999999999995</v>
      </c>
      <c r="H268" s="24">
        <f t="shared" si="78"/>
        <v>75.94019728729964</v>
      </c>
    </row>
    <row r="269" spans="1:9" x14ac:dyDescent="0.25">
      <c r="A269" s="10">
        <f t="shared" si="74"/>
        <v>40717</v>
      </c>
      <c r="B269">
        <v>885.6</v>
      </c>
      <c r="C269">
        <v>494.4</v>
      </c>
      <c r="D269">
        <v>257.3</v>
      </c>
      <c r="E269">
        <v>273</v>
      </c>
      <c r="F269" s="19">
        <f t="shared" si="76"/>
        <v>1142.9000000000001</v>
      </c>
      <c r="G269" s="19">
        <f t="shared" si="77"/>
        <v>767.4</v>
      </c>
      <c r="H269" s="24">
        <f t="shared" si="78"/>
        <v>48.931456867344302</v>
      </c>
    </row>
    <row r="270" spans="1:9" x14ac:dyDescent="0.25">
      <c r="A270" s="10">
        <f t="shared" si="74"/>
        <v>40724</v>
      </c>
      <c r="B270">
        <v>720.3</v>
      </c>
      <c r="C270">
        <v>443.9</v>
      </c>
      <c r="D270">
        <v>423.3</v>
      </c>
      <c r="E270">
        <v>326</v>
      </c>
      <c r="F270" s="19">
        <f t="shared" si="76"/>
        <v>1143.5999999999999</v>
      </c>
      <c r="G270" s="19">
        <f t="shared" si="77"/>
        <v>769.9</v>
      </c>
      <c r="H270" s="24">
        <f t="shared" si="78"/>
        <v>48.538771268995973</v>
      </c>
    </row>
    <row r="271" spans="1:9" x14ac:dyDescent="0.25">
      <c r="A271" s="10">
        <f t="shared" si="74"/>
        <v>40731</v>
      </c>
      <c r="B271">
        <v>813.3</v>
      </c>
      <c r="C271">
        <v>349.6</v>
      </c>
      <c r="D271">
        <v>458.6</v>
      </c>
      <c r="E271">
        <v>420.8</v>
      </c>
      <c r="F271" s="19">
        <f t="shared" si="76"/>
        <v>1271.9000000000001</v>
      </c>
      <c r="G271" s="19">
        <f t="shared" si="77"/>
        <v>770.40000000000009</v>
      </c>
      <c r="H271" s="24">
        <f t="shared" si="78"/>
        <v>65.09605399792315</v>
      </c>
    </row>
    <row r="272" spans="1:9" x14ac:dyDescent="0.25">
      <c r="A272" s="10">
        <f t="shared" si="74"/>
        <v>40738</v>
      </c>
      <c r="B272">
        <v>822.8</v>
      </c>
      <c r="C272">
        <v>277.8</v>
      </c>
      <c r="D272">
        <v>458.6</v>
      </c>
      <c r="E272">
        <v>496.1</v>
      </c>
      <c r="F272" s="19">
        <f t="shared" si="76"/>
        <v>1281.4000000000001</v>
      </c>
      <c r="G272" s="19">
        <f t="shared" si="77"/>
        <v>773.90000000000009</v>
      </c>
      <c r="H272" s="24">
        <f t="shared" si="78"/>
        <v>65.576947926088636</v>
      </c>
    </row>
    <row r="273" spans="1:10" x14ac:dyDescent="0.25">
      <c r="A273" s="10">
        <f t="shared" si="74"/>
        <v>40745</v>
      </c>
      <c r="B273">
        <v>857.1</v>
      </c>
      <c r="C273">
        <v>402.1</v>
      </c>
      <c r="D273">
        <v>489.4</v>
      </c>
      <c r="E273">
        <v>533.5</v>
      </c>
      <c r="F273" s="19">
        <f t="shared" si="76"/>
        <v>1346.5</v>
      </c>
      <c r="G273" s="19">
        <f t="shared" si="77"/>
        <v>935.6</v>
      </c>
      <c r="H273" s="24">
        <f t="shared" si="78"/>
        <v>43.91834117144078</v>
      </c>
    </row>
    <row r="274" spans="1:10" x14ac:dyDescent="0.25">
      <c r="A274" s="10">
        <f t="shared" si="74"/>
        <v>40752</v>
      </c>
      <c r="B274">
        <v>886.7</v>
      </c>
      <c r="C274">
        <v>474</v>
      </c>
      <c r="D274">
        <v>577.1</v>
      </c>
      <c r="E274">
        <v>622.29999999999995</v>
      </c>
      <c r="F274" s="19">
        <f t="shared" si="76"/>
        <v>1463.8000000000002</v>
      </c>
      <c r="G274" s="19">
        <f t="shared" si="77"/>
        <v>1096.3</v>
      </c>
      <c r="H274" s="24">
        <f t="shared" si="78"/>
        <v>33.521846209979046</v>
      </c>
    </row>
    <row r="275" spans="1:10" x14ac:dyDescent="0.25">
      <c r="A275" s="10">
        <f t="shared" si="74"/>
        <v>40759</v>
      </c>
      <c r="B275">
        <v>890.9</v>
      </c>
      <c r="C275">
        <v>577.6</v>
      </c>
      <c r="D275">
        <v>608.20000000000005</v>
      </c>
      <c r="E275">
        <v>685.4</v>
      </c>
      <c r="F275" s="19">
        <f t="shared" ref="F275:F338" si="79">+B275+D275</f>
        <v>1499.1</v>
      </c>
      <c r="G275" s="19">
        <f t="shared" ref="G275:G338" si="80">+C275+E275</f>
        <v>1263</v>
      </c>
      <c r="H275" s="24">
        <f t="shared" ref="H275:H338" si="81">+(F275/G275-1)*100</f>
        <v>18.693586698337295</v>
      </c>
    </row>
    <row r="276" spans="1:10" x14ac:dyDescent="0.25">
      <c r="A276" s="10">
        <f t="shared" si="74"/>
        <v>40766</v>
      </c>
      <c r="B276">
        <v>823.1</v>
      </c>
      <c r="C276">
        <v>591.79999999999995</v>
      </c>
      <c r="D276">
        <v>814.5</v>
      </c>
      <c r="E276">
        <v>747.1</v>
      </c>
      <c r="F276" s="19">
        <f t="shared" si="79"/>
        <v>1637.6</v>
      </c>
      <c r="G276" s="19">
        <f t="shared" si="80"/>
        <v>1338.9</v>
      </c>
      <c r="H276" s="24">
        <f t="shared" si="81"/>
        <v>22.309358428560742</v>
      </c>
    </row>
    <row r="277" spans="1:10" x14ac:dyDescent="0.25">
      <c r="A277" s="10">
        <f t="shared" si="74"/>
        <v>40773</v>
      </c>
      <c r="B277">
        <v>865.3</v>
      </c>
      <c r="C277">
        <v>550.29999999999995</v>
      </c>
      <c r="D277">
        <v>859.4</v>
      </c>
      <c r="E277">
        <v>793.7</v>
      </c>
      <c r="F277" s="19">
        <f t="shared" si="79"/>
        <v>1724.6999999999998</v>
      </c>
      <c r="G277" s="19">
        <f t="shared" si="80"/>
        <v>1344</v>
      </c>
      <c r="H277" s="24">
        <f t="shared" si="81"/>
        <v>28.325892857142843</v>
      </c>
    </row>
    <row r="278" spans="1:10" x14ac:dyDescent="0.25">
      <c r="A278" s="10">
        <f t="shared" si="74"/>
        <v>40780</v>
      </c>
      <c r="B278">
        <v>684</v>
      </c>
      <c r="C278">
        <v>576.29999999999995</v>
      </c>
      <c r="D278">
        <v>1044.5999999999999</v>
      </c>
      <c r="E278">
        <v>819.4</v>
      </c>
      <c r="F278" s="19">
        <f t="shared" si="79"/>
        <v>1728.6</v>
      </c>
      <c r="G278" s="19">
        <f t="shared" si="80"/>
        <v>1395.6999999999998</v>
      </c>
      <c r="H278" s="24">
        <f t="shared" si="81"/>
        <v>23.851830622626657</v>
      </c>
    </row>
    <row r="279" spans="1:10" x14ac:dyDescent="0.25">
      <c r="A279" s="10">
        <f t="shared" si="74"/>
        <v>40787</v>
      </c>
      <c r="B279">
        <v>592.6</v>
      </c>
      <c r="C279">
        <v>699.5</v>
      </c>
      <c r="D279">
        <v>1138.7</v>
      </c>
      <c r="E279">
        <v>845.2</v>
      </c>
      <c r="F279" s="19">
        <f t="shared" si="79"/>
        <v>1731.3000000000002</v>
      </c>
      <c r="G279" s="19">
        <f t="shared" si="80"/>
        <v>1544.7</v>
      </c>
      <c r="H279" s="24">
        <f t="shared" si="81"/>
        <v>12.08001553699749</v>
      </c>
    </row>
    <row r="280" spans="1:10" x14ac:dyDescent="0.25">
      <c r="A280" s="10">
        <f t="shared" si="74"/>
        <v>40794</v>
      </c>
      <c r="B280">
        <v>538.70000000000005</v>
      </c>
      <c r="C280">
        <v>698.4</v>
      </c>
      <c r="D280">
        <v>1237.4000000000001</v>
      </c>
      <c r="E280">
        <v>914.3</v>
      </c>
      <c r="F280" s="19">
        <f t="shared" si="79"/>
        <v>1776.1000000000001</v>
      </c>
      <c r="G280" s="19">
        <f t="shared" si="80"/>
        <v>1612.6999999999998</v>
      </c>
      <c r="H280" s="24">
        <f t="shared" si="81"/>
        <v>10.132076641656873</v>
      </c>
    </row>
    <row r="281" spans="1:10" x14ac:dyDescent="0.25">
      <c r="A281" s="10">
        <f t="shared" si="74"/>
        <v>40801</v>
      </c>
      <c r="B281">
        <v>561.4</v>
      </c>
      <c r="C281">
        <v>695</v>
      </c>
      <c r="D281">
        <v>1281.7</v>
      </c>
      <c r="E281">
        <v>986.4</v>
      </c>
      <c r="F281" s="19">
        <f t="shared" si="79"/>
        <v>1843.1</v>
      </c>
      <c r="G281" s="19">
        <f t="shared" si="80"/>
        <v>1681.4</v>
      </c>
      <c r="H281" s="24">
        <f t="shared" si="81"/>
        <v>9.6169858451290438</v>
      </c>
    </row>
    <row r="282" spans="1:10" x14ac:dyDescent="0.25">
      <c r="A282" s="10">
        <f t="shared" si="74"/>
        <v>40808</v>
      </c>
      <c r="B282">
        <v>535.70000000000005</v>
      </c>
      <c r="C282">
        <v>633.79999999999995</v>
      </c>
      <c r="D282">
        <v>1341.8</v>
      </c>
      <c r="E282">
        <v>1056.7</v>
      </c>
      <c r="F282" s="19">
        <f t="shared" si="79"/>
        <v>1877.5</v>
      </c>
      <c r="G282" s="19">
        <f t="shared" si="80"/>
        <v>1690.5</v>
      </c>
      <c r="H282" s="24">
        <f t="shared" si="81"/>
        <v>11.061816030760131</v>
      </c>
      <c r="I282" s="80"/>
    </row>
    <row r="283" spans="1:10" x14ac:dyDescent="0.25">
      <c r="A283" s="10">
        <f t="shared" si="74"/>
        <v>40815</v>
      </c>
      <c r="B283">
        <v>486.8</v>
      </c>
      <c r="C283">
        <v>566.70000000000005</v>
      </c>
      <c r="D283">
        <v>1392.2</v>
      </c>
      <c r="E283">
        <v>1120.7</v>
      </c>
      <c r="F283" s="19">
        <f t="shared" si="79"/>
        <v>1879</v>
      </c>
      <c r="G283" s="19">
        <f t="shared" si="80"/>
        <v>1687.4</v>
      </c>
      <c r="H283" s="24">
        <f t="shared" si="81"/>
        <v>11.354746947967275</v>
      </c>
    </row>
    <row r="284" spans="1:10" x14ac:dyDescent="0.25">
      <c r="A284" s="10">
        <f t="shared" si="74"/>
        <v>40822</v>
      </c>
      <c r="B284">
        <v>630.4</v>
      </c>
      <c r="C284">
        <v>632.70000000000005</v>
      </c>
      <c r="D284">
        <v>1461.3</v>
      </c>
      <c r="E284">
        <v>1196.3</v>
      </c>
      <c r="F284" s="19">
        <f t="shared" si="79"/>
        <v>2091.6999999999998</v>
      </c>
      <c r="G284" s="19">
        <f t="shared" si="80"/>
        <v>1829</v>
      </c>
      <c r="H284" s="24">
        <f t="shared" si="81"/>
        <v>14.363039912520502</v>
      </c>
    </row>
    <row r="285" spans="1:10" x14ac:dyDescent="0.25">
      <c r="A285" s="10">
        <f t="shared" si="74"/>
        <v>40829</v>
      </c>
      <c r="B285">
        <v>576.1</v>
      </c>
      <c r="C285">
        <v>608.79999999999995</v>
      </c>
      <c r="D285">
        <v>1516.2</v>
      </c>
      <c r="E285">
        <v>122.3</v>
      </c>
      <c r="F285" s="19">
        <f t="shared" si="79"/>
        <v>2092.3000000000002</v>
      </c>
      <c r="G285" s="19">
        <f t="shared" si="80"/>
        <v>731.09999999999991</v>
      </c>
      <c r="H285" s="24">
        <f t="shared" si="81"/>
        <v>186.18520038298462</v>
      </c>
      <c r="J285" s="80"/>
    </row>
    <row r="286" spans="1:10" x14ac:dyDescent="0.25">
      <c r="A286" s="10">
        <f t="shared" si="74"/>
        <v>40836</v>
      </c>
      <c r="B286">
        <v>557.1</v>
      </c>
      <c r="C286">
        <v>631.70000000000005</v>
      </c>
      <c r="D286">
        <v>1556.6</v>
      </c>
      <c r="E286">
        <v>1275.5</v>
      </c>
      <c r="F286" s="19">
        <f t="shared" si="79"/>
        <v>2113.6999999999998</v>
      </c>
      <c r="G286" s="19">
        <f t="shared" si="80"/>
        <v>1907.2</v>
      </c>
      <c r="H286" s="24">
        <f t="shared" si="81"/>
        <v>10.827390939597304</v>
      </c>
    </row>
    <row r="287" spans="1:10" x14ac:dyDescent="0.25">
      <c r="A287" s="10">
        <f t="shared" si="74"/>
        <v>40843</v>
      </c>
      <c r="B287" s="17">
        <v>414</v>
      </c>
      <c r="C287">
        <v>671.9</v>
      </c>
      <c r="D287">
        <v>1728.6</v>
      </c>
      <c r="E287">
        <v>1296.8</v>
      </c>
      <c r="F287" s="19">
        <f t="shared" si="79"/>
        <v>2142.6</v>
      </c>
      <c r="G287" s="19">
        <f t="shared" si="80"/>
        <v>1968.6999999999998</v>
      </c>
      <c r="H287" s="24">
        <f t="shared" si="81"/>
        <v>8.8332402092751607</v>
      </c>
    </row>
    <row r="288" spans="1:10" x14ac:dyDescent="0.25">
      <c r="A288" s="10">
        <f t="shared" si="74"/>
        <v>40850</v>
      </c>
      <c r="B288">
        <v>398.6</v>
      </c>
      <c r="C288">
        <v>661.7</v>
      </c>
      <c r="D288">
        <v>1754.9</v>
      </c>
      <c r="E288">
        <v>1470.1</v>
      </c>
      <c r="F288" s="19">
        <f t="shared" si="79"/>
        <v>2153.5</v>
      </c>
      <c r="G288" s="19">
        <f t="shared" si="80"/>
        <v>2131.8000000000002</v>
      </c>
      <c r="H288" s="24">
        <f t="shared" si="81"/>
        <v>1.017919129374234</v>
      </c>
    </row>
    <row r="289" spans="1:8" x14ac:dyDescent="0.25">
      <c r="A289" s="10">
        <f t="shared" si="74"/>
        <v>40857</v>
      </c>
      <c r="B289">
        <v>455.4</v>
      </c>
      <c r="C289">
        <v>709.5</v>
      </c>
      <c r="D289">
        <v>1755.5</v>
      </c>
      <c r="E289">
        <v>1490.8</v>
      </c>
      <c r="F289" s="19">
        <f t="shared" si="79"/>
        <v>2210.9</v>
      </c>
      <c r="G289" s="19">
        <f t="shared" si="80"/>
        <v>2200.3000000000002</v>
      </c>
      <c r="H289" s="24">
        <f t="shared" si="81"/>
        <v>0.4817524882970492</v>
      </c>
    </row>
    <row r="290" spans="1:8" x14ac:dyDescent="0.25">
      <c r="A290" s="10">
        <f t="shared" si="74"/>
        <v>40864</v>
      </c>
      <c r="B290">
        <v>426.5</v>
      </c>
      <c r="C290">
        <v>693.4</v>
      </c>
      <c r="D290">
        <v>1815.1</v>
      </c>
      <c r="E290">
        <v>1510</v>
      </c>
      <c r="F290" s="19">
        <f t="shared" si="79"/>
        <v>2241.6</v>
      </c>
      <c r="G290" s="19">
        <f t="shared" si="80"/>
        <v>2203.4</v>
      </c>
      <c r="H290" s="24">
        <f t="shared" si="81"/>
        <v>1.7336843060724361</v>
      </c>
    </row>
    <row r="291" spans="1:8" x14ac:dyDescent="0.25">
      <c r="A291" s="10">
        <f t="shared" si="74"/>
        <v>40871</v>
      </c>
      <c r="B291">
        <v>423.8</v>
      </c>
      <c r="C291">
        <v>735.2</v>
      </c>
      <c r="D291">
        <v>1817.8</v>
      </c>
      <c r="E291">
        <v>1536.8</v>
      </c>
      <c r="F291" s="19">
        <f t="shared" si="79"/>
        <v>2241.6</v>
      </c>
      <c r="G291" s="19">
        <f t="shared" si="80"/>
        <v>2272</v>
      </c>
      <c r="H291" s="24">
        <f t="shared" si="81"/>
        <v>-1.3380281690140938</v>
      </c>
    </row>
    <row r="292" spans="1:8" x14ac:dyDescent="0.25">
      <c r="A292" s="10">
        <f t="shared" si="74"/>
        <v>40878</v>
      </c>
      <c r="B292">
        <v>383.9</v>
      </c>
      <c r="C292">
        <v>859.7</v>
      </c>
      <c r="D292">
        <v>1927.4</v>
      </c>
      <c r="E292">
        <v>1583.6</v>
      </c>
      <c r="F292" s="19">
        <f t="shared" si="79"/>
        <v>2311.3000000000002</v>
      </c>
      <c r="G292" s="19">
        <f t="shared" si="80"/>
        <v>2443.3000000000002</v>
      </c>
      <c r="H292" s="24">
        <f t="shared" si="81"/>
        <v>-5.4025293660213691</v>
      </c>
    </row>
    <row r="293" spans="1:8" x14ac:dyDescent="0.25">
      <c r="A293" s="10">
        <f t="shared" si="74"/>
        <v>40885</v>
      </c>
      <c r="B293">
        <v>436.4</v>
      </c>
      <c r="C293">
        <v>946.6</v>
      </c>
      <c r="D293">
        <v>1953.6</v>
      </c>
      <c r="E293" s="17">
        <v>1638</v>
      </c>
      <c r="F293" s="34">
        <f t="shared" si="79"/>
        <v>2390</v>
      </c>
      <c r="G293" s="19">
        <f t="shared" si="80"/>
        <v>2584.6</v>
      </c>
      <c r="H293" s="24">
        <f t="shared" si="81"/>
        <v>-7.5292114834016877</v>
      </c>
    </row>
    <row r="294" spans="1:8" x14ac:dyDescent="0.25">
      <c r="A294" s="10">
        <f t="shared" si="74"/>
        <v>40892</v>
      </c>
      <c r="B294">
        <v>490</v>
      </c>
      <c r="C294">
        <v>898.6</v>
      </c>
      <c r="D294">
        <v>1963.8</v>
      </c>
      <c r="E294">
        <v>1687.8</v>
      </c>
      <c r="F294" s="19">
        <f t="shared" si="79"/>
        <v>2453.8000000000002</v>
      </c>
      <c r="G294" s="19">
        <f t="shared" si="80"/>
        <v>2586.4</v>
      </c>
      <c r="H294" s="24">
        <f t="shared" si="81"/>
        <v>-5.1268171976492365</v>
      </c>
    </row>
    <row r="295" spans="1:8" x14ac:dyDescent="0.25">
      <c r="A295" s="10">
        <f t="shared" si="74"/>
        <v>40899</v>
      </c>
      <c r="B295">
        <v>416.8</v>
      </c>
      <c r="C295">
        <v>802.3</v>
      </c>
      <c r="D295">
        <v>2043.7</v>
      </c>
      <c r="E295">
        <v>1783.5</v>
      </c>
      <c r="F295" s="19">
        <f t="shared" si="79"/>
        <v>2460.5</v>
      </c>
      <c r="G295" s="19">
        <f t="shared" si="80"/>
        <v>2585.8000000000002</v>
      </c>
      <c r="H295" s="24">
        <f t="shared" si="81"/>
        <v>-4.8456957227937298</v>
      </c>
    </row>
    <row r="296" spans="1:8" x14ac:dyDescent="0.25">
      <c r="A296" s="10">
        <f t="shared" si="74"/>
        <v>40906</v>
      </c>
      <c r="B296">
        <v>412.5</v>
      </c>
      <c r="C296">
        <v>802.3</v>
      </c>
      <c r="D296">
        <v>2132.8000000000002</v>
      </c>
      <c r="E296">
        <v>1783.5</v>
      </c>
      <c r="F296" s="19">
        <f t="shared" si="79"/>
        <v>2545.3000000000002</v>
      </c>
      <c r="G296" s="19">
        <f t="shared" si="80"/>
        <v>2585.8000000000002</v>
      </c>
      <c r="H296" s="24">
        <f t="shared" si="81"/>
        <v>-1.566246422770512</v>
      </c>
    </row>
    <row r="297" spans="1:8" x14ac:dyDescent="0.25">
      <c r="A297" s="10">
        <f t="shared" si="74"/>
        <v>40913</v>
      </c>
      <c r="B297">
        <v>509.1</v>
      </c>
      <c r="C297">
        <v>744.7</v>
      </c>
      <c r="D297">
        <v>2190.5</v>
      </c>
      <c r="E297">
        <v>1841.4</v>
      </c>
      <c r="F297" s="19">
        <f t="shared" si="79"/>
        <v>2699.6</v>
      </c>
      <c r="G297" s="19">
        <f t="shared" si="80"/>
        <v>2586.1000000000004</v>
      </c>
      <c r="H297" s="24">
        <f t="shared" si="81"/>
        <v>4.3888480723869749</v>
      </c>
    </row>
    <row r="298" spans="1:8" x14ac:dyDescent="0.25">
      <c r="A298" s="10">
        <f t="shared" si="74"/>
        <v>40920</v>
      </c>
      <c r="B298">
        <v>577.1</v>
      </c>
      <c r="C298">
        <v>722.7</v>
      </c>
      <c r="D298">
        <v>2263.4</v>
      </c>
      <c r="E298">
        <v>2004.4</v>
      </c>
      <c r="F298" s="19">
        <f t="shared" si="79"/>
        <v>2840.5</v>
      </c>
      <c r="G298" s="19">
        <f t="shared" si="80"/>
        <v>2727.1000000000004</v>
      </c>
      <c r="H298" s="24">
        <f t="shared" si="81"/>
        <v>4.1582633566792371</v>
      </c>
    </row>
    <row r="299" spans="1:8" x14ac:dyDescent="0.25">
      <c r="A299" s="10">
        <f t="shared" si="74"/>
        <v>40927</v>
      </c>
      <c r="B299">
        <v>604.1</v>
      </c>
      <c r="C299">
        <v>843.2</v>
      </c>
      <c r="D299">
        <v>2322</v>
      </c>
      <c r="E299">
        <v>2004.4</v>
      </c>
      <c r="F299" s="19">
        <f t="shared" si="79"/>
        <v>2926.1</v>
      </c>
      <c r="G299" s="19">
        <f t="shared" si="80"/>
        <v>2847.6000000000004</v>
      </c>
      <c r="H299" s="24">
        <f t="shared" si="81"/>
        <v>2.7567074027250893</v>
      </c>
    </row>
    <row r="300" spans="1:8" x14ac:dyDescent="0.25">
      <c r="A300" s="10">
        <f t="shared" si="74"/>
        <v>40934</v>
      </c>
      <c r="B300">
        <v>609.5</v>
      </c>
      <c r="C300">
        <v>755.6</v>
      </c>
      <c r="D300">
        <v>2348.5</v>
      </c>
      <c r="E300">
        <v>2139.1</v>
      </c>
      <c r="F300" s="19">
        <f t="shared" si="79"/>
        <v>2958</v>
      </c>
      <c r="G300" s="19">
        <f t="shared" si="80"/>
        <v>2894.7</v>
      </c>
      <c r="H300" s="24">
        <f t="shared" si="81"/>
        <v>2.1867551041558686</v>
      </c>
    </row>
    <row r="301" spans="1:8" x14ac:dyDescent="0.25">
      <c r="A301" s="10">
        <f t="shared" si="74"/>
        <v>40941</v>
      </c>
      <c r="B301">
        <v>694.9</v>
      </c>
      <c r="C301">
        <v>783.5</v>
      </c>
      <c r="D301">
        <v>2437.4</v>
      </c>
      <c r="E301">
        <v>2204</v>
      </c>
      <c r="F301" s="19">
        <f t="shared" si="79"/>
        <v>3132.3</v>
      </c>
      <c r="G301" s="19">
        <f t="shared" si="80"/>
        <v>2987.5</v>
      </c>
      <c r="H301" s="24">
        <f t="shared" si="81"/>
        <v>4.8468619246861966</v>
      </c>
    </row>
    <row r="302" spans="1:8" x14ac:dyDescent="0.25">
      <c r="A302" s="10">
        <f t="shared" si="74"/>
        <v>40948</v>
      </c>
      <c r="B302">
        <v>680.2</v>
      </c>
      <c r="C302">
        <v>896.3</v>
      </c>
      <c r="D302">
        <v>2540</v>
      </c>
      <c r="E302">
        <v>2226.1999999999998</v>
      </c>
      <c r="F302" s="19">
        <f t="shared" si="79"/>
        <v>3220.2</v>
      </c>
      <c r="G302" s="19">
        <f t="shared" si="80"/>
        <v>3122.5</v>
      </c>
      <c r="H302" s="24">
        <f t="shared" si="81"/>
        <v>3.1289031224979835</v>
      </c>
    </row>
    <row r="303" spans="1:8" x14ac:dyDescent="0.25">
      <c r="A303" s="10">
        <f t="shared" si="74"/>
        <v>40955</v>
      </c>
      <c r="B303">
        <v>603.1</v>
      </c>
      <c r="C303">
        <v>965.2</v>
      </c>
      <c r="D303">
        <v>2690.4</v>
      </c>
      <c r="E303">
        <v>2268.1999999999998</v>
      </c>
      <c r="F303" s="19">
        <f t="shared" si="79"/>
        <v>3293.5</v>
      </c>
      <c r="G303" s="19">
        <f t="shared" si="80"/>
        <v>3233.3999999999996</v>
      </c>
      <c r="H303" s="24">
        <f t="shared" si="81"/>
        <v>1.8587245623801651</v>
      </c>
    </row>
    <row r="304" spans="1:8" x14ac:dyDescent="0.25">
      <c r="A304" s="10">
        <f t="shared" si="74"/>
        <v>40962</v>
      </c>
      <c r="B304">
        <v>619.79999999999995</v>
      </c>
      <c r="C304">
        <v>917.3</v>
      </c>
      <c r="D304">
        <v>2690.4</v>
      </c>
      <c r="E304">
        <v>2317.5</v>
      </c>
      <c r="F304" s="19">
        <f t="shared" si="79"/>
        <v>3310.2</v>
      </c>
      <c r="G304" s="19">
        <f t="shared" si="80"/>
        <v>3234.8</v>
      </c>
      <c r="H304" s="24">
        <f t="shared" si="81"/>
        <v>2.330901446766398</v>
      </c>
    </row>
    <row r="305" spans="1:9" x14ac:dyDescent="0.25">
      <c r="A305" s="10">
        <f t="shared" si="74"/>
        <v>40969</v>
      </c>
      <c r="B305">
        <v>592.79999999999995</v>
      </c>
      <c r="C305">
        <v>988.8</v>
      </c>
      <c r="D305">
        <v>2716.5</v>
      </c>
      <c r="E305">
        <v>2398.4</v>
      </c>
      <c r="F305" s="19">
        <f t="shared" si="79"/>
        <v>3309.3</v>
      </c>
      <c r="G305" s="19">
        <f t="shared" si="80"/>
        <v>3387.2</v>
      </c>
      <c r="H305" s="24">
        <f t="shared" si="81"/>
        <v>-2.2998346717052365</v>
      </c>
    </row>
    <row r="306" spans="1:9" x14ac:dyDescent="0.25">
      <c r="A306" s="10">
        <f t="shared" si="74"/>
        <v>40976</v>
      </c>
      <c r="B306">
        <v>602.79999999999995</v>
      </c>
      <c r="C306">
        <v>1006.3</v>
      </c>
      <c r="D306">
        <v>2750.1</v>
      </c>
      <c r="E306">
        <v>2444.6999999999998</v>
      </c>
      <c r="F306" s="19">
        <f t="shared" si="79"/>
        <v>3352.8999999999996</v>
      </c>
      <c r="G306" s="19">
        <f t="shared" si="80"/>
        <v>3451</v>
      </c>
      <c r="H306" s="24">
        <f t="shared" si="81"/>
        <v>-2.8426543031005558</v>
      </c>
    </row>
    <row r="307" spans="1:9" x14ac:dyDescent="0.25">
      <c r="A307" s="10">
        <f t="shared" si="74"/>
        <v>40983</v>
      </c>
      <c r="B307">
        <v>603.6</v>
      </c>
      <c r="C307">
        <v>953.9</v>
      </c>
      <c r="D307">
        <v>2848.9</v>
      </c>
      <c r="E307">
        <v>2502.6</v>
      </c>
      <c r="F307" s="19">
        <f t="shared" si="79"/>
        <v>3452.5</v>
      </c>
      <c r="G307" s="19">
        <f t="shared" si="80"/>
        <v>3456.5</v>
      </c>
      <c r="H307" s="24">
        <f t="shared" si="81"/>
        <v>-0.11572399826413893</v>
      </c>
    </row>
    <row r="308" spans="1:9" x14ac:dyDescent="0.25">
      <c r="A308" s="10">
        <f t="shared" si="74"/>
        <v>40990</v>
      </c>
      <c r="B308">
        <v>570.9</v>
      </c>
      <c r="C308">
        <v>977.8</v>
      </c>
      <c r="D308">
        <v>2881.9</v>
      </c>
      <c r="E308">
        <v>2545.1999999999998</v>
      </c>
      <c r="F308" s="19">
        <f t="shared" si="79"/>
        <v>3452.8</v>
      </c>
      <c r="G308" s="19">
        <f t="shared" si="80"/>
        <v>3523</v>
      </c>
      <c r="H308" s="24">
        <f t="shared" si="81"/>
        <v>-1.9926199261992572</v>
      </c>
    </row>
    <row r="309" spans="1:9" x14ac:dyDescent="0.25">
      <c r="A309" s="10">
        <f t="shared" si="74"/>
        <v>40997</v>
      </c>
      <c r="B309">
        <v>522.4</v>
      </c>
      <c r="C309">
        <v>925.9</v>
      </c>
      <c r="D309">
        <v>2964.5</v>
      </c>
      <c r="E309">
        <v>2598.6999999999998</v>
      </c>
      <c r="F309" s="19">
        <f t="shared" si="79"/>
        <v>3486.9</v>
      </c>
      <c r="G309" s="19">
        <f t="shared" si="80"/>
        <v>3524.6</v>
      </c>
      <c r="H309" s="24">
        <f t="shared" si="81"/>
        <v>-1.0696249219769527</v>
      </c>
    </row>
    <row r="310" spans="1:9" x14ac:dyDescent="0.25">
      <c r="A310" s="10">
        <f t="shared" si="74"/>
        <v>41004</v>
      </c>
      <c r="B310">
        <v>562.6</v>
      </c>
      <c r="C310">
        <v>979.5</v>
      </c>
      <c r="D310">
        <v>2964.5</v>
      </c>
      <c r="E310">
        <v>2625.3</v>
      </c>
      <c r="F310" s="19">
        <f t="shared" si="79"/>
        <v>3527.1</v>
      </c>
      <c r="G310" s="19">
        <f t="shared" si="80"/>
        <v>3604.8</v>
      </c>
      <c r="H310" s="24">
        <f t="shared" si="81"/>
        <v>-2.1554593874833605</v>
      </c>
    </row>
    <row r="311" spans="1:9" x14ac:dyDescent="0.25">
      <c r="A311" s="10">
        <f t="shared" si="74"/>
        <v>41011</v>
      </c>
      <c r="B311">
        <v>609.1</v>
      </c>
      <c r="C311">
        <v>868.3</v>
      </c>
      <c r="D311">
        <v>2998.1</v>
      </c>
      <c r="E311">
        <v>2664.2</v>
      </c>
      <c r="F311" s="19">
        <f t="shared" si="79"/>
        <v>3607.2</v>
      </c>
      <c r="G311" s="19">
        <f t="shared" si="80"/>
        <v>3532.5</v>
      </c>
      <c r="H311" s="24">
        <f t="shared" si="81"/>
        <v>2.1146496815286575</v>
      </c>
    </row>
    <row r="312" spans="1:9" x14ac:dyDescent="0.25">
      <c r="A312" s="10">
        <f t="shared" si="74"/>
        <v>41018</v>
      </c>
      <c r="B312">
        <v>631.9</v>
      </c>
      <c r="C312">
        <v>723.8</v>
      </c>
      <c r="D312">
        <v>3040.6</v>
      </c>
      <c r="E312">
        <v>2809.5</v>
      </c>
      <c r="F312" s="19">
        <f t="shared" si="79"/>
        <v>3672.5</v>
      </c>
      <c r="G312" s="19">
        <f t="shared" si="80"/>
        <v>3533.3</v>
      </c>
      <c r="H312" s="24">
        <f t="shared" si="81"/>
        <v>3.9396598081113954</v>
      </c>
    </row>
    <row r="313" spans="1:9" x14ac:dyDescent="0.25">
      <c r="A313" s="10">
        <f t="shared" si="74"/>
        <v>41025</v>
      </c>
      <c r="B313">
        <v>580.6</v>
      </c>
      <c r="C313">
        <v>751.2</v>
      </c>
      <c r="D313">
        <v>3128.8</v>
      </c>
      <c r="E313">
        <v>2858.4</v>
      </c>
      <c r="F313" s="19">
        <f t="shared" si="79"/>
        <v>3709.4</v>
      </c>
      <c r="G313" s="19">
        <f t="shared" si="80"/>
        <v>3609.6000000000004</v>
      </c>
      <c r="H313" s="24">
        <f t="shared" si="81"/>
        <v>2.7648492907801359</v>
      </c>
    </row>
    <row r="314" spans="1:9" x14ac:dyDescent="0.25">
      <c r="A314" s="10">
        <f t="shared" si="74"/>
        <v>41032</v>
      </c>
      <c r="B314">
        <v>455.7</v>
      </c>
      <c r="C314">
        <v>649.1</v>
      </c>
      <c r="D314">
        <v>3258</v>
      </c>
      <c r="E314">
        <v>2961.5</v>
      </c>
      <c r="F314" s="19">
        <f t="shared" si="79"/>
        <v>3713.7</v>
      </c>
      <c r="G314" s="19">
        <f t="shared" si="80"/>
        <v>3610.6</v>
      </c>
      <c r="H314" s="24">
        <f t="shared" si="81"/>
        <v>2.8554810834764188</v>
      </c>
      <c r="I314">
        <v>43.3</v>
      </c>
    </row>
    <row r="315" spans="1:9" x14ac:dyDescent="0.25">
      <c r="A315" s="10">
        <f t="shared" si="74"/>
        <v>41039</v>
      </c>
      <c r="B315">
        <v>422.5</v>
      </c>
      <c r="C315">
        <v>531.5</v>
      </c>
      <c r="D315">
        <v>3339.8</v>
      </c>
      <c r="E315">
        <v>3082.3</v>
      </c>
      <c r="F315" s="19">
        <f t="shared" si="79"/>
        <v>3762.3</v>
      </c>
      <c r="G315" s="19">
        <f t="shared" si="80"/>
        <v>3613.8</v>
      </c>
      <c r="H315" s="24">
        <f t="shared" si="81"/>
        <v>4.1092478831147305</v>
      </c>
      <c r="I315">
        <v>48.4</v>
      </c>
    </row>
    <row r="316" spans="1:9" x14ac:dyDescent="0.25">
      <c r="A316" s="10">
        <f t="shared" si="74"/>
        <v>41046</v>
      </c>
      <c r="B316">
        <v>443.7</v>
      </c>
      <c r="C316">
        <v>531.5</v>
      </c>
      <c r="D316">
        <v>3376.8</v>
      </c>
      <c r="E316">
        <v>3082.3</v>
      </c>
      <c r="F316" s="19">
        <f t="shared" si="79"/>
        <v>3820.5</v>
      </c>
      <c r="G316" s="19">
        <f t="shared" si="80"/>
        <v>3613.8</v>
      </c>
      <c r="H316" s="24">
        <f t="shared" si="81"/>
        <v>5.7197409928607001</v>
      </c>
      <c r="I316">
        <v>124.7</v>
      </c>
    </row>
    <row r="317" spans="1:9" x14ac:dyDescent="0.25">
      <c r="A317" s="10">
        <f t="shared" si="74"/>
        <v>41053</v>
      </c>
      <c r="B317">
        <v>384.1</v>
      </c>
      <c r="C317">
        <v>459.3</v>
      </c>
      <c r="D317">
        <v>3457.9</v>
      </c>
      <c r="E317">
        <v>3139.5</v>
      </c>
      <c r="F317" s="19">
        <f t="shared" si="79"/>
        <v>3842</v>
      </c>
      <c r="G317" s="19">
        <f t="shared" si="80"/>
        <v>3598.8</v>
      </c>
      <c r="H317" s="24">
        <f t="shared" si="81"/>
        <v>6.7578081582749805</v>
      </c>
      <c r="I317">
        <v>204.7</v>
      </c>
    </row>
    <row r="318" spans="1:9" x14ac:dyDescent="0.25">
      <c r="A318" s="10">
        <f t="shared" si="74"/>
        <v>41060</v>
      </c>
      <c r="B318">
        <v>332.6</v>
      </c>
      <c r="C318">
        <v>259.60000000000002</v>
      </c>
      <c r="D318">
        <v>3512.1</v>
      </c>
      <c r="E318">
        <v>3273</v>
      </c>
      <c r="F318" s="19">
        <f t="shared" si="79"/>
        <v>3844.7</v>
      </c>
      <c r="G318" s="19">
        <f t="shared" si="80"/>
        <v>3532.6</v>
      </c>
      <c r="H318" s="24">
        <f t="shared" si="81"/>
        <v>8.8348525165600442</v>
      </c>
    </row>
    <row r="319" spans="1:9" x14ac:dyDescent="0.25">
      <c r="A319" s="10">
        <f t="shared" si="74"/>
        <v>41067</v>
      </c>
      <c r="B319">
        <v>600</v>
      </c>
      <c r="C319">
        <v>867.9</v>
      </c>
      <c r="D319">
        <v>3.1</v>
      </c>
      <c r="E319">
        <v>106</v>
      </c>
      <c r="F319" s="19">
        <f t="shared" si="79"/>
        <v>603.1</v>
      </c>
      <c r="G319" s="19">
        <f t="shared" si="80"/>
        <v>973.9</v>
      </c>
      <c r="H319" s="24">
        <f t="shared" si="81"/>
        <v>-38.073724201663403</v>
      </c>
    </row>
    <row r="320" spans="1:9" x14ac:dyDescent="0.25">
      <c r="A320" s="10">
        <f t="shared" ref="A320:A383" si="82">+A319+7</f>
        <v>41074</v>
      </c>
      <c r="B320">
        <v>571.4</v>
      </c>
      <c r="C320">
        <v>913.9</v>
      </c>
      <c r="D320">
        <v>175.1</v>
      </c>
      <c r="E320">
        <v>227.6</v>
      </c>
      <c r="F320" s="19">
        <f t="shared" si="79"/>
        <v>746.5</v>
      </c>
      <c r="G320" s="19">
        <f t="shared" si="80"/>
        <v>1141.5</v>
      </c>
      <c r="H320" s="24">
        <f t="shared" si="81"/>
        <v>-34.603591765221196</v>
      </c>
    </row>
    <row r="321" spans="1:8" x14ac:dyDescent="0.25">
      <c r="A321" s="10">
        <f t="shared" si="82"/>
        <v>41081</v>
      </c>
      <c r="B321">
        <v>575.20000000000005</v>
      </c>
      <c r="C321">
        <v>885.6</v>
      </c>
      <c r="D321">
        <v>245.8</v>
      </c>
      <c r="E321">
        <v>257.3</v>
      </c>
      <c r="F321" s="19">
        <f t="shared" si="79"/>
        <v>821</v>
      </c>
      <c r="G321" s="19">
        <f t="shared" si="80"/>
        <v>1142.9000000000001</v>
      </c>
      <c r="H321" s="24">
        <f t="shared" si="81"/>
        <v>-28.165193805232313</v>
      </c>
    </row>
    <row r="322" spans="1:8" x14ac:dyDescent="0.25">
      <c r="A322" s="10">
        <f t="shared" si="82"/>
        <v>41088</v>
      </c>
      <c r="B322">
        <v>559</v>
      </c>
      <c r="C322">
        <v>720.3</v>
      </c>
      <c r="D322">
        <v>262.2</v>
      </c>
      <c r="E322">
        <v>423.3</v>
      </c>
      <c r="F322" s="19">
        <f t="shared" si="79"/>
        <v>821.2</v>
      </c>
      <c r="G322" s="19">
        <f t="shared" si="80"/>
        <v>1143.5999999999999</v>
      </c>
      <c r="H322" s="24">
        <f t="shared" si="81"/>
        <v>-28.191675410982853</v>
      </c>
    </row>
    <row r="323" spans="1:8" x14ac:dyDescent="0.25">
      <c r="A323" s="10">
        <f t="shared" si="82"/>
        <v>41095</v>
      </c>
      <c r="B323">
        <v>549.29999999999995</v>
      </c>
      <c r="C323">
        <v>813.3</v>
      </c>
      <c r="D323">
        <v>310.8</v>
      </c>
      <c r="E323">
        <v>458.6</v>
      </c>
      <c r="F323" s="19">
        <f t="shared" si="79"/>
        <v>860.09999999999991</v>
      </c>
      <c r="G323" s="19">
        <f t="shared" si="80"/>
        <v>1271.9000000000001</v>
      </c>
      <c r="H323" s="24">
        <f t="shared" si="81"/>
        <v>-32.376759179180766</v>
      </c>
    </row>
    <row r="324" spans="1:8" x14ac:dyDescent="0.25">
      <c r="A324" s="10">
        <f t="shared" si="82"/>
        <v>41102</v>
      </c>
      <c r="B324">
        <v>681.9</v>
      </c>
      <c r="C324">
        <v>822.8</v>
      </c>
      <c r="D324">
        <v>310.8</v>
      </c>
      <c r="E324">
        <v>458.6</v>
      </c>
      <c r="F324" s="19">
        <f t="shared" si="79"/>
        <v>992.7</v>
      </c>
      <c r="G324" s="19">
        <f t="shared" si="80"/>
        <v>1281.4000000000001</v>
      </c>
      <c r="H324" s="24">
        <f t="shared" si="81"/>
        <v>-22.530045262993603</v>
      </c>
    </row>
    <row r="325" spans="1:8" x14ac:dyDescent="0.25">
      <c r="A325" s="10">
        <f t="shared" si="82"/>
        <v>41109</v>
      </c>
      <c r="B325">
        <v>676.2</v>
      </c>
      <c r="C325">
        <v>857.1</v>
      </c>
      <c r="D325">
        <v>395</v>
      </c>
      <c r="E325">
        <v>489.4</v>
      </c>
      <c r="F325" s="19">
        <f t="shared" si="79"/>
        <v>1071.2</v>
      </c>
      <c r="G325" s="19">
        <f t="shared" si="80"/>
        <v>1346.5</v>
      </c>
      <c r="H325" s="24">
        <f t="shared" si="81"/>
        <v>-20.445599702933524</v>
      </c>
    </row>
    <row r="326" spans="1:8" x14ac:dyDescent="0.25">
      <c r="A326" s="10">
        <f t="shared" si="82"/>
        <v>41116</v>
      </c>
      <c r="B326">
        <v>645.4</v>
      </c>
      <c r="C326">
        <v>886.7</v>
      </c>
      <c r="D326">
        <v>477.5</v>
      </c>
      <c r="E326">
        <v>577.1</v>
      </c>
      <c r="F326" s="19">
        <f t="shared" si="79"/>
        <v>1122.9000000000001</v>
      </c>
      <c r="G326" s="19">
        <f t="shared" si="80"/>
        <v>1463.8000000000002</v>
      </c>
      <c r="H326" s="24">
        <f t="shared" si="81"/>
        <v>-23.28870064216423</v>
      </c>
    </row>
    <row r="327" spans="1:8" x14ac:dyDescent="0.25">
      <c r="A327" s="10">
        <f t="shared" si="82"/>
        <v>41123</v>
      </c>
      <c r="B327">
        <v>682.9</v>
      </c>
      <c r="C327">
        <v>890.9</v>
      </c>
      <c r="D327">
        <v>529.4</v>
      </c>
      <c r="E327">
        <v>608.20000000000005</v>
      </c>
      <c r="F327" s="19">
        <f t="shared" si="79"/>
        <v>1212.3</v>
      </c>
      <c r="G327" s="19">
        <f t="shared" si="80"/>
        <v>1499.1</v>
      </c>
      <c r="H327" s="24">
        <f t="shared" si="81"/>
        <v>-19.131478887332399</v>
      </c>
    </row>
    <row r="328" spans="1:8" x14ac:dyDescent="0.25">
      <c r="A328" s="10">
        <f t="shared" si="82"/>
        <v>41130</v>
      </c>
      <c r="B328">
        <v>779.6</v>
      </c>
      <c r="C328">
        <v>823.1</v>
      </c>
      <c r="D328">
        <v>555.20000000000005</v>
      </c>
      <c r="E328">
        <v>814.5</v>
      </c>
      <c r="F328" s="19">
        <f t="shared" si="79"/>
        <v>1334.8000000000002</v>
      </c>
      <c r="G328" s="19">
        <f t="shared" si="80"/>
        <v>1637.6</v>
      </c>
      <c r="H328" s="24">
        <f t="shared" si="81"/>
        <v>-18.490473864191483</v>
      </c>
    </row>
    <row r="329" spans="1:8" x14ac:dyDescent="0.25">
      <c r="A329" s="10">
        <f t="shared" si="82"/>
        <v>41137</v>
      </c>
      <c r="B329">
        <v>808.8</v>
      </c>
      <c r="C329">
        <v>865.3</v>
      </c>
      <c r="D329">
        <v>614.5</v>
      </c>
      <c r="E329">
        <v>859.4</v>
      </c>
      <c r="F329" s="19">
        <f t="shared" si="79"/>
        <v>1423.3</v>
      </c>
      <c r="G329" s="19">
        <f t="shared" si="80"/>
        <v>1724.6999999999998</v>
      </c>
      <c r="H329" s="24">
        <f t="shared" si="81"/>
        <v>-17.475502986026548</v>
      </c>
    </row>
    <row r="330" spans="1:8" x14ac:dyDescent="0.25">
      <c r="A330" s="10">
        <f t="shared" si="82"/>
        <v>41144</v>
      </c>
      <c r="B330">
        <v>642.1</v>
      </c>
      <c r="C330">
        <v>684</v>
      </c>
      <c r="D330">
        <v>787.5</v>
      </c>
      <c r="E330">
        <v>1044.5999999999999</v>
      </c>
      <c r="F330" s="19">
        <f t="shared" si="79"/>
        <v>1429.6</v>
      </c>
      <c r="G330" s="19">
        <f t="shared" si="80"/>
        <v>1728.6</v>
      </c>
      <c r="H330" s="24">
        <f t="shared" si="81"/>
        <v>-17.297234756450308</v>
      </c>
    </row>
    <row r="331" spans="1:8" x14ac:dyDescent="0.25">
      <c r="A331" s="10">
        <f t="shared" si="82"/>
        <v>41151</v>
      </c>
      <c r="B331">
        <v>491.7</v>
      </c>
      <c r="C331">
        <v>592.6</v>
      </c>
      <c r="D331">
        <v>964.8</v>
      </c>
      <c r="E331">
        <v>1138.7</v>
      </c>
      <c r="F331" s="19">
        <f t="shared" si="79"/>
        <v>1456.5</v>
      </c>
      <c r="G331" s="19">
        <f t="shared" si="80"/>
        <v>1731.3000000000002</v>
      </c>
      <c r="H331" s="24">
        <f t="shared" si="81"/>
        <v>-15.872465777161683</v>
      </c>
    </row>
    <row r="332" spans="1:8" x14ac:dyDescent="0.25">
      <c r="A332" s="10">
        <f t="shared" si="82"/>
        <v>41158</v>
      </c>
      <c r="B332">
        <v>464.4</v>
      </c>
      <c r="C332">
        <v>592.6</v>
      </c>
      <c r="D332">
        <v>1030.2</v>
      </c>
      <c r="E332">
        <v>1138.7</v>
      </c>
      <c r="F332" s="19">
        <f t="shared" si="79"/>
        <v>1494.6</v>
      </c>
      <c r="G332" s="19">
        <f t="shared" si="80"/>
        <v>1731.3000000000002</v>
      </c>
      <c r="H332" s="24">
        <f t="shared" si="81"/>
        <v>-13.6718073124242</v>
      </c>
    </row>
    <row r="333" spans="1:8" x14ac:dyDescent="0.25">
      <c r="A333" s="10">
        <f t="shared" si="82"/>
        <v>41165</v>
      </c>
      <c r="B333">
        <v>406.2</v>
      </c>
      <c r="C333">
        <v>561.4</v>
      </c>
      <c r="D333">
        <v>1175.5999999999999</v>
      </c>
      <c r="E333">
        <v>1281.7</v>
      </c>
      <c r="F333" s="19">
        <f t="shared" si="79"/>
        <v>1581.8</v>
      </c>
      <c r="G333" s="19">
        <f t="shared" si="80"/>
        <v>1843.1</v>
      </c>
      <c r="H333" s="24">
        <f t="shared" si="81"/>
        <v>-14.177201454071941</v>
      </c>
    </row>
    <row r="334" spans="1:8" x14ac:dyDescent="0.25">
      <c r="A334" s="10">
        <f t="shared" si="82"/>
        <v>41172</v>
      </c>
      <c r="B334">
        <v>432.1</v>
      </c>
      <c r="C334">
        <v>535.70000000000005</v>
      </c>
      <c r="D334">
        <v>1232.5</v>
      </c>
      <c r="E334">
        <v>1341.8</v>
      </c>
      <c r="F334" s="19">
        <f t="shared" si="79"/>
        <v>1664.6</v>
      </c>
      <c r="G334" s="19">
        <f t="shared" si="80"/>
        <v>1877.5</v>
      </c>
      <c r="H334" s="24">
        <f t="shared" si="81"/>
        <v>-11.339547270306261</v>
      </c>
    </row>
    <row r="335" spans="1:8" x14ac:dyDescent="0.25">
      <c r="A335" s="10">
        <f t="shared" si="82"/>
        <v>41179</v>
      </c>
      <c r="B335">
        <v>338</v>
      </c>
      <c r="C335">
        <v>486.8</v>
      </c>
      <c r="D335">
        <v>1365.2</v>
      </c>
      <c r="E335">
        <v>1392.2</v>
      </c>
      <c r="F335" s="19">
        <f t="shared" si="79"/>
        <v>1703.2</v>
      </c>
      <c r="G335" s="19">
        <f t="shared" si="80"/>
        <v>1879</v>
      </c>
      <c r="H335" s="24">
        <f t="shared" si="81"/>
        <v>-9.3560404470462988</v>
      </c>
    </row>
    <row r="336" spans="1:8" x14ac:dyDescent="0.25">
      <c r="A336" s="10">
        <f t="shared" si="82"/>
        <v>41186</v>
      </c>
      <c r="B336">
        <v>359.9</v>
      </c>
      <c r="C336">
        <v>630.4</v>
      </c>
      <c r="D336">
        <v>1408.4</v>
      </c>
      <c r="E336">
        <v>1461.3</v>
      </c>
      <c r="F336" s="19">
        <f t="shared" si="79"/>
        <v>1768.3000000000002</v>
      </c>
      <c r="G336" s="19">
        <f t="shared" si="80"/>
        <v>2091.6999999999998</v>
      </c>
      <c r="H336" s="24">
        <f t="shared" si="81"/>
        <v>-15.461108189510908</v>
      </c>
    </row>
    <row r="337" spans="1:8" x14ac:dyDescent="0.25">
      <c r="A337" s="10">
        <f t="shared" si="82"/>
        <v>41193</v>
      </c>
      <c r="B337">
        <v>405.9</v>
      </c>
      <c r="C337">
        <v>576.1</v>
      </c>
      <c r="D337">
        <v>1408.8</v>
      </c>
      <c r="E337">
        <v>1516.2</v>
      </c>
      <c r="F337" s="19">
        <f t="shared" si="79"/>
        <v>1814.6999999999998</v>
      </c>
      <c r="G337" s="19">
        <f t="shared" si="80"/>
        <v>2092.3000000000002</v>
      </c>
      <c r="H337" s="24">
        <f t="shared" si="81"/>
        <v>-13.267695837117067</v>
      </c>
    </row>
    <row r="338" spans="1:8" x14ac:dyDescent="0.25">
      <c r="A338" s="10">
        <f t="shared" si="82"/>
        <v>41200</v>
      </c>
      <c r="B338">
        <v>505.7</v>
      </c>
      <c r="C338">
        <v>557.1</v>
      </c>
      <c r="D338">
        <v>1409.1</v>
      </c>
      <c r="E338">
        <v>1556.6</v>
      </c>
      <c r="F338" s="19">
        <f t="shared" si="79"/>
        <v>1914.8</v>
      </c>
      <c r="G338" s="19">
        <f t="shared" si="80"/>
        <v>2113.6999999999998</v>
      </c>
      <c r="H338" s="24">
        <f t="shared" si="81"/>
        <v>-9.41003926763495</v>
      </c>
    </row>
    <row r="339" spans="1:8" x14ac:dyDescent="0.25">
      <c r="A339" s="10">
        <f t="shared" si="82"/>
        <v>41207</v>
      </c>
      <c r="B339">
        <v>508</v>
      </c>
      <c r="C339">
        <v>414</v>
      </c>
      <c r="D339">
        <v>1448.1</v>
      </c>
      <c r="E339">
        <v>1728.6</v>
      </c>
      <c r="F339" s="19">
        <f t="shared" ref="F339:F402" si="83">+B339+D339</f>
        <v>1956.1</v>
      </c>
      <c r="G339" s="19">
        <f t="shared" ref="G339:G402" si="84">+C339+E339</f>
        <v>2142.6</v>
      </c>
      <c r="H339" s="24">
        <f t="shared" ref="H339:H402" si="85">+(F339/G339-1)*100</f>
        <v>-8.70437785867637</v>
      </c>
    </row>
    <row r="340" spans="1:8" x14ac:dyDescent="0.25">
      <c r="A340" s="10">
        <f t="shared" si="82"/>
        <v>41214</v>
      </c>
      <c r="B340">
        <v>514.5</v>
      </c>
      <c r="C340">
        <v>398.6</v>
      </c>
      <c r="D340">
        <v>1448.1</v>
      </c>
      <c r="E340">
        <v>1754.9</v>
      </c>
      <c r="F340" s="19">
        <f t="shared" si="83"/>
        <v>1962.6</v>
      </c>
      <c r="G340" s="19">
        <f t="shared" si="84"/>
        <v>2153.5</v>
      </c>
      <c r="H340" s="24">
        <f t="shared" si="85"/>
        <v>-8.8646389598328383</v>
      </c>
    </row>
    <row r="341" spans="1:8" x14ac:dyDescent="0.25">
      <c r="A341" s="10">
        <f t="shared" si="82"/>
        <v>41221</v>
      </c>
      <c r="B341">
        <v>477.5</v>
      </c>
      <c r="C341">
        <v>455.4</v>
      </c>
      <c r="D341">
        <v>1485.3</v>
      </c>
      <c r="E341">
        <v>1755.5</v>
      </c>
      <c r="F341" s="19">
        <f t="shared" si="83"/>
        <v>1962.8</v>
      </c>
      <c r="G341" s="19">
        <f t="shared" si="84"/>
        <v>2210.9</v>
      </c>
      <c r="H341" s="24">
        <f t="shared" si="85"/>
        <v>-11.221674431227113</v>
      </c>
    </row>
    <row r="342" spans="1:8" x14ac:dyDescent="0.25">
      <c r="A342" s="10">
        <f t="shared" si="82"/>
        <v>41228</v>
      </c>
      <c r="B342">
        <v>596.4</v>
      </c>
      <c r="C342">
        <v>426.5</v>
      </c>
      <c r="D342">
        <v>1485.3</v>
      </c>
      <c r="E342">
        <v>1815.1</v>
      </c>
      <c r="F342" s="19">
        <f t="shared" si="83"/>
        <v>2081.6999999999998</v>
      </c>
      <c r="G342" s="19">
        <f t="shared" si="84"/>
        <v>2241.6</v>
      </c>
      <c r="H342" s="24">
        <f t="shared" si="85"/>
        <v>-7.1332976445396152</v>
      </c>
    </row>
    <row r="343" spans="1:8" x14ac:dyDescent="0.25">
      <c r="A343" s="10">
        <f t="shared" si="82"/>
        <v>41235</v>
      </c>
      <c r="B343">
        <v>565.6</v>
      </c>
      <c r="C343">
        <v>423.8</v>
      </c>
      <c r="D343">
        <v>1593.1</v>
      </c>
      <c r="E343">
        <v>1817.8</v>
      </c>
      <c r="F343" s="19">
        <f t="shared" si="83"/>
        <v>2158.6999999999998</v>
      </c>
      <c r="G343" s="19">
        <f t="shared" si="84"/>
        <v>2241.6</v>
      </c>
      <c r="H343" s="24">
        <f t="shared" si="85"/>
        <v>-3.6982512491077868</v>
      </c>
    </row>
    <row r="344" spans="1:8" x14ac:dyDescent="0.25">
      <c r="A344" s="10">
        <f t="shared" si="82"/>
        <v>41242</v>
      </c>
      <c r="B344">
        <v>604.70000000000005</v>
      </c>
      <c r="C344">
        <v>383.9</v>
      </c>
      <c r="D344">
        <v>1643.7</v>
      </c>
      <c r="E344">
        <v>1927.4</v>
      </c>
      <c r="F344" s="19">
        <f t="shared" si="83"/>
        <v>2248.4</v>
      </c>
      <c r="G344" s="19">
        <f t="shared" si="84"/>
        <v>2311.3000000000002</v>
      </c>
      <c r="H344" s="24">
        <f t="shared" si="85"/>
        <v>-2.7214121922727541</v>
      </c>
    </row>
    <row r="345" spans="1:8" x14ac:dyDescent="0.25">
      <c r="A345" s="10">
        <f t="shared" si="82"/>
        <v>41249</v>
      </c>
      <c r="B345">
        <v>748.6</v>
      </c>
      <c r="C345">
        <v>436.4</v>
      </c>
      <c r="D345">
        <v>1662.4</v>
      </c>
      <c r="E345">
        <v>1953.6</v>
      </c>
      <c r="F345" s="19">
        <f t="shared" si="83"/>
        <v>2411</v>
      </c>
      <c r="G345" s="19">
        <f t="shared" si="84"/>
        <v>2390</v>
      </c>
      <c r="H345" s="24">
        <f t="shared" si="85"/>
        <v>0.87866108786611719</v>
      </c>
    </row>
    <row r="346" spans="1:8" x14ac:dyDescent="0.25">
      <c r="A346" s="10">
        <f t="shared" si="82"/>
        <v>41256</v>
      </c>
      <c r="B346">
        <v>782.1</v>
      </c>
      <c r="C346">
        <v>490</v>
      </c>
      <c r="D346">
        <v>1752.3</v>
      </c>
      <c r="E346">
        <v>1963.8</v>
      </c>
      <c r="F346" s="19">
        <f t="shared" si="83"/>
        <v>2534.4</v>
      </c>
      <c r="G346" s="19">
        <f t="shared" si="84"/>
        <v>2453.8000000000002</v>
      </c>
      <c r="H346" s="24">
        <f t="shared" si="85"/>
        <v>3.2847012796478836</v>
      </c>
    </row>
    <row r="347" spans="1:8" x14ac:dyDescent="0.25">
      <c r="A347" s="10">
        <f t="shared" si="82"/>
        <v>41263</v>
      </c>
      <c r="B347">
        <v>760.6</v>
      </c>
      <c r="C347">
        <v>416.8</v>
      </c>
      <c r="D347">
        <v>1882.3</v>
      </c>
      <c r="E347">
        <v>2043.7</v>
      </c>
      <c r="F347" s="19">
        <f t="shared" si="83"/>
        <v>2642.9</v>
      </c>
      <c r="G347" s="19">
        <f t="shared" si="84"/>
        <v>2460.5</v>
      </c>
      <c r="H347" s="24">
        <f t="shared" si="85"/>
        <v>7.4131274131274072</v>
      </c>
    </row>
    <row r="348" spans="1:8" x14ac:dyDescent="0.25">
      <c r="A348" s="10">
        <f t="shared" si="82"/>
        <v>41270</v>
      </c>
      <c r="B348">
        <v>760.6</v>
      </c>
      <c r="C348">
        <v>412.5</v>
      </c>
      <c r="D348">
        <v>1882.3</v>
      </c>
      <c r="E348">
        <v>2132.8000000000002</v>
      </c>
      <c r="F348" s="19">
        <f t="shared" si="83"/>
        <v>2642.9</v>
      </c>
      <c r="G348" s="19">
        <f t="shared" si="84"/>
        <v>2545.3000000000002</v>
      </c>
      <c r="H348" s="24">
        <f t="shared" si="85"/>
        <v>3.8345185243389812</v>
      </c>
    </row>
    <row r="349" spans="1:8" x14ac:dyDescent="0.25">
      <c r="A349" s="10">
        <f t="shared" si="82"/>
        <v>41277</v>
      </c>
      <c r="B349">
        <v>728.5</v>
      </c>
      <c r="C349">
        <v>509.1</v>
      </c>
      <c r="D349">
        <v>1916.9</v>
      </c>
      <c r="E349">
        <v>2190.5</v>
      </c>
      <c r="F349" s="19">
        <f t="shared" si="83"/>
        <v>2645.4</v>
      </c>
      <c r="G349" s="19">
        <f t="shared" si="84"/>
        <v>2699.6</v>
      </c>
      <c r="H349" s="24">
        <f t="shared" si="85"/>
        <v>-2.0077048451622392</v>
      </c>
    </row>
    <row r="350" spans="1:8" x14ac:dyDescent="0.25">
      <c r="A350" s="10">
        <f t="shared" si="82"/>
        <v>41284</v>
      </c>
      <c r="B350">
        <v>730.2</v>
      </c>
      <c r="C350">
        <v>577.1</v>
      </c>
      <c r="D350">
        <v>1917.2</v>
      </c>
      <c r="E350">
        <v>2263.4</v>
      </c>
      <c r="F350" s="19">
        <f t="shared" si="83"/>
        <v>2647.4</v>
      </c>
      <c r="G350" s="19">
        <f t="shared" si="84"/>
        <v>2840.5</v>
      </c>
      <c r="H350" s="24">
        <f t="shared" si="85"/>
        <v>-6.7980989262453768</v>
      </c>
    </row>
    <row r="351" spans="1:8" x14ac:dyDescent="0.25">
      <c r="A351" s="10">
        <f t="shared" si="82"/>
        <v>41291</v>
      </c>
      <c r="B351">
        <v>622.79999999999995</v>
      </c>
      <c r="C351">
        <v>604.1</v>
      </c>
      <c r="D351">
        <v>2128.1999999999998</v>
      </c>
      <c r="E351">
        <v>2322</v>
      </c>
      <c r="F351" s="19">
        <f t="shared" si="83"/>
        <v>2751</v>
      </c>
      <c r="G351" s="19">
        <f t="shared" si="84"/>
        <v>2926.1</v>
      </c>
      <c r="H351" s="24">
        <f t="shared" si="85"/>
        <v>-5.9840743651959905</v>
      </c>
    </row>
    <row r="352" spans="1:8" x14ac:dyDescent="0.25">
      <c r="A352" s="10">
        <f t="shared" si="82"/>
        <v>41298</v>
      </c>
      <c r="B352">
        <v>549.1</v>
      </c>
      <c r="C352">
        <v>609.5</v>
      </c>
      <c r="D352">
        <v>2258.1</v>
      </c>
      <c r="E352">
        <v>2348.5</v>
      </c>
      <c r="F352" s="19">
        <f t="shared" si="83"/>
        <v>2807.2</v>
      </c>
      <c r="G352" s="19">
        <f t="shared" si="84"/>
        <v>2958</v>
      </c>
      <c r="H352" s="24">
        <f t="shared" si="85"/>
        <v>-5.0980392156862786</v>
      </c>
    </row>
    <row r="353" spans="1:9" x14ac:dyDescent="0.25">
      <c r="A353" s="10">
        <f t="shared" si="82"/>
        <v>41305</v>
      </c>
      <c r="B353">
        <v>569.79999999999995</v>
      </c>
      <c r="C353">
        <v>694.9</v>
      </c>
      <c r="D353">
        <v>2283.1</v>
      </c>
      <c r="E353">
        <v>2437.4</v>
      </c>
      <c r="F353" s="19">
        <f t="shared" si="83"/>
        <v>2852.8999999999996</v>
      </c>
      <c r="G353" s="19">
        <f t="shared" si="84"/>
        <v>3132.3</v>
      </c>
      <c r="H353" s="24">
        <f t="shared" si="85"/>
        <v>-8.9199629665102531</v>
      </c>
    </row>
    <row r="354" spans="1:9" x14ac:dyDescent="0.25">
      <c r="A354" s="10">
        <f t="shared" si="82"/>
        <v>41312</v>
      </c>
      <c r="B354">
        <v>540.1</v>
      </c>
      <c r="C354">
        <v>680.2</v>
      </c>
      <c r="D354">
        <v>2373.1999999999998</v>
      </c>
      <c r="E354">
        <v>2540</v>
      </c>
      <c r="F354" s="19">
        <f t="shared" si="83"/>
        <v>2913.2999999999997</v>
      </c>
      <c r="G354" s="19">
        <f t="shared" si="84"/>
        <v>3220.2</v>
      </c>
      <c r="H354" s="24">
        <f t="shared" si="85"/>
        <v>-9.5304639463387417</v>
      </c>
    </row>
    <row r="355" spans="1:9" x14ac:dyDescent="0.25">
      <c r="A355" s="10">
        <f t="shared" si="82"/>
        <v>41319</v>
      </c>
      <c r="B355">
        <v>600.6</v>
      </c>
      <c r="C355">
        <v>603.1</v>
      </c>
      <c r="D355">
        <v>2429.9</v>
      </c>
      <c r="E355">
        <v>2690.4</v>
      </c>
      <c r="F355" s="19">
        <f t="shared" si="83"/>
        <v>3030.5</v>
      </c>
      <c r="G355" s="19">
        <f t="shared" si="84"/>
        <v>3293.5</v>
      </c>
      <c r="H355" s="24">
        <f t="shared" si="85"/>
        <v>-7.9854258387733417</v>
      </c>
    </row>
    <row r="356" spans="1:9" x14ac:dyDescent="0.25">
      <c r="A356" s="10">
        <f t="shared" si="82"/>
        <v>41326</v>
      </c>
      <c r="B356">
        <v>460.4</v>
      </c>
      <c r="C356">
        <v>619.79999999999995</v>
      </c>
      <c r="D356">
        <v>2616.6</v>
      </c>
      <c r="E356">
        <v>2690.4</v>
      </c>
      <c r="F356" s="19">
        <f t="shared" si="83"/>
        <v>3077</v>
      </c>
      <c r="G356" s="19">
        <f t="shared" si="84"/>
        <v>3310.2</v>
      </c>
      <c r="H356" s="24">
        <f t="shared" si="85"/>
        <v>-7.0448915473385281</v>
      </c>
    </row>
    <row r="357" spans="1:9" x14ac:dyDescent="0.25">
      <c r="A357" s="10">
        <f t="shared" si="82"/>
        <v>41333</v>
      </c>
      <c r="B357">
        <v>534.6</v>
      </c>
      <c r="C357">
        <v>592.79999999999995</v>
      </c>
      <c r="D357">
        <v>2616.6999999999998</v>
      </c>
      <c r="E357">
        <v>2716.5</v>
      </c>
      <c r="F357" s="19">
        <f t="shared" si="83"/>
        <v>3151.2999999999997</v>
      </c>
      <c r="G357" s="19">
        <f t="shared" si="84"/>
        <v>3309.3</v>
      </c>
      <c r="H357" s="24">
        <f t="shared" si="85"/>
        <v>-4.7744235941135749</v>
      </c>
    </row>
    <row r="358" spans="1:9" x14ac:dyDescent="0.25">
      <c r="A358" s="10">
        <f t="shared" si="82"/>
        <v>41340</v>
      </c>
      <c r="B358">
        <v>537.9</v>
      </c>
      <c r="C358">
        <v>602.79999999999995</v>
      </c>
      <c r="D358">
        <v>2710</v>
      </c>
      <c r="E358">
        <v>2750.1</v>
      </c>
      <c r="F358" s="19">
        <f t="shared" si="83"/>
        <v>3247.9</v>
      </c>
      <c r="G358" s="19">
        <f t="shared" si="84"/>
        <v>3352.8999999999996</v>
      </c>
      <c r="H358" s="24">
        <f t="shared" si="85"/>
        <v>-3.1316174058277801</v>
      </c>
      <c r="I358">
        <v>4</v>
      </c>
    </row>
    <row r="359" spans="1:9" x14ac:dyDescent="0.25">
      <c r="A359" s="10">
        <f t="shared" si="82"/>
        <v>41347</v>
      </c>
      <c r="B359">
        <v>543.9</v>
      </c>
      <c r="C359">
        <v>603.6</v>
      </c>
      <c r="D359">
        <v>2769.4</v>
      </c>
      <c r="E359">
        <v>2848.9</v>
      </c>
      <c r="F359" s="19">
        <f t="shared" si="83"/>
        <v>3313.3</v>
      </c>
      <c r="G359" s="19">
        <f t="shared" si="84"/>
        <v>3452.5</v>
      </c>
      <c r="H359" s="24">
        <f t="shared" si="85"/>
        <v>-4.0318609703113628</v>
      </c>
    </row>
    <row r="360" spans="1:9" x14ac:dyDescent="0.25">
      <c r="A360" s="10">
        <f t="shared" si="82"/>
        <v>41354</v>
      </c>
      <c r="B360">
        <v>593.29999999999995</v>
      </c>
      <c r="C360">
        <v>570.9</v>
      </c>
      <c r="D360">
        <v>2869.5</v>
      </c>
      <c r="E360">
        <v>2881.9</v>
      </c>
      <c r="F360" s="19">
        <f t="shared" si="83"/>
        <v>3462.8</v>
      </c>
      <c r="G360" s="19">
        <f t="shared" si="84"/>
        <v>3452.8</v>
      </c>
      <c r="H360" s="24">
        <f t="shared" si="85"/>
        <v>0.28962001853567454</v>
      </c>
    </row>
    <row r="361" spans="1:9" x14ac:dyDescent="0.25">
      <c r="A361" s="10">
        <f t="shared" si="82"/>
        <v>41361</v>
      </c>
      <c r="B361">
        <v>593.29999999999995</v>
      </c>
      <c r="C361">
        <v>522.4</v>
      </c>
      <c r="D361">
        <v>2869.5</v>
      </c>
      <c r="E361">
        <v>2964.5</v>
      </c>
      <c r="F361" s="19">
        <f t="shared" si="83"/>
        <v>3462.8</v>
      </c>
      <c r="G361" s="19">
        <f t="shared" si="84"/>
        <v>3486.9</v>
      </c>
      <c r="H361" s="24">
        <f t="shared" si="85"/>
        <v>-0.69115833548424321</v>
      </c>
    </row>
    <row r="362" spans="1:9" x14ac:dyDescent="0.25">
      <c r="A362" s="10">
        <f t="shared" si="82"/>
        <v>41368</v>
      </c>
      <c r="B362">
        <v>476</v>
      </c>
      <c r="C362">
        <v>562.6</v>
      </c>
      <c r="D362">
        <v>3007</v>
      </c>
      <c r="E362">
        <v>2964.5</v>
      </c>
      <c r="F362" s="19">
        <f t="shared" si="83"/>
        <v>3483</v>
      </c>
      <c r="G362" s="19">
        <f t="shared" si="84"/>
        <v>3527.1</v>
      </c>
      <c r="H362" s="24">
        <f t="shared" si="85"/>
        <v>-1.2503189589180841</v>
      </c>
      <c r="I362">
        <v>24</v>
      </c>
    </row>
    <row r="363" spans="1:9" x14ac:dyDescent="0.25">
      <c r="A363" s="10">
        <f t="shared" si="82"/>
        <v>41375</v>
      </c>
      <c r="B363">
        <v>532.79999999999995</v>
      </c>
      <c r="C363">
        <v>609.1</v>
      </c>
      <c r="D363">
        <v>3039.8</v>
      </c>
      <c r="E363">
        <v>2998.1</v>
      </c>
      <c r="F363" s="19">
        <f t="shared" si="83"/>
        <v>3572.6000000000004</v>
      </c>
      <c r="G363" s="19">
        <f t="shared" si="84"/>
        <v>3607.2</v>
      </c>
      <c r="H363" s="24">
        <f t="shared" si="85"/>
        <v>-0.95919272565977431</v>
      </c>
      <c r="I363">
        <v>24</v>
      </c>
    </row>
    <row r="364" spans="1:9" x14ac:dyDescent="0.25">
      <c r="A364" s="10">
        <f t="shared" si="82"/>
        <v>41382</v>
      </c>
      <c r="B364">
        <v>540.20000000000005</v>
      </c>
      <c r="C364">
        <v>631.9</v>
      </c>
      <c r="D364">
        <v>3091.5</v>
      </c>
      <c r="E364">
        <v>3040.6</v>
      </c>
      <c r="F364" s="19">
        <f t="shared" si="83"/>
        <v>3631.7</v>
      </c>
      <c r="G364" s="19">
        <f t="shared" si="84"/>
        <v>3672.5</v>
      </c>
      <c r="H364" s="24">
        <f t="shared" si="85"/>
        <v>-1.1109598366235596</v>
      </c>
      <c r="I364">
        <v>24</v>
      </c>
    </row>
    <row r="365" spans="1:9" x14ac:dyDescent="0.25">
      <c r="A365" s="10">
        <f t="shared" si="82"/>
        <v>41389</v>
      </c>
      <c r="B365">
        <v>531.4</v>
      </c>
      <c r="C365">
        <v>580.6</v>
      </c>
      <c r="D365">
        <v>3145.7</v>
      </c>
      <c r="E365">
        <v>3128.8</v>
      </c>
      <c r="F365" s="19">
        <f t="shared" si="83"/>
        <v>3677.1</v>
      </c>
      <c r="G365" s="19">
        <f t="shared" si="84"/>
        <v>3709.4</v>
      </c>
      <c r="H365" s="24">
        <f t="shared" si="85"/>
        <v>-0.87076076993584106</v>
      </c>
      <c r="I365">
        <v>47.5</v>
      </c>
    </row>
    <row r="366" spans="1:9" x14ac:dyDescent="0.25">
      <c r="A366" s="10">
        <f t="shared" si="82"/>
        <v>41396</v>
      </c>
      <c r="B366">
        <v>479.7</v>
      </c>
      <c r="C366">
        <v>455.7</v>
      </c>
      <c r="D366">
        <v>3209</v>
      </c>
      <c r="E366">
        <v>3258</v>
      </c>
      <c r="F366" s="19">
        <f t="shared" si="83"/>
        <v>3688.7</v>
      </c>
      <c r="G366" s="19">
        <f t="shared" si="84"/>
        <v>3713.7</v>
      </c>
      <c r="H366" s="24">
        <f t="shared" si="85"/>
        <v>-0.67318307887013207</v>
      </c>
      <c r="I366">
        <v>69.900000000000006</v>
      </c>
    </row>
    <row r="367" spans="1:9" x14ac:dyDescent="0.25">
      <c r="A367" s="10">
        <f t="shared" si="82"/>
        <v>41403</v>
      </c>
      <c r="B367">
        <v>271.60000000000002</v>
      </c>
      <c r="C367">
        <v>422.5</v>
      </c>
      <c r="D367">
        <v>3357.1</v>
      </c>
      <c r="E367">
        <v>3339.8</v>
      </c>
      <c r="F367" s="19">
        <f t="shared" si="83"/>
        <v>3628.7</v>
      </c>
      <c r="G367" s="19">
        <f t="shared" si="84"/>
        <v>3762.3</v>
      </c>
      <c r="H367" s="24">
        <f t="shared" si="85"/>
        <v>-3.5510193232862974</v>
      </c>
      <c r="I367">
        <v>134.69999999999999</v>
      </c>
    </row>
    <row r="368" spans="1:9" x14ac:dyDescent="0.25">
      <c r="A368" s="10">
        <f t="shared" si="82"/>
        <v>41410</v>
      </c>
      <c r="B368">
        <v>241.5</v>
      </c>
      <c r="C368">
        <v>443.7</v>
      </c>
      <c r="D368">
        <v>3388.2</v>
      </c>
      <c r="E368">
        <v>3376.8</v>
      </c>
      <c r="F368" s="19">
        <f t="shared" si="83"/>
        <v>3629.7</v>
      </c>
      <c r="G368" s="19">
        <f t="shared" si="84"/>
        <v>3820.5</v>
      </c>
      <c r="H368" s="24">
        <f t="shared" si="85"/>
        <v>-4.994110718492351</v>
      </c>
      <c r="I368">
        <v>188.4</v>
      </c>
    </row>
    <row r="369" spans="1:9" x14ac:dyDescent="0.25">
      <c r="A369" s="10">
        <f t="shared" si="82"/>
        <v>41417</v>
      </c>
      <c r="B369">
        <v>171.4</v>
      </c>
      <c r="C369">
        <v>384.1</v>
      </c>
      <c r="D369">
        <v>3476.8</v>
      </c>
      <c r="E369">
        <v>3457.9</v>
      </c>
      <c r="F369" s="19">
        <f t="shared" si="83"/>
        <v>3648.2000000000003</v>
      </c>
      <c r="G369" s="19">
        <f t="shared" si="84"/>
        <v>3842</v>
      </c>
      <c r="H369" s="24">
        <f t="shared" si="85"/>
        <v>-5.0442477876106118</v>
      </c>
      <c r="I369">
        <v>292.3</v>
      </c>
    </row>
    <row r="370" spans="1:9" x14ac:dyDescent="0.25">
      <c r="A370" s="10">
        <f t="shared" si="82"/>
        <v>41424</v>
      </c>
      <c r="B370">
        <v>105.2</v>
      </c>
      <c r="C370">
        <v>332.6</v>
      </c>
      <c r="D370">
        <v>3544</v>
      </c>
      <c r="E370">
        <v>3512.1</v>
      </c>
      <c r="F370" s="19">
        <f t="shared" si="83"/>
        <v>3649.2</v>
      </c>
      <c r="G370" s="19">
        <f t="shared" si="84"/>
        <v>3844.7</v>
      </c>
      <c r="H370" s="24">
        <f t="shared" si="85"/>
        <v>-5.0849221005540119</v>
      </c>
      <c r="I370">
        <v>370.7</v>
      </c>
    </row>
    <row r="371" spans="1:9" x14ac:dyDescent="0.25">
      <c r="A371" s="10">
        <f t="shared" si="82"/>
        <v>41431</v>
      </c>
      <c r="B371">
        <v>570.6</v>
      </c>
      <c r="C371">
        <v>600</v>
      </c>
      <c r="D371">
        <v>0</v>
      </c>
      <c r="E371">
        <v>3.1</v>
      </c>
      <c r="F371" s="19">
        <f t="shared" si="83"/>
        <v>570.6</v>
      </c>
      <c r="G371" s="19">
        <f t="shared" si="84"/>
        <v>603.1</v>
      </c>
      <c r="H371" s="24">
        <f t="shared" si="85"/>
        <v>-5.3888244072293201</v>
      </c>
    </row>
    <row r="372" spans="1:9" x14ac:dyDescent="0.25">
      <c r="A372" s="10">
        <f t="shared" si="82"/>
        <v>41438</v>
      </c>
      <c r="B372">
        <v>585.70000000000005</v>
      </c>
      <c r="C372">
        <v>571.4</v>
      </c>
      <c r="D372">
        <v>56.9</v>
      </c>
      <c r="E372">
        <v>175.1</v>
      </c>
      <c r="F372" s="19">
        <f t="shared" si="83"/>
        <v>642.6</v>
      </c>
      <c r="G372" s="19">
        <f t="shared" si="84"/>
        <v>746.5</v>
      </c>
      <c r="H372" s="24">
        <f t="shared" si="85"/>
        <v>-13.918285331547221</v>
      </c>
    </row>
    <row r="373" spans="1:9" x14ac:dyDescent="0.25">
      <c r="A373" s="10">
        <f t="shared" si="82"/>
        <v>41445</v>
      </c>
      <c r="B373">
        <v>649.5</v>
      </c>
      <c r="C373">
        <v>575.20000000000005</v>
      </c>
      <c r="D373">
        <v>82.6</v>
      </c>
      <c r="E373">
        <v>245.8</v>
      </c>
      <c r="F373" s="19">
        <f t="shared" si="83"/>
        <v>732.1</v>
      </c>
      <c r="G373" s="19">
        <f t="shared" si="84"/>
        <v>821</v>
      </c>
      <c r="H373" s="24">
        <f t="shared" si="85"/>
        <v>-10.828258221680876</v>
      </c>
    </row>
    <row r="374" spans="1:9" x14ac:dyDescent="0.25">
      <c r="A374" s="10">
        <f t="shared" si="82"/>
        <v>41452</v>
      </c>
      <c r="B374">
        <v>582.9</v>
      </c>
      <c r="C374">
        <v>559</v>
      </c>
      <c r="D374">
        <v>149.6</v>
      </c>
      <c r="E374">
        <v>262.2</v>
      </c>
      <c r="F374" s="19">
        <f>+B374+D374</f>
        <v>732.5</v>
      </c>
      <c r="G374" s="19">
        <f>+C374+E374</f>
        <v>821.2</v>
      </c>
      <c r="H374" s="24">
        <f>+(F374/G374-1)*100</f>
        <v>-10.801266439357038</v>
      </c>
    </row>
    <row r="375" spans="1:9" x14ac:dyDescent="0.25">
      <c r="A375" s="10">
        <f t="shared" si="82"/>
        <v>41459</v>
      </c>
      <c r="B375">
        <v>554.4</v>
      </c>
      <c r="C375">
        <v>549.29999999999995</v>
      </c>
      <c r="D375">
        <v>159.6</v>
      </c>
      <c r="E375">
        <v>310.8</v>
      </c>
      <c r="F375" s="19">
        <f>+B375+D375</f>
        <v>714</v>
      </c>
      <c r="G375" s="19">
        <f>+C375+E375</f>
        <v>860.09999999999991</v>
      </c>
      <c r="H375" s="24">
        <f>+(F375/G375-1)*100</f>
        <v>-16.986396930589454</v>
      </c>
    </row>
    <row r="376" spans="1:9" x14ac:dyDescent="0.25">
      <c r="A376" s="10">
        <f t="shared" si="82"/>
        <v>41466</v>
      </c>
      <c r="B376">
        <v>522.79999999999995</v>
      </c>
      <c r="C376">
        <v>681.9</v>
      </c>
      <c r="D376">
        <v>207.6</v>
      </c>
      <c r="E376">
        <v>310.8</v>
      </c>
      <c r="F376" s="19">
        <f t="shared" si="83"/>
        <v>730.4</v>
      </c>
      <c r="G376" s="19">
        <f t="shared" si="84"/>
        <v>992.7</v>
      </c>
      <c r="H376" s="24">
        <f t="shared" si="85"/>
        <v>-26.42288707565227</v>
      </c>
    </row>
    <row r="377" spans="1:9" x14ac:dyDescent="0.25">
      <c r="A377" s="10">
        <f t="shared" si="82"/>
        <v>41473</v>
      </c>
      <c r="B377">
        <v>505.3</v>
      </c>
      <c r="C377">
        <v>676.2</v>
      </c>
      <c r="D377">
        <v>256.3</v>
      </c>
      <c r="E377">
        <v>395</v>
      </c>
      <c r="F377" s="19">
        <f t="shared" si="83"/>
        <v>761.6</v>
      </c>
      <c r="G377" s="19">
        <f t="shared" si="84"/>
        <v>1071.2</v>
      </c>
      <c r="H377" s="24">
        <f t="shared" si="85"/>
        <v>-28.902165795369683</v>
      </c>
    </row>
    <row r="378" spans="1:9" x14ac:dyDescent="0.25">
      <c r="A378" s="10">
        <f t="shared" si="82"/>
        <v>41480</v>
      </c>
      <c r="B378">
        <v>522.1</v>
      </c>
      <c r="C378">
        <v>645.4</v>
      </c>
      <c r="D378">
        <v>302.2</v>
      </c>
      <c r="E378">
        <v>477.5</v>
      </c>
      <c r="F378" s="19">
        <f t="shared" si="83"/>
        <v>824.3</v>
      </c>
      <c r="G378" s="19">
        <f t="shared" si="84"/>
        <v>1122.9000000000001</v>
      </c>
      <c r="H378" s="24">
        <f t="shared" si="85"/>
        <v>-26.591860361563814</v>
      </c>
    </row>
    <row r="379" spans="1:9" x14ac:dyDescent="0.25">
      <c r="A379" s="10">
        <f t="shared" si="82"/>
        <v>41487</v>
      </c>
      <c r="B379" s="48">
        <v>590.29999999999995</v>
      </c>
      <c r="C379">
        <v>682.9</v>
      </c>
      <c r="D379">
        <v>356.5</v>
      </c>
      <c r="E379">
        <v>529.4</v>
      </c>
      <c r="F379" s="19">
        <f t="shared" si="83"/>
        <v>946.8</v>
      </c>
      <c r="G379" s="19">
        <f t="shared" si="84"/>
        <v>1212.3</v>
      </c>
      <c r="H379" s="24">
        <f t="shared" si="85"/>
        <v>-21.900519673348185</v>
      </c>
    </row>
    <row r="380" spans="1:9" x14ac:dyDescent="0.25">
      <c r="A380" s="10">
        <f t="shared" si="82"/>
        <v>41494</v>
      </c>
      <c r="B380" s="48">
        <v>649.9</v>
      </c>
      <c r="C380">
        <v>779.6</v>
      </c>
      <c r="D380">
        <v>356.5</v>
      </c>
      <c r="E380">
        <v>555.20000000000005</v>
      </c>
      <c r="F380" s="19">
        <f t="shared" si="83"/>
        <v>1006.4</v>
      </c>
      <c r="G380" s="19">
        <f t="shared" si="84"/>
        <v>1334.8000000000002</v>
      </c>
      <c r="H380" s="24">
        <f t="shared" si="85"/>
        <v>-24.602936769553509</v>
      </c>
    </row>
    <row r="381" spans="1:9" x14ac:dyDescent="0.25">
      <c r="A381" s="10">
        <f t="shared" si="82"/>
        <v>41501</v>
      </c>
      <c r="B381" s="48">
        <v>601</v>
      </c>
      <c r="C381">
        <v>808.8</v>
      </c>
      <c r="D381">
        <v>431.4</v>
      </c>
      <c r="E381">
        <v>614.5</v>
      </c>
      <c r="F381" s="19">
        <f t="shared" si="83"/>
        <v>1032.4000000000001</v>
      </c>
      <c r="G381" s="19">
        <f t="shared" si="84"/>
        <v>1423.3</v>
      </c>
      <c r="H381" s="24">
        <f t="shared" si="85"/>
        <v>-27.464343427246529</v>
      </c>
    </row>
    <row r="382" spans="1:9" x14ac:dyDescent="0.25">
      <c r="A382" s="10">
        <f t="shared" si="82"/>
        <v>41508</v>
      </c>
      <c r="B382" s="48">
        <v>633.9</v>
      </c>
      <c r="C382">
        <v>642.1</v>
      </c>
      <c r="D382">
        <v>529.5</v>
      </c>
      <c r="E382">
        <v>787.5</v>
      </c>
      <c r="F382" s="19">
        <f t="shared" si="83"/>
        <v>1163.4000000000001</v>
      </c>
      <c r="G382" s="19">
        <f t="shared" si="84"/>
        <v>1429.6</v>
      </c>
      <c r="H382" s="24">
        <f t="shared" si="85"/>
        <v>-18.620593172915491</v>
      </c>
    </row>
    <row r="383" spans="1:9" x14ac:dyDescent="0.25">
      <c r="A383" s="10">
        <f t="shared" si="82"/>
        <v>41515</v>
      </c>
      <c r="B383" s="48">
        <v>533</v>
      </c>
      <c r="C383">
        <v>491.7</v>
      </c>
      <c r="D383">
        <v>631.9</v>
      </c>
      <c r="E383">
        <v>964.8</v>
      </c>
      <c r="F383" s="19">
        <f t="shared" si="83"/>
        <v>1164.9000000000001</v>
      </c>
      <c r="G383" s="19">
        <f t="shared" si="84"/>
        <v>1456.5</v>
      </c>
      <c r="H383" s="24">
        <f t="shared" si="85"/>
        <v>-20.020597322348088</v>
      </c>
    </row>
    <row r="384" spans="1:9" x14ac:dyDescent="0.25">
      <c r="A384" s="10">
        <f t="shared" ref="A384:A447" si="86">+A383+7</f>
        <v>41522</v>
      </c>
      <c r="B384" s="48">
        <v>517.29999999999995</v>
      </c>
      <c r="C384">
        <v>464.4</v>
      </c>
      <c r="D384">
        <v>674</v>
      </c>
      <c r="E384">
        <v>1030.2</v>
      </c>
      <c r="F384" s="19">
        <f t="shared" si="83"/>
        <v>1191.3</v>
      </c>
      <c r="G384" s="19">
        <f t="shared" si="84"/>
        <v>1494.6</v>
      </c>
      <c r="H384" s="24">
        <f t="shared" si="85"/>
        <v>-20.293054997992776</v>
      </c>
    </row>
    <row r="385" spans="1:11" x14ac:dyDescent="0.25">
      <c r="A385" s="10">
        <f t="shared" si="86"/>
        <v>41529</v>
      </c>
      <c r="B385" s="48">
        <v>433</v>
      </c>
      <c r="C385">
        <v>406.2</v>
      </c>
      <c r="D385">
        <v>802.8</v>
      </c>
      <c r="E385">
        <v>1175.5999999999999</v>
      </c>
      <c r="F385" s="19">
        <f t="shared" si="83"/>
        <v>1235.8</v>
      </c>
      <c r="G385" s="19">
        <f t="shared" si="84"/>
        <v>1581.8</v>
      </c>
      <c r="H385" s="24">
        <f t="shared" si="85"/>
        <v>-21.873814641547607</v>
      </c>
    </row>
    <row r="386" spans="1:11" x14ac:dyDescent="0.25">
      <c r="A386" s="10">
        <f t="shared" si="86"/>
        <v>41536</v>
      </c>
      <c r="B386" s="48">
        <v>504.9</v>
      </c>
      <c r="C386">
        <v>432.1</v>
      </c>
      <c r="D386">
        <v>802.8</v>
      </c>
      <c r="E386">
        <v>1232.5</v>
      </c>
      <c r="F386" s="19">
        <f t="shared" si="83"/>
        <v>1307.6999999999998</v>
      </c>
      <c r="G386" s="19">
        <f t="shared" si="84"/>
        <v>1664.6</v>
      </c>
      <c r="H386" s="24">
        <f t="shared" si="85"/>
        <v>-21.440586327045541</v>
      </c>
    </row>
    <row r="387" spans="1:11" ht="15" x14ac:dyDescent="0.25">
      <c r="A387" s="10">
        <f t="shared" si="86"/>
        <v>41543</v>
      </c>
      <c r="B387" s="48">
        <v>382.4</v>
      </c>
      <c r="C387">
        <v>338</v>
      </c>
      <c r="D387">
        <v>949.2</v>
      </c>
      <c r="E387">
        <v>1365.2</v>
      </c>
      <c r="F387" s="19">
        <f t="shared" si="83"/>
        <v>1331.6</v>
      </c>
      <c r="G387" s="19">
        <f t="shared" si="84"/>
        <v>1703.2</v>
      </c>
      <c r="H387" s="24">
        <f t="shared" si="85"/>
        <v>-21.817754814466895</v>
      </c>
      <c r="K387" s="75"/>
    </row>
    <row r="388" spans="1:11" x14ac:dyDescent="0.25">
      <c r="A388" s="10">
        <f t="shared" si="86"/>
        <v>41550</v>
      </c>
      <c r="B388" s="48">
        <v>376.9</v>
      </c>
      <c r="C388">
        <v>359.9</v>
      </c>
      <c r="D388">
        <v>979.7</v>
      </c>
      <c r="E388">
        <v>1408.4</v>
      </c>
      <c r="F388" s="19">
        <v>304.60000000000002</v>
      </c>
      <c r="G388" s="19">
        <f t="shared" si="84"/>
        <v>1768.3000000000002</v>
      </c>
      <c r="H388" s="24">
        <f t="shared" si="85"/>
        <v>-82.77441610586439</v>
      </c>
    </row>
    <row r="389" spans="1:11" x14ac:dyDescent="0.25">
      <c r="A389" s="10">
        <f t="shared" si="86"/>
        <v>41557</v>
      </c>
      <c r="F389" s="19">
        <f t="shared" si="83"/>
        <v>0</v>
      </c>
      <c r="G389" s="19">
        <f t="shared" si="84"/>
        <v>0</v>
      </c>
      <c r="H389" s="24" t="e">
        <f t="shared" si="85"/>
        <v>#DIV/0!</v>
      </c>
    </row>
    <row r="390" spans="1:11" x14ac:dyDescent="0.25">
      <c r="A390" s="10">
        <f t="shared" si="86"/>
        <v>41564</v>
      </c>
      <c r="F390" s="19">
        <f t="shared" si="83"/>
        <v>0</v>
      </c>
      <c r="G390" s="19">
        <f t="shared" si="84"/>
        <v>0</v>
      </c>
      <c r="H390" s="24" t="e">
        <f t="shared" si="85"/>
        <v>#DIV/0!</v>
      </c>
    </row>
    <row r="391" spans="1:11" x14ac:dyDescent="0.25">
      <c r="A391" s="10">
        <f t="shared" si="86"/>
        <v>41571</v>
      </c>
      <c r="B391">
        <v>304.60000000000002</v>
      </c>
      <c r="C391">
        <v>508</v>
      </c>
      <c r="D391">
        <v>1149.4000000000001</v>
      </c>
      <c r="E391">
        <v>1448.1</v>
      </c>
      <c r="F391" s="19">
        <f t="shared" si="83"/>
        <v>1454</v>
      </c>
      <c r="G391" s="19">
        <f t="shared" si="84"/>
        <v>1956.1</v>
      </c>
      <c r="H391" s="24">
        <f t="shared" si="85"/>
        <v>-25.668421859823109</v>
      </c>
    </row>
    <row r="392" spans="1:11" ht="15" x14ac:dyDescent="0.25">
      <c r="A392" s="10">
        <f t="shared" si="86"/>
        <v>41578</v>
      </c>
      <c r="B392">
        <v>238.3</v>
      </c>
      <c r="C392">
        <v>514.5</v>
      </c>
      <c r="D392">
        <v>1195.7</v>
      </c>
      <c r="E392">
        <v>1448.1</v>
      </c>
      <c r="F392" s="19">
        <f t="shared" si="83"/>
        <v>1434</v>
      </c>
      <c r="G392" s="19">
        <f t="shared" si="84"/>
        <v>1962.6</v>
      </c>
      <c r="H392" s="24">
        <f t="shared" si="85"/>
        <v>-26.933659431366554</v>
      </c>
      <c r="K392" s="75"/>
    </row>
    <row r="393" spans="1:11" x14ac:dyDescent="0.25">
      <c r="A393" s="10">
        <f t="shared" si="86"/>
        <v>41585</v>
      </c>
      <c r="B393">
        <v>238.3</v>
      </c>
      <c r="C393">
        <v>477.5</v>
      </c>
      <c r="D393">
        <v>1195.7</v>
      </c>
      <c r="E393">
        <v>1485.3</v>
      </c>
      <c r="F393" s="19">
        <f t="shared" si="83"/>
        <v>1434</v>
      </c>
      <c r="G393" s="19">
        <f t="shared" si="84"/>
        <v>1962.8</v>
      </c>
      <c r="H393" s="24">
        <f t="shared" si="85"/>
        <v>-26.941104544528226</v>
      </c>
    </row>
    <row r="394" spans="1:11" x14ac:dyDescent="0.25">
      <c r="A394" s="10">
        <f t="shared" si="86"/>
        <v>41592</v>
      </c>
      <c r="B394">
        <v>364.6</v>
      </c>
      <c r="C394">
        <v>596.4</v>
      </c>
      <c r="D394">
        <v>1242.3</v>
      </c>
      <c r="E394">
        <v>1485.3</v>
      </c>
      <c r="F394" s="19">
        <f t="shared" si="83"/>
        <v>1606.9</v>
      </c>
      <c r="G394" s="19">
        <f t="shared" si="84"/>
        <v>2081.6999999999998</v>
      </c>
      <c r="H394" s="24">
        <f t="shared" si="85"/>
        <v>-22.808281692847178</v>
      </c>
    </row>
    <row r="395" spans="1:11" x14ac:dyDescent="0.25">
      <c r="A395" s="10">
        <f t="shared" si="86"/>
        <v>41599</v>
      </c>
      <c r="B395">
        <v>331.8</v>
      </c>
      <c r="C395">
        <v>565.6</v>
      </c>
      <c r="D395">
        <v>1286.0999999999999</v>
      </c>
      <c r="E395">
        <v>1593.1</v>
      </c>
      <c r="F395" s="19">
        <f t="shared" si="83"/>
        <v>1617.8999999999999</v>
      </c>
      <c r="G395" s="19">
        <f t="shared" si="84"/>
        <v>2158.6999999999998</v>
      </c>
      <c r="H395" s="24">
        <f t="shared" si="85"/>
        <v>-25.052114698661232</v>
      </c>
    </row>
    <row r="396" spans="1:11" x14ac:dyDescent="0.25">
      <c r="A396" s="10">
        <f t="shared" si="86"/>
        <v>41606</v>
      </c>
      <c r="F396" s="19">
        <f t="shared" si="83"/>
        <v>0</v>
      </c>
      <c r="G396" s="19">
        <f t="shared" si="84"/>
        <v>0</v>
      </c>
      <c r="H396" s="24" t="e">
        <f t="shared" si="85"/>
        <v>#DIV/0!</v>
      </c>
    </row>
    <row r="397" spans="1:11" x14ac:dyDescent="0.25">
      <c r="A397" s="10">
        <f t="shared" si="86"/>
        <v>41613</v>
      </c>
      <c r="F397" s="19">
        <f t="shared" si="83"/>
        <v>0</v>
      </c>
      <c r="G397" s="19">
        <f t="shared" si="84"/>
        <v>0</v>
      </c>
      <c r="H397" s="24" t="e">
        <f t="shared" si="85"/>
        <v>#DIV/0!</v>
      </c>
    </row>
    <row r="398" spans="1:11" x14ac:dyDescent="0.25">
      <c r="A398" s="10">
        <f t="shared" si="86"/>
        <v>41620</v>
      </c>
      <c r="F398" s="19">
        <f t="shared" si="83"/>
        <v>0</v>
      </c>
      <c r="G398" s="19">
        <f t="shared" si="84"/>
        <v>0</v>
      </c>
      <c r="H398" s="24" t="e">
        <f t="shared" si="85"/>
        <v>#DIV/0!</v>
      </c>
    </row>
    <row r="399" spans="1:11" x14ac:dyDescent="0.25">
      <c r="A399" s="10">
        <f t="shared" si="86"/>
        <v>41627</v>
      </c>
      <c r="F399" s="19">
        <f t="shared" si="83"/>
        <v>0</v>
      </c>
      <c r="G399" s="19">
        <f t="shared" si="84"/>
        <v>0</v>
      </c>
      <c r="H399" s="24" t="e">
        <f t="shared" si="85"/>
        <v>#DIV/0!</v>
      </c>
    </row>
    <row r="400" spans="1:11" x14ac:dyDescent="0.25">
      <c r="A400" s="10">
        <f t="shared" si="86"/>
        <v>41634</v>
      </c>
      <c r="F400" s="19">
        <f t="shared" si="83"/>
        <v>0</v>
      </c>
      <c r="G400" s="19">
        <f t="shared" si="84"/>
        <v>0</v>
      </c>
      <c r="H400" s="24" t="e">
        <f t="shared" si="85"/>
        <v>#DIV/0!</v>
      </c>
    </row>
    <row r="401" spans="1:8" x14ac:dyDescent="0.25">
      <c r="A401" s="10">
        <f t="shared" si="86"/>
        <v>41641</v>
      </c>
      <c r="F401" s="19">
        <f t="shared" si="83"/>
        <v>0</v>
      </c>
      <c r="G401" s="19">
        <f t="shared" si="84"/>
        <v>0</v>
      </c>
      <c r="H401" s="24" t="e">
        <f t="shared" si="85"/>
        <v>#DIV/0!</v>
      </c>
    </row>
    <row r="402" spans="1:8" x14ac:dyDescent="0.25">
      <c r="A402" s="10">
        <f t="shared" si="86"/>
        <v>41648</v>
      </c>
      <c r="F402" s="19">
        <f t="shared" si="83"/>
        <v>0</v>
      </c>
      <c r="G402" s="19">
        <f t="shared" si="84"/>
        <v>0</v>
      </c>
      <c r="H402" s="24" t="e">
        <f t="shared" si="85"/>
        <v>#DIV/0!</v>
      </c>
    </row>
    <row r="403" spans="1:8" x14ac:dyDescent="0.25">
      <c r="A403" s="10">
        <f t="shared" si="86"/>
        <v>41655</v>
      </c>
      <c r="F403" s="19">
        <f t="shared" ref="F403:F466" si="87">+B403+D403</f>
        <v>0</v>
      </c>
      <c r="G403" s="19">
        <f t="shared" ref="G403:G466" si="88">+C403+E403</f>
        <v>0</v>
      </c>
      <c r="H403" s="24" t="e">
        <f t="shared" ref="H403:H466" si="89">+(F403/G403-1)*100</f>
        <v>#DIV/0!</v>
      </c>
    </row>
    <row r="404" spans="1:8" x14ac:dyDescent="0.25">
      <c r="A404" s="10">
        <f t="shared" si="86"/>
        <v>41662</v>
      </c>
      <c r="F404" s="19">
        <f t="shared" si="87"/>
        <v>0</v>
      </c>
      <c r="G404" s="19">
        <f t="shared" si="88"/>
        <v>0</v>
      </c>
      <c r="H404" s="24" t="e">
        <f t="shared" si="89"/>
        <v>#DIV/0!</v>
      </c>
    </row>
    <row r="405" spans="1:8" x14ac:dyDescent="0.25">
      <c r="A405" s="10">
        <f t="shared" si="86"/>
        <v>41669</v>
      </c>
      <c r="F405" s="19">
        <f t="shared" si="87"/>
        <v>0</v>
      </c>
      <c r="G405" s="19">
        <f t="shared" si="88"/>
        <v>0</v>
      </c>
      <c r="H405" s="24" t="e">
        <f t="shared" si="89"/>
        <v>#DIV/0!</v>
      </c>
    </row>
    <row r="406" spans="1:8" x14ac:dyDescent="0.25">
      <c r="A406" s="10">
        <f t="shared" si="86"/>
        <v>41676</v>
      </c>
      <c r="F406" s="19">
        <f t="shared" si="87"/>
        <v>0</v>
      </c>
      <c r="G406" s="19">
        <f t="shared" si="88"/>
        <v>0</v>
      </c>
      <c r="H406" s="24" t="e">
        <f t="shared" si="89"/>
        <v>#DIV/0!</v>
      </c>
    </row>
    <row r="407" spans="1:8" x14ac:dyDescent="0.25">
      <c r="A407" s="10">
        <f t="shared" si="86"/>
        <v>41683</v>
      </c>
      <c r="F407" s="19">
        <f t="shared" si="87"/>
        <v>0</v>
      </c>
      <c r="G407" s="19">
        <f t="shared" si="88"/>
        <v>0</v>
      </c>
      <c r="H407" s="24" t="e">
        <f t="shared" si="89"/>
        <v>#DIV/0!</v>
      </c>
    </row>
    <row r="408" spans="1:8" x14ac:dyDescent="0.25">
      <c r="A408" s="10">
        <f t="shared" si="86"/>
        <v>41690</v>
      </c>
      <c r="F408" s="19">
        <f t="shared" si="87"/>
        <v>0</v>
      </c>
      <c r="G408" s="19">
        <f t="shared" si="88"/>
        <v>0</v>
      </c>
      <c r="H408" s="24" t="e">
        <f t="shared" si="89"/>
        <v>#DIV/0!</v>
      </c>
    </row>
    <row r="409" spans="1:8" x14ac:dyDescent="0.25">
      <c r="A409" s="10">
        <f t="shared" si="86"/>
        <v>41697</v>
      </c>
      <c r="F409" s="19">
        <f t="shared" si="87"/>
        <v>0</v>
      </c>
      <c r="G409" s="19">
        <f t="shared" si="88"/>
        <v>0</v>
      </c>
      <c r="H409" s="24" t="e">
        <f t="shared" si="89"/>
        <v>#DIV/0!</v>
      </c>
    </row>
    <row r="410" spans="1:8" x14ac:dyDescent="0.25">
      <c r="A410" s="10">
        <f t="shared" si="86"/>
        <v>41704</v>
      </c>
      <c r="F410" s="19">
        <f t="shared" si="87"/>
        <v>0</v>
      </c>
      <c r="G410" s="19">
        <f t="shared" si="88"/>
        <v>0</v>
      </c>
      <c r="H410" s="24" t="e">
        <f t="shared" si="89"/>
        <v>#DIV/0!</v>
      </c>
    </row>
    <row r="411" spans="1:8" x14ac:dyDescent="0.25">
      <c r="A411" s="10">
        <f t="shared" si="86"/>
        <v>41711</v>
      </c>
      <c r="F411" s="19">
        <f t="shared" si="87"/>
        <v>0</v>
      </c>
      <c r="G411" s="19">
        <f t="shared" si="88"/>
        <v>0</v>
      </c>
      <c r="H411" s="24" t="e">
        <f t="shared" si="89"/>
        <v>#DIV/0!</v>
      </c>
    </row>
    <row r="412" spans="1:8" x14ac:dyDescent="0.25">
      <c r="A412" s="10">
        <f t="shared" si="86"/>
        <v>41718</v>
      </c>
      <c r="F412" s="19">
        <f t="shared" si="87"/>
        <v>0</v>
      </c>
      <c r="G412" s="19">
        <f t="shared" si="88"/>
        <v>0</v>
      </c>
      <c r="H412" s="24" t="e">
        <f t="shared" si="89"/>
        <v>#DIV/0!</v>
      </c>
    </row>
    <row r="413" spans="1:8" x14ac:dyDescent="0.25">
      <c r="A413" s="10">
        <f t="shared" si="86"/>
        <v>41725</v>
      </c>
      <c r="F413" s="19">
        <f t="shared" si="87"/>
        <v>0</v>
      </c>
      <c r="G413" s="19">
        <f t="shared" si="88"/>
        <v>0</v>
      </c>
      <c r="H413" s="24" t="e">
        <f t="shared" si="89"/>
        <v>#DIV/0!</v>
      </c>
    </row>
    <row r="414" spans="1:8" x14ac:dyDescent="0.25">
      <c r="A414" s="10">
        <f t="shared" si="86"/>
        <v>41732</v>
      </c>
      <c r="F414" s="19">
        <f t="shared" si="87"/>
        <v>0</v>
      </c>
      <c r="G414" s="19">
        <f t="shared" si="88"/>
        <v>0</v>
      </c>
      <c r="H414" s="24" t="e">
        <f t="shared" si="89"/>
        <v>#DIV/0!</v>
      </c>
    </row>
    <row r="415" spans="1:8" x14ac:dyDescent="0.25">
      <c r="A415" s="10">
        <f t="shared" si="86"/>
        <v>41739</v>
      </c>
      <c r="F415" s="19">
        <f t="shared" si="87"/>
        <v>0</v>
      </c>
      <c r="G415" s="19">
        <f t="shared" si="88"/>
        <v>0</v>
      </c>
      <c r="H415" s="24" t="e">
        <f t="shared" si="89"/>
        <v>#DIV/0!</v>
      </c>
    </row>
    <row r="416" spans="1:8" x14ac:dyDescent="0.25">
      <c r="A416" s="10">
        <f t="shared" si="86"/>
        <v>41746</v>
      </c>
      <c r="F416" s="19">
        <f t="shared" si="87"/>
        <v>0</v>
      </c>
      <c r="G416" s="19">
        <f t="shared" si="88"/>
        <v>0</v>
      </c>
      <c r="H416" s="24" t="e">
        <f t="shared" si="89"/>
        <v>#DIV/0!</v>
      </c>
    </row>
    <row r="417" spans="1:8" x14ac:dyDescent="0.25">
      <c r="A417" s="10">
        <f t="shared" si="86"/>
        <v>41753</v>
      </c>
      <c r="F417" s="19">
        <f t="shared" si="87"/>
        <v>0</v>
      </c>
      <c r="G417" s="19">
        <f t="shared" si="88"/>
        <v>0</v>
      </c>
      <c r="H417" s="24" t="e">
        <f t="shared" si="89"/>
        <v>#DIV/0!</v>
      </c>
    </row>
    <row r="418" spans="1:8" x14ac:dyDescent="0.25">
      <c r="A418" s="10">
        <f t="shared" si="86"/>
        <v>41760</v>
      </c>
      <c r="F418" s="19">
        <f t="shared" si="87"/>
        <v>0</v>
      </c>
      <c r="G418" s="19">
        <f t="shared" si="88"/>
        <v>0</v>
      </c>
      <c r="H418" s="24" t="e">
        <f t="shared" si="89"/>
        <v>#DIV/0!</v>
      </c>
    </row>
    <row r="419" spans="1:8" x14ac:dyDescent="0.25">
      <c r="A419" s="10">
        <f t="shared" si="86"/>
        <v>41767</v>
      </c>
      <c r="F419" s="19">
        <f t="shared" si="87"/>
        <v>0</v>
      </c>
      <c r="G419" s="19">
        <f t="shared" si="88"/>
        <v>0</v>
      </c>
      <c r="H419" s="24" t="e">
        <f t="shared" si="89"/>
        <v>#DIV/0!</v>
      </c>
    </row>
    <row r="420" spans="1:8" x14ac:dyDescent="0.25">
      <c r="A420" s="10">
        <f t="shared" si="86"/>
        <v>41774</v>
      </c>
      <c r="F420" s="19">
        <f t="shared" si="87"/>
        <v>0</v>
      </c>
      <c r="G420" s="19">
        <f t="shared" si="88"/>
        <v>0</v>
      </c>
      <c r="H420" s="24" t="e">
        <f t="shared" si="89"/>
        <v>#DIV/0!</v>
      </c>
    </row>
    <row r="421" spans="1:8" x14ac:dyDescent="0.25">
      <c r="A421" s="10">
        <f t="shared" si="86"/>
        <v>41781</v>
      </c>
      <c r="F421" s="19">
        <f t="shared" si="87"/>
        <v>0</v>
      </c>
      <c r="G421" s="19">
        <f t="shared" si="88"/>
        <v>0</v>
      </c>
      <c r="H421" s="24" t="e">
        <f t="shared" si="89"/>
        <v>#DIV/0!</v>
      </c>
    </row>
    <row r="422" spans="1:8" x14ac:dyDescent="0.25">
      <c r="A422" s="10">
        <f t="shared" si="86"/>
        <v>41788</v>
      </c>
      <c r="F422" s="19">
        <f t="shared" si="87"/>
        <v>0</v>
      </c>
      <c r="G422" s="19">
        <f t="shared" si="88"/>
        <v>0</v>
      </c>
      <c r="H422" s="24" t="e">
        <f t="shared" si="89"/>
        <v>#DIV/0!</v>
      </c>
    </row>
    <row r="423" spans="1:8" x14ac:dyDescent="0.25">
      <c r="A423" s="10">
        <f t="shared" si="86"/>
        <v>41795</v>
      </c>
      <c r="F423" s="19">
        <f t="shared" si="87"/>
        <v>0</v>
      </c>
      <c r="G423" s="19">
        <f t="shared" si="88"/>
        <v>0</v>
      </c>
      <c r="H423" s="24" t="e">
        <f t="shared" si="89"/>
        <v>#DIV/0!</v>
      </c>
    </row>
    <row r="424" spans="1:8" x14ac:dyDescent="0.25">
      <c r="A424" s="10">
        <f t="shared" si="86"/>
        <v>41802</v>
      </c>
      <c r="F424" s="19">
        <f t="shared" si="87"/>
        <v>0</v>
      </c>
      <c r="G424" s="19">
        <f t="shared" si="88"/>
        <v>0</v>
      </c>
      <c r="H424" s="24" t="e">
        <f t="shared" si="89"/>
        <v>#DIV/0!</v>
      </c>
    </row>
    <row r="425" spans="1:8" x14ac:dyDescent="0.25">
      <c r="A425" s="10">
        <f t="shared" si="86"/>
        <v>41809</v>
      </c>
      <c r="F425" s="19">
        <f t="shared" si="87"/>
        <v>0</v>
      </c>
      <c r="G425" s="19">
        <f t="shared" si="88"/>
        <v>0</v>
      </c>
      <c r="H425" s="24" t="e">
        <f t="shared" si="89"/>
        <v>#DIV/0!</v>
      </c>
    </row>
    <row r="426" spans="1:8" x14ac:dyDescent="0.25">
      <c r="A426" s="10">
        <f t="shared" si="86"/>
        <v>41816</v>
      </c>
      <c r="F426" s="19">
        <f t="shared" si="87"/>
        <v>0</v>
      </c>
      <c r="G426" s="19">
        <f t="shared" si="88"/>
        <v>0</v>
      </c>
      <c r="H426" s="24" t="e">
        <f t="shared" si="89"/>
        <v>#DIV/0!</v>
      </c>
    </row>
    <row r="427" spans="1:8" x14ac:dyDescent="0.25">
      <c r="A427" s="10">
        <f t="shared" si="86"/>
        <v>41823</v>
      </c>
      <c r="F427" s="19">
        <f t="shared" si="87"/>
        <v>0</v>
      </c>
      <c r="G427" s="19">
        <f t="shared" si="88"/>
        <v>0</v>
      </c>
      <c r="H427" s="24" t="e">
        <f t="shared" si="89"/>
        <v>#DIV/0!</v>
      </c>
    </row>
    <row r="428" spans="1:8" x14ac:dyDescent="0.25">
      <c r="A428" s="10">
        <f t="shared" si="86"/>
        <v>41830</v>
      </c>
      <c r="F428" s="19">
        <f t="shared" si="87"/>
        <v>0</v>
      </c>
      <c r="G428" s="19">
        <f t="shared" si="88"/>
        <v>0</v>
      </c>
      <c r="H428" s="24" t="e">
        <f t="shared" si="89"/>
        <v>#DIV/0!</v>
      </c>
    </row>
    <row r="429" spans="1:8" x14ac:dyDescent="0.25">
      <c r="A429" s="10">
        <f t="shared" si="86"/>
        <v>41837</v>
      </c>
      <c r="F429" s="19">
        <f t="shared" si="87"/>
        <v>0</v>
      </c>
      <c r="G429" s="19">
        <f t="shared" si="88"/>
        <v>0</v>
      </c>
      <c r="H429" s="24" t="e">
        <f t="shared" si="89"/>
        <v>#DIV/0!</v>
      </c>
    </row>
    <row r="430" spans="1:8" x14ac:dyDescent="0.25">
      <c r="A430" s="10">
        <f t="shared" si="86"/>
        <v>41844</v>
      </c>
      <c r="F430" s="19">
        <f t="shared" si="87"/>
        <v>0</v>
      </c>
      <c r="G430" s="19">
        <f t="shared" si="88"/>
        <v>0</v>
      </c>
      <c r="H430" s="24" t="e">
        <f t="shared" si="89"/>
        <v>#DIV/0!</v>
      </c>
    </row>
    <row r="431" spans="1:8" x14ac:dyDescent="0.25">
      <c r="A431" s="10">
        <f t="shared" si="86"/>
        <v>41851</v>
      </c>
      <c r="F431" s="19">
        <f t="shared" si="87"/>
        <v>0</v>
      </c>
      <c r="G431" s="19">
        <f t="shared" si="88"/>
        <v>0</v>
      </c>
      <c r="H431" s="24" t="e">
        <f t="shared" si="89"/>
        <v>#DIV/0!</v>
      </c>
    </row>
    <row r="432" spans="1:8" x14ac:dyDescent="0.25">
      <c r="A432" s="10">
        <f t="shared" si="86"/>
        <v>41858</v>
      </c>
      <c r="F432" s="19">
        <f t="shared" si="87"/>
        <v>0</v>
      </c>
      <c r="G432" s="19">
        <f t="shared" si="88"/>
        <v>0</v>
      </c>
      <c r="H432" s="24" t="e">
        <f t="shared" si="89"/>
        <v>#DIV/0!</v>
      </c>
    </row>
    <row r="433" spans="1:8" x14ac:dyDescent="0.25">
      <c r="A433" s="10">
        <f t="shared" si="86"/>
        <v>41865</v>
      </c>
      <c r="F433" s="19">
        <f t="shared" si="87"/>
        <v>0</v>
      </c>
      <c r="G433" s="19">
        <f t="shared" si="88"/>
        <v>0</v>
      </c>
      <c r="H433" s="24" t="e">
        <f t="shared" si="89"/>
        <v>#DIV/0!</v>
      </c>
    </row>
    <row r="434" spans="1:8" x14ac:dyDescent="0.25">
      <c r="A434" s="10">
        <f t="shared" si="86"/>
        <v>41872</v>
      </c>
      <c r="F434" s="19">
        <f t="shared" si="87"/>
        <v>0</v>
      </c>
      <c r="G434" s="19">
        <f t="shared" si="88"/>
        <v>0</v>
      </c>
      <c r="H434" s="24" t="e">
        <f t="shared" si="89"/>
        <v>#DIV/0!</v>
      </c>
    </row>
    <row r="435" spans="1:8" x14ac:dyDescent="0.25">
      <c r="A435" s="10">
        <f t="shared" si="86"/>
        <v>41879</v>
      </c>
      <c r="F435" s="19">
        <f t="shared" si="87"/>
        <v>0</v>
      </c>
      <c r="G435" s="19">
        <f t="shared" si="88"/>
        <v>0</v>
      </c>
      <c r="H435" s="24" t="e">
        <f t="shared" si="89"/>
        <v>#DIV/0!</v>
      </c>
    </row>
    <row r="436" spans="1:8" x14ac:dyDescent="0.25">
      <c r="A436" s="10">
        <f t="shared" si="86"/>
        <v>41886</v>
      </c>
      <c r="F436" s="19">
        <f t="shared" si="87"/>
        <v>0</v>
      </c>
      <c r="G436" s="19">
        <f t="shared" si="88"/>
        <v>0</v>
      </c>
      <c r="H436" s="24" t="e">
        <f t="shared" si="89"/>
        <v>#DIV/0!</v>
      </c>
    </row>
    <row r="437" spans="1:8" x14ac:dyDescent="0.25">
      <c r="A437" s="10">
        <f t="shared" si="86"/>
        <v>41893</v>
      </c>
      <c r="F437" s="19">
        <f t="shared" si="87"/>
        <v>0</v>
      </c>
      <c r="G437" s="19">
        <f t="shared" si="88"/>
        <v>0</v>
      </c>
      <c r="H437" s="24" t="e">
        <f t="shared" si="89"/>
        <v>#DIV/0!</v>
      </c>
    </row>
    <row r="438" spans="1:8" x14ac:dyDescent="0.25">
      <c r="A438" s="10">
        <f t="shared" si="86"/>
        <v>41900</v>
      </c>
      <c r="F438" s="19">
        <f t="shared" si="87"/>
        <v>0</v>
      </c>
      <c r="G438" s="19">
        <f t="shared" si="88"/>
        <v>0</v>
      </c>
      <c r="H438" s="24" t="e">
        <f t="shared" si="89"/>
        <v>#DIV/0!</v>
      </c>
    </row>
    <row r="439" spans="1:8" x14ac:dyDescent="0.25">
      <c r="A439" s="10">
        <f t="shared" si="86"/>
        <v>41907</v>
      </c>
      <c r="F439" s="19">
        <f t="shared" si="87"/>
        <v>0</v>
      </c>
      <c r="G439" s="19">
        <f t="shared" si="88"/>
        <v>0</v>
      </c>
      <c r="H439" s="24" t="e">
        <f t="shared" si="89"/>
        <v>#DIV/0!</v>
      </c>
    </row>
    <row r="440" spans="1:8" x14ac:dyDescent="0.25">
      <c r="A440" s="10">
        <f t="shared" si="86"/>
        <v>41914</v>
      </c>
      <c r="F440" s="19">
        <f t="shared" si="87"/>
        <v>0</v>
      </c>
      <c r="G440" s="19">
        <f t="shared" si="88"/>
        <v>0</v>
      </c>
      <c r="H440" s="24" t="e">
        <f t="shared" si="89"/>
        <v>#DIV/0!</v>
      </c>
    </row>
    <row r="441" spans="1:8" x14ac:dyDescent="0.25">
      <c r="A441" s="10">
        <f t="shared" si="86"/>
        <v>41921</v>
      </c>
      <c r="F441" s="19">
        <f t="shared" si="87"/>
        <v>0</v>
      </c>
      <c r="G441" s="19">
        <f t="shared" si="88"/>
        <v>0</v>
      </c>
      <c r="H441" s="24" t="e">
        <f t="shared" si="89"/>
        <v>#DIV/0!</v>
      </c>
    </row>
    <row r="442" spans="1:8" x14ac:dyDescent="0.25">
      <c r="A442" s="10">
        <f t="shared" si="86"/>
        <v>41928</v>
      </c>
      <c r="F442" s="19">
        <f t="shared" si="87"/>
        <v>0</v>
      </c>
      <c r="G442" s="19">
        <f t="shared" si="88"/>
        <v>0</v>
      </c>
      <c r="H442" s="24" t="e">
        <f t="shared" si="89"/>
        <v>#DIV/0!</v>
      </c>
    </row>
    <row r="443" spans="1:8" x14ac:dyDescent="0.25">
      <c r="A443" s="10">
        <f t="shared" si="86"/>
        <v>41935</v>
      </c>
      <c r="F443" s="19">
        <f t="shared" si="87"/>
        <v>0</v>
      </c>
      <c r="G443" s="19">
        <f t="shared" si="88"/>
        <v>0</v>
      </c>
      <c r="H443" s="24" t="e">
        <f t="shared" si="89"/>
        <v>#DIV/0!</v>
      </c>
    </row>
    <row r="444" spans="1:8" x14ac:dyDescent="0.25">
      <c r="A444" s="10">
        <f t="shared" si="86"/>
        <v>41942</v>
      </c>
      <c r="F444" s="19">
        <f t="shared" si="87"/>
        <v>0</v>
      </c>
      <c r="G444" s="19">
        <f t="shared" si="88"/>
        <v>0</v>
      </c>
      <c r="H444" s="24" t="e">
        <f t="shared" si="89"/>
        <v>#DIV/0!</v>
      </c>
    </row>
    <row r="445" spans="1:8" x14ac:dyDescent="0.25">
      <c r="A445" s="10">
        <f t="shared" si="86"/>
        <v>41949</v>
      </c>
      <c r="F445" s="19">
        <f t="shared" si="87"/>
        <v>0</v>
      </c>
      <c r="G445" s="19">
        <f t="shared" si="88"/>
        <v>0</v>
      </c>
      <c r="H445" s="24" t="e">
        <f t="shared" si="89"/>
        <v>#DIV/0!</v>
      </c>
    </row>
    <row r="446" spans="1:8" x14ac:dyDescent="0.25">
      <c r="A446" s="10">
        <f t="shared" si="86"/>
        <v>41956</v>
      </c>
      <c r="F446" s="19">
        <f t="shared" si="87"/>
        <v>0</v>
      </c>
      <c r="G446" s="19">
        <f t="shared" si="88"/>
        <v>0</v>
      </c>
      <c r="H446" s="24" t="e">
        <f t="shared" si="89"/>
        <v>#DIV/0!</v>
      </c>
    </row>
    <row r="447" spans="1:8" x14ac:dyDescent="0.25">
      <c r="A447" s="10">
        <f t="shared" si="86"/>
        <v>41963</v>
      </c>
      <c r="F447" s="19">
        <f t="shared" si="87"/>
        <v>0</v>
      </c>
      <c r="G447" s="19">
        <f t="shared" si="88"/>
        <v>0</v>
      </c>
      <c r="H447" s="24" t="e">
        <f t="shared" si="89"/>
        <v>#DIV/0!</v>
      </c>
    </row>
    <row r="448" spans="1:8" x14ac:dyDescent="0.25">
      <c r="A448" s="10">
        <f t="shared" ref="A448:A478" si="90">+A447+7</f>
        <v>41970</v>
      </c>
      <c r="F448" s="19">
        <f t="shared" si="87"/>
        <v>0</v>
      </c>
      <c r="G448" s="19">
        <f t="shared" si="88"/>
        <v>0</v>
      </c>
      <c r="H448" s="24" t="e">
        <f t="shared" si="89"/>
        <v>#DIV/0!</v>
      </c>
    </row>
    <row r="449" spans="1:8" x14ac:dyDescent="0.25">
      <c r="A449" s="10">
        <f t="shared" si="90"/>
        <v>41977</v>
      </c>
      <c r="F449" s="19">
        <f t="shared" si="87"/>
        <v>0</v>
      </c>
      <c r="G449" s="19">
        <f t="shared" si="88"/>
        <v>0</v>
      </c>
      <c r="H449" s="24" t="e">
        <f t="shared" si="89"/>
        <v>#DIV/0!</v>
      </c>
    </row>
    <row r="450" spans="1:8" x14ac:dyDescent="0.25">
      <c r="A450" s="10">
        <f t="shared" si="90"/>
        <v>41984</v>
      </c>
      <c r="F450" s="19">
        <f t="shared" si="87"/>
        <v>0</v>
      </c>
      <c r="G450" s="19">
        <f t="shared" si="88"/>
        <v>0</v>
      </c>
      <c r="H450" s="24" t="e">
        <f t="shared" si="89"/>
        <v>#DIV/0!</v>
      </c>
    </row>
    <row r="451" spans="1:8" x14ac:dyDescent="0.25">
      <c r="A451" s="10">
        <f t="shared" si="90"/>
        <v>41991</v>
      </c>
      <c r="F451" s="19">
        <f t="shared" si="87"/>
        <v>0</v>
      </c>
      <c r="G451" s="19">
        <f t="shared" si="88"/>
        <v>0</v>
      </c>
      <c r="H451" s="24" t="e">
        <f t="shared" si="89"/>
        <v>#DIV/0!</v>
      </c>
    </row>
    <row r="452" spans="1:8" x14ac:dyDescent="0.25">
      <c r="A452" s="10">
        <f t="shared" si="90"/>
        <v>41998</v>
      </c>
      <c r="F452" s="19">
        <f t="shared" si="87"/>
        <v>0</v>
      </c>
      <c r="G452" s="19">
        <f t="shared" si="88"/>
        <v>0</v>
      </c>
      <c r="H452" s="24" t="e">
        <f t="shared" si="89"/>
        <v>#DIV/0!</v>
      </c>
    </row>
    <row r="453" spans="1:8" x14ac:dyDescent="0.25">
      <c r="A453" s="10">
        <f t="shared" si="90"/>
        <v>42005</v>
      </c>
      <c r="F453" s="19">
        <f t="shared" si="87"/>
        <v>0</v>
      </c>
      <c r="G453" s="19">
        <f t="shared" si="88"/>
        <v>0</v>
      </c>
      <c r="H453" s="24" t="e">
        <f t="shared" si="89"/>
        <v>#DIV/0!</v>
      </c>
    </row>
    <row r="454" spans="1:8" x14ac:dyDescent="0.25">
      <c r="A454" s="10">
        <f t="shared" si="90"/>
        <v>42012</v>
      </c>
      <c r="F454" s="19">
        <f t="shared" si="87"/>
        <v>0</v>
      </c>
      <c r="G454" s="19">
        <f t="shared" si="88"/>
        <v>0</v>
      </c>
      <c r="H454" s="24" t="e">
        <f t="shared" si="89"/>
        <v>#DIV/0!</v>
      </c>
    </row>
    <row r="455" spans="1:8" x14ac:dyDescent="0.25">
      <c r="A455" s="10">
        <f t="shared" si="90"/>
        <v>42019</v>
      </c>
      <c r="F455" s="19">
        <f t="shared" si="87"/>
        <v>0</v>
      </c>
      <c r="G455" s="19">
        <f t="shared" si="88"/>
        <v>0</v>
      </c>
      <c r="H455" s="24" t="e">
        <f t="shared" si="89"/>
        <v>#DIV/0!</v>
      </c>
    </row>
    <row r="456" spans="1:8" x14ac:dyDescent="0.25">
      <c r="A456" s="10">
        <f t="shared" si="90"/>
        <v>42026</v>
      </c>
      <c r="F456" s="19">
        <f t="shared" si="87"/>
        <v>0</v>
      </c>
      <c r="G456" s="19">
        <f t="shared" si="88"/>
        <v>0</v>
      </c>
      <c r="H456" s="24" t="e">
        <f t="shared" si="89"/>
        <v>#DIV/0!</v>
      </c>
    </row>
    <row r="457" spans="1:8" x14ac:dyDescent="0.25">
      <c r="A457" s="10">
        <f t="shared" si="90"/>
        <v>42033</v>
      </c>
      <c r="F457" s="19">
        <f t="shared" si="87"/>
        <v>0</v>
      </c>
      <c r="G457" s="19">
        <f t="shared" si="88"/>
        <v>0</v>
      </c>
      <c r="H457" s="24" t="e">
        <f t="shared" si="89"/>
        <v>#DIV/0!</v>
      </c>
    </row>
    <row r="458" spans="1:8" x14ac:dyDescent="0.25">
      <c r="A458" s="10">
        <f t="shared" si="90"/>
        <v>42040</v>
      </c>
      <c r="F458" s="19">
        <f t="shared" si="87"/>
        <v>0</v>
      </c>
      <c r="G458" s="19">
        <f t="shared" si="88"/>
        <v>0</v>
      </c>
      <c r="H458" s="24" t="e">
        <f t="shared" si="89"/>
        <v>#DIV/0!</v>
      </c>
    </row>
    <row r="459" spans="1:8" x14ac:dyDescent="0.25">
      <c r="A459" s="10">
        <f t="shared" si="90"/>
        <v>42047</v>
      </c>
      <c r="F459" s="19">
        <f t="shared" si="87"/>
        <v>0</v>
      </c>
      <c r="G459" s="19">
        <f t="shared" si="88"/>
        <v>0</v>
      </c>
      <c r="H459" s="24" t="e">
        <f t="shared" si="89"/>
        <v>#DIV/0!</v>
      </c>
    </row>
    <row r="460" spans="1:8" x14ac:dyDescent="0.25">
      <c r="A460" s="10">
        <f t="shared" si="90"/>
        <v>42054</v>
      </c>
      <c r="F460" s="19">
        <f t="shared" si="87"/>
        <v>0</v>
      </c>
      <c r="G460" s="19">
        <f t="shared" si="88"/>
        <v>0</v>
      </c>
      <c r="H460" s="24" t="e">
        <f t="shared" si="89"/>
        <v>#DIV/0!</v>
      </c>
    </row>
    <row r="461" spans="1:8" x14ac:dyDescent="0.25">
      <c r="A461" s="10">
        <f t="shared" si="90"/>
        <v>42061</v>
      </c>
      <c r="F461" s="19">
        <f t="shared" si="87"/>
        <v>0</v>
      </c>
      <c r="G461" s="19">
        <f t="shared" si="88"/>
        <v>0</v>
      </c>
      <c r="H461" s="24" t="e">
        <f t="shared" si="89"/>
        <v>#DIV/0!</v>
      </c>
    </row>
    <row r="462" spans="1:8" x14ac:dyDescent="0.25">
      <c r="A462" s="10">
        <f t="shared" si="90"/>
        <v>42068</v>
      </c>
      <c r="F462" s="19">
        <f t="shared" si="87"/>
        <v>0</v>
      </c>
      <c r="G462" s="19">
        <f t="shared" si="88"/>
        <v>0</v>
      </c>
      <c r="H462" s="24" t="e">
        <f t="shared" si="89"/>
        <v>#DIV/0!</v>
      </c>
    </row>
    <row r="463" spans="1:8" x14ac:dyDescent="0.25">
      <c r="A463" s="10">
        <f t="shared" si="90"/>
        <v>42075</v>
      </c>
      <c r="F463" s="19">
        <f t="shared" si="87"/>
        <v>0</v>
      </c>
      <c r="G463" s="19">
        <f t="shared" si="88"/>
        <v>0</v>
      </c>
      <c r="H463" s="24" t="e">
        <f t="shared" si="89"/>
        <v>#DIV/0!</v>
      </c>
    </row>
    <row r="464" spans="1:8" x14ac:dyDescent="0.25">
      <c r="A464" s="10">
        <f t="shared" si="90"/>
        <v>42082</v>
      </c>
      <c r="F464" s="19">
        <f t="shared" si="87"/>
        <v>0</v>
      </c>
      <c r="G464" s="19">
        <f t="shared" si="88"/>
        <v>0</v>
      </c>
      <c r="H464" s="24" t="e">
        <f t="shared" si="89"/>
        <v>#DIV/0!</v>
      </c>
    </row>
    <row r="465" spans="1:8" x14ac:dyDescent="0.25">
      <c r="A465" s="10">
        <f t="shared" si="90"/>
        <v>42089</v>
      </c>
      <c r="F465" s="19">
        <f t="shared" si="87"/>
        <v>0</v>
      </c>
      <c r="G465" s="19">
        <f t="shared" si="88"/>
        <v>0</v>
      </c>
      <c r="H465" s="24" t="e">
        <f t="shared" si="89"/>
        <v>#DIV/0!</v>
      </c>
    </row>
    <row r="466" spans="1:8" x14ac:dyDescent="0.25">
      <c r="A466" s="10">
        <f t="shared" si="90"/>
        <v>42096</v>
      </c>
      <c r="F466" s="19">
        <f t="shared" si="87"/>
        <v>0</v>
      </c>
      <c r="G466" s="19">
        <f t="shared" si="88"/>
        <v>0</v>
      </c>
      <c r="H466" s="24" t="e">
        <f t="shared" si="89"/>
        <v>#DIV/0!</v>
      </c>
    </row>
    <row r="467" spans="1:8" x14ac:dyDescent="0.25">
      <c r="A467" s="10">
        <f t="shared" si="90"/>
        <v>42103</v>
      </c>
      <c r="F467" s="19">
        <f t="shared" ref="F467:F478" si="91">+B467+D467</f>
        <v>0</v>
      </c>
      <c r="G467" s="19">
        <f t="shared" ref="G467:G478" si="92">+C467+E467</f>
        <v>0</v>
      </c>
      <c r="H467" s="24" t="e">
        <f t="shared" ref="H467:H478" si="93">+(F467/G467-1)*100</f>
        <v>#DIV/0!</v>
      </c>
    </row>
    <row r="468" spans="1:8" x14ac:dyDescent="0.25">
      <c r="A468" s="10">
        <f t="shared" si="90"/>
        <v>42110</v>
      </c>
      <c r="F468" s="19">
        <f t="shared" si="91"/>
        <v>0</v>
      </c>
      <c r="G468" s="19">
        <f t="shared" si="92"/>
        <v>0</v>
      </c>
      <c r="H468" s="24" t="e">
        <f t="shared" si="93"/>
        <v>#DIV/0!</v>
      </c>
    </row>
    <row r="469" spans="1:8" x14ac:dyDescent="0.25">
      <c r="A469" s="10">
        <f t="shared" si="90"/>
        <v>42117</v>
      </c>
      <c r="F469" s="19">
        <f t="shared" si="91"/>
        <v>0</v>
      </c>
      <c r="G469" s="19">
        <f t="shared" si="92"/>
        <v>0</v>
      </c>
      <c r="H469" s="24" t="e">
        <f t="shared" si="93"/>
        <v>#DIV/0!</v>
      </c>
    </row>
    <row r="470" spans="1:8" x14ac:dyDescent="0.25">
      <c r="A470" s="10">
        <f t="shared" si="90"/>
        <v>42124</v>
      </c>
      <c r="F470" s="19">
        <f t="shared" si="91"/>
        <v>0</v>
      </c>
      <c r="G470" s="19">
        <f t="shared" si="92"/>
        <v>0</v>
      </c>
      <c r="H470" s="24" t="e">
        <f t="shared" si="93"/>
        <v>#DIV/0!</v>
      </c>
    </row>
    <row r="471" spans="1:8" x14ac:dyDescent="0.25">
      <c r="A471" s="10">
        <f t="shared" si="90"/>
        <v>42131</v>
      </c>
      <c r="F471" s="19">
        <f t="shared" si="91"/>
        <v>0</v>
      </c>
      <c r="G471" s="19">
        <f t="shared" si="92"/>
        <v>0</v>
      </c>
      <c r="H471" s="24" t="e">
        <f t="shared" si="93"/>
        <v>#DIV/0!</v>
      </c>
    </row>
    <row r="472" spans="1:8" x14ac:dyDescent="0.25">
      <c r="A472" s="10">
        <f t="shared" si="90"/>
        <v>42138</v>
      </c>
      <c r="F472" s="19">
        <f t="shared" si="91"/>
        <v>0</v>
      </c>
      <c r="G472" s="19">
        <f t="shared" si="92"/>
        <v>0</v>
      </c>
      <c r="H472" s="24" t="e">
        <f t="shared" si="93"/>
        <v>#DIV/0!</v>
      </c>
    </row>
    <row r="473" spans="1:8" x14ac:dyDescent="0.25">
      <c r="A473" s="10">
        <f t="shared" si="90"/>
        <v>42145</v>
      </c>
      <c r="F473" s="19">
        <f t="shared" si="91"/>
        <v>0</v>
      </c>
      <c r="G473" s="19">
        <f t="shared" si="92"/>
        <v>0</v>
      </c>
      <c r="H473" s="24" t="e">
        <f t="shared" si="93"/>
        <v>#DIV/0!</v>
      </c>
    </row>
    <row r="474" spans="1:8" x14ac:dyDescent="0.25">
      <c r="A474" s="10">
        <f t="shared" si="90"/>
        <v>42152</v>
      </c>
      <c r="F474" s="19">
        <f t="shared" si="91"/>
        <v>0</v>
      </c>
      <c r="G474" s="19">
        <f t="shared" si="92"/>
        <v>0</v>
      </c>
      <c r="H474" s="24" t="e">
        <f t="shared" si="93"/>
        <v>#DIV/0!</v>
      </c>
    </row>
    <row r="475" spans="1:8" x14ac:dyDescent="0.25">
      <c r="A475" s="10">
        <f t="shared" si="90"/>
        <v>42159</v>
      </c>
      <c r="F475" s="19">
        <f t="shared" si="91"/>
        <v>0</v>
      </c>
      <c r="G475" s="19">
        <f t="shared" si="92"/>
        <v>0</v>
      </c>
      <c r="H475" s="24" t="e">
        <f t="shared" si="93"/>
        <v>#DIV/0!</v>
      </c>
    </row>
    <row r="476" spans="1:8" x14ac:dyDescent="0.25">
      <c r="A476" s="10">
        <f t="shared" si="90"/>
        <v>42166</v>
      </c>
      <c r="F476" s="19">
        <f t="shared" si="91"/>
        <v>0</v>
      </c>
      <c r="G476" s="19">
        <f t="shared" si="92"/>
        <v>0</v>
      </c>
      <c r="H476" s="24" t="e">
        <f t="shared" si="93"/>
        <v>#DIV/0!</v>
      </c>
    </row>
    <row r="477" spans="1:8" x14ac:dyDescent="0.25">
      <c r="A477" s="10">
        <f t="shared" si="90"/>
        <v>42173</v>
      </c>
      <c r="F477" s="19">
        <f t="shared" si="91"/>
        <v>0</v>
      </c>
      <c r="G477" s="19">
        <f t="shared" si="92"/>
        <v>0</v>
      </c>
      <c r="H477" s="24" t="e">
        <f t="shared" si="93"/>
        <v>#DIV/0!</v>
      </c>
    </row>
    <row r="478" spans="1:8" x14ac:dyDescent="0.25">
      <c r="A478" s="10">
        <f t="shared" si="90"/>
        <v>42180</v>
      </c>
      <c r="F478" s="19">
        <f t="shared" si="91"/>
        <v>0</v>
      </c>
      <c r="G478" s="19">
        <f t="shared" si="92"/>
        <v>0</v>
      </c>
      <c r="H478" s="24" t="e">
        <f t="shared" si="93"/>
        <v>#DIV/0!</v>
      </c>
    </row>
  </sheetData>
  <mergeCells count="2"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K442"/>
  <sheetViews>
    <sheetView topLeftCell="A377" workbookViewId="0">
      <selection activeCell="C406" sqref="C406:C409"/>
    </sheetView>
  </sheetViews>
  <sheetFormatPr defaultRowHeight="13.2" x14ac:dyDescent="0.25"/>
  <cols>
    <col min="1" max="1" width="12.88671875" customWidth="1"/>
    <col min="11" max="11" width="11.44140625" bestFit="1" customWidth="1"/>
  </cols>
  <sheetData>
    <row r="1" spans="1:9" x14ac:dyDescent="0.25">
      <c r="A1" s="43" t="s">
        <v>74</v>
      </c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10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</row>
    <row r="3" spans="1:9" x14ac:dyDescent="0.25">
      <c r="A3" s="10">
        <v>38855</v>
      </c>
      <c r="B3">
        <v>107.8</v>
      </c>
      <c r="C3">
        <v>159.6</v>
      </c>
      <c r="D3">
        <v>2500.9</v>
      </c>
      <c r="E3">
        <v>2657.7</v>
      </c>
      <c r="F3" s="11">
        <f>+B3+D3</f>
        <v>2608.7000000000003</v>
      </c>
      <c r="G3" s="12">
        <f>+C3+E3</f>
        <v>2817.2999999999997</v>
      </c>
      <c r="H3" s="15">
        <f>+(F3/G3-1)*100</f>
        <v>-7.4042522982997738</v>
      </c>
      <c r="I3">
        <v>359</v>
      </c>
    </row>
    <row r="4" spans="1:9" x14ac:dyDescent="0.25">
      <c r="A4" s="10">
        <f>+Japan!A4</f>
        <v>38862</v>
      </c>
      <c r="B4">
        <v>82</v>
      </c>
      <c r="C4">
        <v>141.19999999999999</v>
      </c>
      <c r="D4">
        <v>2536.8000000000002</v>
      </c>
      <c r="E4">
        <v>2676.4</v>
      </c>
      <c r="F4" s="11">
        <f>+B4+D4</f>
        <v>2618.8000000000002</v>
      </c>
      <c r="G4" s="12">
        <f>+C4+E4</f>
        <v>2817.6</v>
      </c>
      <c r="H4" s="15">
        <f>+(F4/G4-1)*100</f>
        <v>-7.0556501987506959</v>
      </c>
      <c r="I4">
        <v>392.4</v>
      </c>
    </row>
    <row r="5" spans="1:9" x14ac:dyDescent="0.25">
      <c r="A5" s="10">
        <f>+A4+7</f>
        <v>38869</v>
      </c>
      <c r="B5">
        <v>465.6</v>
      </c>
      <c r="C5">
        <v>354.8</v>
      </c>
      <c r="D5">
        <v>0.8</v>
      </c>
      <c r="E5">
        <v>6.9</v>
      </c>
      <c r="F5">
        <f t="shared" ref="F5:G7" si="0">+B5+D5</f>
        <v>466.40000000000003</v>
      </c>
      <c r="G5">
        <f t="shared" si="0"/>
        <v>361.7</v>
      </c>
      <c r="H5" s="14">
        <f>+(F5/G5-1)*100</f>
        <v>28.94664086259333</v>
      </c>
    </row>
    <row r="6" spans="1:9" x14ac:dyDescent="0.25">
      <c r="A6" s="10">
        <f t="shared" ref="A6:A252" si="1">+A5+7</f>
        <v>38876</v>
      </c>
      <c r="B6">
        <v>447</v>
      </c>
      <c r="C6">
        <v>347.7</v>
      </c>
      <c r="D6">
        <v>49.1</v>
      </c>
      <c r="E6">
        <v>34.9</v>
      </c>
      <c r="F6">
        <f t="shared" si="0"/>
        <v>496.1</v>
      </c>
      <c r="G6">
        <f t="shared" si="0"/>
        <v>382.59999999999997</v>
      </c>
      <c r="H6" s="14">
        <f t="shared" ref="H6:H38" si="2">(F6/G6-1)*100</f>
        <v>29.665446941975972</v>
      </c>
    </row>
    <row r="7" spans="1:9" x14ac:dyDescent="0.25">
      <c r="A7" s="10">
        <f t="shared" si="1"/>
        <v>38883</v>
      </c>
      <c r="B7">
        <v>419</v>
      </c>
      <c r="C7">
        <v>334.5</v>
      </c>
      <c r="D7">
        <v>90</v>
      </c>
      <c r="E7">
        <v>67.400000000000006</v>
      </c>
      <c r="F7">
        <f t="shared" si="0"/>
        <v>509</v>
      </c>
      <c r="G7">
        <f t="shared" si="0"/>
        <v>401.9</v>
      </c>
      <c r="H7" s="14">
        <f t="shared" si="2"/>
        <v>26.648420004976359</v>
      </c>
    </row>
    <row r="8" spans="1:9" x14ac:dyDescent="0.25">
      <c r="A8" s="10">
        <f t="shared" si="1"/>
        <v>38890</v>
      </c>
      <c r="B8">
        <v>519.70000000000005</v>
      </c>
      <c r="C8">
        <v>377.7</v>
      </c>
      <c r="D8">
        <v>126.1</v>
      </c>
      <c r="E8">
        <v>90.6</v>
      </c>
      <c r="F8">
        <f t="shared" ref="F8:G38" si="3">+B8+D8</f>
        <v>645.80000000000007</v>
      </c>
      <c r="G8">
        <f t="shared" si="3"/>
        <v>468.29999999999995</v>
      </c>
      <c r="H8" s="14">
        <f t="shared" si="2"/>
        <v>37.903053598120891</v>
      </c>
    </row>
    <row r="9" spans="1:9" x14ac:dyDescent="0.25">
      <c r="A9" s="10">
        <f t="shared" si="1"/>
        <v>38897</v>
      </c>
      <c r="B9">
        <v>508.7</v>
      </c>
      <c r="C9">
        <v>401.3</v>
      </c>
      <c r="D9">
        <v>154.9</v>
      </c>
      <c r="E9">
        <v>142.69999999999999</v>
      </c>
      <c r="F9" s="19">
        <f t="shared" si="3"/>
        <v>663.6</v>
      </c>
      <c r="G9" s="19">
        <f t="shared" si="3"/>
        <v>544</v>
      </c>
      <c r="H9" s="14">
        <f t="shared" si="2"/>
        <v>21.985294117647069</v>
      </c>
    </row>
    <row r="10" spans="1:9" x14ac:dyDescent="0.25">
      <c r="A10" s="10">
        <f t="shared" si="1"/>
        <v>38904</v>
      </c>
      <c r="B10">
        <v>515.79999999999995</v>
      </c>
      <c r="C10">
        <v>417.1</v>
      </c>
      <c r="D10">
        <v>180.9</v>
      </c>
      <c r="E10">
        <v>167.2</v>
      </c>
      <c r="F10" s="19">
        <f t="shared" si="3"/>
        <v>696.69999999999993</v>
      </c>
      <c r="G10" s="19">
        <f t="shared" si="3"/>
        <v>584.29999999999995</v>
      </c>
      <c r="H10" s="14">
        <f t="shared" si="2"/>
        <v>19.236693479377021</v>
      </c>
    </row>
    <row r="11" spans="1:9" x14ac:dyDescent="0.25">
      <c r="A11" s="10">
        <f t="shared" si="1"/>
        <v>38911</v>
      </c>
      <c r="B11">
        <v>489.4</v>
      </c>
      <c r="C11">
        <v>456.6</v>
      </c>
      <c r="D11">
        <v>233.6</v>
      </c>
      <c r="E11">
        <v>125.3</v>
      </c>
      <c r="F11" s="19">
        <f t="shared" si="3"/>
        <v>723</v>
      </c>
      <c r="G11" s="19">
        <f t="shared" si="3"/>
        <v>581.9</v>
      </c>
      <c r="H11" s="14">
        <f t="shared" si="2"/>
        <v>24.248152603540142</v>
      </c>
    </row>
    <row r="12" spans="1:9" x14ac:dyDescent="0.25">
      <c r="A12" s="10">
        <f t="shared" si="1"/>
        <v>38918</v>
      </c>
      <c r="B12">
        <v>549.6</v>
      </c>
      <c r="C12">
        <v>442.6</v>
      </c>
      <c r="D12">
        <v>247.9</v>
      </c>
      <c r="E12">
        <v>273</v>
      </c>
      <c r="F12" s="19">
        <f t="shared" si="3"/>
        <v>797.5</v>
      </c>
      <c r="G12" s="19">
        <f t="shared" si="3"/>
        <v>715.6</v>
      </c>
      <c r="H12" s="14">
        <f t="shared" si="2"/>
        <v>11.444941307993295</v>
      </c>
    </row>
    <row r="13" spans="1:9" x14ac:dyDescent="0.25">
      <c r="A13" s="10">
        <f t="shared" si="1"/>
        <v>38925</v>
      </c>
      <c r="B13">
        <v>415.5</v>
      </c>
      <c r="C13">
        <v>435.3</v>
      </c>
      <c r="D13">
        <v>321.60000000000002</v>
      </c>
      <c r="E13">
        <v>358.3</v>
      </c>
      <c r="F13" s="19">
        <f t="shared" si="3"/>
        <v>737.1</v>
      </c>
      <c r="G13" s="19">
        <f t="shared" si="3"/>
        <v>793.6</v>
      </c>
      <c r="H13" s="14">
        <f t="shared" si="2"/>
        <v>-7.1194556451612883</v>
      </c>
    </row>
    <row r="14" spans="1:9" x14ac:dyDescent="0.25">
      <c r="A14" s="10">
        <f t="shared" si="1"/>
        <v>38932</v>
      </c>
      <c r="B14">
        <v>378.4</v>
      </c>
      <c r="C14">
        <v>528.9</v>
      </c>
      <c r="D14">
        <v>373</v>
      </c>
      <c r="E14">
        <v>446.4</v>
      </c>
      <c r="F14" s="19">
        <f t="shared" si="3"/>
        <v>751.4</v>
      </c>
      <c r="G14" s="19">
        <f t="shared" si="3"/>
        <v>975.3</v>
      </c>
      <c r="H14" s="14">
        <f t="shared" si="2"/>
        <v>-22.957038859837997</v>
      </c>
    </row>
    <row r="15" spans="1:9" x14ac:dyDescent="0.25">
      <c r="A15" s="10">
        <f t="shared" si="1"/>
        <v>38939</v>
      </c>
      <c r="B15">
        <v>365.1</v>
      </c>
      <c r="C15">
        <v>543.5</v>
      </c>
      <c r="D15">
        <v>407</v>
      </c>
      <c r="E15">
        <v>529.5</v>
      </c>
      <c r="F15" s="19">
        <f t="shared" si="3"/>
        <v>772.1</v>
      </c>
      <c r="G15" s="19">
        <f t="shared" si="3"/>
        <v>1073</v>
      </c>
      <c r="H15" s="14">
        <f t="shared" si="2"/>
        <v>-28.042870456663561</v>
      </c>
    </row>
    <row r="16" spans="1:9" x14ac:dyDescent="0.25">
      <c r="A16" s="10">
        <f t="shared" si="1"/>
        <v>38946</v>
      </c>
      <c r="B16">
        <v>322</v>
      </c>
      <c r="C16">
        <v>515.6</v>
      </c>
      <c r="D16">
        <v>464.8</v>
      </c>
      <c r="E16">
        <v>594.6</v>
      </c>
      <c r="F16" s="19">
        <f t="shared" si="3"/>
        <v>786.8</v>
      </c>
      <c r="G16" s="19">
        <f t="shared" si="3"/>
        <v>1110.2</v>
      </c>
      <c r="H16" s="14">
        <f t="shared" si="2"/>
        <v>-29.129886506935698</v>
      </c>
    </row>
    <row r="17" spans="1:11" x14ac:dyDescent="0.25">
      <c r="A17" s="10">
        <f t="shared" si="1"/>
        <v>38953</v>
      </c>
      <c r="B17">
        <v>311.8</v>
      </c>
      <c r="C17">
        <v>496.2</v>
      </c>
      <c r="D17">
        <v>513.20000000000005</v>
      </c>
      <c r="E17">
        <v>673.3</v>
      </c>
      <c r="F17" s="19">
        <f t="shared" si="3"/>
        <v>825</v>
      </c>
      <c r="G17" s="19">
        <f t="shared" si="3"/>
        <v>1169.5</v>
      </c>
      <c r="H17" s="14">
        <f t="shared" si="2"/>
        <v>-29.457032920051308</v>
      </c>
      <c r="K17" s="12"/>
    </row>
    <row r="18" spans="1:11" x14ac:dyDescent="0.25">
      <c r="A18" s="10">
        <f t="shared" si="1"/>
        <v>38960</v>
      </c>
      <c r="B18">
        <v>334.9</v>
      </c>
      <c r="C18">
        <v>492.7</v>
      </c>
      <c r="D18">
        <v>572.20000000000005</v>
      </c>
      <c r="E18">
        <v>744.6</v>
      </c>
      <c r="F18" s="19">
        <f t="shared" si="3"/>
        <v>907.1</v>
      </c>
      <c r="G18" s="19">
        <f t="shared" si="3"/>
        <v>1237.3</v>
      </c>
      <c r="H18" s="14">
        <f t="shared" si="2"/>
        <v>-26.687141356178767</v>
      </c>
    </row>
    <row r="19" spans="1:11" x14ac:dyDescent="0.25">
      <c r="A19" s="10">
        <f t="shared" si="1"/>
        <v>38967</v>
      </c>
      <c r="B19">
        <v>345.4</v>
      </c>
      <c r="C19">
        <v>568.70000000000005</v>
      </c>
      <c r="D19">
        <v>585.6</v>
      </c>
      <c r="E19">
        <v>758.4</v>
      </c>
      <c r="F19" s="19">
        <f t="shared" si="3"/>
        <v>931</v>
      </c>
      <c r="G19" s="19">
        <f t="shared" si="3"/>
        <v>1327.1</v>
      </c>
      <c r="H19" s="14">
        <f t="shared" si="2"/>
        <v>-29.847034888101874</v>
      </c>
    </row>
    <row r="20" spans="1:11" x14ac:dyDescent="0.25">
      <c r="A20" s="10">
        <f t="shared" si="1"/>
        <v>38974</v>
      </c>
      <c r="B20">
        <v>343.1</v>
      </c>
      <c r="C20">
        <v>514.9</v>
      </c>
      <c r="D20">
        <v>659.6</v>
      </c>
      <c r="E20">
        <v>855.8</v>
      </c>
      <c r="F20" s="19">
        <f t="shared" si="3"/>
        <v>1002.7</v>
      </c>
      <c r="G20" s="19">
        <f t="shared" si="3"/>
        <v>1370.6999999999998</v>
      </c>
      <c r="H20" s="14">
        <f t="shared" si="2"/>
        <v>-26.84759611877142</v>
      </c>
    </row>
    <row r="21" spans="1:11" x14ac:dyDescent="0.25">
      <c r="A21" s="10">
        <f t="shared" si="1"/>
        <v>38981</v>
      </c>
      <c r="B21">
        <v>308.89999999999998</v>
      </c>
      <c r="C21">
        <v>469</v>
      </c>
      <c r="D21">
        <v>704.9</v>
      </c>
      <c r="E21">
        <v>926.1</v>
      </c>
      <c r="F21" s="19">
        <f t="shared" si="3"/>
        <v>1013.8</v>
      </c>
      <c r="G21" s="19">
        <f t="shared" si="3"/>
        <v>1395.1</v>
      </c>
      <c r="H21" s="14">
        <f t="shared" si="2"/>
        <v>-27.331374095046947</v>
      </c>
    </row>
    <row r="22" spans="1:11" x14ac:dyDescent="0.25">
      <c r="A22" s="10">
        <f t="shared" si="1"/>
        <v>38988</v>
      </c>
      <c r="B22">
        <v>361.9</v>
      </c>
      <c r="C22">
        <v>431.7</v>
      </c>
      <c r="D22">
        <v>753.2</v>
      </c>
      <c r="E22">
        <v>996.9</v>
      </c>
      <c r="F22" s="19">
        <f t="shared" si="3"/>
        <v>1115.0999999999999</v>
      </c>
      <c r="G22" s="19">
        <f t="shared" si="3"/>
        <v>1428.6</v>
      </c>
      <c r="H22" s="14">
        <f t="shared" si="2"/>
        <v>-21.944561108777826</v>
      </c>
    </row>
    <row r="23" spans="1:11" x14ac:dyDescent="0.25">
      <c r="A23" s="10">
        <f t="shared" si="1"/>
        <v>38995</v>
      </c>
      <c r="B23">
        <v>366.7</v>
      </c>
      <c r="C23">
        <v>414.2</v>
      </c>
      <c r="D23">
        <v>783.5</v>
      </c>
      <c r="E23">
        <v>1047.9000000000001</v>
      </c>
      <c r="F23" s="19">
        <f t="shared" si="3"/>
        <v>1150.2</v>
      </c>
      <c r="G23" s="19">
        <f t="shared" si="3"/>
        <v>1462.1000000000001</v>
      </c>
      <c r="H23" s="14">
        <f t="shared" si="2"/>
        <v>-21.33233020997196</v>
      </c>
    </row>
    <row r="24" spans="1:11" x14ac:dyDescent="0.25">
      <c r="A24" s="10">
        <f t="shared" si="1"/>
        <v>39002</v>
      </c>
      <c r="B24">
        <v>350.2</v>
      </c>
      <c r="C24">
        <v>405.1</v>
      </c>
      <c r="D24">
        <v>817.8</v>
      </c>
      <c r="E24">
        <v>1095.5999999999999</v>
      </c>
      <c r="F24" s="19">
        <f t="shared" si="3"/>
        <v>1168</v>
      </c>
      <c r="G24" s="19">
        <f t="shared" si="3"/>
        <v>1500.6999999999998</v>
      </c>
      <c r="H24" s="14">
        <f t="shared" si="2"/>
        <v>-22.169654161391339</v>
      </c>
    </row>
    <row r="25" spans="1:11" x14ac:dyDescent="0.25">
      <c r="A25" s="10">
        <f t="shared" si="1"/>
        <v>39009</v>
      </c>
      <c r="B25">
        <v>325.2</v>
      </c>
      <c r="C25">
        <v>357.5</v>
      </c>
      <c r="D25">
        <v>850.5</v>
      </c>
      <c r="E25">
        <v>1140.2</v>
      </c>
      <c r="F25" s="19">
        <f t="shared" si="3"/>
        <v>1175.7</v>
      </c>
      <c r="G25" s="19">
        <f t="shared" si="3"/>
        <v>1497.7</v>
      </c>
      <c r="H25" s="14">
        <f t="shared" si="2"/>
        <v>-21.499632770247711</v>
      </c>
    </row>
    <row r="26" spans="1:11" x14ac:dyDescent="0.25">
      <c r="A26" s="10">
        <f t="shared" si="1"/>
        <v>39016</v>
      </c>
      <c r="B26">
        <v>379.9</v>
      </c>
      <c r="C26">
        <v>324.8</v>
      </c>
      <c r="D26">
        <v>882</v>
      </c>
      <c r="E26">
        <v>1171.5</v>
      </c>
      <c r="F26" s="19">
        <f t="shared" si="3"/>
        <v>1261.9000000000001</v>
      </c>
      <c r="G26" s="19">
        <f t="shared" si="3"/>
        <v>1496.3</v>
      </c>
      <c r="H26" s="14">
        <f t="shared" si="2"/>
        <v>-15.665307759139202</v>
      </c>
      <c r="I26">
        <v>24.1</v>
      </c>
    </row>
    <row r="27" spans="1:11" x14ac:dyDescent="0.25">
      <c r="A27" s="10">
        <f t="shared" si="1"/>
        <v>39023</v>
      </c>
      <c r="B27">
        <v>358.2</v>
      </c>
      <c r="C27">
        <v>327.3</v>
      </c>
      <c r="D27">
        <v>920.5</v>
      </c>
      <c r="E27">
        <v>1206.4000000000001</v>
      </c>
      <c r="F27" s="19">
        <f t="shared" si="3"/>
        <v>1278.7</v>
      </c>
      <c r="G27" s="19">
        <f t="shared" si="3"/>
        <v>1533.7</v>
      </c>
      <c r="H27" s="14">
        <f t="shared" si="2"/>
        <v>-16.626458890265372</v>
      </c>
      <c r="I27">
        <v>24.1</v>
      </c>
    </row>
    <row r="28" spans="1:11" x14ac:dyDescent="0.25">
      <c r="A28" s="10">
        <f t="shared" si="1"/>
        <v>39030</v>
      </c>
      <c r="B28">
        <v>356.9</v>
      </c>
      <c r="C28">
        <v>306.3</v>
      </c>
      <c r="D28">
        <v>957.5</v>
      </c>
      <c r="E28">
        <v>1237.0999999999999</v>
      </c>
      <c r="F28" s="19">
        <f t="shared" si="3"/>
        <v>1314.4</v>
      </c>
      <c r="G28" s="19">
        <f t="shared" si="3"/>
        <v>1543.3999999999999</v>
      </c>
      <c r="H28" s="14">
        <f t="shared" si="2"/>
        <v>-14.837372035765185</v>
      </c>
      <c r="I28">
        <v>24.1</v>
      </c>
    </row>
    <row r="29" spans="1:11" x14ac:dyDescent="0.25">
      <c r="A29" s="10">
        <f t="shared" si="1"/>
        <v>39037</v>
      </c>
      <c r="B29">
        <v>375.4</v>
      </c>
      <c r="C29">
        <v>306.10000000000002</v>
      </c>
      <c r="D29">
        <v>966</v>
      </c>
      <c r="E29">
        <v>1270.5999999999999</v>
      </c>
      <c r="F29" s="19">
        <f t="shared" si="3"/>
        <v>1341.4</v>
      </c>
      <c r="G29" s="19">
        <f t="shared" si="3"/>
        <v>1576.6999999999998</v>
      </c>
      <c r="H29" s="14">
        <f t="shared" si="2"/>
        <v>-14.923574554449148</v>
      </c>
      <c r="I29">
        <v>24.1</v>
      </c>
    </row>
    <row r="30" spans="1:11" x14ac:dyDescent="0.25">
      <c r="A30" s="10">
        <f t="shared" si="1"/>
        <v>39044</v>
      </c>
      <c r="B30">
        <v>348.8</v>
      </c>
      <c r="C30">
        <v>310.2</v>
      </c>
      <c r="D30">
        <v>1001.8</v>
      </c>
      <c r="E30">
        <v>1322.4</v>
      </c>
      <c r="F30" s="19">
        <f t="shared" si="3"/>
        <v>1350.6</v>
      </c>
      <c r="G30" s="19">
        <f t="shared" si="3"/>
        <v>1632.6000000000001</v>
      </c>
      <c r="H30" s="14">
        <f t="shared" si="2"/>
        <v>-17.273061374494681</v>
      </c>
      <c r="I30">
        <v>24.1</v>
      </c>
    </row>
    <row r="31" spans="1:11" x14ac:dyDescent="0.25">
      <c r="A31" s="10">
        <f t="shared" si="1"/>
        <v>39051</v>
      </c>
      <c r="B31">
        <v>359.8</v>
      </c>
      <c r="C31">
        <v>297</v>
      </c>
      <c r="D31">
        <v>1027.5999999999999</v>
      </c>
      <c r="E31">
        <v>1390.8</v>
      </c>
      <c r="F31" s="19">
        <f t="shared" si="3"/>
        <v>1387.3999999999999</v>
      </c>
      <c r="G31" s="19">
        <f t="shared" si="3"/>
        <v>1687.8</v>
      </c>
      <c r="H31" s="14">
        <f t="shared" si="2"/>
        <v>-17.798317336177284</v>
      </c>
      <c r="I31">
        <v>24.1</v>
      </c>
    </row>
    <row r="32" spans="1:11" x14ac:dyDescent="0.25">
      <c r="A32" s="10">
        <f t="shared" si="1"/>
        <v>39058</v>
      </c>
      <c r="B32">
        <v>363</v>
      </c>
      <c r="C32">
        <v>333</v>
      </c>
      <c r="D32">
        <v>1072</v>
      </c>
      <c r="E32">
        <v>1426.7</v>
      </c>
      <c r="F32" s="19">
        <f t="shared" si="3"/>
        <v>1435</v>
      </c>
      <c r="G32" s="19">
        <f t="shared" si="3"/>
        <v>1759.7</v>
      </c>
      <c r="H32" s="14">
        <f t="shared" si="2"/>
        <v>-18.452008865147473</v>
      </c>
    </row>
    <row r="33" spans="1:9" x14ac:dyDescent="0.25">
      <c r="A33" s="10">
        <f t="shared" si="1"/>
        <v>39065</v>
      </c>
      <c r="B33">
        <v>355.1</v>
      </c>
      <c r="C33">
        <v>324.10000000000002</v>
      </c>
      <c r="D33">
        <v>1104.2</v>
      </c>
      <c r="E33">
        <v>1486.3</v>
      </c>
      <c r="F33" s="19">
        <f t="shared" si="3"/>
        <v>1459.3000000000002</v>
      </c>
      <c r="G33" s="19">
        <f t="shared" si="3"/>
        <v>1810.4</v>
      </c>
      <c r="H33" s="14">
        <f t="shared" si="2"/>
        <v>-19.393504197967292</v>
      </c>
    </row>
    <row r="34" spans="1:9" x14ac:dyDescent="0.25">
      <c r="A34" s="10">
        <f t="shared" si="1"/>
        <v>39072</v>
      </c>
      <c r="B34">
        <v>382.1</v>
      </c>
      <c r="C34">
        <v>273.7</v>
      </c>
      <c r="D34">
        <v>1127.0999999999999</v>
      </c>
      <c r="E34">
        <v>1556.5</v>
      </c>
      <c r="F34" s="19">
        <f t="shared" si="3"/>
        <v>1509.1999999999998</v>
      </c>
      <c r="G34" s="19">
        <f t="shared" si="3"/>
        <v>1830.2</v>
      </c>
      <c r="H34" s="14">
        <f t="shared" si="2"/>
        <v>-17.539066768659172</v>
      </c>
    </row>
    <row r="35" spans="1:9" x14ac:dyDescent="0.25">
      <c r="A35" s="10">
        <f t="shared" si="1"/>
        <v>39079</v>
      </c>
      <c r="B35">
        <v>355.3</v>
      </c>
      <c r="C35">
        <v>253.7</v>
      </c>
      <c r="D35">
        <v>1155.4000000000001</v>
      </c>
      <c r="E35">
        <v>1590</v>
      </c>
      <c r="F35" s="19">
        <f t="shared" si="3"/>
        <v>1510.7</v>
      </c>
      <c r="G35" s="19">
        <f t="shared" si="3"/>
        <v>1843.7</v>
      </c>
      <c r="H35" s="14">
        <f t="shared" si="2"/>
        <v>-18.061506752725499</v>
      </c>
      <c r="I35">
        <v>38</v>
      </c>
    </row>
    <row r="36" spans="1:9" x14ac:dyDescent="0.25">
      <c r="A36" s="10">
        <f t="shared" si="1"/>
        <v>39086</v>
      </c>
      <c r="B36">
        <v>319.8</v>
      </c>
      <c r="C36">
        <v>329.5</v>
      </c>
      <c r="D36">
        <v>1204.7</v>
      </c>
      <c r="E36">
        <v>1626.9</v>
      </c>
      <c r="F36" s="19">
        <f t="shared" si="3"/>
        <v>1524.5</v>
      </c>
      <c r="G36" s="19">
        <f t="shared" si="3"/>
        <v>1956.4</v>
      </c>
      <c r="H36" s="14">
        <f t="shared" si="2"/>
        <v>-22.076262523001432</v>
      </c>
    </row>
    <row r="37" spans="1:9" x14ac:dyDescent="0.25">
      <c r="A37" s="10">
        <f t="shared" si="1"/>
        <v>39093</v>
      </c>
      <c r="B37">
        <v>320.5</v>
      </c>
      <c r="C37">
        <v>347.2</v>
      </c>
      <c r="D37">
        <v>1227.9000000000001</v>
      </c>
      <c r="E37">
        <v>1659.1</v>
      </c>
      <c r="F37" s="19">
        <f t="shared" si="3"/>
        <v>1548.4</v>
      </c>
      <c r="G37" s="19">
        <f t="shared" si="3"/>
        <v>2006.3</v>
      </c>
      <c r="H37" s="14">
        <f t="shared" si="2"/>
        <v>-22.823107212281315</v>
      </c>
    </row>
    <row r="38" spans="1:9" x14ac:dyDescent="0.25">
      <c r="A38" s="10">
        <f t="shared" si="1"/>
        <v>39100</v>
      </c>
      <c r="B38">
        <v>331</v>
      </c>
      <c r="C38">
        <v>353</v>
      </c>
      <c r="D38">
        <v>1272.9000000000001</v>
      </c>
      <c r="E38">
        <v>1739.9</v>
      </c>
      <c r="F38" s="19">
        <f t="shared" si="3"/>
        <v>1603.9</v>
      </c>
      <c r="G38" s="19">
        <f t="shared" si="3"/>
        <v>2092.9</v>
      </c>
      <c r="H38" s="14">
        <f t="shared" si="2"/>
        <v>-23.364709255100578</v>
      </c>
    </row>
    <row r="39" spans="1:9" x14ac:dyDescent="0.25">
      <c r="A39" s="10">
        <f t="shared" si="1"/>
        <v>39107</v>
      </c>
      <c r="B39">
        <v>327.8</v>
      </c>
      <c r="C39">
        <v>373.3</v>
      </c>
      <c r="D39">
        <v>1308.4000000000001</v>
      </c>
      <c r="E39">
        <v>1771.8</v>
      </c>
      <c r="F39" s="19">
        <f t="shared" ref="F39:G41" si="4">+B39+D39</f>
        <v>1636.2</v>
      </c>
      <c r="G39" s="19">
        <f t="shared" si="4"/>
        <v>2145.1</v>
      </c>
      <c r="H39" s="14">
        <f t="shared" ref="H39:H44" si="5">(F39/G39-1)*100</f>
        <v>-23.723835718614517</v>
      </c>
    </row>
    <row r="40" spans="1:9" x14ac:dyDescent="0.25">
      <c r="A40" s="10">
        <f t="shared" si="1"/>
        <v>39114</v>
      </c>
      <c r="B40">
        <v>319.8</v>
      </c>
      <c r="C40">
        <v>286.10000000000002</v>
      </c>
      <c r="D40">
        <v>1335</v>
      </c>
      <c r="E40">
        <v>1893.6</v>
      </c>
      <c r="F40" s="19">
        <f t="shared" si="4"/>
        <v>1654.8</v>
      </c>
      <c r="G40" s="19">
        <f t="shared" si="4"/>
        <v>2179.6999999999998</v>
      </c>
      <c r="H40" s="14">
        <f t="shared" si="5"/>
        <v>-24.081295591136389</v>
      </c>
    </row>
    <row r="41" spans="1:9" x14ac:dyDescent="0.25">
      <c r="A41" s="10">
        <f t="shared" si="1"/>
        <v>39121</v>
      </c>
      <c r="B41">
        <v>290.2</v>
      </c>
      <c r="C41">
        <v>267.5</v>
      </c>
      <c r="D41">
        <v>1385.4</v>
      </c>
      <c r="E41">
        <v>1925.7</v>
      </c>
      <c r="F41" s="19">
        <f t="shared" si="4"/>
        <v>1675.6000000000001</v>
      </c>
      <c r="G41" s="19">
        <f t="shared" si="4"/>
        <v>2193.1999999999998</v>
      </c>
      <c r="H41" s="14">
        <f t="shared" si="5"/>
        <v>-23.600218858289246</v>
      </c>
    </row>
    <row r="42" spans="1:9" x14ac:dyDescent="0.25">
      <c r="A42" s="10">
        <f t="shared" si="1"/>
        <v>39128</v>
      </c>
      <c r="B42">
        <v>317.2</v>
      </c>
      <c r="C42">
        <v>328.6</v>
      </c>
      <c r="D42">
        <v>1397.2</v>
      </c>
      <c r="E42">
        <v>1988</v>
      </c>
      <c r="F42" s="19">
        <f t="shared" ref="F42:G44" si="6">+B42+D42</f>
        <v>1714.4</v>
      </c>
      <c r="G42" s="19">
        <f t="shared" si="6"/>
        <v>2316.6</v>
      </c>
      <c r="H42" s="14">
        <f t="shared" si="5"/>
        <v>-25.994992661659321</v>
      </c>
    </row>
    <row r="43" spans="1:9" x14ac:dyDescent="0.25">
      <c r="A43" s="10">
        <f t="shared" si="1"/>
        <v>39135</v>
      </c>
      <c r="B43">
        <v>282.3</v>
      </c>
      <c r="C43">
        <v>317.8</v>
      </c>
      <c r="D43">
        <v>1467.1</v>
      </c>
      <c r="E43">
        <v>2028.9</v>
      </c>
      <c r="F43" s="19">
        <f t="shared" si="6"/>
        <v>1749.3999999999999</v>
      </c>
      <c r="G43" s="19">
        <f t="shared" si="6"/>
        <v>2346.7000000000003</v>
      </c>
      <c r="H43" s="14">
        <f t="shared" si="5"/>
        <v>-25.452763455064577</v>
      </c>
    </row>
    <row r="44" spans="1:9" x14ac:dyDescent="0.25">
      <c r="A44" s="10">
        <f t="shared" si="1"/>
        <v>39142</v>
      </c>
      <c r="B44">
        <v>380.3</v>
      </c>
      <c r="C44">
        <v>309.39999999999998</v>
      </c>
      <c r="D44">
        <v>1477.7</v>
      </c>
      <c r="E44">
        <v>2067.8000000000002</v>
      </c>
      <c r="F44" s="19">
        <f t="shared" si="6"/>
        <v>1858</v>
      </c>
      <c r="G44" s="19">
        <f t="shared" si="6"/>
        <v>2377.2000000000003</v>
      </c>
      <c r="H44" s="14">
        <f t="shared" si="5"/>
        <v>-21.840821134107358</v>
      </c>
    </row>
    <row r="45" spans="1:9" x14ac:dyDescent="0.25">
      <c r="A45" s="10">
        <f t="shared" si="1"/>
        <v>39149</v>
      </c>
      <c r="B45">
        <v>383.4</v>
      </c>
      <c r="C45">
        <v>286.8</v>
      </c>
      <c r="D45">
        <v>1539</v>
      </c>
      <c r="E45">
        <v>2109.6</v>
      </c>
      <c r="F45" s="19">
        <f t="shared" ref="F45:G47" si="7">+B45+D45</f>
        <v>1922.4</v>
      </c>
      <c r="G45" s="19">
        <f t="shared" si="7"/>
        <v>2396.4</v>
      </c>
      <c r="H45" s="14">
        <f t="shared" ref="H45:H50" si="8">(F45/G45-1)*100</f>
        <v>-19.779669504256383</v>
      </c>
    </row>
    <row r="46" spans="1:9" x14ac:dyDescent="0.25">
      <c r="A46" s="10">
        <f t="shared" si="1"/>
        <v>39156</v>
      </c>
      <c r="B46">
        <v>373.9</v>
      </c>
      <c r="C46">
        <v>256.7</v>
      </c>
      <c r="D46">
        <v>1592.6</v>
      </c>
      <c r="E46">
        <v>2169.6</v>
      </c>
      <c r="F46" s="19">
        <f t="shared" si="7"/>
        <v>1966.5</v>
      </c>
      <c r="G46" s="19">
        <f t="shared" si="7"/>
        <v>2426.2999999999997</v>
      </c>
      <c r="H46" s="14">
        <f t="shared" si="8"/>
        <v>-18.950665622552854</v>
      </c>
    </row>
    <row r="47" spans="1:9" x14ac:dyDescent="0.25">
      <c r="A47" s="10">
        <f t="shared" si="1"/>
        <v>39163</v>
      </c>
      <c r="B47">
        <v>345.3</v>
      </c>
      <c r="C47">
        <v>231.3</v>
      </c>
      <c r="D47">
        <v>1651.9</v>
      </c>
      <c r="E47">
        <v>2226.1</v>
      </c>
      <c r="F47" s="19">
        <f t="shared" si="7"/>
        <v>1997.2</v>
      </c>
      <c r="G47" s="19">
        <f t="shared" si="7"/>
        <v>2457.4</v>
      </c>
      <c r="H47" s="14">
        <f t="shared" si="8"/>
        <v>-18.72710995360951</v>
      </c>
    </row>
    <row r="48" spans="1:9" x14ac:dyDescent="0.25">
      <c r="A48" s="10">
        <f t="shared" si="1"/>
        <v>39170</v>
      </c>
      <c r="B48">
        <v>335</v>
      </c>
      <c r="C48">
        <v>242.5</v>
      </c>
      <c r="D48">
        <v>1705.3</v>
      </c>
      <c r="E48">
        <v>2265.4</v>
      </c>
      <c r="F48" s="19">
        <f t="shared" ref="F48:G50" si="9">+B48+D48</f>
        <v>2040.3</v>
      </c>
      <c r="G48" s="19">
        <f t="shared" si="9"/>
        <v>2507.9</v>
      </c>
      <c r="H48" s="14">
        <f t="shared" si="8"/>
        <v>-18.64508154232626</v>
      </c>
    </row>
    <row r="49" spans="1:9" x14ac:dyDescent="0.25">
      <c r="A49" s="10">
        <f t="shared" si="1"/>
        <v>39177</v>
      </c>
      <c r="B49">
        <v>348.9</v>
      </c>
      <c r="C49">
        <v>260</v>
      </c>
      <c r="D49">
        <v>1723</v>
      </c>
      <c r="E49">
        <v>2300.1</v>
      </c>
      <c r="F49" s="19">
        <f t="shared" si="9"/>
        <v>2071.9</v>
      </c>
      <c r="G49" s="19">
        <f t="shared" si="9"/>
        <v>2560.1</v>
      </c>
      <c r="H49" s="14">
        <f t="shared" si="8"/>
        <v>-19.069567595015812</v>
      </c>
    </row>
    <row r="50" spans="1:9" x14ac:dyDescent="0.25">
      <c r="A50" s="10">
        <f t="shared" si="1"/>
        <v>39184</v>
      </c>
      <c r="B50">
        <v>286.10000000000002</v>
      </c>
      <c r="C50">
        <v>262.3</v>
      </c>
      <c r="D50">
        <v>1800.8</v>
      </c>
      <c r="E50">
        <v>2329.6999999999998</v>
      </c>
      <c r="F50" s="19">
        <f t="shared" si="9"/>
        <v>2086.9</v>
      </c>
      <c r="G50" s="19">
        <f t="shared" si="9"/>
        <v>2592</v>
      </c>
      <c r="H50" s="14">
        <f t="shared" si="8"/>
        <v>-19.486882716049379</v>
      </c>
    </row>
    <row r="51" spans="1:9" x14ac:dyDescent="0.25">
      <c r="A51" s="10">
        <f t="shared" si="1"/>
        <v>39191</v>
      </c>
      <c r="B51">
        <v>258</v>
      </c>
      <c r="C51">
        <v>247.8</v>
      </c>
      <c r="D51">
        <v>1901.8</v>
      </c>
      <c r="E51">
        <v>2345.1999999999998</v>
      </c>
      <c r="F51" s="19">
        <f t="shared" ref="F51:G53" si="10">+B51+D51</f>
        <v>2159.8000000000002</v>
      </c>
      <c r="G51" s="19">
        <f t="shared" si="10"/>
        <v>2593</v>
      </c>
      <c r="H51" s="14">
        <f t="shared" ref="H51:H57" si="11">(F51/G51-1)*100</f>
        <v>-16.706517547242573</v>
      </c>
    </row>
    <row r="52" spans="1:9" x14ac:dyDescent="0.25">
      <c r="A52" s="10">
        <f t="shared" si="1"/>
        <v>39198</v>
      </c>
      <c r="B52">
        <v>245.3</v>
      </c>
      <c r="C52">
        <v>203.9</v>
      </c>
      <c r="D52">
        <v>1927.4</v>
      </c>
      <c r="E52">
        <v>2380.6</v>
      </c>
      <c r="F52" s="19">
        <f t="shared" si="10"/>
        <v>2172.7000000000003</v>
      </c>
      <c r="G52" s="19">
        <f t="shared" si="10"/>
        <v>2584.5</v>
      </c>
      <c r="H52" s="14">
        <f t="shared" si="11"/>
        <v>-15.93344940994389</v>
      </c>
    </row>
    <row r="53" spans="1:9" x14ac:dyDescent="0.25">
      <c r="A53" s="10">
        <f t="shared" si="1"/>
        <v>39205</v>
      </c>
      <c r="B53">
        <v>213</v>
      </c>
      <c r="C53">
        <v>178.8</v>
      </c>
      <c r="D53">
        <v>1985.7</v>
      </c>
      <c r="E53">
        <v>2421.8000000000002</v>
      </c>
      <c r="F53" s="19">
        <f t="shared" si="10"/>
        <v>2198.6999999999998</v>
      </c>
      <c r="G53" s="19">
        <f t="shared" si="10"/>
        <v>2600.6000000000004</v>
      </c>
      <c r="H53" s="14">
        <f t="shared" si="11"/>
        <v>-15.4541259709298</v>
      </c>
      <c r="I53">
        <v>176.1</v>
      </c>
    </row>
    <row r="54" spans="1:9" x14ac:dyDescent="0.25">
      <c r="A54" s="10">
        <f t="shared" si="1"/>
        <v>39212</v>
      </c>
      <c r="B54">
        <v>198.9</v>
      </c>
      <c r="C54">
        <v>143.5</v>
      </c>
      <c r="D54">
        <v>2011.3</v>
      </c>
      <c r="E54">
        <v>2457.5</v>
      </c>
      <c r="F54" s="19">
        <f t="shared" ref="F54:G56" si="12">+B54+D54</f>
        <v>2210.1999999999998</v>
      </c>
      <c r="G54" s="19">
        <f t="shared" si="12"/>
        <v>2601</v>
      </c>
      <c r="H54" s="14">
        <f t="shared" si="11"/>
        <v>-15.024990388312197</v>
      </c>
      <c r="I54">
        <v>198.9</v>
      </c>
    </row>
    <row r="55" spans="1:9" x14ac:dyDescent="0.25">
      <c r="A55" s="10">
        <f t="shared" si="1"/>
        <v>39219</v>
      </c>
      <c r="B55">
        <v>151</v>
      </c>
      <c r="C55">
        <v>107.8</v>
      </c>
      <c r="D55">
        <v>2064.3000000000002</v>
      </c>
      <c r="E55">
        <v>2500.9</v>
      </c>
      <c r="F55" s="19">
        <f t="shared" si="12"/>
        <v>2215.3000000000002</v>
      </c>
      <c r="G55" s="19">
        <f t="shared" si="12"/>
        <v>2608.7000000000003</v>
      </c>
      <c r="H55" s="14">
        <f t="shared" si="11"/>
        <v>-15.080308199486335</v>
      </c>
      <c r="I55">
        <v>254.4</v>
      </c>
    </row>
    <row r="56" spans="1:9" x14ac:dyDescent="0.25">
      <c r="A56" s="10">
        <f t="shared" si="1"/>
        <v>39226</v>
      </c>
      <c r="B56">
        <v>118.5</v>
      </c>
      <c r="C56">
        <v>82</v>
      </c>
      <c r="D56">
        <v>2100.1999999999998</v>
      </c>
      <c r="E56">
        <v>2536.8000000000002</v>
      </c>
      <c r="F56" s="19">
        <f t="shared" si="12"/>
        <v>2218.6999999999998</v>
      </c>
      <c r="G56" s="19">
        <f t="shared" si="12"/>
        <v>2618.8000000000002</v>
      </c>
      <c r="H56" s="14">
        <f t="shared" si="11"/>
        <v>-15.277989919046908</v>
      </c>
      <c r="I56">
        <v>327.3</v>
      </c>
    </row>
    <row r="57" spans="1:9" x14ac:dyDescent="0.25">
      <c r="A57" s="10">
        <f t="shared" si="1"/>
        <v>39233</v>
      </c>
      <c r="F57">
        <v>2137.6999999999998</v>
      </c>
      <c r="G57">
        <v>2563.6</v>
      </c>
      <c r="H57" s="14">
        <f t="shared" si="11"/>
        <v>-16.613356217818698</v>
      </c>
    </row>
    <row r="58" spans="1:9" x14ac:dyDescent="0.25">
      <c r="A58" s="10">
        <f t="shared" si="1"/>
        <v>39240</v>
      </c>
      <c r="B58">
        <v>390.5</v>
      </c>
      <c r="C58">
        <v>447</v>
      </c>
      <c r="D58">
        <v>46.9</v>
      </c>
      <c r="E58">
        <v>49.1</v>
      </c>
      <c r="F58" s="19">
        <f t="shared" ref="F58:G60" si="13">+B58+D58</f>
        <v>437.4</v>
      </c>
      <c r="G58" s="19">
        <f t="shared" si="13"/>
        <v>496.1</v>
      </c>
      <c r="H58" s="14">
        <f t="shared" ref="H58:H63" si="14">(F58/G58-1)*100</f>
        <v>-11.832291876637779</v>
      </c>
    </row>
    <row r="59" spans="1:9" x14ac:dyDescent="0.25">
      <c r="A59" s="10">
        <f t="shared" si="1"/>
        <v>39247</v>
      </c>
      <c r="B59">
        <v>423.3</v>
      </c>
      <c r="C59">
        <v>419</v>
      </c>
      <c r="D59">
        <v>70.5</v>
      </c>
      <c r="E59">
        <v>90</v>
      </c>
      <c r="F59" s="19">
        <f t="shared" si="13"/>
        <v>493.8</v>
      </c>
      <c r="G59" s="19">
        <f t="shared" si="13"/>
        <v>509</v>
      </c>
      <c r="H59" s="14">
        <f t="shared" si="14"/>
        <v>-2.9862475442043235</v>
      </c>
    </row>
    <row r="60" spans="1:9" x14ac:dyDescent="0.25">
      <c r="A60" s="10">
        <f t="shared" si="1"/>
        <v>39254</v>
      </c>
      <c r="B60">
        <v>421.5</v>
      </c>
      <c r="C60">
        <v>519.70000000000005</v>
      </c>
      <c r="D60">
        <v>130.80000000000001</v>
      </c>
      <c r="E60">
        <v>126.1</v>
      </c>
      <c r="F60" s="19">
        <f t="shared" si="13"/>
        <v>552.29999999999995</v>
      </c>
      <c r="G60" s="19">
        <f t="shared" si="13"/>
        <v>645.80000000000007</v>
      </c>
      <c r="H60" s="14">
        <f t="shared" si="14"/>
        <v>-14.478166615051114</v>
      </c>
    </row>
    <row r="61" spans="1:9" x14ac:dyDescent="0.25">
      <c r="A61" s="10">
        <f t="shared" si="1"/>
        <v>39261</v>
      </c>
      <c r="B61">
        <v>435.5</v>
      </c>
      <c r="C61">
        <v>508.7</v>
      </c>
      <c r="D61">
        <v>164.2</v>
      </c>
      <c r="E61">
        <v>154.9</v>
      </c>
      <c r="F61" s="19">
        <f t="shared" ref="F61:G63" si="15">+B61+D61</f>
        <v>599.70000000000005</v>
      </c>
      <c r="G61" s="19">
        <f t="shared" si="15"/>
        <v>663.6</v>
      </c>
      <c r="H61" s="14">
        <f t="shared" si="14"/>
        <v>-9.6292947558770265</v>
      </c>
    </row>
    <row r="62" spans="1:9" x14ac:dyDescent="0.25">
      <c r="A62" s="10">
        <f t="shared" si="1"/>
        <v>39268</v>
      </c>
      <c r="B62">
        <v>373.7</v>
      </c>
      <c r="C62">
        <v>515.79999999999995</v>
      </c>
      <c r="D62">
        <v>262.39999999999998</v>
      </c>
      <c r="E62">
        <v>180.9</v>
      </c>
      <c r="F62" s="19">
        <f t="shared" si="15"/>
        <v>636.09999999999991</v>
      </c>
      <c r="G62" s="19">
        <f t="shared" si="15"/>
        <v>696.69999999999993</v>
      </c>
      <c r="H62" s="14">
        <f t="shared" si="14"/>
        <v>-8.6981484139514897</v>
      </c>
    </row>
    <row r="63" spans="1:9" x14ac:dyDescent="0.25">
      <c r="A63" s="10">
        <f t="shared" si="1"/>
        <v>39275</v>
      </c>
      <c r="B63">
        <v>505.5</v>
      </c>
      <c r="C63">
        <v>489.4</v>
      </c>
      <c r="D63">
        <v>292</v>
      </c>
      <c r="E63">
        <v>233.6</v>
      </c>
      <c r="F63" s="19">
        <f t="shared" si="15"/>
        <v>797.5</v>
      </c>
      <c r="G63" s="19">
        <f t="shared" si="15"/>
        <v>723</v>
      </c>
      <c r="H63" s="14">
        <f t="shared" si="14"/>
        <v>10.304287690179814</v>
      </c>
    </row>
    <row r="64" spans="1:9" x14ac:dyDescent="0.25">
      <c r="A64" s="10">
        <f t="shared" si="1"/>
        <v>39282</v>
      </c>
      <c r="B64">
        <v>496.7</v>
      </c>
      <c r="C64">
        <v>549.6</v>
      </c>
      <c r="D64">
        <v>341.4</v>
      </c>
      <c r="E64">
        <v>247.9</v>
      </c>
      <c r="F64" s="19">
        <f t="shared" ref="F64:G66" si="16">+B64+D64</f>
        <v>838.09999999999991</v>
      </c>
      <c r="G64" s="19">
        <f t="shared" si="16"/>
        <v>797.5</v>
      </c>
      <c r="H64" s="14">
        <f t="shared" ref="H64:H69" si="17">(F64/G64-1)*100</f>
        <v>5.0909090909090793</v>
      </c>
    </row>
    <row r="65" spans="1:8" x14ac:dyDescent="0.25">
      <c r="A65" s="10">
        <f t="shared" si="1"/>
        <v>39289</v>
      </c>
      <c r="B65">
        <v>533.29999999999995</v>
      </c>
      <c r="C65">
        <v>415.5</v>
      </c>
      <c r="D65">
        <v>382.7</v>
      </c>
      <c r="E65">
        <v>321.60000000000002</v>
      </c>
      <c r="F65" s="19">
        <f t="shared" si="16"/>
        <v>916</v>
      </c>
      <c r="G65" s="19">
        <f t="shared" si="16"/>
        <v>737.1</v>
      </c>
      <c r="H65" s="14">
        <f t="shared" si="17"/>
        <v>24.270790937457608</v>
      </c>
    </row>
    <row r="66" spans="1:8" x14ac:dyDescent="0.25">
      <c r="A66" s="10">
        <f t="shared" si="1"/>
        <v>39296</v>
      </c>
      <c r="B66">
        <v>533.9</v>
      </c>
      <c r="C66">
        <v>378.4</v>
      </c>
      <c r="D66">
        <v>448</v>
      </c>
      <c r="E66">
        <v>373</v>
      </c>
      <c r="F66" s="19">
        <f t="shared" si="16"/>
        <v>981.9</v>
      </c>
      <c r="G66" s="19">
        <f t="shared" si="16"/>
        <v>751.4</v>
      </c>
      <c r="H66" s="14">
        <f t="shared" si="17"/>
        <v>30.67607133351078</v>
      </c>
    </row>
    <row r="67" spans="1:8" x14ac:dyDescent="0.25">
      <c r="A67" s="10">
        <f t="shared" si="1"/>
        <v>39303</v>
      </c>
      <c r="B67">
        <v>529.9</v>
      </c>
      <c r="C67">
        <v>365.1</v>
      </c>
      <c r="D67">
        <v>472.4</v>
      </c>
      <c r="E67">
        <v>407</v>
      </c>
      <c r="F67" s="19">
        <f t="shared" ref="F67:G69" si="18">+B67+D67</f>
        <v>1002.3</v>
      </c>
      <c r="G67" s="19">
        <f t="shared" si="18"/>
        <v>772.1</v>
      </c>
      <c r="H67" s="14">
        <f t="shared" si="17"/>
        <v>29.814790830203329</v>
      </c>
    </row>
    <row r="68" spans="1:8" x14ac:dyDescent="0.25">
      <c r="A68" s="10">
        <f t="shared" si="1"/>
        <v>39310</v>
      </c>
      <c r="B68">
        <v>507.3</v>
      </c>
      <c r="C68">
        <v>322</v>
      </c>
      <c r="D68">
        <v>523.9</v>
      </c>
      <c r="E68">
        <v>464.8</v>
      </c>
      <c r="F68" s="19">
        <f t="shared" si="18"/>
        <v>1031.2</v>
      </c>
      <c r="G68" s="19">
        <f t="shared" si="18"/>
        <v>786.8</v>
      </c>
      <c r="H68" s="14">
        <f t="shared" si="17"/>
        <v>31.062531774275559</v>
      </c>
    </row>
    <row r="69" spans="1:8" x14ac:dyDescent="0.25">
      <c r="A69" s="10">
        <f t="shared" si="1"/>
        <v>39317</v>
      </c>
      <c r="B69">
        <v>460.3</v>
      </c>
      <c r="C69">
        <v>311.8</v>
      </c>
      <c r="D69">
        <v>558.70000000000005</v>
      </c>
      <c r="E69">
        <v>513.20000000000005</v>
      </c>
      <c r="F69" s="19">
        <f t="shared" si="18"/>
        <v>1019</v>
      </c>
      <c r="G69" s="19">
        <f t="shared" si="18"/>
        <v>825</v>
      </c>
      <c r="H69" s="14">
        <f t="shared" si="17"/>
        <v>23.515151515151512</v>
      </c>
    </row>
    <row r="70" spans="1:8" x14ac:dyDescent="0.25">
      <c r="A70" s="10">
        <f t="shared" si="1"/>
        <v>39324</v>
      </c>
      <c r="B70">
        <v>455.3</v>
      </c>
      <c r="C70">
        <v>334.9</v>
      </c>
      <c r="D70">
        <v>591.5</v>
      </c>
      <c r="E70">
        <v>572.20000000000005</v>
      </c>
      <c r="F70" s="19">
        <f t="shared" ref="F70:G72" si="19">+B70+D70</f>
        <v>1046.8</v>
      </c>
      <c r="G70" s="19">
        <f t="shared" si="19"/>
        <v>907.1</v>
      </c>
      <c r="H70" s="14">
        <f t="shared" ref="H70:H75" si="20">(F70/G70-1)*100</f>
        <v>15.400727593429608</v>
      </c>
    </row>
    <row r="71" spans="1:8" x14ac:dyDescent="0.25">
      <c r="A71" s="10">
        <f t="shared" si="1"/>
        <v>39331</v>
      </c>
      <c r="B71">
        <v>423.6</v>
      </c>
      <c r="C71">
        <v>345.4</v>
      </c>
      <c r="D71">
        <v>654.79999999999995</v>
      </c>
      <c r="E71">
        <v>585.6</v>
      </c>
      <c r="F71" s="19">
        <f t="shared" si="19"/>
        <v>1078.4000000000001</v>
      </c>
      <c r="G71" s="19">
        <f t="shared" si="19"/>
        <v>931</v>
      </c>
      <c r="H71" s="14">
        <f t="shared" si="20"/>
        <v>15.832438238453284</v>
      </c>
    </row>
    <row r="72" spans="1:8" x14ac:dyDescent="0.25">
      <c r="A72" s="10">
        <f t="shared" si="1"/>
        <v>39338</v>
      </c>
      <c r="B72">
        <v>412.9</v>
      </c>
      <c r="C72">
        <v>343.1</v>
      </c>
      <c r="D72">
        <v>709.8</v>
      </c>
      <c r="E72">
        <v>659.6</v>
      </c>
      <c r="F72" s="19">
        <f t="shared" si="19"/>
        <v>1122.6999999999998</v>
      </c>
      <c r="G72" s="19">
        <f t="shared" si="19"/>
        <v>1002.7</v>
      </c>
      <c r="H72" s="14">
        <f t="shared" si="20"/>
        <v>11.967687244439995</v>
      </c>
    </row>
    <row r="73" spans="1:8" x14ac:dyDescent="0.25">
      <c r="A73" s="10">
        <f t="shared" si="1"/>
        <v>39345</v>
      </c>
      <c r="B73">
        <v>493.1</v>
      </c>
      <c r="C73">
        <v>308.89999999999998</v>
      </c>
      <c r="D73">
        <v>737.2</v>
      </c>
      <c r="E73">
        <v>704.9</v>
      </c>
      <c r="F73" s="19">
        <f t="shared" ref="F73:G75" si="21">+B73+D73</f>
        <v>1230.3000000000002</v>
      </c>
      <c r="G73" s="19">
        <f t="shared" si="21"/>
        <v>1013.8</v>
      </c>
      <c r="H73" s="14">
        <f t="shared" si="20"/>
        <v>21.355296902742182</v>
      </c>
    </row>
    <row r="74" spans="1:8" x14ac:dyDescent="0.25">
      <c r="A74" s="10">
        <f t="shared" si="1"/>
        <v>39352</v>
      </c>
      <c r="B74">
        <v>589</v>
      </c>
      <c r="C74">
        <v>361.9</v>
      </c>
      <c r="D74">
        <v>832.2</v>
      </c>
      <c r="E74">
        <v>753.2</v>
      </c>
      <c r="F74" s="19">
        <f t="shared" si="21"/>
        <v>1421.2</v>
      </c>
      <c r="G74" s="19">
        <f t="shared" si="21"/>
        <v>1115.0999999999999</v>
      </c>
      <c r="H74" s="14">
        <f t="shared" si="20"/>
        <v>27.450452874181707</v>
      </c>
    </row>
    <row r="75" spans="1:8" x14ac:dyDescent="0.25">
      <c r="A75" s="10">
        <f t="shared" si="1"/>
        <v>39359</v>
      </c>
      <c r="B75">
        <v>801.3</v>
      </c>
      <c r="C75">
        <v>366.7</v>
      </c>
      <c r="D75">
        <v>872.8</v>
      </c>
      <c r="E75">
        <v>783.5</v>
      </c>
      <c r="F75" s="19">
        <f t="shared" si="21"/>
        <v>1674.1</v>
      </c>
      <c r="G75" s="19">
        <f t="shared" si="21"/>
        <v>1150.2</v>
      </c>
      <c r="H75" s="14">
        <f t="shared" si="20"/>
        <v>45.548600243435921</v>
      </c>
    </row>
    <row r="76" spans="1:8" x14ac:dyDescent="0.25">
      <c r="A76" s="10">
        <f t="shared" si="1"/>
        <v>39366</v>
      </c>
      <c r="B76">
        <v>802.4</v>
      </c>
      <c r="C76">
        <v>350.2</v>
      </c>
      <c r="D76">
        <v>945.5</v>
      </c>
      <c r="E76">
        <v>817.8</v>
      </c>
      <c r="F76" s="19">
        <f t="shared" ref="F76:G78" si="22">+B76+D76</f>
        <v>1747.9</v>
      </c>
      <c r="G76" s="19">
        <f t="shared" si="22"/>
        <v>1168</v>
      </c>
      <c r="H76" s="14">
        <f t="shared" ref="H76:H81" si="23">(F76/G76-1)*100</f>
        <v>49.648972602739725</v>
      </c>
    </row>
    <row r="77" spans="1:8" x14ac:dyDescent="0.25">
      <c r="A77" s="10">
        <f t="shared" si="1"/>
        <v>39373</v>
      </c>
      <c r="B77">
        <v>737.3</v>
      </c>
      <c r="C77">
        <v>325.2</v>
      </c>
      <c r="D77">
        <v>1028.5</v>
      </c>
      <c r="E77">
        <v>850.5</v>
      </c>
      <c r="F77" s="19">
        <f t="shared" si="22"/>
        <v>1765.8</v>
      </c>
      <c r="G77" s="19">
        <f t="shared" si="22"/>
        <v>1175.7</v>
      </c>
      <c r="H77" s="14">
        <f t="shared" si="23"/>
        <v>50.191375350854806</v>
      </c>
    </row>
    <row r="78" spans="1:8" x14ac:dyDescent="0.25">
      <c r="A78" s="10">
        <f t="shared" si="1"/>
        <v>39380</v>
      </c>
      <c r="B78">
        <v>730</v>
      </c>
      <c r="C78">
        <v>379.9</v>
      </c>
      <c r="D78">
        <v>1047.5999999999999</v>
      </c>
      <c r="E78">
        <v>882</v>
      </c>
      <c r="F78" s="19">
        <f t="shared" si="22"/>
        <v>1777.6</v>
      </c>
      <c r="G78" s="19">
        <f t="shared" si="22"/>
        <v>1261.9000000000001</v>
      </c>
      <c r="H78" s="14">
        <f t="shared" si="23"/>
        <v>40.866946667723255</v>
      </c>
    </row>
    <row r="79" spans="1:8" x14ac:dyDescent="0.25">
      <c r="A79" s="10">
        <f t="shared" si="1"/>
        <v>39387</v>
      </c>
      <c r="B79">
        <v>680.8</v>
      </c>
      <c r="C79">
        <v>358.2</v>
      </c>
      <c r="D79">
        <v>1129.3</v>
      </c>
      <c r="E79">
        <v>920.5</v>
      </c>
      <c r="F79" s="19">
        <f t="shared" ref="F79:G81" si="24">+B79+D79</f>
        <v>1810.1</v>
      </c>
      <c r="G79" s="19">
        <f t="shared" si="24"/>
        <v>1278.7</v>
      </c>
      <c r="H79" s="14">
        <f t="shared" si="23"/>
        <v>41.557832173301001</v>
      </c>
    </row>
    <row r="80" spans="1:8" x14ac:dyDescent="0.25">
      <c r="A80" s="10">
        <f t="shared" si="1"/>
        <v>39394</v>
      </c>
      <c r="B80">
        <v>662.7</v>
      </c>
      <c r="C80">
        <v>356.9</v>
      </c>
      <c r="D80">
        <v>1177.5999999999999</v>
      </c>
      <c r="E80">
        <v>957.5</v>
      </c>
      <c r="F80" s="19">
        <f t="shared" si="24"/>
        <v>1840.3</v>
      </c>
      <c r="G80" s="19">
        <f t="shared" si="24"/>
        <v>1314.4</v>
      </c>
      <c r="H80" s="14">
        <f t="shared" si="23"/>
        <v>40.010651247717568</v>
      </c>
    </row>
    <row r="81" spans="1:9" x14ac:dyDescent="0.25">
      <c r="A81" s="10">
        <f t="shared" si="1"/>
        <v>39401</v>
      </c>
      <c r="B81">
        <v>697.7</v>
      </c>
      <c r="C81">
        <v>375.4</v>
      </c>
      <c r="D81">
        <v>1223.5</v>
      </c>
      <c r="E81">
        <v>966</v>
      </c>
      <c r="F81" s="19">
        <f t="shared" si="24"/>
        <v>1921.2</v>
      </c>
      <c r="G81" s="19">
        <f t="shared" si="24"/>
        <v>1341.4</v>
      </c>
      <c r="H81" s="14">
        <f t="shared" si="23"/>
        <v>43.223497838079616</v>
      </c>
    </row>
    <row r="82" spans="1:9" x14ac:dyDescent="0.25">
      <c r="A82" s="10">
        <f t="shared" si="1"/>
        <v>39408</v>
      </c>
      <c r="B82">
        <v>694.8</v>
      </c>
      <c r="C82">
        <v>348.8</v>
      </c>
      <c r="D82">
        <v>1241.8</v>
      </c>
      <c r="E82">
        <v>1001.8</v>
      </c>
      <c r="F82" s="19">
        <f t="shared" ref="F82:G84" si="25">+B82+D82</f>
        <v>1936.6</v>
      </c>
      <c r="G82" s="19">
        <f t="shared" si="25"/>
        <v>1350.6</v>
      </c>
      <c r="H82" s="14">
        <f t="shared" ref="H82:H87" si="26">(F82/G82-1)*100</f>
        <v>43.388123796831039</v>
      </c>
    </row>
    <row r="83" spans="1:9" x14ac:dyDescent="0.25">
      <c r="A83" s="10">
        <f t="shared" si="1"/>
        <v>39415</v>
      </c>
      <c r="B83">
        <v>714.8</v>
      </c>
      <c r="C83">
        <v>359.8</v>
      </c>
      <c r="D83">
        <v>1296</v>
      </c>
      <c r="E83">
        <v>1027.5999999999999</v>
      </c>
      <c r="F83" s="19">
        <f t="shared" si="25"/>
        <v>2010.8</v>
      </c>
      <c r="G83" s="19">
        <f t="shared" si="25"/>
        <v>1387.3999999999999</v>
      </c>
      <c r="H83" s="14">
        <f t="shared" si="26"/>
        <v>44.932968141848065</v>
      </c>
    </row>
    <row r="84" spans="1:9" x14ac:dyDescent="0.25">
      <c r="A84" s="10">
        <f t="shared" si="1"/>
        <v>39422</v>
      </c>
      <c r="B84">
        <v>745.3</v>
      </c>
      <c r="C84">
        <v>363</v>
      </c>
      <c r="D84">
        <v>1343.2</v>
      </c>
      <c r="E84">
        <v>1072</v>
      </c>
      <c r="F84" s="19">
        <f t="shared" si="25"/>
        <v>2088.5</v>
      </c>
      <c r="G84" s="19">
        <f t="shared" si="25"/>
        <v>1435</v>
      </c>
      <c r="H84" s="14">
        <f t="shared" si="26"/>
        <v>45.540069686411158</v>
      </c>
    </row>
    <row r="85" spans="1:9" x14ac:dyDescent="0.25">
      <c r="A85" s="10">
        <f t="shared" si="1"/>
        <v>39429</v>
      </c>
      <c r="B85">
        <v>801.3</v>
      </c>
      <c r="C85">
        <v>355.1</v>
      </c>
      <c r="D85">
        <v>1371.8</v>
      </c>
      <c r="E85">
        <v>1104.2</v>
      </c>
      <c r="F85" s="19">
        <f t="shared" ref="F85:G87" si="27">+B85+D85</f>
        <v>2173.1</v>
      </c>
      <c r="G85" s="19">
        <f t="shared" si="27"/>
        <v>1459.3000000000002</v>
      </c>
      <c r="H85" s="14">
        <f t="shared" si="26"/>
        <v>48.913862810936727</v>
      </c>
    </row>
    <row r="86" spans="1:9" x14ac:dyDescent="0.25">
      <c r="A86" s="10">
        <f t="shared" si="1"/>
        <v>39436</v>
      </c>
      <c r="B86">
        <v>852.3</v>
      </c>
      <c r="C86">
        <v>382.1</v>
      </c>
      <c r="D86">
        <v>1380.2</v>
      </c>
      <c r="E86">
        <v>1127.0999999999999</v>
      </c>
      <c r="F86" s="19">
        <f t="shared" si="27"/>
        <v>2232.5</v>
      </c>
      <c r="G86" s="19">
        <f t="shared" si="27"/>
        <v>1509.1999999999998</v>
      </c>
      <c r="H86" s="14">
        <f t="shared" si="26"/>
        <v>47.926053538298461</v>
      </c>
    </row>
    <row r="87" spans="1:9" x14ac:dyDescent="0.25">
      <c r="A87" s="10">
        <f t="shared" si="1"/>
        <v>39443</v>
      </c>
      <c r="B87">
        <v>833.9</v>
      </c>
      <c r="C87">
        <v>355.3</v>
      </c>
      <c r="D87">
        <v>1397.5</v>
      </c>
      <c r="E87">
        <v>1155.4000000000001</v>
      </c>
      <c r="F87" s="19">
        <f t="shared" si="27"/>
        <v>2231.4</v>
      </c>
      <c r="G87" s="19">
        <f t="shared" si="27"/>
        <v>1510.7</v>
      </c>
      <c r="H87" s="14">
        <f t="shared" si="26"/>
        <v>47.706361289468461</v>
      </c>
    </row>
    <row r="88" spans="1:9" x14ac:dyDescent="0.25">
      <c r="A88" s="10">
        <f t="shared" si="1"/>
        <v>39450</v>
      </c>
      <c r="B88">
        <v>756</v>
      </c>
      <c r="C88">
        <v>319.8</v>
      </c>
      <c r="D88">
        <v>1483.2</v>
      </c>
      <c r="E88">
        <v>1204.7</v>
      </c>
      <c r="F88" s="19">
        <f t="shared" ref="F88:G90" si="28">+B88+D88</f>
        <v>2239.1999999999998</v>
      </c>
      <c r="G88" s="19">
        <f t="shared" si="28"/>
        <v>1524.5</v>
      </c>
      <c r="H88" s="14">
        <f t="shared" ref="H88:H93" si="29">(F88/G88-1)*100</f>
        <v>46.88094457199081</v>
      </c>
    </row>
    <row r="89" spans="1:9" x14ac:dyDescent="0.25">
      <c r="A89" s="10">
        <f t="shared" si="1"/>
        <v>39457</v>
      </c>
      <c r="B89">
        <v>680.5</v>
      </c>
      <c r="C89">
        <v>320.5</v>
      </c>
      <c r="D89">
        <v>1567.9</v>
      </c>
      <c r="E89">
        <v>1227.9000000000001</v>
      </c>
      <c r="F89" s="19">
        <f t="shared" si="28"/>
        <v>2248.4</v>
      </c>
      <c r="G89" s="19">
        <f t="shared" si="28"/>
        <v>1548.4</v>
      </c>
      <c r="H89" s="14">
        <f t="shared" si="29"/>
        <v>45.207956600361655</v>
      </c>
    </row>
    <row r="90" spans="1:9" x14ac:dyDescent="0.25">
      <c r="A90" s="10">
        <f t="shared" si="1"/>
        <v>39464</v>
      </c>
      <c r="B90">
        <v>693.1</v>
      </c>
      <c r="C90">
        <v>331</v>
      </c>
      <c r="D90">
        <v>1587.2</v>
      </c>
      <c r="E90">
        <v>1272.9000000000001</v>
      </c>
      <c r="F90" s="19">
        <f t="shared" si="28"/>
        <v>2280.3000000000002</v>
      </c>
      <c r="G90" s="19">
        <f t="shared" si="28"/>
        <v>1603.9</v>
      </c>
      <c r="H90" s="14">
        <f t="shared" si="29"/>
        <v>42.172205249703843</v>
      </c>
    </row>
    <row r="91" spans="1:9" x14ac:dyDescent="0.25">
      <c r="A91" s="10">
        <f t="shared" si="1"/>
        <v>39471</v>
      </c>
      <c r="B91">
        <v>740.2</v>
      </c>
      <c r="C91">
        <v>327.8</v>
      </c>
      <c r="D91">
        <v>1622</v>
      </c>
      <c r="E91">
        <v>1308.4000000000001</v>
      </c>
      <c r="F91" s="19">
        <f t="shared" ref="F91:G93" si="30">+B91+D91</f>
        <v>2362.1999999999998</v>
      </c>
      <c r="G91" s="19">
        <f t="shared" si="30"/>
        <v>1636.2</v>
      </c>
      <c r="H91" s="14">
        <f t="shared" si="29"/>
        <v>44.371103777044361</v>
      </c>
    </row>
    <row r="92" spans="1:9" x14ac:dyDescent="0.25">
      <c r="A92" s="10">
        <f t="shared" si="1"/>
        <v>39478</v>
      </c>
      <c r="B92">
        <v>699.3</v>
      </c>
      <c r="C92">
        <v>319.8</v>
      </c>
      <c r="D92">
        <v>1713.2</v>
      </c>
      <c r="E92">
        <v>1335</v>
      </c>
      <c r="F92" s="19">
        <f t="shared" si="30"/>
        <v>2412.5</v>
      </c>
      <c r="G92" s="19">
        <f t="shared" si="30"/>
        <v>1654.8</v>
      </c>
      <c r="H92" s="14">
        <f t="shared" si="29"/>
        <v>45.788010635726373</v>
      </c>
    </row>
    <row r="93" spans="1:9" x14ac:dyDescent="0.25">
      <c r="A93" s="10">
        <f t="shared" si="1"/>
        <v>39485</v>
      </c>
      <c r="B93">
        <v>609.20000000000005</v>
      </c>
      <c r="C93">
        <v>290.2</v>
      </c>
      <c r="D93">
        <v>1801.2</v>
      </c>
      <c r="E93">
        <v>1385.4</v>
      </c>
      <c r="F93" s="19">
        <f t="shared" si="30"/>
        <v>2410.4</v>
      </c>
      <c r="G93" s="19">
        <f t="shared" si="30"/>
        <v>1675.6000000000001</v>
      </c>
      <c r="H93" s="14">
        <f t="shared" si="29"/>
        <v>43.852948197660524</v>
      </c>
      <c r="I93">
        <v>46.3</v>
      </c>
    </row>
    <row r="94" spans="1:9" x14ac:dyDescent="0.25">
      <c r="A94" s="10">
        <f t="shared" si="1"/>
        <v>39492</v>
      </c>
      <c r="B94">
        <v>613.6</v>
      </c>
      <c r="C94">
        <v>317.2</v>
      </c>
      <c r="D94">
        <v>1825.6</v>
      </c>
      <c r="E94">
        <v>1397.2</v>
      </c>
      <c r="F94" s="19">
        <f t="shared" ref="F94:G96" si="31">+B94+D94</f>
        <v>2439.1999999999998</v>
      </c>
      <c r="G94" s="19">
        <f t="shared" si="31"/>
        <v>1714.4</v>
      </c>
      <c r="H94" s="14">
        <f t="shared" ref="H94:H99" si="32">(F94/G94-1)*100</f>
        <v>42.277181521231896</v>
      </c>
      <c r="I94">
        <v>70.8</v>
      </c>
    </row>
    <row r="95" spans="1:9" x14ac:dyDescent="0.25">
      <c r="A95" s="10">
        <f t="shared" si="1"/>
        <v>39499</v>
      </c>
      <c r="B95">
        <v>584.20000000000005</v>
      </c>
      <c r="C95">
        <v>282.3</v>
      </c>
      <c r="D95">
        <v>1881.6</v>
      </c>
      <c r="E95">
        <v>1467.1</v>
      </c>
      <c r="F95" s="19">
        <f t="shared" si="31"/>
        <v>2465.8000000000002</v>
      </c>
      <c r="G95" s="19">
        <f t="shared" si="31"/>
        <v>1749.3999999999999</v>
      </c>
      <c r="H95" s="14">
        <f t="shared" si="32"/>
        <v>40.951183262832998</v>
      </c>
    </row>
    <row r="96" spans="1:9" x14ac:dyDescent="0.25">
      <c r="A96" s="10">
        <f t="shared" si="1"/>
        <v>39506</v>
      </c>
      <c r="B96">
        <v>592.9</v>
      </c>
      <c r="C96">
        <v>380.3</v>
      </c>
      <c r="D96">
        <v>1960.5</v>
      </c>
      <c r="E96">
        <v>1477.7</v>
      </c>
      <c r="F96" s="19">
        <f t="shared" si="31"/>
        <v>2553.4</v>
      </c>
      <c r="G96" s="19">
        <f t="shared" si="31"/>
        <v>1858</v>
      </c>
      <c r="H96" s="14">
        <f t="shared" si="32"/>
        <v>37.427341227125943</v>
      </c>
    </row>
    <row r="97" spans="1:9" x14ac:dyDescent="0.25">
      <c r="A97" s="10">
        <f t="shared" si="1"/>
        <v>39513</v>
      </c>
      <c r="B97">
        <v>570.9</v>
      </c>
      <c r="C97">
        <v>383.4</v>
      </c>
      <c r="D97">
        <v>1998.7</v>
      </c>
      <c r="E97">
        <v>1539</v>
      </c>
      <c r="F97" s="19">
        <f t="shared" ref="F97:G99" si="33">+B97+D97</f>
        <v>2569.6</v>
      </c>
      <c r="G97" s="19">
        <f t="shared" si="33"/>
        <v>1922.4</v>
      </c>
      <c r="H97" s="14">
        <f t="shared" si="32"/>
        <v>33.666250520183084</v>
      </c>
    </row>
    <row r="98" spans="1:9" x14ac:dyDescent="0.25">
      <c r="A98" s="10">
        <f t="shared" si="1"/>
        <v>39520</v>
      </c>
      <c r="B98">
        <v>490.4</v>
      </c>
      <c r="C98">
        <v>373.9</v>
      </c>
      <c r="D98">
        <v>2094.4</v>
      </c>
      <c r="E98">
        <v>1592.6</v>
      </c>
      <c r="F98" s="19">
        <f t="shared" si="33"/>
        <v>2584.8000000000002</v>
      </c>
      <c r="G98" s="19">
        <f t="shared" si="33"/>
        <v>1966.5</v>
      </c>
      <c r="H98" s="14">
        <f t="shared" si="32"/>
        <v>31.441647597254008</v>
      </c>
    </row>
    <row r="99" spans="1:9" x14ac:dyDescent="0.25">
      <c r="A99" s="10">
        <f t="shared" si="1"/>
        <v>39527</v>
      </c>
      <c r="B99">
        <v>476.3</v>
      </c>
      <c r="C99">
        <v>345.3</v>
      </c>
      <c r="D99">
        <v>2112.4</v>
      </c>
      <c r="E99">
        <v>1651.9</v>
      </c>
      <c r="F99" s="19">
        <f t="shared" si="33"/>
        <v>2588.7000000000003</v>
      </c>
      <c r="G99" s="19">
        <f t="shared" si="33"/>
        <v>1997.2</v>
      </c>
      <c r="H99" s="14">
        <f t="shared" si="32"/>
        <v>29.616463048267594</v>
      </c>
    </row>
    <row r="100" spans="1:9" x14ac:dyDescent="0.25">
      <c r="A100" s="10">
        <f t="shared" si="1"/>
        <v>39534</v>
      </c>
      <c r="B100">
        <v>419.6</v>
      </c>
      <c r="C100">
        <v>335</v>
      </c>
      <c r="D100">
        <v>2181.1999999999998</v>
      </c>
      <c r="E100">
        <v>1705.3</v>
      </c>
      <c r="F100" s="19">
        <f t="shared" ref="F100:G102" si="34">+B100+D100</f>
        <v>2600.7999999999997</v>
      </c>
      <c r="G100" s="19">
        <f t="shared" si="34"/>
        <v>2040.3</v>
      </c>
      <c r="H100" s="14">
        <f t="shared" ref="H100:H105" si="35">(F100/G100-1)*100</f>
        <v>27.471450276920038</v>
      </c>
    </row>
    <row r="101" spans="1:9" x14ac:dyDescent="0.25">
      <c r="A101" s="10">
        <f t="shared" si="1"/>
        <v>39541</v>
      </c>
      <c r="B101">
        <v>387.7</v>
      </c>
      <c r="C101">
        <v>348.9</v>
      </c>
      <c r="D101">
        <v>2275.1</v>
      </c>
      <c r="E101">
        <v>1723</v>
      </c>
      <c r="F101" s="19">
        <f t="shared" si="34"/>
        <v>2662.7999999999997</v>
      </c>
      <c r="G101" s="19">
        <f t="shared" si="34"/>
        <v>2071.9</v>
      </c>
      <c r="H101" s="14">
        <f t="shared" si="35"/>
        <v>28.519716202519408</v>
      </c>
    </row>
    <row r="102" spans="1:9" x14ac:dyDescent="0.25">
      <c r="A102" s="10">
        <f t="shared" si="1"/>
        <v>39548</v>
      </c>
      <c r="B102">
        <v>353.5</v>
      </c>
      <c r="C102">
        <v>286.10000000000002</v>
      </c>
      <c r="D102">
        <v>2312.1999999999998</v>
      </c>
      <c r="E102">
        <v>1800.8</v>
      </c>
      <c r="F102" s="19">
        <f t="shared" si="34"/>
        <v>2665.7</v>
      </c>
      <c r="G102" s="19">
        <f t="shared" si="34"/>
        <v>2086.9</v>
      </c>
      <c r="H102" s="14">
        <f t="shared" si="35"/>
        <v>27.734917820690953</v>
      </c>
    </row>
    <row r="103" spans="1:9" x14ac:dyDescent="0.25">
      <c r="A103" s="10">
        <f t="shared" si="1"/>
        <v>39555</v>
      </c>
      <c r="B103">
        <v>308.8</v>
      </c>
      <c r="C103">
        <v>258</v>
      </c>
      <c r="D103">
        <v>2365.9</v>
      </c>
      <c r="E103">
        <v>1901.8</v>
      </c>
      <c r="F103" s="19">
        <f t="shared" ref="F103:G105" si="36">+B103+D103</f>
        <v>2674.7000000000003</v>
      </c>
      <c r="G103" s="19">
        <f t="shared" si="36"/>
        <v>2159.8000000000002</v>
      </c>
      <c r="H103" s="14">
        <f t="shared" si="35"/>
        <v>23.840170386146873</v>
      </c>
    </row>
    <row r="104" spans="1:9" x14ac:dyDescent="0.25">
      <c r="A104" s="10">
        <f t="shared" si="1"/>
        <v>39562</v>
      </c>
      <c r="B104">
        <v>297.10000000000002</v>
      </c>
      <c r="C104">
        <v>245.3</v>
      </c>
      <c r="D104">
        <v>2397.1</v>
      </c>
      <c r="E104">
        <v>1927.4</v>
      </c>
      <c r="F104" s="19">
        <f t="shared" si="36"/>
        <v>2694.2</v>
      </c>
      <c r="G104" s="19">
        <f t="shared" si="36"/>
        <v>2172.7000000000003</v>
      </c>
      <c r="H104" s="14">
        <f t="shared" si="35"/>
        <v>24.002393335481177</v>
      </c>
    </row>
    <row r="105" spans="1:9" x14ac:dyDescent="0.25">
      <c r="A105" s="10">
        <f t="shared" si="1"/>
        <v>39569</v>
      </c>
      <c r="B105">
        <v>314.89999999999998</v>
      </c>
      <c r="C105">
        <v>213</v>
      </c>
      <c r="D105">
        <v>2414.1</v>
      </c>
      <c r="E105">
        <v>1985.7</v>
      </c>
      <c r="F105" s="19">
        <f t="shared" si="36"/>
        <v>2729</v>
      </c>
      <c r="G105" s="19">
        <f t="shared" si="36"/>
        <v>2198.6999999999998</v>
      </c>
      <c r="H105" s="14">
        <f t="shared" si="35"/>
        <v>24.118797471233023</v>
      </c>
      <c r="I105">
        <v>437.4</v>
      </c>
    </row>
    <row r="106" spans="1:9" x14ac:dyDescent="0.25">
      <c r="A106" s="10">
        <f t="shared" si="1"/>
        <v>39576</v>
      </c>
      <c r="B106">
        <v>231.8</v>
      </c>
      <c r="C106">
        <v>198.9</v>
      </c>
      <c r="D106">
        <v>2498.4</v>
      </c>
      <c r="E106">
        <v>2011.3</v>
      </c>
      <c r="F106" s="19">
        <f t="shared" ref="F106:G108" si="37">+B106+D106</f>
        <v>2730.2000000000003</v>
      </c>
      <c r="G106" s="19">
        <f t="shared" si="37"/>
        <v>2210.1999999999998</v>
      </c>
      <c r="H106" s="14">
        <f t="shared" ref="H106:H111" si="38">(F106/G106-1)*100</f>
        <v>23.527282598859856</v>
      </c>
      <c r="I106">
        <v>437.4</v>
      </c>
    </row>
    <row r="107" spans="1:9" x14ac:dyDescent="0.25">
      <c r="A107" s="10">
        <f t="shared" si="1"/>
        <v>39583</v>
      </c>
      <c r="B107">
        <v>216.5</v>
      </c>
      <c r="C107">
        <v>151</v>
      </c>
      <c r="D107">
        <v>2515.1999999999998</v>
      </c>
      <c r="E107">
        <v>2064.3000000000002</v>
      </c>
      <c r="F107" s="19">
        <f t="shared" si="37"/>
        <v>2731.7</v>
      </c>
      <c r="G107" s="19">
        <f t="shared" si="37"/>
        <v>2215.3000000000002</v>
      </c>
      <c r="H107" s="14">
        <f t="shared" si="38"/>
        <v>23.310612558118528</v>
      </c>
      <c r="I107">
        <v>524.4</v>
      </c>
    </row>
    <row r="108" spans="1:9" x14ac:dyDescent="0.25">
      <c r="A108" s="10">
        <f t="shared" si="1"/>
        <v>39590</v>
      </c>
      <c r="B108">
        <v>196.8</v>
      </c>
      <c r="C108">
        <v>118.5</v>
      </c>
      <c r="D108">
        <v>2533.9</v>
      </c>
      <c r="E108">
        <v>2100.1999999999998</v>
      </c>
      <c r="F108" s="19">
        <f t="shared" si="37"/>
        <v>2730.7000000000003</v>
      </c>
      <c r="G108" s="19">
        <f t="shared" si="37"/>
        <v>2218.6999999999998</v>
      </c>
      <c r="H108" s="14">
        <f t="shared" si="38"/>
        <v>23.076576373552093</v>
      </c>
      <c r="I108">
        <v>529.4</v>
      </c>
    </row>
    <row r="109" spans="1:9" x14ac:dyDescent="0.25">
      <c r="A109" s="10">
        <f t="shared" si="1"/>
        <v>39597</v>
      </c>
      <c r="B109">
        <v>172.3</v>
      </c>
      <c r="C109">
        <v>82.3</v>
      </c>
      <c r="D109">
        <v>2556.5</v>
      </c>
      <c r="E109">
        <v>2137.6999999999998</v>
      </c>
      <c r="F109" s="19">
        <f t="shared" ref="F109:G111" si="39">+B109+D109</f>
        <v>2728.8</v>
      </c>
      <c r="G109" s="19">
        <f t="shared" si="39"/>
        <v>2220</v>
      </c>
      <c r="H109" s="14">
        <f t="shared" si="38"/>
        <v>22.91891891891893</v>
      </c>
      <c r="I109">
        <v>539.1</v>
      </c>
    </row>
    <row r="110" spans="1:9" x14ac:dyDescent="0.25">
      <c r="A110" s="10">
        <f t="shared" si="1"/>
        <v>39604</v>
      </c>
      <c r="B110">
        <v>709.2</v>
      </c>
      <c r="C110">
        <v>390.5</v>
      </c>
      <c r="D110">
        <v>11.6</v>
      </c>
      <c r="E110">
        <v>46.9</v>
      </c>
      <c r="F110" s="19">
        <f t="shared" si="39"/>
        <v>720.80000000000007</v>
      </c>
      <c r="G110" s="19">
        <f t="shared" si="39"/>
        <v>437.4</v>
      </c>
      <c r="H110" s="14">
        <f t="shared" si="38"/>
        <v>64.791952446273456</v>
      </c>
    </row>
    <row r="111" spans="1:9" x14ac:dyDescent="0.25">
      <c r="A111" s="10">
        <f t="shared" si="1"/>
        <v>39611</v>
      </c>
      <c r="B111">
        <v>709.2</v>
      </c>
      <c r="C111">
        <v>390.5</v>
      </c>
      <c r="D111">
        <v>11.6</v>
      </c>
      <c r="E111">
        <v>46.9</v>
      </c>
      <c r="F111" s="19">
        <f t="shared" si="39"/>
        <v>720.80000000000007</v>
      </c>
      <c r="G111" s="19">
        <f t="shared" si="39"/>
        <v>437.4</v>
      </c>
      <c r="H111" s="14">
        <f t="shared" si="38"/>
        <v>64.791952446273456</v>
      </c>
    </row>
    <row r="112" spans="1:9" x14ac:dyDescent="0.25">
      <c r="A112" s="10">
        <f t="shared" si="1"/>
        <v>39618</v>
      </c>
      <c r="B112">
        <v>810</v>
      </c>
      <c r="C112">
        <v>421.5</v>
      </c>
      <c r="D112">
        <v>50.8</v>
      </c>
      <c r="E112">
        <v>130.80000000000001</v>
      </c>
      <c r="F112" s="19">
        <f t="shared" ref="F112:G114" si="40">+B112+D112</f>
        <v>860.8</v>
      </c>
      <c r="G112" s="19">
        <f t="shared" si="40"/>
        <v>552.29999999999995</v>
      </c>
      <c r="H112" s="14">
        <f t="shared" ref="H112:H117" si="41">(F112/G112-1)*100</f>
        <v>55.857323918160432</v>
      </c>
    </row>
    <row r="113" spans="1:9" x14ac:dyDescent="0.25">
      <c r="A113" s="10">
        <f t="shared" si="1"/>
        <v>39625</v>
      </c>
      <c r="B113">
        <v>851.7</v>
      </c>
      <c r="C113">
        <v>435.5</v>
      </c>
      <c r="D113">
        <v>73.2</v>
      </c>
      <c r="E113">
        <v>164.2</v>
      </c>
      <c r="F113" s="19">
        <f t="shared" si="40"/>
        <v>924.90000000000009</v>
      </c>
      <c r="G113" s="19">
        <f t="shared" si="40"/>
        <v>599.70000000000005</v>
      </c>
      <c r="H113" s="14">
        <f t="shared" si="41"/>
        <v>54.227113556778384</v>
      </c>
    </row>
    <row r="114" spans="1:9" x14ac:dyDescent="0.25">
      <c r="A114" s="10">
        <f t="shared" si="1"/>
        <v>39632</v>
      </c>
      <c r="B114">
        <v>804.8</v>
      </c>
      <c r="C114">
        <v>373.7</v>
      </c>
      <c r="D114">
        <v>126.4</v>
      </c>
      <c r="E114">
        <v>262.39999999999998</v>
      </c>
      <c r="F114" s="19">
        <f t="shared" si="40"/>
        <v>931.19999999999993</v>
      </c>
      <c r="G114" s="19">
        <f t="shared" si="40"/>
        <v>636.09999999999991</v>
      </c>
      <c r="H114" s="14">
        <f t="shared" si="41"/>
        <v>46.392076717497254</v>
      </c>
    </row>
    <row r="115" spans="1:9" x14ac:dyDescent="0.25">
      <c r="A115" s="10">
        <f t="shared" si="1"/>
        <v>39639</v>
      </c>
      <c r="B115">
        <v>832</v>
      </c>
      <c r="C115">
        <v>505.5</v>
      </c>
      <c r="D115">
        <v>148.9</v>
      </c>
      <c r="E115">
        <v>292</v>
      </c>
      <c r="F115" s="19">
        <f t="shared" ref="F115:G117" si="42">+B115+D115</f>
        <v>980.9</v>
      </c>
      <c r="G115" s="19">
        <f t="shared" si="42"/>
        <v>797.5</v>
      </c>
      <c r="H115" s="14">
        <f t="shared" si="41"/>
        <v>22.996865203761764</v>
      </c>
    </row>
    <row r="116" spans="1:9" x14ac:dyDescent="0.25">
      <c r="A116" s="10">
        <f t="shared" si="1"/>
        <v>39646</v>
      </c>
      <c r="B116">
        <v>850</v>
      </c>
      <c r="C116">
        <v>496.7</v>
      </c>
      <c r="D116">
        <v>284</v>
      </c>
      <c r="E116">
        <v>341.4</v>
      </c>
      <c r="F116" s="19">
        <f t="shared" si="42"/>
        <v>1134</v>
      </c>
      <c r="G116" s="19">
        <f t="shared" si="42"/>
        <v>838.09999999999991</v>
      </c>
      <c r="H116" s="14">
        <f t="shared" si="41"/>
        <v>35.306049397446614</v>
      </c>
    </row>
    <row r="117" spans="1:9" x14ac:dyDescent="0.25">
      <c r="A117" s="10">
        <f t="shared" si="1"/>
        <v>39653</v>
      </c>
      <c r="B117">
        <v>894.6</v>
      </c>
      <c r="C117">
        <v>533.29999999999995</v>
      </c>
      <c r="D117">
        <v>311.89999999999998</v>
      </c>
      <c r="E117">
        <v>382.7</v>
      </c>
      <c r="F117" s="19">
        <f t="shared" si="42"/>
        <v>1206.5</v>
      </c>
      <c r="G117" s="19">
        <f t="shared" si="42"/>
        <v>916</v>
      </c>
      <c r="H117" s="14">
        <f t="shared" si="41"/>
        <v>31.713973799126638</v>
      </c>
    </row>
    <row r="118" spans="1:9" x14ac:dyDescent="0.25">
      <c r="A118" s="10">
        <f t="shared" si="1"/>
        <v>39660</v>
      </c>
      <c r="B118">
        <v>947.8</v>
      </c>
      <c r="C118">
        <v>533.9</v>
      </c>
      <c r="D118">
        <v>361.2</v>
      </c>
      <c r="E118">
        <v>448</v>
      </c>
      <c r="F118" s="19">
        <f t="shared" ref="F118:G120" si="43">+B118+D118</f>
        <v>1309</v>
      </c>
      <c r="G118" s="19">
        <f t="shared" si="43"/>
        <v>981.9</v>
      </c>
      <c r="H118" s="14">
        <f t="shared" ref="H118:H123" si="44">(F118/G118-1)*100</f>
        <v>33.312964660352385</v>
      </c>
      <c r="I118">
        <v>5</v>
      </c>
    </row>
    <row r="119" spans="1:9" x14ac:dyDescent="0.25">
      <c r="A119" s="10">
        <f t="shared" si="1"/>
        <v>39667</v>
      </c>
      <c r="B119">
        <v>884.8</v>
      </c>
      <c r="C119">
        <v>529.9</v>
      </c>
      <c r="D119">
        <v>439.2</v>
      </c>
      <c r="E119">
        <v>472.4</v>
      </c>
      <c r="F119" s="19">
        <f t="shared" si="43"/>
        <v>1324</v>
      </c>
      <c r="G119" s="19">
        <f t="shared" si="43"/>
        <v>1002.3</v>
      </c>
      <c r="H119" s="14">
        <f t="shared" si="44"/>
        <v>32.096178788785792</v>
      </c>
      <c r="I119">
        <v>5</v>
      </c>
    </row>
    <row r="120" spans="1:9" x14ac:dyDescent="0.25">
      <c r="A120" s="10">
        <f t="shared" si="1"/>
        <v>39674</v>
      </c>
      <c r="B120">
        <v>880.6</v>
      </c>
      <c r="C120">
        <v>507.3</v>
      </c>
      <c r="D120">
        <v>501.9</v>
      </c>
      <c r="E120">
        <v>523.9</v>
      </c>
      <c r="F120" s="19">
        <f t="shared" si="43"/>
        <v>1382.5</v>
      </c>
      <c r="G120" s="19">
        <f t="shared" si="43"/>
        <v>1031.2</v>
      </c>
      <c r="H120" s="14">
        <f t="shared" si="44"/>
        <v>34.06710628394103</v>
      </c>
      <c r="I120">
        <v>20</v>
      </c>
    </row>
    <row r="121" spans="1:9" x14ac:dyDescent="0.25">
      <c r="A121" s="10">
        <f t="shared" si="1"/>
        <v>39681</v>
      </c>
      <c r="B121">
        <v>850</v>
      </c>
      <c r="C121">
        <v>460.3</v>
      </c>
      <c r="D121">
        <v>603.20000000000005</v>
      </c>
      <c r="E121">
        <v>558.70000000000005</v>
      </c>
      <c r="F121" s="19">
        <f t="shared" ref="F121:G123" si="45">+B121+D121</f>
        <v>1453.2</v>
      </c>
      <c r="G121" s="19">
        <f t="shared" si="45"/>
        <v>1019</v>
      </c>
      <c r="H121" s="14">
        <f t="shared" si="44"/>
        <v>42.610402355250244</v>
      </c>
      <c r="I121">
        <v>20</v>
      </c>
    </row>
    <row r="122" spans="1:9" x14ac:dyDescent="0.25">
      <c r="A122" s="10">
        <f t="shared" si="1"/>
        <v>39688</v>
      </c>
      <c r="B122">
        <v>795.9</v>
      </c>
      <c r="C122">
        <v>455.3</v>
      </c>
      <c r="D122">
        <v>658.5</v>
      </c>
      <c r="E122">
        <v>591.5</v>
      </c>
      <c r="F122" s="19">
        <f t="shared" si="45"/>
        <v>1454.4</v>
      </c>
      <c r="G122" s="19">
        <f t="shared" si="45"/>
        <v>1046.8</v>
      </c>
      <c r="H122" s="14">
        <f t="shared" si="44"/>
        <v>38.937714940771897</v>
      </c>
    </row>
    <row r="123" spans="1:9" x14ac:dyDescent="0.25">
      <c r="A123" s="10">
        <f t="shared" si="1"/>
        <v>39695</v>
      </c>
      <c r="B123">
        <v>789.3</v>
      </c>
      <c r="C123">
        <v>423.6</v>
      </c>
      <c r="D123">
        <v>706.2</v>
      </c>
      <c r="E123">
        <v>654.79999999999995</v>
      </c>
      <c r="F123" s="19">
        <f t="shared" si="45"/>
        <v>1495.5</v>
      </c>
      <c r="G123" s="19">
        <f t="shared" si="45"/>
        <v>1078.4000000000001</v>
      </c>
      <c r="H123" s="14">
        <f t="shared" si="44"/>
        <v>38.677670623145403</v>
      </c>
    </row>
    <row r="124" spans="1:9" x14ac:dyDescent="0.25">
      <c r="A124" s="10">
        <f t="shared" si="1"/>
        <v>39702</v>
      </c>
      <c r="B124">
        <v>802.3</v>
      </c>
      <c r="C124">
        <v>412.9</v>
      </c>
      <c r="D124">
        <v>758.3</v>
      </c>
      <c r="E124">
        <v>709.8</v>
      </c>
      <c r="F124" s="19">
        <f t="shared" ref="F124:G126" si="46">+B124+D124</f>
        <v>1560.6</v>
      </c>
      <c r="G124" s="19">
        <f t="shared" si="46"/>
        <v>1122.6999999999998</v>
      </c>
      <c r="H124" s="14">
        <f t="shared" ref="H124:H129" si="47">(F124/G124-1)*100</f>
        <v>39.004186336510216</v>
      </c>
    </row>
    <row r="125" spans="1:9" x14ac:dyDescent="0.25">
      <c r="A125" s="10">
        <f t="shared" si="1"/>
        <v>39709</v>
      </c>
      <c r="B125">
        <v>852.3</v>
      </c>
      <c r="C125">
        <v>493.1</v>
      </c>
      <c r="D125">
        <v>773.5</v>
      </c>
      <c r="E125">
        <v>737.2</v>
      </c>
      <c r="F125" s="19">
        <f t="shared" si="46"/>
        <v>1625.8</v>
      </c>
      <c r="G125" s="19">
        <f t="shared" si="46"/>
        <v>1230.3000000000002</v>
      </c>
      <c r="H125" s="14">
        <f t="shared" si="47"/>
        <v>32.146630903031756</v>
      </c>
    </row>
    <row r="126" spans="1:9" x14ac:dyDescent="0.25">
      <c r="A126" s="10">
        <f t="shared" si="1"/>
        <v>39716</v>
      </c>
      <c r="B126">
        <v>804</v>
      </c>
      <c r="C126">
        <v>589</v>
      </c>
      <c r="D126">
        <v>876.4</v>
      </c>
      <c r="E126">
        <v>832.2</v>
      </c>
      <c r="F126" s="19">
        <f t="shared" si="46"/>
        <v>1680.4</v>
      </c>
      <c r="G126" s="19">
        <f t="shared" si="46"/>
        <v>1421.2</v>
      </c>
      <c r="H126" s="14">
        <f t="shared" si="47"/>
        <v>18.238108640585416</v>
      </c>
    </row>
    <row r="127" spans="1:9" x14ac:dyDescent="0.25">
      <c r="A127" s="10">
        <f t="shared" si="1"/>
        <v>39723</v>
      </c>
      <c r="B127">
        <v>777.3</v>
      </c>
      <c r="C127">
        <v>801.3</v>
      </c>
      <c r="D127">
        <v>916.3</v>
      </c>
      <c r="E127">
        <v>872.8</v>
      </c>
      <c r="F127" s="19">
        <f t="shared" ref="F127:G129" si="48">+B127+D127</f>
        <v>1693.6</v>
      </c>
      <c r="G127" s="19">
        <f t="shared" si="48"/>
        <v>1674.1</v>
      </c>
      <c r="H127" s="14">
        <f t="shared" si="47"/>
        <v>1.164804969834532</v>
      </c>
    </row>
    <row r="128" spans="1:9" x14ac:dyDescent="0.25">
      <c r="A128" s="10">
        <f t="shared" si="1"/>
        <v>39730</v>
      </c>
      <c r="B128">
        <v>736.6</v>
      </c>
      <c r="C128">
        <v>802.4</v>
      </c>
      <c r="D128">
        <v>1017.8</v>
      </c>
      <c r="E128">
        <v>945.5</v>
      </c>
      <c r="F128" s="19">
        <f t="shared" si="48"/>
        <v>1754.4</v>
      </c>
      <c r="G128" s="19">
        <f t="shared" si="48"/>
        <v>1747.9</v>
      </c>
      <c r="H128" s="14">
        <f t="shared" si="47"/>
        <v>0.37187482121403548</v>
      </c>
    </row>
    <row r="129" spans="1:9" x14ac:dyDescent="0.25">
      <c r="A129" s="10">
        <f t="shared" si="1"/>
        <v>39737</v>
      </c>
      <c r="B129">
        <v>743.6</v>
      </c>
      <c r="C129">
        <v>737.3</v>
      </c>
      <c r="D129">
        <v>1060</v>
      </c>
      <c r="E129">
        <v>1028.5</v>
      </c>
      <c r="F129" s="19">
        <f t="shared" si="48"/>
        <v>1803.6</v>
      </c>
      <c r="G129" s="19">
        <f t="shared" si="48"/>
        <v>1765.8</v>
      </c>
      <c r="H129" s="14">
        <f t="shared" si="47"/>
        <v>2.1406727828746197</v>
      </c>
    </row>
    <row r="130" spans="1:9" x14ac:dyDescent="0.25">
      <c r="A130" s="10">
        <f t="shared" si="1"/>
        <v>39744</v>
      </c>
      <c r="B130">
        <v>730.9</v>
      </c>
      <c r="C130">
        <v>730</v>
      </c>
      <c r="D130">
        <v>1106</v>
      </c>
      <c r="E130">
        <v>1047.5999999999999</v>
      </c>
      <c r="F130" s="19">
        <f t="shared" ref="F130:G132" si="49">+B130+D130</f>
        <v>1836.9</v>
      </c>
      <c r="G130" s="19">
        <f t="shared" si="49"/>
        <v>1777.6</v>
      </c>
      <c r="H130" s="14">
        <f t="shared" ref="H130:H135" si="50">(F130/G130-1)*100</f>
        <v>3.3359585958596005</v>
      </c>
    </row>
    <row r="131" spans="1:9" x14ac:dyDescent="0.25">
      <c r="A131" s="10">
        <f t="shared" si="1"/>
        <v>39751</v>
      </c>
      <c r="B131">
        <v>754</v>
      </c>
      <c r="C131">
        <v>680.8</v>
      </c>
      <c r="D131">
        <v>1112.7</v>
      </c>
      <c r="E131">
        <v>1129.3</v>
      </c>
      <c r="F131" s="19">
        <f t="shared" si="49"/>
        <v>1866.7</v>
      </c>
      <c r="G131" s="19">
        <f t="shared" si="49"/>
        <v>1810.1</v>
      </c>
      <c r="H131" s="14">
        <f t="shared" si="50"/>
        <v>3.1268990663499308</v>
      </c>
    </row>
    <row r="132" spans="1:9" x14ac:dyDescent="0.25">
      <c r="A132" s="10">
        <f t="shared" si="1"/>
        <v>39758</v>
      </c>
      <c r="B132">
        <v>734.5</v>
      </c>
      <c r="C132">
        <v>662.7</v>
      </c>
      <c r="D132">
        <v>1175.8</v>
      </c>
      <c r="E132">
        <v>1177.5999999999999</v>
      </c>
      <c r="F132" s="19">
        <f t="shared" si="49"/>
        <v>1910.3</v>
      </c>
      <c r="G132" s="19">
        <f t="shared" si="49"/>
        <v>1840.3</v>
      </c>
      <c r="H132" s="14">
        <f t="shared" si="50"/>
        <v>3.8037276531000419</v>
      </c>
    </row>
    <row r="133" spans="1:9" x14ac:dyDescent="0.25">
      <c r="A133" s="10">
        <f t="shared" si="1"/>
        <v>39765</v>
      </c>
      <c r="B133">
        <v>721.6</v>
      </c>
      <c r="C133">
        <v>697.7</v>
      </c>
      <c r="D133">
        <v>1186</v>
      </c>
      <c r="E133">
        <v>1223.5</v>
      </c>
      <c r="F133" s="19">
        <f t="shared" ref="F133:G135" si="51">+B133+D133</f>
        <v>1907.6</v>
      </c>
      <c r="G133" s="19">
        <f t="shared" si="51"/>
        <v>1921.2</v>
      </c>
      <c r="H133" s="14">
        <f t="shared" si="50"/>
        <v>-0.70789090151989198</v>
      </c>
    </row>
    <row r="134" spans="1:9" x14ac:dyDescent="0.25">
      <c r="A134" s="10">
        <f t="shared" si="1"/>
        <v>39772</v>
      </c>
      <c r="B134">
        <v>664.4</v>
      </c>
      <c r="C134">
        <v>694.8</v>
      </c>
      <c r="D134">
        <v>1254.3</v>
      </c>
      <c r="E134">
        <v>1241.8</v>
      </c>
      <c r="F134" s="19">
        <f t="shared" si="51"/>
        <v>1918.6999999999998</v>
      </c>
      <c r="G134" s="19">
        <f t="shared" si="51"/>
        <v>1936.6</v>
      </c>
      <c r="H134" s="14">
        <f t="shared" si="50"/>
        <v>-0.92430032014871877</v>
      </c>
    </row>
    <row r="135" spans="1:9" x14ac:dyDescent="0.25">
      <c r="A135" s="10">
        <f t="shared" si="1"/>
        <v>39779</v>
      </c>
      <c r="B135">
        <v>609.29999999999995</v>
      </c>
      <c r="C135">
        <v>714.8</v>
      </c>
      <c r="D135">
        <v>1312.3</v>
      </c>
      <c r="E135">
        <v>1296</v>
      </c>
      <c r="F135" s="19">
        <f t="shared" si="51"/>
        <v>1921.6</v>
      </c>
      <c r="G135" s="19">
        <f t="shared" si="51"/>
        <v>2010.8</v>
      </c>
      <c r="H135" s="14">
        <f t="shared" si="50"/>
        <v>-4.4360453550825518</v>
      </c>
    </row>
    <row r="136" spans="1:9" x14ac:dyDescent="0.25">
      <c r="A136" s="10">
        <f t="shared" si="1"/>
        <v>39786</v>
      </c>
      <c r="B136">
        <v>606.4</v>
      </c>
      <c r="C136">
        <v>745.3</v>
      </c>
      <c r="D136">
        <v>1329</v>
      </c>
      <c r="E136">
        <v>1343.2</v>
      </c>
      <c r="F136" s="19">
        <f t="shared" ref="F136:G138" si="52">+B136+D136</f>
        <v>1935.4</v>
      </c>
      <c r="G136" s="19">
        <f t="shared" si="52"/>
        <v>2088.5</v>
      </c>
      <c r="H136" s="14">
        <f t="shared" ref="H136:H141" si="53">(F136/G136-1)*100</f>
        <v>-7.3306200622456297</v>
      </c>
    </row>
    <row r="137" spans="1:9" x14ac:dyDescent="0.25">
      <c r="A137" s="10">
        <f t="shared" si="1"/>
        <v>39793</v>
      </c>
      <c r="B137">
        <v>707.5</v>
      </c>
      <c r="C137">
        <v>801.3</v>
      </c>
      <c r="D137">
        <v>1346.5</v>
      </c>
      <c r="E137">
        <v>1371.8</v>
      </c>
      <c r="F137" s="19">
        <f t="shared" si="52"/>
        <v>2054</v>
      </c>
      <c r="G137" s="19">
        <f t="shared" si="52"/>
        <v>2173.1</v>
      </c>
      <c r="H137" s="14">
        <f t="shared" si="53"/>
        <v>-5.4806497630113586</v>
      </c>
      <c r="I137">
        <v>160.80000000000001</v>
      </c>
    </row>
    <row r="138" spans="1:9" x14ac:dyDescent="0.25">
      <c r="A138" s="10">
        <f t="shared" si="1"/>
        <v>39800</v>
      </c>
      <c r="B138">
        <v>669.1</v>
      </c>
      <c r="C138">
        <v>852.3</v>
      </c>
      <c r="D138">
        <v>1443.5</v>
      </c>
      <c r="E138">
        <v>1380.2</v>
      </c>
      <c r="F138" s="19">
        <f t="shared" si="52"/>
        <v>2112.6</v>
      </c>
      <c r="G138" s="19">
        <f t="shared" si="52"/>
        <v>2232.5</v>
      </c>
      <c r="H138" s="14">
        <f t="shared" si="53"/>
        <v>-5.3706606942889206</v>
      </c>
      <c r="I138">
        <v>160.80000000000001</v>
      </c>
    </row>
    <row r="139" spans="1:9" x14ac:dyDescent="0.25">
      <c r="A139" s="10">
        <f t="shared" si="1"/>
        <v>39807</v>
      </c>
      <c r="B139">
        <v>672.1</v>
      </c>
      <c r="C139">
        <v>833.9</v>
      </c>
      <c r="D139">
        <v>1449.3</v>
      </c>
      <c r="E139">
        <v>1397.5</v>
      </c>
      <c r="F139" s="19">
        <f t="shared" ref="F139:G141" si="54">+B139+D139</f>
        <v>2121.4</v>
      </c>
      <c r="G139" s="19">
        <f t="shared" si="54"/>
        <v>2231.4</v>
      </c>
      <c r="H139" s="14">
        <f t="shared" si="53"/>
        <v>-4.929640584386485</v>
      </c>
      <c r="I139">
        <v>160.80000000000001</v>
      </c>
    </row>
    <row r="140" spans="1:9" x14ac:dyDescent="0.25">
      <c r="A140" s="10">
        <f t="shared" si="1"/>
        <v>39814</v>
      </c>
      <c r="B140">
        <v>646.79999999999995</v>
      </c>
      <c r="C140">
        <v>756</v>
      </c>
      <c r="D140">
        <v>1497.6</v>
      </c>
      <c r="E140">
        <v>1483.2</v>
      </c>
      <c r="F140" s="19">
        <f t="shared" si="54"/>
        <v>2144.3999999999996</v>
      </c>
      <c r="G140" s="19">
        <f t="shared" si="54"/>
        <v>2239.1999999999998</v>
      </c>
      <c r="H140" s="14">
        <f t="shared" si="53"/>
        <v>-4.2336548767416993</v>
      </c>
      <c r="I140">
        <v>160.80000000000001</v>
      </c>
    </row>
    <row r="141" spans="1:9" x14ac:dyDescent="0.25">
      <c r="A141" s="10">
        <f t="shared" si="1"/>
        <v>39821</v>
      </c>
      <c r="B141">
        <v>605</v>
      </c>
      <c r="C141">
        <v>680.5</v>
      </c>
      <c r="D141">
        <v>1541.3</v>
      </c>
      <c r="E141">
        <v>1567.9</v>
      </c>
      <c r="F141" s="19">
        <f t="shared" si="54"/>
        <v>2146.3000000000002</v>
      </c>
      <c r="G141" s="19">
        <f t="shared" si="54"/>
        <v>2248.4</v>
      </c>
      <c r="H141" s="14">
        <f t="shared" si="53"/>
        <v>-4.5410069382672109</v>
      </c>
      <c r="I141">
        <v>160.80000000000001</v>
      </c>
    </row>
    <row r="142" spans="1:9" x14ac:dyDescent="0.25">
      <c r="A142" s="10">
        <f t="shared" si="1"/>
        <v>39828</v>
      </c>
      <c r="B142">
        <v>585.79999999999995</v>
      </c>
      <c r="C142">
        <v>693.1</v>
      </c>
      <c r="D142">
        <v>1567.2</v>
      </c>
      <c r="E142">
        <v>1587.2</v>
      </c>
      <c r="F142" s="19">
        <f t="shared" ref="F142:G144" si="55">+B142+D142</f>
        <v>2153</v>
      </c>
      <c r="G142" s="19">
        <f t="shared" si="55"/>
        <v>2280.3000000000002</v>
      </c>
      <c r="H142" s="14">
        <f t="shared" ref="H142:H147" si="56">(F142/G142-1)*100</f>
        <v>-5.5825987808621802</v>
      </c>
      <c r="I142">
        <v>160.80000000000001</v>
      </c>
    </row>
    <row r="143" spans="1:9" x14ac:dyDescent="0.25">
      <c r="A143" s="10">
        <f t="shared" si="1"/>
        <v>39835</v>
      </c>
      <c r="B143">
        <v>585.20000000000005</v>
      </c>
      <c r="C143">
        <v>740.2</v>
      </c>
      <c r="D143">
        <v>1603.2</v>
      </c>
      <c r="E143">
        <v>1622</v>
      </c>
      <c r="F143" s="19">
        <f t="shared" si="55"/>
        <v>2188.4</v>
      </c>
      <c r="G143" s="19">
        <f t="shared" si="55"/>
        <v>2362.1999999999998</v>
      </c>
      <c r="H143" s="14">
        <f t="shared" si="56"/>
        <v>-7.3575480484294182</v>
      </c>
      <c r="I143">
        <v>160.80000000000001</v>
      </c>
    </row>
    <row r="144" spans="1:9" x14ac:dyDescent="0.25">
      <c r="A144" s="10">
        <f t="shared" si="1"/>
        <v>39842</v>
      </c>
      <c r="B144">
        <v>639.79999999999995</v>
      </c>
      <c r="C144">
        <v>699.3</v>
      </c>
      <c r="D144">
        <v>1647.9</v>
      </c>
      <c r="E144">
        <v>1713.2</v>
      </c>
      <c r="F144" s="19">
        <f t="shared" si="55"/>
        <v>2287.6999999999998</v>
      </c>
      <c r="G144" s="19">
        <f t="shared" si="55"/>
        <v>2412.5</v>
      </c>
      <c r="H144" s="14">
        <f t="shared" si="56"/>
        <v>-5.1730569948186584</v>
      </c>
      <c r="I144">
        <v>160.80000000000001</v>
      </c>
    </row>
    <row r="145" spans="1:9" x14ac:dyDescent="0.25">
      <c r="A145" s="10">
        <f t="shared" si="1"/>
        <v>39849</v>
      </c>
      <c r="B145">
        <v>581.70000000000005</v>
      </c>
      <c r="C145">
        <v>609.20000000000005</v>
      </c>
      <c r="D145">
        <v>1730.8</v>
      </c>
      <c r="E145">
        <v>1801.2</v>
      </c>
      <c r="F145" s="19">
        <f t="shared" ref="F145:G147" si="57">+B145+D145</f>
        <v>2312.5</v>
      </c>
      <c r="G145" s="19">
        <f t="shared" si="57"/>
        <v>2410.4</v>
      </c>
      <c r="H145" s="14">
        <f t="shared" si="56"/>
        <v>-4.0615665449717948</v>
      </c>
    </row>
    <row r="146" spans="1:9" x14ac:dyDescent="0.25">
      <c r="A146" s="10">
        <f t="shared" si="1"/>
        <v>39856</v>
      </c>
      <c r="B146">
        <v>587</v>
      </c>
      <c r="C146">
        <v>613.6</v>
      </c>
      <c r="D146">
        <v>1765.8</v>
      </c>
      <c r="E146">
        <v>1825.6</v>
      </c>
      <c r="F146" s="19">
        <f t="shared" si="57"/>
        <v>2352.8000000000002</v>
      </c>
      <c r="G146" s="19">
        <f t="shared" si="57"/>
        <v>2439.1999999999998</v>
      </c>
      <c r="H146" s="14">
        <f t="shared" si="56"/>
        <v>-3.5421449655624659</v>
      </c>
    </row>
    <row r="147" spans="1:9" x14ac:dyDescent="0.25">
      <c r="A147" s="10">
        <f t="shared" si="1"/>
        <v>39863</v>
      </c>
      <c r="B147">
        <v>587.79999999999995</v>
      </c>
      <c r="C147">
        <v>584.20000000000005</v>
      </c>
      <c r="D147">
        <v>1793.1</v>
      </c>
      <c r="E147">
        <v>1881.6</v>
      </c>
      <c r="F147" s="19">
        <f t="shared" si="57"/>
        <v>2380.8999999999996</v>
      </c>
      <c r="G147" s="19">
        <f t="shared" si="57"/>
        <v>2465.8000000000002</v>
      </c>
      <c r="H147" s="14">
        <f t="shared" si="56"/>
        <v>-3.4431016303025586</v>
      </c>
    </row>
    <row r="148" spans="1:9" x14ac:dyDescent="0.25">
      <c r="A148" s="10">
        <f t="shared" si="1"/>
        <v>39870</v>
      </c>
      <c r="B148">
        <v>560.70000000000005</v>
      </c>
      <c r="C148">
        <v>592.9</v>
      </c>
      <c r="D148">
        <v>1866.9</v>
      </c>
      <c r="E148">
        <v>1960.5</v>
      </c>
      <c r="F148" s="19">
        <f t="shared" ref="F148:G150" si="58">+B148+D148</f>
        <v>2427.6000000000004</v>
      </c>
      <c r="G148" s="19">
        <f t="shared" si="58"/>
        <v>2553.4</v>
      </c>
      <c r="H148" s="14">
        <f t="shared" ref="H148:H153" si="59">(F148/G148-1)*100</f>
        <v>-4.9267643142476558</v>
      </c>
    </row>
    <row r="149" spans="1:9" x14ac:dyDescent="0.25">
      <c r="A149" s="10">
        <f t="shared" si="1"/>
        <v>39877</v>
      </c>
      <c r="B149">
        <v>459.5</v>
      </c>
      <c r="C149">
        <v>570.9</v>
      </c>
      <c r="D149">
        <v>1951.2</v>
      </c>
      <c r="E149">
        <v>1998.7</v>
      </c>
      <c r="F149" s="19">
        <f t="shared" si="58"/>
        <v>2410.6999999999998</v>
      </c>
      <c r="G149" s="19">
        <f t="shared" si="58"/>
        <v>2569.6</v>
      </c>
      <c r="H149" s="14">
        <f t="shared" si="59"/>
        <v>-6.1838418430884223</v>
      </c>
    </row>
    <row r="150" spans="1:9" x14ac:dyDescent="0.25">
      <c r="A150" s="10">
        <f t="shared" si="1"/>
        <v>39884</v>
      </c>
      <c r="B150">
        <v>420.5</v>
      </c>
      <c r="C150">
        <v>490.4</v>
      </c>
      <c r="D150">
        <v>1999.5</v>
      </c>
      <c r="E150">
        <v>2094.4</v>
      </c>
      <c r="F150" s="19">
        <f t="shared" si="58"/>
        <v>2420</v>
      </c>
      <c r="G150" s="19">
        <f t="shared" si="58"/>
        <v>2584.8000000000002</v>
      </c>
      <c r="H150" s="14">
        <f t="shared" si="59"/>
        <v>-6.3757350665428758</v>
      </c>
      <c r="I150">
        <v>245.3</v>
      </c>
    </row>
    <row r="151" spans="1:9" x14ac:dyDescent="0.25">
      <c r="A151" s="10">
        <f t="shared" si="1"/>
        <v>39891</v>
      </c>
      <c r="B151">
        <v>378.4</v>
      </c>
      <c r="C151">
        <v>476.3</v>
      </c>
      <c r="D151">
        <v>2056.6</v>
      </c>
      <c r="E151">
        <v>2112.4</v>
      </c>
      <c r="F151" s="19">
        <f t="shared" ref="F151:G155" si="60">+B151+D151</f>
        <v>2435</v>
      </c>
      <c r="G151" s="19">
        <f t="shared" si="60"/>
        <v>2588.7000000000003</v>
      </c>
      <c r="H151" s="14">
        <f t="shared" si="59"/>
        <v>-5.9373430679491745</v>
      </c>
    </row>
    <row r="152" spans="1:9" x14ac:dyDescent="0.25">
      <c r="A152" s="10">
        <f t="shared" si="1"/>
        <v>39898</v>
      </c>
      <c r="B152">
        <v>366.3</v>
      </c>
      <c r="C152">
        <v>419.6</v>
      </c>
      <c r="D152">
        <v>2072.4</v>
      </c>
      <c r="E152">
        <v>2181.1999999999998</v>
      </c>
      <c r="F152" s="19">
        <f t="shared" si="60"/>
        <v>2438.7000000000003</v>
      </c>
      <c r="G152" s="19">
        <f t="shared" si="60"/>
        <v>2600.7999999999997</v>
      </c>
      <c r="H152" s="14">
        <f t="shared" si="59"/>
        <v>-6.2326976314979854</v>
      </c>
    </row>
    <row r="153" spans="1:9" x14ac:dyDescent="0.25">
      <c r="A153" s="10">
        <f t="shared" si="1"/>
        <v>39905</v>
      </c>
      <c r="B153">
        <v>363.5</v>
      </c>
      <c r="C153">
        <v>387.7</v>
      </c>
      <c r="D153">
        <v>2106</v>
      </c>
      <c r="E153">
        <v>2275.1</v>
      </c>
      <c r="F153" s="19">
        <f t="shared" si="60"/>
        <v>2469.5</v>
      </c>
      <c r="G153" s="19">
        <f t="shared" si="60"/>
        <v>2662.7999999999997</v>
      </c>
      <c r="H153" s="14">
        <f t="shared" si="59"/>
        <v>-7.2592759501276749</v>
      </c>
    </row>
    <row r="154" spans="1:9" x14ac:dyDescent="0.25">
      <c r="A154" s="10">
        <f t="shared" si="1"/>
        <v>39912</v>
      </c>
      <c r="B154">
        <v>316.3</v>
      </c>
      <c r="C154">
        <v>353.5</v>
      </c>
      <c r="D154">
        <v>2128.8000000000002</v>
      </c>
      <c r="E154">
        <v>2312.1999999999998</v>
      </c>
      <c r="F154" s="19">
        <f t="shared" si="60"/>
        <v>2445.1000000000004</v>
      </c>
      <c r="G154" s="19">
        <f t="shared" si="60"/>
        <v>2665.7</v>
      </c>
      <c r="H154" s="14">
        <f t="shared" ref="H154:H159" si="61">(F154/G154-1)*100</f>
        <v>-8.2754998687023846</v>
      </c>
    </row>
    <row r="155" spans="1:9" x14ac:dyDescent="0.25">
      <c r="A155" s="10">
        <f t="shared" si="1"/>
        <v>39919</v>
      </c>
      <c r="B155">
        <v>275.60000000000002</v>
      </c>
      <c r="C155">
        <v>308.8</v>
      </c>
      <c r="D155">
        <v>2174.6</v>
      </c>
      <c r="E155">
        <v>2365.9</v>
      </c>
      <c r="F155" s="19">
        <f t="shared" si="60"/>
        <v>2450.1999999999998</v>
      </c>
      <c r="G155" s="19">
        <f t="shared" si="60"/>
        <v>2674.7000000000003</v>
      </c>
      <c r="H155" s="14">
        <f t="shared" si="61"/>
        <v>-8.393464687628537</v>
      </c>
    </row>
    <row r="156" spans="1:9" x14ac:dyDescent="0.25">
      <c r="A156" s="10">
        <f t="shared" si="1"/>
        <v>39926</v>
      </c>
      <c r="B156">
        <v>211.7</v>
      </c>
      <c r="C156">
        <v>297.10000000000002</v>
      </c>
      <c r="D156">
        <v>2241.4</v>
      </c>
      <c r="E156">
        <v>2397.1</v>
      </c>
      <c r="F156" s="19">
        <f t="shared" ref="F156:F187" si="62">+B156+D156</f>
        <v>2453.1</v>
      </c>
      <c r="G156" s="19">
        <f t="shared" ref="G156:G187" si="63">+C156+E156</f>
        <v>2694.2</v>
      </c>
      <c r="H156" s="14">
        <f t="shared" si="61"/>
        <v>-8.94885309182688</v>
      </c>
      <c r="I156">
        <v>302.8</v>
      </c>
    </row>
    <row r="157" spans="1:9" x14ac:dyDescent="0.25">
      <c r="A157" s="10">
        <f t="shared" si="1"/>
        <v>39933</v>
      </c>
      <c r="B157">
        <v>216.1</v>
      </c>
      <c r="C157">
        <v>314.89999999999998</v>
      </c>
      <c r="D157">
        <v>2259.1999999999998</v>
      </c>
      <c r="E157">
        <v>2414.1</v>
      </c>
      <c r="F157" s="19">
        <f t="shared" si="62"/>
        <v>2475.2999999999997</v>
      </c>
      <c r="G157" s="19">
        <f t="shared" si="63"/>
        <v>2729</v>
      </c>
      <c r="H157" s="14">
        <f t="shared" si="61"/>
        <v>-9.2964455844631857</v>
      </c>
      <c r="I157">
        <v>320.3</v>
      </c>
    </row>
    <row r="158" spans="1:9" x14ac:dyDescent="0.25">
      <c r="A158" s="10">
        <f t="shared" si="1"/>
        <v>39940</v>
      </c>
      <c r="B158">
        <v>201.4</v>
      </c>
      <c r="C158">
        <v>231.8</v>
      </c>
      <c r="D158">
        <v>2278.8000000000002</v>
      </c>
      <c r="E158">
        <v>2498.4</v>
      </c>
      <c r="F158" s="19">
        <f t="shared" si="62"/>
        <v>2480.2000000000003</v>
      </c>
      <c r="G158" s="19">
        <f t="shared" si="63"/>
        <v>2730.2000000000003</v>
      </c>
      <c r="H158" s="14">
        <f t="shared" si="61"/>
        <v>-9.1568383268625038</v>
      </c>
      <c r="I158">
        <v>320.3</v>
      </c>
    </row>
    <row r="159" spans="1:9" x14ac:dyDescent="0.25">
      <c r="A159" s="10">
        <f t="shared" si="1"/>
        <v>39947</v>
      </c>
      <c r="B159">
        <v>151.6</v>
      </c>
      <c r="C159">
        <v>216.5</v>
      </c>
      <c r="D159">
        <v>2330.6999999999998</v>
      </c>
      <c r="E159">
        <v>2515.1999999999998</v>
      </c>
      <c r="F159" s="19">
        <f t="shared" si="62"/>
        <v>2482.2999999999997</v>
      </c>
      <c r="G159" s="19">
        <f t="shared" si="63"/>
        <v>2731.7</v>
      </c>
      <c r="H159" s="14">
        <f t="shared" si="61"/>
        <v>-9.1298458835157632</v>
      </c>
      <c r="I159">
        <v>320.3</v>
      </c>
    </row>
    <row r="160" spans="1:9" x14ac:dyDescent="0.25">
      <c r="A160" s="10">
        <f t="shared" si="1"/>
        <v>39954</v>
      </c>
      <c r="B160">
        <v>123.6</v>
      </c>
      <c r="C160">
        <v>196.8</v>
      </c>
      <c r="D160">
        <v>2366</v>
      </c>
      <c r="E160">
        <v>2533.9</v>
      </c>
      <c r="F160" s="19">
        <f t="shared" si="62"/>
        <v>2489.6</v>
      </c>
      <c r="G160" s="19">
        <f t="shared" si="63"/>
        <v>2730.7000000000003</v>
      </c>
      <c r="H160" s="14">
        <f t="shared" ref="H160:H191" si="64">(F160/G160-1)*100</f>
        <v>-8.8292379243417596</v>
      </c>
      <c r="I160">
        <v>329.7</v>
      </c>
    </row>
    <row r="161" spans="1:9" x14ac:dyDescent="0.25">
      <c r="A161" s="10">
        <f t="shared" si="1"/>
        <v>39961</v>
      </c>
      <c r="B161">
        <v>83.4</v>
      </c>
      <c r="C161">
        <v>172.3</v>
      </c>
      <c r="D161">
        <v>2380.1</v>
      </c>
      <c r="E161">
        <v>2556.5</v>
      </c>
      <c r="F161" s="19">
        <f t="shared" si="62"/>
        <v>2463.5</v>
      </c>
      <c r="G161" s="19">
        <f t="shared" si="63"/>
        <v>2728.8</v>
      </c>
      <c r="H161" s="14">
        <f t="shared" si="64"/>
        <v>-9.7222222222222321</v>
      </c>
      <c r="I161">
        <v>363.8</v>
      </c>
    </row>
    <row r="162" spans="1:9" x14ac:dyDescent="0.25">
      <c r="A162" s="10">
        <f t="shared" si="1"/>
        <v>39968</v>
      </c>
      <c r="B162">
        <v>400.9</v>
      </c>
      <c r="C162">
        <v>709.2</v>
      </c>
      <c r="D162">
        <v>6.3</v>
      </c>
      <c r="E162">
        <v>11.6</v>
      </c>
      <c r="F162" s="19">
        <f t="shared" si="62"/>
        <v>407.2</v>
      </c>
      <c r="G162" s="19">
        <f t="shared" si="63"/>
        <v>720.80000000000007</v>
      </c>
      <c r="H162" s="14">
        <f t="shared" si="64"/>
        <v>-43.507214206437297</v>
      </c>
    </row>
    <row r="163" spans="1:9" x14ac:dyDescent="0.25">
      <c r="A163" s="10">
        <f t="shared" si="1"/>
        <v>39975</v>
      </c>
      <c r="B163">
        <v>365.6</v>
      </c>
      <c r="C163">
        <v>729.9</v>
      </c>
      <c r="D163">
        <v>53.7</v>
      </c>
      <c r="E163">
        <v>22</v>
      </c>
      <c r="F163" s="19">
        <f t="shared" si="62"/>
        <v>419.3</v>
      </c>
      <c r="G163" s="19">
        <f t="shared" si="63"/>
        <v>751.9</v>
      </c>
      <c r="H163" s="14">
        <f t="shared" si="64"/>
        <v>-44.234605665647017</v>
      </c>
    </row>
    <row r="164" spans="1:9" x14ac:dyDescent="0.25">
      <c r="A164" s="10">
        <f t="shared" si="1"/>
        <v>39982</v>
      </c>
      <c r="B164">
        <v>347.9</v>
      </c>
      <c r="C164">
        <v>810</v>
      </c>
      <c r="D164">
        <v>85.4</v>
      </c>
      <c r="E164">
        <v>50.8</v>
      </c>
      <c r="F164" s="19">
        <f t="shared" si="62"/>
        <v>433.29999999999995</v>
      </c>
      <c r="G164" s="19">
        <f t="shared" si="63"/>
        <v>860.8</v>
      </c>
      <c r="H164" s="14">
        <f t="shared" si="64"/>
        <v>-49.663104089219331</v>
      </c>
    </row>
    <row r="165" spans="1:9" x14ac:dyDescent="0.25">
      <c r="A165" s="10">
        <f t="shared" si="1"/>
        <v>39989</v>
      </c>
      <c r="B165">
        <v>393.3</v>
      </c>
      <c r="C165">
        <v>851.7</v>
      </c>
      <c r="D165">
        <v>96.4</v>
      </c>
      <c r="E165">
        <v>73.2</v>
      </c>
      <c r="F165" s="19">
        <f t="shared" si="62"/>
        <v>489.70000000000005</v>
      </c>
      <c r="G165" s="19">
        <f t="shared" si="63"/>
        <v>924.90000000000009</v>
      </c>
      <c r="H165" s="14">
        <f t="shared" si="64"/>
        <v>-47.053735538977179</v>
      </c>
    </row>
    <row r="166" spans="1:9" x14ac:dyDescent="0.25">
      <c r="A166" s="10">
        <f t="shared" si="1"/>
        <v>39996</v>
      </c>
      <c r="B166">
        <v>420.8</v>
      </c>
      <c r="C166">
        <v>804.8</v>
      </c>
      <c r="D166">
        <v>98.8</v>
      </c>
      <c r="E166">
        <v>126.4</v>
      </c>
      <c r="F166" s="19">
        <f t="shared" si="62"/>
        <v>519.6</v>
      </c>
      <c r="G166" s="19">
        <f t="shared" si="63"/>
        <v>931.19999999999993</v>
      </c>
      <c r="H166" s="14">
        <f t="shared" si="64"/>
        <v>-44.201030927835049</v>
      </c>
    </row>
    <row r="167" spans="1:9" x14ac:dyDescent="0.25">
      <c r="A167" s="10">
        <f t="shared" si="1"/>
        <v>40003</v>
      </c>
      <c r="B167">
        <v>457.2</v>
      </c>
      <c r="C167">
        <v>832</v>
      </c>
      <c r="D167">
        <v>132.69999999999999</v>
      </c>
      <c r="E167">
        <v>148.9</v>
      </c>
      <c r="F167" s="19">
        <f t="shared" si="62"/>
        <v>589.9</v>
      </c>
      <c r="G167" s="19">
        <f t="shared" si="63"/>
        <v>980.9</v>
      </c>
      <c r="H167" s="14">
        <f t="shared" si="64"/>
        <v>-39.86135181975736</v>
      </c>
    </row>
    <row r="168" spans="1:9" x14ac:dyDescent="0.25">
      <c r="A168" s="10">
        <f t="shared" si="1"/>
        <v>40010</v>
      </c>
      <c r="B168">
        <v>477.1</v>
      </c>
      <c r="C168">
        <v>850</v>
      </c>
      <c r="D168">
        <v>170</v>
      </c>
      <c r="E168">
        <v>284</v>
      </c>
      <c r="F168" s="19">
        <f t="shared" si="62"/>
        <v>647.1</v>
      </c>
      <c r="G168" s="19">
        <f t="shared" si="63"/>
        <v>1134</v>
      </c>
      <c r="H168" s="14">
        <f t="shared" si="64"/>
        <v>-42.936507936507937</v>
      </c>
    </row>
    <row r="169" spans="1:9" x14ac:dyDescent="0.25">
      <c r="A169" s="10">
        <f t="shared" si="1"/>
        <v>40017</v>
      </c>
      <c r="B169">
        <v>458</v>
      </c>
      <c r="C169">
        <v>894.6</v>
      </c>
      <c r="D169">
        <v>202.6</v>
      </c>
      <c r="E169">
        <v>311.89999999999998</v>
      </c>
      <c r="F169" s="19">
        <f t="shared" si="62"/>
        <v>660.6</v>
      </c>
      <c r="G169" s="19">
        <f t="shared" si="63"/>
        <v>1206.5</v>
      </c>
      <c r="H169" s="14">
        <f t="shared" si="64"/>
        <v>-45.24658101947783</v>
      </c>
    </row>
    <row r="170" spans="1:9" x14ac:dyDescent="0.25">
      <c r="A170" s="10">
        <f t="shared" si="1"/>
        <v>40024</v>
      </c>
      <c r="B170">
        <v>436.6</v>
      </c>
      <c r="C170">
        <v>947.8</v>
      </c>
      <c r="D170">
        <v>237.2</v>
      </c>
      <c r="E170">
        <v>361.2</v>
      </c>
      <c r="F170" s="19">
        <f t="shared" si="62"/>
        <v>673.8</v>
      </c>
      <c r="G170" s="19">
        <f t="shared" si="63"/>
        <v>1309</v>
      </c>
      <c r="H170" s="14">
        <f t="shared" si="64"/>
        <v>-48.52559205500382</v>
      </c>
    </row>
    <row r="171" spans="1:9" x14ac:dyDescent="0.25">
      <c r="A171" s="10">
        <f t="shared" si="1"/>
        <v>40031</v>
      </c>
      <c r="B171">
        <v>407.1</v>
      </c>
      <c r="C171">
        <v>884.8</v>
      </c>
      <c r="D171">
        <v>275.2</v>
      </c>
      <c r="E171">
        <v>439.2</v>
      </c>
      <c r="F171" s="19">
        <f t="shared" si="62"/>
        <v>682.3</v>
      </c>
      <c r="G171" s="19">
        <f t="shared" si="63"/>
        <v>1324</v>
      </c>
      <c r="H171" s="14">
        <f t="shared" si="64"/>
        <v>-48.466767371601215</v>
      </c>
    </row>
    <row r="172" spans="1:9" x14ac:dyDescent="0.25">
      <c r="A172" s="10">
        <f t="shared" si="1"/>
        <v>40038</v>
      </c>
      <c r="B172">
        <v>371.8</v>
      </c>
      <c r="C172">
        <v>880.6</v>
      </c>
      <c r="D172">
        <v>313</v>
      </c>
      <c r="E172">
        <v>501.9</v>
      </c>
      <c r="F172" s="19">
        <f t="shared" si="62"/>
        <v>684.8</v>
      </c>
      <c r="G172" s="19">
        <f t="shared" si="63"/>
        <v>1382.5</v>
      </c>
      <c r="H172" s="14">
        <f t="shared" si="64"/>
        <v>-50.466546112115736</v>
      </c>
    </row>
    <row r="173" spans="1:9" x14ac:dyDescent="0.25">
      <c r="A173" s="10">
        <f t="shared" si="1"/>
        <v>40045</v>
      </c>
      <c r="B173">
        <v>353.8</v>
      </c>
      <c r="C173">
        <v>850</v>
      </c>
      <c r="D173">
        <v>366.1</v>
      </c>
      <c r="E173">
        <v>603.20000000000005</v>
      </c>
      <c r="F173" s="19">
        <f t="shared" si="62"/>
        <v>719.90000000000009</v>
      </c>
      <c r="G173" s="19">
        <f t="shared" si="63"/>
        <v>1453.2</v>
      </c>
      <c r="H173" s="14">
        <f t="shared" si="64"/>
        <v>-50.461051472612162</v>
      </c>
    </row>
    <row r="174" spans="1:9" x14ac:dyDescent="0.25">
      <c r="A174" s="10">
        <f t="shared" si="1"/>
        <v>40052</v>
      </c>
      <c r="B174">
        <v>351.1</v>
      </c>
      <c r="C174">
        <v>795.9</v>
      </c>
      <c r="D174">
        <v>429.3</v>
      </c>
      <c r="E174">
        <v>658.5</v>
      </c>
      <c r="F174" s="19">
        <f t="shared" si="62"/>
        <v>780.40000000000009</v>
      </c>
      <c r="G174" s="19">
        <f t="shared" si="63"/>
        <v>1454.4</v>
      </c>
      <c r="H174" s="14">
        <f t="shared" si="64"/>
        <v>-46.342134213421339</v>
      </c>
    </row>
    <row r="175" spans="1:9" x14ac:dyDescent="0.25">
      <c r="A175" s="10">
        <f t="shared" si="1"/>
        <v>40059</v>
      </c>
      <c r="B175">
        <v>358.1</v>
      </c>
      <c r="C175">
        <v>789.3</v>
      </c>
      <c r="D175">
        <v>439.6</v>
      </c>
      <c r="E175">
        <v>713.5</v>
      </c>
      <c r="F175" s="19">
        <f t="shared" si="62"/>
        <v>797.7</v>
      </c>
      <c r="G175" s="19">
        <f t="shared" si="63"/>
        <v>1502.8</v>
      </c>
      <c r="H175" s="14">
        <f t="shared" si="64"/>
        <v>-46.91908437583178</v>
      </c>
    </row>
    <row r="176" spans="1:9" x14ac:dyDescent="0.25">
      <c r="A176" s="10">
        <f t="shared" si="1"/>
        <v>40066</v>
      </c>
      <c r="B176">
        <v>371.9</v>
      </c>
      <c r="C176">
        <v>802.3</v>
      </c>
      <c r="D176">
        <v>485.4</v>
      </c>
      <c r="E176">
        <v>765.6</v>
      </c>
      <c r="F176" s="19">
        <f t="shared" si="62"/>
        <v>857.3</v>
      </c>
      <c r="G176" s="19">
        <f t="shared" si="63"/>
        <v>1567.9</v>
      </c>
      <c r="H176" s="14">
        <f t="shared" si="64"/>
        <v>-45.321767969896044</v>
      </c>
    </row>
    <row r="177" spans="1:9" x14ac:dyDescent="0.25">
      <c r="A177" s="10">
        <f t="shared" si="1"/>
        <v>40073</v>
      </c>
      <c r="B177">
        <v>344.2</v>
      </c>
      <c r="C177">
        <v>852.3</v>
      </c>
      <c r="D177">
        <v>529.9</v>
      </c>
      <c r="E177">
        <v>780.9</v>
      </c>
      <c r="F177" s="19">
        <f t="shared" si="62"/>
        <v>874.09999999999991</v>
      </c>
      <c r="G177" s="19">
        <f t="shared" si="63"/>
        <v>1633.1999999999998</v>
      </c>
      <c r="H177" s="14">
        <f t="shared" si="64"/>
        <v>-46.479304433014931</v>
      </c>
    </row>
    <row r="178" spans="1:9" x14ac:dyDescent="0.25">
      <c r="A178" s="10">
        <f t="shared" si="1"/>
        <v>40080</v>
      </c>
      <c r="B178">
        <v>372.1</v>
      </c>
      <c r="C178">
        <v>804</v>
      </c>
      <c r="D178">
        <v>571.9</v>
      </c>
      <c r="E178">
        <v>876.4</v>
      </c>
      <c r="F178" s="19">
        <f t="shared" si="62"/>
        <v>944</v>
      </c>
      <c r="G178" s="19">
        <f t="shared" si="63"/>
        <v>1680.4</v>
      </c>
      <c r="H178" s="14">
        <f t="shared" si="64"/>
        <v>-43.822899309688168</v>
      </c>
    </row>
    <row r="179" spans="1:9" x14ac:dyDescent="0.25">
      <c r="A179" s="10">
        <f t="shared" si="1"/>
        <v>40087</v>
      </c>
      <c r="B179">
        <v>381.7</v>
      </c>
      <c r="C179">
        <v>777.3</v>
      </c>
      <c r="D179">
        <v>579.6</v>
      </c>
      <c r="E179">
        <v>916.3</v>
      </c>
      <c r="F179" s="19">
        <f t="shared" si="62"/>
        <v>961.3</v>
      </c>
      <c r="G179" s="19">
        <f t="shared" si="63"/>
        <v>1693.6</v>
      </c>
      <c r="H179" s="14">
        <f t="shared" si="64"/>
        <v>-43.239253660840816</v>
      </c>
    </row>
    <row r="180" spans="1:9" x14ac:dyDescent="0.25">
      <c r="A180" s="10">
        <f t="shared" si="1"/>
        <v>40094</v>
      </c>
      <c r="B180">
        <v>363.5</v>
      </c>
      <c r="C180">
        <v>736.6</v>
      </c>
      <c r="D180">
        <v>615.79999999999995</v>
      </c>
      <c r="E180">
        <v>1017.8</v>
      </c>
      <c r="F180" s="19">
        <f t="shared" si="62"/>
        <v>979.3</v>
      </c>
      <c r="G180" s="19">
        <f t="shared" si="63"/>
        <v>1754.4</v>
      </c>
      <c r="H180" s="14">
        <f t="shared" si="64"/>
        <v>-44.180346557227544</v>
      </c>
    </row>
    <row r="181" spans="1:9" x14ac:dyDescent="0.25">
      <c r="A181" s="10">
        <f t="shared" si="1"/>
        <v>40101</v>
      </c>
      <c r="B181">
        <v>380.4</v>
      </c>
      <c r="C181">
        <v>743.6</v>
      </c>
      <c r="D181">
        <v>673.5</v>
      </c>
      <c r="E181">
        <v>1060</v>
      </c>
      <c r="F181" s="19">
        <f t="shared" si="62"/>
        <v>1053.9000000000001</v>
      </c>
      <c r="G181" s="19">
        <f t="shared" si="63"/>
        <v>1803.6</v>
      </c>
      <c r="H181" s="14">
        <f t="shared" si="64"/>
        <v>-41.566866267465066</v>
      </c>
      <c r="I181">
        <v>40.5</v>
      </c>
    </row>
    <row r="182" spans="1:9" x14ac:dyDescent="0.25">
      <c r="A182" s="10">
        <f t="shared" si="1"/>
        <v>40108</v>
      </c>
      <c r="B182">
        <v>386.8</v>
      </c>
      <c r="C182">
        <v>730.9</v>
      </c>
      <c r="D182">
        <v>679.9</v>
      </c>
      <c r="E182">
        <v>1106</v>
      </c>
      <c r="F182" s="19">
        <f t="shared" si="62"/>
        <v>1066.7</v>
      </c>
      <c r="G182" s="19">
        <f t="shared" si="63"/>
        <v>1836.9</v>
      </c>
      <c r="H182" s="14">
        <f t="shared" si="64"/>
        <v>-41.929337470738744</v>
      </c>
      <c r="I182">
        <v>58.5</v>
      </c>
    </row>
    <row r="183" spans="1:9" x14ac:dyDescent="0.25">
      <c r="A183" s="10">
        <f t="shared" si="1"/>
        <v>40115</v>
      </c>
      <c r="B183">
        <v>451</v>
      </c>
      <c r="C183">
        <v>754</v>
      </c>
      <c r="D183">
        <v>683.6</v>
      </c>
      <c r="E183">
        <v>1112.7</v>
      </c>
      <c r="F183" s="19">
        <f t="shared" si="62"/>
        <v>1134.5999999999999</v>
      </c>
      <c r="G183" s="19">
        <f t="shared" si="63"/>
        <v>1866.7</v>
      </c>
      <c r="H183" s="14">
        <f t="shared" si="64"/>
        <v>-39.218942518883594</v>
      </c>
      <c r="I183">
        <v>58.5</v>
      </c>
    </row>
    <row r="184" spans="1:9" x14ac:dyDescent="0.25">
      <c r="A184" s="10">
        <f t="shared" si="1"/>
        <v>40122</v>
      </c>
      <c r="B184">
        <v>406.2</v>
      </c>
      <c r="C184">
        <v>721.6</v>
      </c>
      <c r="D184">
        <v>742.2</v>
      </c>
      <c r="E184">
        <v>1186</v>
      </c>
      <c r="F184" s="19">
        <f t="shared" si="62"/>
        <v>1148.4000000000001</v>
      </c>
      <c r="G184" s="19">
        <f t="shared" si="63"/>
        <v>1907.6</v>
      </c>
      <c r="H184" s="14">
        <f t="shared" si="64"/>
        <v>-39.798699937093716</v>
      </c>
      <c r="I184">
        <v>58.5</v>
      </c>
    </row>
    <row r="185" spans="1:9" x14ac:dyDescent="0.25">
      <c r="A185" s="10">
        <f t="shared" si="1"/>
        <v>40129</v>
      </c>
      <c r="B185">
        <v>391.2</v>
      </c>
      <c r="C185">
        <v>721.6</v>
      </c>
      <c r="D185">
        <v>780.7</v>
      </c>
      <c r="E185">
        <v>1186</v>
      </c>
      <c r="F185" s="19">
        <f t="shared" si="62"/>
        <v>1171.9000000000001</v>
      </c>
      <c r="G185" s="19">
        <f t="shared" si="63"/>
        <v>1907.6</v>
      </c>
      <c r="H185" s="14">
        <f t="shared" si="64"/>
        <v>-38.566785489620457</v>
      </c>
      <c r="I185">
        <v>58.5</v>
      </c>
    </row>
    <row r="186" spans="1:9" x14ac:dyDescent="0.25">
      <c r="A186" s="10">
        <f t="shared" si="1"/>
        <v>40136</v>
      </c>
      <c r="B186">
        <v>403.9</v>
      </c>
      <c r="C186">
        <v>664.4</v>
      </c>
      <c r="D186">
        <v>811.8</v>
      </c>
      <c r="E186">
        <v>1254.3</v>
      </c>
      <c r="F186" s="19">
        <f t="shared" si="62"/>
        <v>1215.6999999999998</v>
      </c>
      <c r="G186" s="19">
        <f t="shared" si="63"/>
        <v>1918.6999999999998</v>
      </c>
      <c r="H186" s="14">
        <f t="shared" si="64"/>
        <v>-36.639391254495237</v>
      </c>
      <c r="I186">
        <v>58.5</v>
      </c>
    </row>
    <row r="187" spans="1:9" x14ac:dyDescent="0.25">
      <c r="A187" s="10">
        <f t="shared" si="1"/>
        <v>40143</v>
      </c>
      <c r="B187">
        <v>407</v>
      </c>
      <c r="C187">
        <v>609.29999999999995</v>
      </c>
      <c r="D187">
        <v>834.2</v>
      </c>
      <c r="E187">
        <v>1312.3</v>
      </c>
      <c r="F187" s="19">
        <f t="shared" si="62"/>
        <v>1241.2</v>
      </c>
      <c r="G187" s="19">
        <f t="shared" si="63"/>
        <v>1921.6</v>
      </c>
      <c r="H187" s="14">
        <f t="shared" si="64"/>
        <v>-35.40799333888426</v>
      </c>
      <c r="I187">
        <v>58.5</v>
      </c>
    </row>
    <row r="188" spans="1:9" x14ac:dyDescent="0.25">
      <c r="A188" s="10">
        <f t="shared" si="1"/>
        <v>40150</v>
      </c>
      <c r="B188">
        <v>396.2</v>
      </c>
      <c r="C188">
        <v>606.4</v>
      </c>
      <c r="D188">
        <v>859.1</v>
      </c>
      <c r="E188">
        <v>1329</v>
      </c>
      <c r="F188" s="19">
        <f t="shared" ref="F188:F219" si="65">+B188+D188</f>
        <v>1255.3</v>
      </c>
      <c r="G188" s="19">
        <f t="shared" ref="G188:G219" si="66">+C188+E188</f>
        <v>1935.4</v>
      </c>
      <c r="H188" s="14">
        <f t="shared" si="64"/>
        <v>-35.140022734318485</v>
      </c>
      <c r="I188">
        <v>58.5</v>
      </c>
    </row>
    <row r="189" spans="1:9" x14ac:dyDescent="0.25">
      <c r="A189" s="10">
        <f t="shared" si="1"/>
        <v>40157</v>
      </c>
      <c r="B189">
        <v>364.1</v>
      </c>
      <c r="C189">
        <v>707.5</v>
      </c>
      <c r="D189">
        <v>912.5</v>
      </c>
      <c r="E189">
        <v>1346.5</v>
      </c>
      <c r="F189" s="19">
        <f t="shared" si="65"/>
        <v>1276.5999999999999</v>
      </c>
      <c r="G189" s="19">
        <f t="shared" si="66"/>
        <v>2054</v>
      </c>
      <c r="H189" s="14">
        <f t="shared" si="64"/>
        <v>-37.848101265822784</v>
      </c>
      <c r="I189">
        <v>58.5</v>
      </c>
    </row>
    <row r="190" spans="1:9" x14ac:dyDescent="0.25">
      <c r="A190" s="10">
        <f t="shared" si="1"/>
        <v>40164</v>
      </c>
      <c r="B190">
        <v>391.4</v>
      </c>
      <c r="C190">
        <v>669.1</v>
      </c>
      <c r="D190">
        <v>922.1</v>
      </c>
      <c r="E190">
        <v>1443.5</v>
      </c>
      <c r="F190" s="19">
        <f t="shared" si="65"/>
        <v>1313.5</v>
      </c>
      <c r="G190" s="19">
        <f t="shared" si="66"/>
        <v>2112.6</v>
      </c>
      <c r="H190" s="14">
        <f t="shared" si="64"/>
        <v>-37.825428382088418</v>
      </c>
      <c r="I190">
        <v>58.5</v>
      </c>
    </row>
    <row r="191" spans="1:9" x14ac:dyDescent="0.25">
      <c r="A191" s="10">
        <f t="shared" si="1"/>
        <v>40171</v>
      </c>
      <c r="B191">
        <v>391</v>
      </c>
      <c r="C191">
        <v>672.1</v>
      </c>
      <c r="D191">
        <v>971.8</v>
      </c>
      <c r="E191">
        <v>1449.3</v>
      </c>
      <c r="F191" s="19">
        <f t="shared" si="65"/>
        <v>1362.8</v>
      </c>
      <c r="G191" s="19">
        <f t="shared" si="66"/>
        <v>2121.4</v>
      </c>
      <c r="H191" s="14">
        <f t="shared" si="64"/>
        <v>-35.759404167059493</v>
      </c>
      <c r="I191">
        <v>58.5</v>
      </c>
    </row>
    <row r="192" spans="1:9" x14ac:dyDescent="0.25">
      <c r="A192" s="10">
        <f t="shared" si="1"/>
        <v>40178</v>
      </c>
      <c r="B192">
        <v>393.3</v>
      </c>
      <c r="C192">
        <v>646.79999999999995</v>
      </c>
      <c r="D192">
        <v>977.6</v>
      </c>
      <c r="E192">
        <v>1497.6</v>
      </c>
      <c r="F192" s="19">
        <f t="shared" si="65"/>
        <v>1370.9</v>
      </c>
      <c r="G192" s="19">
        <f t="shared" si="66"/>
        <v>2144.3999999999996</v>
      </c>
      <c r="H192" s="14">
        <f t="shared" ref="H192:H223" si="67">(F192/G192-1)*100</f>
        <v>-36.070695765715335</v>
      </c>
      <c r="I192">
        <v>58.5</v>
      </c>
    </row>
    <row r="193" spans="1:9" x14ac:dyDescent="0.25">
      <c r="A193" s="10">
        <f t="shared" si="1"/>
        <v>40185</v>
      </c>
      <c r="B193">
        <v>352.8</v>
      </c>
      <c r="C193">
        <v>605</v>
      </c>
      <c r="D193">
        <v>1021.9</v>
      </c>
      <c r="E193">
        <v>1541.3</v>
      </c>
      <c r="F193" s="19">
        <f t="shared" si="65"/>
        <v>1374.7</v>
      </c>
      <c r="G193" s="19">
        <f t="shared" si="66"/>
        <v>2146.3000000000002</v>
      </c>
      <c r="H193" s="14">
        <f t="shared" si="67"/>
        <v>-35.950239947817174</v>
      </c>
      <c r="I193">
        <v>58.5</v>
      </c>
    </row>
    <row r="194" spans="1:9" x14ac:dyDescent="0.25">
      <c r="A194" s="10">
        <f t="shared" si="1"/>
        <v>40192</v>
      </c>
      <c r="B194">
        <v>368</v>
      </c>
      <c r="C194">
        <v>585.79999999999995</v>
      </c>
      <c r="D194">
        <v>1045.0999999999999</v>
      </c>
      <c r="E194">
        <v>1567.2</v>
      </c>
      <c r="F194" s="19">
        <f t="shared" si="65"/>
        <v>1413.1</v>
      </c>
      <c r="G194" s="19">
        <f t="shared" si="66"/>
        <v>2153</v>
      </c>
      <c r="H194" s="14">
        <f t="shared" si="67"/>
        <v>-34.366000928936366</v>
      </c>
      <c r="I194">
        <v>58.5</v>
      </c>
    </row>
    <row r="195" spans="1:9" x14ac:dyDescent="0.25">
      <c r="A195" s="10">
        <f t="shared" si="1"/>
        <v>40199</v>
      </c>
      <c r="B195">
        <v>412.5</v>
      </c>
      <c r="C195">
        <v>585.20000000000005</v>
      </c>
      <c r="D195">
        <v>1078.7</v>
      </c>
      <c r="E195">
        <v>1603.2</v>
      </c>
      <c r="F195" s="19">
        <f t="shared" si="65"/>
        <v>1491.2</v>
      </c>
      <c r="G195" s="19">
        <f t="shared" si="66"/>
        <v>2188.4</v>
      </c>
      <c r="H195" s="14">
        <f t="shared" si="67"/>
        <v>-31.858892341436661</v>
      </c>
      <c r="I195">
        <v>61</v>
      </c>
    </row>
    <row r="196" spans="1:9" x14ac:dyDescent="0.25">
      <c r="A196" s="10">
        <f t="shared" si="1"/>
        <v>40206</v>
      </c>
      <c r="B196">
        <v>543.79999999999995</v>
      </c>
      <c r="C196">
        <v>639.79999999999995</v>
      </c>
      <c r="D196">
        <v>1143.5999999999999</v>
      </c>
      <c r="E196">
        <v>1647.9</v>
      </c>
      <c r="F196" s="19">
        <f t="shared" si="65"/>
        <v>1687.3999999999999</v>
      </c>
      <c r="G196" s="19">
        <f t="shared" si="66"/>
        <v>2287.6999999999998</v>
      </c>
      <c r="H196" s="14">
        <f t="shared" si="67"/>
        <v>-26.240328714429339</v>
      </c>
      <c r="I196">
        <v>113.5</v>
      </c>
    </row>
    <row r="197" spans="1:9" x14ac:dyDescent="0.25">
      <c r="A197" s="10">
        <f t="shared" si="1"/>
        <v>40213</v>
      </c>
      <c r="B197">
        <v>526.29999999999995</v>
      </c>
      <c r="C197">
        <v>581.70000000000005</v>
      </c>
      <c r="D197">
        <v>1194.5</v>
      </c>
      <c r="E197">
        <v>1730.8</v>
      </c>
      <c r="F197" s="19">
        <f t="shared" si="65"/>
        <v>1720.8</v>
      </c>
      <c r="G197" s="19">
        <f t="shared" si="66"/>
        <v>2312.5</v>
      </c>
      <c r="H197" s="14">
        <f t="shared" si="67"/>
        <v>-25.58702702702703</v>
      </c>
      <c r="I197">
        <v>118.5</v>
      </c>
    </row>
    <row r="198" spans="1:9" x14ac:dyDescent="0.25">
      <c r="A198" s="10">
        <f t="shared" si="1"/>
        <v>40220</v>
      </c>
      <c r="B198">
        <v>556.70000000000005</v>
      </c>
      <c r="C198">
        <v>587</v>
      </c>
      <c r="D198">
        <v>1227.4000000000001</v>
      </c>
      <c r="E198">
        <v>1765.8</v>
      </c>
      <c r="F198" s="19">
        <f t="shared" si="65"/>
        <v>1784.1000000000001</v>
      </c>
      <c r="G198" s="19">
        <f t="shared" si="66"/>
        <v>2352.8000000000002</v>
      </c>
      <c r="H198" s="14">
        <f t="shared" si="67"/>
        <v>-24.171200272016325</v>
      </c>
      <c r="I198">
        <v>118.5</v>
      </c>
    </row>
    <row r="199" spans="1:9" x14ac:dyDescent="0.25">
      <c r="A199" s="10">
        <f t="shared" si="1"/>
        <v>40227</v>
      </c>
      <c r="B199">
        <v>497.8</v>
      </c>
      <c r="C199">
        <v>587.79999999999995</v>
      </c>
      <c r="D199">
        <v>1281</v>
      </c>
      <c r="E199">
        <v>1793.1</v>
      </c>
      <c r="F199" s="19">
        <f t="shared" si="65"/>
        <v>1778.8</v>
      </c>
      <c r="G199" s="19">
        <f t="shared" si="66"/>
        <v>2380.8999999999996</v>
      </c>
      <c r="H199" s="14">
        <f t="shared" si="67"/>
        <v>-25.288756352639751</v>
      </c>
      <c r="I199">
        <v>147.69999999999999</v>
      </c>
    </row>
    <row r="200" spans="1:9" x14ac:dyDescent="0.25">
      <c r="A200" s="10">
        <f t="shared" si="1"/>
        <v>40234</v>
      </c>
      <c r="B200">
        <v>448.5</v>
      </c>
      <c r="C200">
        <v>560.70000000000005</v>
      </c>
      <c r="D200">
        <v>1329.4</v>
      </c>
      <c r="E200">
        <v>1866.9</v>
      </c>
      <c r="F200" s="19">
        <f t="shared" si="65"/>
        <v>1777.9</v>
      </c>
      <c r="G200" s="19">
        <f t="shared" si="66"/>
        <v>2427.6000000000004</v>
      </c>
      <c r="H200" s="14">
        <f t="shared" si="67"/>
        <v>-26.763058164442256</v>
      </c>
      <c r="I200">
        <v>150.19999999999999</v>
      </c>
    </row>
    <row r="201" spans="1:9" x14ac:dyDescent="0.25">
      <c r="A201" s="10">
        <f t="shared" si="1"/>
        <v>40241</v>
      </c>
      <c r="B201">
        <v>446.6</v>
      </c>
      <c r="C201">
        <v>459.5</v>
      </c>
      <c r="D201">
        <v>1365</v>
      </c>
      <c r="E201">
        <v>1951.2</v>
      </c>
      <c r="F201" s="19">
        <f t="shared" si="65"/>
        <v>1811.6</v>
      </c>
      <c r="G201" s="19">
        <f t="shared" si="66"/>
        <v>2410.6999999999998</v>
      </c>
      <c r="H201" s="14">
        <f t="shared" si="67"/>
        <v>-24.85170282490563</v>
      </c>
      <c r="I201">
        <v>150.19999999999999</v>
      </c>
    </row>
    <row r="202" spans="1:9" x14ac:dyDescent="0.25">
      <c r="A202" s="10">
        <f t="shared" si="1"/>
        <v>40248</v>
      </c>
      <c r="B202">
        <v>425.7</v>
      </c>
      <c r="C202">
        <v>420.5</v>
      </c>
      <c r="D202">
        <v>1388</v>
      </c>
      <c r="E202">
        <v>1999.5</v>
      </c>
      <c r="F202" s="19">
        <f t="shared" si="65"/>
        <v>1813.7</v>
      </c>
      <c r="G202" s="19">
        <f t="shared" si="66"/>
        <v>2420</v>
      </c>
      <c r="H202" s="14">
        <f t="shared" si="67"/>
        <v>-25.053719008264462</v>
      </c>
      <c r="I202">
        <v>173.2</v>
      </c>
    </row>
    <row r="203" spans="1:9" x14ac:dyDescent="0.25">
      <c r="A203" s="10">
        <f t="shared" si="1"/>
        <v>40255</v>
      </c>
      <c r="B203">
        <v>355.6</v>
      </c>
      <c r="C203">
        <v>378.4</v>
      </c>
      <c r="D203">
        <v>1460.6</v>
      </c>
      <c r="E203">
        <v>2056.6</v>
      </c>
      <c r="F203" s="19">
        <f t="shared" si="65"/>
        <v>1816.1999999999998</v>
      </c>
      <c r="G203" s="19">
        <f t="shared" si="66"/>
        <v>2435</v>
      </c>
      <c r="H203" s="14">
        <f t="shared" si="67"/>
        <v>-25.412731006160172</v>
      </c>
      <c r="I203">
        <v>173.2</v>
      </c>
    </row>
    <row r="204" spans="1:9" x14ac:dyDescent="0.25">
      <c r="A204" s="10">
        <f t="shared" si="1"/>
        <v>40262</v>
      </c>
      <c r="B204">
        <v>311.2</v>
      </c>
      <c r="C204">
        <v>366.3</v>
      </c>
      <c r="D204">
        <v>1540.9</v>
      </c>
      <c r="E204">
        <v>2072.4</v>
      </c>
      <c r="F204" s="19">
        <f t="shared" si="65"/>
        <v>1852.1000000000001</v>
      </c>
      <c r="G204" s="19">
        <f t="shared" si="66"/>
        <v>2438.7000000000003</v>
      </c>
      <c r="H204" s="14">
        <f t="shared" si="67"/>
        <v>-24.05379915528766</v>
      </c>
      <c r="I204">
        <v>173.2</v>
      </c>
    </row>
    <row r="205" spans="1:9" x14ac:dyDescent="0.25">
      <c r="A205" s="10">
        <f t="shared" si="1"/>
        <v>40269</v>
      </c>
      <c r="B205">
        <v>297.89999999999998</v>
      </c>
      <c r="C205">
        <v>363.5</v>
      </c>
      <c r="D205">
        <v>1581.2</v>
      </c>
      <c r="E205">
        <v>2106</v>
      </c>
      <c r="F205" s="19">
        <f t="shared" si="65"/>
        <v>1879.1</v>
      </c>
      <c r="G205" s="19">
        <f t="shared" si="66"/>
        <v>2469.5</v>
      </c>
      <c r="H205" s="14">
        <f t="shared" si="67"/>
        <v>-23.907673618141324</v>
      </c>
      <c r="I205">
        <v>182.2</v>
      </c>
    </row>
    <row r="206" spans="1:9" x14ac:dyDescent="0.25">
      <c r="A206" s="10">
        <f t="shared" si="1"/>
        <v>40276</v>
      </c>
      <c r="B206">
        <v>242.3</v>
      </c>
      <c r="C206">
        <v>316.3</v>
      </c>
      <c r="D206">
        <v>1642.1</v>
      </c>
      <c r="E206">
        <v>2128.8000000000002</v>
      </c>
      <c r="F206" s="19">
        <f t="shared" si="65"/>
        <v>1884.3999999999999</v>
      </c>
      <c r="G206" s="19">
        <f t="shared" si="66"/>
        <v>2445.1000000000004</v>
      </c>
      <c r="H206" s="14">
        <f t="shared" si="67"/>
        <v>-22.931577440595497</v>
      </c>
      <c r="I206">
        <v>182.2</v>
      </c>
    </row>
    <row r="207" spans="1:9" x14ac:dyDescent="0.25">
      <c r="A207" s="10">
        <f t="shared" si="1"/>
        <v>40283</v>
      </c>
      <c r="B207">
        <v>210</v>
      </c>
      <c r="C207">
        <v>275.60000000000002</v>
      </c>
      <c r="D207">
        <v>1707</v>
      </c>
      <c r="E207">
        <v>2174.6</v>
      </c>
      <c r="F207" s="19">
        <f t="shared" si="65"/>
        <v>1917</v>
      </c>
      <c r="G207" s="19">
        <f t="shared" si="66"/>
        <v>2450.1999999999998</v>
      </c>
      <c r="H207" s="14">
        <f t="shared" si="67"/>
        <v>-21.761488858052402</v>
      </c>
      <c r="I207">
        <v>182.2</v>
      </c>
    </row>
    <row r="208" spans="1:9" x14ac:dyDescent="0.25">
      <c r="A208" s="10">
        <f t="shared" si="1"/>
        <v>40290</v>
      </c>
      <c r="B208">
        <v>175.1</v>
      </c>
      <c r="C208">
        <v>211.7</v>
      </c>
      <c r="D208">
        <v>1752.2</v>
      </c>
      <c r="E208">
        <v>2241.4</v>
      </c>
      <c r="F208" s="19">
        <f t="shared" si="65"/>
        <v>1927.3</v>
      </c>
      <c r="G208" s="19">
        <f t="shared" si="66"/>
        <v>2453.1</v>
      </c>
      <c r="H208" s="14">
        <f t="shared" si="67"/>
        <v>-21.434103787044968</v>
      </c>
      <c r="I208">
        <v>197.5</v>
      </c>
    </row>
    <row r="209" spans="1:9" x14ac:dyDescent="0.25">
      <c r="A209" s="10">
        <f t="shared" si="1"/>
        <v>40297</v>
      </c>
      <c r="B209">
        <v>153.69999999999999</v>
      </c>
      <c r="C209">
        <v>216.1</v>
      </c>
      <c r="D209">
        <v>1787.7</v>
      </c>
      <c r="E209">
        <v>2259.1999999999998</v>
      </c>
      <c r="F209" s="19">
        <f t="shared" si="65"/>
        <v>1941.4</v>
      </c>
      <c r="G209" s="19">
        <f t="shared" si="66"/>
        <v>2475.2999999999997</v>
      </c>
      <c r="H209" s="14">
        <f t="shared" si="67"/>
        <v>-21.569102735022007</v>
      </c>
      <c r="I209">
        <v>197.5</v>
      </c>
    </row>
    <row r="210" spans="1:9" x14ac:dyDescent="0.25">
      <c r="A210" s="10">
        <f t="shared" si="1"/>
        <v>40304</v>
      </c>
      <c r="B210">
        <v>151.9</v>
      </c>
      <c r="C210">
        <v>201.4</v>
      </c>
      <c r="D210">
        <v>1804.2</v>
      </c>
      <c r="E210">
        <v>2278.8000000000002</v>
      </c>
      <c r="F210" s="19">
        <f t="shared" si="65"/>
        <v>1956.1000000000001</v>
      </c>
      <c r="G210" s="19">
        <f t="shared" si="66"/>
        <v>2480.2000000000003</v>
      </c>
      <c r="H210" s="14">
        <f t="shared" si="67"/>
        <v>-21.131360374163378</v>
      </c>
      <c r="I210">
        <v>225.6</v>
      </c>
    </row>
    <row r="211" spans="1:9" x14ac:dyDescent="0.25">
      <c r="A211" s="10">
        <f t="shared" si="1"/>
        <v>40311</v>
      </c>
      <c r="B211">
        <v>109.8</v>
      </c>
      <c r="C211">
        <v>151.6</v>
      </c>
      <c r="D211">
        <v>1863.4</v>
      </c>
      <c r="E211">
        <v>2330.6999999999998</v>
      </c>
      <c r="F211" s="19">
        <f t="shared" si="65"/>
        <v>1973.2</v>
      </c>
      <c r="G211" s="19">
        <f t="shared" si="66"/>
        <v>2482.2999999999997</v>
      </c>
      <c r="H211" s="14">
        <f t="shared" si="67"/>
        <v>-20.50920517262216</v>
      </c>
      <c r="I211">
        <v>232.5</v>
      </c>
    </row>
    <row r="212" spans="1:9" x14ac:dyDescent="0.25">
      <c r="A212" s="10">
        <f t="shared" si="1"/>
        <v>40318</v>
      </c>
      <c r="B212">
        <v>70.2</v>
      </c>
      <c r="C212">
        <v>123.6</v>
      </c>
      <c r="D212">
        <v>1911.1</v>
      </c>
      <c r="E212">
        <v>2366</v>
      </c>
      <c r="F212" s="19">
        <f t="shared" si="65"/>
        <v>1981.3</v>
      </c>
      <c r="G212" s="19">
        <f t="shared" si="66"/>
        <v>2489.6</v>
      </c>
      <c r="H212" s="14">
        <f t="shared" si="67"/>
        <v>-20.416934447300772</v>
      </c>
      <c r="I212">
        <v>277.5</v>
      </c>
    </row>
    <row r="213" spans="1:9" x14ac:dyDescent="0.25">
      <c r="A213" s="10">
        <f t="shared" si="1"/>
        <v>40325</v>
      </c>
      <c r="B213">
        <v>44.2</v>
      </c>
      <c r="C213">
        <v>83.4</v>
      </c>
      <c r="D213">
        <v>1969.9</v>
      </c>
      <c r="E213">
        <v>2380.1</v>
      </c>
      <c r="F213" s="19">
        <f t="shared" si="65"/>
        <v>2014.1000000000001</v>
      </c>
      <c r="G213" s="19">
        <f t="shared" si="66"/>
        <v>2463.5</v>
      </c>
      <c r="H213" s="14">
        <f t="shared" si="67"/>
        <v>-18.24233813679723</v>
      </c>
      <c r="I213">
        <v>364</v>
      </c>
    </row>
    <row r="214" spans="1:9" x14ac:dyDescent="0.25">
      <c r="A214" s="10">
        <f t="shared" si="1"/>
        <v>40332</v>
      </c>
      <c r="B214">
        <v>434.7</v>
      </c>
      <c r="C214">
        <v>400.9</v>
      </c>
      <c r="D214">
        <v>9.4</v>
      </c>
      <c r="E214">
        <v>6.3</v>
      </c>
      <c r="F214" s="19">
        <f t="shared" si="65"/>
        <v>444.09999999999997</v>
      </c>
      <c r="G214" s="19">
        <f t="shared" si="66"/>
        <v>407.2</v>
      </c>
      <c r="H214" s="14">
        <f t="shared" si="67"/>
        <v>9.0618860510805366</v>
      </c>
    </row>
    <row r="215" spans="1:9" x14ac:dyDescent="0.25">
      <c r="A215" s="10">
        <f t="shared" si="1"/>
        <v>40339</v>
      </c>
      <c r="B215">
        <v>581.29999999999995</v>
      </c>
      <c r="C215">
        <v>365.6</v>
      </c>
      <c r="D215">
        <v>59.1</v>
      </c>
      <c r="E215">
        <v>53.7</v>
      </c>
      <c r="F215" s="19">
        <f t="shared" si="65"/>
        <v>640.4</v>
      </c>
      <c r="G215" s="19">
        <f t="shared" si="66"/>
        <v>419.3</v>
      </c>
      <c r="H215" s="14">
        <f t="shared" si="67"/>
        <v>52.730741712377771</v>
      </c>
    </row>
    <row r="216" spans="1:9" x14ac:dyDescent="0.25">
      <c r="A216" s="10">
        <f t="shared" si="1"/>
        <v>40346</v>
      </c>
      <c r="B216">
        <v>561.70000000000005</v>
      </c>
      <c r="C216">
        <v>347.9</v>
      </c>
      <c r="D216">
        <v>97.4</v>
      </c>
      <c r="E216">
        <v>85.4</v>
      </c>
      <c r="F216" s="19">
        <f t="shared" si="65"/>
        <v>659.1</v>
      </c>
      <c r="G216" s="19">
        <f t="shared" si="66"/>
        <v>433.29999999999995</v>
      </c>
      <c r="H216" s="14">
        <f t="shared" si="67"/>
        <v>52.111700900069245</v>
      </c>
    </row>
    <row r="217" spans="1:9" x14ac:dyDescent="0.25">
      <c r="A217" s="10">
        <f t="shared" si="1"/>
        <v>40353</v>
      </c>
      <c r="B217">
        <v>671.1</v>
      </c>
      <c r="C217">
        <v>393.3</v>
      </c>
      <c r="D217">
        <v>131.80000000000001</v>
      </c>
      <c r="E217">
        <v>96.4</v>
      </c>
      <c r="F217" s="19">
        <f t="shared" si="65"/>
        <v>802.90000000000009</v>
      </c>
      <c r="G217" s="19">
        <f t="shared" si="66"/>
        <v>489.70000000000005</v>
      </c>
      <c r="H217" s="14">
        <f t="shared" si="67"/>
        <v>63.957525015315511</v>
      </c>
    </row>
    <row r="218" spans="1:9" x14ac:dyDescent="0.25">
      <c r="A218" s="10">
        <f t="shared" si="1"/>
        <v>40360</v>
      </c>
      <c r="B218">
        <v>620.9</v>
      </c>
      <c r="C218">
        <v>420.8</v>
      </c>
      <c r="D218">
        <v>214</v>
      </c>
      <c r="E218">
        <v>98.8</v>
      </c>
      <c r="F218" s="19">
        <f t="shared" si="65"/>
        <v>834.9</v>
      </c>
      <c r="G218" s="19">
        <f t="shared" si="66"/>
        <v>519.6</v>
      </c>
      <c r="H218" s="14">
        <f t="shared" si="67"/>
        <v>60.681293302540396</v>
      </c>
    </row>
    <row r="219" spans="1:9" x14ac:dyDescent="0.25">
      <c r="A219" s="10">
        <f t="shared" si="1"/>
        <v>40367</v>
      </c>
      <c r="B219">
        <v>643.79999999999995</v>
      </c>
      <c r="C219">
        <v>457.2</v>
      </c>
      <c r="D219">
        <v>247.8</v>
      </c>
      <c r="E219">
        <v>132.69999999999999</v>
      </c>
      <c r="F219" s="19">
        <f t="shared" si="65"/>
        <v>891.59999999999991</v>
      </c>
      <c r="G219" s="19">
        <f t="shared" si="66"/>
        <v>589.9</v>
      </c>
      <c r="H219" s="14">
        <f t="shared" si="67"/>
        <v>51.144261739277837</v>
      </c>
    </row>
    <row r="220" spans="1:9" x14ac:dyDescent="0.25">
      <c r="A220" s="10">
        <f t="shared" si="1"/>
        <v>40374</v>
      </c>
      <c r="B220">
        <v>663.4</v>
      </c>
      <c r="C220">
        <v>477.1</v>
      </c>
      <c r="D220">
        <v>287.10000000000002</v>
      </c>
      <c r="E220">
        <v>170</v>
      </c>
      <c r="F220" s="19">
        <f t="shared" ref="F220:F251" si="68">+B220+D220</f>
        <v>950.5</v>
      </c>
      <c r="G220" s="19">
        <f t="shared" ref="G220:G251" si="69">+C220+E220</f>
        <v>647.1</v>
      </c>
      <c r="H220" s="14">
        <f t="shared" si="67"/>
        <v>46.886107247720602</v>
      </c>
    </row>
    <row r="221" spans="1:9" x14ac:dyDescent="0.25">
      <c r="A221" s="10">
        <f t="shared" si="1"/>
        <v>40381</v>
      </c>
      <c r="B221">
        <v>648.70000000000005</v>
      </c>
      <c r="C221">
        <v>458</v>
      </c>
      <c r="D221">
        <v>333.5</v>
      </c>
      <c r="E221">
        <v>202.6</v>
      </c>
      <c r="F221" s="19">
        <f t="shared" si="68"/>
        <v>982.2</v>
      </c>
      <c r="G221" s="19">
        <f t="shared" si="69"/>
        <v>660.6</v>
      </c>
      <c r="H221" s="14">
        <f t="shared" si="67"/>
        <v>48.68301544050864</v>
      </c>
    </row>
    <row r="222" spans="1:9" x14ac:dyDescent="0.25">
      <c r="A222" s="10">
        <f t="shared" si="1"/>
        <v>40388</v>
      </c>
      <c r="B222">
        <v>582.1</v>
      </c>
      <c r="C222">
        <v>436.6</v>
      </c>
      <c r="D222">
        <v>416.6</v>
      </c>
      <c r="E222">
        <v>237.2</v>
      </c>
      <c r="F222" s="19">
        <f t="shared" si="68"/>
        <v>998.7</v>
      </c>
      <c r="G222" s="19">
        <f t="shared" si="69"/>
        <v>673.8</v>
      </c>
      <c r="H222" s="14">
        <f t="shared" si="67"/>
        <v>48.219056099732867</v>
      </c>
    </row>
    <row r="223" spans="1:9" x14ac:dyDescent="0.25">
      <c r="A223" s="10">
        <f t="shared" si="1"/>
        <v>40395</v>
      </c>
      <c r="B223">
        <v>529.9</v>
      </c>
      <c r="C223">
        <v>407.1</v>
      </c>
      <c r="D223">
        <v>480.5</v>
      </c>
      <c r="E223">
        <v>275.2</v>
      </c>
      <c r="F223" s="19">
        <f t="shared" si="68"/>
        <v>1010.4</v>
      </c>
      <c r="G223" s="19">
        <f t="shared" si="69"/>
        <v>682.3</v>
      </c>
      <c r="H223" s="14">
        <f t="shared" si="67"/>
        <v>48.087351604865901</v>
      </c>
    </row>
    <row r="224" spans="1:9" x14ac:dyDescent="0.25">
      <c r="A224" s="10">
        <f t="shared" si="1"/>
        <v>40402</v>
      </c>
      <c r="B224">
        <v>642.79999999999995</v>
      </c>
      <c r="C224">
        <v>371.8</v>
      </c>
      <c r="D224">
        <v>541.5</v>
      </c>
      <c r="E224">
        <v>313</v>
      </c>
      <c r="F224" s="19">
        <f t="shared" si="68"/>
        <v>1184.3</v>
      </c>
      <c r="G224" s="19">
        <f t="shared" si="69"/>
        <v>684.8</v>
      </c>
      <c r="H224" s="14">
        <f t="shared" ref="H224:H255" si="70">(F224/G224-1)*100</f>
        <v>72.941004672897193</v>
      </c>
    </row>
    <row r="225" spans="1:9" x14ac:dyDescent="0.25">
      <c r="A225" s="10">
        <f t="shared" si="1"/>
        <v>40409</v>
      </c>
      <c r="B225">
        <v>638.79999999999995</v>
      </c>
      <c r="C225">
        <v>353.8</v>
      </c>
      <c r="D225">
        <v>592.79999999999995</v>
      </c>
      <c r="E225">
        <v>366.1</v>
      </c>
      <c r="F225" s="19">
        <f t="shared" si="68"/>
        <v>1231.5999999999999</v>
      </c>
      <c r="G225" s="19">
        <f t="shared" si="69"/>
        <v>719.90000000000009</v>
      </c>
      <c r="H225" s="14">
        <f t="shared" si="70"/>
        <v>71.079316571746048</v>
      </c>
    </row>
    <row r="226" spans="1:9" x14ac:dyDescent="0.25">
      <c r="A226" s="10">
        <f t="shared" si="1"/>
        <v>40416</v>
      </c>
      <c r="B226">
        <v>655.29999999999995</v>
      </c>
      <c r="C226">
        <v>351.1</v>
      </c>
      <c r="D226">
        <v>667.6</v>
      </c>
      <c r="E226">
        <v>429.3</v>
      </c>
      <c r="F226" s="19">
        <f t="shared" si="68"/>
        <v>1322.9</v>
      </c>
      <c r="G226" s="19">
        <f t="shared" si="69"/>
        <v>780.40000000000009</v>
      </c>
      <c r="H226" s="14">
        <f t="shared" si="70"/>
        <v>69.515633008713465</v>
      </c>
    </row>
    <row r="227" spans="1:9" x14ac:dyDescent="0.25">
      <c r="A227" s="10">
        <f t="shared" si="1"/>
        <v>40423</v>
      </c>
      <c r="B227">
        <v>668.4</v>
      </c>
      <c r="C227">
        <v>358.1</v>
      </c>
      <c r="D227">
        <v>674.8</v>
      </c>
      <c r="E227">
        <v>439.6</v>
      </c>
      <c r="F227" s="19">
        <f t="shared" si="68"/>
        <v>1343.1999999999998</v>
      </c>
      <c r="G227" s="19">
        <f t="shared" si="69"/>
        <v>797.7</v>
      </c>
      <c r="H227" s="14">
        <f t="shared" si="70"/>
        <v>68.384104299862088</v>
      </c>
    </row>
    <row r="228" spans="1:9" x14ac:dyDescent="0.25">
      <c r="A228" s="10">
        <f t="shared" si="1"/>
        <v>40430</v>
      </c>
      <c r="B228">
        <v>635.79999999999995</v>
      </c>
      <c r="C228">
        <v>371.9</v>
      </c>
      <c r="D228">
        <v>709.1</v>
      </c>
      <c r="E228">
        <v>485.4</v>
      </c>
      <c r="F228" s="19">
        <f t="shared" si="68"/>
        <v>1344.9</v>
      </c>
      <c r="G228" s="19">
        <f t="shared" si="69"/>
        <v>857.3</v>
      </c>
      <c r="H228" s="14">
        <f t="shared" si="70"/>
        <v>56.876239356118077</v>
      </c>
    </row>
    <row r="229" spans="1:9" x14ac:dyDescent="0.25">
      <c r="A229" s="10">
        <f t="shared" si="1"/>
        <v>40437</v>
      </c>
      <c r="B229">
        <v>593.9</v>
      </c>
      <c r="C229">
        <v>344.2</v>
      </c>
      <c r="D229">
        <v>769.9</v>
      </c>
      <c r="E229">
        <v>529.9</v>
      </c>
      <c r="F229" s="19">
        <f t="shared" si="68"/>
        <v>1363.8</v>
      </c>
      <c r="G229" s="19">
        <f t="shared" si="69"/>
        <v>874.09999999999991</v>
      </c>
      <c r="H229" s="14">
        <f t="shared" si="70"/>
        <v>56.023338290813427</v>
      </c>
    </row>
    <row r="230" spans="1:9" x14ac:dyDescent="0.25">
      <c r="A230" s="10">
        <f t="shared" si="1"/>
        <v>40444</v>
      </c>
      <c r="B230">
        <v>556.4</v>
      </c>
      <c r="C230">
        <v>372.1</v>
      </c>
      <c r="D230">
        <v>816.8</v>
      </c>
      <c r="E230">
        <v>571.9</v>
      </c>
      <c r="F230" s="19">
        <f t="shared" si="68"/>
        <v>1373.1999999999998</v>
      </c>
      <c r="G230" s="19">
        <f t="shared" si="69"/>
        <v>944</v>
      </c>
      <c r="H230" s="14">
        <f t="shared" si="70"/>
        <v>45.466101694915231</v>
      </c>
    </row>
    <row r="231" spans="1:9" x14ac:dyDescent="0.25">
      <c r="A231" s="10">
        <f t="shared" si="1"/>
        <v>40451</v>
      </c>
      <c r="B231">
        <v>587.5</v>
      </c>
      <c r="C231">
        <v>381.7</v>
      </c>
      <c r="D231">
        <v>823.9</v>
      </c>
      <c r="E231">
        <v>579.6</v>
      </c>
      <c r="F231" s="19">
        <f t="shared" si="68"/>
        <v>1411.4</v>
      </c>
      <c r="G231" s="19">
        <f t="shared" si="69"/>
        <v>961.3</v>
      </c>
      <c r="H231" s="14">
        <f t="shared" si="70"/>
        <v>46.822011858941039</v>
      </c>
    </row>
    <row r="232" spans="1:9" x14ac:dyDescent="0.25">
      <c r="A232" s="10">
        <f t="shared" si="1"/>
        <v>40458</v>
      </c>
      <c r="B232">
        <v>555.4</v>
      </c>
      <c r="C232">
        <v>363.5</v>
      </c>
      <c r="D232">
        <v>865.3</v>
      </c>
      <c r="E232">
        <v>615.79999999999995</v>
      </c>
      <c r="F232" s="19">
        <f t="shared" si="68"/>
        <v>1420.6999999999998</v>
      </c>
      <c r="G232" s="19">
        <f t="shared" si="69"/>
        <v>979.3</v>
      </c>
      <c r="H232" s="14">
        <f t="shared" si="70"/>
        <v>45.073011334626756</v>
      </c>
    </row>
    <row r="233" spans="1:9" x14ac:dyDescent="0.25">
      <c r="A233" s="10">
        <f t="shared" si="1"/>
        <v>40465</v>
      </c>
      <c r="B233">
        <v>521.5</v>
      </c>
      <c r="C233">
        <v>380.4</v>
      </c>
      <c r="D233">
        <v>940.1</v>
      </c>
      <c r="E233">
        <v>673.5</v>
      </c>
      <c r="F233" s="19">
        <f t="shared" si="68"/>
        <v>1461.6</v>
      </c>
      <c r="G233" s="19">
        <f t="shared" si="69"/>
        <v>1053.9000000000001</v>
      </c>
      <c r="H233" s="14">
        <f t="shared" si="70"/>
        <v>38.684884713919708</v>
      </c>
    </row>
    <row r="234" spans="1:9" x14ac:dyDescent="0.25">
      <c r="A234" s="10">
        <f t="shared" si="1"/>
        <v>40472</v>
      </c>
      <c r="B234">
        <v>550.29999999999995</v>
      </c>
      <c r="C234">
        <v>386.8</v>
      </c>
      <c r="D234">
        <v>951.5</v>
      </c>
      <c r="E234">
        <v>679.9</v>
      </c>
      <c r="F234" s="19">
        <f t="shared" si="68"/>
        <v>1501.8</v>
      </c>
      <c r="G234" s="19">
        <f t="shared" si="69"/>
        <v>1066.7</v>
      </c>
      <c r="H234" s="14">
        <f t="shared" si="70"/>
        <v>40.789350332802087</v>
      </c>
    </row>
    <row r="235" spans="1:9" x14ac:dyDescent="0.25">
      <c r="A235" s="10">
        <f t="shared" si="1"/>
        <v>40479</v>
      </c>
      <c r="B235">
        <v>579.79999999999995</v>
      </c>
      <c r="C235">
        <v>451</v>
      </c>
      <c r="D235">
        <v>1005.9</v>
      </c>
      <c r="E235">
        <v>683.6</v>
      </c>
      <c r="F235" s="19">
        <f t="shared" si="68"/>
        <v>1585.6999999999998</v>
      </c>
      <c r="G235" s="19">
        <f t="shared" si="69"/>
        <v>1134.5999999999999</v>
      </c>
      <c r="H235" s="14">
        <f t="shared" si="70"/>
        <v>39.758505200070516</v>
      </c>
    </row>
    <row r="236" spans="1:9" x14ac:dyDescent="0.25">
      <c r="A236" s="10">
        <f t="shared" si="1"/>
        <v>40486</v>
      </c>
      <c r="B236">
        <v>668</v>
      </c>
      <c r="C236">
        <v>406.2</v>
      </c>
      <c r="D236">
        <v>1031.0999999999999</v>
      </c>
      <c r="E236">
        <v>742.2</v>
      </c>
      <c r="F236" s="19">
        <f t="shared" si="68"/>
        <v>1699.1</v>
      </c>
      <c r="G236" s="19">
        <f t="shared" si="69"/>
        <v>1148.4000000000001</v>
      </c>
      <c r="H236" s="14">
        <f t="shared" si="70"/>
        <v>47.9536746778126</v>
      </c>
    </row>
    <row r="237" spans="1:9" x14ac:dyDescent="0.25">
      <c r="A237" s="10">
        <f t="shared" si="1"/>
        <v>40493</v>
      </c>
      <c r="B237">
        <v>769.5</v>
      </c>
      <c r="C237">
        <v>391.2</v>
      </c>
      <c r="D237">
        <v>1079.5999999999999</v>
      </c>
      <c r="E237">
        <v>780.7</v>
      </c>
      <c r="F237" s="19">
        <f t="shared" si="68"/>
        <v>1849.1</v>
      </c>
      <c r="G237" s="19">
        <f t="shared" si="69"/>
        <v>1171.9000000000001</v>
      </c>
      <c r="H237" s="14">
        <f t="shared" si="70"/>
        <v>57.786500554654822</v>
      </c>
      <c r="I237">
        <v>28.5</v>
      </c>
    </row>
    <row r="238" spans="1:9" x14ac:dyDescent="0.25">
      <c r="A238" s="10">
        <f t="shared" si="1"/>
        <v>40500</v>
      </c>
      <c r="B238">
        <v>821.8</v>
      </c>
      <c r="C238">
        <v>403.9</v>
      </c>
      <c r="D238">
        <v>1135</v>
      </c>
      <c r="E238">
        <v>811.8</v>
      </c>
      <c r="F238" s="19">
        <f t="shared" si="68"/>
        <v>1956.8</v>
      </c>
      <c r="G238" s="19">
        <f t="shared" si="69"/>
        <v>1215.6999999999998</v>
      </c>
      <c r="H238" s="14">
        <f t="shared" si="70"/>
        <v>60.960763346220318</v>
      </c>
      <c r="I238">
        <v>28.5</v>
      </c>
    </row>
    <row r="239" spans="1:9" x14ac:dyDescent="0.25">
      <c r="A239" s="10">
        <f t="shared" si="1"/>
        <v>40507</v>
      </c>
      <c r="B239">
        <v>810.5</v>
      </c>
      <c r="C239">
        <v>407</v>
      </c>
      <c r="D239">
        <v>1146.3</v>
      </c>
      <c r="E239">
        <v>834.2</v>
      </c>
      <c r="F239" s="19">
        <f t="shared" si="68"/>
        <v>1956.8</v>
      </c>
      <c r="G239" s="19">
        <f t="shared" si="69"/>
        <v>1241.2</v>
      </c>
      <c r="H239" s="14">
        <f t="shared" si="70"/>
        <v>57.653883338704468</v>
      </c>
      <c r="I239">
        <v>28.5</v>
      </c>
    </row>
    <row r="240" spans="1:9" x14ac:dyDescent="0.25">
      <c r="A240" s="10">
        <f t="shared" si="1"/>
        <v>40514</v>
      </c>
      <c r="B240">
        <v>800</v>
      </c>
      <c r="C240">
        <v>396.2</v>
      </c>
      <c r="D240">
        <v>1230.8</v>
      </c>
      <c r="E240">
        <v>859.1</v>
      </c>
      <c r="F240" s="19">
        <f t="shared" si="68"/>
        <v>2030.8</v>
      </c>
      <c r="G240" s="19">
        <f t="shared" si="69"/>
        <v>1255.3</v>
      </c>
      <c r="H240" s="14">
        <f t="shared" si="70"/>
        <v>61.778061021269814</v>
      </c>
      <c r="I240">
        <v>38.5</v>
      </c>
    </row>
    <row r="241" spans="1:9" x14ac:dyDescent="0.25">
      <c r="A241" s="10">
        <f t="shared" si="1"/>
        <v>40521</v>
      </c>
      <c r="B241">
        <v>846.3</v>
      </c>
      <c r="C241">
        <v>364.1</v>
      </c>
      <c r="D241">
        <v>1293.9000000000001</v>
      </c>
      <c r="E241">
        <v>912.5</v>
      </c>
      <c r="F241" s="19">
        <f t="shared" si="68"/>
        <v>2140.1999999999998</v>
      </c>
      <c r="G241" s="19">
        <f t="shared" si="69"/>
        <v>1276.5999999999999</v>
      </c>
      <c r="H241" s="14">
        <f t="shared" si="70"/>
        <v>67.648441171862743</v>
      </c>
      <c r="I241">
        <v>83.5</v>
      </c>
    </row>
    <row r="242" spans="1:9" x14ac:dyDescent="0.25">
      <c r="A242" s="10">
        <f t="shared" si="1"/>
        <v>40528</v>
      </c>
      <c r="B242">
        <v>849.6</v>
      </c>
      <c r="C242">
        <v>391.4</v>
      </c>
      <c r="D242">
        <v>1348</v>
      </c>
      <c r="E242">
        <v>922.1</v>
      </c>
      <c r="F242" s="19">
        <f t="shared" si="68"/>
        <v>2197.6</v>
      </c>
      <c r="G242" s="19">
        <f t="shared" si="69"/>
        <v>1313.5</v>
      </c>
      <c r="H242" s="14">
        <f t="shared" si="70"/>
        <v>67.308717167872103</v>
      </c>
      <c r="I242">
        <v>86</v>
      </c>
    </row>
    <row r="243" spans="1:9" x14ac:dyDescent="0.25">
      <c r="A243" s="10">
        <f t="shared" si="1"/>
        <v>40535</v>
      </c>
      <c r="B243">
        <v>841.4</v>
      </c>
      <c r="C243">
        <v>391</v>
      </c>
      <c r="D243">
        <v>1400.2</v>
      </c>
      <c r="E243">
        <v>971.8</v>
      </c>
      <c r="F243" s="19">
        <f t="shared" si="68"/>
        <v>2241.6</v>
      </c>
      <c r="G243" s="19">
        <f t="shared" si="69"/>
        <v>1362.8</v>
      </c>
      <c r="H243" s="14">
        <f t="shared" si="70"/>
        <v>64.484884062224836</v>
      </c>
      <c r="I243">
        <v>93.1</v>
      </c>
    </row>
    <row r="244" spans="1:9" x14ac:dyDescent="0.25">
      <c r="A244" s="10">
        <f t="shared" si="1"/>
        <v>40542</v>
      </c>
      <c r="B244">
        <v>808.3</v>
      </c>
      <c r="C244">
        <v>393.3</v>
      </c>
      <c r="D244">
        <v>1434.2</v>
      </c>
      <c r="E244">
        <v>977.6</v>
      </c>
      <c r="F244" s="19">
        <f t="shared" si="68"/>
        <v>2242.5</v>
      </c>
      <c r="G244" s="19">
        <f t="shared" si="69"/>
        <v>1370.9</v>
      </c>
      <c r="H244" s="14">
        <f t="shared" si="70"/>
        <v>63.578670946093794</v>
      </c>
      <c r="I244">
        <v>93.1</v>
      </c>
    </row>
    <row r="245" spans="1:9" x14ac:dyDescent="0.25">
      <c r="A245" s="10">
        <f t="shared" si="1"/>
        <v>40549</v>
      </c>
      <c r="B245">
        <v>740.3</v>
      </c>
      <c r="C245">
        <v>352.8</v>
      </c>
      <c r="D245">
        <v>1531.2</v>
      </c>
      <c r="E245">
        <v>1021.9</v>
      </c>
      <c r="F245" s="19">
        <f t="shared" si="68"/>
        <v>2271.5</v>
      </c>
      <c r="G245" s="19">
        <f t="shared" si="69"/>
        <v>1374.7</v>
      </c>
      <c r="H245" s="14">
        <f t="shared" si="70"/>
        <v>65.236051502145912</v>
      </c>
      <c r="I245">
        <v>93.1</v>
      </c>
    </row>
    <row r="246" spans="1:9" x14ac:dyDescent="0.25">
      <c r="A246" s="10">
        <f t="shared" si="1"/>
        <v>40556</v>
      </c>
      <c r="B246">
        <v>698.4</v>
      </c>
      <c r="C246">
        <v>368</v>
      </c>
      <c r="D246">
        <v>1609.2</v>
      </c>
      <c r="E246">
        <v>1045.0999999999999</v>
      </c>
      <c r="F246" s="19">
        <f t="shared" si="68"/>
        <v>2307.6</v>
      </c>
      <c r="G246" s="19">
        <f t="shared" si="69"/>
        <v>1413.1</v>
      </c>
      <c r="H246" s="14">
        <f t="shared" si="70"/>
        <v>63.300544901280873</v>
      </c>
      <c r="I246">
        <v>93.1</v>
      </c>
    </row>
    <row r="247" spans="1:9" x14ac:dyDescent="0.25">
      <c r="A247" s="10">
        <f t="shared" si="1"/>
        <v>40563</v>
      </c>
      <c r="B247">
        <v>653.5</v>
      </c>
      <c r="C247">
        <v>412.5</v>
      </c>
      <c r="D247">
        <v>1696</v>
      </c>
      <c r="E247">
        <v>1078.7</v>
      </c>
      <c r="F247" s="19">
        <f t="shared" si="68"/>
        <v>2349.5</v>
      </c>
      <c r="G247" s="19">
        <f t="shared" si="69"/>
        <v>1491.2</v>
      </c>
      <c r="H247" s="14">
        <f t="shared" si="70"/>
        <v>57.557671673819733</v>
      </c>
      <c r="I247">
        <v>99.8</v>
      </c>
    </row>
    <row r="248" spans="1:9" x14ac:dyDescent="0.25">
      <c r="A248" s="10">
        <f t="shared" si="1"/>
        <v>40570</v>
      </c>
      <c r="B248">
        <v>703.9</v>
      </c>
      <c r="C248">
        <v>543.79999999999995</v>
      </c>
      <c r="D248">
        <v>1713.8</v>
      </c>
      <c r="E248">
        <v>1143.5999999999999</v>
      </c>
      <c r="F248" s="19">
        <f t="shared" si="68"/>
        <v>2417.6999999999998</v>
      </c>
      <c r="G248" s="19">
        <f t="shared" si="69"/>
        <v>1687.3999999999999</v>
      </c>
      <c r="H248" s="14">
        <f t="shared" si="70"/>
        <v>43.279601754178017</v>
      </c>
      <c r="I248">
        <v>125.8</v>
      </c>
    </row>
    <row r="249" spans="1:9" x14ac:dyDescent="0.25">
      <c r="A249" s="10">
        <f t="shared" si="1"/>
        <v>40577</v>
      </c>
      <c r="B249">
        <v>751.5</v>
      </c>
      <c r="C249">
        <v>526.29999999999995</v>
      </c>
      <c r="D249">
        <v>1772.8</v>
      </c>
      <c r="E249">
        <v>1194.5</v>
      </c>
      <c r="F249" s="19">
        <f t="shared" si="68"/>
        <v>2524.3000000000002</v>
      </c>
      <c r="G249" s="19">
        <f t="shared" si="69"/>
        <v>1720.8</v>
      </c>
      <c r="H249" s="14">
        <f t="shared" si="70"/>
        <v>46.693398419339857</v>
      </c>
      <c r="I249">
        <v>206.6</v>
      </c>
    </row>
    <row r="250" spans="1:9" x14ac:dyDescent="0.25">
      <c r="A250" s="10">
        <f t="shared" si="1"/>
        <v>40584</v>
      </c>
      <c r="B250">
        <v>699.8</v>
      </c>
      <c r="C250">
        <v>556.70000000000005</v>
      </c>
      <c r="D250">
        <v>1825.6</v>
      </c>
      <c r="E250">
        <v>1227.4000000000001</v>
      </c>
      <c r="F250" s="19">
        <f t="shared" si="68"/>
        <v>2525.3999999999996</v>
      </c>
      <c r="G250" s="19">
        <f t="shared" si="69"/>
        <v>1784.1000000000001</v>
      </c>
      <c r="H250" s="14">
        <f t="shared" si="70"/>
        <v>41.550361526820211</v>
      </c>
      <c r="I250">
        <v>206.6</v>
      </c>
    </row>
    <row r="251" spans="1:9" x14ac:dyDescent="0.25">
      <c r="A251" s="10">
        <f t="shared" si="1"/>
        <v>40591</v>
      </c>
      <c r="B251">
        <v>666.8</v>
      </c>
      <c r="C251">
        <v>497.8</v>
      </c>
      <c r="D251">
        <v>1878.8</v>
      </c>
      <c r="E251">
        <v>1281</v>
      </c>
      <c r="F251" s="19">
        <f t="shared" si="68"/>
        <v>2545.6</v>
      </c>
      <c r="G251" s="19">
        <f t="shared" si="69"/>
        <v>1778.8</v>
      </c>
      <c r="H251" s="14">
        <f t="shared" si="70"/>
        <v>43.107713064987642</v>
      </c>
      <c r="I251">
        <v>214.1</v>
      </c>
    </row>
    <row r="252" spans="1:9" x14ac:dyDescent="0.25">
      <c r="A252" s="10">
        <f t="shared" si="1"/>
        <v>40598</v>
      </c>
      <c r="B252">
        <v>621.4</v>
      </c>
      <c r="C252">
        <v>448.5</v>
      </c>
      <c r="D252">
        <v>1918.5</v>
      </c>
      <c r="E252">
        <v>1329.4</v>
      </c>
      <c r="F252" s="19">
        <f t="shared" ref="F252:F265" si="71">+B252+D252</f>
        <v>2539.9</v>
      </c>
      <c r="G252" s="19">
        <f t="shared" ref="G252:G265" si="72">+C252+E252</f>
        <v>1777.9</v>
      </c>
      <c r="H252" s="14">
        <f t="shared" si="70"/>
        <v>42.859553405703352</v>
      </c>
      <c r="I252">
        <v>214.1</v>
      </c>
    </row>
    <row r="253" spans="1:9" x14ac:dyDescent="0.25">
      <c r="A253" s="10">
        <f t="shared" ref="A253:A316" si="73">+A252+7</f>
        <v>40605</v>
      </c>
      <c r="B253">
        <v>608.29999999999995</v>
      </c>
      <c r="C253">
        <v>446.6</v>
      </c>
      <c r="D253">
        <v>1936.2</v>
      </c>
      <c r="E253">
        <v>1365</v>
      </c>
      <c r="F253" s="19">
        <f t="shared" si="71"/>
        <v>2544.5</v>
      </c>
      <c r="G253" s="19">
        <f t="shared" si="72"/>
        <v>1811.6</v>
      </c>
      <c r="H253" s="14">
        <f t="shared" si="70"/>
        <v>40.455950540958277</v>
      </c>
      <c r="I253">
        <v>217.1</v>
      </c>
    </row>
    <row r="254" spans="1:9" x14ac:dyDescent="0.25">
      <c r="A254" s="10">
        <f t="shared" si="73"/>
        <v>40612</v>
      </c>
      <c r="B254">
        <v>560.29999999999995</v>
      </c>
      <c r="C254">
        <v>425.7</v>
      </c>
      <c r="D254">
        <v>1989.6</v>
      </c>
      <c r="E254">
        <v>1388</v>
      </c>
      <c r="F254" s="19">
        <f t="shared" si="71"/>
        <v>2549.8999999999996</v>
      </c>
      <c r="G254" s="19">
        <f t="shared" si="72"/>
        <v>1813.7</v>
      </c>
      <c r="H254" s="14">
        <f t="shared" si="70"/>
        <v>40.591056955395018</v>
      </c>
      <c r="I254">
        <v>217.1</v>
      </c>
    </row>
    <row r="255" spans="1:9" x14ac:dyDescent="0.25">
      <c r="A255" s="10">
        <f t="shared" si="73"/>
        <v>40619</v>
      </c>
      <c r="B255">
        <v>536.5</v>
      </c>
      <c r="C255">
        <v>355.6</v>
      </c>
      <c r="D255">
        <v>2058.3000000000002</v>
      </c>
      <c r="E255">
        <v>1460.6</v>
      </c>
      <c r="F255" s="19">
        <f t="shared" si="71"/>
        <v>2594.8000000000002</v>
      </c>
      <c r="G255" s="19">
        <f t="shared" si="72"/>
        <v>1816.1999999999998</v>
      </c>
      <c r="H255" s="14">
        <f t="shared" si="70"/>
        <v>42.869728003523868</v>
      </c>
      <c r="I255">
        <v>232.7</v>
      </c>
    </row>
    <row r="256" spans="1:9" x14ac:dyDescent="0.25">
      <c r="A256" s="10">
        <f t="shared" si="73"/>
        <v>40626</v>
      </c>
      <c r="B256">
        <v>495.2</v>
      </c>
      <c r="C256">
        <v>311.2</v>
      </c>
      <c r="D256">
        <v>2098.1999999999998</v>
      </c>
      <c r="E256">
        <v>1540.9</v>
      </c>
      <c r="F256" s="19">
        <f t="shared" si="71"/>
        <v>2593.3999999999996</v>
      </c>
      <c r="G256" s="19">
        <f t="shared" si="72"/>
        <v>1852.1000000000001</v>
      </c>
      <c r="H256" s="14">
        <f t="shared" ref="H256:H265" si="74">(F256/G256-1)*100</f>
        <v>40.024836671885943</v>
      </c>
      <c r="I256">
        <v>232.7</v>
      </c>
    </row>
    <row r="257" spans="1:9" x14ac:dyDescent="0.25">
      <c r="A257" s="10">
        <f t="shared" si="73"/>
        <v>40633</v>
      </c>
      <c r="B257">
        <v>404.3</v>
      </c>
      <c r="C257">
        <v>297.89999999999998</v>
      </c>
      <c r="D257">
        <v>2190.9</v>
      </c>
      <c r="E257">
        <v>1581.2</v>
      </c>
      <c r="F257" s="19">
        <f t="shared" si="71"/>
        <v>2595.2000000000003</v>
      </c>
      <c r="G257" s="19">
        <f t="shared" si="72"/>
        <v>1879.1</v>
      </c>
      <c r="H257" s="14">
        <f t="shared" si="74"/>
        <v>38.108669043691144</v>
      </c>
      <c r="I257">
        <v>253.5</v>
      </c>
    </row>
    <row r="258" spans="1:9" x14ac:dyDescent="0.25">
      <c r="A258" s="10">
        <f t="shared" si="73"/>
        <v>40640</v>
      </c>
      <c r="B258">
        <v>365.5</v>
      </c>
      <c r="C258">
        <v>242.3</v>
      </c>
      <c r="D258">
        <v>2250.6</v>
      </c>
      <c r="E258">
        <v>1642.1</v>
      </c>
      <c r="F258" s="19">
        <f t="shared" si="71"/>
        <v>2616.1</v>
      </c>
      <c r="G258" s="19">
        <f t="shared" si="72"/>
        <v>1884.3999999999999</v>
      </c>
      <c r="H258" s="14">
        <f t="shared" si="74"/>
        <v>38.829335597537671</v>
      </c>
      <c r="I258">
        <v>271.5</v>
      </c>
    </row>
    <row r="259" spans="1:9" x14ac:dyDescent="0.25">
      <c r="A259" s="10">
        <f t="shared" si="73"/>
        <v>40647</v>
      </c>
      <c r="B259">
        <v>285.2</v>
      </c>
      <c r="C259">
        <v>210</v>
      </c>
      <c r="D259">
        <v>2337.6999999999998</v>
      </c>
      <c r="E259">
        <v>1707</v>
      </c>
      <c r="F259" s="19">
        <f t="shared" si="71"/>
        <v>2622.8999999999996</v>
      </c>
      <c r="G259" s="19">
        <f t="shared" si="72"/>
        <v>1917</v>
      </c>
      <c r="H259" s="14">
        <f t="shared" si="74"/>
        <v>36.823161189358359</v>
      </c>
      <c r="I259">
        <v>271.5</v>
      </c>
    </row>
    <row r="260" spans="1:9" x14ac:dyDescent="0.25">
      <c r="A260" s="10">
        <f t="shared" si="73"/>
        <v>40654</v>
      </c>
      <c r="B260">
        <v>282.39999999999998</v>
      </c>
      <c r="C260">
        <v>175.1</v>
      </c>
      <c r="D260">
        <v>2364.6999999999998</v>
      </c>
      <c r="E260">
        <v>1752.2</v>
      </c>
      <c r="F260" s="19">
        <f t="shared" si="71"/>
        <v>2647.1</v>
      </c>
      <c r="G260" s="19">
        <f t="shared" si="72"/>
        <v>1927.3</v>
      </c>
      <c r="H260" s="14">
        <f t="shared" si="74"/>
        <v>37.347584703990044</v>
      </c>
      <c r="I260">
        <v>279</v>
      </c>
    </row>
    <row r="261" spans="1:9" x14ac:dyDescent="0.25">
      <c r="A261" s="10">
        <f t="shared" si="73"/>
        <v>40661</v>
      </c>
      <c r="B261">
        <v>216.4</v>
      </c>
      <c r="C261">
        <v>153.69999999999999</v>
      </c>
      <c r="D261">
        <v>2421.4</v>
      </c>
      <c r="E261">
        <v>1787.7</v>
      </c>
      <c r="F261" s="19">
        <f t="shared" si="71"/>
        <v>2637.8</v>
      </c>
      <c r="G261" s="19">
        <f t="shared" si="72"/>
        <v>1941.4</v>
      </c>
      <c r="H261" s="14">
        <f t="shared" si="74"/>
        <v>35.87102091274339</v>
      </c>
      <c r="I261">
        <v>285</v>
      </c>
    </row>
    <row r="262" spans="1:9" x14ac:dyDescent="0.25">
      <c r="A262" s="10">
        <f t="shared" si="73"/>
        <v>40668</v>
      </c>
      <c r="B262">
        <v>170.8</v>
      </c>
      <c r="C262">
        <v>151.9</v>
      </c>
      <c r="D262">
        <v>2473.9</v>
      </c>
      <c r="E262">
        <v>1804.2</v>
      </c>
      <c r="F262" s="19">
        <f t="shared" si="71"/>
        <v>2644.7000000000003</v>
      </c>
      <c r="G262" s="19">
        <f t="shared" si="72"/>
        <v>1956.1000000000001</v>
      </c>
      <c r="H262" s="14">
        <f t="shared" si="74"/>
        <v>35.202699248504679</v>
      </c>
      <c r="I262">
        <v>288</v>
      </c>
    </row>
    <row r="263" spans="1:9" x14ac:dyDescent="0.25">
      <c r="A263" s="10">
        <f t="shared" si="73"/>
        <v>40675</v>
      </c>
      <c r="B263">
        <v>144.69999999999999</v>
      </c>
      <c r="C263">
        <v>109.8</v>
      </c>
      <c r="D263">
        <v>2493.3000000000002</v>
      </c>
      <c r="E263">
        <v>1863.4</v>
      </c>
      <c r="F263" s="19">
        <f t="shared" si="71"/>
        <v>2638</v>
      </c>
      <c r="G263" s="19">
        <f t="shared" si="72"/>
        <v>1973.2</v>
      </c>
      <c r="H263" s="14">
        <f t="shared" si="74"/>
        <v>33.691465639570239</v>
      </c>
      <c r="I263">
        <v>288</v>
      </c>
    </row>
    <row r="264" spans="1:9" x14ac:dyDescent="0.25">
      <c r="A264" s="10">
        <f t="shared" si="73"/>
        <v>40682</v>
      </c>
      <c r="B264">
        <v>125.1</v>
      </c>
      <c r="C264">
        <v>70.2</v>
      </c>
      <c r="D264">
        <v>2536.9</v>
      </c>
      <c r="E264">
        <v>1911.1</v>
      </c>
      <c r="F264" s="19">
        <f t="shared" si="71"/>
        <v>2662</v>
      </c>
      <c r="G264" s="19">
        <f t="shared" si="72"/>
        <v>1981.3</v>
      </c>
      <c r="H264" s="14">
        <f t="shared" si="74"/>
        <v>34.356230757583404</v>
      </c>
      <c r="I264">
        <v>459.9</v>
      </c>
    </row>
    <row r="265" spans="1:9" x14ac:dyDescent="0.25">
      <c r="A265" s="10">
        <f t="shared" si="73"/>
        <v>40689</v>
      </c>
      <c r="B265">
        <v>76.900000000000006</v>
      </c>
      <c r="C265">
        <v>44.2</v>
      </c>
      <c r="D265">
        <v>2589.3000000000002</v>
      </c>
      <c r="E265">
        <v>1969.9</v>
      </c>
      <c r="F265" s="19">
        <f t="shared" si="71"/>
        <v>2666.2000000000003</v>
      </c>
      <c r="G265" s="19">
        <f t="shared" si="72"/>
        <v>2014.1000000000001</v>
      </c>
      <c r="H265" s="14">
        <f t="shared" si="74"/>
        <v>32.376743955116424</v>
      </c>
      <c r="I265">
        <v>542.20000000000005</v>
      </c>
    </row>
    <row r="266" spans="1:9" x14ac:dyDescent="0.25">
      <c r="A266" s="10">
        <f t="shared" si="73"/>
        <v>40696</v>
      </c>
      <c r="B266">
        <v>617.79999999999995</v>
      </c>
      <c r="C266">
        <v>434.7</v>
      </c>
      <c r="D266">
        <v>0.9</v>
      </c>
      <c r="E266">
        <v>9.4</v>
      </c>
      <c r="F266" s="19">
        <f t="shared" ref="F266:F274" si="75">+B266+D266</f>
        <v>618.69999999999993</v>
      </c>
      <c r="G266" s="19">
        <f t="shared" ref="G266:G274" si="76">+C266+E266</f>
        <v>444.09999999999997</v>
      </c>
      <c r="H266" s="14">
        <f t="shared" ref="H266:H274" si="77">(F266/G266-1)*100</f>
        <v>39.31546948885385</v>
      </c>
    </row>
    <row r="267" spans="1:9" x14ac:dyDescent="0.25">
      <c r="A267" s="10">
        <f t="shared" si="73"/>
        <v>40703</v>
      </c>
      <c r="B267">
        <v>567.29999999999995</v>
      </c>
      <c r="C267">
        <v>581.29999999999995</v>
      </c>
      <c r="D267">
        <v>92.3</v>
      </c>
      <c r="E267">
        <v>59.1</v>
      </c>
      <c r="F267" s="19">
        <f t="shared" si="75"/>
        <v>659.59999999999991</v>
      </c>
      <c r="G267" s="19">
        <f t="shared" si="76"/>
        <v>640.4</v>
      </c>
      <c r="H267" s="14">
        <f t="shared" si="77"/>
        <v>2.998126171143034</v>
      </c>
    </row>
    <row r="268" spans="1:9" x14ac:dyDescent="0.25">
      <c r="A268" s="10">
        <f t="shared" si="73"/>
        <v>40710</v>
      </c>
      <c r="B268">
        <v>607</v>
      </c>
      <c r="C268">
        <v>561.70000000000005</v>
      </c>
      <c r="D268">
        <v>121.1</v>
      </c>
      <c r="E268">
        <v>97.4</v>
      </c>
      <c r="F268" s="19">
        <f t="shared" si="75"/>
        <v>728.1</v>
      </c>
      <c r="G268" s="19">
        <f t="shared" si="76"/>
        <v>659.1</v>
      </c>
      <c r="H268" s="14">
        <f t="shared" si="77"/>
        <v>10.468821119708682</v>
      </c>
    </row>
    <row r="269" spans="1:9" x14ac:dyDescent="0.25">
      <c r="A269" s="10">
        <f t="shared" si="73"/>
        <v>40717</v>
      </c>
      <c r="B269">
        <v>591.5</v>
      </c>
      <c r="C269">
        <v>671.1</v>
      </c>
      <c r="D269">
        <v>173.2</v>
      </c>
      <c r="E269">
        <v>131.80000000000001</v>
      </c>
      <c r="F269" s="19">
        <f t="shared" si="75"/>
        <v>764.7</v>
      </c>
      <c r="G269" s="19">
        <f t="shared" si="76"/>
        <v>802.90000000000009</v>
      </c>
      <c r="H269" s="14">
        <f t="shared" si="77"/>
        <v>-4.7577531448499188</v>
      </c>
    </row>
    <row r="270" spans="1:9" x14ac:dyDescent="0.25">
      <c r="A270" s="10">
        <f t="shared" si="73"/>
        <v>40724</v>
      </c>
      <c r="B270">
        <v>635.29999999999995</v>
      </c>
      <c r="C270">
        <v>620.9</v>
      </c>
      <c r="D270">
        <v>194.5</v>
      </c>
      <c r="E270">
        <v>214</v>
      </c>
      <c r="F270" s="19">
        <f t="shared" si="75"/>
        <v>829.8</v>
      </c>
      <c r="G270" s="19">
        <f t="shared" si="76"/>
        <v>834.9</v>
      </c>
      <c r="H270" s="14">
        <f t="shared" si="77"/>
        <v>-0.61085159899388897</v>
      </c>
    </row>
    <row r="271" spans="1:9" x14ac:dyDescent="0.25">
      <c r="A271" s="10">
        <f t="shared" si="73"/>
        <v>40731</v>
      </c>
      <c r="B271">
        <v>711.2</v>
      </c>
      <c r="C271">
        <v>643.79999999999995</v>
      </c>
      <c r="D271">
        <v>240.4</v>
      </c>
      <c r="E271">
        <v>247.8</v>
      </c>
      <c r="F271" s="19">
        <f t="shared" si="75"/>
        <v>951.6</v>
      </c>
      <c r="G271" s="19">
        <f t="shared" si="76"/>
        <v>891.59999999999991</v>
      </c>
      <c r="H271" s="14">
        <f t="shared" si="77"/>
        <v>6.7294751009421505</v>
      </c>
    </row>
    <row r="272" spans="1:9" x14ac:dyDescent="0.25">
      <c r="A272" s="10">
        <f t="shared" si="73"/>
        <v>40738</v>
      </c>
      <c r="B272">
        <v>783.2</v>
      </c>
      <c r="C272">
        <v>663.4</v>
      </c>
      <c r="D272">
        <v>272.39999999999998</v>
      </c>
      <c r="E272">
        <v>287.10000000000002</v>
      </c>
      <c r="F272" s="19">
        <f t="shared" si="75"/>
        <v>1055.5999999999999</v>
      </c>
      <c r="G272" s="19">
        <f t="shared" si="76"/>
        <v>950.5</v>
      </c>
      <c r="H272" s="14">
        <f t="shared" si="77"/>
        <v>11.057338243029967</v>
      </c>
      <c r="I272">
        <v>59.1</v>
      </c>
    </row>
    <row r="273" spans="1:9" x14ac:dyDescent="0.25">
      <c r="A273" s="10">
        <f t="shared" si="73"/>
        <v>40745</v>
      </c>
      <c r="B273">
        <v>796</v>
      </c>
      <c r="C273">
        <v>648.70000000000005</v>
      </c>
      <c r="D273">
        <v>353.1</v>
      </c>
      <c r="E273">
        <v>333.5</v>
      </c>
      <c r="F273" s="19">
        <f t="shared" si="75"/>
        <v>1149.0999999999999</v>
      </c>
      <c r="G273" s="19">
        <f t="shared" si="76"/>
        <v>982.2</v>
      </c>
      <c r="H273" s="14">
        <f t="shared" si="77"/>
        <v>16.992465892893492</v>
      </c>
      <c r="I273">
        <v>59.1</v>
      </c>
    </row>
    <row r="274" spans="1:9" x14ac:dyDescent="0.25">
      <c r="A274" s="10">
        <f t="shared" si="73"/>
        <v>40752</v>
      </c>
      <c r="B274">
        <v>854.1</v>
      </c>
      <c r="C274">
        <v>582.1</v>
      </c>
      <c r="D274">
        <v>398.4</v>
      </c>
      <c r="E274">
        <v>416.7</v>
      </c>
      <c r="F274" s="19">
        <f t="shared" si="75"/>
        <v>1252.5</v>
      </c>
      <c r="G274" s="19">
        <f t="shared" si="76"/>
        <v>998.8</v>
      </c>
      <c r="H274" s="14">
        <f t="shared" si="77"/>
        <v>25.40048057669204</v>
      </c>
      <c r="I274">
        <v>59.1</v>
      </c>
    </row>
    <row r="275" spans="1:9" x14ac:dyDescent="0.25">
      <c r="A275" s="10">
        <f t="shared" si="73"/>
        <v>40759</v>
      </c>
      <c r="B275">
        <v>826.3</v>
      </c>
      <c r="C275">
        <v>529.9</v>
      </c>
      <c r="D275">
        <v>463.3</v>
      </c>
      <c r="E275">
        <v>480.5</v>
      </c>
      <c r="F275" s="19">
        <f t="shared" ref="F275:G293" si="78">+B275+D275</f>
        <v>1289.5999999999999</v>
      </c>
      <c r="G275" s="19">
        <f t="shared" si="78"/>
        <v>1010.4</v>
      </c>
      <c r="H275" s="14">
        <f t="shared" ref="H275:H285" si="79">(F275/G275-1)*100</f>
        <v>27.632620744259697</v>
      </c>
      <c r="I275">
        <v>59.1</v>
      </c>
    </row>
    <row r="276" spans="1:9" x14ac:dyDescent="0.25">
      <c r="A276" s="10">
        <f t="shared" si="73"/>
        <v>40766</v>
      </c>
      <c r="B276">
        <v>855.5</v>
      </c>
      <c r="C276">
        <v>642.79999999999995</v>
      </c>
      <c r="D276">
        <v>494.9</v>
      </c>
      <c r="E276">
        <v>541.5</v>
      </c>
      <c r="F276" s="19">
        <f t="shared" si="78"/>
        <v>1350.4</v>
      </c>
      <c r="G276" s="19">
        <f t="shared" si="78"/>
        <v>1184.3</v>
      </c>
      <c r="H276" s="14">
        <f t="shared" si="79"/>
        <v>14.025162543274527</v>
      </c>
      <c r="I276">
        <v>59.1</v>
      </c>
    </row>
    <row r="277" spans="1:9" x14ac:dyDescent="0.25">
      <c r="A277" s="10">
        <f t="shared" si="73"/>
        <v>40773</v>
      </c>
      <c r="B277">
        <v>817.1</v>
      </c>
      <c r="C277">
        <v>638.79999999999995</v>
      </c>
      <c r="D277">
        <v>605.6</v>
      </c>
      <c r="E277">
        <v>592.79999999999995</v>
      </c>
      <c r="F277" s="19">
        <f t="shared" si="78"/>
        <v>1422.7</v>
      </c>
      <c r="G277" s="19">
        <f t="shared" si="78"/>
        <v>1231.5999999999999</v>
      </c>
      <c r="H277" s="14">
        <f t="shared" si="79"/>
        <v>15.516401429035408</v>
      </c>
      <c r="I277">
        <v>59.1</v>
      </c>
    </row>
    <row r="278" spans="1:9" x14ac:dyDescent="0.25">
      <c r="A278" s="10">
        <f t="shared" si="73"/>
        <v>40780</v>
      </c>
      <c r="B278">
        <v>809.8</v>
      </c>
      <c r="C278">
        <v>655.29999999999995</v>
      </c>
      <c r="D278">
        <v>677</v>
      </c>
      <c r="E278">
        <v>667.6</v>
      </c>
      <c r="F278" s="19">
        <f t="shared" si="78"/>
        <v>1486.8</v>
      </c>
      <c r="G278" s="19">
        <f t="shared" si="78"/>
        <v>1322.9</v>
      </c>
      <c r="H278" s="14">
        <f t="shared" si="79"/>
        <v>12.389447426109301</v>
      </c>
      <c r="I278">
        <v>59.1</v>
      </c>
    </row>
    <row r="279" spans="1:9" x14ac:dyDescent="0.25">
      <c r="A279" s="10">
        <f t="shared" si="73"/>
        <v>40787</v>
      </c>
      <c r="B279">
        <v>855.7</v>
      </c>
      <c r="C279">
        <v>668.4</v>
      </c>
      <c r="D279">
        <v>700</v>
      </c>
      <c r="E279">
        <v>674.8</v>
      </c>
      <c r="F279" s="19">
        <f t="shared" si="78"/>
        <v>1555.7</v>
      </c>
      <c r="G279" s="19">
        <f t="shared" si="78"/>
        <v>1343.1999999999998</v>
      </c>
      <c r="H279" s="14">
        <f t="shared" si="79"/>
        <v>15.820428826682576</v>
      </c>
      <c r="I279">
        <v>59.1</v>
      </c>
    </row>
    <row r="280" spans="1:9" x14ac:dyDescent="0.25">
      <c r="A280" s="10">
        <f t="shared" si="73"/>
        <v>40794</v>
      </c>
      <c r="B280">
        <v>837</v>
      </c>
      <c r="C280">
        <v>635.79999999999995</v>
      </c>
      <c r="D280">
        <v>756.1</v>
      </c>
      <c r="E280">
        <v>709.1</v>
      </c>
      <c r="F280" s="19">
        <f t="shared" si="78"/>
        <v>1593.1</v>
      </c>
      <c r="G280" s="19">
        <f t="shared" si="78"/>
        <v>1344.9</v>
      </c>
      <c r="H280" s="14">
        <f t="shared" si="79"/>
        <v>18.454903710313019</v>
      </c>
      <c r="I280">
        <v>59.1</v>
      </c>
    </row>
    <row r="281" spans="1:9" x14ac:dyDescent="0.25">
      <c r="A281" s="10">
        <f t="shared" si="73"/>
        <v>40801</v>
      </c>
      <c r="B281" s="48">
        <v>788</v>
      </c>
      <c r="C281" s="48">
        <v>593.9</v>
      </c>
      <c r="D281" s="48">
        <v>845</v>
      </c>
      <c r="E281" s="48">
        <v>769.9</v>
      </c>
      <c r="F281" s="81">
        <f t="shared" si="78"/>
        <v>1633</v>
      </c>
      <c r="G281" s="81">
        <f t="shared" si="78"/>
        <v>1363.8</v>
      </c>
      <c r="H281" s="85">
        <f t="shared" si="79"/>
        <v>19.738964657574432</v>
      </c>
      <c r="I281">
        <v>59.1</v>
      </c>
    </row>
    <row r="282" spans="1:9" x14ac:dyDescent="0.25">
      <c r="A282" s="10">
        <f t="shared" si="73"/>
        <v>40808</v>
      </c>
      <c r="B282" s="48">
        <v>845.1</v>
      </c>
      <c r="C282" s="48">
        <v>556.4</v>
      </c>
      <c r="D282" s="48">
        <v>903.9</v>
      </c>
      <c r="E282" s="48">
        <v>816.8</v>
      </c>
      <c r="F282" s="81">
        <f t="shared" si="78"/>
        <v>1749</v>
      </c>
      <c r="G282" s="81">
        <f t="shared" si="78"/>
        <v>1373.1999999999998</v>
      </c>
      <c r="H282" s="85">
        <f t="shared" si="79"/>
        <v>27.366734634430536</v>
      </c>
    </row>
    <row r="283" spans="1:9" x14ac:dyDescent="0.25">
      <c r="A283" s="10">
        <f t="shared" si="73"/>
        <v>40815</v>
      </c>
      <c r="B283" s="48">
        <v>860.3</v>
      </c>
      <c r="C283" s="48">
        <v>587.5</v>
      </c>
      <c r="D283" s="48">
        <v>1004.3</v>
      </c>
      <c r="E283" s="48">
        <v>823.9</v>
      </c>
      <c r="F283" s="81">
        <f t="shared" si="78"/>
        <v>1864.6</v>
      </c>
      <c r="G283" s="81">
        <f t="shared" si="78"/>
        <v>1411.4</v>
      </c>
      <c r="H283" s="85">
        <f t="shared" si="79"/>
        <v>32.109961740116177</v>
      </c>
    </row>
    <row r="284" spans="1:9" x14ac:dyDescent="0.25">
      <c r="A284" s="10">
        <f t="shared" si="73"/>
        <v>40822</v>
      </c>
      <c r="B284" s="48">
        <v>869</v>
      </c>
      <c r="C284" s="48">
        <v>555.4</v>
      </c>
      <c r="D284" s="48">
        <v>1033.5</v>
      </c>
      <c r="E284" s="48">
        <v>865.4</v>
      </c>
      <c r="F284" s="81">
        <f t="shared" si="78"/>
        <v>1902.5</v>
      </c>
      <c r="G284" s="81">
        <f t="shared" si="78"/>
        <v>1420.8</v>
      </c>
      <c r="H284" s="85">
        <f t="shared" si="79"/>
        <v>33.903434684684683</v>
      </c>
    </row>
    <row r="285" spans="1:9" x14ac:dyDescent="0.25">
      <c r="A285" s="10">
        <f t="shared" si="73"/>
        <v>40829</v>
      </c>
      <c r="B285" s="48">
        <v>847.2</v>
      </c>
      <c r="C285" s="48">
        <v>521.5</v>
      </c>
      <c r="D285" s="48">
        <v>1129.5999999999999</v>
      </c>
      <c r="E285" s="48">
        <v>940.1</v>
      </c>
      <c r="F285" s="81">
        <f t="shared" si="78"/>
        <v>1976.8</v>
      </c>
      <c r="G285" s="81">
        <f t="shared" si="78"/>
        <v>1461.6</v>
      </c>
      <c r="H285" s="85">
        <f t="shared" si="79"/>
        <v>35.249042145593876</v>
      </c>
    </row>
    <row r="286" spans="1:9" x14ac:dyDescent="0.25">
      <c r="A286" s="10">
        <f t="shared" si="73"/>
        <v>40836</v>
      </c>
      <c r="B286" s="48">
        <v>812.6</v>
      </c>
      <c r="C286" s="48">
        <v>550.29999999999995</v>
      </c>
      <c r="D286" s="48">
        <v>1260.7</v>
      </c>
      <c r="E286" s="48">
        <v>951.5</v>
      </c>
      <c r="F286" s="81">
        <f t="shared" si="78"/>
        <v>2073.3000000000002</v>
      </c>
      <c r="G286" s="81">
        <f t="shared" ref="G286:G293" si="80">+C286+E286</f>
        <v>1501.8</v>
      </c>
      <c r="H286" s="85">
        <f t="shared" ref="H286:H293" si="81">(F286/G286-1)*100</f>
        <v>38.054334798242117</v>
      </c>
    </row>
    <row r="287" spans="1:9" x14ac:dyDescent="0.25">
      <c r="A287" s="10">
        <f t="shared" si="73"/>
        <v>40843</v>
      </c>
      <c r="B287" s="48">
        <v>807.7</v>
      </c>
      <c r="C287" s="48">
        <v>579.79999999999995</v>
      </c>
      <c r="D287" s="48">
        <v>1299.5999999999999</v>
      </c>
      <c r="E287" s="48">
        <v>1005.9</v>
      </c>
      <c r="F287" s="81">
        <f t="shared" si="78"/>
        <v>2107.3000000000002</v>
      </c>
      <c r="G287" s="81">
        <f t="shared" si="80"/>
        <v>1585.6999999999998</v>
      </c>
      <c r="H287" s="85">
        <f t="shared" si="81"/>
        <v>32.893990035946288</v>
      </c>
      <c r="I287">
        <v>76.099999999999994</v>
      </c>
    </row>
    <row r="288" spans="1:9" x14ac:dyDescent="0.25">
      <c r="A288" s="10">
        <f t="shared" si="73"/>
        <v>40850</v>
      </c>
      <c r="B288" s="48">
        <v>822.4</v>
      </c>
      <c r="C288" s="48">
        <v>668</v>
      </c>
      <c r="D288" s="48">
        <v>134.6</v>
      </c>
      <c r="E288" s="48">
        <v>1031.0999999999999</v>
      </c>
      <c r="F288" s="88">
        <f t="shared" si="78"/>
        <v>957</v>
      </c>
      <c r="G288" s="81">
        <f t="shared" si="80"/>
        <v>1699.1</v>
      </c>
      <c r="H288" s="85">
        <f t="shared" si="81"/>
        <v>-43.676063798481543</v>
      </c>
    </row>
    <row r="289" spans="1:9" x14ac:dyDescent="0.25">
      <c r="A289" s="10">
        <f t="shared" si="73"/>
        <v>40857</v>
      </c>
      <c r="B289" s="48">
        <v>850.1</v>
      </c>
      <c r="C289" s="48">
        <v>769.5</v>
      </c>
      <c r="D289" s="48">
        <v>1403.6</v>
      </c>
      <c r="E289" s="48">
        <v>1079.5999999999999</v>
      </c>
      <c r="F289" s="81">
        <f t="shared" si="78"/>
        <v>2253.6999999999998</v>
      </c>
      <c r="G289" s="81">
        <f t="shared" si="80"/>
        <v>1849.1</v>
      </c>
      <c r="H289" s="85">
        <f t="shared" si="81"/>
        <v>21.88091503974907</v>
      </c>
    </row>
    <row r="290" spans="1:9" x14ac:dyDescent="0.25">
      <c r="A290" s="10">
        <f t="shared" si="73"/>
        <v>40864</v>
      </c>
      <c r="B290" s="48">
        <v>878.2</v>
      </c>
      <c r="C290" s="48">
        <v>821.8</v>
      </c>
      <c r="D290" s="48">
        <v>1468</v>
      </c>
      <c r="E290" s="48">
        <v>1135</v>
      </c>
      <c r="F290" s="81">
        <f t="shared" si="78"/>
        <v>2346.1999999999998</v>
      </c>
      <c r="G290" s="81">
        <f t="shared" si="80"/>
        <v>1956.8</v>
      </c>
      <c r="H290" s="85">
        <f t="shared" si="81"/>
        <v>19.899836467702372</v>
      </c>
    </row>
    <row r="291" spans="1:9" x14ac:dyDescent="0.25">
      <c r="A291" s="10">
        <f t="shared" si="73"/>
        <v>40871</v>
      </c>
      <c r="B291" s="48">
        <v>871.8</v>
      </c>
      <c r="C291" s="48">
        <v>810.5</v>
      </c>
      <c r="D291" s="48">
        <v>1541.4</v>
      </c>
      <c r="E291" s="48">
        <v>1146.3</v>
      </c>
      <c r="F291" s="81">
        <f t="shared" si="78"/>
        <v>2413.1999999999998</v>
      </c>
      <c r="G291" s="81">
        <f t="shared" si="80"/>
        <v>1956.8</v>
      </c>
      <c r="H291" s="85">
        <f t="shared" si="81"/>
        <v>23.323793949304971</v>
      </c>
    </row>
    <row r="292" spans="1:9" x14ac:dyDescent="0.25">
      <c r="A292" s="10">
        <f t="shared" si="73"/>
        <v>40878</v>
      </c>
      <c r="B292" s="48">
        <v>915.5</v>
      </c>
      <c r="C292" s="48">
        <v>800</v>
      </c>
      <c r="D292" s="48">
        <v>1564.5</v>
      </c>
      <c r="E292" s="48">
        <v>1230.8</v>
      </c>
      <c r="F292" s="81">
        <f t="shared" si="78"/>
        <v>2480</v>
      </c>
      <c r="G292" s="81">
        <f t="shared" si="80"/>
        <v>2030.8</v>
      </c>
      <c r="H292" s="85">
        <f t="shared" si="81"/>
        <v>22.119361827851101</v>
      </c>
      <c r="I292">
        <v>93.6</v>
      </c>
    </row>
    <row r="293" spans="1:9" x14ac:dyDescent="0.25">
      <c r="A293" s="10">
        <f t="shared" si="73"/>
        <v>40885</v>
      </c>
      <c r="B293" s="48">
        <v>949.8</v>
      </c>
      <c r="C293" s="48">
        <v>846.4</v>
      </c>
      <c r="D293" s="48">
        <v>1588.5</v>
      </c>
      <c r="E293" s="48">
        <v>1293.9000000000001</v>
      </c>
      <c r="F293" s="81">
        <f t="shared" si="78"/>
        <v>2538.3000000000002</v>
      </c>
      <c r="G293" s="81">
        <f t="shared" si="80"/>
        <v>2140.3000000000002</v>
      </c>
      <c r="H293" s="85">
        <f t="shared" si="81"/>
        <v>18.595523991963738</v>
      </c>
      <c r="I293">
        <v>93.6</v>
      </c>
    </row>
    <row r="294" spans="1:9" x14ac:dyDescent="0.25">
      <c r="A294" s="10">
        <f t="shared" si="73"/>
        <v>40892</v>
      </c>
      <c r="B294">
        <v>874.9</v>
      </c>
      <c r="C294">
        <v>849.6</v>
      </c>
      <c r="D294">
        <v>1678.2</v>
      </c>
      <c r="E294">
        <v>1348</v>
      </c>
      <c r="F294" s="81">
        <f t="shared" ref="F294:G296" si="82">+B294+D294</f>
        <v>2553.1</v>
      </c>
      <c r="G294" s="81">
        <f t="shared" si="82"/>
        <v>2197.6</v>
      </c>
      <c r="H294" s="85">
        <f t="shared" ref="H294:H299" si="83">(F294/G294-1)*100</f>
        <v>16.176738259919922</v>
      </c>
      <c r="I294">
        <v>93.6</v>
      </c>
    </row>
    <row r="295" spans="1:9" x14ac:dyDescent="0.25">
      <c r="A295" s="10">
        <f t="shared" si="73"/>
        <v>40899</v>
      </c>
      <c r="B295" s="48">
        <v>904</v>
      </c>
      <c r="C295" s="48">
        <v>841.4</v>
      </c>
      <c r="D295" s="48">
        <v>1724.7</v>
      </c>
      <c r="E295" s="48">
        <v>1400.2</v>
      </c>
      <c r="F295" s="81">
        <f t="shared" si="82"/>
        <v>2628.7</v>
      </c>
      <c r="G295" s="81">
        <f t="shared" si="82"/>
        <v>2241.6</v>
      </c>
      <c r="H295" s="85">
        <f t="shared" si="83"/>
        <v>17.268915060670942</v>
      </c>
    </row>
    <row r="296" spans="1:9" x14ac:dyDescent="0.25">
      <c r="A296" s="10">
        <f t="shared" si="73"/>
        <v>40906</v>
      </c>
      <c r="B296" s="48">
        <v>819.1</v>
      </c>
      <c r="C296" s="48">
        <v>808.3</v>
      </c>
      <c r="D296" s="48">
        <v>1843</v>
      </c>
      <c r="E296" s="48">
        <v>1434.2</v>
      </c>
      <c r="F296" s="81">
        <f t="shared" si="82"/>
        <v>2662.1</v>
      </c>
      <c r="G296" s="81">
        <f t="shared" si="82"/>
        <v>2242.5</v>
      </c>
      <c r="H296" s="85">
        <f t="shared" si="83"/>
        <v>18.71125975473802</v>
      </c>
      <c r="I296">
        <v>106.3</v>
      </c>
    </row>
    <row r="297" spans="1:9" x14ac:dyDescent="0.25">
      <c r="A297" s="10">
        <f t="shared" si="73"/>
        <v>40913</v>
      </c>
      <c r="B297">
        <v>835.5</v>
      </c>
      <c r="C297">
        <v>740.3</v>
      </c>
      <c r="D297">
        <v>1870.9</v>
      </c>
      <c r="E297">
        <v>1531.2</v>
      </c>
      <c r="F297" s="81">
        <f t="shared" ref="F297:F328" si="84">+B297+D297</f>
        <v>2706.4</v>
      </c>
      <c r="G297" s="81">
        <f t="shared" ref="G297:G328" si="85">+C297+E297</f>
        <v>2271.5</v>
      </c>
      <c r="H297" s="85">
        <f t="shared" si="83"/>
        <v>19.145938806955765</v>
      </c>
      <c r="I297">
        <v>109.3</v>
      </c>
    </row>
    <row r="298" spans="1:9" x14ac:dyDescent="0.25">
      <c r="A298" s="10">
        <f t="shared" si="73"/>
        <v>40920</v>
      </c>
      <c r="B298">
        <v>810.7</v>
      </c>
      <c r="C298">
        <v>698.4</v>
      </c>
      <c r="D298">
        <v>1951.9</v>
      </c>
      <c r="E298">
        <v>1609.2</v>
      </c>
      <c r="F298" s="81">
        <f t="shared" si="84"/>
        <v>2762.6000000000004</v>
      </c>
      <c r="G298" s="81">
        <f t="shared" si="85"/>
        <v>2307.6</v>
      </c>
      <c r="H298" s="85">
        <f t="shared" si="83"/>
        <v>19.717455364881275</v>
      </c>
      <c r="I298">
        <v>109.3</v>
      </c>
    </row>
    <row r="299" spans="1:9" x14ac:dyDescent="0.25">
      <c r="A299" s="10">
        <f t="shared" si="73"/>
        <v>40927</v>
      </c>
      <c r="B299">
        <v>859.9</v>
      </c>
      <c r="C299">
        <v>653.5</v>
      </c>
      <c r="D299">
        <v>2029.5</v>
      </c>
      <c r="E299">
        <v>1696</v>
      </c>
      <c r="F299" s="81">
        <f t="shared" si="84"/>
        <v>2889.4</v>
      </c>
      <c r="G299" s="81">
        <f t="shared" si="85"/>
        <v>2349.5</v>
      </c>
      <c r="H299" s="85">
        <f t="shared" si="83"/>
        <v>22.979357310065971</v>
      </c>
      <c r="I299">
        <v>114.3</v>
      </c>
    </row>
    <row r="300" spans="1:9" x14ac:dyDescent="0.25">
      <c r="A300" s="10">
        <f t="shared" si="73"/>
        <v>40934</v>
      </c>
      <c r="B300">
        <v>738</v>
      </c>
      <c r="C300">
        <v>703.9</v>
      </c>
      <c r="D300">
        <v>2174.6999999999998</v>
      </c>
      <c r="E300">
        <v>1713.8</v>
      </c>
      <c r="F300" s="81">
        <f t="shared" si="84"/>
        <v>2912.7</v>
      </c>
      <c r="G300" s="81">
        <f t="shared" si="85"/>
        <v>2417.6999999999998</v>
      </c>
      <c r="H300" s="85">
        <f t="shared" ref="H300:H331" si="86">(F300/G300-1)*100</f>
        <v>20.474004218885721</v>
      </c>
      <c r="I300">
        <v>142.69999999999999</v>
      </c>
    </row>
    <row r="301" spans="1:9" x14ac:dyDescent="0.25">
      <c r="A301" s="10">
        <f t="shared" si="73"/>
        <v>40941</v>
      </c>
      <c r="B301">
        <v>809.4</v>
      </c>
      <c r="C301">
        <v>751.5</v>
      </c>
      <c r="D301">
        <v>2232.8000000000002</v>
      </c>
      <c r="E301">
        <v>1772.8</v>
      </c>
      <c r="F301" s="81">
        <f t="shared" si="84"/>
        <v>3042.2000000000003</v>
      </c>
      <c r="G301" s="81">
        <f t="shared" si="85"/>
        <v>2524.3000000000002</v>
      </c>
      <c r="H301" s="85">
        <f t="shared" si="86"/>
        <v>20.516578853543564</v>
      </c>
      <c r="I301">
        <v>142.69999999999999</v>
      </c>
    </row>
    <row r="302" spans="1:9" x14ac:dyDescent="0.25">
      <c r="A302" s="10">
        <f t="shared" si="73"/>
        <v>40948</v>
      </c>
      <c r="B302">
        <v>749.7</v>
      </c>
      <c r="C302">
        <v>699.8</v>
      </c>
      <c r="D302">
        <v>2321.6</v>
      </c>
      <c r="E302">
        <v>1825.6</v>
      </c>
      <c r="F302" s="81">
        <f t="shared" si="84"/>
        <v>3071.3</v>
      </c>
      <c r="G302" s="81">
        <f t="shared" si="85"/>
        <v>2525.3999999999996</v>
      </c>
      <c r="H302" s="85">
        <f t="shared" si="86"/>
        <v>21.616377603547974</v>
      </c>
      <c r="I302">
        <v>147.69999999999999</v>
      </c>
    </row>
    <row r="303" spans="1:9" x14ac:dyDescent="0.25">
      <c r="A303" s="10">
        <f t="shared" si="73"/>
        <v>40955</v>
      </c>
      <c r="B303">
        <v>696.9</v>
      </c>
      <c r="C303">
        <v>666.9</v>
      </c>
      <c r="D303">
        <v>2386.1</v>
      </c>
      <c r="E303">
        <v>1878.8</v>
      </c>
      <c r="F303" s="81">
        <f t="shared" si="84"/>
        <v>3083</v>
      </c>
      <c r="G303" s="81">
        <f t="shared" si="85"/>
        <v>2545.6999999999998</v>
      </c>
      <c r="H303" s="85">
        <f t="shared" si="86"/>
        <v>21.106179047020479</v>
      </c>
      <c r="I303">
        <v>175.4</v>
      </c>
    </row>
    <row r="304" spans="1:9" x14ac:dyDescent="0.25">
      <c r="A304" s="10">
        <f t="shared" si="73"/>
        <v>40962</v>
      </c>
      <c r="B304">
        <v>726.9</v>
      </c>
      <c r="C304">
        <v>621.4</v>
      </c>
      <c r="D304">
        <v>2400.1</v>
      </c>
      <c r="E304">
        <v>1918.5</v>
      </c>
      <c r="F304" s="81">
        <f t="shared" si="84"/>
        <v>3127</v>
      </c>
      <c r="G304" s="81">
        <f t="shared" si="85"/>
        <v>2539.9</v>
      </c>
      <c r="H304" s="85">
        <f t="shared" si="86"/>
        <v>23.115083270994919</v>
      </c>
      <c r="I304">
        <v>230.4</v>
      </c>
    </row>
    <row r="305" spans="1:9" x14ac:dyDescent="0.25">
      <c r="A305" s="10">
        <f t="shared" si="73"/>
        <v>40969</v>
      </c>
      <c r="B305">
        <v>720.7</v>
      </c>
      <c r="C305">
        <v>608.4</v>
      </c>
      <c r="D305">
        <v>2501.9</v>
      </c>
      <c r="E305">
        <v>1936.2</v>
      </c>
      <c r="F305" s="81">
        <f t="shared" si="84"/>
        <v>3222.6000000000004</v>
      </c>
      <c r="G305" s="81">
        <f t="shared" si="85"/>
        <v>2544.6</v>
      </c>
      <c r="H305" s="85">
        <f t="shared" si="86"/>
        <v>26.644659278472083</v>
      </c>
      <c r="I305">
        <v>230.4</v>
      </c>
    </row>
    <row r="306" spans="1:9" x14ac:dyDescent="0.25">
      <c r="A306" s="10">
        <f t="shared" si="73"/>
        <v>40976</v>
      </c>
      <c r="B306">
        <v>584</v>
      </c>
      <c r="C306">
        <v>560.29999999999995</v>
      </c>
      <c r="D306">
        <v>2658</v>
      </c>
      <c r="E306">
        <v>1989.6</v>
      </c>
      <c r="F306" s="81">
        <f t="shared" si="84"/>
        <v>3242</v>
      </c>
      <c r="G306" s="81">
        <f t="shared" si="85"/>
        <v>2549.8999999999996</v>
      </c>
      <c r="H306" s="85">
        <f t="shared" si="86"/>
        <v>27.142240872191081</v>
      </c>
      <c r="I306">
        <v>230.4</v>
      </c>
    </row>
    <row r="307" spans="1:9" x14ac:dyDescent="0.25">
      <c r="A307" s="10">
        <f t="shared" si="73"/>
        <v>40983</v>
      </c>
      <c r="B307">
        <v>438.7</v>
      </c>
      <c r="C307">
        <v>536.5</v>
      </c>
      <c r="D307">
        <v>2810.7</v>
      </c>
      <c r="E307">
        <v>2058.3000000000002</v>
      </c>
      <c r="F307" s="81">
        <f t="shared" si="84"/>
        <v>3249.3999999999996</v>
      </c>
      <c r="G307" s="81">
        <f t="shared" si="85"/>
        <v>2594.8000000000002</v>
      </c>
      <c r="H307" s="85">
        <f t="shared" si="86"/>
        <v>25.227377832588239</v>
      </c>
      <c r="I307">
        <v>230.4</v>
      </c>
    </row>
    <row r="308" spans="1:9" x14ac:dyDescent="0.25">
      <c r="A308" s="10">
        <f t="shared" si="73"/>
        <v>40990</v>
      </c>
      <c r="B308">
        <v>463.3</v>
      </c>
      <c r="C308">
        <v>495.2</v>
      </c>
      <c r="D308">
        <v>2838</v>
      </c>
      <c r="E308">
        <v>2098.1999999999998</v>
      </c>
      <c r="F308" s="81">
        <f t="shared" si="84"/>
        <v>3301.3</v>
      </c>
      <c r="G308" s="81">
        <f t="shared" si="85"/>
        <v>2593.3999999999996</v>
      </c>
      <c r="H308" s="85">
        <f t="shared" si="86"/>
        <v>27.296213464949503</v>
      </c>
      <c r="I308">
        <v>230.4</v>
      </c>
    </row>
    <row r="309" spans="1:9" x14ac:dyDescent="0.25">
      <c r="A309" s="10">
        <f t="shared" si="73"/>
        <v>40997</v>
      </c>
      <c r="B309">
        <v>446</v>
      </c>
      <c r="C309">
        <v>404.3</v>
      </c>
      <c r="D309">
        <v>2898.7</v>
      </c>
      <c r="E309">
        <v>2190.9</v>
      </c>
      <c r="F309" s="81">
        <f t="shared" si="84"/>
        <v>3344.7</v>
      </c>
      <c r="G309" s="81">
        <f t="shared" si="85"/>
        <v>2595.2000000000003</v>
      </c>
      <c r="H309" s="85">
        <f t="shared" si="86"/>
        <v>28.880240443896412</v>
      </c>
      <c r="I309">
        <v>240.5</v>
      </c>
    </row>
    <row r="310" spans="1:9" x14ac:dyDescent="0.25">
      <c r="A310" s="10">
        <f t="shared" si="73"/>
        <v>41004</v>
      </c>
      <c r="B310">
        <v>404.9</v>
      </c>
      <c r="C310">
        <v>365.5</v>
      </c>
      <c r="D310">
        <v>2990.4</v>
      </c>
      <c r="E310">
        <v>2250.6</v>
      </c>
      <c r="F310" s="81">
        <f t="shared" si="84"/>
        <v>3395.3</v>
      </c>
      <c r="G310" s="81">
        <f t="shared" si="85"/>
        <v>2616.1</v>
      </c>
      <c r="H310" s="85">
        <f t="shared" si="86"/>
        <v>29.784794159244687</v>
      </c>
      <c r="I310">
        <v>248.5</v>
      </c>
    </row>
    <row r="311" spans="1:9" x14ac:dyDescent="0.25">
      <c r="A311" s="10">
        <f t="shared" si="73"/>
        <v>41011</v>
      </c>
      <c r="B311">
        <v>367.2</v>
      </c>
      <c r="C311">
        <v>285.2</v>
      </c>
      <c r="D311">
        <v>3044</v>
      </c>
      <c r="E311">
        <v>2337.6999999999998</v>
      </c>
      <c r="F311" s="81">
        <f t="shared" si="84"/>
        <v>3411.2</v>
      </c>
      <c r="G311" s="81">
        <f t="shared" si="85"/>
        <v>2622.8999999999996</v>
      </c>
      <c r="H311" s="85">
        <f t="shared" si="86"/>
        <v>30.054519806321256</v>
      </c>
      <c r="I311">
        <v>248.5</v>
      </c>
    </row>
    <row r="312" spans="1:9" x14ac:dyDescent="0.25">
      <c r="A312" s="10">
        <f t="shared" si="73"/>
        <v>41018</v>
      </c>
      <c r="B312">
        <v>341.7</v>
      </c>
      <c r="C312">
        <v>282.39999999999998</v>
      </c>
      <c r="D312">
        <v>3124</v>
      </c>
      <c r="E312">
        <v>2364.6999999999998</v>
      </c>
      <c r="F312" s="81">
        <f t="shared" si="84"/>
        <v>3465.7</v>
      </c>
      <c r="G312" s="81">
        <f t="shared" si="85"/>
        <v>2647.1</v>
      </c>
      <c r="H312" s="85">
        <f t="shared" si="86"/>
        <v>30.924407842544667</v>
      </c>
      <c r="I312">
        <v>304.39999999999998</v>
      </c>
    </row>
    <row r="313" spans="1:9" x14ac:dyDescent="0.25">
      <c r="A313" s="10">
        <f t="shared" si="73"/>
        <v>41025</v>
      </c>
      <c r="B313">
        <v>298.89999999999998</v>
      </c>
      <c r="C313">
        <v>216.4</v>
      </c>
      <c r="D313">
        <v>3185.8</v>
      </c>
      <c r="E313">
        <v>2421.4</v>
      </c>
      <c r="F313" s="81">
        <f t="shared" si="84"/>
        <v>3484.7000000000003</v>
      </c>
      <c r="G313" s="81">
        <f t="shared" si="85"/>
        <v>2637.8</v>
      </c>
      <c r="H313" s="85">
        <f t="shared" si="86"/>
        <v>32.106300705133073</v>
      </c>
      <c r="I313">
        <v>519.9</v>
      </c>
    </row>
    <row r="314" spans="1:9" x14ac:dyDescent="0.25">
      <c r="A314" s="10">
        <f t="shared" si="73"/>
        <v>41032</v>
      </c>
      <c r="B314">
        <v>227.1</v>
      </c>
      <c r="C314">
        <v>170.8</v>
      </c>
      <c r="D314">
        <v>3271</v>
      </c>
      <c r="E314">
        <v>2473.9</v>
      </c>
      <c r="F314" s="81">
        <f t="shared" si="84"/>
        <v>3498.1</v>
      </c>
      <c r="G314" s="81">
        <f t="shared" si="85"/>
        <v>2644.7000000000003</v>
      </c>
      <c r="H314" s="85">
        <f t="shared" si="86"/>
        <v>32.268310205316283</v>
      </c>
      <c r="I314">
        <v>606.20000000000005</v>
      </c>
    </row>
    <row r="315" spans="1:9" x14ac:dyDescent="0.25">
      <c r="A315" s="10">
        <f t="shared" si="73"/>
        <v>41039</v>
      </c>
      <c r="B315">
        <v>175.9</v>
      </c>
      <c r="C315">
        <v>144.69999999999999</v>
      </c>
      <c r="D315">
        <v>3341.8</v>
      </c>
      <c r="E315">
        <v>2493.3000000000002</v>
      </c>
      <c r="F315" s="81">
        <f t="shared" si="84"/>
        <v>3517.7000000000003</v>
      </c>
      <c r="G315" s="81">
        <f t="shared" si="85"/>
        <v>2638</v>
      </c>
      <c r="H315" s="85">
        <f t="shared" si="86"/>
        <v>33.347232752084935</v>
      </c>
      <c r="I315">
        <v>643.70000000000005</v>
      </c>
    </row>
    <row r="316" spans="1:9" x14ac:dyDescent="0.25">
      <c r="A316" s="10">
        <f t="shared" si="73"/>
        <v>41046</v>
      </c>
      <c r="B316">
        <v>149.4</v>
      </c>
      <c r="C316">
        <v>125.1</v>
      </c>
      <c r="D316">
        <v>3366.3</v>
      </c>
      <c r="E316">
        <v>2536.9</v>
      </c>
      <c r="F316" s="81">
        <f t="shared" si="84"/>
        <v>3515.7000000000003</v>
      </c>
      <c r="G316" s="81">
        <f t="shared" si="85"/>
        <v>2662</v>
      </c>
      <c r="H316" s="85">
        <f t="shared" si="86"/>
        <v>32.069872276483856</v>
      </c>
      <c r="I316">
        <v>716.2</v>
      </c>
    </row>
    <row r="317" spans="1:9" x14ac:dyDescent="0.25">
      <c r="A317" s="10">
        <f t="shared" ref="A317:A380" si="87">+A316+7</f>
        <v>41053</v>
      </c>
      <c r="B317">
        <v>118.3</v>
      </c>
      <c r="C317">
        <v>76.900000000000006</v>
      </c>
      <c r="D317">
        <v>3419.6</v>
      </c>
      <c r="E317">
        <v>2589.3000000000002</v>
      </c>
      <c r="F317" s="81">
        <f t="shared" si="84"/>
        <v>3537.9</v>
      </c>
      <c r="G317" s="81">
        <f t="shared" si="85"/>
        <v>2666.2000000000003</v>
      </c>
      <c r="H317" s="85">
        <f t="shared" si="86"/>
        <v>32.694471532518186</v>
      </c>
      <c r="I317">
        <v>700.2</v>
      </c>
    </row>
    <row r="318" spans="1:9" x14ac:dyDescent="0.25">
      <c r="A318" s="10">
        <f t="shared" si="87"/>
        <v>41060</v>
      </c>
      <c r="B318">
        <v>67.099999999999994</v>
      </c>
      <c r="C318">
        <v>66.3</v>
      </c>
      <c r="D318">
        <v>3495.9</v>
      </c>
      <c r="E318">
        <v>2601</v>
      </c>
      <c r="F318" s="81">
        <f t="shared" si="84"/>
        <v>3563</v>
      </c>
      <c r="G318" s="81">
        <f t="shared" si="85"/>
        <v>2667.3</v>
      </c>
      <c r="H318" s="85">
        <f t="shared" si="86"/>
        <v>33.58077456604056</v>
      </c>
    </row>
    <row r="319" spans="1:9" x14ac:dyDescent="0.25">
      <c r="A319" s="10">
        <f t="shared" si="87"/>
        <v>41067</v>
      </c>
      <c r="B319">
        <v>713</v>
      </c>
      <c r="C319">
        <v>567.29999999999995</v>
      </c>
      <c r="D319">
        <v>132.5</v>
      </c>
      <c r="E319">
        <v>92.3</v>
      </c>
      <c r="F319" s="81">
        <f t="shared" si="84"/>
        <v>845.5</v>
      </c>
      <c r="G319" s="81">
        <f t="shared" si="85"/>
        <v>659.59999999999991</v>
      </c>
      <c r="H319" s="85">
        <f t="shared" si="86"/>
        <v>28.183747725894492</v>
      </c>
    </row>
    <row r="320" spans="1:9" x14ac:dyDescent="0.25">
      <c r="A320" s="10">
        <f t="shared" si="87"/>
        <v>41074</v>
      </c>
      <c r="B320">
        <v>685.7</v>
      </c>
      <c r="C320">
        <v>607</v>
      </c>
      <c r="D320">
        <v>175.9</v>
      </c>
      <c r="E320">
        <v>121.1</v>
      </c>
      <c r="F320" s="81">
        <f t="shared" si="84"/>
        <v>861.6</v>
      </c>
      <c r="G320" s="81">
        <f t="shared" si="85"/>
        <v>728.1</v>
      </c>
      <c r="H320" s="85">
        <f t="shared" si="86"/>
        <v>18.335393489905229</v>
      </c>
    </row>
    <row r="321" spans="1:9" x14ac:dyDescent="0.25">
      <c r="A321" s="10">
        <f t="shared" si="87"/>
        <v>41081</v>
      </c>
      <c r="B321">
        <v>660.1</v>
      </c>
      <c r="C321">
        <v>591.5</v>
      </c>
      <c r="D321">
        <v>201</v>
      </c>
      <c r="E321">
        <v>173.2</v>
      </c>
      <c r="F321" s="81">
        <f t="shared" si="84"/>
        <v>861.1</v>
      </c>
      <c r="G321" s="81">
        <f t="shared" si="85"/>
        <v>764.7</v>
      </c>
      <c r="H321" s="85">
        <f t="shared" si="86"/>
        <v>12.606250817313969</v>
      </c>
    </row>
    <row r="322" spans="1:9" x14ac:dyDescent="0.25">
      <c r="A322" s="10">
        <f t="shared" si="87"/>
        <v>41088</v>
      </c>
      <c r="B322">
        <v>745.3</v>
      </c>
      <c r="C322">
        <v>635.29999999999995</v>
      </c>
      <c r="D322">
        <v>278.10000000000002</v>
      </c>
      <c r="E322">
        <v>194.5</v>
      </c>
      <c r="F322" s="81">
        <f t="shared" si="84"/>
        <v>1023.4</v>
      </c>
      <c r="G322" s="81">
        <f t="shared" si="85"/>
        <v>829.8</v>
      </c>
      <c r="H322" s="85">
        <f t="shared" si="86"/>
        <v>23.330923114003376</v>
      </c>
    </row>
    <row r="323" spans="1:9" x14ac:dyDescent="0.25">
      <c r="A323" s="10">
        <f t="shared" si="87"/>
        <v>41095</v>
      </c>
      <c r="B323">
        <v>751.1</v>
      </c>
      <c r="C323">
        <v>711.2</v>
      </c>
      <c r="D323">
        <v>297.8</v>
      </c>
      <c r="E323">
        <v>240.4</v>
      </c>
      <c r="F323" s="81">
        <f t="shared" si="84"/>
        <v>1048.9000000000001</v>
      </c>
      <c r="G323" s="81">
        <f t="shared" si="85"/>
        <v>951.6</v>
      </c>
      <c r="H323" s="85">
        <f t="shared" si="86"/>
        <v>10.224884405212276</v>
      </c>
    </row>
    <row r="324" spans="1:9" x14ac:dyDescent="0.25">
      <c r="A324" s="10">
        <f t="shared" si="87"/>
        <v>41102</v>
      </c>
      <c r="B324">
        <v>825.9</v>
      </c>
      <c r="C324">
        <v>783.2</v>
      </c>
      <c r="D324">
        <v>323.5</v>
      </c>
      <c r="E324">
        <v>272.39999999999998</v>
      </c>
      <c r="F324" s="81">
        <f t="shared" si="84"/>
        <v>1149.4000000000001</v>
      </c>
      <c r="G324" s="81">
        <f t="shared" si="85"/>
        <v>1055.5999999999999</v>
      </c>
      <c r="H324" s="85">
        <f t="shared" si="86"/>
        <v>8.8859416445623562</v>
      </c>
    </row>
    <row r="325" spans="1:9" x14ac:dyDescent="0.25">
      <c r="A325" s="10">
        <f t="shared" si="87"/>
        <v>41109</v>
      </c>
      <c r="B325">
        <v>818.6</v>
      </c>
      <c r="C325">
        <v>796</v>
      </c>
      <c r="D325">
        <v>364.3</v>
      </c>
      <c r="E325">
        <v>353.1</v>
      </c>
      <c r="F325" s="81">
        <f t="shared" si="84"/>
        <v>1182.9000000000001</v>
      </c>
      <c r="G325" s="81">
        <f t="shared" si="85"/>
        <v>1149.0999999999999</v>
      </c>
      <c r="H325" s="85">
        <f t="shared" si="86"/>
        <v>2.941432425376389</v>
      </c>
    </row>
    <row r="326" spans="1:9" x14ac:dyDescent="0.25">
      <c r="A326" s="10">
        <f t="shared" si="87"/>
        <v>41116</v>
      </c>
      <c r="B326">
        <v>769.3</v>
      </c>
      <c r="C326">
        <v>854.1</v>
      </c>
      <c r="D326">
        <v>435.3</v>
      </c>
      <c r="E326">
        <v>398.4</v>
      </c>
      <c r="F326" s="81">
        <f t="shared" si="84"/>
        <v>1204.5999999999999</v>
      </c>
      <c r="G326" s="81">
        <f t="shared" si="85"/>
        <v>1252.5</v>
      </c>
      <c r="H326" s="85">
        <f t="shared" si="86"/>
        <v>-3.824351297405193</v>
      </c>
    </row>
    <row r="327" spans="1:9" x14ac:dyDescent="0.25">
      <c r="A327" s="10">
        <f t="shared" si="87"/>
        <v>41123</v>
      </c>
      <c r="B327">
        <v>733.3</v>
      </c>
      <c r="C327">
        <v>826.3</v>
      </c>
      <c r="D327">
        <v>520.79999999999995</v>
      </c>
      <c r="E327">
        <v>463.3</v>
      </c>
      <c r="F327" s="81">
        <f t="shared" si="84"/>
        <v>1254.0999999999999</v>
      </c>
      <c r="G327" s="81">
        <f t="shared" si="85"/>
        <v>1289.5999999999999</v>
      </c>
      <c r="H327" s="85">
        <f t="shared" si="86"/>
        <v>-2.7527915632754363</v>
      </c>
    </row>
    <row r="328" spans="1:9" x14ac:dyDescent="0.25">
      <c r="A328" s="10">
        <f t="shared" si="87"/>
        <v>41130</v>
      </c>
      <c r="B328">
        <v>683.9</v>
      </c>
      <c r="C328">
        <v>855.5</v>
      </c>
      <c r="D328">
        <v>612.29999999999995</v>
      </c>
      <c r="E328">
        <v>494.9</v>
      </c>
      <c r="F328" s="81">
        <f t="shared" si="84"/>
        <v>1296.1999999999998</v>
      </c>
      <c r="G328" s="81">
        <f t="shared" si="85"/>
        <v>1350.4</v>
      </c>
      <c r="H328" s="85">
        <f t="shared" si="86"/>
        <v>-4.0136255924170801</v>
      </c>
    </row>
    <row r="329" spans="1:9" x14ac:dyDescent="0.25">
      <c r="A329" s="10">
        <f t="shared" si="87"/>
        <v>41137</v>
      </c>
      <c r="B329">
        <v>676.7</v>
      </c>
      <c r="C329">
        <v>817.1</v>
      </c>
      <c r="D329">
        <v>671.7</v>
      </c>
      <c r="E329">
        <v>605.6</v>
      </c>
      <c r="F329" s="81">
        <f t="shared" ref="F329:F360" si="88">+B329+D329</f>
        <v>1348.4</v>
      </c>
      <c r="G329" s="81">
        <f t="shared" ref="G329:G360" si="89">+C329+E329</f>
        <v>1422.7</v>
      </c>
      <c r="H329" s="85">
        <f t="shared" si="86"/>
        <v>-5.222464328389675</v>
      </c>
    </row>
    <row r="330" spans="1:9" x14ac:dyDescent="0.25">
      <c r="A330" s="10">
        <f t="shared" si="87"/>
        <v>41144</v>
      </c>
      <c r="B330">
        <v>756.7</v>
      </c>
      <c r="C330">
        <v>809.8</v>
      </c>
      <c r="D330">
        <v>700.1</v>
      </c>
      <c r="E330">
        <v>677</v>
      </c>
      <c r="F330" s="81">
        <f t="shared" si="88"/>
        <v>1456.8000000000002</v>
      </c>
      <c r="G330" s="81">
        <f t="shared" si="89"/>
        <v>1486.8</v>
      </c>
      <c r="H330" s="85">
        <f t="shared" si="86"/>
        <v>-2.0177562550443784</v>
      </c>
      <c r="I330">
        <v>0.9</v>
      </c>
    </row>
    <row r="331" spans="1:9" x14ac:dyDescent="0.25">
      <c r="A331" s="10">
        <f t="shared" si="87"/>
        <v>41151</v>
      </c>
      <c r="B331">
        <v>842.3</v>
      </c>
      <c r="C331">
        <v>855.7</v>
      </c>
      <c r="D331">
        <v>724.2</v>
      </c>
      <c r="E331">
        <v>700</v>
      </c>
      <c r="F331" s="81">
        <f t="shared" si="88"/>
        <v>1566.5</v>
      </c>
      <c r="G331" s="81">
        <f t="shared" si="89"/>
        <v>1555.7</v>
      </c>
      <c r="H331" s="85">
        <f t="shared" si="86"/>
        <v>0.694221250883853</v>
      </c>
      <c r="I331">
        <v>7.9</v>
      </c>
    </row>
    <row r="332" spans="1:9" x14ac:dyDescent="0.25">
      <c r="A332" s="10">
        <f t="shared" si="87"/>
        <v>41158</v>
      </c>
      <c r="B332">
        <v>851.5</v>
      </c>
      <c r="C332">
        <v>855.7</v>
      </c>
      <c r="D332">
        <v>801.6</v>
      </c>
      <c r="E332">
        <v>700</v>
      </c>
      <c r="F332" s="81">
        <f t="shared" si="88"/>
        <v>1653.1</v>
      </c>
      <c r="G332" s="81">
        <f t="shared" si="89"/>
        <v>1555.7</v>
      </c>
      <c r="H332" s="85">
        <f t="shared" ref="H332:H363" si="90">(F332/G332-1)*100</f>
        <v>6.2608472070450505</v>
      </c>
    </row>
    <row r="333" spans="1:9" x14ac:dyDescent="0.25">
      <c r="A333" s="10">
        <f t="shared" si="87"/>
        <v>41165</v>
      </c>
      <c r="B333">
        <v>848.4</v>
      </c>
      <c r="C333">
        <v>788</v>
      </c>
      <c r="D333">
        <v>933</v>
      </c>
      <c r="E333">
        <v>845</v>
      </c>
      <c r="F333" s="81">
        <f t="shared" si="88"/>
        <v>1781.4</v>
      </c>
      <c r="G333" s="81">
        <f t="shared" si="89"/>
        <v>1633</v>
      </c>
      <c r="H333" s="85">
        <f t="shared" si="90"/>
        <v>9.0875688916105304</v>
      </c>
      <c r="I333">
        <v>7.9</v>
      </c>
    </row>
    <row r="334" spans="1:9" x14ac:dyDescent="0.25">
      <c r="A334" s="10">
        <f t="shared" si="87"/>
        <v>41172</v>
      </c>
      <c r="B334">
        <v>800.2</v>
      </c>
      <c r="C334">
        <v>845.1</v>
      </c>
      <c r="D334">
        <v>1018.4</v>
      </c>
      <c r="E334">
        <v>903.9</v>
      </c>
      <c r="F334" s="81">
        <f t="shared" si="88"/>
        <v>1818.6</v>
      </c>
      <c r="G334" s="81">
        <f t="shared" si="89"/>
        <v>1749</v>
      </c>
      <c r="H334" s="85">
        <f t="shared" si="90"/>
        <v>3.9794168096054738</v>
      </c>
    </row>
    <row r="335" spans="1:9" x14ac:dyDescent="0.25">
      <c r="A335" s="10">
        <f t="shared" si="87"/>
        <v>41179</v>
      </c>
      <c r="B335">
        <v>799.9</v>
      </c>
      <c r="C335">
        <v>860.3</v>
      </c>
      <c r="D335">
        <v>1038.2</v>
      </c>
      <c r="E335">
        <v>1004.3</v>
      </c>
      <c r="F335" s="81">
        <f t="shared" si="88"/>
        <v>1838.1</v>
      </c>
      <c r="G335" s="81">
        <f t="shared" si="89"/>
        <v>1864.6</v>
      </c>
      <c r="H335" s="85">
        <f t="shared" si="90"/>
        <v>-1.4212163466695293</v>
      </c>
      <c r="I335">
        <v>7.9</v>
      </c>
    </row>
    <row r="336" spans="1:9" x14ac:dyDescent="0.25">
      <c r="A336" s="10">
        <f t="shared" si="87"/>
        <v>41186</v>
      </c>
      <c r="B336">
        <v>756.8</v>
      </c>
      <c r="C336">
        <v>869</v>
      </c>
      <c r="D336">
        <v>1103.8</v>
      </c>
      <c r="E336">
        <v>1033.5</v>
      </c>
      <c r="F336" s="81">
        <f t="shared" si="88"/>
        <v>1860.6</v>
      </c>
      <c r="G336" s="81">
        <f t="shared" si="89"/>
        <v>1902.5</v>
      </c>
      <c r="H336" s="85">
        <f t="shared" si="90"/>
        <v>-2.2023653088042106</v>
      </c>
      <c r="I336">
        <v>7.9</v>
      </c>
    </row>
    <row r="337" spans="1:9" x14ac:dyDescent="0.25">
      <c r="A337" s="10">
        <f t="shared" si="87"/>
        <v>41193</v>
      </c>
      <c r="B337">
        <v>760.3</v>
      </c>
      <c r="C337">
        <v>847.2</v>
      </c>
      <c r="D337">
        <v>1140.4000000000001</v>
      </c>
      <c r="E337">
        <v>1129.5999999999999</v>
      </c>
      <c r="F337" s="81">
        <f t="shared" si="88"/>
        <v>1900.7</v>
      </c>
      <c r="G337" s="81">
        <f t="shared" si="89"/>
        <v>1976.8</v>
      </c>
      <c r="H337" s="85">
        <f t="shared" si="90"/>
        <v>-3.8496560097126653</v>
      </c>
      <c r="I337">
        <v>7.9</v>
      </c>
    </row>
    <row r="338" spans="1:9" x14ac:dyDescent="0.25">
      <c r="A338" s="10">
        <f t="shared" si="87"/>
        <v>41200</v>
      </c>
      <c r="B338">
        <v>739.5</v>
      </c>
      <c r="C338">
        <v>812.6</v>
      </c>
      <c r="D338">
        <v>1215.0999999999999</v>
      </c>
      <c r="E338">
        <v>1260.7</v>
      </c>
      <c r="F338" s="81">
        <f t="shared" si="88"/>
        <v>1954.6</v>
      </c>
      <c r="G338" s="81">
        <f t="shared" si="89"/>
        <v>2073.3000000000002</v>
      </c>
      <c r="H338" s="85">
        <f t="shared" si="90"/>
        <v>-5.7251724304249407</v>
      </c>
      <c r="I338">
        <v>7.9</v>
      </c>
    </row>
    <row r="339" spans="1:9" x14ac:dyDescent="0.25">
      <c r="A339" s="10">
        <f t="shared" si="87"/>
        <v>41207</v>
      </c>
      <c r="B339">
        <v>713.9</v>
      </c>
      <c r="C339">
        <v>807.7</v>
      </c>
      <c r="D339">
        <v>1255</v>
      </c>
      <c r="E339">
        <v>1299.5999999999999</v>
      </c>
      <c r="F339" s="81">
        <f t="shared" si="88"/>
        <v>1968.9</v>
      </c>
      <c r="G339" s="81">
        <f t="shared" si="89"/>
        <v>2107.3000000000002</v>
      </c>
      <c r="H339" s="85">
        <f t="shared" si="90"/>
        <v>-6.5676458026859059</v>
      </c>
      <c r="I339">
        <v>7.9</v>
      </c>
    </row>
    <row r="340" spans="1:9" x14ac:dyDescent="0.25">
      <c r="A340" s="10">
        <f t="shared" si="87"/>
        <v>41214</v>
      </c>
      <c r="B340">
        <v>725.7</v>
      </c>
      <c r="C340">
        <v>822.4</v>
      </c>
      <c r="D340">
        <v>1297.0999999999999</v>
      </c>
      <c r="E340">
        <v>1340.6</v>
      </c>
      <c r="F340" s="81">
        <f t="shared" si="88"/>
        <v>2022.8</v>
      </c>
      <c r="G340" s="81">
        <f t="shared" si="89"/>
        <v>2163</v>
      </c>
      <c r="H340" s="85">
        <f t="shared" si="90"/>
        <v>-6.4817383263985224</v>
      </c>
      <c r="I340">
        <v>19.399999999999999</v>
      </c>
    </row>
    <row r="341" spans="1:9" x14ac:dyDescent="0.25">
      <c r="A341" s="10">
        <f t="shared" si="87"/>
        <v>41221</v>
      </c>
      <c r="B341">
        <v>722.7</v>
      </c>
      <c r="C341">
        <v>850.1</v>
      </c>
      <c r="D341">
        <v>1346.2</v>
      </c>
      <c r="E341">
        <v>1403.6</v>
      </c>
      <c r="F341" s="81">
        <f t="shared" si="88"/>
        <v>2068.9</v>
      </c>
      <c r="G341" s="81">
        <f t="shared" si="89"/>
        <v>2253.6999999999998</v>
      </c>
      <c r="H341" s="85">
        <f t="shared" si="90"/>
        <v>-8.1998491369747466</v>
      </c>
      <c r="I341">
        <v>19.399999999999999</v>
      </c>
    </row>
    <row r="342" spans="1:9" x14ac:dyDescent="0.25">
      <c r="A342" s="10">
        <f t="shared" si="87"/>
        <v>41228</v>
      </c>
      <c r="B342">
        <v>759.4</v>
      </c>
      <c r="C342">
        <v>878.2</v>
      </c>
      <c r="D342">
        <v>1424.5</v>
      </c>
      <c r="E342">
        <v>1468</v>
      </c>
      <c r="F342" s="81">
        <f t="shared" si="88"/>
        <v>2183.9</v>
      </c>
      <c r="G342" s="81">
        <f t="shared" si="89"/>
        <v>2346.1999999999998</v>
      </c>
      <c r="H342" s="85">
        <f t="shared" si="90"/>
        <v>-6.9175688347114406</v>
      </c>
      <c r="I342">
        <v>41.4</v>
      </c>
    </row>
    <row r="343" spans="1:9" x14ac:dyDescent="0.25">
      <c r="A343" s="10">
        <f t="shared" si="87"/>
        <v>41235</v>
      </c>
      <c r="B343">
        <v>759.6</v>
      </c>
      <c r="C343">
        <v>871.8</v>
      </c>
      <c r="D343">
        <v>1431.1</v>
      </c>
      <c r="E343">
        <v>1541.4</v>
      </c>
      <c r="F343" s="81">
        <f t="shared" si="88"/>
        <v>2190.6999999999998</v>
      </c>
      <c r="G343" s="81">
        <f t="shared" si="89"/>
        <v>2413.1999999999998</v>
      </c>
      <c r="H343" s="85">
        <f t="shared" si="90"/>
        <v>-9.2201226587104284</v>
      </c>
      <c r="I343">
        <v>41.4</v>
      </c>
    </row>
    <row r="344" spans="1:9" x14ac:dyDescent="0.25">
      <c r="A344" s="10">
        <f t="shared" si="87"/>
        <v>41242</v>
      </c>
      <c r="B344">
        <v>718.1</v>
      </c>
      <c r="C344">
        <v>915.5</v>
      </c>
      <c r="D344">
        <v>1512.4</v>
      </c>
      <c r="E344">
        <v>1564.5</v>
      </c>
      <c r="F344" s="81">
        <f t="shared" si="88"/>
        <v>2230.5</v>
      </c>
      <c r="G344" s="81">
        <f t="shared" si="89"/>
        <v>2480</v>
      </c>
      <c r="H344" s="85">
        <f t="shared" si="90"/>
        <v>-10.06048387096774</v>
      </c>
      <c r="I344">
        <v>41.4</v>
      </c>
    </row>
    <row r="345" spans="1:9" x14ac:dyDescent="0.25">
      <c r="A345" s="10">
        <f t="shared" si="87"/>
        <v>41249</v>
      </c>
      <c r="B345">
        <v>670.6</v>
      </c>
      <c r="C345">
        <v>949.8</v>
      </c>
      <c r="D345">
        <v>1578</v>
      </c>
      <c r="E345">
        <v>1588.5</v>
      </c>
      <c r="F345" s="81">
        <f t="shared" si="88"/>
        <v>2248.6</v>
      </c>
      <c r="G345" s="81">
        <f t="shared" si="89"/>
        <v>2538.3000000000002</v>
      </c>
      <c r="H345" s="85">
        <f t="shared" si="90"/>
        <v>-11.41315053382186</v>
      </c>
      <c r="I345">
        <v>96.2</v>
      </c>
    </row>
    <row r="346" spans="1:9" x14ac:dyDescent="0.25">
      <c r="A346" s="10">
        <f t="shared" si="87"/>
        <v>41256</v>
      </c>
      <c r="B346">
        <v>676.7</v>
      </c>
      <c r="C346">
        <v>874.9</v>
      </c>
      <c r="D346">
        <v>1592</v>
      </c>
      <c r="E346">
        <v>1678.2</v>
      </c>
      <c r="F346" s="81">
        <f t="shared" si="88"/>
        <v>2268.6999999999998</v>
      </c>
      <c r="G346" s="81">
        <f t="shared" si="89"/>
        <v>2553.1</v>
      </c>
      <c r="H346" s="85">
        <f t="shared" si="90"/>
        <v>-11.139399161803299</v>
      </c>
      <c r="I346">
        <v>96.2</v>
      </c>
    </row>
    <row r="347" spans="1:9" x14ac:dyDescent="0.25">
      <c r="A347" s="10">
        <f t="shared" si="87"/>
        <v>41263</v>
      </c>
      <c r="B347">
        <v>642.9</v>
      </c>
      <c r="C347">
        <v>904</v>
      </c>
      <c r="D347">
        <v>1641.9</v>
      </c>
      <c r="E347">
        <v>1724.7</v>
      </c>
      <c r="F347" s="81">
        <f t="shared" si="88"/>
        <v>2284.8000000000002</v>
      </c>
      <c r="G347" s="81">
        <f t="shared" si="89"/>
        <v>2628.7</v>
      </c>
      <c r="H347" s="85">
        <f t="shared" si="90"/>
        <v>-13.082512268421642</v>
      </c>
      <c r="I347">
        <v>96.2</v>
      </c>
    </row>
    <row r="348" spans="1:9" x14ac:dyDescent="0.25">
      <c r="A348" s="10">
        <f t="shared" si="87"/>
        <v>41270</v>
      </c>
      <c r="B348">
        <v>608.6</v>
      </c>
      <c r="C348">
        <v>819.1</v>
      </c>
      <c r="D348">
        <v>1702.2</v>
      </c>
      <c r="E348">
        <v>1843</v>
      </c>
      <c r="F348" s="81">
        <f t="shared" si="88"/>
        <v>2310.8000000000002</v>
      </c>
      <c r="G348" s="81">
        <f t="shared" si="89"/>
        <v>2662.1</v>
      </c>
      <c r="H348" s="85">
        <f t="shared" si="90"/>
        <v>-13.196348747229624</v>
      </c>
      <c r="I348">
        <v>98.3</v>
      </c>
    </row>
    <row r="349" spans="1:9" x14ac:dyDescent="0.25">
      <c r="A349" s="10">
        <f t="shared" si="87"/>
        <v>41277</v>
      </c>
      <c r="B349">
        <v>604.70000000000005</v>
      </c>
      <c r="C349">
        <v>835.5</v>
      </c>
      <c r="D349">
        <v>1713</v>
      </c>
      <c r="E349">
        <v>1870.9</v>
      </c>
      <c r="F349" s="81">
        <f t="shared" si="88"/>
        <v>2317.6999999999998</v>
      </c>
      <c r="G349" s="81">
        <f t="shared" si="89"/>
        <v>2706.4</v>
      </c>
      <c r="H349" s="85">
        <f t="shared" si="90"/>
        <v>-14.362252438663914</v>
      </c>
      <c r="I349">
        <v>98.3</v>
      </c>
    </row>
    <row r="350" spans="1:9" x14ac:dyDescent="0.25">
      <c r="A350" s="10">
        <f t="shared" si="87"/>
        <v>41284</v>
      </c>
      <c r="B350">
        <v>602.6</v>
      </c>
      <c r="C350">
        <v>810.7</v>
      </c>
      <c r="D350">
        <v>1769.6</v>
      </c>
      <c r="E350">
        <v>1951.9</v>
      </c>
      <c r="F350" s="81">
        <f t="shared" si="88"/>
        <v>2372.1999999999998</v>
      </c>
      <c r="G350" s="81">
        <f t="shared" si="89"/>
        <v>2762.6000000000004</v>
      </c>
      <c r="H350" s="85">
        <f t="shared" si="90"/>
        <v>-14.13161514515313</v>
      </c>
      <c r="I350">
        <v>98.3</v>
      </c>
    </row>
    <row r="351" spans="1:9" x14ac:dyDescent="0.25">
      <c r="A351" s="10">
        <f t="shared" si="87"/>
        <v>41291</v>
      </c>
      <c r="B351">
        <v>578</v>
      </c>
      <c r="C351">
        <v>859.9</v>
      </c>
      <c r="D351">
        <v>1833.8</v>
      </c>
      <c r="E351">
        <v>2029.5</v>
      </c>
      <c r="F351" s="81">
        <f t="shared" si="88"/>
        <v>2411.8000000000002</v>
      </c>
      <c r="G351" s="81">
        <f t="shared" si="89"/>
        <v>2889.4</v>
      </c>
      <c r="H351" s="85">
        <f t="shared" si="90"/>
        <v>-16.529383262961161</v>
      </c>
      <c r="I351">
        <v>98.3</v>
      </c>
    </row>
    <row r="352" spans="1:9" x14ac:dyDescent="0.25">
      <c r="A352" s="10">
        <f t="shared" si="87"/>
        <v>41298</v>
      </c>
      <c r="B352">
        <v>539.5</v>
      </c>
      <c r="C352">
        <v>738</v>
      </c>
      <c r="D352">
        <v>1899.7</v>
      </c>
      <c r="E352">
        <v>2174.6999999999998</v>
      </c>
      <c r="F352" s="81">
        <f t="shared" si="88"/>
        <v>2439.1999999999998</v>
      </c>
      <c r="G352" s="81">
        <f t="shared" si="89"/>
        <v>2912.7</v>
      </c>
      <c r="H352" s="85">
        <f t="shared" si="90"/>
        <v>-16.256394410684251</v>
      </c>
      <c r="I352">
        <v>100.5</v>
      </c>
    </row>
    <row r="353" spans="1:9" x14ac:dyDescent="0.25">
      <c r="A353" s="10">
        <f t="shared" si="87"/>
        <v>41305</v>
      </c>
      <c r="B353">
        <v>509.1</v>
      </c>
      <c r="C353">
        <v>809.4</v>
      </c>
      <c r="D353">
        <v>1965.5</v>
      </c>
      <c r="E353">
        <v>2232.8000000000002</v>
      </c>
      <c r="F353" s="81">
        <f t="shared" si="88"/>
        <v>2474.6</v>
      </c>
      <c r="G353" s="81">
        <f t="shared" si="89"/>
        <v>3042.2000000000003</v>
      </c>
      <c r="H353" s="85">
        <f t="shared" si="90"/>
        <v>-18.65755045690619</v>
      </c>
      <c r="I353">
        <v>100.5</v>
      </c>
    </row>
    <row r="354" spans="1:9" x14ac:dyDescent="0.25">
      <c r="A354" s="10">
        <f t="shared" si="87"/>
        <v>41312</v>
      </c>
      <c r="B354">
        <v>536.5</v>
      </c>
      <c r="C354">
        <v>749.7</v>
      </c>
      <c r="D354">
        <v>1975.1</v>
      </c>
      <c r="E354">
        <v>2321.6</v>
      </c>
      <c r="F354" s="81">
        <f t="shared" si="88"/>
        <v>2511.6</v>
      </c>
      <c r="G354" s="81">
        <f t="shared" si="89"/>
        <v>3071.3</v>
      </c>
      <c r="H354" s="85">
        <f t="shared" si="90"/>
        <v>-18.223553544101854</v>
      </c>
      <c r="I354">
        <v>132.1</v>
      </c>
    </row>
    <row r="355" spans="1:9" x14ac:dyDescent="0.25">
      <c r="A355" s="10">
        <f t="shared" si="87"/>
        <v>41319</v>
      </c>
      <c r="B355">
        <v>529.9</v>
      </c>
      <c r="C355">
        <v>696.9</v>
      </c>
      <c r="D355">
        <v>2021</v>
      </c>
      <c r="E355">
        <v>2386.1</v>
      </c>
      <c r="F355" s="81">
        <f t="shared" si="88"/>
        <v>2550.9</v>
      </c>
      <c r="G355" s="81">
        <f t="shared" si="89"/>
        <v>3083</v>
      </c>
      <c r="H355" s="85">
        <f t="shared" si="90"/>
        <v>-17.259163152773272</v>
      </c>
      <c r="I355">
        <v>132.1</v>
      </c>
    </row>
    <row r="356" spans="1:9" x14ac:dyDescent="0.25">
      <c r="A356" s="10">
        <f t="shared" si="87"/>
        <v>41326</v>
      </c>
      <c r="B356">
        <v>509.8</v>
      </c>
      <c r="C356">
        <v>726.9</v>
      </c>
      <c r="D356">
        <v>2046.9</v>
      </c>
      <c r="E356">
        <v>2400.1</v>
      </c>
      <c r="F356" s="81">
        <f t="shared" si="88"/>
        <v>2556.7000000000003</v>
      </c>
      <c r="G356" s="81">
        <f t="shared" si="89"/>
        <v>3127</v>
      </c>
      <c r="H356" s="85">
        <f t="shared" si="90"/>
        <v>-18.237927726255187</v>
      </c>
      <c r="I356">
        <v>142.1</v>
      </c>
    </row>
    <row r="357" spans="1:9" x14ac:dyDescent="0.25">
      <c r="A357" s="10">
        <f t="shared" si="87"/>
        <v>41333</v>
      </c>
      <c r="B357">
        <v>480.8</v>
      </c>
      <c r="C357">
        <v>720.7</v>
      </c>
      <c r="D357">
        <v>2095.6</v>
      </c>
      <c r="E357">
        <v>2501.9</v>
      </c>
      <c r="F357" s="81">
        <f t="shared" si="88"/>
        <v>2576.4</v>
      </c>
      <c r="G357" s="81">
        <f t="shared" si="89"/>
        <v>3222.6000000000004</v>
      </c>
      <c r="H357" s="85">
        <f t="shared" si="90"/>
        <v>-20.052131819028119</v>
      </c>
      <c r="I357">
        <v>147.1</v>
      </c>
    </row>
    <row r="358" spans="1:9" x14ac:dyDescent="0.25">
      <c r="A358" s="10">
        <f t="shared" si="87"/>
        <v>41340</v>
      </c>
      <c r="B358">
        <v>431.2</v>
      </c>
      <c r="C358">
        <v>584</v>
      </c>
      <c r="D358">
        <v>2186.9</v>
      </c>
      <c r="E358">
        <v>2658</v>
      </c>
      <c r="F358" s="81">
        <f t="shared" si="88"/>
        <v>2618.1</v>
      </c>
      <c r="G358" s="81">
        <f t="shared" si="89"/>
        <v>3242</v>
      </c>
      <c r="H358" s="85">
        <f t="shared" si="90"/>
        <v>-19.244293645897592</v>
      </c>
      <c r="I358">
        <v>155.1</v>
      </c>
    </row>
    <row r="359" spans="1:9" x14ac:dyDescent="0.25">
      <c r="A359" s="10">
        <f t="shared" si="87"/>
        <v>41347</v>
      </c>
      <c r="B359">
        <v>447</v>
      </c>
      <c r="C359">
        <v>438.7</v>
      </c>
      <c r="D359">
        <v>2217.1</v>
      </c>
      <c r="E359">
        <v>2810.7</v>
      </c>
      <c r="F359" s="81">
        <f t="shared" si="88"/>
        <v>2664.1</v>
      </c>
      <c r="G359" s="81">
        <f t="shared" si="89"/>
        <v>3249.3999999999996</v>
      </c>
      <c r="H359" s="85">
        <f t="shared" si="90"/>
        <v>-18.012556164214921</v>
      </c>
      <c r="I359">
        <v>184.1</v>
      </c>
    </row>
    <row r="360" spans="1:9" x14ac:dyDescent="0.25">
      <c r="A360" s="10">
        <f t="shared" si="87"/>
        <v>41354</v>
      </c>
      <c r="B360">
        <v>390.9</v>
      </c>
      <c r="C360">
        <v>463.3</v>
      </c>
      <c r="D360">
        <v>2280.3000000000002</v>
      </c>
      <c r="E360">
        <v>2838</v>
      </c>
      <c r="F360" s="81">
        <f t="shared" si="88"/>
        <v>2671.2000000000003</v>
      </c>
      <c r="G360" s="81">
        <f t="shared" si="89"/>
        <v>3301.3</v>
      </c>
      <c r="H360" s="85">
        <f t="shared" si="90"/>
        <v>-19.086420501014743</v>
      </c>
      <c r="I360">
        <v>189.1</v>
      </c>
    </row>
    <row r="361" spans="1:9" x14ac:dyDescent="0.25">
      <c r="A361" s="10">
        <f t="shared" si="87"/>
        <v>41361</v>
      </c>
      <c r="B361">
        <v>437.3</v>
      </c>
      <c r="C361">
        <v>446</v>
      </c>
      <c r="D361">
        <v>2311.5</v>
      </c>
      <c r="E361">
        <v>2898.7</v>
      </c>
      <c r="F361" s="81">
        <f t="shared" ref="F361:F373" si="91">+B361+D361</f>
        <v>2748.8</v>
      </c>
      <c r="G361" s="81">
        <f t="shared" ref="G361:G373" si="92">+C361+E361</f>
        <v>3344.7</v>
      </c>
      <c r="H361" s="85">
        <f t="shared" si="90"/>
        <v>-17.816246599097074</v>
      </c>
      <c r="I361">
        <v>233.3</v>
      </c>
    </row>
    <row r="362" spans="1:9" x14ac:dyDescent="0.25">
      <c r="A362" s="10">
        <f t="shared" si="87"/>
        <v>41368</v>
      </c>
      <c r="B362">
        <v>437.5</v>
      </c>
      <c r="C362">
        <v>404.9</v>
      </c>
      <c r="D362">
        <v>2322.8000000000002</v>
      </c>
      <c r="E362">
        <v>2990.4</v>
      </c>
      <c r="F362" s="81">
        <f t="shared" si="91"/>
        <v>2760.3</v>
      </c>
      <c r="G362" s="81">
        <f t="shared" si="92"/>
        <v>3395.3</v>
      </c>
      <c r="H362" s="85">
        <f t="shared" si="90"/>
        <v>-18.702323800547816</v>
      </c>
      <c r="I362">
        <v>272.39999999999998</v>
      </c>
    </row>
    <row r="363" spans="1:9" x14ac:dyDescent="0.25">
      <c r="A363" s="10">
        <f t="shared" si="87"/>
        <v>41375</v>
      </c>
      <c r="B363">
        <v>344.8</v>
      </c>
      <c r="C363">
        <v>367.2</v>
      </c>
      <c r="D363">
        <v>2374.4</v>
      </c>
      <c r="E363">
        <v>3044</v>
      </c>
      <c r="F363" s="81">
        <f t="shared" si="91"/>
        <v>2719.2000000000003</v>
      </c>
      <c r="G363" s="81">
        <f t="shared" si="92"/>
        <v>3411.2</v>
      </c>
      <c r="H363" s="85">
        <f t="shared" si="90"/>
        <v>-20.286116322701673</v>
      </c>
      <c r="I363">
        <v>357.2</v>
      </c>
    </row>
    <row r="364" spans="1:9" x14ac:dyDescent="0.25">
      <c r="A364" s="10">
        <f t="shared" si="87"/>
        <v>41382</v>
      </c>
      <c r="B364">
        <v>306.7</v>
      </c>
      <c r="C364">
        <v>341.7</v>
      </c>
      <c r="D364">
        <v>2413.4</v>
      </c>
      <c r="E364">
        <v>3124</v>
      </c>
      <c r="F364" s="81">
        <f t="shared" si="91"/>
        <v>2720.1</v>
      </c>
      <c r="G364" s="81">
        <f t="shared" si="92"/>
        <v>3465.7</v>
      </c>
      <c r="H364" s="85">
        <f t="shared" ref="H364:H373" si="93">(F364/G364-1)*100</f>
        <v>-21.513691317771301</v>
      </c>
      <c r="I364">
        <v>364.7</v>
      </c>
    </row>
    <row r="365" spans="1:9" x14ac:dyDescent="0.25">
      <c r="A365" s="10">
        <f t="shared" si="87"/>
        <v>41389</v>
      </c>
      <c r="B365">
        <v>235.9</v>
      </c>
      <c r="C365">
        <v>298.89999999999998</v>
      </c>
      <c r="D365">
        <v>2504</v>
      </c>
      <c r="E365">
        <v>3185.8</v>
      </c>
      <c r="F365" s="81">
        <f t="shared" si="91"/>
        <v>2739.9</v>
      </c>
      <c r="G365" s="81">
        <f t="shared" si="92"/>
        <v>3484.7000000000003</v>
      </c>
      <c r="H365" s="85">
        <f t="shared" si="93"/>
        <v>-21.373432433208027</v>
      </c>
      <c r="I365">
        <v>417.7</v>
      </c>
    </row>
    <row r="366" spans="1:9" x14ac:dyDescent="0.25">
      <c r="A366" s="10">
        <f t="shared" si="87"/>
        <v>41396</v>
      </c>
      <c r="B366">
        <v>228.9</v>
      </c>
      <c r="C366">
        <v>227.1</v>
      </c>
      <c r="D366">
        <v>2574</v>
      </c>
      <c r="E366">
        <v>3271</v>
      </c>
      <c r="F366" s="81">
        <f t="shared" si="91"/>
        <v>2802.9</v>
      </c>
      <c r="G366" s="81">
        <f t="shared" si="92"/>
        <v>3498.1</v>
      </c>
      <c r="H366" s="85">
        <f t="shared" si="93"/>
        <v>-19.873645693376396</v>
      </c>
      <c r="I366">
        <v>449.7</v>
      </c>
    </row>
    <row r="367" spans="1:9" x14ac:dyDescent="0.25">
      <c r="A367" s="10">
        <f t="shared" si="87"/>
        <v>41403</v>
      </c>
      <c r="B367">
        <v>167.3</v>
      </c>
      <c r="C367">
        <v>175.9</v>
      </c>
      <c r="D367">
        <v>2656.4</v>
      </c>
      <c r="E367">
        <v>3341.8</v>
      </c>
      <c r="F367" s="81">
        <f t="shared" si="91"/>
        <v>2823.7000000000003</v>
      </c>
      <c r="G367" s="81">
        <f t="shared" si="92"/>
        <v>3517.7000000000003</v>
      </c>
      <c r="H367" s="85">
        <f t="shared" si="93"/>
        <v>-19.728800068226391</v>
      </c>
      <c r="I367">
        <v>488.3</v>
      </c>
    </row>
    <row r="368" spans="1:9" x14ac:dyDescent="0.25">
      <c r="A368" s="10">
        <f t="shared" si="87"/>
        <v>41410</v>
      </c>
      <c r="B368">
        <v>185.2</v>
      </c>
      <c r="C368">
        <v>149.4</v>
      </c>
      <c r="D368">
        <v>2685</v>
      </c>
      <c r="E368">
        <v>3366.3</v>
      </c>
      <c r="F368" s="81">
        <f t="shared" si="91"/>
        <v>2870.2</v>
      </c>
      <c r="G368" s="81">
        <f t="shared" si="92"/>
        <v>3515.7000000000003</v>
      </c>
      <c r="H368" s="85">
        <f t="shared" si="93"/>
        <v>-18.360497198282001</v>
      </c>
      <c r="I368">
        <v>521.29999999999995</v>
      </c>
    </row>
    <row r="369" spans="1:9" x14ac:dyDescent="0.25">
      <c r="A369" s="10">
        <f t="shared" si="87"/>
        <v>41417</v>
      </c>
      <c r="B369">
        <v>126.4</v>
      </c>
      <c r="C369">
        <v>118.3</v>
      </c>
      <c r="D369">
        <v>2699.8</v>
      </c>
      <c r="E369">
        <v>3419.6</v>
      </c>
      <c r="F369" s="81">
        <f t="shared" si="91"/>
        <v>2826.2000000000003</v>
      </c>
      <c r="G369" s="81">
        <f t="shared" si="92"/>
        <v>3537.9</v>
      </c>
      <c r="H369" s="85">
        <f t="shared" si="93"/>
        <v>-20.116453263235247</v>
      </c>
      <c r="I369">
        <v>629.1</v>
      </c>
    </row>
    <row r="370" spans="1:9" x14ac:dyDescent="0.25">
      <c r="A370" s="10">
        <f t="shared" si="87"/>
        <v>41424</v>
      </c>
      <c r="B370">
        <v>44.6</v>
      </c>
      <c r="C370">
        <v>67.099999999999994</v>
      </c>
      <c r="D370">
        <v>2758.6</v>
      </c>
      <c r="E370">
        <v>3495.9</v>
      </c>
      <c r="F370" s="81">
        <f t="shared" si="91"/>
        <v>2803.2</v>
      </c>
      <c r="G370" s="81">
        <f t="shared" si="92"/>
        <v>3563</v>
      </c>
      <c r="H370" s="85">
        <f t="shared" si="93"/>
        <v>-21.32472635419591</v>
      </c>
      <c r="I370">
        <v>746.7</v>
      </c>
    </row>
    <row r="371" spans="1:9" x14ac:dyDescent="0.25">
      <c r="A371" s="10">
        <f t="shared" si="87"/>
        <v>41431</v>
      </c>
      <c r="B371">
        <v>779.7</v>
      </c>
      <c r="C371">
        <v>713</v>
      </c>
      <c r="D371">
        <v>32.700000000000003</v>
      </c>
      <c r="E371">
        <v>132.5</v>
      </c>
      <c r="F371" s="81">
        <f t="shared" si="91"/>
        <v>812.40000000000009</v>
      </c>
      <c r="G371" s="81">
        <f t="shared" si="92"/>
        <v>845.5</v>
      </c>
      <c r="H371" s="85">
        <f t="shared" si="93"/>
        <v>-3.9148432879952622</v>
      </c>
    </row>
    <row r="372" spans="1:9" x14ac:dyDescent="0.25">
      <c r="A372" s="10">
        <f t="shared" si="87"/>
        <v>41438</v>
      </c>
      <c r="B372">
        <v>709.1</v>
      </c>
      <c r="C372">
        <v>685.7</v>
      </c>
      <c r="D372">
        <v>122</v>
      </c>
      <c r="E372">
        <v>175.9</v>
      </c>
      <c r="F372" s="81">
        <f t="shared" si="91"/>
        <v>831.1</v>
      </c>
      <c r="G372" s="81">
        <f t="shared" si="92"/>
        <v>861.6</v>
      </c>
      <c r="H372" s="85">
        <f t="shared" si="93"/>
        <v>-3.5399257195914524</v>
      </c>
    </row>
    <row r="373" spans="1:9" x14ac:dyDescent="0.25">
      <c r="A373" s="10">
        <f t="shared" si="87"/>
        <v>41445</v>
      </c>
      <c r="B373">
        <v>685.8</v>
      </c>
      <c r="C373">
        <v>660.1</v>
      </c>
      <c r="D373">
        <v>180.3</v>
      </c>
      <c r="E373">
        <v>201</v>
      </c>
      <c r="F373" s="81">
        <f t="shared" si="91"/>
        <v>866.09999999999991</v>
      </c>
      <c r="G373" s="81">
        <f t="shared" si="92"/>
        <v>861.1</v>
      </c>
      <c r="H373" s="85">
        <f t="shared" si="93"/>
        <v>0.58065265358260287</v>
      </c>
    </row>
    <row r="374" spans="1:9" x14ac:dyDescent="0.25">
      <c r="A374" s="10">
        <f t="shared" si="87"/>
        <v>41452</v>
      </c>
      <c r="B374">
        <v>754.7</v>
      </c>
      <c r="C374">
        <v>745.3</v>
      </c>
      <c r="D374">
        <v>234.3</v>
      </c>
      <c r="E374">
        <v>278.10000000000002</v>
      </c>
      <c r="F374" s="81">
        <f t="shared" ref="F374:G377" si="94">+B374+D374</f>
        <v>989</v>
      </c>
      <c r="G374" s="81">
        <f t="shared" si="94"/>
        <v>1023.4</v>
      </c>
      <c r="H374" s="85">
        <f t="shared" ref="H374:H379" si="95">(F374/G374-1)*100</f>
        <v>-3.3613445378151252</v>
      </c>
    </row>
    <row r="375" spans="1:9" x14ac:dyDescent="0.25">
      <c r="A375" s="10">
        <f t="shared" si="87"/>
        <v>41459</v>
      </c>
      <c r="B375">
        <v>748.9</v>
      </c>
      <c r="C375">
        <v>751.1</v>
      </c>
      <c r="D375">
        <v>298.8</v>
      </c>
      <c r="E375">
        <v>297.8</v>
      </c>
      <c r="F375" s="81">
        <f t="shared" si="94"/>
        <v>1047.7</v>
      </c>
      <c r="G375" s="81">
        <f t="shared" si="94"/>
        <v>1048.9000000000001</v>
      </c>
      <c r="H375" s="85">
        <f t="shared" si="95"/>
        <v>-0.11440556773762989</v>
      </c>
    </row>
    <row r="376" spans="1:9" x14ac:dyDescent="0.25">
      <c r="A376" s="10">
        <f t="shared" si="87"/>
        <v>41466</v>
      </c>
      <c r="B376">
        <v>700.9</v>
      </c>
      <c r="C376">
        <v>825.9</v>
      </c>
      <c r="D376">
        <v>389.1</v>
      </c>
      <c r="E376">
        <v>323.5</v>
      </c>
      <c r="F376" s="81">
        <f t="shared" si="94"/>
        <v>1090</v>
      </c>
      <c r="G376" s="81">
        <f t="shared" si="94"/>
        <v>1149.4000000000001</v>
      </c>
      <c r="H376" s="85">
        <f t="shared" si="95"/>
        <v>-5.1679136941012782</v>
      </c>
    </row>
    <row r="377" spans="1:9" x14ac:dyDescent="0.25">
      <c r="A377" s="10">
        <f t="shared" si="87"/>
        <v>41473</v>
      </c>
      <c r="B377">
        <v>718.2</v>
      </c>
      <c r="C377">
        <v>818.6</v>
      </c>
      <c r="D377">
        <v>436.1</v>
      </c>
      <c r="E377">
        <v>364.3</v>
      </c>
      <c r="F377" s="81">
        <f t="shared" si="94"/>
        <v>1154.3000000000002</v>
      </c>
      <c r="G377" s="81">
        <f t="shared" si="94"/>
        <v>1182.9000000000001</v>
      </c>
      <c r="H377" s="85">
        <f t="shared" si="95"/>
        <v>-2.4177867951644227</v>
      </c>
    </row>
    <row r="378" spans="1:9" x14ac:dyDescent="0.25">
      <c r="A378" s="10">
        <f t="shared" si="87"/>
        <v>41480</v>
      </c>
      <c r="B378">
        <v>680.8</v>
      </c>
      <c r="C378">
        <v>769.3</v>
      </c>
      <c r="D378">
        <v>554.29999999999995</v>
      </c>
      <c r="E378">
        <v>435.3</v>
      </c>
      <c r="F378" s="81">
        <f t="shared" ref="F378:F388" si="96">+B378+D378</f>
        <v>1235.0999999999999</v>
      </c>
      <c r="G378" s="81">
        <f t="shared" ref="G378:G388" si="97">+C378+E378</f>
        <v>1204.5999999999999</v>
      </c>
      <c r="H378" s="85">
        <f t="shared" si="95"/>
        <v>2.5319608168686614</v>
      </c>
    </row>
    <row r="379" spans="1:9" x14ac:dyDescent="0.25">
      <c r="A379" s="10">
        <f t="shared" si="87"/>
        <v>41487</v>
      </c>
      <c r="B379">
        <v>606.5</v>
      </c>
      <c r="C379">
        <v>733.3</v>
      </c>
      <c r="D379">
        <v>654.6</v>
      </c>
      <c r="E379">
        <v>520.79999999999995</v>
      </c>
      <c r="F379" s="81">
        <f t="shared" si="96"/>
        <v>1261.0999999999999</v>
      </c>
      <c r="G379" s="81">
        <f t="shared" si="97"/>
        <v>1254.0999999999999</v>
      </c>
      <c r="H379" s="85">
        <f t="shared" si="95"/>
        <v>0.55816920500757483</v>
      </c>
    </row>
    <row r="380" spans="1:9" x14ac:dyDescent="0.25">
      <c r="A380" s="10">
        <f t="shared" si="87"/>
        <v>41494</v>
      </c>
      <c r="B380">
        <v>535</v>
      </c>
      <c r="C380">
        <v>683.9</v>
      </c>
      <c r="D380">
        <v>764.4</v>
      </c>
      <c r="E380">
        <v>612.29999999999995</v>
      </c>
      <c r="F380" s="81">
        <f t="shared" si="96"/>
        <v>1299.4000000000001</v>
      </c>
      <c r="G380" s="81">
        <f t="shared" si="97"/>
        <v>1296.1999999999998</v>
      </c>
      <c r="H380" s="85">
        <f t="shared" ref="H380:H388" si="98">(F380/G380-1)*100</f>
        <v>0.24687548217869892</v>
      </c>
    </row>
    <row r="381" spans="1:9" x14ac:dyDescent="0.25">
      <c r="A381" s="10">
        <f t="shared" ref="A381:A442" si="99">+A380+7</f>
        <v>41501</v>
      </c>
      <c r="B381">
        <v>518.4</v>
      </c>
      <c r="C381">
        <v>676.7</v>
      </c>
      <c r="D381">
        <v>801.3</v>
      </c>
      <c r="E381">
        <v>671.7</v>
      </c>
      <c r="F381" s="81">
        <f t="shared" si="96"/>
        <v>1319.6999999999998</v>
      </c>
      <c r="G381" s="81">
        <f t="shared" si="97"/>
        <v>1348.4</v>
      </c>
      <c r="H381" s="85">
        <f t="shared" si="98"/>
        <v>-2.1284485315930191</v>
      </c>
    </row>
    <row r="382" spans="1:9" x14ac:dyDescent="0.25">
      <c r="A382" s="10">
        <f t="shared" si="99"/>
        <v>41508</v>
      </c>
      <c r="B382">
        <v>565.4</v>
      </c>
      <c r="C382">
        <v>756.7</v>
      </c>
      <c r="D382">
        <v>892.1</v>
      </c>
      <c r="E382">
        <v>700.1</v>
      </c>
      <c r="F382" s="81">
        <f t="shared" si="96"/>
        <v>1457.5</v>
      </c>
      <c r="G382" s="81">
        <f t="shared" si="97"/>
        <v>1456.8000000000002</v>
      </c>
      <c r="H382" s="85">
        <f t="shared" si="98"/>
        <v>4.8050521691367365E-2</v>
      </c>
    </row>
    <row r="383" spans="1:9" x14ac:dyDescent="0.25">
      <c r="A383" s="10">
        <f t="shared" si="99"/>
        <v>41515</v>
      </c>
      <c r="B383">
        <v>584.79999999999995</v>
      </c>
      <c r="C383">
        <v>842.3</v>
      </c>
      <c r="D383">
        <v>965.8</v>
      </c>
      <c r="E383">
        <v>724.2</v>
      </c>
      <c r="F383" s="81">
        <f t="shared" si="96"/>
        <v>1550.6</v>
      </c>
      <c r="G383" s="81">
        <f t="shared" si="97"/>
        <v>1566.5</v>
      </c>
      <c r="H383" s="85">
        <f t="shared" si="98"/>
        <v>-1.0150015959144665</v>
      </c>
    </row>
    <row r="384" spans="1:9" x14ac:dyDescent="0.25">
      <c r="A384" s="10">
        <f t="shared" si="99"/>
        <v>41522</v>
      </c>
      <c r="B384">
        <v>573.29999999999995</v>
      </c>
      <c r="C384">
        <v>851.5</v>
      </c>
      <c r="D384">
        <v>1013.6</v>
      </c>
      <c r="E384">
        <v>801.6</v>
      </c>
      <c r="F384" s="81">
        <f t="shared" si="96"/>
        <v>1586.9</v>
      </c>
      <c r="G384" s="81">
        <f t="shared" si="97"/>
        <v>1653.1</v>
      </c>
      <c r="H384" s="85">
        <f t="shared" si="98"/>
        <v>-4.0045974230234034</v>
      </c>
    </row>
    <row r="385" spans="1:11" x14ac:dyDescent="0.25">
      <c r="A385" s="10">
        <f t="shared" si="99"/>
        <v>41529</v>
      </c>
      <c r="B385">
        <v>598.20000000000005</v>
      </c>
      <c r="C385">
        <v>848.4</v>
      </c>
      <c r="D385">
        <v>1082.5</v>
      </c>
      <c r="E385">
        <v>933</v>
      </c>
      <c r="F385" s="81">
        <f t="shared" si="96"/>
        <v>1680.7</v>
      </c>
      <c r="G385" s="81">
        <f t="shared" si="97"/>
        <v>1781.4</v>
      </c>
      <c r="H385" s="85">
        <f t="shared" si="98"/>
        <v>-5.652857303244641</v>
      </c>
    </row>
    <row r="386" spans="1:11" x14ac:dyDescent="0.25">
      <c r="A386" s="10">
        <f t="shared" si="99"/>
        <v>41536</v>
      </c>
      <c r="B386">
        <v>607.29999999999995</v>
      </c>
      <c r="C386">
        <v>800.2</v>
      </c>
      <c r="D386">
        <v>1179.5</v>
      </c>
      <c r="E386">
        <v>1018.4</v>
      </c>
      <c r="F386" s="81">
        <f t="shared" si="96"/>
        <v>1786.8</v>
      </c>
      <c r="G386" s="81">
        <f t="shared" si="97"/>
        <v>1818.6</v>
      </c>
      <c r="H386" s="85">
        <f t="shared" si="98"/>
        <v>-1.7485978225008192</v>
      </c>
    </row>
    <row r="387" spans="1:11" ht="15" x14ac:dyDescent="0.25">
      <c r="A387" s="10">
        <f t="shared" si="99"/>
        <v>41543</v>
      </c>
      <c r="B387">
        <v>585.9</v>
      </c>
      <c r="C387">
        <v>799.9</v>
      </c>
      <c r="D387">
        <v>1223.5</v>
      </c>
      <c r="E387">
        <v>1038.2</v>
      </c>
      <c r="F387" s="81">
        <f t="shared" si="96"/>
        <v>1809.4</v>
      </c>
      <c r="G387" s="81">
        <f t="shared" si="97"/>
        <v>1838.1</v>
      </c>
      <c r="H387" s="85">
        <f t="shared" si="98"/>
        <v>-1.5613949186660037</v>
      </c>
      <c r="K387" s="75"/>
    </row>
    <row r="388" spans="1:11" x14ac:dyDescent="0.25">
      <c r="A388" s="10">
        <f t="shared" si="99"/>
        <v>41550</v>
      </c>
      <c r="B388">
        <v>496.9</v>
      </c>
      <c r="C388">
        <v>756.8</v>
      </c>
      <c r="D388">
        <v>1349.8</v>
      </c>
      <c r="E388">
        <v>1103.8</v>
      </c>
      <c r="F388" s="81">
        <f t="shared" si="96"/>
        <v>1846.6999999999998</v>
      </c>
      <c r="G388" s="81">
        <f t="shared" si="97"/>
        <v>1860.6</v>
      </c>
      <c r="H388" s="85">
        <f t="shared" si="98"/>
        <v>-0.74707083736429425</v>
      </c>
    </row>
    <row r="389" spans="1:11" x14ac:dyDescent="0.25">
      <c r="A389" s="10">
        <f t="shared" si="99"/>
        <v>41557</v>
      </c>
    </row>
    <row r="390" spans="1:11" x14ac:dyDescent="0.25">
      <c r="A390" s="10">
        <f t="shared" si="99"/>
        <v>41564</v>
      </c>
    </row>
    <row r="391" spans="1:11" x14ac:dyDescent="0.25">
      <c r="A391" s="10">
        <f t="shared" si="99"/>
        <v>41571</v>
      </c>
      <c r="B391">
        <v>498.6</v>
      </c>
      <c r="C391">
        <v>713.9</v>
      </c>
      <c r="D391">
        <v>1414.3</v>
      </c>
      <c r="E391">
        <v>1255</v>
      </c>
      <c r="F391" s="81">
        <f t="shared" ref="F391:G393" si="100">+B391+D391</f>
        <v>1912.9</v>
      </c>
      <c r="G391" s="81">
        <f t="shared" si="100"/>
        <v>1968.9</v>
      </c>
      <c r="H391" s="85">
        <f>(F391/G391-1)*100</f>
        <v>-2.8442277413784356</v>
      </c>
    </row>
    <row r="392" spans="1:11" ht="15" x14ac:dyDescent="0.25">
      <c r="A392" s="10">
        <f t="shared" si="99"/>
        <v>41578</v>
      </c>
      <c r="B392">
        <v>563.20000000000005</v>
      </c>
      <c r="C392">
        <v>725.7</v>
      </c>
      <c r="D392">
        <v>1430.5</v>
      </c>
      <c r="E392">
        <v>1277.0999999999999</v>
      </c>
      <c r="F392" s="81">
        <f t="shared" si="100"/>
        <v>1993.7</v>
      </c>
      <c r="G392" s="81">
        <f t="shared" si="100"/>
        <v>2002.8</v>
      </c>
      <c r="H392" s="85">
        <f>(F392/G392-1)*100</f>
        <v>-0.45436389055322213</v>
      </c>
      <c r="K392" s="75"/>
    </row>
    <row r="393" spans="1:11" x14ac:dyDescent="0.25">
      <c r="A393" s="10">
        <f t="shared" si="99"/>
        <v>41585</v>
      </c>
      <c r="B393">
        <v>557.29999999999995</v>
      </c>
      <c r="C393">
        <v>72.7</v>
      </c>
      <c r="D393">
        <v>1455.9</v>
      </c>
      <c r="E393">
        <v>1346.2</v>
      </c>
      <c r="F393" s="81">
        <f t="shared" si="100"/>
        <v>2013.2</v>
      </c>
      <c r="G393" s="81">
        <f t="shared" si="100"/>
        <v>1418.9</v>
      </c>
      <c r="H393" s="85">
        <f>(F393/G393-1)*100</f>
        <v>41.884558460779473</v>
      </c>
    </row>
    <row r="394" spans="1:11" x14ac:dyDescent="0.25">
      <c r="A394" s="10">
        <f t="shared" si="99"/>
        <v>41592</v>
      </c>
      <c r="B394">
        <v>588.70000000000005</v>
      </c>
      <c r="C394">
        <v>759.4</v>
      </c>
      <c r="D394">
        <v>1464.9</v>
      </c>
      <c r="E394">
        <v>1424.5</v>
      </c>
      <c r="F394" s="81">
        <f>+B394+D394</f>
        <v>2053.6000000000004</v>
      </c>
      <c r="G394" s="81">
        <f>+C394+E394</f>
        <v>2183.9</v>
      </c>
      <c r="H394" s="85">
        <f>(F394/G394-1)*100</f>
        <v>-5.9663904024909398</v>
      </c>
    </row>
    <row r="395" spans="1:11" x14ac:dyDescent="0.25">
      <c r="A395" s="10">
        <f t="shared" si="99"/>
        <v>41599</v>
      </c>
      <c r="B395">
        <v>596.70000000000005</v>
      </c>
      <c r="C395">
        <v>759.6</v>
      </c>
      <c r="D395">
        <v>1505.5</v>
      </c>
      <c r="E395">
        <v>1431.1</v>
      </c>
      <c r="F395" s="81">
        <f>+B395+D395</f>
        <v>2102.1999999999998</v>
      </c>
      <c r="G395" s="81">
        <f>+C395+E395</f>
        <v>2190.6999999999998</v>
      </c>
      <c r="H395" s="85">
        <f>(F395/G395-1)*100</f>
        <v>-4.0398046286575067</v>
      </c>
    </row>
    <row r="396" spans="1:11" x14ac:dyDescent="0.25">
      <c r="A396" s="10">
        <f t="shared" si="99"/>
        <v>41606</v>
      </c>
    </row>
    <row r="397" spans="1:11" x14ac:dyDescent="0.25">
      <c r="A397" s="10">
        <f t="shared" si="99"/>
        <v>41613</v>
      </c>
    </row>
    <row r="398" spans="1:11" x14ac:dyDescent="0.25">
      <c r="A398" s="10">
        <f t="shared" si="99"/>
        <v>41620</v>
      </c>
    </row>
    <row r="399" spans="1:11" x14ac:dyDescent="0.25">
      <c r="A399" s="10">
        <f t="shared" si="99"/>
        <v>41627</v>
      </c>
    </row>
    <row r="400" spans="1:11" x14ac:dyDescent="0.25">
      <c r="A400" s="10">
        <f t="shared" si="99"/>
        <v>41634</v>
      </c>
    </row>
    <row r="401" spans="1:1" x14ac:dyDescent="0.25">
      <c r="A401" s="10">
        <f t="shared" si="99"/>
        <v>41641</v>
      </c>
    </row>
    <row r="402" spans="1:1" x14ac:dyDescent="0.25">
      <c r="A402" s="10">
        <f t="shared" si="99"/>
        <v>41648</v>
      </c>
    </row>
    <row r="403" spans="1:1" x14ac:dyDescent="0.25">
      <c r="A403" s="10">
        <f t="shared" si="99"/>
        <v>41655</v>
      </c>
    </row>
    <row r="404" spans="1:1" x14ac:dyDescent="0.25">
      <c r="A404" s="10">
        <f t="shared" si="99"/>
        <v>41662</v>
      </c>
    </row>
    <row r="405" spans="1:1" x14ac:dyDescent="0.25">
      <c r="A405" s="10">
        <f t="shared" si="99"/>
        <v>41669</v>
      </c>
    </row>
    <row r="406" spans="1:1" x14ac:dyDescent="0.25">
      <c r="A406" s="10">
        <f t="shared" si="99"/>
        <v>41676</v>
      </c>
    </row>
    <row r="407" spans="1:1" x14ac:dyDescent="0.25">
      <c r="A407" s="10">
        <f t="shared" si="99"/>
        <v>41683</v>
      </c>
    </row>
    <row r="408" spans="1:1" x14ac:dyDescent="0.25">
      <c r="A408" s="10">
        <f t="shared" si="99"/>
        <v>41690</v>
      </c>
    </row>
    <row r="409" spans="1:1" x14ac:dyDescent="0.25">
      <c r="A409" s="10">
        <f t="shared" si="99"/>
        <v>41697</v>
      </c>
    </row>
    <row r="410" spans="1:1" x14ac:dyDescent="0.25">
      <c r="A410" s="10">
        <f t="shared" si="99"/>
        <v>41704</v>
      </c>
    </row>
    <row r="411" spans="1:1" x14ac:dyDescent="0.25">
      <c r="A411" s="10">
        <f t="shared" si="99"/>
        <v>41711</v>
      </c>
    </row>
    <row r="412" spans="1:1" x14ac:dyDescent="0.25">
      <c r="A412" s="10">
        <f t="shared" si="99"/>
        <v>41718</v>
      </c>
    </row>
    <row r="413" spans="1:1" x14ac:dyDescent="0.25">
      <c r="A413" s="10">
        <f t="shared" si="99"/>
        <v>41725</v>
      </c>
    </row>
    <row r="414" spans="1:1" x14ac:dyDescent="0.25">
      <c r="A414" s="10">
        <f t="shared" si="99"/>
        <v>41732</v>
      </c>
    </row>
    <row r="415" spans="1:1" x14ac:dyDescent="0.25">
      <c r="A415" s="10">
        <f t="shared" si="99"/>
        <v>41739</v>
      </c>
    </row>
    <row r="416" spans="1:1" x14ac:dyDescent="0.25">
      <c r="A416" s="10">
        <f t="shared" si="99"/>
        <v>41746</v>
      </c>
    </row>
    <row r="417" spans="1:1" x14ac:dyDescent="0.25">
      <c r="A417" s="10">
        <f t="shared" si="99"/>
        <v>41753</v>
      </c>
    </row>
    <row r="418" spans="1:1" x14ac:dyDescent="0.25">
      <c r="A418" s="10">
        <f t="shared" si="99"/>
        <v>41760</v>
      </c>
    </row>
    <row r="419" spans="1:1" x14ac:dyDescent="0.25">
      <c r="A419" s="10">
        <f t="shared" si="99"/>
        <v>41767</v>
      </c>
    </row>
    <row r="420" spans="1:1" x14ac:dyDescent="0.25">
      <c r="A420" s="10">
        <f t="shared" si="99"/>
        <v>41774</v>
      </c>
    </row>
    <row r="421" spans="1:1" x14ac:dyDescent="0.25">
      <c r="A421" s="10">
        <f t="shared" si="99"/>
        <v>41781</v>
      </c>
    </row>
    <row r="422" spans="1:1" x14ac:dyDescent="0.25">
      <c r="A422" s="10">
        <f t="shared" si="99"/>
        <v>41788</v>
      </c>
    </row>
    <row r="423" spans="1:1" x14ac:dyDescent="0.25">
      <c r="A423" s="10">
        <f t="shared" si="99"/>
        <v>41795</v>
      </c>
    </row>
    <row r="424" spans="1:1" x14ac:dyDescent="0.25">
      <c r="A424" s="10">
        <f t="shared" si="99"/>
        <v>41802</v>
      </c>
    </row>
    <row r="425" spans="1:1" x14ac:dyDescent="0.25">
      <c r="A425" s="10">
        <f t="shared" si="99"/>
        <v>41809</v>
      </c>
    </row>
    <row r="426" spans="1:1" x14ac:dyDescent="0.25">
      <c r="A426" s="10">
        <f t="shared" si="99"/>
        <v>41816</v>
      </c>
    </row>
    <row r="427" spans="1:1" x14ac:dyDescent="0.25">
      <c r="A427" s="10">
        <f t="shared" si="99"/>
        <v>41823</v>
      </c>
    </row>
    <row r="428" spans="1:1" x14ac:dyDescent="0.25">
      <c r="A428" s="10">
        <f t="shared" si="99"/>
        <v>41830</v>
      </c>
    </row>
    <row r="429" spans="1:1" x14ac:dyDescent="0.25">
      <c r="A429" s="10">
        <f t="shared" si="99"/>
        <v>41837</v>
      </c>
    </row>
    <row r="430" spans="1:1" x14ac:dyDescent="0.25">
      <c r="A430" s="10">
        <f t="shared" si="99"/>
        <v>41844</v>
      </c>
    </row>
    <row r="431" spans="1:1" x14ac:dyDescent="0.25">
      <c r="A431" s="10">
        <f t="shared" si="99"/>
        <v>41851</v>
      </c>
    </row>
    <row r="432" spans="1:1" x14ac:dyDescent="0.25">
      <c r="A432" s="10">
        <f t="shared" si="99"/>
        <v>41858</v>
      </c>
    </row>
    <row r="433" spans="1:1" x14ac:dyDescent="0.25">
      <c r="A433" s="10">
        <f t="shared" si="99"/>
        <v>41865</v>
      </c>
    </row>
    <row r="434" spans="1:1" x14ac:dyDescent="0.25">
      <c r="A434" s="10">
        <f t="shared" si="99"/>
        <v>41872</v>
      </c>
    </row>
    <row r="435" spans="1:1" x14ac:dyDescent="0.25">
      <c r="A435" s="10">
        <f t="shared" si="99"/>
        <v>41879</v>
      </c>
    </row>
    <row r="436" spans="1:1" x14ac:dyDescent="0.25">
      <c r="A436" s="10">
        <f t="shared" si="99"/>
        <v>41886</v>
      </c>
    </row>
    <row r="437" spans="1:1" x14ac:dyDescent="0.25">
      <c r="A437" s="10">
        <f t="shared" si="99"/>
        <v>41893</v>
      </c>
    </row>
    <row r="438" spans="1:1" x14ac:dyDescent="0.25">
      <c r="A438" s="10">
        <f t="shared" si="99"/>
        <v>41900</v>
      </c>
    </row>
    <row r="439" spans="1:1" x14ac:dyDescent="0.25">
      <c r="A439" s="10">
        <f t="shared" si="99"/>
        <v>41907</v>
      </c>
    </row>
    <row r="440" spans="1:1" x14ac:dyDescent="0.25">
      <c r="A440" s="10">
        <f t="shared" si="99"/>
        <v>41914</v>
      </c>
    </row>
    <row r="441" spans="1:1" x14ac:dyDescent="0.25">
      <c r="A441" s="10">
        <f t="shared" si="99"/>
        <v>41921</v>
      </c>
    </row>
    <row r="442" spans="1:1" x14ac:dyDescent="0.25">
      <c r="A442" s="10">
        <f t="shared" si="99"/>
        <v>41928</v>
      </c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K65525"/>
  <sheetViews>
    <sheetView topLeftCell="A375" workbookViewId="0">
      <selection activeCell="F395" sqref="F395"/>
    </sheetView>
  </sheetViews>
  <sheetFormatPr defaultRowHeight="13.2" x14ac:dyDescent="0.25"/>
  <cols>
    <col min="1" max="1" width="11" customWidth="1"/>
  </cols>
  <sheetData>
    <row r="1" spans="1:9" x14ac:dyDescent="0.25"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18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</row>
    <row r="3" spans="1:9" x14ac:dyDescent="0.25">
      <c r="A3" s="10">
        <f>Japan!A3</f>
        <v>38855</v>
      </c>
      <c r="B3">
        <v>174.9</v>
      </c>
      <c r="C3">
        <v>223.5</v>
      </c>
      <c r="D3">
        <v>1538</v>
      </c>
      <c r="E3">
        <v>1653.7</v>
      </c>
      <c r="F3" s="11">
        <f>+B3+D3</f>
        <v>1712.9</v>
      </c>
      <c r="G3" s="12">
        <f>+C3+E3</f>
        <v>1877.2</v>
      </c>
      <c r="H3" s="15">
        <f>+(F3/G3-1)*100</f>
        <v>-8.7523971873002324</v>
      </c>
      <c r="I3">
        <v>500.1</v>
      </c>
    </row>
    <row r="4" spans="1:9" x14ac:dyDescent="0.25">
      <c r="A4" s="10">
        <f>Japan!A4</f>
        <v>38862</v>
      </c>
      <c r="B4">
        <v>131.80000000000001</v>
      </c>
      <c r="C4">
        <v>92.1</v>
      </c>
      <c r="D4">
        <v>1585.2</v>
      </c>
      <c r="E4">
        <v>1786.2</v>
      </c>
      <c r="F4" s="11">
        <f>+B4+D4</f>
        <v>1717</v>
      </c>
      <c r="G4" s="12">
        <f>+C4+E4</f>
        <v>1878.3</v>
      </c>
      <c r="H4" s="15">
        <f>+(F4/G4-1)*100</f>
        <v>-8.5875525741361809</v>
      </c>
      <c r="I4">
        <v>530.1</v>
      </c>
    </row>
    <row r="5" spans="1:9" x14ac:dyDescent="0.25">
      <c r="A5" s="10">
        <f>+A4+7</f>
        <v>38869</v>
      </c>
      <c r="B5">
        <v>627.29999999999995</v>
      </c>
      <c r="C5">
        <v>298.10000000000002</v>
      </c>
      <c r="D5">
        <v>0</v>
      </c>
      <c r="E5">
        <v>0</v>
      </c>
      <c r="F5">
        <f t="shared" ref="F5:G7" si="0">+B5+D5</f>
        <v>627.29999999999995</v>
      </c>
      <c r="G5">
        <f t="shared" si="0"/>
        <v>298.10000000000002</v>
      </c>
      <c r="H5" s="14">
        <f t="shared" ref="H5:H38" si="1">+(F5/G5-1)*100</f>
        <v>110.43274069104325</v>
      </c>
    </row>
    <row r="6" spans="1:9" x14ac:dyDescent="0.25">
      <c r="A6" s="10">
        <f t="shared" ref="A6:A260" si="2">+A5+7</f>
        <v>38876</v>
      </c>
      <c r="B6">
        <v>578.1</v>
      </c>
      <c r="C6">
        <v>296.10000000000002</v>
      </c>
      <c r="D6">
        <v>51.5</v>
      </c>
      <c r="E6">
        <v>0</v>
      </c>
      <c r="F6">
        <f t="shared" si="0"/>
        <v>629.6</v>
      </c>
      <c r="G6">
        <f t="shared" si="0"/>
        <v>296.10000000000002</v>
      </c>
      <c r="H6" s="14">
        <f t="shared" si="1"/>
        <v>112.63086795001689</v>
      </c>
    </row>
    <row r="7" spans="1:9" x14ac:dyDescent="0.25">
      <c r="A7" s="10">
        <f t="shared" si="2"/>
        <v>38883</v>
      </c>
      <c r="B7">
        <v>556.1</v>
      </c>
      <c r="C7">
        <v>281.60000000000002</v>
      </c>
      <c r="D7">
        <v>75.7</v>
      </c>
      <c r="E7">
        <v>14.3</v>
      </c>
      <c r="F7">
        <f t="shared" si="0"/>
        <v>631.80000000000007</v>
      </c>
      <c r="G7">
        <f t="shared" si="0"/>
        <v>295.90000000000003</v>
      </c>
      <c r="H7" s="14">
        <f t="shared" si="1"/>
        <v>113.51808043257856</v>
      </c>
    </row>
    <row r="8" spans="1:9" x14ac:dyDescent="0.25">
      <c r="A8" s="10">
        <f t="shared" si="2"/>
        <v>38890</v>
      </c>
      <c r="B8">
        <v>563.6</v>
      </c>
      <c r="C8">
        <v>297.10000000000002</v>
      </c>
      <c r="D8">
        <v>109.3</v>
      </c>
      <c r="E8">
        <v>41.6</v>
      </c>
      <c r="F8">
        <f t="shared" ref="F8:G38" si="3">+B8+D8</f>
        <v>672.9</v>
      </c>
      <c r="G8">
        <f t="shared" si="3"/>
        <v>338.70000000000005</v>
      </c>
      <c r="H8" s="14">
        <f t="shared" si="1"/>
        <v>98.671390611160277</v>
      </c>
    </row>
    <row r="9" spans="1:9" x14ac:dyDescent="0.25">
      <c r="A9" s="10">
        <f t="shared" si="2"/>
        <v>38897</v>
      </c>
      <c r="B9">
        <v>520.6</v>
      </c>
      <c r="C9">
        <v>286.8</v>
      </c>
      <c r="D9">
        <v>151.80000000000001</v>
      </c>
      <c r="E9">
        <v>79.3</v>
      </c>
      <c r="F9" s="19">
        <f t="shared" si="3"/>
        <v>672.40000000000009</v>
      </c>
      <c r="G9" s="19">
        <f t="shared" si="3"/>
        <v>366.1</v>
      </c>
      <c r="H9" s="24">
        <f t="shared" si="1"/>
        <v>83.665665118820016</v>
      </c>
    </row>
    <row r="10" spans="1:9" x14ac:dyDescent="0.25">
      <c r="A10" s="10">
        <f t="shared" si="2"/>
        <v>38904</v>
      </c>
      <c r="B10">
        <v>571.6</v>
      </c>
      <c r="C10">
        <v>336.8</v>
      </c>
      <c r="D10">
        <v>151.80000000000001</v>
      </c>
      <c r="E10">
        <v>79.3</v>
      </c>
      <c r="F10" s="19">
        <f t="shared" si="3"/>
        <v>723.40000000000009</v>
      </c>
      <c r="G10" s="19">
        <f t="shared" si="3"/>
        <v>416.1</v>
      </c>
      <c r="H10" s="24">
        <f t="shared" si="1"/>
        <v>73.852439317471763</v>
      </c>
    </row>
    <row r="11" spans="1:9" x14ac:dyDescent="0.25">
      <c r="A11" s="10">
        <f t="shared" si="2"/>
        <v>38911</v>
      </c>
      <c r="B11">
        <v>606.1</v>
      </c>
      <c r="C11">
        <v>279.3</v>
      </c>
      <c r="D11">
        <v>197.3</v>
      </c>
      <c r="E11">
        <v>139.5</v>
      </c>
      <c r="F11" s="19">
        <f t="shared" si="3"/>
        <v>803.40000000000009</v>
      </c>
      <c r="G11" s="19">
        <f t="shared" si="3"/>
        <v>418.8</v>
      </c>
      <c r="H11" s="24">
        <f t="shared" si="1"/>
        <v>91.833810888252174</v>
      </c>
    </row>
    <row r="12" spans="1:9" x14ac:dyDescent="0.25">
      <c r="A12" s="10">
        <f t="shared" si="2"/>
        <v>38918</v>
      </c>
      <c r="B12">
        <v>588.1</v>
      </c>
      <c r="C12">
        <v>286.3</v>
      </c>
      <c r="D12">
        <v>241</v>
      </c>
      <c r="E12">
        <v>139.5</v>
      </c>
      <c r="F12" s="19">
        <f t="shared" si="3"/>
        <v>829.1</v>
      </c>
      <c r="G12" s="19">
        <f t="shared" si="3"/>
        <v>425.8</v>
      </c>
      <c r="H12" s="24">
        <f t="shared" si="1"/>
        <v>94.715829027712545</v>
      </c>
    </row>
    <row r="13" spans="1:9" x14ac:dyDescent="0.25">
      <c r="A13" s="10">
        <f t="shared" si="2"/>
        <v>38925</v>
      </c>
      <c r="B13">
        <v>609.9</v>
      </c>
      <c r="C13">
        <v>262.3</v>
      </c>
      <c r="D13">
        <v>241</v>
      </c>
      <c r="E13">
        <v>188.1</v>
      </c>
      <c r="F13" s="19">
        <f t="shared" si="3"/>
        <v>850.9</v>
      </c>
      <c r="G13" s="19">
        <f t="shared" si="3"/>
        <v>450.4</v>
      </c>
      <c r="H13" s="24">
        <f t="shared" si="1"/>
        <v>88.920959147424512</v>
      </c>
    </row>
    <row r="14" spans="1:9" x14ac:dyDescent="0.25">
      <c r="A14" s="10">
        <f t="shared" si="2"/>
        <v>38932</v>
      </c>
      <c r="B14">
        <v>609.5</v>
      </c>
      <c r="C14">
        <v>292.3</v>
      </c>
      <c r="D14">
        <v>291.2</v>
      </c>
      <c r="E14">
        <v>188.1</v>
      </c>
      <c r="F14" s="19">
        <f t="shared" si="3"/>
        <v>900.7</v>
      </c>
      <c r="G14" s="19">
        <f t="shared" si="3"/>
        <v>480.4</v>
      </c>
      <c r="H14" s="24">
        <f t="shared" si="1"/>
        <v>87.489592006661127</v>
      </c>
    </row>
    <row r="15" spans="1:9" x14ac:dyDescent="0.25">
      <c r="A15" s="10">
        <f t="shared" si="2"/>
        <v>38939</v>
      </c>
      <c r="B15">
        <v>567.4</v>
      </c>
      <c r="C15">
        <v>305.8</v>
      </c>
      <c r="D15">
        <v>332.3</v>
      </c>
      <c r="E15">
        <v>209.1</v>
      </c>
      <c r="F15" s="19">
        <f t="shared" si="3"/>
        <v>899.7</v>
      </c>
      <c r="G15" s="19">
        <f t="shared" si="3"/>
        <v>514.9</v>
      </c>
      <c r="H15" s="24">
        <f t="shared" si="1"/>
        <v>74.732957855894355</v>
      </c>
    </row>
    <row r="16" spans="1:9" x14ac:dyDescent="0.25">
      <c r="A16" s="10">
        <f t="shared" si="2"/>
        <v>38946</v>
      </c>
      <c r="B16">
        <v>571.79999999999995</v>
      </c>
      <c r="C16">
        <v>353.9</v>
      </c>
      <c r="D16">
        <v>377.8</v>
      </c>
      <c r="E16">
        <v>258.3</v>
      </c>
      <c r="F16" s="19">
        <f t="shared" si="3"/>
        <v>949.59999999999991</v>
      </c>
      <c r="G16" s="19">
        <f t="shared" si="3"/>
        <v>612.20000000000005</v>
      </c>
      <c r="H16" s="24">
        <f t="shared" si="1"/>
        <v>55.112708265272772</v>
      </c>
    </row>
    <row r="17" spans="1:9" x14ac:dyDescent="0.25">
      <c r="A17" s="10">
        <f t="shared" si="2"/>
        <v>38953</v>
      </c>
      <c r="B17">
        <v>507.1</v>
      </c>
      <c r="C17">
        <v>340</v>
      </c>
      <c r="D17">
        <v>450.6</v>
      </c>
      <c r="E17">
        <v>282.60000000000002</v>
      </c>
      <c r="F17" s="19">
        <f t="shared" si="3"/>
        <v>957.7</v>
      </c>
      <c r="G17" s="19">
        <f t="shared" si="3"/>
        <v>622.6</v>
      </c>
      <c r="H17" s="24">
        <f t="shared" si="1"/>
        <v>53.822679087696756</v>
      </c>
    </row>
    <row r="18" spans="1:9" x14ac:dyDescent="0.25">
      <c r="A18" s="10">
        <f t="shared" si="2"/>
        <v>38960</v>
      </c>
      <c r="B18">
        <v>495.2</v>
      </c>
      <c r="C18">
        <v>341.5</v>
      </c>
      <c r="D18">
        <v>499.1</v>
      </c>
      <c r="E18">
        <v>282.60000000000002</v>
      </c>
      <c r="F18" s="19">
        <f t="shared" si="3"/>
        <v>994.3</v>
      </c>
      <c r="G18" s="19">
        <f t="shared" si="3"/>
        <v>624.1</v>
      </c>
      <c r="H18" s="24">
        <f t="shared" si="1"/>
        <v>59.317417080596037</v>
      </c>
    </row>
    <row r="19" spans="1:9" x14ac:dyDescent="0.25">
      <c r="A19" s="10">
        <f t="shared" si="2"/>
        <v>38967</v>
      </c>
      <c r="B19">
        <v>495.2</v>
      </c>
      <c r="C19">
        <v>384.5</v>
      </c>
      <c r="D19">
        <v>499.1</v>
      </c>
      <c r="E19">
        <v>338.5</v>
      </c>
      <c r="F19" s="19">
        <f t="shared" si="3"/>
        <v>994.3</v>
      </c>
      <c r="G19" s="19">
        <f t="shared" si="3"/>
        <v>723</v>
      </c>
      <c r="H19" s="24">
        <f t="shared" si="1"/>
        <v>37.524204702627941</v>
      </c>
    </row>
    <row r="20" spans="1:9" x14ac:dyDescent="0.25">
      <c r="A20" s="10">
        <f t="shared" si="2"/>
        <v>38974</v>
      </c>
      <c r="B20">
        <v>485.4</v>
      </c>
      <c r="C20">
        <v>386</v>
      </c>
      <c r="D20">
        <v>535.20000000000005</v>
      </c>
      <c r="E20">
        <v>338.5</v>
      </c>
      <c r="F20" s="19">
        <f t="shared" si="3"/>
        <v>1020.6</v>
      </c>
      <c r="G20" s="19">
        <f t="shared" si="3"/>
        <v>724.5</v>
      </c>
      <c r="H20" s="24">
        <f t="shared" si="1"/>
        <v>40.869565217391312</v>
      </c>
    </row>
    <row r="21" spans="1:9" x14ac:dyDescent="0.25">
      <c r="A21" s="10">
        <f t="shared" si="2"/>
        <v>38981</v>
      </c>
      <c r="B21">
        <v>499.4</v>
      </c>
      <c r="C21">
        <v>327</v>
      </c>
      <c r="D21">
        <v>535.20000000000005</v>
      </c>
      <c r="E21">
        <v>411.5</v>
      </c>
      <c r="F21" s="19">
        <f t="shared" si="3"/>
        <v>1034.5999999999999</v>
      </c>
      <c r="G21" s="19">
        <f t="shared" si="3"/>
        <v>738.5</v>
      </c>
      <c r="H21" s="24">
        <f t="shared" si="1"/>
        <v>40.094786729857802</v>
      </c>
    </row>
    <row r="22" spans="1:9" x14ac:dyDescent="0.25">
      <c r="A22" s="10">
        <f t="shared" si="2"/>
        <v>38988</v>
      </c>
      <c r="B22">
        <v>499.4</v>
      </c>
      <c r="C22">
        <v>263</v>
      </c>
      <c r="D22">
        <v>535.20000000000005</v>
      </c>
      <c r="E22">
        <v>521.20000000000005</v>
      </c>
      <c r="F22" s="19">
        <f t="shared" si="3"/>
        <v>1034.5999999999999</v>
      </c>
      <c r="G22" s="19">
        <f t="shared" si="3"/>
        <v>784.2</v>
      </c>
      <c r="H22" s="24">
        <f t="shared" si="1"/>
        <v>31.930629941341483</v>
      </c>
      <c r="I22">
        <v>42</v>
      </c>
    </row>
    <row r="23" spans="1:9" x14ac:dyDescent="0.25">
      <c r="A23" s="10">
        <f t="shared" si="2"/>
        <v>38995</v>
      </c>
      <c r="B23">
        <v>463.4</v>
      </c>
      <c r="C23">
        <v>280.10000000000002</v>
      </c>
      <c r="D23">
        <v>623.5</v>
      </c>
      <c r="E23">
        <v>521.20000000000005</v>
      </c>
      <c r="F23" s="19">
        <f t="shared" si="3"/>
        <v>1086.9000000000001</v>
      </c>
      <c r="G23" s="19">
        <f t="shared" si="3"/>
        <v>801.30000000000007</v>
      </c>
      <c r="H23" s="24">
        <f t="shared" si="1"/>
        <v>35.642081617371765</v>
      </c>
    </row>
    <row r="24" spans="1:9" x14ac:dyDescent="0.25">
      <c r="A24" s="10">
        <f t="shared" si="2"/>
        <v>39002</v>
      </c>
      <c r="B24">
        <v>410.9</v>
      </c>
      <c r="C24">
        <v>310.60000000000002</v>
      </c>
      <c r="D24">
        <v>716.3</v>
      </c>
      <c r="E24">
        <v>579.5</v>
      </c>
      <c r="F24" s="19">
        <f t="shared" si="3"/>
        <v>1127.1999999999998</v>
      </c>
      <c r="G24" s="19">
        <f t="shared" si="3"/>
        <v>890.1</v>
      </c>
      <c r="H24" s="24">
        <f t="shared" si="1"/>
        <v>26.637456465565634</v>
      </c>
      <c r="I24">
        <v>42</v>
      </c>
    </row>
    <row r="25" spans="1:9" x14ac:dyDescent="0.25">
      <c r="A25" s="10">
        <f t="shared" si="2"/>
        <v>39009</v>
      </c>
      <c r="B25">
        <v>418.4</v>
      </c>
      <c r="C25">
        <v>372.1</v>
      </c>
      <c r="D25">
        <v>756.9</v>
      </c>
      <c r="E25">
        <v>604.1</v>
      </c>
      <c r="F25" s="19">
        <f t="shared" si="3"/>
        <v>1175.3</v>
      </c>
      <c r="G25" s="19">
        <f t="shared" si="3"/>
        <v>976.2</v>
      </c>
      <c r="H25" s="24">
        <f t="shared" si="1"/>
        <v>20.395410776480215</v>
      </c>
    </row>
    <row r="26" spans="1:9" x14ac:dyDescent="0.25">
      <c r="A26" s="10">
        <f t="shared" si="2"/>
        <v>39016</v>
      </c>
      <c r="B26">
        <v>523.4</v>
      </c>
      <c r="C26">
        <v>457.1</v>
      </c>
      <c r="D26">
        <v>773.7</v>
      </c>
      <c r="E26">
        <v>604.1</v>
      </c>
      <c r="F26" s="19">
        <f t="shared" si="3"/>
        <v>1297.0999999999999</v>
      </c>
      <c r="G26" s="19">
        <f t="shared" si="3"/>
        <v>1061.2</v>
      </c>
      <c r="H26" s="24">
        <f t="shared" si="1"/>
        <v>22.229551451187323</v>
      </c>
      <c r="I26">
        <v>42</v>
      </c>
    </row>
    <row r="27" spans="1:9" x14ac:dyDescent="0.25">
      <c r="A27" s="10">
        <f t="shared" si="2"/>
        <v>39023</v>
      </c>
      <c r="B27">
        <v>530.9</v>
      </c>
      <c r="C27">
        <v>407.2</v>
      </c>
      <c r="D27">
        <v>773.7</v>
      </c>
      <c r="E27">
        <v>651.5</v>
      </c>
      <c r="F27" s="19">
        <f t="shared" si="3"/>
        <v>1304.5999999999999</v>
      </c>
      <c r="G27" s="19">
        <f t="shared" si="3"/>
        <v>1058.7</v>
      </c>
      <c r="H27" s="24">
        <f t="shared" si="1"/>
        <v>23.226598658732399</v>
      </c>
      <c r="I27">
        <v>42</v>
      </c>
    </row>
    <row r="28" spans="1:9" x14ac:dyDescent="0.25">
      <c r="A28" s="10">
        <f t="shared" si="2"/>
        <v>39030</v>
      </c>
      <c r="B28">
        <v>488.1</v>
      </c>
      <c r="C28">
        <v>438.2</v>
      </c>
      <c r="D28">
        <v>819.2</v>
      </c>
      <c r="E28">
        <v>651.5</v>
      </c>
      <c r="F28" s="19">
        <f t="shared" si="3"/>
        <v>1307.3000000000002</v>
      </c>
      <c r="G28" s="19">
        <f t="shared" si="3"/>
        <v>1089.7</v>
      </c>
      <c r="H28" s="24">
        <f t="shared" si="1"/>
        <v>19.968798751950079</v>
      </c>
      <c r="I28">
        <v>42</v>
      </c>
    </row>
    <row r="29" spans="1:9" x14ac:dyDescent="0.25">
      <c r="A29" s="10">
        <f t="shared" si="2"/>
        <v>39037</v>
      </c>
      <c r="B29">
        <v>474.6</v>
      </c>
      <c r="C29">
        <v>438.2</v>
      </c>
      <c r="D29">
        <v>856</v>
      </c>
      <c r="E29">
        <v>651.5</v>
      </c>
      <c r="F29" s="19">
        <f t="shared" si="3"/>
        <v>1330.6</v>
      </c>
      <c r="G29" s="19">
        <f t="shared" si="3"/>
        <v>1089.7</v>
      </c>
      <c r="H29" s="24">
        <f t="shared" si="1"/>
        <v>22.107001927135904</v>
      </c>
    </row>
    <row r="30" spans="1:9" x14ac:dyDescent="0.25">
      <c r="A30" s="10">
        <f t="shared" si="2"/>
        <v>39044</v>
      </c>
      <c r="B30">
        <v>524.6</v>
      </c>
      <c r="C30">
        <v>395.7</v>
      </c>
      <c r="D30">
        <v>856</v>
      </c>
      <c r="E30">
        <v>705.6</v>
      </c>
      <c r="F30" s="19">
        <f t="shared" si="3"/>
        <v>1380.6</v>
      </c>
      <c r="G30" s="19">
        <f t="shared" si="3"/>
        <v>1101.3</v>
      </c>
      <c r="H30" s="24">
        <f t="shared" si="1"/>
        <v>25.360937074366664</v>
      </c>
    </row>
    <row r="31" spans="1:9" x14ac:dyDescent="0.25">
      <c r="A31" s="10">
        <f t="shared" si="2"/>
        <v>39051</v>
      </c>
      <c r="B31">
        <v>498.2</v>
      </c>
      <c r="C31">
        <v>428.3</v>
      </c>
      <c r="D31">
        <v>905.8</v>
      </c>
      <c r="E31">
        <v>753.2</v>
      </c>
      <c r="F31" s="19">
        <f t="shared" si="3"/>
        <v>1404</v>
      </c>
      <c r="G31" s="19">
        <f t="shared" si="3"/>
        <v>1181.5</v>
      </c>
      <c r="H31" s="24">
        <f t="shared" si="1"/>
        <v>18.831993228946263</v>
      </c>
    </row>
    <row r="32" spans="1:9" x14ac:dyDescent="0.25">
      <c r="A32" s="10">
        <f t="shared" si="2"/>
        <v>39058</v>
      </c>
      <c r="B32">
        <v>481.2</v>
      </c>
      <c r="C32">
        <v>442.3</v>
      </c>
      <c r="D32">
        <v>929.3</v>
      </c>
      <c r="E32">
        <v>820.3</v>
      </c>
      <c r="F32" s="19">
        <f t="shared" si="3"/>
        <v>1410.5</v>
      </c>
      <c r="G32" s="19">
        <f t="shared" si="3"/>
        <v>1262.5999999999999</v>
      </c>
      <c r="H32" s="24">
        <f t="shared" si="1"/>
        <v>11.713923649611925</v>
      </c>
    </row>
    <row r="33" spans="1:9" x14ac:dyDescent="0.25">
      <c r="A33" s="10">
        <f t="shared" si="2"/>
        <v>39065</v>
      </c>
      <c r="B33">
        <v>473.7</v>
      </c>
      <c r="C33">
        <v>445.7</v>
      </c>
      <c r="D33">
        <v>935.6</v>
      </c>
      <c r="E33">
        <v>837.2</v>
      </c>
      <c r="F33" s="19">
        <f t="shared" si="3"/>
        <v>1409.3</v>
      </c>
      <c r="G33" s="19">
        <f t="shared" si="3"/>
        <v>1282.9000000000001</v>
      </c>
      <c r="H33" s="24">
        <f t="shared" si="1"/>
        <v>9.8526775274768053</v>
      </c>
    </row>
    <row r="34" spans="1:9" x14ac:dyDescent="0.25">
      <c r="A34" s="10">
        <f t="shared" si="2"/>
        <v>39072</v>
      </c>
      <c r="B34">
        <v>449.7</v>
      </c>
      <c r="C34">
        <v>455.7</v>
      </c>
      <c r="D34">
        <v>960.8</v>
      </c>
      <c r="E34">
        <v>837.2</v>
      </c>
      <c r="F34" s="19">
        <f t="shared" si="3"/>
        <v>1410.5</v>
      </c>
      <c r="G34" s="19">
        <f t="shared" si="3"/>
        <v>1292.9000000000001</v>
      </c>
      <c r="H34" s="24">
        <f t="shared" si="1"/>
        <v>9.0958310774228437</v>
      </c>
      <c r="I34">
        <v>49.5</v>
      </c>
    </row>
    <row r="35" spans="1:9" x14ac:dyDescent="0.25">
      <c r="A35" s="10">
        <f t="shared" si="2"/>
        <v>39079</v>
      </c>
      <c r="B35">
        <v>396.3</v>
      </c>
      <c r="C35">
        <v>455.7</v>
      </c>
      <c r="D35">
        <v>1015</v>
      </c>
      <c r="E35">
        <v>837.2</v>
      </c>
      <c r="F35" s="19">
        <f t="shared" si="3"/>
        <v>1411.3</v>
      </c>
      <c r="G35" s="19">
        <f t="shared" si="3"/>
        <v>1292.9000000000001</v>
      </c>
      <c r="H35" s="24">
        <f t="shared" si="1"/>
        <v>9.1577074793100621</v>
      </c>
      <c r="I35">
        <v>49.5</v>
      </c>
    </row>
    <row r="36" spans="1:9" x14ac:dyDescent="0.25">
      <c r="A36" s="10">
        <f t="shared" si="2"/>
        <v>39086</v>
      </c>
      <c r="B36">
        <v>325</v>
      </c>
      <c r="C36">
        <v>485</v>
      </c>
      <c r="D36">
        <v>1088.3</v>
      </c>
      <c r="E36">
        <v>879.9</v>
      </c>
      <c r="F36" s="19">
        <f t="shared" si="3"/>
        <v>1413.3</v>
      </c>
      <c r="G36" s="19">
        <f t="shared" si="3"/>
        <v>1364.9</v>
      </c>
      <c r="H36" s="24">
        <f t="shared" si="1"/>
        <v>3.5460473294746775</v>
      </c>
      <c r="I36">
        <v>49.5</v>
      </c>
    </row>
    <row r="37" spans="1:9" x14ac:dyDescent="0.25">
      <c r="A37" s="10">
        <f t="shared" si="2"/>
        <v>39093</v>
      </c>
      <c r="B37">
        <v>400.7</v>
      </c>
      <c r="C37">
        <v>536</v>
      </c>
      <c r="D37">
        <v>1088.5999999999999</v>
      </c>
      <c r="E37">
        <v>879.9</v>
      </c>
      <c r="F37" s="19">
        <f t="shared" si="3"/>
        <v>1489.3</v>
      </c>
      <c r="G37" s="19">
        <f t="shared" si="3"/>
        <v>1415.9</v>
      </c>
      <c r="H37" s="24">
        <f t="shared" si="1"/>
        <v>5.1839819196270787</v>
      </c>
    </row>
    <row r="38" spans="1:9" x14ac:dyDescent="0.25">
      <c r="A38" s="10">
        <f t="shared" si="2"/>
        <v>39100</v>
      </c>
      <c r="B38">
        <v>369.7</v>
      </c>
      <c r="C38">
        <v>614</v>
      </c>
      <c r="D38">
        <v>1120.0999999999999</v>
      </c>
      <c r="E38">
        <v>879.9</v>
      </c>
      <c r="F38" s="19">
        <f t="shared" si="3"/>
        <v>1489.8</v>
      </c>
      <c r="G38" s="19">
        <f t="shared" si="3"/>
        <v>1493.9</v>
      </c>
      <c r="H38" s="24">
        <f t="shared" si="1"/>
        <v>-0.27444942767254066</v>
      </c>
    </row>
    <row r="39" spans="1:9" x14ac:dyDescent="0.25">
      <c r="A39" s="10">
        <f t="shared" si="2"/>
        <v>39107</v>
      </c>
      <c r="B39">
        <v>325.2</v>
      </c>
      <c r="C39">
        <v>387.6</v>
      </c>
      <c r="D39">
        <v>1168.0999999999999</v>
      </c>
      <c r="E39">
        <v>1041.5999999999999</v>
      </c>
      <c r="F39" s="19">
        <f t="shared" ref="F39:G43" si="4">+B39+D39</f>
        <v>1493.3</v>
      </c>
      <c r="G39" s="19">
        <f t="shared" si="4"/>
        <v>1429.1999999999998</v>
      </c>
      <c r="H39" s="24">
        <f t="shared" ref="H39:H44" si="5">+(F39/G39-1)*100</f>
        <v>4.4850265883011664</v>
      </c>
    </row>
    <row r="40" spans="1:9" x14ac:dyDescent="0.25">
      <c r="A40" s="10">
        <f t="shared" si="2"/>
        <v>39114</v>
      </c>
      <c r="B40">
        <v>267.2</v>
      </c>
      <c r="C40">
        <v>436.6</v>
      </c>
      <c r="D40">
        <v>1236.4000000000001</v>
      </c>
      <c r="E40">
        <v>1061.5</v>
      </c>
      <c r="F40" s="19">
        <f t="shared" si="4"/>
        <v>1503.6000000000001</v>
      </c>
      <c r="G40" s="19">
        <f t="shared" si="4"/>
        <v>1498.1</v>
      </c>
      <c r="H40" s="24">
        <f t="shared" si="5"/>
        <v>0.36713170015354457</v>
      </c>
    </row>
    <row r="41" spans="1:9" x14ac:dyDescent="0.25">
      <c r="A41" s="10">
        <f t="shared" si="2"/>
        <v>39121</v>
      </c>
      <c r="B41">
        <v>338</v>
      </c>
      <c r="C41">
        <v>550.5</v>
      </c>
      <c r="D41">
        <v>1237</v>
      </c>
      <c r="E41">
        <v>1085.7</v>
      </c>
      <c r="F41" s="19">
        <f t="shared" si="4"/>
        <v>1575</v>
      </c>
      <c r="G41" s="19">
        <f t="shared" si="4"/>
        <v>1636.2</v>
      </c>
      <c r="H41" s="24">
        <f t="shared" si="5"/>
        <v>-3.7403740374037375</v>
      </c>
    </row>
    <row r="42" spans="1:9" x14ac:dyDescent="0.25">
      <c r="A42" s="10">
        <f t="shared" si="2"/>
        <v>39128</v>
      </c>
      <c r="B42">
        <v>362.7</v>
      </c>
      <c r="C42">
        <v>438.9</v>
      </c>
      <c r="D42">
        <v>1237.7</v>
      </c>
      <c r="E42">
        <v>1164.4000000000001</v>
      </c>
      <c r="F42" s="19">
        <f t="shared" si="4"/>
        <v>1600.4</v>
      </c>
      <c r="G42" s="19">
        <f t="shared" si="4"/>
        <v>1603.3000000000002</v>
      </c>
      <c r="H42" s="24">
        <f t="shared" si="5"/>
        <v>-0.18087694130856091</v>
      </c>
    </row>
    <row r="43" spans="1:9" x14ac:dyDescent="0.25">
      <c r="A43" s="10">
        <f t="shared" si="2"/>
        <v>39135</v>
      </c>
      <c r="B43">
        <v>305.89999999999998</v>
      </c>
      <c r="C43">
        <v>433.9</v>
      </c>
      <c r="D43">
        <v>1293.0999999999999</v>
      </c>
      <c r="E43">
        <v>1164.4000000000001</v>
      </c>
      <c r="F43" s="19">
        <f t="shared" si="4"/>
        <v>1599</v>
      </c>
      <c r="G43" s="19">
        <f t="shared" si="4"/>
        <v>1598.3000000000002</v>
      </c>
      <c r="H43" s="24">
        <f t="shared" si="5"/>
        <v>4.3796533817164196E-2</v>
      </c>
    </row>
    <row r="44" spans="1:9" x14ac:dyDescent="0.25">
      <c r="A44" s="10">
        <f t="shared" si="2"/>
        <v>39142</v>
      </c>
      <c r="B44">
        <v>285.8</v>
      </c>
      <c r="C44">
        <v>416.8</v>
      </c>
      <c r="D44">
        <v>1329.3</v>
      </c>
      <c r="E44">
        <v>1182.0999999999999</v>
      </c>
      <c r="F44" s="19">
        <f t="shared" ref="F44:G46" si="6">+B44+D44</f>
        <v>1615.1</v>
      </c>
      <c r="G44" s="19">
        <f t="shared" si="6"/>
        <v>1598.8999999999999</v>
      </c>
      <c r="H44" s="24">
        <f t="shared" si="5"/>
        <v>1.0131965726436931</v>
      </c>
    </row>
    <row r="45" spans="1:9" x14ac:dyDescent="0.25">
      <c r="A45" s="10">
        <f t="shared" si="2"/>
        <v>39149</v>
      </c>
      <c r="B45">
        <v>210.2</v>
      </c>
      <c r="C45">
        <v>328.1</v>
      </c>
      <c r="D45">
        <v>1406.6</v>
      </c>
      <c r="E45">
        <v>1275.4000000000001</v>
      </c>
      <c r="F45" s="19">
        <f t="shared" si="6"/>
        <v>1616.8</v>
      </c>
      <c r="G45" s="19">
        <f t="shared" si="6"/>
        <v>1603.5</v>
      </c>
      <c r="H45" s="24">
        <f t="shared" ref="H45:H50" si="7">+(F45/G45-1)*100</f>
        <v>0.829435609603979</v>
      </c>
    </row>
    <row r="46" spans="1:9" x14ac:dyDescent="0.25">
      <c r="A46" s="10">
        <f t="shared" si="2"/>
        <v>39156</v>
      </c>
      <c r="B46">
        <v>280.2</v>
      </c>
      <c r="C46">
        <v>332.6</v>
      </c>
      <c r="D46">
        <v>1406.8</v>
      </c>
      <c r="E46">
        <v>1322.7</v>
      </c>
      <c r="F46" s="19">
        <f t="shared" si="6"/>
        <v>1687</v>
      </c>
      <c r="G46" s="19">
        <f t="shared" si="6"/>
        <v>1655.3000000000002</v>
      </c>
      <c r="H46" s="24">
        <f t="shared" si="7"/>
        <v>1.9150607140699494</v>
      </c>
    </row>
    <row r="47" spans="1:9" x14ac:dyDescent="0.25">
      <c r="A47" s="10">
        <f t="shared" si="2"/>
        <v>39163</v>
      </c>
      <c r="B47">
        <v>323.7</v>
      </c>
      <c r="C47">
        <v>332.6</v>
      </c>
      <c r="D47">
        <v>1408.1</v>
      </c>
      <c r="E47">
        <v>1322.7</v>
      </c>
      <c r="F47" s="19">
        <f t="shared" ref="F47:G49" si="8">+B47+D47</f>
        <v>1731.8</v>
      </c>
      <c r="G47" s="19">
        <f t="shared" si="8"/>
        <v>1655.3000000000002</v>
      </c>
      <c r="H47" s="24">
        <f t="shared" si="7"/>
        <v>4.6215187579290662</v>
      </c>
    </row>
    <row r="48" spans="1:9" x14ac:dyDescent="0.25">
      <c r="A48" s="10">
        <f t="shared" si="2"/>
        <v>39170</v>
      </c>
      <c r="B48">
        <v>301</v>
      </c>
      <c r="C48">
        <v>272.8</v>
      </c>
      <c r="D48">
        <v>1433.6</v>
      </c>
      <c r="E48">
        <v>1366.8</v>
      </c>
      <c r="F48" s="19">
        <f t="shared" si="8"/>
        <v>1734.6</v>
      </c>
      <c r="G48" s="19">
        <f t="shared" si="8"/>
        <v>1639.6</v>
      </c>
      <c r="H48" s="24">
        <f t="shared" si="7"/>
        <v>5.7940961210051212</v>
      </c>
    </row>
    <row r="49" spans="1:9" x14ac:dyDescent="0.25">
      <c r="A49" s="10">
        <f t="shared" si="2"/>
        <v>39177</v>
      </c>
      <c r="B49">
        <v>351.2</v>
      </c>
      <c r="C49">
        <v>232</v>
      </c>
      <c r="D49">
        <v>1434.2</v>
      </c>
      <c r="E49">
        <v>1411.4</v>
      </c>
      <c r="F49" s="19">
        <f t="shared" si="8"/>
        <v>1785.4</v>
      </c>
      <c r="G49" s="19">
        <f t="shared" si="8"/>
        <v>1643.4</v>
      </c>
      <c r="H49" s="24">
        <f t="shared" si="7"/>
        <v>8.6406230984544141</v>
      </c>
    </row>
    <row r="50" spans="1:9" x14ac:dyDescent="0.25">
      <c r="A50" s="10">
        <f t="shared" si="2"/>
        <v>39184</v>
      </c>
      <c r="B50">
        <v>224.9</v>
      </c>
      <c r="C50">
        <v>232</v>
      </c>
      <c r="D50">
        <v>1560.9</v>
      </c>
      <c r="E50">
        <v>1411.4</v>
      </c>
      <c r="F50" s="19">
        <f t="shared" ref="F50:G52" si="9">+B50+D50</f>
        <v>1785.8000000000002</v>
      </c>
      <c r="G50" s="19">
        <f t="shared" si="9"/>
        <v>1643.4</v>
      </c>
      <c r="H50" s="24">
        <f t="shared" si="7"/>
        <v>8.6649628818303626</v>
      </c>
    </row>
    <row r="51" spans="1:9" x14ac:dyDescent="0.25">
      <c r="A51" s="10">
        <f t="shared" si="2"/>
        <v>39191</v>
      </c>
      <c r="B51">
        <v>199.6</v>
      </c>
      <c r="C51">
        <v>182</v>
      </c>
      <c r="D51">
        <v>1589.1</v>
      </c>
      <c r="E51">
        <v>1459.4</v>
      </c>
      <c r="F51" s="19">
        <f t="shared" si="9"/>
        <v>1788.6999999999998</v>
      </c>
      <c r="G51" s="19">
        <f t="shared" si="9"/>
        <v>1641.4</v>
      </c>
      <c r="H51" s="24">
        <f t="shared" ref="H51:H57" si="10">+(F51/G51-1)*100</f>
        <v>8.9740465456317651</v>
      </c>
    </row>
    <row r="52" spans="1:9" x14ac:dyDescent="0.25">
      <c r="A52" s="10">
        <f t="shared" si="2"/>
        <v>39198</v>
      </c>
      <c r="B52">
        <v>180.6</v>
      </c>
      <c r="C52">
        <v>216</v>
      </c>
      <c r="D52">
        <v>1609.8</v>
      </c>
      <c r="E52">
        <v>1476.2</v>
      </c>
      <c r="F52" s="19">
        <f t="shared" si="9"/>
        <v>1790.3999999999999</v>
      </c>
      <c r="G52" s="19">
        <f t="shared" si="9"/>
        <v>1692.2</v>
      </c>
      <c r="H52" s="24">
        <f t="shared" si="10"/>
        <v>5.8030965606902241</v>
      </c>
    </row>
    <row r="53" spans="1:9" x14ac:dyDescent="0.25">
      <c r="A53" s="10">
        <f t="shared" si="2"/>
        <v>39205</v>
      </c>
      <c r="B53">
        <v>186.6</v>
      </c>
      <c r="C53">
        <v>218</v>
      </c>
      <c r="D53">
        <v>1611.8</v>
      </c>
      <c r="E53">
        <v>1493</v>
      </c>
      <c r="F53" s="19">
        <f t="shared" ref="F53:G55" si="11">+B53+D53</f>
        <v>1798.3999999999999</v>
      </c>
      <c r="G53" s="19">
        <f t="shared" si="11"/>
        <v>1711</v>
      </c>
      <c r="H53" s="24">
        <f t="shared" si="10"/>
        <v>5.1081239041496085</v>
      </c>
      <c r="I53">
        <v>291</v>
      </c>
    </row>
    <row r="54" spans="1:9" x14ac:dyDescent="0.25">
      <c r="A54" s="10">
        <f t="shared" si="2"/>
        <v>39212</v>
      </c>
      <c r="B54">
        <v>143.1</v>
      </c>
      <c r="C54">
        <v>174.9</v>
      </c>
      <c r="D54">
        <v>1657.4</v>
      </c>
      <c r="E54">
        <v>1538</v>
      </c>
      <c r="F54" s="19">
        <f t="shared" si="11"/>
        <v>1800.5</v>
      </c>
      <c r="G54" s="19">
        <f t="shared" si="11"/>
        <v>1712.9</v>
      </c>
      <c r="H54" s="24">
        <f t="shared" si="10"/>
        <v>5.114133924922637</v>
      </c>
      <c r="I54">
        <v>323</v>
      </c>
    </row>
    <row r="55" spans="1:9" x14ac:dyDescent="0.25">
      <c r="A55" s="10">
        <f t="shared" si="2"/>
        <v>39219</v>
      </c>
      <c r="B55">
        <v>136.5</v>
      </c>
      <c r="C55">
        <v>174.9</v>
      </c>
      <c r="D55">
        <v>1658.9</v>
      </c>
      <c r="E55">
        <v>1538</v>
      </c>
      <c r="F55" s="19">
        <f t="shared" si="11"/>
        <v>1795.4</v>
      </c>
      <c r="G55" s="19">
        <f t="shared" si="11"/>
        <v>1712.9</v>
      </c>
      <c r="H55" s="24">
        <f t="shared" si="10"/>
        <v>4.8163932512113927</v>
      </c>
      <c r="I55">
        <v>397.5</v>
      </c>
    </row>
    <row r="56" spans="1:9" x14ac:dyDescent="0.25">
      <c r="A56" s="10">
        <f t="shared" si="2"/>
        <v>39226</v>
      </c>
      <c r="B56">
        <v>27.4</v>
      </c>
      <c r="C56">
        <v>131.80000000000001</v>
      </c>
      <c r="D56">
        <v>1739.2</v>
      </c>
      <c r="E56">
        <v>1585.2</v>
      </c>
      <c r="F56" s="19">
        <f>+B56+D56</f>
        <v>1766.6000000000001</v>
      </c>
      <c r="G56" s="19">
        <f>+C56+E56</f>
        <v>1717</v>
      </c>
      <c r="H56" s="24">
        <f t="shared" si="10"/>
        <v>2.8887594641817227</v>
      </c>
      <c r="I56">
        <v>477.5</v>
      </c>
    </row>
    <row r="57" spans="1:9" x14ac:dyDescent="0.25">
      <c r="A57" s="10">
        <f t="shared" si="2"/>
        <v>39233</v>
      </c>
      <c r="F57">
        <v>1739.2</v>
      </c>
      <c r="G57">
        <v>1676.3</v>
      </c>
      <c r="H57" s="24">
        <f t="shared" si="10"/>
        <v>3.7523116387281563</v>
      </c>
    </row>
    <row r="58" spans="1:9" x14ac:dyDescent="0.25">
      <c r="A58" s="10">
        <f t="shared" si="2"/>
        <v>39240</v>
      </c>
      <c r="B58">
        <v>527.79999999999995</v>
      </c>
      <c r="C58">
        <v>578.1</v>
      </c>
      <c r="D58">
        <v>0.7</v>
      </c>
      <c r="E58">
        <v>51.5</v>
      </c>
      <c r="F58" s="19">
        <f t="shared" ref="F58:G60" si="12">+B58+D58</f>
        <v>528.5</v>
      </c>
      <c r="G58" s="19">
        <f t="shared" si="12"/>
        <v>629.6</v>
      </c>
      <c r="H58" s="24">
        <f t="shared" ref="H58:H63" si="13">+(F58/G58-1)*100</f>
        <v>-16.057814485387556</v>
      </c>
    </row>
    <row r="59" spans="1:9" x14ac:dyDescent="0.25">
      <c r="A59" s="10">
        <f t="shared" si="2"/>
        <v>39247</v>
      </c>
      <c r="B59">
        <v>541.79999999999995</v>
      </c>
      <c r="C59">
        <v>556.1</v>
      </c>
      <c r="D59">
        <v>18.100000000000001</v>
      </c>
      <c r="E59">
        <v>75.7</v>
      </c>
      <c r="F59" s="19">
        <f t="shared" si="12"/>
        <v>559.9</v>
      </c>
      <c r="G59" s="19">
        <f t="shared" si="12"/>
        <v>631.80000000000007</v>
      </c>
      <c r="H59" s="24">
        <f t="shared" si="13"/>
        <v>-11.380183602405836</v>
      </c>
    </row>
    <row r="60" spans="1:9" x14ac:dyDescent="0.25">
      <c r="A60" s="10">
        <f t="shared" si="2"/>
        <v>39254</v>
      </c>
      <c r="B60">
        <v>540.5</v>
      </c>
      <c r="C60">
        <v>563.6</v>
      </c>
      <c r="D60">
        <v>19.8</v>
      </c>
      <c r="E60">
        <v>109.3</v>
      </c>
      <c r="F60" s="19">
        <f t="shared" si="12"/>
        <v>560.29999999999995</v>
      </c>
      <c r="G60" s="19">
        <f t="shared" si="12"/>
        <v>672.9</v>
      </c>
      <c r="H60" s="24">
        <f t="shared" si="13"/>
        <v>-16.733541388022001</v>
      </c>
    </row>
    <row r="61" spans="1:9" x14ac:dyDescent="0.25">
      <c r="A61" s="10">
        <f t="shared" si="2"/>
        <v>39261</v>
      </c>
      <c r="B61">
        <v>478.5</v>
      </c>
      <c r="C61">
        <v>520.6</v>
      </c>
      <c r="D61">
        <v>86.8</v>
      </c>
      <c r="E61">
        <v>151.80000000000001</v>
      </c>
      <c r="F61" s="19">
        <f t="shared" ref="F61:G63" si="14">+B61+D61</f>
        <v>565.29999999999995</v>
      </c>
      <c r="G61" s="19">
        <f t="shared" si="14"/>
        <v>672.40000000000009</v>
      </c>
      <c r="H61" s="24">
        <f t="shared" si="13"/>
        <v>-15.928019036287944</v>
      </c>
    </row>
    <row r="62" spans="1:9" x14ac:dyDescent="0.25">
      <c r="A62" s="10">
        <f t="shared" si="2"/>
        <v>39268</v>
      </c>
      <c r="B62">
        <v>477.9</v>
      </c>
      <c r="C62">
        <v>571.6</v>
      </c>
      <c r="D62">
        <v>87.4</v>
      </c>
      <c r="E62">
        <v>151.80000000000001</v>
      </c>
      <c r="F62" s="19">
        <f t="shared" si="14"/>
        <v>565.29999999999995</v>
      </c>
      <c r="G62" s="19">
        <f t="shared" si="14"/>
        <v>723.40000000000009</v>
      </c>
      <c r="H62" s="24">
        <f t="shared" si="13"/>
        <v>-21.855128559579772</v>
      </c>
    </row>
    <row r="63" spans="1:9" x14ac:dyDescent="0.25">
      <c r="A63" s="10">
        <f t="shared" si="2"/>
        <v>39275</v>
      </c>
      <c r="B63">
        <v>535</v>
      </c>
      <c r="C63">
        <v>606.1</v>
      </c>
      <c r="D63">
        <v>88.3</v>
      </c>
      <c r="E63">
        <v>197.3</v>
      </c>
      <c r="F63" s="19">
        <f t="shared" si="14"/>
        <v>623.29999999999995</v>
      </c>
      <c r="G63" s="19">
        <f t="shared" si="14"/>
        <v>803.40000000000009</v>
      </c>
      <c r="H63" s="24">
        <f t="shared" si="13"/>
        <v>-22.417226786158839</v>
      </c>
    </row>
    <row r="64" spans="1:9" x14ac:dyDescent="0.25">
      <c r="A64" s="10">
        <f t="shared" si="2"/>
        <v>39282</v>
      </c>
      <c r="B64">
        <v>518.1</v>
      </c>
      <c r="C64">
        <v>588.1</v>
      </c>
      <c r="D64">
        <v>106.8</v>
      </c>
      <c r="E64">
        <v>241</v>
      </c>
      <c r="F64" s="19">
        <f t="shared" ref="F64:G66" si="15">+B64+D64</f>
        <v>624.9</v>
      </c>
      <c r="G64" s="19">
        <f t="shared" si="15"/>
        <v>829.1</v>
      </c>
      <c r="H64" s="24">
        <f t="shared" ref="H64:H69" si="16">+(F64/G64-1)*100</f>
        <v>-24.629115908816789</v>
      </c>
    </row>
    <row r="65" spans="1:9" x14ac:dyDescent="0.25">
      <c r="A65" s="10">
        <f t="shared" si="2"/>
        <v>39289</v>
      </c>
      <c r="B65">
        <v>758.4</v>
      </c>
      <c r="C65">
        <v>609.9</v>
      </c>
      <c r="D65">
        <v>107.5</v>
      </c>
      <c r="E65">
        <v>241</v>
      </c>
      <c r="F65" s="19">
        <f t="shared" si="15"/>
        <v>865.9</v>
      </c>
      <c r="G65" s="19">
        <f t="shared" si="15"/>
        <v>850.9</v>
      </c>
      <c r="H65" s="24">
        <f t="shared" si="16"/>
        <v>1.7628393465742187</v>
      </c>
    </row>
    <row r="66" spans="1:9" x14ac:dyDescent="0.25">
      <c r="A66" s="10">
        <f t="shared" si="2"/>
        <v>39296</v>
      </c>
      <c r="B66">
        <v>708</v>
      </c>
      <c r="C66">
        <v>609.5</v>
      </c>
      <c r="D66">
        <v>159.69999999999999</v>
      </c>
      <c r="E66">
        <v>291.2</v>
      </c>
      <c r="F66" s="19">
        <f t="shared" si="15"/>
        <v>867.7</v>
      </c>
      <c r="G66" s="19">
        <f t="shared" si="15"/>
        <v>900.7</v>
      </c>
      <c r="H66" s="24">
        <f t="shared" si="16"/>
        <v>-3.6638170311979579</v>
      </c>
    </row>
    <row r="67" spans="1:9" x14ac:dyDescent="0.25">
      <c r="A67" s="10">
        <f t="shared" si="2"/>
        <v>39303</v>
      </c>
      <c r="B67">
        <v>751.5</v>
      </c>
      <c r="C67">
        <v>567.4</v>
      </c>
      <c r="D67">
        <v>213.1</v>
      </c>
      <c r="E67">
        <v>332.3</v>
      </c>
      <c r="F67" s="19">
        <f t="shared" ref="F67:G69" si="17">+B67+D67</f>
        <v>964.6</v>
      </c>
      <c r="G67" s="19">
        <f t="shared" si="17"/>
        <v>899.7</v>
      </c>
      <c r="H67" s="24">
        <f t="shared" si="16"/>
        <v>7.213515616316557</v>
      </c>
    </row>
    <row r="68" spans="1:9" x14ac:dyDescent="0.25">
      <c r="A68" s="10">
        <f t="shared" si="2"/>
        <v>39310</v>
      </c>
      <c r="B68">
        <v>708.2</v>
      </c>
      <c r="C68">
        <v>571.79999999999995</v>
      </c>
      <c r="D68">
        <v>258.7</v>
      </c>
      <c r="E68">
        <v>377.8</v>
      </c>
      <c r="F68" s="19">
        <f t="shared" si="17"/>
        <v>966.90000000000009</v>
      </c>
      <c r="G68" s="19">
        <f t="shared" si="17"/>
        <v>949.59999999999991</v>
      </c>
      <c r="H68" s="24">
        <f t="shared" si="16"/>
        <v>1.8218197135636327</v>
      </c>
    </row>
    <row r="69" spans="1:9" x14ac:dyDescent="0.25">
      <c r="A69" s="10">
        <f t="shared" si="2"/>
        <v>39317</v>
      </c>
      <c r="B69">
        <v>692.8</v>
      </c>
      <c r="C69">
        <v>507.1</v>
      </c>
      <c r="D69">
        <v>281</v>
      </c>
      <c r="E69">
        <v>450.6</v>
      </c>
      <c r="F69" s="19">
        <f t="shared" si="17"/>
        <v>973.8</v>
      </c>
      <c r="G69" s="19">
        <f t="shared" si="17"/>
        <v>957.7</v>
      </c>
      <c r="H69" s="24">
        <f t="shared" si="16"/>
        <v>1.6811109950924052</v>
      </c>
    </row>
    <row r="70" spans="1:9" x14ac:dyDescent="0.25">
      <c r="A70" s="10">
        <f t="shared" si="2"/>
        <v>39324</v>
      </c>
      <c r="B70">
        <v>774.6</v>
      </c>
      <c r="C70">
        <v>495.2</v>
      </c>
      <c r="D70">
        <v>328.3</v>
      </c>
      <c r="E70">
        <v>499.1</v>
      </c>
      <c r="F70" s="19">
        <f t="shared" ref="F70:G72" si="18">+B70+D70</f>
        <v>1102.9000000000001</v>
      </c>
      <c r="G70" s="19">
        <f t="shared" si="18"/>
        <v>994.3</v>
      </c>
      <c r="H70" s="24">
        <f t="shared" ref="H70:H75" si="19">+(F70/G70-1)*100</f>
        <v>10.922256864125535</v>
      </c>
    </row>
    <row r="71" spans="1:9" x14ac:dyDescent="0.25">
      <c r="A71" s="10">
        <f t="shared" si="2"/>
        <v>39331</v>
      </c>
      <c r="B71">
        <v>729.3</v>
      </c>
      <c r="C71">
        <v>495.2</v>
      </c>
      <c r="D71">
        <v>370.4</v>
      </c>
      <c r="E71">
        <v>499.1</v>
      </c>
      <c r="F71" s="19">
        <f t="shared" si="18"/>
        <v>1099.6999999999998</v>
      </c>
      <c r="G71" s="19">
        <f t="shared" si="18"/>
        <v>994.3</v>
      </c>
      <c r="H71" s="24">
        <f t="shared" si="19"/>
        <v>10.600422407724007</v>
      </c>
    </row>
    <row r="72" spans="1:9" x14ac:dyDescent="0.25">
      <c r="A72" s="10">
        <f t="shared" si="2"/>
        <v>39338</v>
      </c>
      <c r="B72">
        <v>779.3</v>
      </c>
      <c r="C72">
        <v>485.4</v>
      </c>
      <c r="D72">
        <v>370.4</v>
      </c>
      <c r="E72">
        <v>535.20000000000005</v>
      </c>
      <c r="F72" s="19">
        <f t="shared" si="18"/>
        <v>1149.6999999999998</v>
      </c>
      <c r="G72" s="19">
        <f t="shared" si="18"/>
        <v>1020.6</v>
      </c>
      <c r="H72" s="24">
        <f t="shared" si="19"/>
        <v>12.649421908681147</v>
      </c>
    </row>
    <row r="73" spans="1:9" x14ac:dyDescent="0.25">
      <c r="A73" s="10">
        <f t="shared" si="2"/>
        <v>39345</v>
      </c>
      <c r="B73">
        <v>727.3</v>
      </c>
      <c r="C73">
        <v>499.4</v>
      </c>
      <c r="D73">
        <v>418.7</v>
      </c>
      <c r="E73">
        <v>535.20000000000005</v>
      </c>
      <c r="F73" s="19">
        <f t="shared" ref="F73:G75" si="20">+B73+D73</f>
        <v>1146</v>
      </c>
      <c r="G73" s="19">
        <f t="shared" si="20"/>
        <v>1034.5999999999999</v>
      </c>
      <c r="H73" s="24">
        <f t="shared" si="19"/>
        <v>10.767446356079645</v>
      </c>
    </row>
    <row r="74" spans="1:9" x14ac:dyDescent="0.25">
      <c r="A74" s="10">
        <f t="shared" si="2"/>
        <v>39352</v>
      </c>
      <c r="B74">
        <v>727.3</v>
      </c>
      <c r="C74">
        <v>499.4</v>
      </c>
      <c r="D74">
        <v>418.7</v>
      </c>
      <c r="E74">
        <v>535.20000000000005</v>
      </c>
      <c r="F74" s="19">
        <f t="shared" si="20"/>
        <v>1146</v>
      </c>
      <c r="G74" s="19">
        <f t="shared" si="20"/>
        <v>1034.5999999999999</v>
      </c>
      <c r="H74" s="24">
        <f t="shared" si="19"/>
        <v>10.767446356079645</v>
      </c>
    </row>
    <row r="75" spans="1:9" x14ac:dyDescent="0.25">
      <c r="A75" s="10">
        <f t="shared" si="2"/>
        <v>39359</v>
      </c>
      <c r="B75">
        <v>724.3</v>
      </c>
      <c r="C75">
        <v>463.4</v>
      </c>
      <c r="D75">
        <v>438.5</v>
      </c>
      <c r="E75">
        <v>623.5</v>
      </c>
      <c r="F75" s="19">
        <f t="shared" si="20"/>
        <v>1162.8</v>
      </c>
      <c r="G75" s="19">
        <f t="shared" si="20"/>
        <v>1086.9000000000001</v>
      </c>
      <c r="H75" s="24">
        <f t="shared" si="19"/>
        <v>6.983163124482461</v>
      </c>
    </row>
    <row r="76" spans="1:9" x14ac:dyDescent="0.25">
      <c r="A76" s="10">
        <f t="shared" si="2"/>
        <v>39366</v>
      </c>
      <c r="B76">
        <v>950.8</v>
      </c>
      <c r="C76">
        <v>410.9</v>
      </c>
      <c r="D76">
        <v>438.5</v>
      </c>
      <c r="E76">
        <v>716.3</v>
      </c>
      <c r="F76" s="19">
        <f t="shared" ref="F76:G78" si="21">+B76+D76</f>
        <v>1389.3</v>
      </c>
      <c r="G76" s="19">
        <f t="shared" si="21"/>
        <v>1127.1999999999998</v>
      </c>
      <c r="H76" s="24">
        <f t="shared" ref="H76:H81" si="22">+(F76/G76-1)*100</f>
        <v>23.252306600425854</v>
      </c>
    </row>
    <row r="77" spans="1:9" x14ac:dyDescent="0.25">
      <c r="A77" s="10">
        <f t="shared" si="2"/>
        <v>39373</v>
      </c>
      <c r="B77">
        <v>1049.8</v>
      </c>
      <c r="C77">
        <v>418.4</v>
      </c>
      <c r="D77">
        <v>438.5</v>
      </c>
      <c r="E77">
        <v>756.9</v>
      </c>
      <c r="F77" s="19">
        <f t="shared" si="21"/>
        <v>1488.3</v>
      </c>
      <c r="G77" s="19">
        <f t="shared" si="21"/>
        <v>1175.3</v>
      </c>
      <c r="H77" s="24">
        <f t="shared" si="22"/>
        <v>26.631498340849149</v>
      </c>
    </row>
    <row r="78" spans="1:9" x14ac:dyDescent="0.25">
      <c r="A78" s="10">
        <f t="shared" si="2"/>
        <v>39380</v>
      </c>
      <c r="B78">
        <v>1004.8</v>
      </c>
      <c r="C78">
        <v>523.4</v>
      </c>
      <c r="D78">
        <v>482.2</v>
      </c>
      <c r="E78">
        <v>773.7</v>
      </c>
      <c r="F78" s="19">
        <f t="shared" si="21"/>
        <v>1487</v>
      </c>
      <c r="G78" s="19">
        <f t="shared" si="21"/>
        <v>1297.0999999999999</v>
      </c>
      <c r="H78" s="24">
        <f t="shared" si="22"/>
        <v>14.640351553465436</v>
      </c>
      <c r="I78">
        <v>79.5</v>
      </c>
    </row>
    <row r="79" spans="1:9" x14ac:dyDescent="0.25">
      <c r="A79" s="10">
        <f t="shared" si="2"/>
        <v>39387</v>
      </c>
      <c r="B79">
        <v>959.8</v>
      </c>
      <c r="C79">
        <v>530.9</v>
      </c>
      <c r="D79">
        <v>572.9</v>
      </c>
      <c r="E79">
        <v>773.7</v>
      </c>
      <c r="F79" s="19">
        <f t="shared" ref="F79:G81" si="23">+B79+D79</f>
        <v>1532.6999999999998</v>
      </c>
      <c r="G79" s="19">
        <f t="shared" si="23"/>
        <v>1304.5999999999999</v>
      </c>
      <c r="H79" s="24">
        <f t="shared" si="22"/>
        <v>17.48428637130155</v>
      </c>
    </row>
    <row r="80" spans="1:9" x14ac:dyDescent="0.25">
      <c r="A80" s="10">
        <f t="shared" si="2"/>
        <v>39394</v>
      </c>
      <c r="B80">
        <v>940.8</v>
      </c>
      <c r="C80">
        <v>488.1</v>
      </c>
      <c r="D80">
        <v>592.29999999999995</v>
      </c>
      <c r="E80">
        <v>819.2</v>
      </c>
      <c r="F80" s="19">
        <f t="shared" si="23"/>
        <v>1533.1</v>
      </c>
      <c r="G80" s="19">
        <f t="shared" si="23"/>
        <v>1307.3000000000002</v>
      </c>
      <c r="H80" s="24">
        <f t="shared" si="22"/>
        <v>17.272240495678084</v>
      </c>
    </row>
    <row r="81" spans="1:9" x14ac:dyDescent="0.25">
      <c r="A81" s="10">
        <f t="shared" si="2"/>
        <v>39401</v>
      </c>
      <c r="B81">
        <v>949.5</v>
      </c>
      <c r="C81">
        <v>474.6</v>
      </c>
      <c r="D81">
        <v>635.79999999999995</v>
      </c>
      <c r="E81">
        <v>856</v>
      </c>
      <c r="F81" s="19">
        <f t="shared" si="23"/>
        <v>1585.3</v>
      </c>
      <c r="G81" s="19">
        <f t="shared" si="23"/>
        <v>1330.6</v>
      </c>
      <c r="H81" s="24">
        <f t="shared" si="22"/>
        <v>19.141740568164735</v>
      </c>
    </row>
    <row r="82" spans="1:9" x14ac:dyDescent="0.25">
      <c r="A82" s="10">
        <f t="shared" si="2"/>
        <v>39408</v>
      </c>
      <c r="B82">
        <v>951.5</v>
      </c>
      <c r="C82">
        <v>524.6</v>
      </c>
      <c r="D82">
        <v>635.79999999999995</v>
      </c>
      <c r="E82">
        <v>856</v>
      </c>
      <c r="F82" s="19">
        <f t="shared" ref="F82:G84" si="24">+B82+D82</f>
        <v>1587.3</v>
      </c>
      <c r="G82" s="19">
        <f t="shared" si="24"/>
        <v>1380.6</v>
      </c>
      <c r="H82" s="24">
        <f t="shared" ref="H82:H87" si="25">+(F82/G82-1)*100</f>
        <v>14.971751412429391</v>
      </c>
    </row>
    <row r="83" spans="1:9" x14ac:dyDescent="0.25">
      <c r="A83" s="10">
        <f t="shared" si="2"/>
        <v>39415</v>
      </c>
      <c r="B83">
        <v>959.5</v>
      </c>
      <c r="C83">
        <v>498.2</v>
      </c>
      <c r="D83">
        <v>637.29999999999995</v>
      </c>
      <c r="E83">
        <v>905.8</v>
      </c>
      <c r="F83" s="19">
        <f t="shared" si="24"/>
        <v>1596.8</v>
      </c>
      <c r="G83" s="19">
        <f t="shared" si="24"/>
        <v>1404</v>
      </c>
      <c r="H83" s="24">
        <f t="shared" si="25"/>
        <v>13.732193732193721</v>
      </c>
    </row>
    <row r="84" spans="1:9" x14ac:dyDescent="0.25">
      <c r="A84" s="10">
        <f t="shared" si="2"/>
        <v>39422</v>
      </c>
      <c r="B84">
        <v>914.1</v>
      </c>
      <c r="C84">
        <v>481.2</v>
      </c>
      <c r="D84">
        <v>688.6</v>
      </c>
      <c r="E84">
        <v>929.3</v>
      </c>
      <c r="F84" s="19">
        <f t="shared" si="24"/>
        <v>1602.7</v>
      </c>
      <c r="G84" s="19">
        <f t="shared" si="24"/>
        <v>1410.5</v>
      </c>
      <c r="H84" s="24">
        <f t="shared" si="25"/>
        <v>13.626373626373622</v>
      </c>
    </row>
    <row r="85" spans="1:9" x14ac:dyDescent="0.25">
      <c r="A85" s="10">
        <f t="shared" si="2"/>
        <v>39429</v>
      </c>
      <c r="B85">
        <v>850.3</v>
      </c>
      <c r="C85">
        <v>473.7</v>
      </c>
      <c r="D85">
        <v>758.2</v>
      </c>
      <c r="E85">
        <v>935.6</v>
      </c>
      <c r="F85" s="19">
        <f t="shared" ref="F85:G87" si="26">+B85+D85</f>
        <v>1608.5</v>
      </c>
      <c r="G85" s="19">
        <f t="shared" si="26"/>
        <v>1409.3</v>
      </c>
      <c r="H85" s="24">
        <f t="shared" si="25"/>
        <v>14.134676789895707</v>
      </c>
    </row>
    <row r="86" spans="1:9" x14ac:dyDescent="0.25">
      <c r="A86" s="10">
        <f t="shared" si="2"/>
        <v>39436</v>
      </c>
      <c r="B86">
        <v>850.3</v>
      </c>
      <c r="C86">
        <v>449.7</v>
      </c>
      <c r="D86">
        <v>758.2</v>
      </c>
      <c r="E86">
        <v>960.8</v>
      </c>
      <c r="F86" s="19">
        <f t="shared" si="26"/>
        <v>1608.5</v>
      </c>
      <c r="G86" s="19">
        <f t="shared" si="26"/>
        <v>1410.5</v>
      </c>
      <c r="H86" s="24">
        <f t="shared" si="25"/>
        <v>14.037575327897912</v>
      </c>
    </row>
    <row r="87" spans="1:9" x14ac:dyDescent="0.25">
      <c r="A87" s="10">
        <f t="shared" si="2"/>
        <v>39443</v>
      </c>
      <c r="B87">
        <v>869</v>
      </c>
      <c r="C87">
        <v>396.3</v>
      </c>
      <c r="D87">
        <v>759.5</v>
      </c>
      <c r="E87">
        <v>1015</v>
      </c>
      <c r="F87" s="19">
        <f t="shared" si="26"/>
        <v>1628.5</v>
      </c>
      <c r="G87" s="19">
        <f t="shared" si="26"/>
        <v>1411.3</v>
      </c>
      <c r="H87" s="24">
        <f t="shared" si="25"/>
        <v>15.390065896691008</v>
      </c>
    </row>
    <row r="88" spans="1:9" x14ac:dyDescent="0.25">
      <c r="A88" s="10">
        <f t="shared" si="2"/>
        <v>39450</v>
      </c>
      <c r="B88">
        <v>852</v>
      </c>
      <c r="C88">
        <v>325</v>
      </c>
      <c r="D88">
        <v>777.9</v>
      </c>
      <c r="E88">
        <v>1088.3</v>
      </c>
      <c r="F88" s="19">
        <f t="shared" ref="F88:G90" si="27">+B88+D88</f>
        <v>1629.9</v>
      </c>
      <c r="G88" s="19">
        <f t="shared" si="27"/>
        <v>1413.3</v>
      </c>
      <c r="H88" s="24">
        <f t="shared" ref="H88:H93" si="28">+(F88/G88-1)*100</f>
        <v>15.325833156442382</v>
      </c>
      <c r="I88">
        <v>169</v>
      </c>
    </row>
    <row r="89" spans="1:9" x14ac:dyDescent="0.25">
      <c r="A89" s="10">
        <f t="shared" si="2"/>
        <v>39457</v>
      </c>
      <c r="B89">
        <v>800.7</v>
      </c>
      <c r="C89">
        <v>400.7</v>
      </c>
      <c r="D89">
        <v>829.3</v>
      </c>
      <c r="E89">
        <v>1088.5999999999999</v>
      </c>
      <c r="F89" s="19">
        <f t="shared" si="27"/>
        <v>1630</v>
      </c>
      <c r="G89" s="19">
        <f t="shared" si="27"/>
        <v>1489.3</v>
      </c>
      <c r="H89" s="24">
        <f t="shared" si="28"/>
        <v>9.4473913919290951</v>
      </c>
    </row>
    <row r="90" spans="1:9" x14ac:dyDescent="0.25">
      <c r="A90" s="10">
        <f t="shared" si="2"/>
        <v>39464</v>
      </c>
      <c r="B90">
        <v>780.7</v>
      </c>
      <c r="C90">
        <v>369.7</v>
      </c>
      <c r="D90">
        <v>849.5</v>
      </c>
      <c r="E90">
        <v>1120.0999999999999</v>
      </c>
      <c r="F90" s="19">
        <f t="shared" si="27"/>
        <v>1630.2</v>
      </c>
      <c r="G90" s="19">
        <f t="shared" si="27"/>
        <v>1489.8</v>
      </c>
      <c r="H90" s="24">
        <f t="shared" si="28"/>
        <v>9.4240837696335067</v>
      </c>
    </row>
    <row r="91" spans="1:9" x14ac:dyDescent="0.25">
      <c r="A91" s="10">
        <f t="shared" si="2"/>
        <v>39471</v>
      </c>
      <c r="B91">
        <v>767.3</v>
      </c>
      <c r="C91">
        <v>325.2</v>
      </c>
      <c r="D91">
        <v>915</v>
      </c>
      <c r="E91">
        <v>1168.0999999999999</v>
      </c>
      <c r="F91" s="19">
        <f t="shared" ref="F91:G93" si="29">+B91+D91</f>
        <v>1682.3</v>
      </c>
      <c r="G91" s="19">
        <f t="shared" si="29"/>
        <v>1493.3</v>
      </c>
      <c r="H91" s="24">
        <f t="shared" si="28"/>
        <v>12.656532511886432</v>
      </c>
      <c r="I91">
        <v>374</v>
      </c>
    </row>
    <row r="92" spans="1:9" x14ac:dyDescent="0.25">
      <c r="A92" s="10">
        <f t="shared" si="2"/>
        <v>39478</v>
      </c>
      <c r="B92">
        <v>777</v>
      </c>
      <c r="C92">
        <v>267.2</v>
      </c>
      <c r="D92">
        <v>915</v>
      </c>
      <c r="E92">
        <v>1236.4000000000001</v>
      </c>
      <c r="F92" s="19">
        <f t="shared" si="29"/>
        <v>1692</v>
      </c>
      <c r="G92" s="19">
        <f t="shared" si="29"/>
        <v>1503.6000000000001</v>
      </c>
      <c r="H92" s="24">
        <f t="shared" si="28"/>
        <v>12.529928172386274</v>
      </c>
      <c r="I92">
        <v>434.1</v>
      </c>
    </row>
    <row r="93" spans="1:9" x14ac:dyDescent="0.25">
      <c r="A93" s="10">
        <f t="shared" si="2"/>
        <v>39485</v>
      </c>
      <c r="B93">
        <v>683.2</v>
      </c>
      <c r="C93">
        <v>338</v>
      </c>
      <c r="D93">
        <v>987.3</v>
      </c>
      <c r="E93">
        <v>1237</v>
      </c>
      <c r="F93" s="19">
        <f t="shared" si="29"/>
        <v>1670.5</v>
      </c>
      <c r="G93" s="19">
        <f t="shared" si="29"/>
        <v>1575</v>
      </c>
      <c r="H93" s="24">
        <f t="shared" si="28"/>
        <v>6.0634920634920597</v>
      </c>
      <c r="I93">
        <v>475.9</v>
      </c>
    </row>
    <row r="94" spans="1:9" x14ac:dyDescent="0.25">
      <c r="A94" s="10">
        <f t="shared" si="2"/>
        <v>39492</v>
      </c>
      <c r="B94">
        <v>628</v>
      </c>
      <c r="C94">
        <v>362.7</v>
      </c>
      <c r="D94">
        <v>1042.5999999999999</v>
      </c>
      <c r="E94">
        <v>1237.7</v>
      </c>
      <c r="F94" s="19">
        <f t="shared" ref="F94:G98" si="30">+B94+D94</f>
        <v>1670.6</v>
      </c>
      <c r="G94" s="19">
        <f t="shared" si="30"/>
        <v>1600.4</v>
      </c>
      <c r="H94" s="24">
        <f t="shared" ref="H94:H99" si="31">+(F94/G94-1)*100</f>
        <v>4.3864033991501961</v>
      </c>
      <c r="I94">
        <v>468.9</v>
      </c>
    </row>
    <row r="95" spans="1:9" x14ac:dyDescent="0.25">
      <c r="A95" s="10">
        <f t="shared" si="2"/>
        <v>39499</v>
      </c>
      <c r="B95">
        <v>628</v>
      </c>
      <c r="C95">
        <v>305.89999999999998</v>
      </c>
      <c r="D95">
        <v>1042.5999999999999</v>
      </c>
      <c r="E95">
        <v>1293.0999999999999</v>
      </c>
      <c r="F95" s="19">
        <f t="shared" si="30"/>
        <v>1670.6</v>
      </c>
      <c r="G95" s="19">
        <f t="shared" si="30"/>
        <v>1599</v>
      </c>
      <c r="H95" s="24">
        <f t="shared" si="31"/>
        <v>4.4777986241400836</v>
      </c>
      <c r="I95">
        <v>468.9</v>
      </c>
    </row>
    <row r="96" spans="1:9" x14ac:dyDescent="0.25">
      <c r="A96" s="10">
        <f t="shared" si="2"/>
        <v>39506</v>
      </c>
      <c r="B96">
        <v>628</v>
      </c>
      <c r="C96">
        <v>285.8</v>
      </c>
      <c r="D96">
        <v>1042.5999999999999</v>
      </c>
      <c r="E96">
        <v>1329.3</v>
      </c>
      <c r="F96" s="19">
        <f t="shared" si="30"/>
        <v>1670.6</v>
      </c>
      <c r="G96" s="19">
        <f t="shared" si="30"/>
        <v>1615.1</v>
      </c>
      <c r="H96" s="24">
        <f t="shared" si="31"/>
        <v>3.4363197325242956</v>
      </c>
      <c r="I96">
        <v>468.9</v>
      </c>
    </row>
    <row r="97" spans="1:9" x14ac:dyDescent="0.25">
      <c r="A97" s="10">
        <f t="shared" si="2"/>
        <v>39513</v>
      </c>
      <c r="B97">
        <v>563.6</v>
      </c>
      <c r="C97">
        <v>210.2</v>
      </c>
      <c r="D97">
        <v>1106.8</v>
      </c>
      <c r="E97">
        <v>1406.6</v>
      </c>
      <c r="F97" s="19">
        <f t="shared" si="30"/>
        <v>1670.4</v>
      </c>
      <c r="G97" s="19">
        <f t="shared" si="30"/>
        <v>1616.8</v>
      </c>
      <c r="H97" s="24">
        <f t="shared" si="31"/>
        <v>3.3151904997525961</v>
      </c>
      <c r="I97" s="24">
        <v>515.1</v>
      </c>
    </row>
    <row r="98" spans="1:9" x14ac:dyDescent="0.25">
      <c r="A98" s="10">
        <f t="shared" si="2"/>
        <v>39520</v>
      </c>
      <c r="B98">
        <v>538.6</v>
      </c>
      <c r="C98">
        <v>280.2</v>
      </c>
      <c r="D98">
        <v>1132</v>
      </c>
      <c r="E98">
        <v>1406.8</v>
      </c>
      <c r="F98" s="19">
        <f t="shared" si="30"/>
        <v>1670.6</v>
      </c>
      <c r="G98" s="19">
        <f t="shared" si="30"/>
        <v>1687</v>
      </c>
      <c r="H98" s="24">
        <f t="shared" si="31"/>
        <v>-0.97213989330172668</v>
      </c>
      <c r="I98" s="24">
        <v>594.29999999999995</v>
      </c>
    </row>
    <row r="99" spans="1:9" x14ac:dyDescent="0.25">
      <c r="A99" s="10">
        <f t="shared" si="2"/>
        <v>39527</v>
      </c>
      <c r="B99">
        <v>493.6</v>
      </c>
      <c r="C99">
        <v>323.7</v>
      </c>
      <c r="D99">
        <v>1177</v>
      </c>
      <c r="E99">
        <v>1408.1</v>
      </c>
      <c r="F99" s="19">
        <f t="shared" ref="F99:G101" si="32">+B99+D99</f>
        <v>1670.6</v>
      </c>
      <c r="G99" s="19">
        <f t="shared" si="32"/>
        <v>1731.8</v>
      </c>
      <c r="H99" s="24">
        <f t="shared" si="31"/>
        <v>-3.5338953689802555</v>
      </c>
      <c r="I99" s="24">
        <v>594.29999999999995</v>
      </c>
    </row>
    <row r="100" spans="1:9" x14ac:dyDescent="0.25">
      <c r="A100" s="10">
        <f t="shared" si="2"/>
        <v>39534</v>
      </c>
      <c r="B100">
        <v>413.8</v>
      </c>
      <c r="C100">
        <v>301</v>
      </c>
      <c r="D100">
        <v>1272</v>
      </c>
      <c r="E100">
        <v>1433.6</v>
      </c>
      <c r="F100" s="19">
        <f t="shared" si="32"/>
        <v>1685.8</v>
      </c>
      <c r="G100" s="19">
        <f t="shared" si="32"/>
        <v>1734.6</v>
      </c>
      <c r="H100" s="24">
        <f t="shared" ref="H100:H105" si="33">+(F100/G100-1)*100</f>
        <v>-2.8133287213190306</v>
      </c>
      <c r="I100" s="24">
        <v>594.29999999999995</v>
      </c>
    </row>
    <row r="101" spans="1:9" x14ac:dyDescent="0.25">
      <c r="A101" s="10">
        <f t="shared" si="2"/>
        <v>39541</v>
      </c>
      <c r="B101">
        <v>354</v>
      </c>
      <c r="C101">
        <v>351.2</v>
      </c>
      <c r="D101">
        <v>1316.4</v>
      </c>
      <c r="E101">
        <v>1434.2</v>
      </c>
      <c r="F101" s="19">
        <f t="shared" si="32"/>
        <v>1670.4</v>
      </c>
      <c r="G101" s="19">
        <f t="shared" si="32"/>
        <v>1785.4</v>
      </c>
      <c r="H101" s="24">
        <f t="shared" si="33"/>
        <v>-6.4411336395205581</v>
      </c>
      <c r="I101" s="24">
        <v>624.29999999999995</v>
      </c>
    </row>
    <row r="102" spans="1:9" x14ac:dyDescent="0.25">
      <c r="A102" s="10">
        <f t="shared" si="2"/>
        <v>39548</v>
      </c>
      <c r="B102">
        <v>355.3</v>
      </c>
      <c r="C102">
        <v>224.9</v>
      </c>
      <c r="D102">
        <v>1316.7</v>
      </c>
      <c r="E102">
        <v>1560.9</v>
      </c>
      <c r="F102" s="19">
        <f t="shared" ref="F102:G104" si="34">+B102+D102</f>
        <v>1672</v>
      </c>
      <c r="G102" s="19">
        <f t="shared" si="34"/>
        <v>1785.8000000000002</v>
      </c>
      <c r="H102" s="24">
        <f t="shared" si="33"/>
        <v>-6.3724941202822354</v>
      </c>
      <c r="I102" s="24">
        <v>624.29999999999995</v>
      </c>
    </row>
    <row r="103" spans="1:9" x14ac:dyDescent="0.25">
      <c r="A103" s="10">
        <f t="shared" si="2"/>
        <v>39555</v>
      </c>
      <c r="B103">
        <v>309.5</v>
      </c>
      <c r="C103">
        <v>199.6</v>
      </c>
      <c r="D103">
        <v>1366.1</v>
      </c>
      <c r="E103">
        <v>1589.1</v>
      </c>
      <c r="F103" s="19">
        <f t="shared" si="34"/>
        <v>1675.6</v>
      </c>
      <c r="G103" s="19">
        <f t="shared" si="34"/>
        <v>1788.6999999999998</v>
      </c>
      <c r="H103" s="24">
        <f t="shared" si="33"/>
        <v>-6.3230278973556153</v>
      </c>
      <c r="I103" s="24">
        <v>624.29999999999995</v>
      </c>
    </row>
    <row r="104" spans="1:9" x14ac:dyDescent="0.25">
      <c r="A104" s="10">
        <f t="shared" si="2"/>
        <v>39562</v>
      </c>
      <c r="B104">
        <v>310.39999999999998</v>
      </c>
      <c r="C104">
        <v>180.6</v>
      </c>
      <c r="D104">
        <v>1366.4</v>
      </c>
      <c r="E104">
        <v>1609.8</v>
      </c>
      <c r="F104" s="19">
        <f t="shared" si="34"/>
        <v>1676.8000000000002</v>
      </c>
      <c r="G104" s="19">
        <f t="shared" si="34"/>
        <v>1790.3999999999999</v>
      </c>
      <c r="H104" s="24">
        <f t="shared" si="33"/>
        <v>-6.3449508489722746</v>
      </c>
      <c r="I104" s="24">
        <v>624.29999999999995</v>
      </c>
    </row>
    <row r="105" spans="1:9" x14ac:dyDescent="0.25">
      <c r="A105" s="10">
        <f t="shared" si="2"/>
        <v>39569</v>
      </c>
      <c r="B105">
        <v>314.60000000000002</v>
      </c>
      <c r="C105">
        <v>186.6</v>
      </c>
      <c r="D105">
        <v>1366.5</v>
      </c>
      <c r="E105">
        <v>1611.8</v>
      </c>
      <c r="F105" s="19">
        <f t="shared" ref="F105:G107" si="35">+B105+D105</f>
        <v>1681.1</v>
      </c>
      <c r="G105" s="19">
        <f t="shared" si="35"/>
        <v>1798.3999999999999</v>
      </c>
      <c r="H105" s="24">
        <f t="shared" si="33"/>
        <v>-6.5224644128113907</v>
      </c>
      <c r="I105" s="24">
        <v>625.29999999999995</v>
      </c>
    </row>
    <row r="106" spans="1:9" x14ac:dyDescent="0.25">
      <c r="A106" s="10">
        <f t="shared" si="2"/>
        <v>39576</v>
      </c>
      <c r="B106">
        <v>219.6</v>
      </c>
      <c r="C106">
        <v>143.1</v>
      </c>
      <c r="D106">
        <v>1456.2</v>
      </c>
      <c r="E106">
        <v>1657.4</v>
      </c>
      <c r="F106" s="19">
        <f t="shared" si="35"/>
        <v>1675.8</v>
      </c>
      <c r="G106" s="19">
        <f t="shared" si="35"/>
        <v>1800.5</v>
      </c>
      <c r="H106" s="24">
        <f t="shared" ref="H106:H111" si="36">+(F106/G106-1)*100</f>
        <v>-6.9258539294640435</v>
      </c>
      <c r="I106" s="24">
        <v>625.29999999999995</v>
      </c>
    </row>
    <row r="107" spans="1:9" x14ac:dyDescent="0.25">
      <c r="A107" s="10">
        <f t="shared" si="2"/>
        <v>39583</v>
      </c>
      <c r="B107">
        <v>220.1</v>
      </c>
      <c r="C107">
        <v>136.5</v>
      </c>
      <c r="D107">
        <v>1456.2</v>
      </c>
      <c r="E107">
        <v>1658.9</v>
      </c>
      <c r="F107" s="19">
        <f t="shared" si="35"/>
        <v>1676.3</v>
      </c>
      <c r="G107" s="19">
        <f t="shared" si="35"/>
        <v>1795.4</v>
      </c>
      <c r="H107" s="24">
        <f t="shared" si="36"/>
        <v>-6.6336192491923907</v>
      </c>
      <c r="I107" s="24">
        <v>625.29999999999995</v>
      </c>
    </row>
    <row r="108" spans="1:9" x14ac:dyDescent="0.25">
      <c r="A108" s="10">
        <f t="shared" si="2"/>
        <v>39590</v>
      </c>
      <c r="B108">
        <v>169.1</v>
      </c>
      <c r="C108">
        <v>27.4</v>
      </c>
      <c r="D108">
        <v>1503.1</v>
      </c>
      <c r="E108">
        <v>1739.2</v>
      </c>
      <c r="F108" s="19">
        <f t="shared" ref="F108:G110" si="37">+B108+D108</f>
        <v>1672.1999999999998</v>
      </c>
      <c r="G108" s="19">
        <f t="shared" si="37"/>
        <v>1766.6000000000001</v>
      </c>
      <c r="H108" s="24">
        <f t="shared" si="36"/>
        <v>-5.3435978716178116</v>
      </c>
      <c r="I108" s="24">
        <v>634.1</v>
      </c>
    </row>
    <row r="109" spans="1:9" x14ac:dyDescent="0.25">
      <c r="A109" s="10">
        <f t="shared" si="2"/>
        <v>39597</v>
      </c>
      <c r="B109">
        <v>134.6</v>
      </c>
      <c r="C109">
        <v>27.3</v>
      </c>
      <c r="D109">
        <v>1538</v>
      </c>
      <c r="E109">
        <v>1739.2</v>
      </c>
      <c r="F109" s="19">
        <f t="shared" si="37"/>
        <v>1672.6</v>
      </c>
      <c r="G109" s="19">
        <f t="shared" si="37"/>
        <v>1766.5</v>
      </c>
      <c r="H109" s="24">
        <f t="shared" si="36"/>
        <v>-5.3155958109255668</v>
      </c>
      <c r="I109" s="24">
        <v>638.1</v>
      </c>
    </row>
    <row r="110" spans="1:9" x14ac:dyDescent="0.25">
      <c r="A110" s="10">
        <f t="shared" si="2"/>
        <v>39604</v>
      </c>
      <c r="B110">
        <v>774.6</v>
      </c>
      <c r="C110">
        <v>527.79999999999995</v>
      </c>
      <c r="D110">
        <v>0.1</v>
      </c>
      <c r="E110">
        <v>0.7</v>
      </c>
      <c r="F110" s="19">
        <f t="shared" si="37"/>
        <v>774.7</v>
      </c>
      <c r="G110" s="19">
        <f t="shared" si="37"/>
        <v>528.5</v>
      </c>
      <c r="H110" s="24">
        <f t="shared" si="36"/>
        <v>46.584673604541173</v>
      </c>
      <c r="I110" s="24"/>
    </row>
    <row r="111" spans="1:9" x14ac:dyDescent="0.25">
      <c r="A111" s="10">
        <f t="shared" si="2"/>
        <v>39611</v>
      </c>
      <c r="B111">
        <v>774.6</v>
      </c>
      <c r="C111">
        <v>527.79999999999995</v>
      </c>
      <c r="D111">
        <v>0.1</v>
      </c>
      <c r="E111">
        <v>0.7</v>
      </c>
      <c r="F111" s="19">
        <f t="shared" ref="F111:G113" si="38">+B111+D111</f>
        <v>774.7</v>
      </c>
      <c r="G111" s="19">
        <f t="shared" si="38"/>
        <v>528.5</v>
      </c>
      <c r="H111" s="24">
        <f t="shared" si="36"/>
        <v>46.584673604541173</v>
      </c>
    </row>
    <row r="112" spans="1:9" x14ac:dyDescent="0.25">
      <c r="A112" s="10">
        <f t="shared" si="2"/>
        <v>39618</v>
      </c>
      <c r="B112">
        <v>677.7</v>
      </c>
      <c r="C112">
        <v>540.5</v>
      </c>
      <c r="D112">
        <v>84.9</v>
      </c>
      <c r="E112">
        <v>19.8</v>
      </c>
      <c r="F112" s="19">
        <f t="shared" si="38"/>
        <v>762.6</v>
      </c>
      <c r="G112" s="19">
        <f t="shared" si="38"/>
        <v>560.29999999999995</v>
      </c>
      <c r="H112" s="24">
        <f t="shared" ref="H112:H117" si="39">+(F112/G112-1)*100</f>
        <v>36.105657683383917</v>
      </c>
    </row>
    <row r="113" spans="1:8" x14ac:dyDescent="0.25">
      <c r="A113" s="10">
        <f t="shared" si="2"/>
        <v>39625</v>
      </c>
      <c r="B113">
        <v>674.7</v>
      </c>
      <c r="C113">
        <v>478.5</v>
      </c>
      <c r="D113">
        <v>86.4</v>
      </c>
      <c r="E113">
        <v>86.8</v>
      </c>
      <c r="F113" s="19">
        <f t="shared" si="38"/>
        <v>761.1</v>
      </c>
      <c r="G113" s="19">
        <f t="shared" si="38"/>
        <v>565.29999999999995</v>
      </c>
      <c r="H113" s="24">
        <f t="shared" si="39"/>
        <v>34.636476207323554</v>
      </c>
    </row>
    <row r="114" spans="1:8" x14ac:dyDescent="0.25">
      <c r="A114" s="10">
        <f t="shared" si="2"/>
        <v>39632</v>
      </c>
      <c r="B114">
        <v>679.6</v>
      </c>
      <c r="C114">
        <v>477.9</v>
      </c>
      <c r="D114">
        <v>131</v>
      </c>
      <c r="E114">
        <v>87.4</v>
      </c>
      <c r="F114" s="19">
        <f t="shared" ref="F114:G116" si="40">+B114+D114</f>
        <v>810.6</v>
      </c>
      <c r="G114" s="19">
        <f t="shared" si="40"/>
        <v>565.29999999999995</v>
      </c>
      <c r="H114" s="24">
        <f t="shared" si="39"/>
        <v>43.392888731646927</v>
      </c>
    </row>
    <row r="115" spans="1:8" x14ac:dyDescent="0.25">
      <c r="A115" s="10">
        <f t="shared" si="2"/>
        <v>39639</v>
      </c>
      <c r="B115">
        <v>639.1</v>
      </c>
      <c r="C115">
        <v>535</v>
      </c>
      <c r="D115">
        <v>182.7</v>
      </c>
      <c r="E115">
        <v>88.3</v>
      </c>
      <c r="F115" s="19">
        <f t="shared" si="40"/>
        <v>821.8</v>
      </c>
      <c r="G115" s="19">
        <f t="shared" si="40"/>
        <v>623.29999999999995</v>
      </c>
      <c r="H115" s="24">
        <f t="shared" si="39"/>
        <v>31.846622814054236</v>
      </c>
    </row>
    <row r="116" spans="1:8" x14ac:dyDescent="0.25">
      <c r="A116" s="10">
        <f t="shared" si="2"/>
        <v>39646</v>
      </c>
      <c r="B116">
        <v>640.5</v>
      </c>
      <c r="C116">
        <v>518.1</v>
      </c>
      <c r="D116">
        <v>183.7</v>
      </c>
      <c r="E116">
        <v>106.8</v>
      </c>
      <c r="F116" s="19">
        <f t="shared" si="40"/>
        <v>824.2</v>
      </c>
      <c r="G116" s="19">
        <f t="shared" si="40"/>
        <v>624.9</v>
      </c>
      <c r="H116" s="24">
        <f t="shared" si="39"/>
        <v>31.893102896463454</v>
      </c>
    </row>
    <row r="117" spans="1:8" x14ac:dyDescent="0.25">
      <c r="A117" s="10">
        <f t="shared" si="2"/>
        <v>39653</v>
      </c>
      <c r="B117">
        <v>641.5</v>
      </c>
      <c r="C117">
        <v>758.4</v>
      </c>
      <c r="D117">
        <v>185.6</v>
      </c>
      <c r="E117">
        <v>107.5</v>
      </c>
      <c r="F117" s="19">
        <f t="shared" ref="F117:G119" si="41">+B117+D117</f>
        <v>827.1</v>
      </c>
      <c r="G117" s="19">
        <f t="shared" si="41"/>
        <v>865.9</v>
      </c>
      <c r="H117" s="24">
        <f t="shared" si="39"/>
        <v>-4.4808869384455381</v>
      </c>
    </row>
    <row r="118" spans="1:8" x14ac:dyDescent="0.25">
      <c r="A118" s="10">
        <f t="shared" si="2"/>
        <v>39660</v>
      </c>
      <c r="B118">
        <v>641.6</v>
      </c>
      <c r="C118">
        <v>708</v>
      </c>
      <c r="D118">
        <v>186</v>
      </c>
      <c r="E118">
        <v>159.69999999999999</v>
      </c>
      <c r="F118" s="19">
        <f t="shared" si="41"/>
        <v>827.6</v>
      </c>
      <c r="G118" s="19">
        <f t="shared" si="41"/>
        <v>867.7</v>
      </c>
      <c r="H118" s="24">
        <f t="shared" ref="H118:H123" si="42">+(F118/G118-1)*100</f>
        <v>-4.6214129307364349</v>
      </c>
    </row>
    <row r="119" spans="1:8" x14ac:dyDescent="0.25">
      <c r="A119" s="10">
        <f t="shared" si="2"/>
        <v>39667</v>
      </c>
      <c r="B119">
        <v>689.9</v>
      </c>
      <c r="C119">
        <v>751.5</v>
      </c>
      <c r="D119">
        <v>187.7</v>
      </c>
      <c r="E119">
        <v>213.1</v>
      </c>
      <c r="F119" s="19">
        <f t="shared" si="41"/>
        <v>877.59999999999991</v>
      </c>
      <c r="G119" s="19">
        <f t="shared" si="41"/>
        <v>964.6</v>
      </c>
      <c r="H119" s="24">
        <f t="shared" si="42"/>
        <v>-9.0192826041882732</v>
      </c>
    </row>
    <row r="120" spans="1:8" x14ac:dyDescent="0.25">
      <c r="A120" s="10">
        <f t="shared" si="2"/>
        <v>39674</v>
      </c>
      <c r="B120">
        <v>688</v>
      </c>
      <c r="C120">
        <v>708.2</v>
      </c>
      <c r="D120">
        <v>188.8</v>
      </c>
      <c r="E120">
        <v>258.7</v>
      </c>
      <c r="F120" s="19">
        <f t="shared" ref="F120:G122" si="43">+B120+D120</f>
        <v>876.8</v>
      </c>
      <c r="G120" s="19">
        <f t="shared" si="43"/>
        <v>966.90000000000009</v>
      </c>
      <c r="H120" s="24">
        <f t="shared" si="42"/>
        <v>-9.3184403764608685</v>
      </c>
    </row>
    <row r="121" spans="1:8" x14ac:dyDescent="0.25">
      <c r="A121" s="10">
        <f t="shared" si="2"/>
        <v>39681</v>
      </c>
      <c r="B121">
        <v>642.5</v>
      </c>
      <c r="C121">
        <v>692.8</v>
      </c>
      <c r="D121">
        <v>237.9</v>
      </c>
      <c r="E121">
        <v>281</v>
      </c>
      <c r="F121" s="19">
        <f t="shared" si="43"/>
        <v>880.4</v>
      </c>
      <c r="G121" s="19">
        <f t="shared" si="43"/>
        <v>973.8</v>
      </c>
      <c r="H121" s="24">
        <f t="shared" si="42"/>
        <v>-9.591291846375027</v>
      </c>
    </row>
    <row r="122" spans="1:8" x14ac:dyDescent="0.25">
      <c r="A122" s="10">
        <f t="shared" si="2"/>
        <v>39688</v>
      </c>
      <c r="B122">
        <v>649.5</v>
      </c>
      <c r="C122">
        <v>774.6</v>
      </c>
      <c r="D122">
        <v>301.60000000000002</v>
      </c>
      <c r="E122">
        <v>328.3</v>
      </c>
      <c r="F122" s="19">
        <f t="shared" si="43"/>
        <v>951.1</v>
      </c>
      <c r="G122" s="19">
        <f t="shared" si="43"/>
        <v>1102.9000000000001</v>
      </c>
      <c r="H122" s="24">
        <f t="shared" si="42"/>
        <v>-13.763713845316893</v>
      </c>
    </row>
    <row r="123" spans="1:8" x14ac:dyDescent="0.25">
      <c r="A123" s="10">
        <f t="shared" si="2"/>
        <v>39695</v>
      </c>
      <c r="B123">
        <v>651.5</v>
      </c>
      <c r="C123">
        <v>729.3</v>
      </c>
      <c r="D123">
        <v>379.2</v>
      </c>
      <c r="E123">
        <v>370.4</v>
      </c>
      <c r="F123" s="19">
        <f t="shared" ref="F123:G125" si="44">+B123+D123</f>
        <v>1030.7</v>
      </c>
      <c r="G123" s="19">
        <f t="shared" si="44"/>
        <v>1099.6999999999998</v>
      </c>
      <c r="H123" s="24">
        <f t="shared" si="42"/>
        <v>-6.2744384832226778</v>
      </c>
    </row>
    <row r="124" spans="1:8" x14ac:dyDescent="0.25">
      <c r="A124" s="10">
        <f t="shared" si="2"/>
        <v>39702</v>
      </c>
      <c r="B124">
        <v>749.4</v>
      </c>
      <c r="C124">
        <v>779.3</v>
      </c>
      <c r="D124">
        <v>380.8</v>
      </c>
      <c r="E124">
        <v>370.4</v>
      </c>
      <c r="F124" s="19">
        <f t="shared" si="44"/>
        <v>1130.2</v>
      </c>
      <c r="G124" s="19">
        <f t="shared" si="44"/>
        <v>1149.6999999999998</v>
      </c>
      <c r="H124" s="24">
        <f t="shared" ref="H124:H129" si="45">+(F124/G124-1)*100</f>
        <v>-1.6960946333826055</v>
      </c>
    </row>
    <row r="125" spans="1:8" x14ac:dyDescent="0.25">
      <c r="A125" s="10">
        <f t="shared" si="2"/>
        <v>39709</v>
      </c>
      <c r="B125">
        <v>656.8</v>
      </c>
      <c r="C125">
        <v>727.3</v>
      </c>
      <c r="D125">
        <v>476.7</v>
      </c>
      <c r="E125">
        <v>418.7</v>
      </c>
      <c r="F125" s="19">
        <f t="shared" si="44"/>
        <v>1133.5</v>
      </c>
      <c r="G125" s="19">
        <f t="shared" si="44"/>
        <v>1146</v>
      </c>
      <c r="H125" s="24">
        <f t="shared" si="45"/>
        <v>-1.0907504363001697</v>
      </c>
    </row>
    <row r="126" spans="1:8" x14ac:dyDescent="0.25">
      <c r="A126" s="10">
        <f t="shared" si="2"/>
        <v>39716</v>
      </c>
      <c r="B126">
        <v>678.8</v>
      </c>
      <c r="C126">
        <v>727.3</v>
      </c>
      <c r="D126">
        <v>476.7</v>
      </c>
      <c r="E126">
        <v>418.7</v>
      </c>
      <c r="F126" s="19">
        <f t="shared" ref="F126:G128" si="46">+B126+D126</f>
        <v>1155.5</v>
      </c>
      <c r="G126" s="19">
        <f t="shared" si="46"/>
        <v>1146</v>
      </c>
      <c r="H126" s="24">
        <f t="shared" si="45"/>
        <v>0.82897033158813027</v>
      </c>
    </row>
    <row r="127" spans="1:8" x14ac:dyDescent="0.25">
      <c r="A127" s="10">
        <f t="shared" si="2"/>
        <v>39723</v>
      </c>
      <c r="B127">
        <v>633.4</v>
      </c>
      <c r="C127">
        <v>724.3</v>
      </c>
      <c r="D127">
        <v>525.70000000000005</v>
      </c>
      <c r="E127">
        <v>438.5</v>
      </c>
      <c r="F127" s="19">
        <f t="shared" si="46"/>
        <v>1159.0999999999999</v>
      </c>
      <c r="G127" s="19">
        <f t="shared" si="46"/>
        <v>1162.8</v>
      </c>
      <c r="H127" s="24">
        <f t="shared" si="45"/>
        <v>-0.31819745442036584</v>
      </c>
    </row>
    <row r="128" spans="1:8" x14ac:dyDescent="0.25">
      <c r="A128" s="10">
        <f t="shared" si="2"/>
        <v>39730</v>
      </c>
      <c r="B128">
        <v>633.20000000000005</v>
      </c>
      <c r="C128">
        <v>950.8</v>
      </c>
      <c r="D128">
        <v>526</v>
      </c>
      <c r="E128">
        <v>438.5</v>
      </c>
      <c r="F128" s="19">
        <f t="shared" si="46"/>
        <v>1159.2</v>
      </c>
      <c r="G128" s="19">
        <f t="shared" si="46"/>
        <v>1389.3</v>
      </c>
      <c r="H128" s="24">
        <f t="shared" si="45"/>
        <v>-16.562297559922257</v>
      </c>
    </row>
    <row r="129" spans="1:8" x14ac:dyDescent="0.25">
      <c r="A129" s="10">
        <f t="shared" si="2"/>
        <v>39737</v>
      </c>
      <c r="B129">
        <v>658.2</v>
      </c>
      <c r="C129">
        <v>1049.8</v>
      </c>
      <c r="D129">
        <v>526</v>
      </c>
      <c r="E129">
        <v>438.5</v>
      </c>
      <c r="F129" s="19">
        <f t="shared" ref="F129:G131" si="47">+B129+D129</f>
        <v>1184.2</v>
      </c>
      <c r="G129" s="19">
        <f t="shared" si="47"/>
        <v>1488.3</v>
      </c>
      <c r="H129" s="24">
        <f t="shared" si="45"/>
        <v>-20.432708459315997</v>
      </c>
    </row>
    <row r="130" spans="1:8" x14ac:dyDescent="0.25">
      <c r="A130" s="10">
        <f t="shared" si="2"/>
        <v>39744</v>
      </c>
      <c r="B130">
        <v>602.20000000000005</v>
      </c>
      <c r="C130">
        <v>1004.8</v>
      </c>
      <c r="D130">
        <v>584.5</v>
      </c>
      <c r="E130">
        <v>482.2</v>
      </c>
      <c r="F130" s="19">
        <f t="shared" si="47"/>
        <v>1186.7</v>
      </c>
      <c r="G130" s="19">
        <f t="shared" si="47"/>
        <v>1487</v>
      </c>
      <c r="H130" s="24">
        <f t="shared" ref="H130:H135" si="48">+(F130/G130-1)*100</f>
        <v>-20.195023537323465</v>
      </c>
    </row>
    <row r="131" spans="1:8" x14ac:dyDescent="0.25">
      <c r="A131" s="10">
        <f t="shared" si="2"/>
        <v>39751</v>
      </c>
      <c r="B131">
        <v>510.3</v>
      </c>
      <c r="C131">
        <v>959.8</v>
      </c>
      <c r="D131">
        <v>634.20000000000005</v>
      </c>
      <c r="E131">
        <v>572.9</v>
      </c>
      <c r="F131" s="19">
        <f t="shared" si="47"/>
        <v>1144.5</v>
      </c>
      <c r="G131" s="19">
        <f t="shared" si="47"/>
        <v>1532.6999999999998</v>
      </c>
      <c r="H131" s="24">
        <f t="shared" si="48"/>
        <v>-25.327852808768835</v>
      </c>
    </row>
    <row r="132" spans="1:8" x14ac:dyDescent="0.25">
      <c r="A132" s="10">
        <f t="shared" si="2"/>
        <v>39758</v>
      </c>
      <c r="B132">
        <v>463.2</v>
      </c>
      <c r="C132">
        <v>940.8</v>
      </c>
      <c r="D132">
        <v>676.7</v>
      </c>
      <c r="E132">
        <v>592.29999999999995</v>
      </c>
      <c r="F132" s="19">
        <f t="shared" ref="F132:G134" si="49">+B132+D132</f>
        <v>1139.9000000000001</v>
      </c>
      <c r="G132" s="19">
        <f t="shared" si="49"/>
        <v>1533.1</v>
      </c>
      <c r="H132" s="24">
        <f t="shared" si="48"/>
        <v>-25.647381123214398</v>
      </c>
    </row>
    <row r="133" spans="1:8" x14ac:dyDescent="0.25">
      <c r="A133" s="10">
        <f t="shared" si="2"/>
        <v>39765</v>
      </c>
      <c r="B133">
        <v>413.2</v>
      </c>
      <c r="C133">
        <v>949.5</v>
      </c>
      <c r="D133">
        <v>727</v>
      </c>
      <c r="E133">
        <v>635.79999999999995</v>
      </c>
      <c r="F133" s="19">
        <f t="shared" si="49"/>
        <v>1140.2</v>
      </c>
      <c r="G133" s="19">
        <f t="shared" si="49"/>
        <v>1585.3</v>
      </c>
      <c r="H133" s="24">
        <f t="shared" si="48"/>
        <v>-28.076704724657787</v>
      </c>
    </row>
    <row r="134" spans="1:8" x14ac:dyDescent="0.25">
      <c r="A134" s="10">
        <f t="shared" si="2"/>
        <v>39772</v>
      </c>
      <c r="B134">
        <v>381.2</v>
      </c>
      <c r="C134">
        <v>951.5</v>
      </c>
      <c r="D134">
        <v>776</v>
      </c>
      <c r="E134">
        <v>635.79999999999995</v>
      </c>
      <c r="F134" s="19">
        <f t="shared" si="49"/>
        <v>1157.2</v>
      </c>
      <c r="G134" s="19">
        <f t="shared" si="49"/>
        <v>1587.3</v>
      </c>
      <c r="H134" s="24">
        <f t="shared" si="48"/>
        <v>-27.096327096327087</v>
      </c>
    </row>
    <row r="135" spans="1:8" x14ac:dyDescent="0.25">
      <c r="A135" s="10">
        <f t="shared" si="2"/>
        <v>39779</v>
      </c>
      <c r="B135">
        <v>358.1</v>
      </c>
      <c r="C135">
        <v>959.5</v>
      </c>
      <c r="D135">
        <v>852.8</v>
      </c>
      <c r="E135">
        <v>637.29999999999995</v>
      </c>
      <c r="F135" s="19">
        <f t="shared" ref="F135:G137" si="50">+B135+D135</f>
        <v>1210.9000000000001</v>
      </c>
      <c r="G135" s="19">
        <f t="shared" si="50"/>
        <v>1596.8</v>
      </c>
      <c r="H135" s="24">
        <f t="shared" si="48"/>
        <v>-24.167084168336661</v>
      </c>
    </row>
    <row r="136" spans="1:8" x14ac:dyDescent="0.25">
      <c r="A136" s="10">
        <f t="shared" si="2"/>
        <v>39786</v>
      </c>
      <c r="B136">
        <v>339</v>
      </c>
      <c r="C136">
        <v>914.1</v>
      </c>
      <c r="D136">
        <v>872.9</v>
      </c>
      <c r="E136">
        <v>688.6</v>
      </c>
      <c r="F136" s="19">
        <f t="shared" si="50"/>
        <v>1211.9000000000001</v>
      </c>
      <c r="G136" s="19">
        <f t="shared" si="50"/>
        <v>1602.7</v>
      </c>
      <c r="H136" s="24">
        <f t="shared" ref="H136:H141" si="51">+(F136/G136-1)*100</f>
        <v>-24.383852249329252</v>
      </c>
    </row>
    <row r="137" spans="1:8" x14ac:dyDescent="0.25">
      <c r="A137" s="10">
        <f t="shared" si="2"/>
        <v>39793</v>
      </c>
      <c r="B137">
        <v>306.5</v>
      </c>
      <c r="C137">
        <v>850.3</v>
      </c>
      <c r="D137">
        <v>926</v>
      </c>
      <c r="E137">
        <v>758.2</v>
      </c>
      <c r="F137" s="19">
        <f t="shared" si="50"/>
        <v>1232.5</v>
      </c>
      <c r="G137" s="19">
        <f t="shared" si="50"/>
        <v>1608.5</v>
      </c>
      <c r="H137" s="24">
        <f t="shared" si="51"/>
        <v>-23.375815977618895</v>
      </c>
    </row>
    <row r="138" spans="1:8" x14ac:dyDescent="0.25">
      <c r="A138" s="10">
        <f t="shared" si="2"/>
        <v>39800</v>
      </c>
      <c r="B138">
        <v>306.5</v>
      </c>
      <c r="C138">
        <v>850.3</v>
      </c>
      <c r="D138">
        <v>926</v>
      </c>
      <c r="E138">
        <v>758.2</v>
      </c>
      <c r="F138" s="19">
        <f t="shared" ref="F138:G140" si="52">+B138+D138</f>
        <v>1232.5</v>
      </c>
      <c r="G138" s="19">
        <f t="shared" si="52"/>
        <v>1608.5</v>
      </c>
      <c r="H138" s="24">
        <f t="shared" si="51"/>
        <v>-23.375815977618895</v>
      </c>
    </row>
    <row r="139" spans="1:8" x14ac:dyDescent="0.25">
      <c r="A139" s="10">
        <f t="shared" si="2"/>
        <v>39807</v>
      </c>
      <c r="B139">
        <v>300.5</v>
      </c>
      <c r="C139">
        <v>869</v>
      </c>
      <c r="D139">
        <v>969.5</v>
      </c>
      <c r="E139">
        <v>759.5</v>
      </c>
      <c r="F139" s="19">
        <f t="shared" si="52"/>
        <v>1270</v>
      </c>
      <c r="G139" s="19">
        <f t="shared" si="52"/>
        <v>1628.5</v>
      </c>
      <c r="H139" s="24">
        <f t="shared" si="51"/>
        <v>-22.014123426466071</v>
      </c>
    </row>
    <row r="140" spans="1:8" x14ac:dyDescent="0.25">
      <c r="A140" s="10">
        <f t="shared" si="2"/>
        <v>39814</v>
      </c>
      <c r="B140">
        <v>252.5</v>
      </c>
      <c r="C140">
        <v>852</v>
      </c>
      <c r="D140">
        <v>1019</v>
      </c>
      <c r="E140">
        <v>777.9</v>
      </c>
      <c r="F140" s="19">
        <f t="shared" si="52"/>
        <v>1271.5</v>
      </c>
      <c r="G140" s="19">
        <f t="shared" si="52"/>
        <v>1629.9</v>
      </c>
      <c r="H140" s="24">
        <f t="shared" si="51"/>
        <v>-21.989079084606423</v>
      </c>
    </row>
    <row r="141" spans="1:8" x14ac:dyDescent="0.25">
      <c r="A141" s="10">
        <f t="shared" si="2"/>
        <v>39821</v>
      </c>
      <c r="B141">
        <v>256.5</v>
      </c>
      <c r="C141">
        <v>800.7</v>
      </c>
      <c r="D141">
        <v>1019</v>
      </c>
      <c r="E141">
        <v>829.3</v>
      </c>
      <c r="F141" s="19">
        <f t="shared" ref="F141:G143" si="53">+B141+D141</f>
        <v>1275.5</v>
      </c>
      <c r="G141" s="19">
        <f t="shared" si="53"/>
        <v>1630</v>
      </c>
      <c r="H141" s="24">
        <f t="shared" si="51"/>
        <v>-21.74846625766871</v>
      </c>
    </row>
    <row r="142" spans="1:8" x14ac:dyDescent="0.25">
      <c r="A142" s="10">
        <f t="shared" si="2"/>
        <v>39828</v>
      </c>
      <c r="B142">
        <v>317.5</v>
      </c>
      <c r="C142">
        <v>780.7</v>
      </c>
      <c r="D142">
        <v>1034</v>
      </c>
      <c r="E142">
        <v>849.5</v>
      </c>
      <c r="F142" s="19">
        <f t="shared" si="53"/>
        <v>1351.5</v>
      </c>
      <c r="G142" s="19">
        <f t="shared" si="53"/>
        <v>1630.2</v>
      </c>
      <c r="H142" s="24">
        <f t="shared" ref="H142:H147" si="54">+(F142/G142-1)*100</f>
        <v>-17.096061832903942</v>
      </c>
    </row>
    <row r="143" spans="1:8" x14ac:dyDescent="0.25">
      <c r="A143" s="10">
        <f t="shared" si="2"/>
        <v>39835</v>
      </c>
      <c r="B143">
        <v>349</v>
      </c>
      <c r="C143">
        <v>767.3</v>
      </c>
      <c r="D143">
        <v>1034</v>
      </c>
      <c r="E143">
        <v>915</v>
      </c>
      <c r="F143" s="19">
        <f t="shared" si="53"/>
        <v>1383</v>
      </c>
      <c r="G143" s="19">
        <f t="shared" si="53"/>
        <v>1682.3</v>
      </c>
      <c r="H143" s="24">
        <f t="shared" si="54"/>
        <v>-17.791119300957025</v>
      </c>
    </row>
    <row r="144" spans="1:8" x14ac:dyDescent="0.25">
      <c r="A144" s="10">
        <f t="shared" si="2"/>
        <v>39842</v>
      </c>
      <c r="B144">
        <v>305</v>
      </c>
      <c r="C144">
        <v>777</v>
      </c>
      <c r="D144">
        <v>1080.2</v>
      </c>
      <c r="E144">
        <v>915</v>
      </c>
      <c r="F144" s="19">
        <f t="shared" ref="F144:G146" si="55">+B144+D144</f>
        <v>1385.2</v>
      </c>
      <c r="G144" s="19">
        <f t="shared" si="55"/>
        <v>1692</v>
      </c>
      <c r="H144" s="24">
        <f t="shared" si="54"/>
        <v>-18.132387706855791</v>
      </c>
    </row>
    <row r="145" spans="1:9" x14ac:dyDescent="0.25">
      <c r="A145" s="10">
        <f t="shared" si="2"/>
        <v>39849</v>
      </c>
      <c r="B145">
        <v>310</v>
      </c>
      <c r="C145">
        <v>683.2</v>
      </c>
      <c r="D145">
        <v>1080.2</v>
      </c>
      <c r="E145">
        <v>987.3</v>
      </c>
      <c r="F145" s="19">
        <f t="shared" si="55"/>
        <v>1390.2</v>
      </c>
      <c r="G145" s="19">
        <f t="shared" si="55"/>
        <v>1670.5</v>
      </c>
      <c r="H145" s="24">
        <f t="shared" si="54"/>
        <v>-16.779407363064948</v>
      </c>
    </row>
    <row r="146" spans="1:9" x14ac:dyDescent="0.25">
      <c r="A146" s="10">
        <f t="shared" si="2"/>
        <v>39856</v>
      </c>
      <c r="B146">
        <v>316.5</v>
      </c>
      <c r="C146">
        <v>628</v>
      </c>
      <c r="D146">
        <v>1080.2</v>
      </c>
      <c r="E146">
        <v>1042.5999999999999</v>
      </c>
      <c r="F146" s="19">
        <f t="shared" si="55"/>
        <v>1396.7</v>
      </c>
      <c r="G146" s="19">
        <f t="shared" si="55"/>
        <v>1670.6</v>
      </c>
      <c r="H146" s="24">
        <f t="shared" si="54"/>
        <v>-16.395307075302277</v>
      </c>
    </row>
    <row r="147" spans="1:9" x14ac:dyDescent="0.25">
      <c r="A147" s="10">
        <f t="shared" si="2"/>
        <v>39863</v>
      </c>
      <c r="B147">
        <v>336.5</v>
      </c>
      <c r="C147">
        <v>628</v>
      </c>
      <c r="D147">
        <v>1080.2</v>
      </c>
      <c r="E147">
        <v>1042.5999999999999</v>
      </c>
      <c r="F147" s="19">
        <f t="shared" ref="F147:G149" si="56">+B147+D147</f>
        <v>1416.7</v>
      </c>
      <c r="G147" s="19">
        <f t="shared" si="56"/>
        <v>1670.6</v>
      </c>
      <c r="H147" s="24">
        <f t="shared" si="54"/>
        <v>-15.19813240751825</v>
      </c>
    </row>
    <row r="148" spans="1:9" x14ac:dyDescent="0.25">
      <c r="A148" s="10">
        <f t="shared" si="2"/>
        <v>39870</v>
      </c>
      <c r="B148">
        <v>336.5</v>
      </c>
      <c r="C148">
        <v>628</v>
      </c>
      <c r="D148">
        <v>1080.2</v>
      </c>
      <c r="E148">
        <v>1042.5999999999999</v>
      </c>
      <c r="F148" s="19">
        <f t="shared" si="56"/>
        <v>1416.7</v>
      </c>
      <c r="G148" s="19">
        <f t="shared" si="56"/>
        <v>1670.6</v>
      </c>
      <c r="H148" s="24">
        <f t="shared" ref="H148:H153" si="57">+(F148/G148-1)*100</f>
        <v>-15.19813240751825</v>
      </c>
    </row>
    <row r="149" spans="1:9" x14ac:dyDescent="0.25">
      <c r="A149" s="10">
        <f t="shared" si="2"/>
        <v>39877</v>
      </c>
      <c r="B149">
        <v>243.2</v>
      </c>
      <c r="C149">
        <v>563.6</v>
      </c>
      <c r="D149">
        <v>1178</v>
      </c>
      <c r="E149">
        <v>1106.8</v>
      </c>
      <c r="F149" s="19">
        <f t="shared" si="56"/>
        <v>1421.2</v>
      </c>
      <c r="G149" s="19">
        <f t="shared" si="56"/>
        <v>1670.4</v>
      </c>
      <c r="H149" s="24">
        <f t="shared" si="57"/>
        <v>-14.918582375478929</v>
      </c>
    </row>
    <row r="150" spans="1:9" x14ac:dyDescent="0.25">
      <c r="A150" s="10">
        <f t="shared" si="2"/>
        <v>39884</v>
      </c>
      <c r="B150">
        <v>243.2</v>
      </c>
      <c r="C150">
        <v>538.6</v>
      </c>
      <c r="D150">
        <v>1178</v>
      </c>
      <c r="E150">
        <v>1132</v>
      </c>
      <c r="F150" s="19">
        <f t="shared" ref="F150:G152" si="58">+B150+D150</f>
        <v>1421.2</v>
      </c>
      <c r="G150" s="19">
        <f t="shared" si="58"/>
        <v>1670.6</v>
      </c>
      <c r="H150" s="24">
        <f t="shared" si="57"/>
        <v>-14.928768107266844</v>
      </c>
    </row>
    <row r="151" spans="1:9" x14ac:dyDescent="0.25">
      <c r="A151" s="10">
        <f t="shared" si="2"/>
        <v>39891</v>
      </c>
      <c r="B151">
        <v>254.7</v>
      </c>
      <c r="C151">
        <v>493.6</v>
      </c>
      <c r="D151">
        <v>1178</v>
      </c>
      <c r="E151">
        <v>1177</v>
      </c>
      <c r="F151" s="19">
        <f t="shared" si="58"/>
        <v>1432.7</v>
      </c>
      <c r="G151" s="19">
        <f t="shared" si="58"/>
        <v>1670.6</v>
      </c>
      <c r="H151" s="24">
        <f t="shared" si="57"/>
        <v>-14.240392673291025</v>
      </c>
    </row>
    <row r="152" spans="1:9" x14ac:dyDescent="0.25">
      <c r="A152" s="10">
        <f t="shared" si="2"/>
        <v>39898</v>
      </c>
      <c r="B152">
        <v>260.7</v>
      </c>
      <c r="C152">
        <v>413.8</v>
      </c>
      <c r="D152">
        <v>1197.7</v>
      </c>
      <c r="E152">
        <v>1272</v>
      </c>
      <c r="F152" s="19">
        <f t="shared" si="58"/>
        <v>1458.4</v>
      </c>
      <c r="G152" s="19">
        <f t="shared" si="58"/>
        <v>1685.8</v>
      </c>
      <c r="H152" s="24">
        <f t="shared" si="57"/>
        <v>-13.489144619765092</v>
      </c>
    </row>
    <row r="153" spans="1:9" x14ac:dyDescent="0.25">
      <c r="A153" s="10">
        <f t="shared" si="2"/>
        <v>39905</v>
      </c>
      <c r="B153">
        <v>247.2</v>
      </c>
      <c r="C153">
        <v>354</v>
      </c>
      <c r="D153">
        <v>1237.3</v>
      </c>
      <c r="E153">
        <v>1316.4</v>
      </c>
      <c r="F153" s="19">
        <f t="shared" ref="F153:G155" si="59">+B153+D153</f>
        <v>1484.5</v>
      </c>
      <c r="G153" s="19">
        <f t="shared" si="59"/>
        <v>1670.4</v>
      </c>
      <c r="H153" s="24">
        <f t="shared" si="57"/>
        <v>-11.129070881226056</v>
      </c>
    </row>
    <row r="154" spans="1:9" x14ac:dyDescent="0.25">
      <c r="A154" s="10">
        <f t="shared" si="2"/>
        <v>39912</v>
      </c>
      <c r="B154">
        <v>213</v>
      </c>
      <c r="C154">
        <v>355.3</v>
      </c>
      <c r="D154">
        <v>1264</v>
      </c>
      <c r="E154">
        <v>1316.7</v>
      </c>
      <c r="F154" s="19">
        <f t="shared" si="59"/>
        <v>1477</v>
      </c>
      <c r="G154" s="19">
        <f t="shared" si="59"/>
        <v>1672</v>
      </c>
      <c r="H154" s="24">
        <f t="shared" ref="H154:H159" si="60">+(F154/G154-1)*100</f>
        <v>-11.662679425837318</v>
      </c>
    </row>
    <row r="155" spans="1:9" x14ac:dyDescent="0.25">
      <c r="A155" s="10">
        <f t="shared" si="2"/>
        <v>39919</v>
      </c>
      <c r="B155">
        <v>168</v>
      </c>
      <c r="C155">
        <v>309.5</v>
      </c>
      <c r="D155">
        <v>1310</v>
      </c>
      <c r="E155">
        <v>1366.1</v>
      </c>
      <c r="F155" s="19">
        <f t="shared" si="59"/>
        <v>1478</v>
      </c>
      <c r="G155" s="19">
        <f t="shared" si="59"/>
        <v>1675.6</v>
      </c>
      <c r="H155" s="24">
        <f t="shared" si="60"/>
        <v>-11.792790642158025</v>
      </c>
    </row>
    <row r="156" spans="1:9" x14ac:dyDescent="0.25">
      <c r="A156" s="10">
        <f t="shared" si="2"/>
        <v>39926</v>
      </c>
      <c r="B156">
        <v>168</v>
      </c>
      <c r="C156">
        <v>310.39999999999998</v>
      </c>
      <c r="D156">
        <v>1310</v>
      </c>
      <c r="E156">
        <v>1366.4</v>
      </c>
      <c r="F156" s="19">
        <f t="shared" ref="F156:F187" si="61">+B156+D156</f>
        <v>1478</v>
      </c>
      <c r="G156" s="19">
        <f t="shared" ref="G156:G187" si="62">+C156+E156</f>
        <v>1676.8000000000002</v>
      </c>
      <c r="H156" s="24">
        <f t="shared" si="60"/>
        <v>-11.855916030534363</v>
      </c>
      <c r="I156">
        <v>186</v>
      </c>
    </row>
    <row r="157" spans="1:9" x14ac:dyDescent="0.25">
      <c r="A157" s="10">
        <f t="shared" si="2"/>
        <v>39933</v>
      </c>
      <c r="B157">
        <v>212</v>
      </c>
      <c r="C157">
        <v>314.60000000000002</v>
      </c>
      <c r="D157">
        <v>1319.4</v>
      </c>
      <c r="E157">
        <v>1366.5</v>
      </c>
      <c r="F157" s="19">
        <f t="shared" si="61"/>
        <v>1531.4</v>
      </c>
      <c r="G157" s="19">
        <f t="shared" si="62"/>
        <v>1681.1</v>
      </c>
      <c r="H157" s="24">
        <f t="shared" si="60"/>
        <v>-8.9048837070965341</v>
      </c>
      <c r="I157">
        <v>264.10000000000002</v>
      </c>
    </row>
    <row r="158" spans="1:9" x14ac:dyDescent="0.25">
      <c r="A158" s="10">
        <f t="shared" si="2"/>
        <v>39940</v>
      </c>
      <c r="B158">
        <v>171</v>
      </c>
      <c r="C158">
        <v>219.6</v>
      </c>
      <c r="D158">
        <v>1360.4</v>
      </c>
      <c r="E158">
        <v>1456.2</v>
      </c>
      <c r="F158" s="19">
        <f t="shared" si="61"/>
        <v>1531.4</v>
      </c>
      <c r="G158" s="19">
        <f t="shared" si="62"/>
        <v>1675.8</v>
      </c>
      <c r="H158" s="24">
        <f t="shared" si="60"/>
        <v>-8.6167800453514687</v>
      </c>
      <c r="I158">
        <v>288.10000000000002</v>
      </c>
    </row>
    <row r="159" spans="1:9" x14ac:dyDescent="0.25">
      <c r="A159" s="10">
        <f t="shared" si="2"/>
        <v>39947</v>
      </c>
      <c r="B159">
        <v>109</v>
      </c>
      <c r="C159">
        <v>220.1</v>
      </c>
      <c r="D159">
        <v>1423.2</v>
      </c>
      <c r="E159">
        <v>1456.2</v>
      </c>
      <c r="F159" s="19">
        <f t="shared" si="61"/>
        <v>1532.2</v>
      </c>
      <c r="G159" s="19">
        <f t="shared" si="62"/>
        <v>1676.3</v>
      </c>
      <c r="H159" s="24">
        <f t="shared" si="60"/>
        <v>-8.596313309073544</v>
      </c>
      <c r="I159">
        <v>314.10000000000002</v>
      </c>
    </row>
    <row r="160" spans="1:9" x14ac:dyDescent="0.25">
      <c r="A160" s="10">
        <f t="shared" si="2"/>
        <v>39954</v>
      </c>
      <c r="B160">
        <v>109</v>
      </c>
      <c r="C160">
        <v>169.1</v>
      </c>
      <c r="D160">
        <v>1423.2</v>
      </c>
      <c r="E160">
        <v>1503.1</v>
      </c>
      <c r="F160" s="19">
        <f t="shared" si="61"/>
        <v>1532.2</v>
      </c>
      <c r="G160" s="19">
        <f t="shared" si="62"/>
        <v>1672.1999999999998</v>
      </c>
      <c r="H160" s="24">
        <f t="shared" ref="H160:H191" si="63">+(F160/G160-1)*100</f>
        <v>-8.3722042817844677</v>
      </c>
      <c r="I160">
        <v>317.10000000000002</v>
      </c>
    </row>
    <row r="161" spans="1:9" x14ac:dyDescent="0.25">
      <c r="A161" s="10">
        <f t="shared" si="2"/>
        <v>39961</v>
      </c>
      <c r="B161">
        <v>109</v>
      </c>
      <c r="C161">
        <v>134.6</v>
      </c>
      <c r="D161">
        <v>1423.2</v>
      </c>
      <c r="E161">
        <v>1538</v>
      </c>
      <c r="F161" s="19">
        <f t="shared" si="61"/>
        <v>1532.2</v>
      </c>
      <c r="G161" s="19">
        <f t="shared" si="62"/>
        <v>1672.6</v>
      </c>
      <c r="H161" s="24">
        <f t="shared" si="63"/>
        <v>-8.3941169436804852</v>
      </c>
      <c r="I161">
        <v>317.10000000000002</v>
      </c>
    </row>
    <row r="162" spans="1:9" x14ac:dyDescent="0.25">
      <c r="A162" s="10">
        <f t="shared" si="2"/>
        <v>39968</v>
      </c>
      <c r="B162">
        <v>438.5</v>
      </c>
      <c r="C162">
        <v>774.6</v>
      </c>
      <c r="D162">
        <v>0</v>
      </c>
      <c r="E162">
        <v>0.1</v>
      </c>
      <c r="F162" s="19">
        <f t="shared" si="61"/>
        <v>438.5</v>
      </c>
      <c r="G162" s="19">
        <f t="shared" si="62"/>
        <v>774.7</v>
      </c>
      <c r="H162" s="24">
        <f t="shared" si="63"/>
        <v>-43.397444171937529</v>
      </c>
    </row>
    <row r="163" spans="1:9" x14ac:dyDescent="0.25">
      <c r="A163" s="10">
        <f t="shared" si="2"/>
        <v>39975</v>
      </c>
      <c r="B163">
        <v>386.5</v>
      </c>
      <c r="C163">
        <v>797.7</v>
      </c>
      <c r="D163">
        <v>50</v>
      </c>
      <c r="E163">
        <v>0.2</v>
      </c>
      <c r="F163" s="19">
        <f t="shared" si="61"/>
        <v>436.5</v>
      </c>
      <c r="G163" s="19">
        <f t="shared" si="62"/>
        <v>797.90000000000009</v>
      </c>
      <c r="H163" s="24">
        <f t="shared" si="63"/>
        <v>-45.293896478255427</v>
      </c>
    </row>
    <row r="164" spans="1:9" x14ac:dyDescent="0.25">
      <c r="A164" s="10">
        <f t="shared" si="2"/>
        <v>39982</v>
      </c>
      <c r="B164">
        <v>407.4</v>
      </c>
      <c r="C164">
        <v>677.7</v>
      </c>
      <c r="D164">
        <v>50</v>
      </c>
      <c r="E164">
        <v>84.9</v>
      </c>
      <c r="F164" s="19">
        <f t="shared" si="61"/>
        <v>457.4</v>
      </c>
      <c r="G164" s="19">
        <f t="shared" si="62"/>
        <v>762.6</v>
      </c>
      <c r="H164" s="24">
        <f t="shared" si="63"/>
        <v>-40.020980854969842</v>
      </c>
    </row>
    <row r="165" spans="1:9" x14ac:dyDescent="0.25">
      <c r="A165" s="10">
        <f t="shared" si="2"/>
        <v>39989</v>
      </c>
      <c r="B165">
        <v>439.9</v>
      </c>
      <c r="C165">
        <v>674.7</v>
      </c>
      <c r="D165">
        <v>50</v>
      </c>
      <c r="E165">
        <v>86.4</v>
      </c>
      <c r="F165" s="19">
        <f t="shared" si="61"/>
        <v>489.9</v>
      </c>
      <c r="G165" s="19">
        <f t="shared" si="62"/>
        <v>761.1</v>
      </c>
      <c r="H165" s="24">
        <f t="shared" si="63"/>
        <v>-35.632636972802523</v>
      </c>
    </row>
    <row r="166" spans="1:9" x14ac:dyDescent="0.25">
      <c r="A166" s="10">
        <f t="shared" si="2"/>
        <v>39996</v>
      </c>
      <c r="B166">
        <v>493.1</v>
      </c>
      <c r="C166">
        <v>679.6</v>
      </c>
      <c r="D166">
        <v>50</v>
      </c>
      <c r="E166">
        <v>131</v>
      </c>
      <c r="F166" s="19">
        <f t="shared" si="61"/>
        <v>543.1</v>
      </c>
      <c r="G166" s="19">
        <f t="shared" si="62"/>
        <v>810.6</v>
      </c>
      <c r="H166" s="24">
        <f t="shared" si="63"/>
        <v>-33.00024673081667</v>
      </c>
    </row>
    <row r="167" spans="1:9" x14ac:dyDescent="0.25">
      <c r="A167" s="10">
        <f t="shared" si="2"/>
        <v>40003</v>
      </c>
      <c r="B167">
        <v>495.4</v>
      </c>
      <c r="C167">
        <v>639.1</v>
      </c>
      <c r="D167">
        <v>52.5</v>
      </c>
      <c r="E167">
        <v>182.7</v>
      </c>
      <c r="F167" s="19">
        <f t="shared" si="61"/>
        <v>547.9</v>
      </c>
      <c r="G167" s="19">
        <f t="shared" si="62"/>
        <v>821.8</v>
      </c>
      <c r="H167" s="24">
        <f t="shared" si="63"/>
        <v>-33.329277196398152</v>
      </c>
    </row>
    <row r="168" spans="1:9" x14ac:dyDescent="0.25">
      <c r="A168" s="10">
        <f t="shared" si="2"/>
        <v>40010</v>
      </c>
      <c r="B168">
        <v>411.7</v>
      </c>
      <c r="C168">
        <v>640.5</v>
      </c>
      <c r="D168">
        <v>141.69999999999999</v>
      </c>
      <c r="E168">
        <v>183.7</v>
      </c>
      <c r="F168" s="19">
        <f t="shared" si="61"/>
        <v>553.4</v>
      </c>
      <c r="G168" s="19">
        <f t="shared" si="62"/>
        <v>824.2</v>
      </c>
      <c r="H168" s="24">
        <f t="shared" si="63"/>
        <v>-32.856102887648632</v>
      </c>
    </row>
    <row r="169" spans="1:9" x14ac:dyDescent="0.25">
      <c r="A169" s="10">
        <f t="shared" si="2"/>
        <v>40017</v>
      </c>
      <c r="B169">
        <v>453.7</v>
      </c>
      <c r="C169">
        <v>641.5</v>
      </c>
      <c r="D169">
        <v>153.4</v>
      </c>
      <c r="E169">
        <v>185.6</v>
      </c>
      <c r="F169" s="19">
        <f t="shared" si="61"/>
        <v>607.1</v>
      </c>
      <c r="G169" s="19">
        <f t="shared" si="62"/>
        <v>827.1</v>
      </c>
      <c r="H169" s="24">
        <f t="shared" si="63"/>
        <v>-26.598960222464029</v>
      </c>
    </row>
    <row r="170" spans="1:9" x14ac:dyDescent="0.25">
      <c r="A170" s="10">
        <f t="shared" si="2"/>
        <v>40024</v>
      </c>
      <c r="B170">
        <v>453.7</v>
      </c>
      <c r="C170">
        <v>641.6</v>
      </c>
      <c r="D170">
        <v>153.4</v>
      </c>
      <c r="E170">
        <v>186</v>
      </c>
      <c r="F170" s="19">
        <f t="shared" si="61"/>
        <v>607.1</v>
      </c>
      <c r="G170" s="19">
        <f t="shared" si="62"/>
        <v>827.6</v>
      </c>
      <c r="H170" s="24">
        <f t="shared" si="63"/>
        <v>-26.64330594490092</v>
      </c>
    </row>
    <row r="171" spans="1:9" x14ac:dyDescent="0.25">
      <c r="A171" s="10">
        <f t="shared" si="2"/>
        <v>40031</v>
      </c>
      <c r="B171">
        <v>440.6</v>
      </c>
      <c r="C171">
        <v>689.9</v>
      </c>
      <c r="D171">
        <v>199.4</v>
      </c>
      <c r="E171">
        <v>187.7</v>
      </c>
      <c r="F171" s="19">
        <f t="shared" si="61"/>
        <v>640</v>
      </c>
      <c r="G171" s="19">
        <f t="shared" si="62"/>
        <v>877.59999999999991</v>
      </c>
      <c r="H171" s="24">
        <f t="shared" si="63"/>
        <v>-27.073837739288965</v>
      </c>
    </row>
    <row r="172" spans="1:9" x14ac:dyDescent="0.25">
      <c r="A172" s="10">
        <f t="shared" si="2"/>
        <v>40038</v>
      </c>
      <c r="B172">
        <v>339.1</v>
      </c>
      <c r="C172">
        <v>688</v>
      </c>
      <c r="D172">
        <v>298.5</v>
      </c>
      <c r="E172">
        <v>188.8</v>
      </c>
      <c r="F172" s="19">
        <f t="shared" si="61"/>
        <v>637.6</v>
      </c>
      <c r="G172" s="19">
        <f t="shared" si="62"/>
        <v>876.8</v>
      </c>
      <c r="H172" s="24">
        <f t="shared" si="63"/>
        <v>-27.281021897810209</v>
      </c>
    </row>
    <row r="173" spans="1:9" x14ac:dyDescent="0.25">
      <c r="A173" s="10">
        <f t="shared" si="2"/>
        <v>40045</v>
      </c>
      <c r="B173">
        <v>285.10000000000002</v>
      </c>
      <c r="C173">
        <v>642.5</v>
      </c>
      <c r="D173">
        <v>368.8</v>
      </c>
      <c r="E173">
        <v>237.9</v>
      </c>
      <c r="F173" s="19">
        <f t="shared" si="61"/>
        <v>653.90000000000009</v>
      </c>
      <c r="G173" s="19">
        <f t="shared" si="62"/>
        <v>880.4</v>
      </c>
      <c r="H173" s="24">
        <f t="shared" si="63"/>
        <v>-25.726942298955013</v>
      </c>
    </row>
    <row r="174" spans="1:9" x14ac:dyDescent="0.25">
      <c r="A174" s="10">
        <f t="shared" si="2"/>
        <v>40052</v>
      </c>
      <c r="B174">
        <v>284.60000000000002</v>
      </c>
      <c r="C174">
        <v>649.5</v>
      </c>
      <c r="D174">
        <v>368.8</v>
      </c>
      <c r="E174">
        <v>301.60000000000002</v>
      </c>
      <c r="F174" s="19">
        <f t="shared" si="61"/>
        <v>653.40000000000009</v>
      </c>
      <c r="G174" s="19">
        <f t="shared" si="62"/>
        <v>951.1</v>
      </c>
      <c r="H174" s="24">
        <f t="shared" si="63"/>
        <v>-31.300599306066658</v>
      </c>
    </row>
    <row r="175" spans="1:9" x14ac:dyDescent="0.25">
      <c r="A175" s="10">
        <f t="shared" si="2"/>
        <v>40059</v>
      </c>
      <c r="B175">
        <v>327.10000000000002</v>
      </c>
      <c r="C175">
        <v>651.5</v>
      </c>
      <c r="D175">
        <v>368.8</v>
      </c>
      <c r="E175">
        <v>379.2</v>
      </c>
      <c r="F175" s="19">
        <f t="shared" si="61"/>
        <v>695.90000000000009</v>
      </c>
      <c r="G175" s="19">
        <f t="shared" si="62"/>
        <v>1030.7</v>
      </c>
      <c r="H175" s="24">
        <f t="shared" si="63"/>
        <v>-32.482778694091387</v>
      </c>
    </row>
    <row r="176" spans="1:9" x14ac:dyDescent="0.25">
      <c r="A176" s="10">
        <f t="shared" si="2"/>
        <v>40066</v>
      </c>
      <c r="B176">
        <v>327.10000000000002</v>
      </c>
      <c r="C176">
        <v>749.4</v>
      </c>
      <c r="D176">
        <v>417.6</v>
      </c>
      <c r="E176">
        <v>380.8</v>
      </c>
      <c r="F176" s="19">
        <f t="shared" si="61"/>
        <v>744.7</v>
      </c>
      <c r="G176" s="19">
        <f t="shared" si="62"/>
        <v>1130.2</v>
      </c>
      <c r="H176" s="24">
        <f t="shared" si="63"/>
        <v>-34.109007255353028</v>
      </c>
    </row>
    <row r="177" spans="1:9" x14ac:dyDescent="0.25">
      <c r="A177" s="10">
        <f t="shared" si="2"/>
        <v>40073</v>
      </c>
      <c r="B177">
        <v>396.1</v>
      </c>
      <c r="C177">
        <v>656.8</v>
      </c>
      <c r="D177">
        <v>417.6</v>
      </c>
      <c r="E177">
        <v>476.7</v>
      </c>
      <c r="F177" s="19">
        <f t="shared" si="61"/>
        <v>813.7</v>
      </c>
      <c r="G177" s="19">
        <f t="shared" si="62"/>
        <v>1133.5</v>
      </c>
      <c r="H177" s="24">
        <f t="shared" si="63"/>
        <v>-28.213498014997796</v>
      </c>
    </row>
    <row r="178" spans="1:9" x14ac:dyDescent="0.25">
      <c r="A178" s="10">
        <f t="shared" si="2"/>
        <v>40080</v>
      </c>
      <c r="B178">
        <v>415.1</v>
      </c>
      <c r="C178">
        <v>678.8</v>
      </c>
      <c r="D178">
        <v>462.9</v>
      </c>
      <c r="E178">
        <v>476.7</v>
      </c>
      <c r="F178" s="19">
        <f t="shared" si="61"/>
        <v>878</v>
      </c>
      <c r="G178" s="19">
        <f t="shared" si="62"/>
        <v>1155.5</v>
      </c>
      <c r="H178" s="24">
        <f t="shared" si="63"/>
        <v>-24.015577672003463</v>
      </c>
    </row>
    <row r="179" spans="1:9" x14ac:dyDescent="0.25">
      <c r="A179" s="10">
        <f t="shared" si="2"/>
        <v>40087</v>
      </c>
      <c r="B179">
        <v>419.1</v>
      </c>
      <c r="C179">
        <v>633.4</v>
      </c>
      <c r="D179">
        <v>506.9</v>
      </c>
      <c r="E179">
        <v>525.70000000000005</v>
      </c>
      <c r="F179" s="19">
        <f t="shared" si="61"/>
        <v>926</v>
      </c>
      <c r="G179" s="19">
        <f t="shared" si="62"/>
        <v>1159.0999999999999</v>
      </c>
      <c r="H179" s="24">
        <f t="shared" si="63"/>
        <v>-20.110430506427392</v>
      </c>
    </row>
    <row r="180" spans="1:9" x14ac:dyDescent="0.25">
      <c r="A180" s="10">
        <f t="shared" si="2"/>
        <v>40094</v>
      </c>
      <c r="B180">
        <v>439.1</v>
      </c>
      <c r="C180">
        <v>633.20000000000005</v>
      </c>
      <c r="D180">
        <v>525</v>
      </c>
      <c r="E180">
        <v>526</v>
      </c>
      <c r="F180" s="19">
        <f t="shared" si="61"/>
        <v>964.1</v>
      </c>
      <c r="G180" s="19">
        <f t="shared" si="62"/>
        <v>1159.2</v>
      </c>
      <c r="H180" s="24">
        <f t="shared" si="63"/>
        <v>-16.830572808833676</v>
      </c>
    </row>
    <row r="181" spans="1:9" x14ac:dyDescent="0.25">
      <c r="A181" s="10">
        <f t="shared" si="2"/>
        <v>40101</v>
      </c>
      <c r="B181">
        <v>382.3</v>
      </c>
      <c r="C181">
        <v>658.2</v>
      </c>
      <c r="D181">
        <v>621.20000000000005</v>
      </c>
      <c r="E181">
        <v>526</v>
      </c>
      <c r="F181" s="19">
        <f t="shared" si="61"/>
        <v>1003.5</v>
      </c>
      <c r="G181" s="19">
        <f t="shared" si="62"/>
        <v>1184.2</v>
      </c>
      <c r="H181" s="24">
        <f t="shared" si="63"/>
        <v>-15.25924674885999</v>
      </c>
      <c r="I181">
        <v>17</v>
      </c>
    </row>
    <row r="182" spans="1:9" x14ac:dyDescent="0.25">
      <c r="A182" s="10">
        <f t="shared" si="2"/>
        <v>40108</v>
      </c>
      <c r="B182">
        <v>360</v>
      </c>
      <c r="C182">
        <v>602.20000000000005</v>
      </c>
      <c r="D182">
        <v>667.7</v>
      </c>
      <c r="E182">
        <v>584.5</v>
      </c>
      <c r="F182" s="19">
        <f t="shared" si="61"/>
        <v>1027.7</v>
      </c>
      <c r="G182" s="19">
        <f t="shared" si="62"/>
        <v>1186.7</v>
      </c>
      <c r="H182" s="24">
        <f t="shared" si="63"/>
        <v>-13.398500042133643</v>
      </c>
      <c r="I182">
        <v>17</v>
      </c>
    </row>
    <row r="183" spans="1:9" x14ac:dyDescent="0.25">
      <c r="A183" s="10">
        <f t="shared" si="2"/>
        <v>40115</v>
      </c>
      <c r="B183">
        <v>375.6</v>
      </c>
      <c r="C183">
        <v>510.3</v>
      </c>
      <c r="D183">
        <v>667.7</v>
      </c>
      <c r="E183">
        <v>634.20000000000005</v>
      </c>
      <c r="F183" s="19">
        <f t="shared" si="61"/>
        <v>1043.3000000000002</v>
      </c>
      <c r="G183" s="19">
        <f t="shared" si="62"/>
        <v>1144.5</v>
      </c>
      <c r="H183" s="24">
        <f t="shared" si="63"/>
        <v>-8.8422892092616667</v>
      </c>
      <c r="I183">
        <v>17</v>
      </c>
    </row>
    <row r="184" spans="1:9" x14ac:dyDescent="0.25">
      <c r="A184" s="10">
        <f t="shared" si="2"/>
        <v>40122</v>
      </c>
      <c r="B184">
        <v>380.6</v>
      </c>
      <c r="C184">
        <v>413.2</v>
      </c>
      <c r="D184">
        <v>667.7</v>
      </c>
      <c r="E184">
        <v>727</v>
      </c>
      <c r="F184" s="19">
        <f t="shared" si="61"/>
        <v>1048.3000000000002</v>
      </c>
      <c r="G184" s="19">
        <f t="shared" si="62"/>
        <v>1140.2</v>
      </c>
      <c r="H184" s="24">
        <f t="shared" si="63"/>
        <v>-8.0599894755305925</v>
      </c>
      <c r="I184">
        <v>17</v>
      </c>
    </row>
    <row r="185" spans="1:9" x14ac:dyDescent="0.25">
      <c r="A185" s="10">
        <f t="shared" si="2"/>
        <v>40129</v>
      </c>
      <c r="B185">
        <v>438.6</v>
      </c>
      <c r="C185">
        <v>413.2</v>
      </c>
      <c r="D185">
        <v>708.3</v>
      </c>
      <c r="E185">
        <v>727</v>
      </c>
      <c r="F185" s="19">
        <f t="shared" si="61"/>
        <v>1146.9000000000001</v>
      </c>
      <c r="G185" s="19">
        <f t="shared" si="62"/>
        <v>1140.2</v>
      </c>
      <c r="H185" s="24">
        <f t="shared" si="63"/>
        <v>0.58761620768286171</v>
      </c>
      <c r="I185">
        <v>17</v>
      </c>
    </row>
    <row r="186" spans="1:9" x14ac:dyDescent="0.25">
      <c r="A186" s="10">
        <f t="shared" si="2"/>
        <v>40136</v>
      </c>
      <c r="B186">
        <v>527.6</v>
      </c>
      <c r="C186">
        <v>381.2</v>
      </c>
      <c r="D186">
        <v>719.4</v>
      </c>
      <c r="E186">
        <v>776</v>
      </c>
      <c r="F186" s="19">
        <f t="shared" si="61"/>
        <v>1247</v>
      </c>
      <c r="G186" s="19">
        <f t="shared" si="62"/>
        <v>1157.2</v>
      </c>
      <c r="H186" s="24">
        <f t="shared" si="63"/>
        <v>7.7601106118216245</v>
      </c>
      <c r="I186">
        <v>59.4</v>
      </c>
    </row>
    <row r="187" spans="1:9" x14ac:dyDescent="0.25">
      <c r="A187" s="10">
        <f t="shared" si="2"/>
        <v>40143</v>
      </c>
      <c r="B187">
        <v>489.3</v>
      </c>
      <c r="C187">
        <v>358.1</v>
      </c>
      <c r="D187">
        <v>757.8</v>
      </c>
      <c r="E187">
        <v>852.8</v>
      </c>
      <c r="F187" s="19">
        <f t="shared" si="61"/>
        <v>1247.0999999999999</v>
      </c>
      <c r="G187" s="19">
        <f t="shared" si="62"/>
        <v>1210.9000000000001</v>
      </c>
      <c r="H187" s="24">
        <f t="shared" si="63"/>
        <v>2.9895119332727482</v>
      </c>
      <c r="I187">
        <v>59.4</v>
      </c>
    </row>
    <row r="188" spans="1:9" x14ac:dyDescent="0.25">
      <c r="A188" s="10">
        <f t="shared" si="2"/>
        <v>40150</v>
      </c>
      <c r="B188">
        <v>489.7</v>
      </c>
      <c r="C188">
        <v>339</v>
      </c>
      <c r="D188">
        <v>757.8</v>
      </c>
      <c r="E188">
        <v>872.9</v>
      </c>
      <c r="F188" s="19">
        <f t="shared" ref="F188:F219" si="64">+B188+D188</f>
        <v>1247.5</v>
      </c>
      <c r="G188" s="19">
        <f t="shared" ref="G188:G219" si="65">+C188+E188</f>
        <v>1211.9000000000001</v>
      </c>
      <c r="H188" s="24">
        <f t="shared" si="63"/>
        <v>2.9375361003383116</v>
      </c>
      <c r="I188">
        <v>59.4</v>
      </c>
    </row>
    <row r="189" spans="1:9" x14ac:dyDescent="0.25">
      <c r="A189" s="10">
        <f t="shared" si="2"/>
        <v>40157</v>
      </c>
      <c r="B189">
        <v>470.7</v>
      </c>
      <c r="C189">
        <v>306.5</v>
      </c>
      <c r="D189">
        <v>776.6</v>
      </c>
      <c r="E189">
        <v>926</v>
      </c>
      <c r="F189" s="19">
        <f t="shared" si="64"/>
        <v>1247.3</v>
      </c>
      <c r="G189" s="19">
        <f t="shared" si="65"/>
        <v>1232.5</v>
      </c>
      <c r="H189" s="24">
        <f t="shared" si="63"/>
        <v>1.2008113590263658</v>
      </c>
      <c r="I189">
        <v>59.4</v>
      </c>
    </row>
    <row r="190" spans="1:9" x14ac:dyDescent="0.25">
      <c r="A190" s="10">
        <f t="shared" si="2"/>
        <v>40164</v>
      </c>
      <c r="B190">
        <v>467.6</v>
      </c>
      <c r="C190">
        <v>306.5</v>
      </c>
      <c r="D190">
        <v>797.6</v>
      </c>
      <c r="E190">
        <v>926</v>
      </c>
      <c r="F190" s="19">
        <f t="shared" si="64"/>
        <v>1265.2</v>
      </c>
      <c r="G190" s="19">
        <f t="shared" si="65"/>
        <v>1232.5</v>
      </c>
      <c r="H190" s="24">
        <f t="shared" si="63"/>
        <v>2.6531440162271824</v>
      </c>
      <c r="I190">
        <v>59.4</v>
      </c>
    </row>
    <row r="191" spans="1:9" x14ac:dyDescent="0.25">
      <c r="A191" s="10">
        <f t="shared" si="2"/>
        <v>40171</v>
      </c>
      <c r="B191">
        <v>520.20000000000005</v>
      </c>
      <c r="C191">
        <v>300.5</v>
      </c>
      <c r="D191">
        <v>797.6</v>
      </c>
      <c r="E191">
        <v>969.5</v>
      </c>
      <c r="F191" s="19">
        <f t="shared" si="64"/>
        <v>1317.8000000000002</v>
      </c>
      <c r="G191" s="19">
        <f t="shared" si="65"/>
        <v>1270</v>
      </c>
      <c r="H191" s="24">
        <f t="shared" si="63"/>
        <v>3.7637795275590635</v>
      </c>
      <c r="I191">
        <v>59.4</v>
      </c>
    </row>
    <row r="192" spans="1:9" x14ac:dyDescent="0.25">
      <c r="A192" s="10">
        <f t="shared" si="2"/>
        <v>40178</v>
      </c>
      <c r="B192">
        <v>521.20000000000005</v>
      </c>
      <c r="C192">
        <v>252.5</v>
      </c>
      <c r="D192">
        <v>797.6</v>
      </c>
      <c r="E192">
        <v>1019</v>
      </c>
      <c r="F192" s="19">
        <f t="shared" si="64"/>
        <v>1318.8000000000002</v>
      </c>
      <c r="G192" s="19">
        <f t="shared" si="65"/>
        <v>1271.5</v>
      </c>
      <c r="H192" s="24">
        <f t="shared" ref="H192:H223" si="66">+(F192/G192-1)*100</f>
        <v>3.7200157294534186</v>
      </c>
      <c r="I192">
        <v>59.4</v>
      </c>
    </row>
    <row r="193" spans="1:9" x14ac:dyDescent="0.25">
      <c r="A193" s="10">
        <f t="shared" si="2"/>
        <v>40185</v>
      </c>
      <c r="B193">
        <v>521.20000000000005</v>
      </c>
      <c r="C193">
        <v>256.5</v>
      </c>
      <c r="D193">
        <v>797.6</v>
      </c>
      <c r="E193">
        <v>1019</v>
      </c>
      <c r="F193" s="19">
        <f t="shared" si="64"/>
        <v>1318.8000000000002</v>
      </c>
      <c r="G193" s="19">
        <f t="shared" si="65"/>
        <v>1275.5</v>
      </c>
      <c r="H193" s="24">
        <f t="shared" si="66"/>
        <v>3.3947471579772737</v>
      </c>
      <c r="I193">
        <v>59.4</v>
      </c>
    </row>
    <row r="194" spans="1:9" x14ac:dyDescent="0.25">
      <c r="A194" s="10">
        <f t="shared" si="2"/>
        <v>40192</v>
      </c>
      <c r="B194">
        <v>708.8</v>
      </c>
      <c r="C194">
        <v>317.5</v>
      </c>
      <c r="D194">
        <v>797.6</v>
      </c>
      <c r="E194">
        <v>1034</v>
      </c>
      <c r="F194" s="19">
        <f t="shared" si="64"/>
        <v>1506.4</v>
      </c>
      <c r="G194" s="19">
        <f t="shared" si="65"/>
        <v>1351.5</v>
      </c>
      <c r="H194" s="24">
        <f t="shared" si="66"/>
        <v>11.461339252682201</v>
      </c>
      <c r="I194">
        <v>119.9</v>
      </c>
    </row>
    <row r="195" spans="1:9" x14ac:dyDescent="0.25">
      <c r="A195" s="10">
        <f t="shared" si="2"/>
        <v>40199</v>
      </c>
      <c r="B195">
        <v>658.8</v>
      </c>
      <c r="C195">
        <v>349</v>
      </c>
      <c r="D195">
        <v>847.7</v>
      </c>
      <c r="E195">
        <v>1034</v>
      </c>
      <c r="F195" s="19">
        <f t="shared" si="64"/>
        <v>1506.5</v>
      </c>
      <c r="G195" s="19">
        <f t="shared" si="65"/>
        <v>1383</v>
      </c>
      <c r="H195" s="24">
        <f t="shared" si="66"/>
        <v>8.9298626174981965</v>
      </c>
      <c r="I195">
        <v>119.9</v>
      </c>
    </row>
    <row r="196" spans="1:9" x14ac:dyDescent="0.25">
      <c r="A196" s="10">
        <f t="shared" si="2"/>
        <v>40206</v>
      </c>
      <c r="B196">
        <v>613.79999999999995</v>
      </c>
      <c r="C196">
        <v>305</v>
      </c>
      <c r="D196">
        <v>889.8</v>
      </c>
      <c r="E196">
        <v>1080.2</v>
      </c>
      <c r="F196" s="19">
        <f t="shared" si="64"/>
        <v>1503.6</v>
      </c>
      <c r="G196" s="19">
        <f t="shared" si="65"/>
        <v>1385.2</v>
      </c>
      <c r="H196" s="24">
        <f t="shared" si="66"/>
        <v>8.5475021657522188</v>
      </c>
      <c r="I196">
        <v>119.9</v>
      </c>
    </row>
    <row r="197" spans="1:9" x14ac:dyDescent="0.25">
      <c r="A197" s="10">
        <f t="shared" si="2"/>
        <v>40213</v>
      </c>
      <c r="B197">
        <v>544.79999999999995</v>
      </c>
      <c r="C197">
        <v>310</v>
      </c>
      <c r="D197">
        <v>957</v>
      </c>
      <c r="E197">
        <v>1080.2</v>
      </c>
      <c r="F197" s="19">
        <f t="shared" si="64"/>
        <v>1501.8</v>
      </c>
      <c r="G197" s="19">
        <f t="shared" si="65"/>
        <v>1390.2</v>
      </c>
      <c r="H197" s="24">
        <f t="shared" si="66"/>
        <v>8.0276219249028955</v>
      </c>
      <c r="I197">
        <v>119.9</v>
      </c>
    </row>
    <row r="198" spans="1:9" x14ac:dyDescent="0.25">
      <c r="A198" s="10">
        <f t="shared" si="2"/>
        <v>40220</v>
      </c>
      <c r="B198">
        <v>562.79999999999995</v>
      </c>
      <c r="C198">
        <v>316.5</v>
      </c>
      <c r="D198">
        <v>969.9</v>
      </c>
      <c r="E198">
        <v>1080.2</v>
      </c>
      <c r="F198" s="19">
        <f t="shared" si="64"/>
        <v>1532.6999999999998</v>
      </c>
      <c r="G198" s="19">
        <f t="shared" si="65"/>
        <v>1396.7</v>
      </c>
      <c r="H198" s="24">
        <f t="shared" si="66"/>
        <v>9.7372377747547709</v>
      </c>
      <c r="I198">
        <v>169.4</v>
      </c>
    </row>
    <row r="199" spans="1:9" x14ac:dyDescent="0.25">
      <c r="A199" s="10">
        <f t="shared" si="2"/>
        <v>40227</v>
      </c>
      <c r="B199">
        <v>512.79999999999995</v>
      </c>
      <c r="C199">
        <v>336.5</v>
      </c>
      <c r="D199">
        <v>1046.5</v>
      </c>
      <c r="E199">
        <v>1080.2</v>
      </c>
      <c r="F199" s="19">
        <f t="shared" si="64"/>
        <v>1559.3</v>
      </c>
      <c r="G199" s="19">
        <f t="shared" si="65"/>
        <v>1416.7</v>
      </c>
      <c r="H199" s="24">
        <f t="shared" si="66"/>
        <v>10.065645514223199</v>
      </c>
      <c r="I199">
        <v>169.4</v>
      </c>
    </row>
    <row r="200" spans="1:9" x14ac:dyDescent="0.25">
      <c r="A200" s="10">
        <f t="shared" si="2"/>
        <v>40234</v>
      </c>
      <c r="B200">
        <v>453.2</v>
      </c>
      <c r="C200">
        <v>336.5</v>
      </c>
      <c r="D200">
        <v>1107.0999999999999</v>
      </c>
      <c r="E200">
        <v>1080.2</v>
      </c>
      <c r="F200" s="19">
        <f t="shared" si="64"/>
        <v>1560.3</v>
      </c>
      <c r="G200" s="19">
        <f t="shared" si="65"/>
        <v>1416.7</v>
      </c>
      <c r="H200" s="24">
        <f t="shared" si="66"/>
        <v>10.136232088656726</v>
      </c>
      <c r="I200">
        <v>169.4</v>
      </c>
    </row>
    <row r="201" spans="1:9" x14ac:dyDescent="0.25">
      <c r="A201" s="10">
        <f t="shared" si="2"/>
        <v>40241</v>
      </c>
      <c r="B201">
        <v>408.2</v>
      </c>
      <c r="C201">
        <v>243.2</v>
      </c>
      <c r="D201">
        <v>1156</v>
      </c>
      <c r="E201">
        <v>1178</v>
      </c>
      <c r="F201" s="19">
        <f t="shared" si="64"/>
        <v>1564.2</v>
      </c>
      <c r="G201" s="19">
        <f t="shared" si="65"/>
        <v>1421.2</v>
      </c>
      <c r="H201" s="24">
        <f t="shared" si="66"/>
        <v>10.061919504643967</v>
      </c>
      <c r="I201">
        <v>185.4</v>
      </c>
    </row>
    <row r="202" spans="1:9" x14ac:dyDescent="0.25">
      <c r="A202" s="10">
        <f t="shared" si="2"/>
        <v>40248</v>
      </c>
      <c r="B202">
        <v>458.2</v>
      </c>
      <c r="C202">
        <v>243.2</v>
      </c>
      <c r="D202">
        <v>1156</v>
      </c>
      <c r="E202">
        <v>1178</v>
      </c>
      <c r="F202" s="19">
        <f t="shared" si="64"/>
        <v>1614.2</v>
      </c>
      <c r="G202" s="19">
        <f t="shared" si="65"/>
        <v>1421.2</v>
      </c>
      <c r="H202" s="24">
        <f t="shared" si="66"/>
        <v>13.580073177596397</v>
      </c>
      <c r="I202">
        <v>200.4</v>
      </c>
    </row>
    <row r="203" spans="1:9" x14ac:dyDescent="0.25">
      <c r="A203" s="10">
        <f t="shared" si="2"/>
        <v>40255</v>
      </c>
      <c r="B203">
        <v>407.2</v>
      </c>
      <c r="C203">
        <v>254.7</v>
      </c>
      <c r="D203">
        <v>1204.7</v>
      </c>
      <c r="E203">
        <v>1178</v>
      </c>
      <c r="F203" s="19">
        <f t="shared" si="64"/>
        <v>1611.9</v>
      </c>
      <c r="G203" s="19">
        <f t="shared" si="65"/>
        <v>1432.7</v>
      </c>
      <c r="H203" s="24">
        <f t="shared" si="66"/>
        <v>12.507852306833245</v>
      </c>
      <c r="I203">
        <v>200.4</v>
      </c>
    </row>
    <row r="204" spans="1:9" x14ac:dyDescent="0.25">
      <c r="A204" s="10">
        <f t="shared" si="2"/>
        <v>40262</v>
      </c>
      <c r="B204">
        <v>373.2</v>
      </c>
      <c r="C204">
        <v>260.7</v>
      </c>
      <c r="D204">
        <v>1240</v>
      </c>
      <c r="E204">
        <v>1197.7</v>
      </c>
      <c r="F204" s="19">
        <f t="shared" si="64"/>
        <v>1613.2</v>
      </c>
      <c r="G204" s="19">
        <f t="shared" si="65"/>
        <v>1458.4</v>
      </c>
      <c r="H204" s="24">
        <f t="shared" si="66"/>
        <v>10.614371914426757</v>
      </c>
      <c r="I204">
        <v>200.4</v>
      </c>
    </row>
    <row r="205" spans="1:9" x14ac:dyDescent="0.25">
      <c r="A205" s="10">
        <f t="shared" si="2"/>
        <v>40269</v>
      </c>
      <c r="B205">
        <v>439.3</v>
      </c>
      <c r="C205">
        <v>247.2</v>
      </c>
      <c r="D205">
        <v>1240</v>
      </c>
      <c r="E205">
        <v>1237.3</v>
      </c>
      <c r="F205" s="19">
        <f t="shared" si="64"/>
        <v>1679.3</v>
      </c>
      <c r="G205" s="19">
        <f t="shared" si="65"/>
        <v>1484.5</v>
      </c>
      <c r="H205" s="24">
        <f t="shared" si="66"/>
        <v>13.122263388346234</v>
      </c>
      <c r="I205">
        <v>200.4</v>
      </c>
    </row>
    <row r="206" spans="1:9" x14ac:dyDescent="0.25">
      <c r="A206" s="10">
        <f t="shared" si="2"/>
        <v>40276</v>
      </c>
      <c r="B206">
        <v>414.3</v>
      </c>
      <c r="C206">
        <v>213</v>
      </c>
      <c r="D206">
        <v>1266.7</v>
      </c>
      <c r="E206">
        <v>1264</v>
      </c>
      <c r="F206" s="19">
        <f t="shared" si="64"/>
        <v>1681</v>
      </c>
      <c r="G206" s="19">
        <f t="shared" si="65"/>
        <v>1477</v>
      </c>
      <c r="H206" s="24">
        <f t="shared" si="66"/>
        <v>13.811780636425187</v>
      </c>
      <c r="I206">
        <v>200.4</v>
      </c>
    </row>
    <row r="207" spans="1:9" x14ac:dyDescent="0.25">
      <c r="A207" s="10">
        <f t="shared" si="2"/>
        <v>40283</v>
      </c>
      <c r="B207">
        <v>273.10000000000002</v>
      </c>
      <c r="C207">
        <v>168</v>
      </c>
      <c r="D207">
        <v>1288.9000000000001</v>
      </c>
      <c r="E207">
        <v>1310</v>
      </c>
      <c r="F207" s="19">
        <f t="shared" si="64"/>
        <v>1562</v>
      </c>
      <c r="G207" s="19">
        <f t="shared" si="65"/>
        <v>1478</v>
      </c>
      <c r="H207" s="24">
        <f t="shared" si="66"/>
        <v>5.6833558863328859</v>
      </c>
      <c r="I207">
        <v>390</v>
      </c>
    </row>
    <row r="208" spans="1:9" x14ac:dyDescent="0.25">
      <c r="A208" s="10">
        <f t="shared" si="2"/>
        <v>40290</v>
      </c>
      <c r="B208">
        <v>213.5</v>
      </c>
      <c r="C208">
        <v>168</v>
      </c>
      <c r="D208">
        <v>1352.9</v>
      </c>
      <c r="E208">
        <v>1310</v>
      </c>
      <c r="F208" s="19">
        <f t="shared" si="64"/>
        <v>1566.4</v>
      </c>
      <c r="G208" s="19">
        <f t="shared" si="65"/>
        <v>1478</v>
      </c>
      <c r="H208" s="24">
        <f t="shared" si="66"/>
        <v>5.9810554803789051</v>
      </c>
      <c r="I208">
        <v>475.5</v>
      </c>
    </row>
    <row r="209" spans="1:9" x14ac:dyDescent="0.25">
      <c r="A209" s="10">
        <f t="shared" si="2"/>
        <v>40297</v>
      </c>
      <c r="B209">
        <v>192</v>
      </c>
      <c r="C209">
        <v>212</v>
      </c>
      <c r="D209">
        <v>1375.5</v>
      </c>
      <c r="E209">
        <v>1319.4</v>
      </c>
      <c r="F209" s="19">
        <f t="shared" si="64"/>
        <v>1567.5</v>
      </c>
      <c r="G209" s="19">
        <f t="shared" si="65"/>
        <v>1531.4</v>
      </c>
      <c r="H209" s="24">
        <f t="shared" si="66"/>
        <v>2.3573200992555776</v>
      </c>
      <c r="I209">
        <v>475.5</v>
      </c>
    </row>
    <row r="210" spans="1:9" x14ac:dyDescent="0.25">
      <c r="A210" s="10">
        <f t="shared" si="2"/>
        <v>40304</v>
      </c>
      <c r="B210">
        <v>142</v>
      </c>
      <c r="C210">
        <v>171</v>
      </c>
      <c r="D210">
        <v>1426</v>
      </c>
      <c r="E210">
        <v>1360.4</v>
      </c>
      <c r="F210" s="19">
        <f t="shared" si="64"/>
        <v>1568</v>
      </c>
      <c r="G210" s="19">
        <f t="shared" si="65"/>
        <v>1531.4</v>
      </c>
      <c r="H210" s="24">
        <f t="shared" si="66"/>
        <v>2.3899699621261483</v>
      </c>
      <c r="I210">
        <v>475.5</v>
      </c>
    </row>
    <row r="211" spans="1:9" x14ac:dyDescent="0.25">
      <c r="A211" s="10">
        <f t="shared" si="2"/>
        <v>40311</v>
      </c>
      <c r="B211">
        <v>134</v>
      </c>
      <c r="C211">
        <v>109</v>
      </c>
      <c r="D211">
        <v>1434</v>
      </c>
      <c r="E211">
        <v>1423.2</v>
      </c>
      <c r="F211" s="19">
        <f t="shared" si="64"/>
        <v>1568</v>
      </c>
      <c r="G211" s="19">
        <f t="shared" si="65"/>
        <v>1532.2</v>
      </c>
      <c r="H211" s="24">
        <f t="shared" si="66"/>
        <v>2.3365095940477643</v>
      </c>
      <c r="I211">
        <v>513.5</v>
      </c>
    </row>
    <row r="212" spans="1:9" x14ac:dyDescent="0.25">
      <c r="A212" s="10">
        <f t="shared" si="2"/>
        <v>40318</v>
      </c>
      <c r="B212">
        <v>98</v>
      </c>
      <c r="C212">
        <v>109</v>
      </c>
      <c r="D212">
        <v>1472.5</v>
      </c>
      <c r="E212">
        <v>1423.2</v>
      </c>
      <c r="F212" s="19">
        <f t="shared" si="64"/>
        <v>1570.5</v>
      </c>
      <c r="G212" s="19">
        <f t="shared" si="65"/>
        <v>1532.2</v>
      </c>
      <c r="H212" s="24">
        <f t="shared" si="66"/>
        <v>2.4996736718444046</v>
      </c>
      <c r="I212">
        <v>529.5</v>
      </c>
    </row>
    <row r="213" spans="1:9" x14ac:dyDescent="0.25">
      <c r="A213" s="10">
        <f t="shared" si="2"/>
        <v>40325</v>
      </c>
      <c r="B213">
        <v>98</v>
      </c>
      <c r="C213">
        <v>109</v>
      </c>
      <c r="D213">
        <v>1472.5</v>
      </c>
      <c r="E213">
        <v>1423.2</v>
      </c>
      <c r="F213" s="19">
        <f t="shared" si="64"/>
        <v>1570.5</v>
      </c>
      <c r="G213" s="19">
        <f t="shared" si="65"/>
        <v>1532.2</v>
      </c>
      <c r="H213" s="24">
        <f t="shared" si="66"/>
        <v>2.4996736718444046</v>
      </c>
      <c r="I213">
        <v>538.9</v>
      </c>
    </row>
    <row r="214" spans="1:9" x14ac:dyDescent="0.25">
      <c r="A214" s="10">
        <f t="shared" si="2"/>
        <v>40332</v>
      </c>
      <c r="B214">
        <v>636.9</v>
      </c>
      <c r="C214">
        <v>438.5</v>
      </c>
      <c r="D214">
        <v>0</v>
      </c>
      <c r="E214">
        <v>0</v>
      </c>
      <c r="F214" s="19">
        <f t="shared" si="64"/>
        <v>636.9</v>
      </c>
      <c r="G214" s="19">
        <f t="shared" si="65"/>
        <v>438.5</v>
      </c>
      <c r="H214" s="24">
        <f t="shared" si="66"/>
        <v>45.245153933865453</v>
      </c>
    </row>
    <row r="215" spans="1:9" x14ac:dyDescent="0.25">
      <c r="A215" s="10">
        <f t="shared" si="2"/>
        <v>40339</v>
      </c>
      <c r="B215">
        <v>615.5</v>
      </c>
      <c r="C215">
        <v>386.5</v>
      </c>
      <c r="D215">
        <v>67.8</v>
      </c>
      <c r="E215">
        <v>50</v>
      </c>
      <c r="F215" s="19">
        <f t="shared" si="64"/>
        <v>683.3</v>
      </c>
      <c r="G215" s="19">
        <f t="shared" si="65"/>
        <v>436.5</v>
      </c>
      <c r="H215" s="24">
        <f t="shared" si="66"/>
        <v>56.54066437571592</v>
      </c>
    </row>
    <row r="216" spans="1:9" x14ac:dyDescent="0.25">
      <c r="A216" s="10">
        <f t="shared" si="2"/>
        <v>40346</v>
      </c>
      <c r="B216">
        <v>621.5</v>
      </c>
      <c r="C216">
        <v>407.4</v>
      </c>
      <c r="D216">
        <v>93.4</v>
      </c>
      <c r="E216">
        <v>50</v>
      </c>
      <c r="F216" s="19">
        <f t="shared" si="64"/>
        <v>714.9</v>
      </c>
      <c r="G216" s="19">
        <f t="shared" si="65"/>
        <v>457.4</v>
      </c>
      <c r="H216" s="24">
        <f t="shared" si="66"/>
        <v>56.296458242238742</v>
      </c>
    </row>
    <row r="217" spans="1:9" x14ac:dyDescent="0.25">
      <c r="A217" s="10">
        <f t="shared" si="2"/>
        <v>40353</v>
      </c>
      <c r="B217">
        <v>548</v>
      </c>
      <c r="C217">
        <v>439.9</v>
      </c>
      <c r="D217">
        <v>172.6</v>
      </c>
      <c r="E217">
        <v>50</v>
      </c>
      <c r="F217" s="19">
        <f t="shared" si="64"/>
        <v>720.6</v>
      </c>
      <c r="G217" s="19">
        <f t="shared" si="65"/>
        <v>489.9</v>
      </c>
      <c r="H217" s="24">
        <f t="shared" si="66"/>
        <v>47.091243110838967</v>
      </c>
    </row>
    <row r="218" spans="1:9" x14ac:dyDescent="0.25">
      <c r="A218" s="10">
        <f t="shared" si="2"/>
        <v>40360</v>
      </c>
      <c r="B218">
        <v>588</v>
      </c>
      <c r="C218">
        <v>493.1</v>
      </c>
      <c r="D218">
        <v>213.2</v>
      </c>
      <c r="E218">
        <v>50</v>
      </c>
      <c r="F218" s="19">
        <f t="shared" si="64"/>
        <v>801.2</v>
      </c>
      <c r="G218" s="19">
        <f t="shared" si="65"/>
        <v>543.1</v>
      </c>
      <c r="H218" s="24">
        <f t="shared" si="66"/>
        <v>47.523476339532309</v>
      </c>
    </row>
    <row r="219" spans="1:9" x14ac:dyDescent="0.25">
      <c r="A219" s="10">
        <f t="shared" si="2"/>
        <v>40367</v>
      </c>
      <c r="B219">
        <v>629.5</v>
      </c>
      <c r="C219">
        <v>495.4</v>
      </c>
      <c r="D219">
        <v>213.2</v>
      </c>
      <c r="E219">
        <v>52.5</v>
      </c>
      <c r="F219" s="19">
        <f t="shared" si="64"/>
        <v>842.7</v>
      </c>
      <c r="G219" s="19">
        <f t="shared" si="65"/>
        <v>547.9</v>
      </c>
      <c r="H219" s="24">
        <f t="shared" si="66"/>
        <v>53.805438948713281</v>
      </c>
    </row>
    <row r="220" spans="1:9" x14ac:dyDescent="0.25">
      <c r="A220" s="10">
        <f t="shared" si="2"/>
        <v>40374</v>
      </c>
      <c r="B220">
        <v>629.5</v>
      </c>
      <c r="C220">
        <v>411.7</v>
      </c>
      <c r="D220">
        <v>213.2</v>
      </c>
      <c r="E220">
        <v>141.69999999999999</v>
      </c>
      <c r="F220" s="19">
        <f t="shared" ref="F220:F251" si="67">+B220+D220</f>
        <v>842.7</v>
      </c>
      <c r="G220" s="19">
        <f t="shared" ref="G220:G251" si="68">+C220+E220</f>
        <v>553.4</v>
      </c>
      <c r="H220" s="24">
        <f t="shared" si="66"/>
        <v>52.276834116371539</v>
      </c>
    </row>
    <row r="221" spans="1:9" x14ac:dyDescent="0.25">
      <c r="A221" s="10">
        <f t="shared" si="2"/>
        <v>40381</v>
      </c>
      <c r="B221">
        <v>689.5</v>
      </c>
      <c r="C221">
        <v>453.7</v>
      </c>
      <c r="D221">
        <v>258.89999999999998</v>
      </c>
      <c r="E221">
        <v>153.4</v>
      </c>
      <c r="F221" s="19">
        <f t="shared" si="67"/>
        <v>948.4</v>
      </c>
      <c r="G221" s="19">
        <f t="shared" si="68"/>
        <v>607.1</v>
      </c>
      <c r="H221" s="24">
        <f t="shared" si="66"/>
        <v>56.218085982539947</v>
      </c>
    </row>
    <row r="222" spans="1:9" x14ac:dyDescent="0.25">
      <c r="A222" s="10">
        <f t="shared" si="2"/>
        <v>40388</v>
      </c>
      <c r="B222">
        <v>733.5</v>
      </c>
      <c r="C222">
        <v>453.7</v>
      </c>
      <c r="D222">
        <v>308.7</v>
      </c>
      <c r="E222">
        <v>153.4</v>
      </c>
      <c r="F222" s="19">
        <f t="shared" si="67"/>
        <v>1042.2</v>
      </c>
      <c r="G222" s="19">
        <f t="shared" si="68"/>
        <v>607.1</v>
      </c>
      <c r="H222" s="24">
        <f t="shared" si="66"/>
        <v>71.668588370943837</v>
      </c>
    </row>
    <row r="223" spans="1:9" x14ac:dyDescent="0.25">
      <c r="A223" s="10">
        <f t="shared" si="2"/>
        <v>40395</v>
      </c>
      <c r="B223">
        <v>723.5</v>
      </c>
      <c r="C223">
        <v>440.6</v>
      </c>
      <c r="D223">
        <v>370.9</v>
      </c>
      <c r="E223">
        <v>199.4</v>
      </c>
      <c r="F223" s="19">
        <f t="shared" si="67"/>
        <v>1094.4000000000001</v>
      </c>
      <c r="G223" s="19">
        <f t="shared" si="68"/>
        <v>640</v>
      </c>
      <c r="H223" s="24">
        <f t="shared" si="66"/>
        <v>71.000000000000014</v>
      </c>
    </row>
    <row r="224" spans="1:9" x14ac:dyDescent="0.25">
      <c r="A224" s="10">
        <f t="shared" si="2"/>
        <v>40402</v>
      </c>
      <c r="B224">
        <v>674.5</v>
      </c>
      <c r="C224">
        <v>339.1</v>
      </c>
      <c r="D224">
        <v>424.6</v>
      </c>
      <c r="E224">
        <v>298.5</v>
      </c>
      <c r="F224" s="19">
        <f t="shared" si="67"/>
        <v>1099.0999999999999</v>
      </c>
      <c r="G224" s="19">
        <f t="shared" si="68"/>
        <v>637.6</v>
      </c>
      <c r="H224" s="24">
        <f t="shared" ref="H224:H255" si="69">+(F224/G224-1)*100</f>
        <v>72.380803011292329</v>
      </c>
    </row>
    <row r="225" spans="1:9" x14ac:dyDescent="0.25">
      <c r="A225" s="10">
        <f t="shared" si="2"/>
        <v>40409</v>
      </c>
      <c r="B225">
        <v>666.5</v>
      </c>
      <c r="C225">
        <v>285.10000000000002</v>
      </c>
      <c r="D225">
        <v>433.1</v>
      </c>
      <c r="E225">
        <v>368.8</v>
      </c>
      <c r="F225" s="19">
        <f t="shared" si="67"/>
        <v>1099.5999999999999</v>
      </c>
      <c r="G225" s="19">
        <f t="shared" si="68"/>
        <v>653.90000000000009</v>
      </c>
      <c r="H225" s="24">
        <f t="shared" si="69"/>
        <v>68.160269154304913</v>
      </c>
    </row>
    <row r="226" spans="1:9" x14ac:dyDescent="0.25">
      <c r="A226" s="10">
        <f t="shared" si="2"/>
        <v>40416</v>
      </c>
      <c r="B226">
        <v>699</v>
      </c>
      <c r="C226">
        <v>284.60000000000002</v>
      </c>
      <c r="D226">
        <v>451.5</v>
      </c>
      <c r="E226">
        <v>368.8</v>
      </c>
      <c r="F226" s="19">
        <f t="shared" si="67"/>
        <v>1150.5</v>
      </c>
      <c r="G226" s="19">
        <f t="shared" si="68"/>
        <v>653.40000000000009</v>
      </c>
      <c r="H226" s="24">
        <f t="shared" si="69"/>
        <v>76.078971533516977</v>
      </c>
    </row>
    <row r="227" spans="1:9" x14ac:dyDescent="0.25">
      <c r="A227" s="10">
        <f t="shared" si="2"/>
        <v>40423</v>
      </c>
      <c r="B227">
        <v>644</v>
      </c>
      <c r="C227">
        <v>327.10000000000002</v>
      </c>
      <c r="D227">
        <v>521.5</v>
      </c>
      <c r="E227">
        <v>368.8</v>
      </c>
      <c r="F227" s="19">
        <f t="shared" si="67"/>
        <v>1165.5</v>
      </c>
      <c r="G227" s="19">
        <f t="shared" si="68"/>
        <v>695.90000000000009</v>
      </c>
      <c r="H227" s="24">
        <f t="shared" si="69"/>
        <v>67.48095990803273</v>
      </c>
    </row>
    <row r="228" spans="1:9" x14ac:dyDescent="0.25">
      <c r="A228" s="10">
        <f t="shared" si="2"/>
        <v>40430</v>
      </c>
      <c r="B228">
        <v>644</v>
      </c>
      <c r="C228">
        <v>327.10000000000002</v>
      </c>
      <c r="D228">
        <v>521.5</v>
      </c>
      <c r="E228">
        <v>417.6</v>
      </c>
      <c r="F228" s="19">
        <f t="shared" si="67"/>
        <v>1165.5</v>
      </c>
      <c r="G228" s="19">
        <f t="shared" si="68"/>
        <v>744.7</v>
      </c>
      <c r="H228" s="24">
        <f t="shared" si="69"/>
        <v>56.505975560628443</v>
      </c>
    </row>
    <row r="229" spans="1:9" x14ac:dyDescent="0.25">
      <c r="A229" s="10">
        <f t="shared" si="2"/>
        <v>40437</v>
      </c>
      <c r="B229">
        <v>667.6</v>
      </c>
      <c r="C229">
        <v>396.1</v>
      </c>
      <c r="D229">
        <v>521.5</v>
      </c>
      <c r="E229">
        <v>417.6</v>
      </c>
      <c r="F229" s="19">
        <f t="shared" si="67"/>
        <v>1189.0999999999999</v>
      </c>
      <c r="G229" s="19">
        <f t="shared" si="68"/>
        <v>813.7</v>
      </c>
      <c r="H229" s="24">
        <f t="shared" si="69"/>
        <v>46.134939166769051</v>
      </c>
    </row>
    <row r="230" spans="1:9" x14ac:dyDescent="0.25">
      <c r="A230" s="10">
        <f t="shared" si="2"/>
        <v>40444</v>
      </c>
      <c r="B230">
        <v>644</v>
      </c>
      <c r="C230">
        <v>415.1</v>
      </c>
      <c r="D230">
        <v>622.6</v>
      </c>
      <c r="E230">
        <v>462.9</v>
      </c>
      <c r="F230" s="19">
        <f t="shared" si="67"/>
        <v>1266.5999999999999</v>
      </c>
      <c r="G230" s="19">
        <f t="shared" si="68"/>
        <v>878</v>
      </c>
      <c r="H230" s="24">
        <f t="shared" si="69"/>
        <v>44.259681093394065</v>
      </c>
    </row>
    <row r="231" spans="1:9" x14ac:dyDescent="0.25">
      <c r="A231" s="10">
        <f t="shared" si="2"/>
        <v>40451</v>
      </c>
      <c r="B231">
        <v>730.5</v>
      </c>
      <c r="C231">
        <v>419.1</v>
      </c>
      <c r="D231">
        <v>622.6</v>
      </c>
      <c r="E231">
        <v>506.9</v>
      </c>
      <c r="F231" s="19">
        <f t="shared" si="67"/>
        <v>1353.1</v>
      </c>
      <c r="G231" s="19">
        <f t="shared" si="68"/>
        <v>926</v>
      </c>
      <c r="H231" s="24">
        <f t="shared" si="69"/>
        <v>46.123110151187888</v>
      </c>
    </row>
    <row r="232" spans="1:9" x14ac:dyDescent="0.25">
      <c r="A232" s="10">
        <f t="shared" si="2"/>
        <v>40458</v>
      </c>
      <c r="B232">
        <v>786.8</v>
      </c>
      <c r="C232">
        <v>439.1</v>
      </c>
      <c r="D232">
        <v>649.9</v>
      </c>
      <c r="E232">
        <v>525</v>
      </c>
      <c r="F232" s="19">
        <f t="shared" si="67"/>
        <v>1436.6999999999998</v>
      </c>
      <c r="G232" s="19">
        <f t="shared" si="68"/>
        <v>964.1</v>
      </c>
      <c r="H232" s="24">
        <f t="shared" si="69"/>
        <v>49.019811222902177</v>
      </c>
    </row>
    <row r="233" spans="1:9" x14ac:dyDescent="0.25">
      <c r="A233" s="10">
        <f t="shared" si="2"/>
        <v>40465</v>
      </c>
      <c r="B233">
        <v>774.3</v>
      </c>
      <c r="C233">
        <v>382.3</v>
      </c>
      <c r="D233">
        <v>686.3</v>
      </c>
      <c r="E233">
        <v>621.20000000000005</v>
      </c>
      <c r="F233" s="19">
        <f t="shared" si="67"/>
        <v>1460.6</v>
      </c>
      <c r="G233" s="19">
        <f t="shared" si="68"/>
        <v>1003.5</v>
      </c>
      <c r="H233" s="24">
        <f t="shared" si="69"/>
        <v>45.550572994519165</v>
      </c>
    </row>
    <row r="234" spans="1:9" x14ac:dyDescent="0.25">
      <c r="A234" s="10">
        <f t="shared" si="2"/>
        <v>40472</v>
      </c>
      <c r="B234">
        <v>792.3</v>
      </c>
      <c r="C234">
        <v>360</v>
      </c>
      <c r="D234">
        <v>735.8</v>
      </c>
      <c r="E234">
        <v>667.7</v>
      </c>
      <c r="F234" s="19">
        <f t="shared" si="67"/>
        <v>1528.1</v>
      </c>
      <c r="G234" s="19">
        <f t="shared" si="68"/>
        <v>1027.7</v>
      </c>
      <c r="H234" s="24">
        <f t="shared" si="69"/>
        <v>48.691252310985675</v>
      </c>
    </row>
    <row r="235" spans="1:9" x14ac:dyDescent="0.25">
      <c r="A235" s="10">
        <f t="shared" si="2"/>
        <v>40479</v>
      </c>
      <c r="B235">
        <v>825</v>
      </c>
      <c r="C235">
        <v>375.6</v>
      </c>
      <c r="D235">
        <v>736.1</v>
      </c>
      <c r="E235">
        <v>667.7</v>
      </c>
      <c r="F235" s="19">
        <f t="shared" si="67"/>
        <v>1561.1</v>
      </c>
      <c r="G235" s="19">
        <f t="shared" si="68"/>
        <v>1043.3000000000002</v>
      </c>
      <c r="H235" s="24">
        <f t="shared" si="69"/>
        <v>49.630978625515155</v>
      </c>
      <c r="I235">
        <v>44</v>
      </c>
    </row>
    <row r="236" spans="1:9" x14ac:dyDescent="0.25">
      <c r="A236" s="10">
        <f t="shared" si="2"/>
        <v>40486</v>
      </c>
      <c r="B236">
        <v>927</v>
      </c>
      <c r="C236">
        <v>380.6</v>
      </c>
      <c r="D236">
        <v>736.1</v>
      </c>
      <c r="E236">
        <v>667.7</v>
      </c>
      <c r="F236" s="19">
        <f t="shared" si="67"/>
        <v>1663.1</v>
      </c>
      <c r="G236" s="19">
        <f t="shared" si="68"/>
        <v>1048.3000000000002</v>
      </c>
      <c r="H236" s="24">
        <f t="shared" si="69"/>
        <v>58.647333778498492</v>
      </c>
      <c r="I236">
        <v>44</v>
      </c>
    </row>
    <row r="237" spans="1:9" x14ac:dyDescent="0.25">
      <c r="A237" s="10">
        <f t="shared" si="2"/>
        <v>40493</v>
      </c>
      <c r="B237">
        <v>920.8</v>
      </c>
      <c r="C237">
        <v>438.6</v>
      </c>
      <c r="D237">
        <v>742.3</v>
      </c>
      <c r="E237">
        <v>708.3</v>
      </c>
      <c r="F237" s="19">
        <f t="shared" si="67"/>
        <v>1663.1</v>
      </c>
      <c r="G237" s="19">
        <f t="shared" si="68"/>
        <v>1146.9000000000001</v>
      </c>
      <c r="H237" s="24">
        <f t="shared" si="69"/>
        <v>45.00828319818639</v>
      </c>
      <c r="I237">
        <v>87.5</v>
      </c>
    </row>
    <row r="238" spans="1:9" x14ac:dyDescent="0.25">
      <c r="A238" s="10">
        <f t="shared" si="2"/>
        <v>40500</v>
      </c>
      <c r="B238">
        <v>885</v>
      </c>
      <c r="C238">
        <v>527.6</v>
      </c>
      <c r="D238">
        <v>779.4</v>
      </c>
      <c r="E238">
        <v>719.4</v>
      </c>
      <c r="F238" s="19">
        <f t="shared" si="67"/>
        <v>1664.4</v>
      </c>
      <c r="G238" s="19">
        <f t="shared" si="68"/>
        <v>1247</v>
      </c>
      <c r="H238" s="24">
        <f t="shared" si="69"/>
        <v>33.472333600641548</v>
      </c>
      <c r="I238">
        <v>87.5</v>
      </c>
    </row>
    <row r="239" spans="1:9" x14ac:dyDescent="0.25">
      <c r="A239" s="10">
        <f t="shared" si="2"/>
        <v>40507</v>
      </c>
      <c r="B239">
        <v>835.6</v>
      </c>
      <c r="C239">
        <v>489.3</v>
      </c>
      <c r="D239">
        <v>830.9</v>
      </c>
      <c r="E239">
        <v>757.8</v>
      </c>
      <c r="F239" s="19">
        <f t="shared" si="67"/>
        <v>1666.5</v>
      </c>
      <c r="G239" s="19">
        <f t="shared" si="68"/>
        <v>1247.0999999999999</v>
      </c>
      <c r="H239" s="24">
        <f t="shared" si="69"/>
        <v>33.630021650228549</v>
      </c>
    </row>
    <row r="240" spans="1:9" x14ac:dyDescent="0.25">
      <c r="A240" s="10">
        <f t="shared" si="2"/>
        <v>40514</v>
      </c>
      <c r="B240">
        <v>829.1</v>
      </c>
      <c r="C240">
        <v>489.7</v>
      </c>
      <c r="D240">
        <v>889.6</v>
      </c>
      <c r="E240">
        <v>757.8</v>
      </c>
      <c r="F240" s="19">
        <f t="shared" si="67"/>
        <v>1718.7</v>
      </c>
      <c r="G240" s="19">
        <f t="shared" si="68"/>
        <v>1247.5</v>
      </c>
      <c r="H240" s="24">
        <f t="shared" si="69"/>
        <v>37.771543086172343</v>
      </c>
      <c r="I240">
        <v>188.5</v>
      </c>
    </row>
    <row r="241" spans="1:9" x14ac:dyDescent="0.25">
      <c r="A241" s="10">
        <f t="shared" si="2"/>
        <v>40521</v>
      </c>
      <c r="B241">
        <v>829.5</v>
      </c>
      <c r="C241">
        <v>470.7</v>
      </c>
      <c r="D241">
        <v>889.6</v>
      </c>
      <c r="E241">
        <v>776.6</v>
      </c>
      <c r="F241" s="19">
        <f t="shared" si="67"/>
        <v>1719.1</v>
      </c>
      <c r="G241" s="19">
        <f t="shared" si="68"/>
        <v>1247.3</v>
      </c>
      <c r="H241" s="24">
        <f t="shared" si="69"/>
        <v>37.825703519602349</v>
      </c>
      <c r="I241">
        <v>189</v>
      </c>
    </row>
    <row r="242" spans="1:9" x14ac:dyDescent="0.25">
      <c r="A242" s="10">
        <f t="shared" si="2"/>
        <v>40528</v>
      </c>
      <c r="B242">
        <v>797.5</v>
      </c>
      <c r="C242">
        <v>467.6</v>
      </c>
      <c r="D242">
        <v>924.8</v>
      </c>
      <c r="E242">
        <v>797.6</v>
      </c>
      <c r="F242" s="19">
        <f t="shared" si="67"/>
        <v>1722.3</v>
      </c>
      <c r="G242" s="19">
        <f t="shared" si="68"/>
        <v>1265.2</v>
      </c>
      <c r="H242" s="24">
        <f t="shared" si="69"/>
        <v>36.128675308251658</v>
      </c>
      <c r="I242">
        <v>189</v>
      </c>
    </row>
    <row r="243" spans="1:9" x14ac:dyDescent="0.25">
      <c r="A243" s="10">
        <f t="shared" si="2"/>
        <v>40535</v>
      </c>
      <c r="B243">
        <v>697.4</v>
      </c>
      <c r="C243">
        <v>520.20000000000005</v>
      </c>
      <c r="D243">
        <v>1022.3</v>
      </c>
      <c r="E243">
        <v>797.6</v>
      </c>
      <c r="F243" s="19">
        <f t="shared" si="67"/>
        <v>1719.6999999999998</v>
      </c>
      <c r="G243" s="19">
        <f t="shared" si="68"/>
        <v>1317.8000000000002</v>
      </c>
      <c r="H243" s="24">
        <f t="shared" si="69"/>
        <v>30.49779936257395</v>
      </c>
      <c r="I243">
        <v>189</v>
      </c>
    </row>
    <row r="244" spans="1:9" x14ac:dyDescent="0.25">
      <c r="A244" s="10">
        <f t="shared" si="2"/>
        <v>40542</v>
      </c>
      <c r="B244">
        <v>696.8</v>
      </c>
      <c r="C244">
        <v>521.20000000000005</v>
      </c>
      <c r="D244">
        <v>1022.9</v>
      </c>
      <c r="E244">
        <v>797.6</v>
      </c>
      <c r="F244" s="19">
        <f t="shared" si="67"/>
        <v>1719.6999999999998</v>
      </c>
      <c r="G244" s="19">
        <f t="shared" si="68"/>
        <v>1318.8000000000002</v>
      </c>
      <c r="H244" s="24">
        <f t="shared" si="69"/>
        <v>30.398847437063957</v>
      </c>
      <c r="I244">
        <v>189</v>
      </c>
    </row>
    <row r="245" spans="1:9" x14ac:dyDescent="0.25">
      <c r="A245" s="10">
        <f t="shared" si="2"/>
        <v>40549</v>
      </c>
      <c r="B245">
        <v>662.3</v>
      </c>
      <c r="C245">
        <v>521.20000000000005</v>
      </c>
      <c r="D245">
        <v>1059.0999999999999</v>
      </c>
      <c r="E245">
        <v>797.6</v>
      </c>
      <c r="F245" s="19">
        <f t="shared" si="67"/>
        <v>1721.3999999999999</v>
      </c>
      <c r="G245" s="19">
        <f t="shared" si="68"/>
        <v>1318.8000000000002</v>
      </c>
      <c r="H245" s="24">
        <f t="shared" si="69"/>
        <v>30.527752502274772</v>
      </c>
      <c r="I245">
        <v>216.9</v>
      </c>
    </row>
    <row r="246" spans="1:9" x14ac:dyDescent="0.25">
      <c r="A246" s="10">
        <f t="shared" si="2"/>
        <v>40556</v>
      </c>
      <c r="B246">
        <v>663</v>
      </c>
      <c r="C246">
        <v>708.8</v>
      </c>
      <c r="D246">
        <v>1059.0999999999999</v>
      </c>
      <c r="E246">
        <v>797.6</v>
      </c>
      <c r="F246" s="19">
        <f t="shared" si="67"/>
        <v>1722.1</v>
      </c>
      <c r="G246" s="19">
        <f t="shared" si="68"/>
        <v>1506.4</v>
      </c>
      <c r="H246" s="24">
        <f t="shared" si="69"/>
        <v>14.318906001062114</v>
      </c>
      <c r="I246">
        <v>305.89999999999998</v>
      </c>
    </row>
    <row r="247" spans="1:9" x14ac:dyDescent="0.25">
      <c r="A247" s="10">
        <f t="shared" si="2"/>
        <v>40563</v>
      </c>
      <c r="B247">
        <v>664</v>
      </c>
      <c r="C247">
        <v>658.8</v>
      </c>
      <c r="D247">
        <v>1059.0999999999999</v>
      </c>
      <c r="E247">
        <v>847.7</v>
      </c>
      <c r="F247" s="19">
        <f t="shared" si="67"/>
        <v>1723.1</v>
      </c>
      <c r="G247" s="19">
        <f t="shared" si="68"/>
        <v>1506.5</v>
      </c>
      <c r="H247" s="24">
        <f t="shared" si="69"/>
        <v>14.377696647859262</v>
      </c>
      <c r="I247">
        <v>340.4</v>
      </c>
    </row>
    <row r="248" spans="1:9" x14ac:dyDescent="0.25">
      <c r="A248" s="10">
        <f t="shared" si="2"/>
        <v>40570</v>
      </c>
      <c r="B248">
        <v>702.5</v>
      </c>
      <c r="C248">
        <v>613.79999999999995</v>
      </c>
      <c r="D248">
        <v>1059.0999999999999</v>
      </c>
      <c r="E248">
        <v>889.8</v>
      </c>
      <c r="F248" s="19">
        <f t="shared" si="67"/>
        <v>1761.6</v>
      </c>
      <c r="G248" s="19">
        <f t="shared" si="68"/>
        <v>1503.6</v>
      </c>
      <c r="H248" s="24">
        <f t="shared" si="69"/>
        <v>17.158818834796485</v>
      </c>
      <c r="I248">
        <v>340.4</v>
      </c>
    </row>
    <row r="249" spans="1:9" x14ac:dyDescent="0.25">
      <c r="A249" s="10">
        <f t="shared" si="2"/>
        <v>40577</v>
      </c>
      <c r="B249">
        <v>618.5</v>
      </c>
      <c r="C249">
        <v>544.79999999999995</v>
      </c>
      <c r="D249">
        <v>1150.5999999999999</v>
      </c>
      <c r="E249">
        <v>957</v>
      </c>
      <c r="F249" s="19">
        <f t="shared" si="67"/>
        <v>1769.1</v>
      </c>
      <c r="G249" s="19">
        <f t="shared" si="68"/>
        <v>1501.8</v>
      </c>
      <c r="H249" s="24">
        <f t="shared" si="69"/>
        <v>17.798641630043942</v>
      </c>
      <c r="I249">
        <v>340.4</v>
      </c>
    </row>
    <row r="250" spans="1:9" x14ac:dyDescent="0.25">
      <c r="A250" s="10">
        <f t="shared" si="2"/>
        <v>40584</v>
      </c>
      <c r="B250">
        <v>623.1</v>
      </c>
      <c r="C250">
        <v>562.79999999999995</v>
      </c>
      <c r="D250">
        <v>1150.5999999999999</v>
      </c>
      <c r="E250">
        <v>969.9</v>
      </c>
      <c r="F250" s="19">
        <f t="shared" si="67"/>
        <v>1773.6999999999998</v>
      </c>
      <c r="G250" s="19">
        <f t="shared" si="68"/>
        <v>1532.6999999999998</v>
      </c>
      <c r="H250" s="24">
        <f t="shared" si="69"/>
        <v>15.723885952893578</v>
      </c>
      <c r="I250">
        <v>356.4</v>
      </c>
    </row>
    <row r="251" spans="1:9" x14ac:dyDescent="0.25">
      <c r="A251" s="10">
        <f t="shared" si="2"/>
        <v>40591</v>
      </c>
      <c r="B251">
        <v>661.1</v>
      </c>
      <c r="C251">
        <v>512.79999999999995</v>
      </c>
      <c r="D251">
        <v>1169.3</v>
      </c>
      <c r="E251">
        <v>1046.5</v>
      </c>
      <c r="F251" s="19">
        <f t="shared" si="67"/>
        <v>1830.4</v>
      </c>
      <c r="G251" s="19">
        <f t="shared" si="68"/>
        <v>1559.3</v>
      </c>
      <c r="H251" s="24">
        <f t="shared" si="69"/>
        <v>17.386006541396792</v>
      </c>
      <c r="I251">
        <v>430</v>
      </c>
    </row>
    <row r="252" spans="1:9" x14ac:dyDescent="0.25">
      <c r="A252" s="10">
        <f t="shared" si="2"/>
        <v>40598</v>
      </c>
      <c r="B252">
        <v>545.1</v>
      </c>
      <c r="C252">
        <v>453.2</v>
      </c>
      <c r="D252">
        <v>1318.4</v>
      </c>
      <c r="E252">
        <v>1107.0999999999999</v>
      </c>
      <c r="F252" s="19">
        <f t="shared" ref="F252:F265" si="70">+B252+D252</f>
        <v>1863.5</v>
      </c>
      <c r="G252" s="19">
        <f t="shared" ref="G252:G265" si="71">+C252+E252</f>
        <v>1560.3</v>
      </c>
      <c r="H252" s="24">
        <f t="shared" si="69"/>
        <v>19.432160481958594</v>
      </c>
      <c r="I252">
        <v>438</v>
      </c>
    </row>
    <row r="253" spans="1:9" x14ac:dyDescent="0.25">
      <c r="A253" s="10">
        <f t="shared" si="2"/>
        <v>40605</v>
      </c>
      <c r="B253">
        <v>545.1</v>
      </c>
      <c r="C253">
        <v>408.2</v>
      </c>
      <c r="D253">
        <v>1318.4</v>
      </c>
      <c r="E253">
        <v>1156</v>
      </c>
      <c r="F253" s="19">
        <f t="shared" si="70"/>
        <v>1863.5</v>
      </c>
      <c r="G253" s="19">
        <f t="shared" si="71"/>
        <v>1564.2</v>
      </c>
      <c r="H253" s="24">
        <f t="shared" si="69"/>
        <v>19.134381792609645</v>
      </c>
      <c r="I253">
        <v>438</v>
      </c>
    </row>
    <row r="254" spans="1:9" x14ac:dyDescent="0.25">
      <c r="A254" s="10">
        <f t="shared" si="2"/>
        <v>40612</v>
      </c>
      <c r="B254">
        <v>545.1</v>
      </c>
      <c r="C254">
        <v>458.2</v>
      </c>
      <c r="D254">
        <v>1318.5</v>
      </c>
      <c r="E254">
        <v>1156</v>
      </c>
      <c r="F254" s="19">
        <f t="shared" si="70"/>
        <v>1863.6</v>
      </c>
      <c r="G254" s="19">
        <f t="shared" si="71"/>
        <v>1614.2</v>
      </c>
      <c r="H254" s="24">
        <f t="shared" si="69"/>
        <v>15.450377896171474</v>
      </c>
      <c r="I254">
        <v>501</v>
      </c>
    </row>
    <row r="255" spans="1:9" x14ac:dyDescent="0.25">
      <c r="A255" s="10">
        <f t="shared" si="2"/>
        <v>40619</v>
      </c>
      <c r="B255">
        <v>545.1</v>
      </c>
      <c r="C255">
        <v>407.2</v>
      </c>
      <c r="D255">
        <v>1318.4</v>
      </c>
      <c r="E255">
        <v>1204.7</v>
      </c>
      <c r="F255" s="19">
        <f t="shared" si="70"/>
        <v>1863.5</v>
      </c>
      <c r="G255" s="19">
        <f t="shared" si="71"/>
        <v>1611.9</v>
      </c>
      <c r="H255" s="24">
        <f t="shared" si="69"/>
        <v>15.608908741237038</v>
      </c>
      <c r="I255">
        <v>501</v>
      </c>
    </row>
    <row r="256" spans="1:9" x14ac:dyDescent="0.25">
      <c r="A256" s="10">
        <f t="shared" si="2"/>
        <v>40626</v>
      </c>
      <c r="B256">
        <v>449.5</v>
      </c>
      <c r="C256">
        <v>373.2</v>
      </c>
      <c r="D256">
        <v>1422.2</v>
      </c>
      <c r="E256">
        <v>1240</v>
      </c>
      <c r="F256" s="19">
        <f t="shared" si="70"/>
        <v>1871.7</v>
      </c>
      <c r="G256" s="19">
        <f t="shared" si="71"/>
        <v>1613.2</v>
      </c>
      <c r="H256" s="24">
        <f t="shared" ref="H256:H265" si="72">+(F256/G256-1)*100</f>
        <v>16.024051574510302</v>
      </c>
      <c r="I256">
        <v>525</v>
      </c>
    </row>
    <row r="257" spans="1:9" x14ac:dyDescent="0.25">
      <c r="A257" s="10">
        <f t="shared" si="2"/>
        <v>40633</v>
      </c>
      <c r="B257">
        <v>449.5</v>
      </c>
      <c r="C257">
        <v>439.3</v>
      </c>
      <c r="D257">
        <v>1422.2</v>
      </c>
      <c r="E257">
        <v>1240</v>
      </c>
      <c r="F257" s="19">
        <f t="shared" si="70"/>
        <v>1871.7</v>
      </c>
      <c r="G257" s="19">
        <f t="shared" si="71"/>
        <v>1679.3</v>
      </c>
      <c r="H257" s="24">
        <f t="shared" si="72"/>
        <v>11.45715476686715</v>
      </c>
      <c r="I257">
        <v>525</v>
      </c>
    </row>
    <row r="258" spans="1:9" x14ac:dyDescent="0.25">
      <c r="A258" s="10">
        <f t="shared" si="2"/>
        <v>40640</v>
      </c>
      <c r="B258">
        <v>449.5</v>
      </c>
      <c r="C258">
        <v>414.3</v>
      </c>
      <c r="D258">
        <v>1422.2</v>
      </c>
      <c r="E258">
        <v>1266.7</v>
      </c>
      <c r="F258" s="19">
        <f t="shared" si="70"/>
        <v>1871.7</v>
      </c>
      <c r="G258" s="19">
        <f t="shared" si="71"/>
        <v>1681</v>
      </c>
      <c r="H258" s="24">
        <f t="shared" si="72"/>
        <v>11.344437834622244</v>
      </c>
      <c r="I258">
        <v>570</v>
      </c>
    </row>
    <row r="259" spans="1:9" x14ac:dyDescent="0.25">
      <c r="A259" s="10">
        <f t="shared" si="2"/>
        <v>40647</v>
      </c>
      <c r="B259">
        <v>353</v>
      </c>
      <c r="C259">
        <v>273.10000000000002</v>
      </c>
      <c r="D259">
        <v>1522.3</v>
      </c>
      <c r="E259">
        <v>1289</v>
      </c>
      <c r="F259" s="19">
        <f t="shared" si="70"/>
        <v>1875.3</v>
      </c>
      <c r="G259" s="19">
        <f t="shared" si="71"/>
        <v>1562.1</v>
      </c>
      <c r="H259" s="24">
        <f t="shared" si="72"/>
        <v>20.049932782792389</v>
      </c>
      <c r="I259">
        <v>570</v>
      </c>
    </row>
    <row r="260" spans="1:9" x14ac:dyDescent="0.25">
      <c r="A260" s="10">
        <f t="shared" si="2"/>
        <v>40654</v>
      </c>
      <c r="B260">
        <v>353</v>
      </c>
      <c r="C260">
        <v>213.5</v>
      </c>
      <c r="D260">
        <v>1522.3</v>
      </c>
      <c r="E260">
        <v>1352.9</v>
      </c>
      <c r="F260" s="19">
        <f t="shared" si="70"/>
        <v>1875.3</v>
      </c>
      <c r="G260" s="19">
        <f t="shared" si="71"/>
        <v>1566.4</v>
      </c>
      <c r="H260" s="24">
        <f t="shared" si="72"/>
        <v>19.720377936670054</v>
      </c>
      <c r="I260">
        <v>570</v>
      </c>
    </row>
    <row r="261" spans="1:9" x14ac:dyDescent="0.25">
      <c r="A261" s="10">
        <f t="shared" ref="A261:A324" si="73">+A260+7</f>
        <v>40661</v>
      </c>
      <c r="B261">
        <v>231</v>
      </c>
      <c r="C261">
        <v>192</v>
      </c>
      <c r="D261">
        <v>1652.8</v>
      </c>
      <c r="E261">
        <v>1375.5</v>
      </c>
      <c r="F261" s="19">
        <f t="shared" si="70"/>
        <v>1883.8</v>
      </c>
      <c r="G261" s="19">
        <f t="shared" si="71"/>
        <v>1567.5</v>
      </c>
      <c r="H261" s="24">
        <f t="shared" si="72"/>
        <v>20.178628389154696</v>
      </c>
      <c r="I261">
        <v>611</v>
      </c>
    </row>
    <row r="262" spans="1:9" x14ac:dyDescent="0.25">
      <c r="A262" s="10">
        <f t="shared" si="73"/>
        <v>40668</v>
      </c>
      <c r="B262">
        <v>187.8</v>
      </c>
      <c r="C262">
        <v>142</v>
      </c>
      <c r="D262">
        <v>1702.3</v>
      </c>
      <c r="E262">
        <v>1426</v>
      </c>
      <c r="F262" s="19">
        <f t="shared" si="70"/>
        <v>1890.1</v>
      </c>
      <c r="G262" s="19">
        <f t="shared" si="71"/>
        <v>1568</v>
      </c>
      <c r="H262" s="24">
        <f t="shared" si="72"/>
        <v>20.542091836734677</v>
      </c>
      <c r="I262">
        <v>650</v>
      </c>
    </row>
    <row r="263" spans="1:9" x14ac:dyDescent="0.25">
      <c r="A263" s="10">
        <f t="shared" si="73"/>
        <v>40675</v>
      </c>
      <c r="B263">
        <v>187.8</v>
      </c>
      <c r="C263">
        <v>134</v>
      </c>
      <c r="D263">
        <v>1702.3</v>
      </c>
      <c r="E263">
        <v>1434</v>
      </c>
      <c r="F263" s="19">
        <f t="shared" si="70"/>
        <v>1890.1</v>
      </c>
      <c r="G263" s="19">
        <f t="shared" si="71"/>
        <v>1568</v>
      </c>
      <c r="H263" s="24">
        <f t="shared" si="72"/>
        <v>20.542091836734677</v>
      </c>
      <c r="I263">
        <v>650</v>
      </c>
    </row>
    <row r="264" spans="1:9" x14ac:dyDescent="0.25">
      <c r="A264" s="10">
        <f t="shared" si="73"/>
        <v>40682</v>
      </c>
      <c r="B264">
        <v>134</v>
      </c>
      <c r="C264">
        <v>98</v>
      </c>
      <c r="D264">
        <v>1762.2</v>
      </c>
      <c r="E264">
        <v>1472.5</v>
      </c>
      <c r="F264" s="19">
        <f t="shared" si="70"/>
        <v>1896.2</v>
      </c>
      <c r="G264" s="19">
        <f t="shared" si="71"/>
        <v>1570.5</v>
      </c>
      <c r="H264" s="24">
        <f t="shared" si="72"/>
        <v>20.738618274434906</v>
      </c>
      <c r="I264">
        <v>686</v>
      </c>
    </row>
    <row r="265" spans="1:9" x14ac:dyDescent="0.25">
      <c r="A265" s="10">
        <f t="shared" si="73"/>
        <v>40689</v>
      </c>
      <c r="B265">
        <v>65</v>
      </c>
      <c r="C265">
        <v>98</v>
      </c>
      <c r="D265">
        <v>1806.3</v>
      </c>
      <c r="E265">
        <v>1472.5</v>
      </c>
      <c r="F265" s="19">
        <f t="shared" si="70"/>
        <v>1871.3</v>
      </c>
      <c r="G265" s="19">
        <f t="shared" si="71"/>
        <v>1570.5</v>
      </c>
      <c r="H265" s="24">
        <f t="shared" si="72"/>
        <v>19.15313594396688</v>
      </c>
      <c r="I265">
        <v>741</v>
      </c>
    </row>
    <row r="266" spans="1:9" x14ac:dyDescent="0.25">
      <c r="A266" s="10">
        <f t="shared" si="73"/>
        <v>40696</v>
      </c>
      <c r="B266">
        <v>883.5</v>
      </c>
      <c r="C266">
        <v>636.9</v>
      </c>
      <c r="D266">
        <v>0</v>
      </c>
      <c r="E266">
        <v>0</v>
      </c>
      <c r="F266" s="19">
        <f t="shared" ref="F266:F274" si="74">+B266+D266</f>
        <v>883.5</v>
      </c>
      <c r="G266" s="19">
        <f t="shared" ref="G266:G274" si="75">+C266+E266</f>
        <v>636.9</v>
      </c>
      <c r="H266" s="24">
        <f t="shared" ref="H266:H274" si="76">+(F266/G266-1)*100</f>
        <v>38.71879415920867</v>
      </c>
    </row>
    <row r="267" spans="1:9" x14ac:dyDescent="0.25">
      <c r="A267" s="10">
        <v>40703</v>
      </c>
      <c r="B267">
        <v>818.5</v>
      </c>
      <c r="C267">
        <v>615.5</v>
      </c>
      <c r="D267">
        <v>67.8</v>
      </c>
      <c r="E267">
        <v>67.8</v>
      </c>
      <c r="F267" s="19">
        <f t="shared" si="74"/>
        <v>886.3</v>
      </c>
      <c r="G267" s="19">
        <f t="shared" si="75"/>
        <v>683.3</v>
      </c>
      <c r="H267" s="24">
        <f t="shared" si="76"/>
        <v>29.708766281282006</v>
      </c>
    </row>
    <row r="268" spans="1:9" x14ac:dyDescent="0.25">
      <c r="A268" s="10">
        <f t="shared" si="73"/>
        <v>40710</v>
      </c>
      <c r="B268">
        <v>773.5</v>
      </c>
      <c r="C268">
        <v>621.5</v>
      </c>
      <c r="D268">
        <v>117</v>
      </c>
      <c r="E268">
        <v>93.4</v>
      </c>
      <c r="F268" s="19">
        <f t="shared" si="74"/>
        <v>890.5</v>
      </c>
      <c r="G268" s="19">
        <f t="shared" si="75"/>
        <v>714.9</v>
      </c>
      <c r="H268" s="24">
        <f t="shared" si="76"/>
        <v>24.562875926703033</v>
      </c>
    </row>
    <row r="269" spans="1:9" x14ac:dyDescent="0.25">
      <c r="A269" s="10">
        <f t="shared" si="73"/>
        <v>40717</v>
      </c>
      <c r="B269">
        <v>818.5</v>
      </c>
      <c r="C269">
        <v>548</v>
      </c>
      <c r="D269">
        <v>117</v>
      </c>
      <c r="E269">
        <v>172.6</v>
      </c>
      <c r="F269" s="19">
        <f t="shared" si="74"/>
        <v>935.5</v>
      </c>
      <c r="G269" s="19">
        <f t="shared" si="75"/>
        <v>720.6</v>
      </c>
      <c r="H269" s="24">
        <f t="shared" si="76"/>
        <v>29.822370247016373</v>
      </c>
    </row>
    <row r="270" spans="1:9" x14ac:dyDescent="0.25">
      <c r="A270" s="10">
        <f t="shared" si="73"/>
        <v>40724</v>
      </c>
      <c r="B270">
        <v>866.5</v>
      </c>
      <c r="C270">
        <v>588</v>
      </c>
      <c r="D270">
        <v>161.69999999999999</v>
      </c>
      <c r="E270">
        <v>213.2</v>
      </c>
      <c r="F270" s="19">
        <f t="shared" si="74"/>
        <v>1028.2</v>
      </c>
      <c r="G270" s="19">
        <f t="shared" si="75"/>
        <v>801.2</v>
      </c>
      <c r="H270" s="24">
        <f t="shared" si="76"/>
        <v>28.332501248127805</v>
      </c>
    </row>
    <row r="271" spans="1:9" x14ac:dyDescent="0.25">
      <c r="A271" s="10">
        <f t="shared" si="73"/>
        <v>40731</v>
      </c>
      <c r="B271">
        <v>818</v>
      </c>
      <c r="C271">
        <v>629.5</v>
      </c>
      <c r="D271">
        <v>234.9</v>
      </c>
      <c r="E271">
        <v>213.2</v>
      </c>
      <c r="F271" s="19">
        <f t="shared" si="74"/>
        <v>1052.9000000000001</v>
      </c>
      <c r="G271" s="19">
        <f t="shared" si="75"/>
        <v>842.7</v>
      </c>
      <c r="H271" s="24">
        <f t="shared" si="76"/>
        <v>24.943633558799092</v>
      </c>
    </row>
    <row r="272" spans="1:9" x14ac:dyDescent="0.25">
      <c r="A272" s="10">
        <f t="shared" si="73"/>
        <v>40738</v>
      </c>
      <c r="B272">
        <v>826</v>
      </c>
      <c r="C272">
        <v>629.5</v>
      </c>
      <c r="D272">
        <v>234.9</v>
      </c>
      <c r="E272">
        <v>213.2</v>
      </c>
      <c r="F272" s="19">
        <f t="shared" si="74"/>
        <v>1060.9000000000001</v>
      </c>
      <c r="G272" s="19">
        <f t="shared" si="75"/>
        <v>842.7</v>
      </c>
      <c r="H272" s="24">
        <f t="shared" si="76"/>
        <v>25.892963094814281</v>
      </c>
    </row>
    <row r="273" spans="1:9" x14ac:dyDescent="0.25">
      <c r="A273" s="10">
        <f t="shared" si="73"/>
        <v>40745</v>
      </c>
      <c r="B273">
        <v>782</v>
      </c>
      <c r="C273">
        <v>689.5</v>
      </c>
      <c r="D273">
        <v>283.3</v>
      </c>
      <c r="E273">
        <v>258.89999999999998</v>
      </c>
      <c r="F273" s="19">
        <f t="shared" si="74"/>
        <v>1065.3</v>
      </c>
      <c r="G273" s="19">
        <f t="shared" si="75"/>
        <v>948.4</v>
      </c>
      <c r="H273" s="24">
        <f t="shared" si="76"/>
        <v>12.32602277520034</v>
      </c>
    </row>
    <row r="274" spans="1:9" x14ac:dyDescent="0.25">
      <c r="A274" s="10">
        <f t="shared" si="73"/>
        <v>40752</v>
      </c>
      <c r="B274">
        <v>782</v>
      </c>
      <c r="C274">
        <v>733.5</v>
      </c>
      <c r="D274">
        <v>284</v>
      </c>
      <c r="E274">
        <v>308.7</v>
      </c>
      <c r="F274" s="19">
        <f t="shared" si="74"/>
        <v>1066</v>
      </c>
      <c r="G274" s="19">
        <f t="shared" si="75"/>
        <v>1042.2</v>
      </c>
      <c r="H274" s="24">
        <f t="shared" si="76"/>
        <v>2.2836307810401024</v>
      </c>
    </row>
    <row r="275" spans="1:9" x14ac:dyDescent="0.25">
      <c r="A275" s="10">
        <f t="shared" si="73"/>
        <v>40759</v>
      </c>
      <c r="B275">
        <v>727</v>
      </c>
      <c r="C275">
        <v>723.5</v>
      </c>
      <c r="D275">
        <v>340.5</v>
      </c>
      <c r="E275">
        <v>370.9</v>
      </c>
      <c r="F275" s="19">
        <f>+B275+D275</f>
        <v>1067.5</v>
      </c>
      <c r="G275" s="19">
        <f>+C275+E275</f>
        <v>1094.4000000000001</v>
      </c>
      <c r="H275" s="24">
        <f>+(F275/G275-1)*100</f>
        <v>-2.4579678362573132</v>
      </c>
    </row>
    <row r="276" spans="1:9" x14ac:dyDescent="0.25">
      <c r="A276" s="10">
        <f t="shared" si="73"/>
        <v>40766</v>
      </c>
      <c r="B276">
        <v>682</v>
      </c>
      <c r="C276">
        <v>674.5</v>
      </c>
      <c r="D276">
        <v>389.9</v>
      </c>
      <c r="E276">
        <v>424.6</v>
      </c>
      <c r="F276" s="19">
        <f t="shared" ref="F276:F300" si="77">+B276+D276</f>
        <v>1071.9000000000001</v>
      </c>
      <c r="G276" s="19">
        <f t="shared" ref="G276:G300" si="78">+C276+E276</f>
        <v>1099.0999999999999</v>
      </c>
      <c r="H276" s="24">
        <f t="shared" ref="H276:H300" si="79">+(F276/G276-1)*100</f>
        <v>-2.4747520698753411</v>
      </c>
    </row>
    <row r="277" spans="1:9" x14ac:dyDescent="0.25">
      <c r="A277" s="10">
        <f t="shared" si="73"/>
        <v>40773</v>
      </c>
      <c r="B277">
        <v>637</v>
      </c>
      <c r="C277">
        <v>666.5</v>
      </c>
      <c r="D277">
        <v>437</v>
      </c>
      <c r="E277">
        <v>433.1</v>
      </c>
      <c r="F277" s="19">
        <f t="shared" si="77"/>
        <v>1074</v>
      </c>
      <c r="G277" s="19">
        <f t="shared" si="78"/>
        <v>1099.5999999999999</v>
      </c>
      <c r="H277" s="24">
        <f t="shared" si="79"/>
        <v>-2.3281193161149405</v>
      </c>
    </row>
    <row r="278" spans="1:9" x14ac:dyDescent="0.25">
      <c r="A278" s="10">
        <f t="shared" si="73"/>
        <v>40780</v>
      </c>
      <c r="B278">
        <v>596</v>
      </c>
      <c r="C278">
        <v>699</v>
      </c>
      <c r="D278">
        <v>508.2</v>
      </c>
      <c r="E278">
        <v>451.5</v>
      </c>
      <c r="F278" s="19">
        <f t="shared" si="77"/>
        <v>1104.2</v>
      </c>
      <c r="G278" s="19">
        <f t="shared" si="78"/>
        <v>1150.5</v>
      </c>
      <c r="H278" s="24">
        <f t="shared" si="79"/>
        <v>-4.0243372446762233</v>
      </c>
    </row>
    <row r="279" spans="1:9" x14ac:dyDescent="0.25">
      <c r="A279" s="10">
        <f t="shared" si="73"/>
        <v>40787</v>
      </c>
      <c r="B279">
        <v>576</v>
      </c>
      <c r="C279">
        <v>644</v>
      </c>
      <c r="D279">
        <v>559.6</v>
      </c>
      <c r="E279">
        <v>521.5</v>
      </c>
      <c r="F279" s="19">
        <f t="shared" si="77"/>
        <v>1135.5999999999999</v>
      </c>
      <c r="G279" s="19">
        <f t="shared" si="78"/>
        <v>1165.5</v>
      </c>
      <c r="H279" s="24">
        <f t="shared" si="79"/>
        <v>-2.5654225654225704</v>
      </c>
    </row>
    <row r="280" spans="1:9" x14ac:dyDescent="0.25">
      <c r="A280" s="10">
        <f t="shared" si="73"/>
        <v>40794</v>
      </c>
      <c r="B280">
        <v>598</v>
      </c>
      <c r="C280">
        <v>644</v>
      </c>
      <c r="D280">
        <v>559.6</v>
      </c>
      <c r="E280">
        <v>521.5</v>
      </c>
      <c r="F280" s="19">
        <f t="shared" si="77"/>
        <v>1157.5999999999999</v>
      </c>
      <c r="G280" s="19">
        <f t="shared" si="78"/>
        <v>1165.5</v>
      </c>
      <c r="H280" s="24">
        <f t="shared" si="79"/>
        <v>-0.67782067782068411</v>
      </c>
    </row>
    <row r="281" spans="1:9" x14ac:dyDescent="0.25">
      <c r="A281" s="10">
        <f t="shared" si="73"/>
        <v>40801</v>
      </c>
      <c r="B281">
        <v>611.20000000000005</v>
      </c>
      <c r="C281">
        <v>667.6</v>
      </c>
      <c r="D281">
        <v>609.79999999999995</v>
      </c>
      <c r="E281">
        <v>521.5</v>
      </c>
      <c r="F281" s="19">
        <f t="shared" si="77"/>
        <v>1221</v>
      </c>
      <c r="G281" s="19">
        <f t="shared" si="78"/>
        <v>1189.0999999999999</v>
      </c>
      <c r="H281" s="24">
        <f t="shared" si="79"/>
        <v>2.6827012025901986</v>
      </c>
    </row>
    <row r="282" spans="1:9" x14ac:dyDescent="0.25">
      <c r="A282" s="10">
        <f t="shared" si="73"/>
        <v>40808</v>
      </c>
      <c r="B282">
        <v>531.5</v>
      </c>
      <c r="C282">
        <v>644</v>
      </c>
      <c r="D282">
        <v>693.2</v>
      </c>
      <c r="E282">
        <v>622.6</v>
      </c>
      <c r="F282" s="19">
        <f t="shared" si="77"/>
        <v>1224.7</v>
      </c>
      <c r="G282" s="19">
        <f t="shared" si="78"/>
        <v>1266.5999999999999</v>
      </c>
      <c r="H282" s="24">
        <f t="shared" si="79"/>
        <v>-3.3080688457287066</v>
      </c>
    </row>
    <row r="283" spans="1:9" x14ac:dyDescent="0.25">
      <c r="A283" s="10">
        <f t="shared" si="73"/>
        <v>40815</v>
      </c>
      <c r="B283">
        <v>486.5</v>
      </c>
      <c r="C283">
        <v>730.5</v>
      </c>
      <c r="D283">
        <v>737.5</v>
      </c>
      <c r="E283">
        <v>622.6</v>
      </c>
      <c r="F283" s="19">
        <f t="shared" si="77"/>
        <v>1224</v>
      </c>
      <c r="G283" s="19">
        <f t="shared" si="78"/>
        <v>1353.1</v>
      </c>
      <c r="H283" s="24">
        <f t="shared" si="79"/>
        <v>-9.541053876284078</v>
      </c>
    </row>
    <row r="284" spans="1:9" x14ac:dyDescent="0.25">
      <c r="A284" s="10">
        <f t="shared" si="73"/>
        <v>40822</v>
      </c>
      <c r="B284">
        <v>522.5</v>
      </c>
      <c r="C284">
        <v>786.8</v>
      </c>
      <c r="D284">
        <v>737.5</v>
      </c>
      <c r="E284">
        <v>649.9</v>
      </c>
      <c r="F284" s="19">
        <f t="shared" si="77"/>
        <v>1260</v>
      </c>
      <c r="G284" s="19">
        <f t="shared" si="78"/>
        <v>1436.6999999999998</v>
      </c>
      <c r="H284" s="24">
        <f t="shared" si="79"/>
        <v>-12.299018584255572</v>
      </c>
      <c r="I284" s="80"/>
    </row>
    <row r="285" spans="1:9" x14ac:dyDescent="0.25">
      <c r="A285" s="10">
        <f t="shared" si="73"/>
        <v>40829</v>
      </c>
      <c r="B285">
        <v>591.5</v>
      </c>
      <c r="C285">
        <v>774.3</v>
      </c>
      <c r="D285">
        <v>737.5</v>
      </c>
      <c r="E285">
        <v>686.3</v>
      </c>
      <c r="F285" s="19">
        <f t="shared" si="77"/>
        <v>1329</v>
      </c>
      <c r="G285" s="19">
        <f t="shared" si="78"/>
        <v>1460.6</v>
      </c>
      <c r="H285" s="24">
        <f t="shared" si="79"/>
        <v>-9.0099958920991323</v>
      </c>
      <c r="I285" s="80"/>
    </row>
    <row r="286" spans="1:9" x14ac:dyDescent="0.25">
      <c r="A286" s="10">
        <f t="shared" si="73"/>
        <v>40836</v>
      </c>
      <c r="B286">
        <v>577.5</v>
      </c>
      <c r="C286">
        <v>792.3</v>
      </c>
      <c r="D286">
        <v>783.9</v>
      </c>
      <c r="E286">
        <v>735.8</v>
      </c>
      <c r="F286" s="19">
        <f t="shared" si="77"/>
        <v>1361.4</v>
      </c>
      <c r="G286" s="19">
        <f t="shared" si="78"/>
        <v>1528.1</v>
      </c>
      <c r="H286" s="24">
        <f t="shared" si="79"/>
        <v>-10.908971925921062</v>
      </c>
    </row>
    <row r="287" spans="1:9" x14ac:dyDescent="0.25">
      <c r="A287" s="10">
        <f t="shared" si="73"/>
        <v>40843</v>
      </c>
      <c r="B287">
        <v>535.5</v>
      </c>
      <c r="C287">
        <v>825</v>
      </c>
      <c r="D287">
        <v>875.4</v>
      </c>
      <c r="E287">
        <v>736.1</v>
      </c>
      <c r="F287" s="19">
        <f t="shared" si="77"/>
        <v>1410.9</v>
      </c>
      <c r="G287" s="19">
        <f t="shared" si="78"/>
        <v>1561.1</v>
      </c>
      <c r="H287" s="24">
        <f t="shared" si="79"/>
        <v>-9.6214207930305449</v>
      </c>
    </row>
    <row r="288" spans="1:9" x14ac:dyDescent="0.25">
      <c r="A288" s="10">
        <f t="shared" si="73"/>
        <v>40850</v>
      </c>
      <c r="B288">
        <v>565.5</v>
      </c>
      <c r="C288">
        <v>927</v>
      </c>
      <c r="D288">
        <v>927.5</v>
      </c>
      <c r="E288">
        <v>736.1</v>
      </c>
      <c r="F288" s="19">
        <f t="shared" si="77"/>
        <v>1493</v>
      </c>
      <c r="G288" s="19">
        <f t="shared" si="78"/>
        <v>1663.1</v>
      </c>
      <c r="H288" s="24">
        <f t="shared" si="79"/>
        <v>-10.227887679634417</v>
      </c>
    </row>
    <row r="289" spans="1:9" x14ac:dyDescent="0.25">
      <c r="A289" s="10">
        <f t="shared" si="73"/>
        <v>40857</v>
      </c>
      <c r="B289">
        <v>565.5</v>
      </c>
      <c r="C289">
        <v>920.8</v>
      </c>
      <c r="D289">
        <v>927.5</v>
      </c>
      <c r="E289">
        <v>742.3</v>
      </c>
      <c r="F289" s="19">
        <f t="shared" si="77"/>
        <v>1493</v>
      </c>
      <c r="G289" s="19">
        <f t="shared" si="78"/>
        <v>1663.1</v>
      </c>
      <c r="H289" s="24">
        <f t="shared" si="79"/>
        <v>-10.227887679634417</v>
      </c>
    </row>
    <row r="290" spans="1:9" x14ac:dyDescent="0.25">
      <c r="A290" s="10">
        <f t="shared" si="73"/>
        <v>40864</v>
      </c>
      <c r="B290">
        <v>489.5</v>
      </c>
      <c r="C290">
        <v>885</v>
      </c>
      <c r="D290">
        <v>1035.5</v>
      </c>
      <c r="E290">
        <v>779.4</v>
      </c>
      <c r="F290" s="19">
        <f t="shared" si="77"/>
        <v>1525</v>
      </c>
      <c r="G290" s="19">
        <f t="shared" si="78"/>
        <v>1664.4</v>
      </c>
      <c r="H290" s="24">
        <f t="shared" si="79"/>
        <v>-8.3753905311223278</v>
      </c>
    </row>
    <row r="291" spans="1:9" x14ac:dyDescent="0.25">
      <c r="A291" s="10">
        <f t="shared" si="73"/>
        <v>40871</v>
      </c>
      <c r="B291">
        <v>553.5</v>
      </c>
      <c r="C291">
        <v>835.6</v>
      </c>
      <c r="D291">
        <v>1084.7</v>
      </c>
      <c r="E291">
        <v>830.9</v>
      </c>
      <c r="F291" s="19">
        <f t="shared" si="77"/>
        <v>1638.2</v>
      </c>
      <c r="G291" s="19">
        <f t="shared" si="78"/>
        <v>1666.5</v>
      </c>
      <c r="H291" s="24">
        <f t="shared" si="79"/>
        <v>-1.6981698169816983</v>
      </c>
    </row>
    <row r="292" spans="1:9" x14ac:dyDescent="0.25">
      <c r="A292" s="10">
        <f t="shared" si="73"/>
        <v>40878</v>
      </c>
      <c r="B292">
        <v>469.5</v>
      </c>
      <c r="C292">
        <v>829.1</v>
      </c>
      <c r="D292">
        <v>1185.2</v>
      </c>
      <c r="E292">
        <v>889.6</v>
      </c>
      <c r="F292" s="19">
        <f t="shared" si="77"/>
        <v>1654.7</v>
      </c>
      <c r="G292" s="19">
        <f t="shared" si="78"/>
        <v>1718.7</v>
      </c>
      <c r="H292" s="24">
        <f t="shared" si="79"/>
        <v>-3.7237446907546379</v>
      </c>
    </row>
    <row r="293" spans="1:9" x14ac:dyDescent="0.25">
      <c r="A293" s="10">
        <f t="shared" si="73"/>
        <v>40885</v>
      </c>
      <c r="B293">
        <v>469.5</v>
      </c>
      <c r="C293">
        <v>829.5</v>
      </c>
      <c r="D293">
        <v>1185.2</v>
      </c>
      <c r="E293">
        <v>889.6</v>
      </c>
      <c r="F293" s="19">
        <f t="shared" si="77"/>
        <v>1654.7</v>
      </c>
      <c r="G293" s="19">
        <f t="shared" si="78"/>
        <v>1719.1</v>
      </c>
      <c r="H293" s="24">
        <f t="shared" si="79"/>
        <v>-3.7461462393112543</v>
      </c>
    </row>
    <row r="294" spans="1:9" x14ac:dyDescent="0.25">
      <c r="A294" s="10">
        <f t="shared" si="73"/>
        <v>40892</v>
      </c>
      <c r="B294">
        <v>472</v>
      </c>
      <c r="C294">
        <v>797.5</v>
      </c>
      <c r="D294">
        <v>1185.2</v>
      </c>
      <c r="E294">
        <v>924.8</v>
      </c>
      <c r="F294" s="19">
        <f t="shared" si="77"/>
        <v>1657.2</v>
      </c>
      <c r="G294" s="19">
        <f t="shared" si="78"/>
        <v>1722.3</v>
      </c>
      <c r="H294" s="24">
        <f t="shared" si="79"/>
        <v>-3.7798292980317005</v>
      </c>
    </row>
    <row r="295" spans="1:9" x14ac:dyDescent="0.25">
      <c r="A295" s="10">
        <f t="shared" si="73"/>
        <v>40899</v>
      </c>
      <c r="B295">
        <v>476</v>
      </c>
      <c r="C295">
        <v>697.4</v>
      </c>
      <c r="D295">
        <v>1237.4000000000001</v>
      </c>
      <c r="E295">
        <v>1022.3</v>
      </c>
      <c r="F295" s="19">
        <f t="shared" si="77"/>
        <v>1713.4</v>
      </c>
      <c r="G295" s="19">
        <f t="shared" si="78"/>
        <v>1719.6999999999998</v>
      </c>
      <c r="H295" s="24">
        <f t="shared" si="79"/>
        <v>-0.3663429667965179</v>
      </c>
    </row>
    <row r="296" spans="1:9" x14ac:dyDescent="0.25">
      <c r="A296" s="10">
        <f t="shared" si="73"/>
        <v>40906</v>
      </c>
      <c r="B296">
        <v>459.5</v>
      </c>
      <c r="C296">
        <v>696.8</v>
      </c>
      <c r="D296">
        <v>1273.5999999999999</v>
      </c>
      <c r="E296">
        <v>1022.9</v>
      </c>
      <c r="F296" s="19">
        <f t="shared" si="77"/>
        <v>1733.1</v>
      </c>
      <c r="G296" s="19">
        <f t="shared" si="78"/>
        <v>1719.6999999999998</v>
      </c>
      <c r="H296" s="24">
        <f t="shared" si="79"/>
        <v>0.77920567540850083</v>
      </c>
    </row>
    <row r="297" spans="1:9" x14ac:dyDescent="0.25">
      <c r="A297" s="10">
        <f t="shared" si="73"/>
        <v>40913</v>
      </c>
      <c r="B297">
        <v>460.5</v>
      </c>
      <c r="C297">
        <v>662.3</v>
      </c>
      <c r="D297">
        <v>1303.3</v>
      </c>
      <c r="E297">
        <v>1059.0999999999999</v>
      </c>
      <c r="F297" s="19">
        <f t="shared" si="77"/>
        <v>1763.8</v>
      </c>
      <c r="G297" s="19">
        <f t="shared" si="78"/>
        <v>1721.3999999999999</v>
      </c>
      <c r="H297" s="24">
        <f t="shared" si="79"/>
        <v>2.463111420936448</v>
      </c>
    </row>
    <row r="298" spans="1:9" x14ac:dyDescent="0.25">
      <c r="A298" s="10">
        <f t="shared" si="73"/>
        <v>40920</v>
      </c>
      <c r="B298">
        <v>451.5</v>
      </c>
      <c r="C298">
        <v>663</v>
      </c>
      <c r="D298">
        <v>1323.1</v>
      </c>
      <c r="E298">
        <v>1059.0999999999999</v>
      </c>
      <c r="F298" s="19">
        <f t="shared" si="77"/>
        <v>1774.6</v>
      </c>
      <c r="G298" s="19">
        <f t="shared" si="78"/>
        <v>1722.1</v>
      </c>
      <c r="H298" s="24">
        <f t="shared" si="79"/>
        <v>3.0486034492770431</v>
      </c>
      <c r="I298">
        <v>48</v>
      </c>
    </row>
    <row r="299" spans="1:9" x14ac:dyDescent="0.25">
      <c r="A299" s="10">
        <f t="shared" si="73"/>
        <v>40927</v>
      </c>
      <c r="B299">
        <v>475.5</v>
      </c>
      <c r="C299">
        <v>664</v>
      </c>
      <c r="D299">
        <v>1323.1</v>
      </c>
      <c r="E299">
        <v>1059.0999999999999</v>
      </c>
      <c r="F299" s="19">
        <f t="shared" si="77"/>
        <v>1798.6</v>
      </c>
      <c r="G299" s="19">
        <f t="shared" si="78"/>
        <v>1723.1</v>
      </c>
      <c r="H299" s="24">
        <f t="shared" si="79"/>
        <v>4.3816377459230393</v>
      </c>
      <c r="I299">
        <v>48</v>
      </c>
    </row>
    <row r="300" spans="1:9" x14ac:dyDescent="0.25">
      <c r="A300" s="10">
        <f t="shared" si="73"/>
        <v>40934</v>
      </c>
      <c r="B300">
        <v>477</v>
      </c>
      <c r="C300">
        <v>702.5</v>
      </c>
      <c r="D300">
        <v>1323.1</v>
      </c>
      <c r="E300">
        <v>1059.0999999999999</v>
      </c>
      <c r="F300" s="19">
        <f t="shared" si="77"/>
        <v>1800.1</v>
      </c>
      <c r="G300" s="19">
        <f t="shared" si="78"/>
        <v>1761.6</v>
      </c>
      <c r="H300" s="24">
        <f t="shared" si="79"/>
        <v>2.1855131698455876</v>
      </c>
      <c r="I300">
        <v>48</v>
      </c>
    </row>
    <row r="301" spans="1:9" x14ac:dyDescent="0.25">
      <c r="A301" s="10">
        <f t="shared" si="73"/>
        <v>40941</v>
      </c>
      <c r="B301">
        <v>477</v>
      </c>
      <c r="C301">
        <v>618.5</v>
      </c>
      <c r="D301">
        <v>1323.1</v>
      </c>
      <c r="E301">
        <v>1150.5999999999999</v>
      </c>
      <c r="F301" s="19">
        <f t="shared" ref="F301:F332" si="80">+B301+D301</f>
        <v>1800.1</v>
      </c>
      <c r="G301" s="19">
        <f t="shared" ref="G301:G332" si="81">+C301+E301</f>
        <v>1769.1</v>
      </c>
      <c r="H301" s="24">
        <f t="shared" ref="H301:H332" si="82">+(F301/G301-1)*100</f>
        <v>1.7523034311231811</v>
      </c>
      <c r="I301">
        <v>48</v>
      </c>
    </row>
    <row r="302" spans="1:9" x14ac:dyDescent="0.25">
      <c r="A302" s="10">
        <f t="shared" si="73"/>
        <v>40948</v>
      </c>
      <c r="B302">
        <v>366.5</v>
      </c>
      <c r="C302">
        <v>623.1</v>
      </c>
      <c r="D302">
        <v>1433.7</v>
      </c>
      <c r="E302">
        <v>1150.5999999999999</v>
      </c>
      <c r="F302" s="19">
        <f t="shared" si="80"/>
        <v>1800.2</v>
      </c>
      <c r="G302" s="19">
        <f t="shared" si="81"/>
        <v>1773.6999999999998</v>
      </c>
      <c r="H302" s="24">
        <f t="shared" si="82"/>
        <v>1.4940519817331133</v>
      </c>
      <c r="I302">
        <v>48</v>
      </c>
    </row>
    <row r="303" spans="1:9" x14ac:dyDescent="0.25">
      <c r="A303" s="10">
        <f t="shared" si="73"/>
        <v>40955</v>
      </c>
      <c r="B303">
        <v>435.7</v>
      </c>
      <c r="C303">
        <v>661.1</v>
      </c>
      <c r="D303">
        <v>1433.7</v>
      </c>
      <c r="E303">
        <v>1169.3</v>
      </c>
      <c r="F303" s="19">
        <f t="shared" si="80"/>
        <v>1869.4</v>
      </c>
      <c r="G303" s="19">
        <f t="shared" si="81"/>
        <v>1830.4</v>
      </c>
      <c r="H303" s="24">
        <f t="shared" si="82"/>
        <v>2.1306818181818121</v>
      </c>
      <c r="I303">
        <v>48</v>
      </c>
    </row>
    <row r="304" spans="1:9" x14ac:dyDescent="0.25">
      <c r="A304" s="10">
        <f t="shared" si="73"/>
        <v>40962</v>
      </c>
      <c r="B304">
        <v>376.7</v>
      </c>
      <c r="C304">
        <v>545.1</v>
      </c>
      <c r="D304">
        <v>1494.8</v>
      </c>
      <c r="E304">
        <v>1318.5</v>
      </c>
      <c r="F304" s="19">
        <f t="shared" si="80"/>
        <v>1871.5</v>
      </c>
      <c r="G304" s="19">
        <f t="shared" si="81"/>
        <v>1863.6</v>
      </c>
      <c r="H304" s="24">
        <f t="shared" si="82"/>
        <v>0.42391071045289053</v>
      </c>
      <c r="I304">
        <v>48</v>
      </c>
    </row>
    <row r="305" spans="1:9" x14ac:dyDescent="0.25">
      <c r="A305" s="10">
        <f t="shared" si="73"/>
        <v>40969</v>
      </c>
      <c r="B305">
        <v>357.2</v>
      </c>
      <c r="C305">
        <v>545.1</v>
      </c>
      <c r="D305">
        <v>1513.3</v>
      </c>
      <c r="E305">
        <v>1318.5</v>
      </c>
      <c r="F305" s="19">
        <f t="shared" si="80"/>
        <v>1870.5</v>
      </c>
      <c r="G305" s="19">
        <f t="shared" si="81"/>
        <v>1863.6</v>
      </c>
      <c r="H305" s="24">
        <f t="shared" si="82"/>
        <v>0.37025112685125094</v>
      </c>
      <c r="I305">
        <v>144</v>
      </c>
    </row>
    <row r="306" spans="1:9" x14ac:dyDescent="0.25">
      <c r="A306" s="10">
        <f t="shared" si="73"/>
        <v>40976</v>
      </c>
      <c r="B306">
        <v>261.10000000000002</v>
      </c>
      <c r="C306">
        <v>545.1</v>
      </c>
      <c r="D306">
        <v>1667.7</v>
      </c>
      <c r="E306">
        <v>1318.5</v>
      </c>
      <c r="F306" s="19">
        <f t="shared" si="80"/>
        <v>1928.8000000000002</v>
      </c>
      <c r="G306" s="19">
        <f t="shared" si="81"/>
        <v>1863.6</v>
      </c>
      <c r="H306" s="24">
        <f t="shared" si="82"/>
        <v>3.4986048508263812</v>
      </c>
    </row>
    <row r="307" spans="1:9" x14ac:dyDescent="0.25">
      <c r="A307" s="10">
        <f t="shared" si="73"/>
        <v>40983</v>
      </c>
      <c r="B307">
        <v>272.10000000000002</v>
      </c>
      <c r="C307">
        <v>545.1</v>
      </c>
      <c r="D307">
        <v>1722.3</v>
      </c>
      <c r="E307">
        <v>1318.5</v>
      </c>
      <c r="F307" s="19">
        <f t="shared" si="80"/>
        <v>1994.4</v>
      </c>
      <c r="G307" s="19">
        <f t="shared" si="81"/>
        <v>1863.6</v>
      </c>
      <c r="H307" s="24">
        <f t="shared" si="82"/>
        <v>7.0186735350933782</v>
      </c>
      <c r="I307">
        <v>163</v>
      </c>
    </row>
    <row r="308" spans="1:9" x14ac:dyDescent="0.25">
      <c r="A308" s="10">
        <f t="shared" si="73"/>
        <v>40990</v>
      </c>
      <c r="B308">
        <v>254.1</v>
      </c>
      <c r="C308">
        <v>449.5</v>
      </c>
      <c r="D308">
        <v>1722.3</v>
      </c>
      <c r="E308">
        <v>1422.2</v>
      </c>
      <c r="F308" s="19">
        <f t="shared" si="80"/>
        <v>1976.3999999999999</v>
      </c>
      <c r="G308" s="19">
        <f t="shared" si="81"/>
        <v>1871.7</v>
      </c>
      <c r="H308" s="24">
        <f t="shared" si="82"/>
        <v>5.5938451674947709</v>
      </c>
      <c r="I308">
        <v>204</v>
      </c>
    </row>
    <row r="309" spans="1:9" x14ac:dyDescent="0.25">
      <c r="A309" s="10">
        <f t="shared" si="73"/>
        <v>40997</v>
      </c>
      <c r="B309">
        <v>254.1</v>
      </c>
      <c r="C309">
        <v>449.5</v>
      </c>
      <c r="D309">
        <v>1722.3</v>
      </c>
      <c r="E309">
        <v>1422.2</v>
      </c>
      <c r="F309" s="19">
        <f t="shared" si="80"/>
        <v>1976.3999999999999</v>
      </c>
      <c r="G309" s="19">
        <f t="shared" si="81"/>
        <v>1871.7</v>
      </c>
      <c r="H309" s="24">
        <f t="shared" si="82"/>
        <v>5.5938451674947709</v>
      </c>
      <c r="I309">
        <v>204</v>
      </c>
    </row>
    <row r="310" spans="1:9" x14ac:dyDescent="0.25">
      <c r="A310" s="10">
        <f t="shared" si="73"/>
        <v>41004</v>
      </c>
      <c r="B310">
        <v>254.1</v>
      </c>
      <c r="C310">
        <v>449.5</v>
      </c>
      <c r="D310">
        <v>1722.3</v>
      </c>
      <c r="E310">
        <v>1422.2</v>
      </c>
      <c r="F310" s="19">
        <f t="shared" si="80"/>
        <v>1976.3999999999999</v>
      </c>
      <c r="G310" s="19">
        <f t="shared" si="81"/>
        <v>1871.7</v>
      </c>
      <c r="H310" s="24">
        <f t="shared" si="82"/>
        <v>5.5938451674947709</v>
      </c>
      <c r="I310">
        <v>204</v>
      </c>
    </row>
    <row r="311" spans="1:9" x14ac:dyDescent="0.25">
      <c r="A311" s="10">
        <f t="shared" si="73"/>
        <v>41011</v>
      </c>
      <c r="B311">
        <v>254</v>
      </c>
      <c r="C311">
        <v>353</v>
      </c>
      <c r="D311">
        <v>1722.4</v>
      </c>
      <c r="E311">
        <v>1522.3</v>
      </c>
      <c r="F311" s="19">
        <f t="shared" si="80"/>
        <v>1976.4</v>
      </c>
      <c r="G311" s="19">
        <f t="shared" si="81"/>
        <v>1875.3</v>
      </c>
      <c r="H311" s="24">
        <f t="shared" si="82"/>
        <v>5.3911374180131144</v>
      </c>
      <c r="I311">
        <v>204</v>
      </c>
    </row>
    <row r="312" spans="1:9" x14ac:dyDescent="0.25">
      <c r="A312" s="10">
        <f t="shared" si="73"/>
        <v>41018</v>
      </c>
      <c r="B312">
        <v>184</v>
      </c>
      <c r="C312">
        <v>353</v>
      </c>
      <c r="D312">
        <v>1797.9</v>
      </c>
      <c r="E312">
        <v>1522.3</v>
      </c>
      <c r="F312" s="19">
        <f t="shared" si="80"/>
        <v>1981.9</v>
      </c>
      <c r="G312" s="19">
        <f t="shared" si="81"/>
        <v>1875.3</v>
      </c>
      <c r="H312" s="24">
        <f t="shared" si="82"/>
        <v>5.6844238255212565</v>
      </c>
      <c r="I312">
        <v>204</v>
      </c>
    </row>
    <row r="313" spans="1:9" x14ac:dyDescent="0.25">
      <c r="A313" s="10">
        <f t="shared" si="73"/>
        <v>41025</v>
      </c>
      <c r="B313">
        <v>0</v>
      </c>
      <c r="C313">
        <v>231</v>
      </c>
      <c r="D313">
        <v>1989.1</v>
      </c>
      <c r="E313">
        <v>1652.8</v>
      </c>
      <c r="F313" s="19">
        <f t="shared" si="80"/>
        <v>1989.1</v>
      </c>
      <c r="G313" s="19">
        <f t="shared" si="81"/>
        <v>1883.8</v>
      </c>
      <c r="H313" s="24">
        <f t="shared" si="82"/>
        <v>5.589765367873456</v>
      </c>
      <c r="I313">
        <v>249.5</v>
      </c>
    </row>
    <row r="314" spans="1:9" x14ac:dyDescent="0.25">
      <c r="A314" s="10">
        <f t="shared" si="73"/>
        <v>41032</v>
      </c>
      <c r="B314">
        <v>95</v>
      </c>
      <c r="C314">
        <v>187.8</v>
      </c>
      <c r="D314">
        <v>1989.1</v>
      </c>
      <c r="E314">
        <v>1702.3</v>
      </c>
      <c r="F314" s="19">
        <f t="shared" si="80"/>
        <v>2084.1</v>
      </c>
      <c r="G314" s="19">
        <f t="shared" si="81"/>
        <v>1890.1</v>
      </c>
      <c r="H314" s="24">
        <f t="shared" si="82"/>
        <v>10.264007195386494</v>
      </c>
      <c r="I314">
        <v>266</v>
      </c>
    </row>
    <row r="315" spans="1:9" x14ac:dyDescent="0.25">
      <c r="A315" s="10">
        <f t="shared" si="73"/>
        <v>41039</v>
      </c>
      <c r="B315">
        <v>95</v>
      </c>
      <c r="C315">
        <v>187.8</v>
      </c>
      <c r="D315">
        <v>1989.1</v>
      </c>
      <c r="E315">
        <v>1702.3</v>
      </c>
      <c r="F315" s="19">
        <f t="shared" si="80"/>
        <v>2084.1</v>
      </c>
      <c r="G315" s="19">
        <f t="shared" si="81"/>
        <v>1890.1</v>
      </c>
      <c r="H315" s="24">
        <f t="shared" si="82"/>
        <v>10.264007195386494</v>
      </c>
      <c r="I315">
        <v>310.5</v>
      </c>
    </row>
    <row r="316" spans="1:9" x14ac:dyDescent="0.25">
      <c r="A316" s="10">
        <f t="shared" si="73"/>
        <v>41046</v>
      </c>
      <c r="B316">
        <v>50.6</v>
      </c>
      <c r="C316">
        <v>134</v>
      </c>
      <c r="D316">
        <v>2038.6</v>
      </c>
      <c r="E316">
        <v>1762.2</v>
      </c>
      <c r="F316" s="19">
        <f t="shared" si="80"/>
        <v>2089.1999999999998</v>
      </c>
      <c r="G316" s="19">
        <f t="shared" si="81"/>
        <v>1896.2</v>
      </c>
      <c r="H316" s="24">
        <f t="shared" si="82"/>
        <v>10.178251239320723</v>
      </c>
      <c r="I316">
        <v>310.5</v>
      </c>
    </row>
    <row r="317" spans="1:9" x14ac:dyDescent="0.25">
      <c r="A317" s="10">
        <f t="shared" si="73"/>
        <v>41053</v>
      </c>
      <c r="B317">
        <v>50.6</v>
      </c>
      <c r="C317">
        <v>65</v>
      </c>
      <c r="D317">
        <v>2038.6</v>
      </c>
      <c r="E317">
        <v>1806.3</v>
      </c>
      <c r="F317" s="19">
        <f t="shared" si="80"/>
        <v>2089.1999999999998</v>
      </c>
      <c r="G317" s="19">
        <f t="shared" si="81"/>
        <v>1871.3</v>
      </c>
      <c r="H317" s="24">
        <f t="shared" si="82"/>
        <v>11.644311441244049</v>
      </c>
      <c r="I317">
        <v>340</v>
      </c>
    </row>
    <row r="318" spans="1:9" x14ac:dyDescent="0.25">
      <c r="A318" s="10">
        <f t="shared" si="73"/>
        <v>41060</v>
      </c>
      <c r="B318">
        <v>50.6</v>
      </c>
      <c r="C318">
        <v>65</v>
      </c>
      <c r="D318">
        <v>2038.6</v>
      </c>
      <c r="E318">
        <v>1806.3</v>
      </c>
      <c r="F318" s="19">
        <f t="shared" si="80"/>
        <v>2089.1999999999998</v>
      </c>
      <c r="G318" s="19">
        <f t="shared" si="81"/>
        <v>1871.3</v>
      </c>
      <c r="H318" s="24">
        <f t="shared" si="82"/>
        <v>11.644311441244049</v>
      </c>
    </row>
    <row r="319" spans="1:9" x14ac:dyDescent="0.25">
      <c r="A319" s="10">
        <f t="shared" si="73"/>
        <v>41067</v>
      </c>
      <c r="B319">
        <v>363.5</v>
      </c>
      <c r="C319">
        <v>818.5</v>
      </c>
      <c r="D319">
        <v>55</v>
      </c>
      <c r="E319">
        <v>67.8</v>
      </c>
      <c r="F319" s="19">
        <f t="shared" si="80"/>
        <v>418.5</v>
      </c>
      <c r="G319" s="19">
        <f t="shared" si="81"/>
        <v>886.3</v>
      </c>
      <c r="H319" s="24">
        <f t="shared" si="82"/>
        <v>-52.78122531874083</v>
      </c>
    </row>
    <row r="320" spans="1:9" x14ac:dyDescent="0.25">
      <c r="A320" s="10">
        <f t="shared" si="73"/>
        <v>41074</v>
      </c>
      <c r="B320">
        <v>273.5</v>
      </c>
      <c r="C320">
        <v>773.5</v>
      </c>
      <c r="D320">
        <v>149.5</v>
      </c>
      <c r="E320">
        <v>117</v>
      </c>
      <c r="F320" s="19">
        <f t="shared" si="80"/>
        <v>423</v>
      </c>
      <c r="G320" s="19">
        <f t="shared" si="81"/>
        <v>890.5</v>
      </c>
      <c r="H320" s="24">
        <f t="shared" si="82"/>
        <v>-52.498596294216739</v>
      </c>
    </row>
    <row r="321" spans="1:8" x14ac:dyDescent="0.25">
      <c r="A321" s="10">
        <f t="shared" si="73"/>
        <v>41081</v>
      </c>
      <c r="B321">
        <v>255.9</v>
      </c>
      <c r="C321">
        <v>818.5</v>
      </c>
      <c r="D321">
        <v>174.6</v>
      </c>
      <c r="E321">
        <v>117</v>
      </c>
      <c r="F321" s="19">
        <f t="shared" si="80"/>
        <v>430.5</v>
      </c>
      <c r="G321" s="19">
        <f t="shared" si="81"/>
        <v>935.5</v>
      </c>
      <c r="H321" s="24">
        <f t="shared" si="82"/>
        <v>-53.981827899518976</v>
      </c>
    </row>
    <row r="322" spans="1:8" x14ac:dyDescent="0.25">
      <c r="A322" s="10">
        <f t="shared" si="73"/>
        <v>41088</v>
      </c>
      <c r="B322">
        <v>301.39999999999998</v>
      </c>
      <c r="C322">
        <v>866.5</v>
      </c>
      <c r="D322">
        <v>216.5</v>
      </c>
      <c r="E322">
        <v>161.69999999999999</v>
      </c>
      <c r="F322" s="19">
        <f t="shared" si="80"/>
        <v>517.9</v>
      </c>
      <c r="G322" s="19">
        <f t="shared" si="81"/>
        <v>1028.2</v>
      </c>
      <c r="H322" s="24">
        <f t="shared" si="82"/>
        <v>-49.630422096868323</v>
      </c>
    </row>
    <row r="323" spans="1:8" x14ac:dyDescent="0.25">
      <c r="A323" s="10">
        <f t="shared" si="73"/>
        <v>41095</v>
      </c>
      <c r="B323">
        <v>376.9</v>
      </c>
      <c r="C323">
        <v>818</v>
      </c>
      <c r="D323">
        <v>253.6</v>
      </c>
      <c r="E323">
        <v>234.9</v>
      </c>
      <c r="F323" s="19">
        <f t="shared" si="80"/>
        <v>630.5</v>
      </c>
      <c r="G323" s="19">
        <f t="shared" si="81"/>
        <v>1052.9000000000001</v>
      </c>
      <c r="H323" s="24">
        <f t="shared" si="82"/>
        <v>-40.117769968658003</v>
      </c>
    </row>
    <row r="324" spans="1:8" x14ac:dyDescent="0.25">
      <c r="A324" s="10">
        <f t="shared" si="73"/>
        <v>41102</v>
      </c>
      <c r="B324">
        <v>399.9</v>
      </c>
      <c r="C324">
        <v>826</v>
      </c>
      <c r="D324">
        <v>275.2</v>
      </c>
      <c r="E324">
        <v>234.9</v>
      </c>
      <c r="F324" s="19">
        <f t="shared" si="80"/>
        <v>675.09999999999991</v>
      </c>
      <c r="G324" s="19">
        <f t="shared" si="81"/>
        <v>1060.9000000000001</v>
      </c>
      <c r="H324" s="24">
        <f t="shared" si="82"/>
        <v>-36.365350174380261</v>
      </c>
    </row>
    <row r="325" spans="1:8" x14ac:dyDescent="0.25">
      <c r="A325" s="10">
        <f t="shared" ref="A325:A388" si="83">+A324+7</f>
        <v>41109</v>
      </c>
      <c r="B325">
        <v>412.9</v>
      </c>
      <c r="C325">
        <v>782</v>
      </c>
      <c r="D325">
        <v>275.2</v>
      </c>
      <c r="E325">
        <v>283.3</v>
      </c>
      <c r="F325" s="19">
        <f t="shared" si="80"/>
        <v>688.09999999999991</v>
      </c>
      <c r="G325" s="19">
        <f t="shared" si="81"/>
        <v>1065.3</v>
      </c>
      <c r="H325" s="24">
        <f t="shared" si="82"/>
        <v>-35.407866328733697</v>
      </c>
    </row>
    <row r="326" spans="1:8" x14ac:dyDescent="0.25">
      <c r="A326" s="10">
        <f t="shared" si="83"/>
        <v>41116</v>
      </c>
      <c r="B326">
        <v>459.9</v>
      </c>
      <c r="C326">
        <v>782</v>
      </c>
      <c r="D326">
        <v>283.60000000000002</v>
      </c>
      <c r="E326">
        <v>284</v>
      </c>
      <c r="F326" s="19">
        <f t="shared" si="80"/>
        <v>743.5</v>
      </c>
      <c r="G326" s="19">
        <f t="shared" si="81"/>
        <v>1066</v>
      </c>
      <c r="H326" s="24">
        <f t="shared" si="82"/>
        <v>-30.253283302063792</v>
      </c>
    </row>
    <row r="327" spans="1:8" x14ac:dyDescent="0.25">
      <c r="A327" s="10">
        <f t="shared" si="83"/>
        <v>41123</v>
      </c>
      <c r="B327">
        <v>413.4</v>
      </c>
      <c r="C327">
        <v>727</v>
      </c>
      <c r="D327">
        <v>376.7</v>
      </c>
      <c r="E327">
        <v>340.5</v>
      </c>
      <c r="F327" s="19">
        <f t="shared" si="80"/>
        <v>790.09999999999991</v>
      </c>
      <c r="G327" s="19">
        <f t="shared" si="81"/>
        <v>1067.5</v>
      </c>
      <c r="H327" s="24">
        <f t="shared" si="82"/>
        <v>-25.985948477751762</v>
      </c>
    </row>
    <row r="328" spans="1:8" x14ac:dyDescent="0.25">
      <c r="A328" s="10">
        <f t="shared" si="83"/>
        <v>41130</v>
      </c>
      <c r="B328">
        <v>362.4</v>
      </c>
      <c r="C328">
        <v>682</v>
      </c>
      <c r="D328">
        <v>449.8</v>
      </c>
      <c r="E328">
        <v>389.9</v>
      </c>
      <c r="F328" s="19">
        <f t="shared" si="80"/>
        <v>812.2</v>
      </c>
      <c r="G328" s="19">
        <f t="shared" si="81"/>
        <v>1071.9000000000001</v>
      </c>
      <c r="H328" s="24">
        <f t="shared" si="82"/>
        <v>-24.228006343875364</v>
      </c>
    </row>
    <row r="329" spans="1:8" x14ac:dyDescent="0.25">
      <c r="A329" s="10">
        <f t="shared" si="83"/>
        <v>41137</v>
      </c>
      <c r="B329">
        <v>416.4</v>
      </c>
      <c r="C329">
        <v>637</v>
      </c>
      <c r="D329">
        <v>449.8</v>
      </c>
      <c r="E329">
        <v>437</v>
      </c>
      <c r="F329" s="19">
        <f t="shared" si="80"/>
        <v>866.2</v>
      </c>
      <c r="G329" s="19">
        <f t="shared" si="81"/>
        <v>1074</v>
      </c>
      <c r="H329" s="24">
        <f t="shared" si="82"/>
        <v>-19.348230912476716</v>
      </c>
    </row>
    <row r="330" spans="1:8" x14ac:dyDescent="0.25">
      <c r="A330" s="10">
        <f t="shared" si="83"/>
        <v>41144</v>
      </c>
      <c r="B330">
        <v>366.4</v>
      </c>
      <c r="C330">
        <v>596</v>
      </c>
      <c r="D330">
        <v>527.79999999999995</v>
      </c>
      <c r="E330">
        <v>508.2</v>
      </c>
      <c r="F330" s="19">
        <f t="shared" si="80"/>
        <v>894.19999999999993</v>
      </c>
      <c r="G330" s="19">
        <f t="shared" si="81"/>
        <v>1104.2</v>
      </c>
      <c r="H330" s="24">
        <f t="shared" si="82"/>
        <v>-19.018293787357376</v>
      </c>
    </row>
    <row r="331" spans="1:8" x14ac:dyDescent="0.25">
      <c r="A331" s="10">
        <f t="shared" si="83"/>
        <v>41151</v>
      </c>
      <c r="B331">
        <v>409.4</v>
      </c>
      <c r="C331">
        <v>576</v>
      </c>
      <c r="D331">
        <v>554.20000000000005</v>
      </c>
      <c r="E331">
        <v>559.6</v>
      </c>
      <c r="F331" s="19">
        <f t="shared" si="80"/>
        <v>963.6</v>
      </c>
      <c r="G331" s="19">
        <f t="shared" si="81"/>
        <v>1135.5999999999999</v>
      </c>
      <c r="H331" s="24">
        <f t="shared" si="82"/>
        <v>-15.146178231771746</v>
      </c>
    </row>
    <row r="332" spans="1:8" x14ac:dyDescent="0.25">
      <c r="A332" s="10">
        <f t="shared" si="83"/>
        <v>41158</v>
      </c>
      <c r="B332">
        <v>401.4</v>
      </c>
      <c r="C332">
        <v>576</v>
      </c>
      <c r="D332">
        <v>603.29999999999995</v>
      </c>
      <c r="E332">
        <v>559.6</v>
      </c>
      <c r="F332" s="19">
        <f t="shared" si="80"/>
        <v>1004.6999999999999</v>
      </c>
      <c r="G332" s="19">
        <f t="shared" si="81"/>
        <v>1135.5999999999999</v>
      </c>
      <c r="H332" s="24">
        <f t="shared" si="82"/>
        <v>-11.526946107784431</v>
      </c>
    </row>
    <row r="333" spans="1:8" x14ac:dyDescent="0.25">
      <c r="A333" s="10">
        <f t="shared" si="83"/>
        <v>41165</v>
      </c>
      <c r="B333">
        <v>374.9</v>
      </c>
      <c r="C333">
        <v>611.20000000000005</v>
      </c>
      <c r="D333">
        <v>654.5</v>
      </c>
      <c r="E333">
        <v>609.79999999999995</v>
      </c>
      <c r="F333" s="19">
        <f t="shared" ref="F333:F364" si="84">+B333+D333</f>
        <v>1029.4000000000001</v>
      </c>
      <c r="G333" s="19">
        <f t="shared" ref="G333:G364" si="85">+C333+E333</f>
        <v>1221</v>
      </c>
      <c r="H333" s="24">
        <f t="shared" ref="H333:H364" si="86">+(F333/G333-1)*100</f>
        <v>-15.692055692055684</v>
      </c>
    </row>
    <row r="334" spans="1:8" x14ac:dyDescent="0.25">
      <c r="A334" s="10">
        <f t="shared" si="83"/>
        <v>41172</v>
      </c>
      <c r="B334">
        <v>406.1</v>
      </c>
      <c r="C334">
        <v>531.5</v>
      </c>
      <c r="D334">
        <v>714.6</v>
      </c>
      <c r="E334">
        <v>693.2</v>
      </c>
      <c r="F334" s="19">
        <f t="shared" si="84"/>
        <v>1120.7</v>
      </c>
      <c r="G334" s="19">
        <f t="shared" si="85"/>
        <v>1224.7</v>
      </c>
      <c r="H334" s="24">
        <f t="shared" si="86"/>
        <v>-8.4918755613619616</v>
      </c>
    </row>
    <row r="335" spans="1:8" x14ac:dyDescent="0.25">
      <c r="A335" s="10">
        <f t="shared" si="83"/>
        <v>41179</v>
      </c>
      <c r="B335">
        <v>355.1</v>
      </c>
      <c r="C335">
        <v>486.5</v>
      </c>
      <c r="D335">
        <v>869</v>
      </c>
      <c r="E335">
        <v>737.5</v>
      </c>
      <c r="F335" s="19">
        <f t="shared" si="84"/>
        <v>1224.0999999999999</v>
      </c>
      <c r="G335" s="19">
        <f t="shared" si="85"/>
        <v>1224</v>
      </c>
      <c r="H335" s="24">
        <f t="shared" si="86"/>
        <v>8.1699346405228468E-3</v>
      </c>
    </row>
    <row r="336" spans="1:8" x14ac:dyDescent="0.25">
      <c r="A336" s="10">
        <f t="shared" si="83"/>
        <v>41186</v>
      </c>
      <c r="B336">
        <v>355.1</v>
      </c>
      <c r="C336">
        <v>522.5</v>
      </c>
      <c r="D336">
        <v>876.7</v>
      </c>
      <c r="E336">
        <v>737.5</v>
      </c>
      <c r="F336" s="19">
        <f t="shared" si="84"/>
        <v>1231.8000000000002</v>
      </c>
      <c r="G336" s="19">
        <f t="shared" si="85"/>
        <v>1260</v>
      </c>
      <c r="H336" s="24">
        <f t="shared" si="86"/>
        <v>-2.2380952380952279</v>
      </c>
    </row>
    <row r="337" spans="1:8" x14ac:dyDescent="0.25">
      <c r="A337" s="10">
        <f t="shared" si="83"/>
        <v>41193</v>
      </c>
      <c r="B337">
        <v>422.1</v>
      </c>
      <c r="C337">
        <v>591.5</v>
      </c>
      <c r="D337">
        <v>897.6</v>
      </c>
      <c r="E337">
        <v>737.5</v>
      </c>
      <c r="F337" s="19">
        <f t="shared" si="84"/>
        <v>1319.7</v>
      </c>
      <c r="G337" s="19">
        <f t="shared" si="85"/>
        <v>1329</v>
      </c>
      <c r="H337" s="24">
        <f t="shared" si="86"/>
        <v>-0.69977426636568252</v>
      </c>
    </row>
    <row r="338" spans="1:8" x14ac:dyDescent="0.25">
      <c r="A338" s="10">
        <f t="shared" si="83"/>
        <v>41200</v>
      </c>
      <c r="B338">
        <v>422.1</v>
      </c>
      <c r="C338">
        <v>577.5</v>
      </c>
      <c r="D338">
        <v>897.6</v>
      </c>
      <c r="E338">
        <v>783.9</v>
      </c>
      <c r="F338" s="19">
        <f t="shared" si="84"/>
        <v>1319.7</v>
      </c>
      <c r="G338" s="19">
        <f t="shared" si="85"/>
        <v>1361.4</v>
      </c>
      <c r="H338" s="24">
        <f t="shared" si="86"/>
        <v>-3.0630233583076261</v>
      </c>
    </row>
    <row r="339" spans="1:8" x14ac:dyDescent="0.25">
      <c r="A339" s="10">
        <f t="shared" si="83"/>
        <v>41207</v>
      </c>
      <c r="B339">
        <v>422.1</v>
      </c>
      <c r="C339">
        <v>535.5</v>
      </c>
      <c r="D339">
        <v>918.5</v>
      </c>
      <c r="E339">
        <v>875.4</v>
      </c>
      <c r="F339" s="19">
        <f t="shared" si="84"/>
        <v>1340.6</v>
      </c>
      <c r="G339" s="19">
        <f t="shared" si="85"/>
        <v>1410.9</v>
      </c>
      <c r="H339" s="24">
        <f t="shared" si="86"/>
        <v>-4.9826351973917493</v>
      </c>
    </row>
    <row r="340" spans="1:8" x14ac:dyDescent="0.25">
      <c r="A340" s="10">
        <f t="shared" si="83"/>
        <v>41214</v>
      </c>
      <c r="B340">
        <v>367</v>
      </c>
      <c r="C340">
        <v>565.5</v>
      </c>
      <c r="D340">
        <v>918.5</v>
      </c>
      <c r="E340">
        <v>927.5</v>
      </c>
      <c r="F340" s="19">
        <f t="shared" si="84"/>
        <v>1285.5</v>
      </c>
      <c r="G340" s="19">
        <f t="shared" si="85"/>
        <v>1493</v>
      </c>
      <c r="H340" s="24">
        <f t="shared" si="86"/>
        <v>-13.898191560616214</v>
      </c>
    </row>
    <row r="341" spans="1:8" x14ac:dyDescent="0.25">
      <c r="A341" s="10">
        <f t="shared" si="83"/>
        <v>41221</v>
      </c>
      <c r="B341">
        <v>447</v>
      </c>
      <c r="C341">
        <v>565.5</v>
      </c>
      <c r="D341">
        <v>938.2</v>
      </c>
      <c r="E341">
        <v>927.5</v>
      </c>
      <c r="F341" s="19">
        <f t="shared" si="84"/>
        <v>1385.2</v>
      </c>
      <c r="G341" s="19">
        <f t="shared" si="85"/>
        <v>1493</v>
      </c>
      <c r="H341" s="24">
        <f t="shared" si="86"/>
        <v>-7.2203616878767534</v>
      </c>
    </row>
    <row r="342" spans="1:8" x14ac:dyDescent="0.25">
      <c r="A342" s="10">
        <f t="shared" si="83"/>
        <v>41228</v>
      </c>
      <c r="B342">
        <v>399</v>
      </c>
      <c r="C342">
        <v>489.5</v>
      </c>
      <c r="D342">
        <v>1011.8</v>
      </c>
      <c r="E342">
        <v>1035.5</v>
      </c>
      <c r="F342" s="19">
        <f t="shared" si="84"/>
        <v>1410.8</v>
      </c>
      <c r="G342" s="19">
        <f t="shared" si="85"/>
        <v>1525</v>
      </c>
      <c r="H342" s="24">
        <f t="shared" si="86"/>
        <v>-7.4885245901639363</v>
      </c>
    </row>
    <row r="343" spans="1:8" x14ac:dyDescent="0.25">
      <c r="A343" s="10">
        <f t="shared" si="83"/>
        <v>41235</v>
      </c>
      <c r="B343">
        <v>422</v>
      </c>
      <c r="C343">
        <v>553.5</v>
      </c>
      <c r="D343">
        <v>1011.8</v>
      </c>
      <c r="E343">
        <v>1084.7</v>
      </c>
      <c r="F343" s="19">
        <f t="shared" si="84"/>
        <v>1433.8</v>
      </c>
      <c r="G343" s="19">
        <f t="shared" si="85"/>
        <v>1638.2</v>
      </c>
      <c r="H343" s="24">
        <f t="shared" si="86"/>
        <v>-12.477109022097432</v>
      </c>
    </row>
    <row r="344" spans="1:8" x14ac:dyDescent="0.25">
      <c r="A344" s="10">
        <f t="shared" si="83"/>
        <v>41242</v>
      </c>
      <c r="B344">
        <v>400.5</v>
      </c>
      <c r="C344">
        <v>469.5</v>
      </c>
      <c r="D344">
        <v>1036.5999999999999</v>
      </c>
      <c r="E344">
        <v>1185.2</v>
      </c>
      <c r="F344" s="19">
        <f t="shared" si="84"/>
        <v>1437.1</v>
      </c>
      <c r="G344" s="19">
        <f t="shared" si="85"/>
        <v>1654.7</v>
      </c>
      <c r="H344" s="24">
        <f t="shared" si="86"/>
        <v>-13.150420015712827</v>
      </c>
    </row>
    <row r="345" spans="1:8" x14ac:dyDescent="0.25">
      <c r="A345" s="10">
        <f t="shared" si="83"/>
        <v>41249</v>
      </c>
      <c r="B345">
        <v>400.5</v>
      </c>
      <c r="C345">
        <v>469.5</v>
      </c>
      <c r="D345">
        <v>1036.5999999999999</v>
      </c>
      <c r="E345">
        <v>1185.2</v>
      </c>
      <c r="F345" s="19">
        <f t="shared" si="84"/>
        <v>1437.1</v>
      </c>
      <c r="G345" s="19">
        <f t="shared" si="85"/>
        <v>1654.7</v>
      </c>
      <c r="H345" s="24">
        <f t="shared" si="86"/>
        <v>-13.150420015712827</v>
      </c>
    </row>
    <row r="346" spans="1:8" x14ac:dyDescent="0.25">
      <c r="A346" s="10">
        <f t="shared" si="83"/>
        <v>41256</v>
      </c>
      <c r="B346">
        <v>455.5</v>
      </c>
      <c r="C346">
        <v>472</v>
      </c>
      <c r="D346">
        <v>1089.2</v>
      </c>
      <c r="E346">
        <v>1185.2</v>
      </c>
      <c r="F346" s="19">
        <f t="shared" si="84"/>
        <v>1544.7</v>
      </c>
      <c r="G346" s="19">
        <f t="shared" si="85"/>
        <v>1657.2</v>
      </c>
      <c r="H346" s="24">
        <f t="shared" si="86"/>
        <v>-6.7885590152063742</v>
      </c>
    </row>
    <row r="347" spans="1:8" x14ac:dyDescent="0.25">
      <c r="A347" s="10">
        <f t="shared" si="83"/>
        <v>41263</v>
      </c>
      <c r="B347">
        <v>473.5</v>
      </c>
      <c r="C347">
        <v>476</v>
      </c>
      <c r="D347">
        <v>1089.2</v>
      </c>
      <c r="E347">
        <v>1237.4000000000001</v>
      </c>
      <c r="F347" s="19">
        <f t="shared" si="84"/>
        <v>1562.7</v>
      </c>
      <c r="G347" s="19">
        <f t="shared" si="85"/>
        <v>1713.4</v>
      </c>
      <c r="H347" s="24">
        <f t="shared" si="86"/>
        <v>-8.7953776117660869</v>
      </c>
    </row>
    <row r="348" spans="1:8" x14ac:dyDescent="0.25">
      <c r="A348" s="10">
        <f t="shared" si="83"/>
        <v>41270</v>
      </c>
      <c r="B348">
        <v>473.5</v>
      </c>
      <c r="C348">
        <v>459.5</v>
      </c>
      <c r="D348">
        <v>1089.2</v>
      </c>
      <c r="E348">
        <v>1273.5999999999999</v>
      </c>
      <c r="F348" s="19">
        <f t="shared" si="84"/>
        <v>1562.7</v>
      </c>
      <c r="G348" s="19">
        <f t="shared" si="85"/>
        <v>1733.1</v>
      </c>
      <c r="H348" s="24">
        <f t="shared" si="86"/>
        <v>-9.8320927817206147</v>
      </c>
    </row>
    <row r="349" spans="1:8" x14ac:dyDescent="0.25">
      <c r="A349" s="10">
        <f t="shared" si="83"/>
        <v>41277</v>
      </c>
      <c r="B349">
        <v>460.5</v>
      </c>
      <c r="C349">
        <v>460.5</v>
      </c>
      <c r="D349">
        <v>1152.0999999999999</v>
      </c>
      <c r="E349">
        <v>1303.3</v>
      </c>
      <c r="F349" s="19">
        <f t="shared" si="84"/>
        <v>1612.6</v>
      </c>
      <c r="G349" s="19">
        <f t="shared" si="85"/>
        <v>1763.8</v>
      </c>
      <c r="H349" s="24">
        <f t="shared" si="86"/>
        <v>-8.5724004989227822</v>
      </c>
    </row>
    <row r="350" spans="1:8" x14ac:dyDescent="0.25">
      <c r="A350" s="10">
        <f t="shared" si="83"/>
        <v>41284</v>
      </c>
      <c r="B350">
        <v>408</v>
      </c>
      <c r="C350">
        <v>451.5</v>
      </c>
      <c r="D350">
        <v>1226.3</v>
      </c>
      <c r="E350">
        <v>1323.1</v>
      </c>
      <c r="F350" s="19">
        <f t="shared" si="84"/>
        <v>1634.3</v>
      </c>
      <c r="G350" s="19">
        <f t="shared" si="85"/>
        <v>1774.6</v>
      </c>
      <c r="H350" s="24">
        <f t="shared" si="86"/>
        <v>-7.9060069874901329</v>
      </c>
    </row>
    <row r="351" spans="1:8" x14ac:dyDescent="0.25">
      <c r="A351" s="10">
        <f t="shared" si="83"/>
        <v>41291</v>
      </c>
      <c r="B351">
        <v>474.5</v>
      </c>
      <c r="C351">
        <v>475.5</v>
      </c>
      <c r="D351">
        <v>1226.3</v>
      </c>
      <c r="E351">
        <v>1323.1</v>
      </c>
      <c r="F351" s="19">
        <f t="shared" si="84"/>
        <v>1700.8</v>
      </c>
      <c r="G351" s="19">
        <f t="shared" si="85"/>
        <v>1798.6</v>
      </c>
      <c r="H351" s="24">
        <f t="shared" si="86"/>
        <v>-5.4375625486489447</v>
      </c>
    </row>
    <row r="352" spans="1:8" x14ac:dyDescent="0.25">
      <c r="A352" s="10">
        <f t="shared" si="83"/>
        <v>41298</v>
      </c>
      <c r="B352">
        <v>419.5</v>
      </c>
      <c r="C352">
        <v>477</v>
      </c>
      <c r="D352">
        <v>1286.8</v>
      </c>
      <c r="E352">
        <v>1323.1</v>
      </c>
      <c r="F352" s="19">
        <f t="shared" si="84"/>
        <v>1706.3</v>
      </c>
      <c r="G352" s="19">
        <f t="shared" si="85"/>
        <v>1800.1</v>
      </c>
      <c r="H352" s="24">
        <f t="shared" si="86"/>
        <v>-5.2108216210210561</v>
      </c>
    </row>
    <row r="353" spans="1:9" x14ac:dyDescent="0.25">
      <c r="A353" s="10">
        <f t="shared" si="83"/>
        <v>41305</v>
      </c>
      <c r="B353">
        <v>421.5</v>
      </c>
      <c r="C353">
        <v>477</v>
      </c>
      <c r="D353">
        <v>1286.8</v>
      </c>
      <c r="E353">
        <v>1323.1</v>
      </c>
      <c r="F353" s="19">
        <f t="shared" si="84"/>
        <v>1708.3</v>
      </c>
      <c r="G353" s="19">
        <f t="shared" si="85"/>
        <v>1800.1</v>
      </c>
      <c r="H353" s="24">
        <f t="shared" si="86"/>
        <v>-5.0997166824065303</v>
      </c>
    </row>
    <row r="354" spans="1:9" x14ac:dyDescent="0.25">
      <c r="A354" s="10">
        <f t="shared" si="83"/>
        <v>41312</v>
      </c>
      <c r="B354">
        <v>346.5</v>
      </c>
      <c r="C354">
        <v>366.5</v>
      </c>
      <c r="D354">
        <v>1384.6</v>
      </c>
      <c r="E354">
        <v>1433.7</v>
      </c>
      <c r="F354" s="19">
        <f t="shared" si="84"/>
        <v>1731.1</v>
      </c>
      <c r="G354" s="19">
        <f t="shared" si="85"/>
        <v>1800.2</v>
      </c>
      <c r="H354" s="24">
        <f t="shared" si="86"/>
        <v>-3.8384623930674433</v>
      </c>
    </row>
    <row r="355" spans="1:9" x14ac:dyDescent="0.25">
      <c r="A355" s="10">
        <f t="shared" si="83"/>
        <v>41319</v>
      </c>
      <c r="B355">
        <v>401</v>
      </c>
      <c r="C355">
        <v>435.7</v>
      </c>
      <c r="D355">
        <v>1384.6</v>
      </c>
      <c r="E355">
        <v>1433.7</v>
      </c>
      <c r="F355" s="19">
        <f t="shared" si="84"/>
        <v>1785.6</v>
      </c>
      <c r="G355" s="19">
        <f t="shared" si="85"/>
        <v>1869.4</v>
      </c>
      <c r="H355" s="24">
        <f t="shared" si="86"/>
        <v>-4.4827217288969763</v>
      </c>
    </row>
    <row r="356" spans="1:9" x14ac:dyDescent="0.25">
      <c r="A356" s="10">
        <f t="shared" si="83"/>
        <v>41326</v>
      </c>
      <c r="B356">
        <v>401</v>
      </c>
      <c r="C356">
        <v>376.7</v>
      </c>
      <c r="D356">
        <v>1411</v>
      </c>
      <c r="E356">
        <v>1494.8</v>
      </c>
      <c r="F356" s="19">
        <f t="shared" si="84"/>
        <v>1812</v>
      </c>
      <c r="G356" s="19">
        <f t="shared" si="85"/>
        <v>1871.5</v>
      </c>
      <c r="H356" s="24">
        <f t="shared" si="86"/>
        <v>-3.1792679668714907</v>
      </c>
    </row>
    <row r="357" spans="1:9" x14ac:dyDescent="0.25">
      <c r="A357" s="10">
        <f t="shared" si="83"/>
        <v>41333</v>
      </c>
      <c r="B357">
        <v>334</v>
      </c>
      <c r="C357">
        <v>357.2</v>
      </c>
      <c r="D357">
        <v>1455.1</v>
      </c>
      <c r="E357">
        <v>1513.3</v>
      </c>
      <c r="F357" s="19">
        <f t="shared" si="84"/>
        <v>1789.1</v>
      </c>
      <c r="G357" s="19">
        <f t="shared" si="85"/>
        <v>1870.5</v>
      </c>
      <c r="H357" s="24">
        <f t="shared" si="86"/>
        <v>-4.3517775995723156</v>
      </c>
      <c r="I357">
        <v>70</v>
      </c>
    </row>
    <row r="358" spans="1:9" x14ac:dyDescent="0.25">
      <c r="A358" s="10">
        <f t="shared" si="83"/>
        <v>41340</v>
      </c>
      <c r="B358">
        <v>334</v>
      </c>
      <c r="C358">
        <v>261.10000000000002</v>
      </c>
      <c r="D358">
        <v>1455.1</v>
      </c>
      <c r="E358">
        <v>1667.7</v>
      </c>
      <c r="F358" s="19">
        <f t="shared" si="84"/>
        <v>1789.1</v>
      </c>
      <c r="G358" s="19">
        <f t="shared" si="85"/>
        <v>1928.8000000000002</v>
      </c>
      <c r="H358" s="24">
        <f t="shared" si="86"/>
        <v>-7.2428452924098057</v>
      </c>
      <c r="I358">
        <v>70</v>
      </c>
    </row>
    <row r="359" spans="1:9" x14ac:dyDescent="0.25">
      <c r="A359" s="10">
        <f t="shared" si="83"/>
        <v>41347</v>
      </c>
      <c r="B359">
        <v>284</v>
      </c>
      <c r="C359">
        <v>272.10000000000002</v>
      </c>
      <c r="D359">
        <v>1510.1</v>
      </c>
      <c r="E359">
        <v>1722.3</v>
      </c>
      <c r="F359" s="19">
        <f t="shared" si="84"/>
        <v>1794.1</v>
      </c>
      <c r="G359" s="19">
        <f t="shared" si="85"/>
        <v>1994.4</v>
      </c>
      <c r="H359" s="24">
        <f t="shared" si="86"/>
        <v>-10.043120738066591</v>
      </c>
      <c r="I359">
        <v>70</v>
      </c>
    </row>
    <row r="360" spans="1:9" x14ac:dyDescent="0.25">
      <c r="A360" s="10">
        <f t="shared" si="83"/>
        <v>41354</v>
      </c>
      <c r="B360">
        <v>261</v>
      </c>
      <c r="C360">
        <v>254.1</v>
      </c>
      <c r="D360">
        <v>1557.9</v>
      </c>
      <c r="E360">
        <v>1722.3</v>
      </c>
      <c r="F360" s="19">
        <f t="shared" si="84"/>
        <v>1818.9</v>
      </c>
      <c r="G360" s="19">
        <f t="shared" si="85"/>
        <v>1976.3999999999999</v>
      </c>
      <c r="H360" s="24">
        <f t="shared" si="86"/>
        <v>-7.9690346083788555</v>
      </c>
      <c r="I360">
        <v>70</v>
      </c>
    </row>
    <row r="361" spans="1:9" x14ac:dyDescent="0.25">
      <c r="A361" s="10">
        <f t="shared" si="83"/>
        <v>41361</v>
      </c>
      <c r="B361">
        <v>241</v>
      </c>
      <c r="C361">
        <v>254.1</v>
      </c>
      <c r="D361">
        <v>1579.9</v>
      </c>
      <c r="E361">
        <v>1722.3</v>
      </c>
      <c r="F361" s="19">
        <f t="shared" si="84"/>
        <v>1820.9</v>
      </c>
      <c r="G361" s="19">
        <f t="shared" si="85"/>
        <v>1976.3999999999999</v>
      </c>
      <c r="H361" s="24">
        <f t="shared" si="86"/>
        <v>-7.8678405181137334</v>
      </c>
      <c r="I361">
        <v>170</v>
      </c>
    </row>
    <row r="362" spans="1:9" x14ac:dyDescent="0.25">
      <c r="A362" s="10">
        <f t="shared" si="83"/>
        <v>41368</v>
      </c>
      <c r="B362">
        <v>190</v>
      </c>
      <c r="C362">
        <v>254.1</v>
      </c>
      <c r="D362">
        <v>1680.9</v>
      </c>
      <c r="E362">
        <v>1722.3</v>
      </c>
      <c r="F362" s="19">
        <f t="shared" si="84"/>
        <v>1870.9</v>
      </c>
      <c r="G362" s="19">
        <f t="shared" si="85"/>
        <v>1976.3999999999999</v>
      </c>
      <c r="H362" s="24">
        <f t="shared" si="86"/>
        <v>-5.3379882614855152</v>
      </c>
      <c r="I362">
        <v>170</v>
      </c>
    </row>
    <row r="363" spans="1:9" x14ac:dyDescent="0.25">
      <c r="A363" s="10">
        <f t="shared" si="83"/>
        <v>41375</v>
      </c>
      <c r="B363">
        <v>145</v>
      </c>
      <c r="C363">
        <v>254</v>
      </c>
      <c r="D363">
        <v>1730.4</v>
      </c>
      <c r="E363">
        <v>1722.4</v>
      </c>
      <c r="F363" s="19">
        <f t="shared" si="84"/>
        <v>1875.4</v>
      </c>
      <c r="G363" s="19">
        <f t="shared" si="85"/>
        <v>1976.4</v>
      </c>
      <c r="H363" s="24">
        <f t="shared" si="86"/>
        <v>-5.1103015583889855</v>
      </c>
      <c r="I363">
        <v>170</v>
      </c>
    </row>
    <row r="364" spans="1:9" x14ac:dyDescent="0.25">
      <c r="A364" s="10">
        <f t="shared" si="83"/>
        <v>41382</v>
      </c>
      <c r="B364">
        <v>103</v>
      </c>
      <c r="C364">
        <v>184</v>
      </c>
      <c r="D364">
        <v>1730.4</v>
      </c>
      <c r="E364">
        <v>1797.9</v>
      </c>
      <c r="F364" s="19">
        <f t="shared" si="84"/>
        <v>1833.4</v>
      </c>
      <c r="G364" s="19">
        <f t="shared" si="85"/>
        <v>1981.9</v>
      </c>
      <c r="H364" s="24">
        <f t="shared" si="86"/>
        <v>-7.4928099298652846</v>
      </c>
      <c r="I364">
        <v>222</v>
      </c>
    </row>
    <row r="365" spans="1:9" x14ac:dyDescent="0.25">
      <c r="A365" s="10">
        <f t="shared" si="83"/>
        <v>41389</v>
      </c>
      <c r="B365">
        <v>61</v>
      </c>
      <c r="C365">
        <v>0</v>
      </c>
      <c r="D365">
        <v>1773.6</v>
      </c>
      <c r="E365">
        <v>1989.1</v>
      </c>
      <c r="F365" s="19">
        <f t="shared" ref="F365:F373" si="87">+B365+D365</f>
        <v>1834.6</v>
      </c>
      <c r="G365" s="19">
        <f t="shared" ref="G365:G373" si="88">+C365+E365</f>
        <v>1989.1</v>
      </c>
      <c r="H365" s="24">
        <f t="shared" ref="H365:H373" si="89">+(F365/G365-1)*100</f>
        <v>-7.7673319591775147</v>
      </c>
      <c r="I365">
        <v>222</v>
      </c>
    </row>
    <row r="366" spans="1:9" x14ac:dyDescent="0.25">
      <c r="A366" s="10">
        <f t="shared" si="83"/>
        <v>41396</v>
      </c>
      <c r="B366">
        <v>106</v>
      </c>
      <c r="C366">
        <v>95</v>
      </c>
      <c r="D366">
        <v>1773.6</v>
      </c>
      <c r="E366">
        <v>1989.1</v>
      </c>
      <c r="F366" s="19">
        <f t="shared" si="87"/>
        <v>1879.6</v>
      </c>
      <c r="G366" s="19">
        <f t="shared" si="88"/>
        <v>2084.1</v>
      </c>
      <c r="H366" s="24">
        <f t="shared" si="89"/>
        <v>-9.8123890408329686</v>
      </c>
      <c r="I366">
        <v>222</v>
      </c>
    </row>
    <row r="367" spans="1:9" x14ac:dyDescent="0.25">
      <c r="A367" s="10">
        <f t="shared" si="83"/>
        <v>41403</v>
      </c>
      <c r="B367">
        <v>106</v>
      </c>
      <c r="C367">
        <v>95</v>
      </c>
      <c r="D367">
        <v>1838.6</v>
      </c>
      <c r="E367">
        <v>1989.1</v>
      </c>
      <c r="F367" s="19">
        <f t="shared" si="87"/>
        <v>1944.6</v>
      </c>
      <c r="G367" s="19">
        <f t="shared" si="88"/>
        <v>2084.1</v>
      </c>
      <c r="H367" s="24">
        <f t="shared" si="89"/>
        <v>-6.6935367784655249</v>
      </c>
      <c r="I367">
        <v>222</v>
      </c>
    </row>
    <row r="368" spans="1:9" x14ac:dyDescent="0.25">
      <c r="A368" s="10">
        <f t="shared" si="83"/>
        <v>41410</v>
      </c>
      <c r="B368">
        <v>106</v>
      </c>
      <c r="C368">
        <v>50.6</v>
      </c>
      <c r="D368">
        <v>1838.6</v>
      </c>
      <c r="E368">
        <v>2038.6</v>
      </c>
      <c r="F368" s="19">
        <f t="shared" si="87"/>
        <v>1944.6</v>
      </c>
      <c r="G368" s="19">
        <f t="shared" si="88"/>
        <v>2089.1999999999998</v>
      </c>
      <c r="H368" s="24">
        <f t="shared" si="89"/>
        <v>-6.921309592188396</v>
      </c>
      <c r="I368">
        <v>264</v>
      </c>
    </row>
    <row r="369" spans="1:9" x14ac:dyDescent="0.25">
      <c r="A369" s="10">
        <f t="shared" si="83"/>
        <v>41417</v>
      </c>
      <c r="B369">
        <v>106</v>
      </c>
      <c r="C369">
        <v>50.6</v>
      </c>
      <c r="D369">
        <v>1838.6</v>
      </c>
      <c r="E369">
        <v>2038.6</v>
      </c>
      <c r="F369" s="19">
        <f t="shared" si="87"/>
        <v>1944.6</v>
      </c>
      <c r="G369" s="19">
        <f t="shared" si="88"/>
        <v>2089.1999999999998</v>
      </c>
      <c r="H369" s="24">
        <f t="shared" si="89"/>
        <v>-6.921309592188396</v>
      </c>
      <c r="I369">
        <v>264</v>
      </c>
    </row>
    <row r="370" spans="1:9" x14ac:dyDescent="0.25">
      <c r="A370" s="10">
        <f t="shared" si="83"/>
        <v>41424</v>
      </c>
      <c r="B370">
        <v>90</v>
      </c>
      <c r="C370">
        <v>50.6</v>
      </c>
      <c r="D370">
        <v>1867.2</v>
      </c>
      <c r="E370">
        <v>2038.6</v>
      </c>
      <c r="F370" s="19">
        <f t="shared" si="87"/>
        <v>1957.2</v>
      </c>
      <c r="G370" s="19">
        <f t="shared" si="88"/>
        <v>2089.1999999999998</v>
      </c>
      <c r="H370" s="24">
        <f t="shared" si="89"/>
        <v>-6.3182079264790243</v>
      </c>
      <c r="I370">
        <v>269</v>
      </c>
    </row>
    <row r="371" spans="1:9" x14ac:dyDescent="0.25">
      <c r="A371" s="10">
        <f t="shared" si="83"/>
        <v>41431</v>
      </c>
      <c r="B371">
        <v>293</v>
      </c>
      <c r="C371">
        <v>363.5</v>
      </c>
      <c r="D371">
        <v>0</v>
      </c>
      <c r="E371">
        <v>55</v>
      </c>
      <c r="F371" s="19">
        <f t="shared" si="87"/>
        <v>293</v>
      </c>
      <c r="G371" s="19">
        <f t="shared" si="88"/>
        <v>418.5</v>
      </c>
      <c r="H371" s="24">
        <f t="shared" si="89"/>
        <v>-29.988052568697732</v>
      </c>
    </row>
    <row r="372" spans="1:9" x14ac:dyDescent="0.25">
      <c r="A372" s="10">
        <f t="shared" si="83"/>
        <v>41438</v>
      </c>
      <c r="B372">
        <v>369.5</v>
      </c>
      <c r="C372">
        <v>273.5</v>
      </c>
      <c r="D372">
        <v>44.1</v>
      </c>
      <c r="E372">
        <v>149.5</v>
      </c>
      <c r="F372" s="19">
        <f t="shared" si="87"/>
        <v>413.6</v>
      </c>
      <c r="G372" s="19">
        <f t="shared" si="88"/>
        <v>423</v>
      </c>
      <c r="H372" s="24">
        <f t="shared" si="89"/>
        <v>-2.2222222222222143</v>
      </c>
    </row>
    <row r="373" spans="1:9" x14ac:dyDescent="0.25">
      <c r="A373" s="10">
        <f t="shared" si="83"/>
        <v>41445</v>
      </c>
      <c r="B373">
        <v>404</v>
      </c>
      <c r="C373">
        <v>255.9</v>
      </c>
      <c r="D373">
        <v>44.1</v>
      </c>
      <c r="E373">
        <v>174.6</v>
      </c>
      <c r="F373" s="19">
        <f t="shared" si="87"/>
        <v>448.1</v>
      </c>
      <c r="G373" s="19">
        <f t="shared" si="88"/>
        <v>430.5</v>
      </c>
      <c r="H373" s="24">
        <f t="shared" si="89"/>
        <v>4.0882694541231279</v>
      </c>
    </row>
    <row r="374" spans="1:9" x14ac:dyDescent="0.25">
      <c r="A374" s="10">
        <f t="shared" si="83"/>
        <v>41452</v>
      </c>
      <c r="B374">
        <v>402.5</v>
      </c>
      <c r="C374">
        <v>301.39999999999998</v>
      </c>
      <c r="D374">
        <v>72.599999999999994</v>
      </c>
      <c r="E374">
        <v>216.5</v>
      </c>
      <c r="F374" s="19">
        <f t="shared" ref="F374:G377" si="90">+B374+D374</f>
        <v>475.1</v>
      </c>
      <c r="G374" s="19">
        <f t="shared" si="90"/>
        <v>517.9</v>
      </c>
      <c r="H374" s="24">
        <f t="shared" ref="H374:H379" si="91">+(F374/G374-1)*100</f>
        <v>-8.2641436570766498</v>
      </c>
    </row>
    <row r="375" spans="1:9" x14ac:dyDescent="0.25">
      <c r="A375" s="10">
        <f t="shared" si="83"/>
        <v>41459</v>
      </c>
      <c r="B375">
        <v>402.5</v>
      </c>
      <c r="C375">
        <v>376.9</v>
      </c>
      <c r="D375">
        <v>72.599999999999994</v>
      </c>
      <c r="E375">
        <v>253.6</v>
      </c>
      <c r="F375" s="19">
        <f t="shared" si="90"/>
        <v>475.1</v>
      </c>
      <c r="G375" s="19">
        <f t="shared" si="90"/>
        <v>630.5</v>
      </c>
      <c r="H375" s="24">
        <f t="shared" si="91"/>
        <v>-24.647105471847741</v>
      </c>
    </row>
    <row r="376" spans="1:9" x14ac:dyDescent="0.25">
      <c r="A376" s="10">
        <f t="shared" si="83"/>
        <v>41466</v>
      </c>
      <c r="B376">
        <v>401.4</v>
      </c>
      <c r="C376">
        <v>399.9</v>
      </c>
      <c r="D376">
        <v>72.599999999999994</v>
      </c>
      <c r="E376">
        <v>275.2</v>
      </c>
      <c r="F376" s="19">
        <f t="shared" si="90"/>
        <v>474</v>
      </c>
      <c r="G376" s="19">
        <f t="shared" si="90"/>
        <v>675.09999999999991</v>
      </c>
      <c r="H376" s="24">
        <f t="shared" si="91"/>
        <v>-29.788179528958658</v>
      </c>
    </row>
    <row r="377" spans="1:9" x14ac:dyDescent="0.25">
      <c r="A377" s="10">
        <f t="shared" si="83"/>
        <v>41473</v>
      </c>
      <c r="B377">
        <v>417.4</v>
      </c>
      <c r="C377">
        <v>412.9</v>
      </c>
      <c r="D377">
        <v>121.4</v>
      </c>
      <c r="E377">
        <v>275.2</v>
      </c>
      <c r="F377" s="19">
        <f t="shared" si="90"/>
        <v>538.79999999999995</v>
      </c>
      <c r="G377" s="19">
        <f t="shared" si="90"/>
        <v>688.09999999999991</v>
      </c>
      <c r="H377" s="24">
        <f t="shared" si="91"/>
        <v>-21.697427699462281</v>
      </c>
    </row>
    <row r="378" spans="1:9" x14ac:dyDescent="0.25">
      <c r="A378" s="10">
        <f t="shared" si="83"/>
        <v>41480</v>
      </c>
      <c r="B378">
        <v>397.4</v>
      </c>
      <c r="C378">
        <v>459.9</v>
      </c>
      <c r="D378">
        <v>176.4</v>
      </c>
      <c r="E378">
        <v>283.60000000000002</v>
      </c>
      <c r="F378" s="19">
        <f t="shared" ref="F378:F388" si="92">+B378+D378</f>
        <v>573.79999999999995</v>
      </c>
      <c r="G378" s="19">
        <f t="shared" ref="G378:G388" si="93">+C378+E378</f>
        <v>743.5</v>
      </c>
      <c r="H378" s="24">
        <f t="shared" si="91"/>
        <v>-22.824478816408888</v>
      </c>
    </row>
    <row r="379" spans="1:9" x14ac:dyDescent="0.25">
      <c r="A379" s="10">
        <f t="shared" si="83"/>
        <v>41487</v>
      </c>
      <c r="B379">
        <v>401.5</v>
      </c>
      <c r="C379">
        <v>413.4</v>
      </c>
      <c r="D379">
        <v>220</v>
      </c>
      <c r="E379">
        <v>376.7</v>
      </c>
      <c r="F379" s="19">
        <f t="shared" si="92"/>
        <v>621.5</v>
      </c>
      <c r="G379" s="19">
        <f t="shared" si="93"/>
        <v>790.09999999999991</v>
      </c>
      <c r="H379" s="24">
        <f t="shared" si="91"/>
        <v>-21.339071003670419</v>
      </c>
    </row>
    <row r="380" spans="1:9" x14ac:dyDescent="0.25">
      <c r="A380" s="10">
        <f t="shared" si="83"/>
        <v>41494</v>
      </c>
      <c r="B380">
        <v>446.5</v>
      </c>
      <c r="C380">
        <v>362.4</v>
      </c>
      <c r="D380">
        <v>220</v>
      </c>
      <c r="E380">
        <v>449.8</v>
      </c>
      <c r="F380" s="19">
        <f t="shared" si="92"/>
        <v>666.5</v>
      </c>
      <c r="G380" s="19">
        <f t="shared" si="93"/>
        <v>812.2</v>
      </c>
      <c r="H380" s="24">
        <f t="shared" ref="H380:H388" si="94">+(F380/G380-1)*100</f>
        <v>-17.938931297709924</v>
      </c>
    </row>
    <row r="381" spans="1:9" x14ac:dyDescent="0.25">
      <c r="A381" s="10">
        <f t="shared" si="83"/>
        <v>41501</v>
      </c>
      <c r="B381">
        <v>401.5</v>
      </c>
      <c r="C381">
        <v>416.4</v>
      </c>
      <c r="D381">
        <v>265.3</v>
      </c>
      <c r="E381">
        <v>449.8</v>
      </c>
      <c r="F381" s="19">
        <f t="shared" si="92"/>
        <v>666.8</v>
      </c>
      <c r="G381" s="19">
        <f t="shared" si="93"/>
        <v>866.2</v>
      </c>
      <c r="H381" s="24">
        <f t="shared" si="94"/>
        <v>-23.020087739552075</v>
      </c>
    </row>
    <row r="382" spans="1:9" x14ac:dyDescent="0.25">
      <c r="A382" s="10">
        <f t="shared" si="83"/>
        <v>41508</v>
      </c>
      <c r="B382">
        <v>405.5</v>
      </c>
      <c r="C382">
        <v>366.4</v>
      </c>
      <c r="D382">
        <v>265.3</v>
      </c>
      <c r="E382">
        <v>522.29999999999995</v>
      </c>
      <c r="F382" s="19">
        <f t="shared" si="92"/>
        <v>670.8</v>
      </c>
      <c r="G382" s="19">
        <f t="shared" si="93"/>
        <v>888.69999999999993</v>
      </c>
      <c r="H382" s="24">
        <f t="shared" si="94"/>
        <v>-24.5189602790593</v>
      </c>
    </row>
    <row r="383" spans="1:9" x14ac:dyDescent="0.25">
      <c r="A383" s="10">
        <f t="shared" si="83"/>
        <v>41515</v>
      </c>
      <c r="B383">
        <v>333.5</v>
      </c>
      <c r="C383">
        <v>409.4</v>
      </c>
      <c r="D383">
        <v>340.9</v>
      </c>
      <c r="E383">
        <v>548.70000000000005</v>
      </c>
      <c r="F383" s="19">
        <f t="shared" si="92"/>
        <v>674.4</v>
      </c>
      <c r="G383" s="19">
        <f t="shared" si="93"/>
        <v>958.1</v>
      </c>
      <c r="H383" s="24">
        <f t="shared" si="94"/>
        <v>-29.610687819643044</v>
      </c>
    </row>
    <row r="384" spans="1:9" x14ac:dyDescent="0.25">
      <c r="A384" s="10">
        <f t="shared" si="83"/>
        <v>41522</v>
      </c>
      <c r="B384">
        <v>308.5</v>
      </c>
      <c r="C384">
        <v>401.4</v>
      </c>
      <c r="D384">
        <v>469.4</v>
      </c>
      <c r="E384">
        <v>603.29999999999995</v>
      </c>
      <c r="F384" s="19">
        <f t="shared" si="92"/>
        <v>777.9</v>
      </c>
      <c r="G384" s="19">
        <f t="shared" si="93"/>
        <v>1004.6999999999999</v>
      </c>
      <c r="H384" s="24">
        <f t="shared" si="94"/>
        <v>-22.573902657509702</v>
      </c>
    </row>
    <row r="385" spans="1:11" x14ac:dyDescent="0.25">
      <c r="A385" s="10">
        <f t="shared" si="83"/>
        <v>41529</v>
      </c>
      <c r="B385">
        <v>309.2</v>
      </c>
      <c r="C385">
        <v>374.9</v>
      </c>
      <c r="D385">
        <v>513.5</v>
      </c>
      <c r="E385">
        <v>654.5</v>
      </c>
      <c r="F385" s="19">
        <f t="shared" si="92"/>
        <v>822.7</v>
      </c>
      <c r="G385" s="19">
        <f t="shared" si="93"/>
        <v>1029.4000000000001</v>
      </c>
      <c r="H385" s="24">
        <f t="shared" si="94"/>
        <v>-20.079658053234894</v>
      </c>
    </row>
    <row r="386" spans="1:11" x14ac:dyDescent="0.25">
      <c r="A386" s="10">
        <f t="shared" si="83"/>
        <v>41536</v>
      </c>
      <c r="B386">
        <v>263.5</v>
      </c>
      <c r="C386">
        <v>406.1</v>
      </c>
      <c r="D386">
        <v>590.1</v>
      </c>
      <c r="E386">
        <v>714.6</v>
      </c>
      <c r="F386" s="19">
        <f t="shared" si="92"/>
        <v>853.6</v>
      </c>
      <c r="G386" s="19">
        <f t="shared" si="93"/>
        <v>1120.7</v>
      </c>
      <c r="H386" s="24">
        <f t="shared" si="94"/>
        <v>-23.833318461675734</v>
      </c>
    </row>
    <row r="387" spans="1:11" ht="15" x14ac:dyDescent="0.25">
      <c r="A387" s="10">
        <f t="shared" si="83"/>
        <v>41543</v>
      </c>
      <c r="B387">
        <v>320.60000000000002</v>
      </c>
      <c r="C387">
        <v>355.1</v>
      </c>
      <c r="D387">
        <v>606.70000000000005</v>
      </c>
      <c r="E387">
        <v>869</v>
      </c>
      <c r="F387" s="19">
        <f t="shared" si="92"/>
        <v>927.30000000000007</v>
      </c>
      <c r="G387" s="19">
        <f t="shared" si="93"/>
        <v>1224.0999999999999</v>
      </c>
      <c r="H387" s="24">
        <f t="shared" si="94"/>
        <v>-24.246385099256585</v>
      </c>
      <c r="K387" s="75"/>
    </row>
    <row r="388" spans="1:11" x14ac:dyDescent="0.25">
      <c r="A388" s="10">
        <f t="shared" si="83"/>
        <v>41550</v>
      </c>
      <c r="B388">
        <v>301.39999999999998</v>
      </c>
      <c r="C388">
        <v>355.1</v>
      </c>
      <c r="D388">
        <v>687.9</v>
      </c>
      <c r="E388">
        <v>876.7</v>
      </c>
      <c r="F388" s="19">
        <f t="shared" si="92"/>
        <v>989.3</v>
      </c>
      <c r="G388" s="19">
        <f t="shared" si="93"/>
        <v>1231.8000000000002</v>
      </c>
      <c r="H388" s="24">
        <f t="shared" si="94"/>
        <v>-19.686637441143063</v>
      </c>
    </row>
    <row r="389" spans="1:11" x14ac:dyDescent="0.25">
      <c r="A389" s="10">
        <f t="shared" ref="A389:A426" si="95">+A388+7</f>
        <v>41557</v>
      </c>
    </row>
    <row r="390" spans="1:11" x14ac:dyDescent="0.25">
      <c r="A390" s="10">
        <f t="shared" si="95"/>
        <v>41564</v>
      </c>
    </row>
    <row r="391" spans="1:11" x14ac:dyDescent="0.25">
      <c r="A391" s="10">
        <f t="shared" si="95"/>
        <v>41571</v>
      </c>
      <c r="B391">
        <v>327</v>
      </c>
      <c r="C391">
        <v>422.1</v>
      </c>
      <c r="D391">
        <v>794.6</v>
      </c>
      <c r="E391">
        <v>918.5</v>
      </c>
      <c r="F391" s="19">
        <f t="shared" ref="F391:G393" si="96">+B391+D391</f>
        <v>1121.5999999999999</v>
      </c>
      <c r="G391" s="19">
        <f t="shared" si="96"/>
        <v>1340.6</v>
      </c>
      <c r="H391" s="24">
        <f>+(F391/G391-1)*100</f>
        <v>-16.335968969118309</v>
      </c>
    </row>
    <row r="392" spans="1:11" ht="15" x14ac:dyDescent="0.25">
      <c r="A392" s="10">
        <f t="shared" si="95"/>
        <v>41578</v>
      </c>
      <c r="B392">
        <v>381.2</v>
      </c>
      <c r="C392">
        <v>367</v>
      </c>
      <c r="D392">
        <v>795.9</v>
      </c>
      <c r="E392">
        <v>918.5</v>
      </c>
      <c r="F392" s="19">
        <f t="shared" si="96"/>
        <v>1177.0999999999999</v>
      </c>
      <c r="G392" s="19">
        <f t="shared" si="96"/>
        <v>1285.5</v>
      </c>
      <c r="H392" s="24">
        <f>+(F392/G392-1)*100</f>
        <v>-8.4325165305328742</v>
      </c>
      <c r="K392" s="75"/>
    </row>
    <row r="393" spans="1:11" x14ac:dyDescent="0.25">
      <c r="A393" s="10">
        <f t="shared" si="95"/>
        <v>41585</v>
      </c>
      <c r="B393">
        <v>346.5</v>
      </c>
      <c r="C393">
        <v>447</v>
      </c>
      <c r="D393">
        <v>831.6</v>
      </c>
      <c r="E393">
        <v>938.2</v>
      </c>
      <c r="F393" s="19">
        <f t="shared" si="96"/>
        <v>1178.0999999999999</v>
      </c>
      <c r="G393" s="19">
        <f t="shared" si="96"/>
        <v>1385.2</v>
      </c>
      <c r="H393" s="24">
        <f>+(F393/G393-1)*100</f>
        <v>-14.950909615939945</v>
      </c>
    </row>
    <row r="394" spans="1:11" x14ac:dyDescent="0.25">
      <c r="A394" s="10">
        <f t="shared" si="95"/>
        <v>41592</v>
      </c>
      <c r="B394">
        <v>378.5</v>
      </c>
      <c r="C394">
        <v>399</v>
      </c>
      <c r="D394">
        <v>841.6</v>
      </c>
      <c r="E394">
        <v>1011.8</v>
      </c>
      <c r="F394" s="19">
        <f>+B394+D394</f>
        <v>1220.0999999999999</v>
      </c>
      <c r="G394" s="19">
        <f>+C394+E394</f>
        <v>1410.8</v>
      </c>
      <c r="H394" s="24">
        <f>+(F394/G394-1)*100</f>
        <v>-13.517153388148573</v>
      </c>
    </row>
    <row r="395" spans="1:11" x14ac:dyDescent="0.25">
      <c r="A395" s="10">
        <f t="shared" si="95"/>
        <v>41599</v>
      </c>
      <c r="B395">
        <v>391.5</v>
      </c>
      <c r="C395">
        <v>422</v>
      </c>
      <c r="D395">
        <v>861.5</v>
      </c>
      <c r="E395">
        <v>1011.8</v>
      </c>
      <c r="F395" s="19">
        <f>+B395+D395</f>
        <v>1253</v>
      </c>
      <c r="G395" s="19">
        <f>+C395+E395</f>
        <v>1433.8</v>
      </c>
      <c r="H395" s="24">
        <f>+(F395/G395-1)*100</f>
        <v>-12.609847956479282</v>
      </c>
    </row>
    <row r="396" spans="1:11" x14ac:dyDescent="0.25">
      <c r="A396" s="10">
        <f t="shared" si="95"/>
        <v>41606</v>
      </c>
    </row>
    <row r="397" spans="1:11" x14ac:dyDescent="0.25">
      <c r="A397" s="10">
        <f t="shared" si="95"/>
        <v>41613</v>
      </c>
    </row>
    <row r="398" spans="1:11" x14ac:dyDescent="0.25">
      <c r="A398" s="10">
        <f t="shared" si="95"/>
        <v>41620</v>
      </c>
    </row>
    <row r="399" spans="1:11" x14ac:dyDescent="0.25">
      <c r="A399" s="10">
        <f t="shared" si="95"/>
        <v>41627</v>
      </c>
    </row>
    <row r="400" spans="1:11" x14ac:dyDescent="0.25">
      <c r="A400" s="10">
        <f t="shared" si="95"/>
        <v>41634</v>
      </c>
    </row>
    <row r="401" spans="1:1" x14ac:dyDescent="0.25">
      <c r="A401" s="10">
        <f t="shared" si="95"/>
        <v>41641</v>
      </c>
    </row>
    <row r="402" spans="1:1" x14ac:dyDescent="0.25">
      <c r="A402" s="10">
        <f t="shared" si="95"/>
        <v>41648</v>
      </c>
    </row>
    <row r="403" spans="1:1" x14ac:dyDescent="0.25">
      <c r="A403" s="10">
        <f t="shared" si="95"/>
        <v>41655</v>
      </c>
    </row>
    <row r="404" spans="1:1" x14ac:dyDescent="0.25">
      <c r="A404" s="10">
        <f t="shared" si="95"/>
        <v>41662</v>
      </c>
    </row>
    <row r="405" spans="1:1" x14ac:dyDescent="0.25">
      <c r="A405" s="10">
        <f t="shared" si="95"/>
        <v>41669</v>
      </c>
    </row>
    <row r="406" spans="1:1" x14ac:dyDescent="0.25">
      <c r="A406" s="10">
        <f t="shared" si="95"/>
        <v>41676</v>
      </c>
    </row>
    <row r="407" spans="1:1" x14ac:dyDescent="0.25">
      <c r="A407" s="10">
        <f t="shared" si="95"/>
        <v>41683</v>
      </c>
    </row>
    <row r="408" spans="1:1" x14ac:dyDescent="0.25">
      <c r="A408" s="10">
        <f t="shared" si="95"/>
        <v>41690</v>
      </c>
    </row>
    <row r="409" spans="1:1" x14ac:dyDescent="0.25">
      <c r="A409" s="10">
        <f t="shared" si="95"/>
        <v>41697</v>
      </c>
    </row>
    <row r="410" spans="1:1" x14ac:dyDescent="0.25">
      <c r="A410" s="10">
        <f t="shared" si="95"/>
        <v>41704</v>
      </c>
    </row>
    <row r="411" spans="1:1" x14ac:dyDescent="0.25">
      <c r="A411" s="10">
        <f t="shared" si="95"/>
        <v>41711</v>
      </c>
    </row>
    <row r="412" spans="1:1" x14ac:dyDescent="0.25">
      <c r="A412" s="10">
        <f t="shared" si="95"/>
        <v>41718</v>
      </c>
    </row>
    <row r="413" spans="1:1" x14ac:dyDescent="0.25">
      <c r="A413" s="10">
        <f t="shared" si="95"/>
        <v>41725</v>
      </c>
    </row>
    <row r="414" spans="1:1" x14ac:dyDescent="0.25">
      <c r="A414" s="10">
        <f t="shared" si="95"/>
        <v>41732</v>
      </c>
    </row>
    <row r="415" spans="1:1" x14ac:dyDescent="0.25">
      <c r="A415" s="10">
        <f t="shared" si="95"/>
        <v>41739</v>
      </c>
    </row>
    <row r="416" spans="1:1" x14ac:dyDescent="0.25">
      <c r="A416" s="10">
        <f t="shared" si="95"/>
        <v>41746</v>
      </c>
    </row>
    <row r="417" spans="1:1" x14ac:dyDescent="0.25">
      <c r="A417" s="10">
        <f t="shared" si="95"/>
        <v>41753</v>
      </c>
    </row>
    <row r="418" spans="1:1" x14ac:dyDescent="0.25">
      <c r="A418" s="10">
        <f t="shared" si="95"/>
        <v>41760</v>
      </c>
    </row>
    <row r="419" spans="1:1" x14ac:dyDescent="0.25">
      <c r="A419" s="10">
        <f t="shared" si="95"/>
        <v>41767</v>
      </c>
    </row>
    <row r="420" spans="1:1" x14ac:dyDescent="0.25">
      <c r="A420" s="10">
        <f t="shared" si="95"/>
        <v>41774</v>
      </c>
    </row>
    <row r="421" spans="1:1" x14ac:dyDescent="0.25">
      <c r="A421" s="10">
        <f t="shared" si="95"/>
        <v>41781</v>
      </c>
    </row>
    <row r="422" spans="1:1" x14ac:dyDescent="0.25">
      <c r="A422" s="10">
        <f t="shared" si="95"/>
        <v>41788</v>
      </c>
    </row>
    <row r="423" spans="1:1" x14ac:dyDescent="0.25">
      <c r="A423" s="10">
        <f t="shared" si="95"/>
        <v>41795</v>
      </c>
    </row>
    <row r="424" spans="1:1" x14ac:dyDescent="0.25">
      <c r="A424" s="10">
        <f t="shared" si="95"/>
        <v>41802</v>
      </c>
    </row>
    <row r="425" spans="1:1" x14ac:dyDescent="0.25">
      <c r="A425" s="10">
        <f t="shared" si="95"/>
        <v>41809</v>
      </c>
    </row>
    <row r="426" spans="1:1" x14ac:dyDescent="0.25">
      <c r="A426" s="10">
        <f t="shared" si="95"/>
        <v>41816</v>
      </c>
    </row>
    <row r="65525" spans="1:1" x14ac:dyDescent="0.25">
      <c r="A65525" s="10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  <ignoredErrors>
    <ignoredError sqref="H294:H300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L65525"/>
  <sheetViews>
    <sheetView topLeftCell="A374" workbookViewId="0">
      <selection activeCell="F395" sqref="F395"/>
    </sheetView>
  </sheetViews>
  <sheetFormatPr defaultRowHeight="13.2" x14ac:dyDescent="0.25"/>
  <cols>
    <col min="1" max="1" width="10.33203125" customWidth="1"/>
  </cols>
  <sheetData>
    <row r="1" spans="1:9" x14ac:dyDescent="0.25"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15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  <c r="I2" s="19">
        <v>2006</v>
      </c>
    </row>
    <row r="3" spans="1:9" x14ac:dyDescent="0.25">
      <c r="A3" s="10">
        <f>Japan!A3</f>
        <v>38855</v>
      </c>
      <c r="B3">
        <v>73</v>
      </c>
      <c r="C3">
        <v>104.3</v>
      </c>
      <c r="D3">
        <v>1107.7</v>
      </c>
      <c r="E3">
        <v>1258.5</v>
      </c>
      <c r="F3" s="11">
        <f>+B3+D3</f>
        <v>1180.7</v>
      </c>
      <c r="G3" s="12">
        <f>+C3+E3</f>
        <v>1362.8</v>
      </c>
      <c r="H3" s="15">
        <f>+(F3/G3-1)*100</f>
        <v>-13.362195479894334</v>
      </c>
      <c r="I3">
        <v>46.1</v>
      </c>
    </row>
    <row r="4" spans="1:9" x14ac:dyDescent="0.25">
      <c r="A4" s="10">
        <f>Japan!A4</f>
        <v>38862</v>
      </c>
      <c r="B4">
        <v>51.5</v>
      </c>
      <c r="C4">
        <v>87.5</v>
      </c>
      <c r="D4">
        <v>1130.0999999999999</v>
      </c>
      <c r="E4">
        <v>1275.9000000000001</v>
      </c>
      <c r="F4" s="11">
        <f>+B4+D4</f>
        <v>1181.5999999999999</v>
      </c>
      <c r="G4" s="12">
        <f>+C4+E4</f>
        <v>1363.4</v>
      </c>
      <c r="H4" s="15">
        <f>+(F4/G4-1)*100</f>
        <v>-13.334311280621991</v>
      </c>
      <c r="I4">
        <v>90</v>
      </c>
    </row>
    <row r="5" spans="1:9" x14ac:dyDescent="0.25">
      <c r="A5" s="10">
        <f>+A4+7</f>
        <v>38869</v>
      </c>
      <c r="B5">
        <v>155.5</v>
      </c>
      <c r="C5">
        <v>162.1</v>
      </c>
      <c r="D5">
        <v>3.8</v>
      </c>
      <c r="E5">
        <v>0.3</v>
      </c>
      <c r="F5">
        <f t="shared" ref="F5:G7" si="0">+B5+D5</f>
        <v>159.30000000000001</v>
      </c>
      <c r="G5">
        <f t="shared" si="0"/>
        <v>162.4</v>
      </c>
      <c r="H5" s="14">
        <f t="shared" ref="H5:H38" si="1">+(F5/G5-1)*100</f>
        <v>-1.9088669950738879</v>
      </c>
    </row>
    <row r="6" spans="1:9" x14ac:dyDescent="0.25">
      <c r="A6" s="10">
        <f t="shared" ref="A6:A42" si="2">+A5+7</f>
        <v>38876</v>
      </c>
      <c r="B6">
        <v>131.9</v>
      </c>
      <c r="C6">
        <v>167.5</v>
      </c>
      <c r="D6">
        <v>44.1</v>
      </c>
      <c r="E6">
        <v>22.4</v>
      </c>
      <c r="F6">
        <f t="shared" si="0"/>
        <v>176</v>
      </c>
      <c r="G6">
        <f t="shared" si="0"/>
        <v>189.9</v>
      </c>
      <c r="H6" s="14">
        <f t="shared" si="1"/>
        <v>-7.3196419167983144</v>
      </c>
    </row>
    <row r="7" spans="1:9" x14ac:dyDescent="0.25">
      <c r="A7" s="10">
        <f t="shared" si="2"/>
        <v>38883</v>
      </c>
      <c r="B7">
        <v>158.9</v>
      </c>
      <c r="C7">
        <v>177.9</v>
      </c>
      <c r="D7">
        <v>56.4</v>
      </c>
      <c r="E7">
        <v>34.299999999999997</v>
      </c>
      <c r="F7">
        <f t="shared" si="0"/>
        <v>215.3</v>
      </c>
      <c r="G7">
        <f t="shared" si="0"/>
        <v>212.2</v>
      </c>
      <c r="H7" s="14">
        <f t="shared" si="1"/>
        <v>1.4608859566446863</v>
      </c>
    </row>
    <row r="8" spans="1:9" x14ac:dyDescent="0.25">
      <c r="A8" s="10">
        <f t="shared" si="2"/>
        <v>38890</v>
      </c>
      <c r="B8">
        <v>180.4</v>
      </c>
      <c r="C8">
        <v>141.4</v>
      </c>
      <c r="D8">
        <v>68.099999999999994</v>
      </c>
      <c r="E8">
        <v>82.1</v>
      </c>
      <c r="F8">
        <f t="shared" ref="F8:G38" si="3">+B8+D8</f>
        <v>248.5</v>
      </c>
      <c r="G8">
        <f t="shared" si="3"/>
        <v>223.5</v>
      </c>
      <c r="H8" s="14">
        <f t="shared" si="1"/>
        <v>11.185682326621915</v>
      </c>
    </row>
    <row r="9" spans="1:9" x14ac:dyDescent="0.25">
      <c r="A9" s="10">
        <f t="shared" si="2"/>
        <v>38897</v>
      </c>
      <c r="B9">
        <v>146.9</v>
      </c>
      <c r="C9">
        <v>157.19999999999999</v>
      </c>
      <c r="D9">
        <v>105.5</v>
      </c>
      <c r="E9">
        <v>103</v>
      </c>
      <c r="F9" s="19">
        <f t="shared" si="3"/>
        <v>252.4</v>
      </c>
      <c r="G9" s="19">
        <f t="shared" si="3"/>
        <v>260.2</v>
      </c>
      <c r="H9" s="24">
        <f t="shared" si="1"/>
        <v>-2.9976940814757769</v>
      </c>
    </row>
    <row r="10" spans="1:9" x14ac:dyDescent="0.25">
      <c r="A10" s="10">
        <f t="shared" si="2"/>
        <v>38904</v>
      </c>
      <c r="B10">
        <v>139</v>
      </c>
      <c r="C10">
        <v>180.7</v>
      </c>
      <c r="D10">
        <v>114.2</v>
      </c>
      <c r="E10">
        <v>103.2</v>
      </c>
      <c r="F10" s="19">
        <f t="shared" si="3"/>
        <v>253.2</v>
      </c>
      <c r="G10" s="19">
        <f t="shared" si="3"/>
        <v>283.89999999999998</v>
      </c>
      <c r="H10" s="24">
        <f t="shared" si="1"/>
        <v>-10.813666784078901</v>
      </c>
    </row>
    <row r="11" spans="1:9" x14ac:dyDescent="0.25">
      <c r="A11" s="10">
        <f t="shared" si="2"/>
        <v>38911</v>
      </c>
      <c r="B11">
        <v>138.30000000000001</v>
      </c>
      <c r="C11">
        <v>240.4</v>
      </c>
      <c r="D11">
        <v>114.9</v>
      </c>
      <c r="E11">
        <v>106.5</v>
      </c>
      <c r="F11" s="19">
        <f t="shared" si="3"/>
        <v>253.20000000000002</v>
      </c>
      <c r="G11" s="19">
        <f t="shared" si="3"/>
        <v>346.9</v>
      </c>
      <c r="H11" s="24">
        <f t="shared" si="1"/>
        <v>-27.010665897953288</v>
      </c>
    </row>
    <row r="12" spans="1:9" x14ac:dyDescent="0.25">
      <c r="A12" s="10">
        <f t="shared" si="2"/>
        <v>38918</v>
      </c>
      <c r="B12">
        <v>125.1</v>
      </c>
      <c r="C12">
        <v>196</v>
      </c>
      <c r="D12">
        <v>163.30000000000001</v>
      </c>
      <c r="E12">
        <v>151.6</v>
      </c>
      <c r="F12" s="19">
        <f t="shared" si="3"/>
        <v>288.39999999999998</v>
      </c>
      <c r="G12" s="19">
        <f t="shared" si="3"/>
        <v>347.6</v>
      </c>
      <c r="H12" s="24">
        <f t="shared" si="1"/>
        <v>-17.031070195627173</v>
      </c>
    </row>
    <row r="13" spans="1:9" x14ac:dyDescent="0.25">
      <c r="A13" s="10">
        <f t="shared" si="2"/>
        <v>38925</v>
      </c>
      <c r="B13">
        <v>144.69999999999999</v>
      </c>
      <c r="C13">
        <v>173.6</v>
      </c>
      <c r="D13">
        <v>189.1</v>
      </c>
      <c r="E13">
        <v>196.6</v>
      </c>
      <c r="F13" s="19">
        <f t="shared" si="3"/>
        <v>333.79999999999995</v>
      </c>
      <c r="G13" s="19">
        <f t="shared" si="3"/>
        <v>370.2</v>
      </c>
      <c r="H13" s="24">
        <f t="shared" si="1"/>
        <v>-9.832522960561862</v>
      </c>
    </row>
    <row r="14" spans="1:9" x14ac:dyDescent="0.25">
      <c r="A14" s="10">
        <f t="shared" si="2"/>
        <v>38932</v>
      </c>
      <c r="B14">
        <v>154.5</v>
      </c>
      <c r="C14">
        <v>194.4</v>
      </c>
      <c r="D14">
        <v>204.6</v>
      </c>
      <c r="E14">
        <v>222.6</v>
      </c>
      <c r="F14" s="19">
        <f t="shared" si="3"/>
        <v>359.1</v>
      </c>
      <c r="G14" s="19">
        <f t="shared" si="3"/>
        <v>417</v>
      </c>
      <c r="H14" s="24">
        <f t="shared" si="1"/>
        <v>-13.884892086330925</v>
      </c>
    </row>
    <row r="15" spans="1:9" x14ac:dyDescent="0.25">
      <c r="A15" s="10">
        <f t="shared" si="2"/>
        <v>38939</v>
      </c>
      <c r="B15">
        <v>212.1</v>
      </c>
      <c r="C15">
        <v>195.5</v>
      </c>
      <c r="D15">
        <v>246.9</v>
      </c>
      <c r="E15">
        <v>222.9</v>
      </c>
      <c r="F15" s="19">
        <f t="shared" si="3"/>
        <v>459</v>
      </c>
      <c r="G15" s="19">
        <f t="shared" si="3"/>
        <v>418.4</v>
      </c>
      <c r="H15" s="24">
        <f t="shared" si="1"/>
        <v>9.7036328871892952</v>
      </c>
    </row>
    <row r="16" spans="1:9" x14ac:dyDescent="0.25">
      <c r="A16" s="10">
        <f t="shared" si="2"/>
        <v>38946</v>
      </c>
      <c r="B16">
        <v>214.3</v>
      </c>
      <c r="C16">
        <v>196.5</v>
      </c>
      <c r="D16">
        <v>247.8</v>
      </c>
      <c r="E16">
        <v>222.9</v>
      </c>
      <c r="F16" s="19">
        <f t="shared" si="3"/>
        <v>462.1</v>
      </c>
      <c r="G16" s="19">
        <f t="shared" si="3"/>
        <v>419.4</v>
      </c>
      <c r="H16" s="24">
        <f t="shared" si="1"/>
        <v>10.18121125417264</v>
      </c>
    </row>
    <row r="17" spans="1:8" x14ac:dyDescent="0.25">
      <c r="A17" s="10">
        <f t="shared" si="2"/>
        <v>38953</v>
      </c>
      <c r="B17">
        <v>232.4</v>
      </c>
      <c r="C17">
        <v>184</v>
      </c>
      <c r="D17">
        <v>249.1</v>
      </c>
      <c r="E17">
        <v>245.4</v>
      </c>
      <c r="F17" s="19">
        <f t="shared" si="3"/>
        <v>481.5</v>
      </c>
      <c r="G17" s="19">
        <f t="shared" si="3"/>
        <v>429.4</v>
      </c>
      <c r="H17" s="24">
        <f t="shared" si="1"/>
        <v>12.133209129017231</v>
      </c>
    </row>
    <row r="18" spans="1:8" x14ac:dyDescent="0.25">
      <c r="A18" s="10">
        <f t="shared" si="2"/>
        <v>38960</v>
      </c>
      <c r="B18">
        <v>177.1</v>
      </c>
      <c r="C18">
        <v>224.8</v>
      </c>
      <c r="D18">
        <v>306.7</v>
      </c>
      <c r="E18">
        <v>245.8</v>
      </c>
      <c r="F18" s="19">
        <f t="shared" si="3"/>
        <v>483.79999999999995</v>
      </c>
      <c r="G18" s="19">
        <f t="shared" si="3"/>
        <v>470.6</v>
      </c>
      <c r="H18" s="24">
        <f t="shared" si="1"/>
        <v>2.8049298767530706</v>
      </c>
    </row>
    <row r="19" spans="1:8" x14ac:dyDescent="0.25">
      <c r="A19" s="10">
        <f t="shared" si="2"/>
        <v>38967</v>
      </c>
      <c r="B19">
        <v>201.1</v>
      </c>
      <c r="C19">
        <v>224.1</v>
      </c>
      <c r="D19">
        <v>307.10000000000002</v>
      </c>
      <c r="E19">
        <v>271.8</v>
      </c>
      <c r="F19" s="19">
        <f t="shared" si="3"/>
        <v>508.20000000000005</v>
      </c>
      <c r="G19" s="19">
        <f t="shared" si="3"/>
        <v>495.9</v>
      </c>
      <c r="H19" s="24">
        <f t="shared" si="1"/>
        <v>2.4803387779794406</v>
      </c>
    </row>
    <row r="20" spans="1:8" x14ac:dyDescent="0.25">
      <c r="A20" s="10">
        <f t="shared" si="2"/>
        <v>38974</v>
      </c>
      <c r="B20">
        <v>156.19999999999999</v>
      </c>
      <c r="C20">
        <v>182.7</v>
      </c>
      <c r="D20">
        <v>355.6</v>
      </c>
      <c r="E20">
        <v>337.2</v>
      </c>
      <c r="F20" s="19">
        <f t="shared" si="3"/>
        <v>511.8</v>
      </c>
      <c r="G20" s="19">
        <f t="shared" si="3"/>
        <v>519.9</v>
      </c>
      <c r="H20" s="24">
        <f t="shared" si="1"/>
        <v>-1.5579919215233606</v>
      </c>
    </row>
    <row r="21" spans="1:8" x14ac:dyDescent="0.25">
      <c r="A21" s="10">
        <f t="shared" si="2"/>
        <v>38981</v>
      </c>
      <c r="B21">
        <v>179</v>
      </c>
      <c r="C21">
        <v>184.2</v>
      </c>
      <c r="D21">
        <v>356.5</v>
      </c>
      <c r="E21">
        <v>360.3</v>
      </c>
      <c r="F21" s="19">
        <f t="shared" si="3"/>
        <v>535.5</v>
      </c>
      <c r="G21" s="19">
        <f t="shared" si="3"/>
        <v>544.5</v>
      </c>
      <c r="H21" s="24">
        <f t="shared" si="1"/>
        <v>-1.6528925619834656</v>
      </c>
    </row>
    <row r="22" spans="1:8" x14ac:dyDescent="0.25">
      <c r="A22" s="10">
        <f t="shared" si="2"/>
        <v>38988</v>
      </c>
      <c r="B22">
        <v>219.7</v>
      </c>
      <c r="C22">
        <v>160.5</v>
      </c>
      <c r="D22">
        <v>379.6</v>
      </c>
      <c r="E22">
        <v>385.8</v>
      </c>
      <c r="F22" s="19">
        <f t="shared" si="3"/>
        <v>599.29999999999995</v>
      </c>
      <c r="G22" s="19">
        <f t="shared" si="3"/>
        <v>546.29999999999995</v>
      </c>
      <c r="H22" s="24">
        <f t="shared" si="1"/>
        <v>9.7016291414973477</v>
      </c>
    </row>
    <row r="23" spans="1:8" x14ac:dyDescent="0.25">
      <c r="A23" s="10">
        <f t="shared" si="2"/>
        <v>38995</v>
      </c>
      <c r="B23">
        <v>197.6</v>
      </c>
      <c r="C23">
        <v>160.5</v>
      </c>
      <c r="D23">
        <v>402.5</v>
      </c>
      <c r="E23">
        <v>385.8</v>
      </c>
      <c r="F23" s="19">
        <f t="shared" si="3"/>
        <v>600.1</v>
      </c>
      <c r="G23" s="19">
        <f t="shared" si="3"/>
        <v>546.29999999999995</v>
      </c>
      <c r="H23" s="24">
        <f t="shared" si="1"/>
        <v>9.8480688266520353</v>
      </c>
    </row>
    <row r="24" spans="1:8" x14ac:dyDescent="0.25">
      <c r="A24" s="10">
        <f t="shared" si="2"/>
        <v>39002</v>
      </c>
      <c r="B24">
        <v>177.7</v>
      </c>
      <c r="C24">
        <v>175.9</v>
      </c>
      <c r="D24">
        <v>425.8</v>
      </c>
      <c r="E24">
        <v>408.6</v>
      </c>
      <c r="F24" s="19">
        <f t="shared" si="3"/>
        <v>603.5</v>
      </c>
      <c r="G24" s="19">
        <f t="shared" si="3"/>
        <v>584.5</v>
      </c>
      <c r="H24" s="24">
        <f t="shared" si="1"/>
        <v>3.2506415739948613</v>
      </c>
    </row>
    <row r="25" spans="1:8" x14ac:dyDescent="0.25">
      <c r="A25" s="10">
        <f t="shared" si="2"/>
        <v>39009</v>
      </c>
      <c r="B25">
        <v>157.1</v>
      </c>
      <c r="C25">
        <v>183.9</v>
      </c>
      <c r="D25">
        <v>470.8</v>
      </c>
      <c r="E25">
        <v>430.1</v>
      </c>
      <c r="F25" s="19">
        <f t="shared" si="3"/>
        <v>627.9</v>
      </c>
      <c r="G25" s="19">
        <f t="shared" si="3"/>
        <v>614</v>
      </c>
      <c r="H25" s="24">
        <f t="shared" si="1"/>
        <v>2.2638436482084634</v>
      </c>
    </row>
    <row r="26" spans="1:8" x14ac:dyDescent="0.25">
      <c r="A26" s="10">
        <f t="shared" si="2"/>
        <v>39016</v>
      </c>
      <c r="B26">
        <v>179.6</v>
      </c>
      <c r="C26">
        <v>185.3</v>
      </c>
      <c r="D26">
        <v>496.3</v>
      </c>
      <c r="E26">
        <v>455.5</v>
      </c>
      <c r="F26" s="19">
        <f t="shared" si="3"/>
        <v>675.9</v>
      </c>
      <c r="G26" s="19">
        <f t="shared" si="3"/>
        <v>640.79999999999995</v>
      </c>
      <c r="H26" s="24">
        <f t="shared" si="1"/>
        <v>5.47752808988764</v>
      </c>
    </row>
    <row r="27" spans="1:8" x14ac:dyDescent="0.25">
      <c r="A27" s="10">
        <f t="shared" si="2"/>
        <v>39023</v>
      </c>
      <c r="B27">
        <v>198.9</v>
      </c>
      <c r="C27">
        <v>193.3</v>
      </c>
      <c r="D27">
        <v>519.5</v>
      </c>
      <c r="E27">
        <v>466.7</v>
      </c>
      <c r="F27" s="19">
        <f t="shared" si="3"/>
        <v>718.4</v>
      </c>
      <c r="G27" s="19">
        <f t="shared" si="3"/>
        <v>660</v>
      </c>
      <c r="H27" s="24">
        <f t="shared" si="1"/>
        <v>8.8484848484848388</v>
      </c>
    </row>
    <row r="28" spans="1:8" x14ac:dyDescent="0.25">
      <c r="A28" s="10">
        <f t="shared" si="2"/>
        <v>39030</v>
      </c>
      <c r="B28">
        <v>200.5</v>
      </c>
      <c r="C28">
        <v>198.8</v>
      </c>
      <c r="D28">
        <v>519.79999999999995</v>
      </c>
      <c r="E28">
        <v>483.8</v>
      </c>
      <c r="F28" s="19">
        <f t="shared" si="3"/>
        <v>720.3</v>
      </c>
      <c r="G28" s="19">
        <f t="shared" si="3"/>
        <v>682.6</v>
      </c>
      <c r="H28" s="24">
        <f t="shared" si="1"/>
        <v>5.5230002929973487</v>
      </c>
    </row>
    <row r="29" spans="1:8" x14ac:dyDescent="0.25">
      <c r="A29" s="10">
        <f t="shared" si="2"/>
        <v>39037</v>
      </c>
      <c r="B29">
        <v>243.3</v>
      </c>
      <c r="C29">
        <v>168.3</v>
      </c>
      <c r="D29">
        <v>520.29999999999995</v>
      </c>
      <c r="E29">
        <v>530.1</v>
      </c>
      <c r="F29" s="19">
        <f t="shared" si="3"/>
        <v>763.59999999999991</v>
      </c>
      <c r="G29" s="19">
        <f t="shared" si="3"/>
        <v>698.40000000000009</v>
      </c>
      <c r="H29" s="24">
        <f t="shared" si="1"/>
        <v>9.3356242840778592</v>
      </c>
    </row>
    <row r="30" spans="1:8" x14ac:dyDescent="0.25">
      <c r="A30" s="10">
        <f t="shared" si="2"/>
        <v>39044</v>
      </c>
      <c r="B30">
        <v>258.60000000000002</v>
      </c>
      <c r="C30">
        <v>194.7</v>
      </c>
      <c r="D30">
        <v>545.1</v>
      </c>
      <c r="E30">
        <v>571.29999999999995</v>
      </c>
      <c r="F30" s="19">
        <f t="shared" si="3"/>
        <v>803.7</v>
      </c>
      <c r="G30" s="19">
        <f t="shared" si="3"/>
        <v>766</v>
      </c>
      <c r="H30" s="24">
        <f t="shared" si="1"/>
        <v>4.9216710182767631</v>
      </c>
    </row>
    <row r="31" spans="1:8" x14ac:dyDescent="0.25">
      <c r="A31" s="10">
        <f t="shared" si="2"/>
        <v>39051</v>
      </c>
      <c r="B31">
        <v>258.39999999999998</v>
      </c>
      <c r="C31">
        <v>194.4</v>
      </c>
      <c r="D31">
        <v>546.29999999999995</v>
      </c>
      <c r="E31">
        <v>571.5</v>
      </c>
      <c r="F31" s="19">
        <f t="shared" si="3"/>
        <v>804.69999999999993</v>
      </c>
      <c r="G31" s="19">
        <f t="shared" si="3"/>
        <v>765.9</v>
      </c>
      <c r="H31" s="24">
        <f t="shared" si="1"/>
        <v>5.0659355007180995</v>
      </c>
    </row>
    <row r="32" spans="1:8" x14ac:dyDescent="0.25">
      <c r="A32" s="10">
        <f t="shared" si="2"/>
        <v>39058</v>
      </c>
      <c r="B32">
        <v>171.1</v>
      </c>
      <c r="C32">
        <v>191.2</v>
      </c>
      <c r="D32">
        <v>636.79999999999995</v>
      </c>
      <c r="E32">
        <v>597.29999999999995</v>
      </c>
      <c r="F32" s="19">
        <f t="shared" si="3"/>
        <v>807.9</v>
      </c>
      <c r="G32" s="19">
        <f t="shared" si="3"/>
        <v>788.5</v>
      </c>
      <c r="H32" s="24">
        <f t="shared" si="1"/>
        <v>2.460367786937212</v>
      </c>
    </row>
    <row r="33" spans="1:8" x14ac:dyDescent="0.25">
      <c r="A33" s="10">
        <f t="shared" si="2"/>
        <v>39065</v>
      </c>
      <c r="B33">
        <v>217.9</v>
      </c>
      <c r="C33">
        <v>171.7</v>
      </c>
      <c r="D33">
        <v>637.1</v>
      </c>
      <c r="E33">
        <v>642</v>
      </c>
      <c r="F33" s="19">
        <f t="shared" si="3"/>
        <v>855</v>
      </c>
      <c r="G33" s="19">
        <f t="shared" si="3"/>
        <v>813.7</v>
      </c>
      <c r="H33" s="24">
        <f t="shared" si="1"/>
        <v>5.0755806808405968</v>
      </c>
    </row>
    <row r="34" spans="1:8" x14ac:dyDescent="0.25">
      <c r="A34" s="10">
        <f t="shared" si="2"/>
        <v>39072</v>
      </c>
      <c r="B34">
        <v>194.9</v>
      </c>
      <c r="C34">
        <v>171.7</v>
      </c>
      <c r="D34">
        <v>659.6</v>
      </c>
      <c r="E34">
        <v>642</v>
      </c>
      <c r="F34" s="19">
        <f t="shared" si="3"/>
        <v>854.5</v>
      </c>
      <c r="G34" s="19">
        <f t="shared" si="3"/>
        <v>813.7</v>
      </c>
      <c r="H34" s="24">
        <f t="shared" si="1"/>
        <v>5.0141329728401018</v>
      </c>
    </row>
    <row r="35" spans="1:8" x14ac:dyDescent="0.25">
      <c r="A35" s="10">
        <f t="shared" si="2"/>
        <v>39079</v>
      </c>
      <c r="B35">
        <v>194.9</v>
      </c>
      <c r="C35">
        <v>185.4</v>
      </c>
      <c r="D35">
        <v>659.6</v>
      </c>
      <c r="E35">
        <v>650</v>
      </c>
      <c r="F35" s="19">
        <f t="shared" si="3"/>
        <v>854.5</v>
      </c>
      <c r="G35" s="19">
        <f t="shared" si="3"/>
        <v>835.4</v>
      </c>
      <c r="H35" s="24">
        <f t="shared" si="1"/>
        <v>2.2863299018434313</v>
      </c>
    </row>
    <row r="36" spans="1:8" x14ac:dyDescent="0.25">
      <c r="A36" s="10">
        <f t="shared" si="2"/>
        <v>39086</v>
      </c>
      <c r="B36">
        <v>149.5</v>
      </c>
      <c r="C36">
        <v>161.30000000000001</v>
      </c>
      <c r="D36">
        <v>706.2</v>
      </c>
      <c r="E36">
        <v>680.9</v>
      </c>
      <c r="F36" s="19">
        <f t="shared" si="3"/>
        <v>855.7</v>
      </c>
      <c r="G36" s="19">
        <f t="shared" si="3"/>
        <v>842.2</v>
      </c>
      <c r="H36" s="24">
        <f t="shared" si="1"/>
        <v>1.6029446687247706</v>
      </c>
    </row>
    <row r="37" spans="1:8" x14ac:dyDescent="0.25">
      <c r="A37" s="10">
        <f t="shared" si="2"/>
        <v>39093</v>
      </c>
      <c r="B37">
        <v>196.7</v>
      </c>
      <c r="C37">
        <v>176.4</v>
      </c>
      <c r="D37">
        <v>751.6</v>
      </c>
      <c r="E37">
        <v>681.4</v>
      </c>
      <c r="F37" s="19">
        <f t="shared" si="3"/>
        <v>948.3</v>
      </c>
      <c r="G37" s="19">
        <f t="shared" si="3"/>
        <v>857.8</v>
      </c>
      <c r="H37" s="24">
        <f t="shared" si="1"/>
        <v>10.550244812310572</v>
      </c>
    </row>
    <row r="38" spans="1:8" x14ac:dyDescent="0.25">
      <c r="A38" s="10">
        <f t="shared" si="2"/>
        <v>39100</v>
      </c>
      <c r="B38">
        <v>196.7</v>
      </c>
      <c r="C38">
        <v>146</v>
      </c>
      <c r="D38">
        <v>751.6</v>
      </c>
      <c r="E38">
        <v>737.1</v>
      </c>
      <c r="F38" s="19">
        <f t="shared" si="3"/>
        <v>948.3</v>
      </c>
      <c r="G38" s="19">
        <f t="shared" si="3"/>
        <v>883.1</v>
      </c>
      <c r="H38" s="24">
        <f t="shared" si="1"/>
        <v>7.3830823236326504</v>
      </c>
    </row>
    <row r="39" spans="1:8" x14ac:dyDescent="0.25">
      <c r="A39" s="10">
        <f t="shared" si="2"/>
        <v>39107</v>
      </c>
      <c r="B39">
        <v>175.8</v>
      </c>
      <c r="C39">
        <v>206.6</v>
      </c>
      <c r="D39">
        <v>774.5</v>
      </c>
      <c r="E39">
        <v>758</v>
      </c>
      <c r="F39" s="19">
        <f t="shared" ref="F39:G41" si="4">+B39+D39</f>
        <v>950.3</v>
      </c>
      <c r="G39" s="19">
        <f t="shared" si="4"/>
        <v>964.6</v>
      </c>
      <c r="H39" s="24">
        <f t="shared" ref="H39:H44" si="5">+(F39/G39-1)*100</f>
        <v>-1.482479784366586</v>
      </c>
    </row>
    <row r="40" spans="1:8" x14ac:dyDescent="0.25">
      <c r="A40" s="10">
        <f t="shared" si="2"/>
        <v>39114</v>
      </c>
      <c r="B40">
        <v>197</v>
      </c>
      <c r="C40">
        <v>161.5</v>
      </c>
      <c r="D40">
        <v>774.8</v>
      </c>
      <c r="E40">
        <v>806.5</v>
      </c>
      <c r="F40" s="19">
        <f t="shared" si="4"/>
        <v>971.8</v>
      </c>
      <c r="G40" s="19">
        <f t="shared" si="4"/>
        <v>968</v>
      </c>
      <c r="H40" s="24">
        <f t="shared" si="5"/>
        <v>0.39256198347106253</v>
      </c>
    </row>
    <row r="41" spans="1:8" x14ac:dyDescent="0.25">
      <c r="A41" s="10">
        <f t="shared" si="2"/>
        <v>39121</v>
      </c>
      <c r="B41">
        <v>180.6</v>
      </c>
      <c r="C41">
        <v>158.6</v>
      </c>
      <c r="D41">
        <v>793.5</v>
      </c>
      <c r="E41">
        <v>829.2</v>
      </c>
      <c r="F41" s="19">
        <f t="shared" si="4"/>
        <v>974.1</v>
      </c>
      <c r="G41" s="19">
        <f t="shared" si="4"/>
        <v>987.80000000000007</v>
      </c>
      <c r="H41" s="24">
        <f t="shared" si="5"/>
        <v>-1.3869204292366932</v>
      </c>
    </row>
    <row r="42" spans="1:8" x14ac:dyDescent="0.25">
      <c r="A42" s="10">
        <f t="shared" si="2"/>
        <v>39128</v>
      </c>
      <c r="B42">
        <v>156.5</v>
      </c>
      <c r="C42">
        <v>203.3</v>
      </c>
      <c r="D42">
        <v>818.5</v>
      </c>
      <c r="E42">
        <v>829.7</v>
      </c>
      <c r="F42" s="19">
        <f t="shared" ref="F42:G44" si="6">+B42+D42</f>
        <v>975</v>
      </c>
      <c r="G42" s="19">
        <f t="shared" si="6"/>
        <v>1033</v>
      </c>
      <c r="H42" s="24">
        <f t="shared" si="5"/>
        <v>-5.6147144240077491</v>
      </c>
    </row>
    <row r="43" spans="1:8" x14ac:dyDescent="0.25">
      <c r="A43" s="10">
        <f t="shared" ref="A43:A269" si="7">+A42+7</f>
        <v>39135</v>
      </c>
      <c r="B43">
        <v>156.6</v>
      </c>
      <c r="C43">
        <v>181.6</v>
      </c>
      <c r="D43">
        <v>818.3</v>
      </c>
      <c r="E43">
        <v>876.8</v>
      </c>
      <c r="F43" s="19">
        <f t="shared" si="6"/>
        <v>974.9</v>
      </c>
      <c r="G43" s="19">
        <f t="shared" si="6"/>
        <v>1058.3999999999999</v>
      </c>
      <c r="H43" s="24">
        <f t="shared" si="5"/>
        <v>-7.8892668178382364</v>
      </c>
    </row>
    <row r="44" spans="1:8" x14ac:dyDescent="0.25">
      <c r="A44" s="10">
        <f t="shared" si="7"/>
        <v>39142</v>
      </c>
      <c r="B44">
        <v>116.6</v>
      </c>
      <c r="C44">
        <v>160.1</v>
      </c>
      <c r="D44">
        <v>885.3</v>
      </c>
      <c r="E44">
        <v>898.3</v>
      </c>
      <c r="F44" s="19">
        <f t="shared" si="6"/>
        <v>1001.9</v>
      </c>
      <c r="G44" s="19">
        <f t="shared" si="6"/>
        <v>1058.3999999999999</v>
      </c>
      <c r="H44" s="24">
        <f t="shared" si="5"/>
        <v>-5.3382464096749738</v>
      </c>
    </row>
    <row r="45" spans="1:8" x14ac:dyDescent="0.25">
      <c r="A45" s="10">
        <f t="shared" si="7"/>
        <v>39149</v>
      </c>
      <c r="B45">
        <v>135.30000000000001</v>
      </c>
      <c r="C45">
        <v>151.4</v>
      </c>
      <c r="D45">
        <v>908.2</v>
      </c>
      <c r="E45">
        <v>907.3</v>
      </c>
      <c r="F45" s="19">
        <f t="shared" ref="F45:G49" si="8">+B45+D45</f>
        <v>1043.5</v>
      </c>
      <c r="G45" s="19">
        <f t="shared" si="8"/>
        <v>1058.7</v>
      </c>
      <c r="H45" s="24">
        <f t="shared" ref="H45:H50" si="9">+(F45/G45-1)*100</f>
        <v>-1.4357230565788304</v>
      </c>
    </row>
    <row r="46" spans="1:8" x14ac:dyDescent="0.25">
      <c r="A46" s="10">
        <f t="shared" si="7"/>
        <v>39156</v>
      </c>
      <c r="B46">
        <v>225.5</v>
      </c>
      <c r="C46">
        <v>154.80000000000001</v>
      </c>
      <c r="D46">
        <v>908.2</v>
      </c>
      <c r="E46">
        <v>928.8</v>
      </c>
      <c r="F46" s="19">
        <f t="shared" si="8"/>
        <v>1133.7</v>
      </c>
      <c r="G46" s="19">
        <f t="shared" si="8"/>
        <v>1083.5999999999999</v>
      </c>
      <c r="H46" s="24">
        <f t="shared" si="9"/>
        <v>4.6234772978959171</v>
      </c>
    </row>
    <row r="47" spans="1:8" x14ac:dyDescent="0.25">
      <c r="A47" s="10">
        <f t="shared" si="7"/>
        <v>39163</v>
      </c>
      <c r="B47">
        <v>224.1</v>
      </c>
      <c r="C47">
        <v>188</v>
      </c>
      <c r="D47">
        <v>933.4</v>
      </c>
      <c r="E47">
        <v>949.7</v>
      </c>
      <c r="F47" s="19">
        <f t="shared" si="8"/>
        <v>1157.5</v>
      </c>
      <c r="G47" s="19">
        <f t="shared" si="8"/>
        <v>1137.7</v>
      </c>
      <c r="H47" s="24">
        <f t="shared" si="9"/>
        <v>1.7403533444668939</v>
      </c>
    </row>
    <row r="48" spans="1:8" x14ac:dyDescent="0.25">
      <c r="A48" s="10">
        <f t="shared" si="7"/>
        <v>39170</v>
      </c>
      <c r="B48">
        <v>221.1</v>
      </c>
      <c r="C48">
        <v>198</v>
      </c>
      <c r="D48">
        <v>958.2</v>
      </c>
      <c r="E48">
        <v>972.5</v>
      </c>
      <c r="F48" s="19">
        <f t="shared" si="8"/>
        <v>1179.3</v>
      </c>
      <c r="G48" s="19">
        <f t="shared" si="8"/>
        <v>1170.5</v>
      </c>
      <c r="H48" s="24">
        <f t="shared" si="9"/>
        <v>0.75181546347713457</v>
      </c>
    </row>
    <row r="49" spans="1:9" x14ac:dyDescent="0.25">
      <c r="A49" s="10">
        <f t="shared" si="7"/>
        <v>39177</v>
      </c>
      <c r="B49">
        <v>199.1</v>
      </c>
      <c r="C49">
        <v>197.4</v>
      </c>
      <c r="D49">
        <v>981.1</v>
      </c>
      <c r="E49">
        <v>973</v>
      </c>
      <c r="F49" s="19">
        <f t="shared" si="8"/>
        <v>1180.2</v>
      </c>
      <c r="G49" s="19">
        <f t="shared" si="8"/>
        <v>1170.4000000000001</v>
      </c>
      <c r="H49" s="24">
        <f t="shared" si="9"/>
        <v>0.83732057416268102</v>
      </c>
    </row>
    <row r="50" spans="1:9" x14ac:dyDescent="0.25">
      <c r="A50" s="10">
        <f t="shared" si="7"/>
        <v>39184</v>
      </c>
      <c r="B50">
        <v>133.80000000000001</v>
      </c>
      <c r="C50">
        <v>197.4</v>
      </c>
      <c r="D50">
        <v>1051.3</v>
      </c>
      <c r="E50">
        <v>973</v>
      </c>
      <c r="F50" s="19">
        <f t="shared" ref="F50:G52" si="10">+B50+D50</f>
        <v>1185.0999999999999</v>
      </c>
      <c r="G50" s="19">
        <f t="shared" si="10"/>
        <v>1170.4000000000001</v>
      </c>
      <c r="H50" s="24">
        <f t="shared" si="9"/>
        <v>1.2559808612440104</v>
      </c>
    </row>
    <row r="51" spans="1:9" x14ac:dyDescent="0.25">
      <c r="A51" s="10">
        <f t="shared" si="7"/>
        <v>39191</v>
      </c>
      <c r="B51">
        <v>133</v>
      </c>
      <c r="C51">
        <v>155.19999999999999</v>
      </c>
      <c r="D51">
        <v>1051.9000000000001</v>
      </c>
      <c r="E51">
        <v>1019.3</v>
      </c>
      <c r="F51" s="19">
        <f t="shared" si="10"/>
        <v>1184.9000000000001</v>
      </c>
      <c r="G51" s="19">
        <f t="shared" si="10"/>
        <v>1174.5</v>
      </c>
      <c r="H51" s="24">
        <f t="shared" ref="H51:H57" si="11">+(F51/G51-1)*100</f>
        <v>0.88548318433376849</v>
      </c>
    </row>
    <row r="52" spans="1:9" x14ac:dyDescent="0.25">
      <c r="A52" s="10">
        <f t="shared" si="7"/>
        <v>39198</v>
      </c>
      <c r="B52">
        <v>155.30000000000001</v>
      </c>
      <c r="C52">
        <v>129.9</v>
      </c>
      <c r="D52">
        <v>1052.0999999999999</v>
      </c>
      <c r="E52">
        <v>1045.4000000000001</v>
      </c>
      <c r="F52" s="19">
        <f t="shared" si="10"/>
        <v>1207.3999999999999</v>
      </c>
      <c r="G52" s="19">
        <f t="shared" si="10"/>
        <v>1175.3000000000002</v>
      </c>
      <c r="H52" s="24">
        <f t="shared" si="11"/>
        <v>2.7312175614736312</v>
      </c>
    </row>
    <row r="53" spans="1:9" x14ac:dyDescent="0.25">
      <c r="A53" s="10">
        <f t="shared" si="7"/>
        <v>39205</v>
      </c>
      <c r="B53">
        <v>111.6</v>
      </c>
      <c r="C53">
        <v>107.6</v>
      </c>
      <c r="D53">
        <v>1098.9000000000001</v>
      </c>
      <c r="E53">
        <v>1069.0999999999999</v>
      </c>
      <c r="F53" s="19">
        <f t="shared" ref="F53:G55" si="12">+B53+D53</f>
        <v>1210.5</v>
      </c>
      <c r="G53" s="19">
        <f t="shared" si="12"/>
        <v>1176.6999999999998</v>
      </c>
      <c r="H53" s="24">
        <f t="shared" si="11"/>
        <v>2.8724398742245416</v>
      </c>
      <c r="I53">
        <v>21.8</v>
      </c>
    </row>
    <row r="54" spans="1:9" x14ac:dyDescent="0.25">
      <c r="A54" s="10">
        <f t="shared" si="7"/>
        <v>39212</v>
      </c>
      <c r="B54">
        <v>94.4</v>
      </c>
      <c r="C54">
        <v>86</v>
      </c>
      <c r="D54">
        <v>1117.9000000000001</v>
      </c>
      <c r="E54">
        <v>1092</v>
      </c>
      <c r="F54" s="19">
        <f t="shared" si="12"/>
        <v>1212.3000000000002</v>
      </c>
      <c r="G54" s="19">
        <f t="shared" si="12"/>
        <v>1178</v>
      </c>
      <c r="H54" s="24">
        <f t="shared" si="11"/>
        <v>2.9117147707979685</v>
      </c>
      <c r="I54">
        <v>22.3</v>
      </c>
    </row>
    <row r="55" spans="1:9" x14ac:dyDescent="0.25">
      <c r="A55" s="10">
        <f t="shared" si="7"/>
        <v>39219</v>
      </c>
      <c r="B55">
        <v>45.9</v>
      </c>
      <c r="C55">
        <v>73</v>
      </c>
      <c r="D55">
        <v>1144.8</v>
      </c>
      <c r="E55">
        <v>1107.7</v>
      </c>
      <c r="F55" s="19">
        <f t="shared" si="12"/>
        <v>1190.7</v>
      </c>
      <c r="G55" s="19">
        <f t="shared" si="12"/>
        <v>1180.7</v>
      </c>
      <c r="H55" s="24">
        <f t="shared" si="11"/>
        <v>0.84695519607012049</v>
      </c>
      <c r="I55">
        <v>64.2</v>
      </c>
    </row>
    <row r="56" spans="1:9" x14ac:dyDescent="0.25">
      <c r="A56" s="10">
        <f t="shared" si="7"/>
        <v>39226</v>
      </c>
      <c r="B56">
        <v>47.3</v>
      </c>
      <c r="C56">
        <v>51.5</v>
      </c>
      <c r="D56">
        <v>1145</v>
      </c>
      <c r="E56">
        <v>1130.0999999999999</v>
      </c>
      <c r="F56" s="19">
        <f>+B56+D56</f>
        <v>1192.3</v>
      </c>
      <c r="G56" s="19">
        <f>+C56+E56</f>
        <v>1181.5999999999999</v>
      </c>
      <c r="H56" s="24">
        <f t="shared" si="11"/>
        <v>0.90555179417739495</v>
      </c>
      <c r="I56">
        <v>91.5</v>
      </c>
    </row>
    <row r="57" spans="1:9" x14ac:dyDescent="0.25">
      <c r="A57" s="10">
        <f t="shared" si="7"/>
        <v>39233</v>
      </c>
      <c r="F57">
        <v>1191.4000000000001</v>
      </c>
      <c r="G57">
        <v>1142.5</v>
      </c>
      <c r="H57" s="24">
        <f t="shared" si="11"/>
        <v>4.2800875273523165</v>
      </c>
    </row>
    <row r="58" spans="1:9" x14ac:dyDescent="0.25">
      <c r="A58" s="10">
        <f t="shared" si="7"/>
        <v>39240</v>
      </c>
      <c r="B58">
        <v>118.2</v>
      </c>
      <c r="C58">
        <v>131.9</v>
      </c>
      <c r="D58">
        <v>0</v>
      </c>
      <c r="E58">
        <v>44.1</v>
      </c>
      <c r="F58" s="19">
        <f t="shared" ref="F58:G60" si="13">+B58+D58</f>
        <v>118.2</v>
      </c>
      <c r="G58" s="19">
        <f t="shared" si="13"/>
        <v>176</v>
      </c>
      <c r="H58" s="24">
        <f t="shared" ref="H58:H63" si="14">+(F58/G58-1)*100</f>
        <v>-32.840909090909086</v>
      </c>
    </row>
    <row r="59" spans="1:9" x14ac:dyDescent="0.25">
      <c r="A59" s="10">
        <f t="shared" si="7"/>
        <v>39247</v>
      </c>
      <c r="B59">
        <v>117</v>
      </c>
      <c r="C59">
        <v>158.9</v>
      </c>
      <c r="D59">
        <v>26.6</v>
      </c>
      <c r="E59">
        <v>56.4</v>
      </c>
      <c r="F59" s="19">
        <f t="shared" si="13"/>
        <v>143.6</v>
      </c>
      <c r="G59" s="19">
        <f t="shared" si="13"/>
        <v>215.3</v>
      </c>
      <c r="H59" s="24">
        <f t="shared" si="14"/>
        <v>-33.302368787738047</v>
      </c>
    </row>
    <row r="60" spans="1:9" x14ac:dyDescent="0.25">
      <c r="A60" s="10">
        <f t="shared" si="7"/>
        <v>39254</v>
      </c>
      <c r="B60">
        <v>148.9</v>
      </c>
      <c r="C60">
        <v>180.4</v>
      </c>
      <c r="D60">
        <v>38.6</v>
      </c>
      <c r="E60">
        <v>68.099999999999994</v>
      </c>
      <c r="F60" s="19">
        <f t="shared" si="13"/>
        <v>187.5</v>
      </c>
      <c r="G60" s="19">
        <f t="shared" si="13"/>
        <v>248.5</v>
      </c>
      <c r="H60" s="24">
        <f t="shared" si="14"/>
        <v>-24.547283702213285</v>
      </c>
    </row>
    <row r="61" spans="1:9" x14ac:dyDescent="0.25">
      <c r="A61" s="10">
        <f t="shared" si="7"/>
        <v>39261</v>
      </c>
      <c r="B61">
        <v>139.6</v>
      </c>
      <c r="C61">
        <v>146.9</v>
      </c>
      <c r="D61">
        <v>50.8</v>
      </c>
      <c r="E61">
        <v>105.5</v>
      </c>
      <c r="F61" s="19">
        <f t="shared" ref="F61:G63" si="15">+B61+D61</f>
        <v>190.39999999999998</v>
      </c>
      <c r="G61" s="19">
        <f t="shared" si="15"/>
        <v>252.4</v>
      </c>
      <c r="H61" s="24">
        <f t="shared" si="14"/>
        <v>-24.564183835182263</v>
      </c>
    </row>
    <row r="62" spans="1:9" x14ac:dyDescent="0.25">
      <c r="A62" s="10">
        <f t="shared" si="7"/>
        <v>39268</v>
      </c>
      <c r="B62">
        <v>205.7</v>
      </c>
      <c r="C62">
        <v>139</v>
      </c>
      <c r="D62">
        <v>72.3</v>
      </c>
      <c r="E62">
        <v>114.2</v>
      </c>
      <c r="F62" s="19">
        <f t="shared" si="15"/>
        <v>278</v>
      </c>
      <c r="G62" s="19">
        <f t="shared" si="15"/>
        <v>253.2</v>
      </c>
      <c r="H62" s="24">
        <f t="shared" si="14"/>
        <v>9.7946287519747202</v>
      </c>
    </row>
    <row r="63" spans="1:9" x14ac:dyDescent="0.25">
      <c r="A63" s="10">
        <f t="shared" si="7"/>
        <v>39275</v>
      </c>
      <c r="B63">
        <v>183.2</v>
      </c>
      <c r="C63">
        <v>138.30000000000001</v>
      </c>
      <c r="D63">
        <v>95.3</v>
      </c>
      <c r="E63">
        <v>114.9</v>
      </c>
      <c r="F63" s="19">
        <f t="shared" si="15"/>
        <v>278.5</v>
      </c>
      <c r="G63" s="19">
        <f t="shared" si="15"/>
        <v>253.20000000000002</v>
      </c>
      <c r="H63" s="24">
        <f t="shared" si="14"/>
        <v>9.9921011058451636</v>
      </c>
    </row>
    <row r="64" spans="1:9" x14ac:dyDescent="0.25">
      <c r="A64" s="10">
        <f t="shared" si="7"/>
        <v>39282</v>
      </c>
      <c r="B64">
        <v>183.4</v>
      </c>
      <c r="C64">
        <v>125.1</v>
      </c>
      <c r="D64">
        <v>95.7</v>
      </c>
      <c r="E64">
        <v>163.30000000000001</v>
      </c>
      <c r="F64" s="19">
        <f t="shared" ref="F64:G66" si="16">+B64+D64</f>
        <v>279.10000000000002</v>
      </c>
      <c r="G64" s="19">
        <f t="shared" si="16"/>
        <v>288.39999999999998</v>
      </c>
      <c r="H64" s="24">
        <f t="shared" ref="H64:H69" si="17">+(F64/G64-1)*100</f>
        <v>-3.224687933425785</v>
      </c>
    </row>
    <row r="65" spans="1:8" x14ac:dyDescent="0.25">
      <c r="A65" s="10">
        <f t="shared" si="7"/>
        <v>39289</v>
      </c>
      <c r="B65">
        <v>158.9</v>
      </c>
      <c r="C65">
        <v>144.69999999999999</v>
      </c>
      <c r="D65">
        <v>119.9</v>
      </c>
      <c r="E65">
        <v>189.1</v>
      </c>
      <c r="F65" s="19">
        <f t="shared" si="16"/>
        <v>278.8</v>
      </c>
      <c r="G65" s="19">
        <f t="shared" si="16"/>
        <v>333.79999999999995</v>
      </c>
      <c r="H65" s="24">
        <f t="shared" si="17"/>
        <v>-16.476932294787282</v>
      </c>
    </row>
    <row r="66" spans="1:8" x14ac:dyDescent="0.25">
      <c r="A66" s="10">
        <f t="shared" si="7"/>
        <v>39296</v>
      </c>
      <c r="B66">
        <v>183.2</v>
      </c>
      <c r="C66">
        <v>154.5</v>
      </c>
      <c r="D66">
        <v>147.19999999999999</v>
      </c>
      <c r="E66">
        <v>204.6</v>
      </c>
      <c r="F66" s="19">
        <f t="shared" si="16"/>
        <v>330.4</v>
      </c>
      <c r="G66" s="19">
        <f t="shared" si="16"/>
        <v>359.1</v>
      </c>
      <c r="H66" s="24">
        <f t="shared" si="17"/>
        <v>-7.9922027290448501</v>
      </c>
    </row>
    <row r="67" spans="1:8" x14ac:dyDescent="0.25">
      <c r="A67" s="10">
        <f t="shared" si="7"/>
        <v>39303</v>
      </c>
      <c r="B67">
        <v>183</v>
      </c>
      <c r="C67">
        <v>212.1</v>
      </c>
      <c r="D67">
        <v>169.8</v>
      </c>
      <c r="E67">
        <v>246.9</v>
      </c>
      <c r="F67" s="19">
        <f>+B67+D67</f>
        <v>352.8</v>
      </c>
      <c r="G67" s="19">
        <f>+C67+E67</f>
        <v>459</v>
      </c>
      <c r="H67" s="24">
        <f t="shared" si="17"/>
        <v>-23.13725490196078</v>
      </c>
    </row>
    <row r="68" spans="1:8" x14ac:dyDescent="0.25">
      <c r="A68" s="10">
        <f t="shared" si="7"/>
        <v>39310</v>
      </c>
      <c r="B68">
        <v>178.9</v>
      </c>
      <c r="C68">
        <v>214.3</v>
      </c>
      <c r="D68">
        <v>219</v>
      </c>
      <c r="E68">
        <v>249.1</v>
      </c>
      <c r="F68" s="19">
        <v>377.8</v>
      </c>
      <c r="G68" s="19">
        <f t="shared" ref="G68:G73" si="18">+C68+E68</f>
        <v>463.4</v>
      </c>
      <c r="H68" s="24">
        <f t="shared" si="17"/>
        <v>-18.472162278808803</v>
      </c>
    </row>
    <row r="69" spans="1:8" x14ac:dyDescent="0.25">
      <c r="A69" s="10">
        <f t="shared" si="7"/>
        <v>39317</v>
      </c>
      <c r="B69">
        <v>157.4</v>
      </c>
      <c r="C69">
        <v>232.4</v>
      </c>
      <c r="D69">
        <v>243.6</v>
      </c>
      <c r="E69">
        <v>249.1</v>
      </c>
      <c r="F69" s="19">
        <f t="shared" ref="F69:F74" si="19">+B69+D69</f>
        <v>401</v>
      </c>
      <c r="G69" s="19">
        <f t="shared" si="18"/>
        <v>481.5</v>
      </c>
      <c r="H69" s="24">
        <f t="shared" si="17"/>
        <v>-16.718587746625126</v>
      </c>
    </row>
    <row r="70" spans="1:8" x14ac:dyDescent="0.25">
      <c r="A70" s="10">
        <f t="shared" si="7"/>
        <v>39324</v>
      </c>
      <c r="B70">
        <v>115.3</v>
      </c>
      <c r="C70">
        <v>177.1</v>
      </c>
      <c r="D70">
        <v>289.5</v>
      </c>
      <c r="E70">
        <v>306.7</v>
      </c>
      <c r="F70" s="19">
        <f t="shared" si="19"/>
        <v>404.8</v>
      </c>
      <c r="G70" s="19">
        <f t="shared" si="18"/>
        <v>483.79999999999995</v>
      </c>
      <c r="H70" s="24">
        <f t="shared" ref="H70:H75" si="20">+(F70/G70-1)*100</f>
        <v>-16.32906159570069</v>
      </c>
    </row>
    <row r="71" spans="1:8" x14ac:dyDescent="0.25">
      <c r="A71" s="10">
        <f t="shared" si="7"/>
        <v>39331</v>
      </c>
      <c r="B71">
        <v>202.7</v>
      </c>
      <c r="C71">
        <v>201.1</v>
      </c>
      <c r="D71">
        <v>290</v>
      </c>
      <c r="E71">
        <v>307.10000000000002</v>
      </c>
      <c r="F71" s="19">
        <f t="shared" si="19"/>
        <v>492.7</v>
      </c>
      <c r="G71" s="19">
        <f t="shared" si="18"/>
        <v>508.20000000000005</v>
      </c>
      <c r="H71" s="24">
        <f t="shared" si="20"/>
        <v>-3.0499803227076017</v>
      </c>
    </row>
    <row r="72" spans="1:8" x14ac:dyDescent="0.25">
      <c r="A72" s="10">
        <f t="shared" si="7"/>
        <v>39338</v>
      </c>
      <c r="B72">
        <v>236.9</v>
      </c>
      <c r="C72">
        <v>156.19999999999999</v>
      </c>
      <c r="D72">
        <v>290</v>
      </c>
      <c r="E72">
        <v>355.6</v>
      </c>
      <c r="F72" s="19">
        <f t="shared" si="19"/>
        <v>526.9</v>
      </c>
      <c r="G72" s="19">
        <f t="shared" si="18"/>
        <v>511.8</v>
      </c>
      <c r="H72" s="24">
        <f t="shared" si="20"/>
        <v>2.9503712387651371</v>
      </c>
    </row>
    <row r="73" spans="1:8" x14ac:dyDescent="0.25">
      <c r="A73" s="10">
        <f t="shared" si="7"/>
        <v>39345</v>
      </c>
      <c r="B73">
        <v>270.89999999999998</v>
      </c>
      <c r="C73">
        <v>179</v>
      </c>
      <c r="D73">
        <v>341.7</v>
      </c>
      <c r="E73">
        <v>356.5</v>
      </c>
      <c r="F73" s="19">
        <f t="shared" si="19"/>
        <v>612.59999999999991</v>
      </c>
      <c r="G73" s="19">
        <f t="shared" si="18"/>
        <v>535.5</v>
      </c>
      <c r="H73" s="24">
        <f t="shared" si="20"/>
        <v>14.39775910364145</v>
      </c>
    </row>
    <row r="74" spans="1:8" x14ac:dyDescent="0.25">
      <c r="A74" s="10">
        <f t="shared" si="7"/>
        <v>39352</v>
      </c>
      <c r="B74">
        <v>251.7</v>
      </c>
      <c r="C74">
        <v>219.7</v>
      </c>
      <c r="D74">
        <v>363.9</v>
      </c>
      <c r="E74">
        <v>379.6</v>
      </c>
      <c r="F74" s="19">
        <f t="shared" si="19"/>
        <v>615.59999999999991</v>
      </c>
      <c r="G74" s="19">
        <f t="shared" ref="G74:G79" si="21">+C74+E74</f>
        <v>599.29999999999995</v>
      </c>
      <c r="H74" s="24">
        <f t="shared" si="20"/>
        <v>2.719839813115299</v>
      </c>
    </row>
    <row r="75" spans="1:8" x14ac:dyDescent="0.25">
      <c r="A75" s="10">
        <f t="shared" si="7"/>
        <v>39359</v>
      </c>
      <c r="B75">
        <v>301.8</v>
      </c>
      <c r="C75">
        <v>197.6</v>
      </c>
      <c r="D75">
        <v>386.6</v>
      </c>
      <c r="E75">
        <v>402.5</v>
      </c>
      <c r="F75" s="19">
        <f t="shared" ref="F75:F80" si="22">+B75+D75</f>
        <v>688.40000000000009</v>
      </c>
      <c r="G75" s="19">
        <f t="shared" si="21"/>
        <v>600.1</v>
      </c>
      <c r="H75" s="24">
        <f t="shared" si="20"/>
        <v>14.71421429761708</v>
      </c>
    </row>
    <row r="76" spans="1:8" x14ac:dyDescent="0.25">
      <c r="A76" s="10">
        <f t="shared" si="7"/>
        <v>39366</v>
      </c>
      <c r="B76">
        <v>411.9</v>
      </c>
      <c r="C76">
        <v>177.7</v>
      </c>
      <c r="D76">
        <v>435.4</v>
      </c>
      <c r="E76">
        <v>425.8</v>
      </c>
      <c r="F76" s="19">
        <f t="shared" si="22"/>
        <v>847.3</v>
      </c>
      <c r="G76" s="19">
        <f t="shared" si="21"/>
        <v>603.5</v>
      </c>
      <c r="H76" s="24">
        <f t="shared" ref="H76:H81" si="23">+(F76/G76-1)*100</f>
        <v>40.397680198840092</v>
      </c>
    </row>
    <row r="77" spans="1:8" x14ac:dyDescent="0.25">
      <c r="A77" s="10">
        <f t="shared" si="7"/>
        <v>39373</v>
      </c>
      <c r="B77">
        <v>394.7</v>
      </c>
      <c r="C77">
        <v>157.1</v>
      </c>
      <c r="D77">
        <v>455.1</v>
      </c>
      <c r="E77">
        <v>470.8</v>
      </c>
      <c r="F77" s="19">
        <f t="shared" si="22"/>
        <v>849.8</v>
      </c>
      <c r="G77" s="19">
        <f t="shared" si="21"/>
        <v>627.9</v>
      </c>
      <c r="H77" s="24">
        <f t="shared" si="23"/>
        <v>35.340022296544028</v>
      </c>
    </row>
    <row r="78" spans="1:8" x14ac:dyDescent="0.25">
      <c r="A78" s="10">
        <f t="shared" si="7"/>
        <v>39380</v>
      </c>
      <c r="B78">
        <v>442.1</v>
      </c>
      <c r="C78">
        <v>179.6</v>
      </c>
      <c r="D78">
        <v>455.8</v>
      </c>
      <c r="E78">
        <v>496.3</v>
      </c>
      <c r="F78" s="19">
        <f t="shared" si="22"/>
        <v>897.90000000000009</v>
      </c>
      <c r="G78" s="19">
        <f t="shared" si="21"/>
        <v>675.9</v>
      </c>
      <c r="H78" s="24">
        <f t="shared" si="23"/>
        <v>32.845095428317819</v>
      </c>
    </row>
    <row r="79" spans="1:8" x14ac:dyDescent="0.25">
      <c r="A79" s="10">
        <f t="shared" si="7"/>
        <v>39387</v>
      </c>
      <c r="B79">
        <v>444.4</v>
      </c>
      <c r="C79">
        <v>198.9</v>
      </c>
      <c r="D79">
        <v>508.9</v>
      </c>
      <c r="E79">
        <v>519.5</v>
      </c>
      <c r="F79" s="19">
        <f t="shared" si="22"/>
        <v>953.3</v>
      </c>
      <c r="G79" s="19">
        <f t="shared" si="21"/>
        <v>718.4</v>
      </c>
      <c r="H79" s="24">
        <f t="shared" si="23"/>
        <v>32.69766146993318</v>
      </c>
    </row>
    <row r="80" spans="1:8" x14ac:dyDescent="0.25">
      <c r="A80" s="10">
        <f t="shared" si="7"/>
        <v>39394</v>
      </c>
      <c r="B80">
        <v>450.9</v>
      </c>
      <c r="C80">
        <v>200.5</v>
      </c>
      <c r="D80">
        <v>556.6</v>
      </c>
      <c r="E80">
        <v>519.79999999999995</v>
      </c>
      <c r="F80" s="19">
        <f t="shared" si="22"/>
        <v>1007.5</v>
      </c>
      <c r="G80" s="19">
        <f t="shared" ref="G80:G85" si="24">+C80+E80</f>
        <v>720.3</v>
      </c>
      <c r="H80" s="24">
        <f t="shared" si="23"/>
        <v>39.87227544078857</v>
      </c>
    </row>
    <row r="81" spans="1:9" x14ac:dyDescent="0.25">
      <c r="A81" s="10">
        <f t="shared" si="7"/>
        <v>39401</v>
      </c>
      <c r="B81">
        <v>483.6</v>
      </c>
      <c r="C81">
        <v>243.3</v>
      </c>
      <c r="D81">
        <v>578.29999999999995</v>
      </c>
      <c r="E81">
        <v>520.29999999999995</v>
      </c>
      <c r="F81" s="19">
        <f t="shared" ref="F81:F86" si="25">+B81+D81</f>
        <v>1061.9000000000001</v>
      </c>
      <c r="G81" s="19">
        <f t="shared" si="24"/>
        <v>763.59999999999991</v>
      </c>
      <c r="H81" s="24">
        <f t="shared" si="23"/>
        <v>39.064955474070231</v>
      </c>
    </row>
    <row r="82" spans="1:9" x14ac:dyDescent="0.25">
      <c r="A82" s="10">
        <f t="shared" si="7"/>
        <v>39408</v>
      </c>
      <c r="B82">
        <v>558</v>
      </c>
      <c r="C82">
        <v>258.60000000000002</v>
      </c>
      <c r="D82">
        <v>578.79999999999995</v>
      </c>
      <c r="E82">
        <v>545.1</v>
      </c>
      <c r="F82" s="19">
        <f t="shared" si="25"/>
        <v>1136.8</v>
      </c>
      <c r="G82" s="19">
        <f t="shared" si="24"/>
        <v>803.7</v>
      </c>
      <c r="H82" s="24">
        <f t="shared" ref="H82:H87" si="26">+(F82/G82-1)*100</f>
        <v>41.445813114346144</v>
      </c>
    </row>
    <row r="83" spans="1:9" x14ac:dyDescent="0.25">
      <c r="A83" s="10">
        <f t="shared" si="7"/>
        <v>39415</v>
      </c>
      <c r="B83">
        <v>556.70000000000005</v>
      </c>
      <c r="C83">
        <v>258.39999999999998</v>
      </c>
      <c r="D83">
        <v>602.20000000000005</v>
      </c>
      <c r="E83">
        <v>546.29999999999995</v>
      </c>
      <c r="F83" s="19">
        <f t="shared" si="25"/>
        <v>1158.9000000000001</v>
      </c>
      <c r="G83" s="19">
        <f t="shared" si="24"/>
        <v>804.69999999999993</v>
      </c>
      <c r="H83" s="24">
        <f t="shared" si="26"/>
        <v>44.016403628681509</v>
      </c>
    </row>
    <row r="84" spans="1:9" x14ac:dyDescent="0.25">
      <c r="A84" s="10">
        <f t="shared" si="7"/>
        <v>39422</v>
      </c>
      <c r="B84">
        <v>721</v>
      </c>
      <c r="C84">
        <v>171.1</v>
      </c>
      <c r="D84">
        <v>624.6</v>
      </c>
      <c r="E84">
        <v>636.79999999999995</v>
      </c>
      <c r="F84" s="19">
        <f t="shared" si="25"/>
        <v>1345.6</v>
      </c>
      <c r="G84" s="19">
        <f t="shared" si="24"/>
        <v>807.9</v>
      </c>
      <c r="H84" s="24">
        <f t="shared" si="26"/>
        <v>66.555266740933277</v>
      </c>
    </row>
    <row r="85" spans="1:9" x14ac:dyDescent="0.25">
      <c r="A85" s="10">
        <f t="shared" si="7"/>
        <v>39429</v>
      </c>
      <c r="B85">
        <v>682.8</v>
      </c>
      <c r="C85">
        <v>217.9</v>
      </c>
      <c r="D85">
        <v>679.7</v>
      </c>
      <c r="E85">
        <v>637.1</v>
      </c>
      <c r="F85" s="19">
        <f t="shared" si="25"/>
        <v>1362.5</v>
      </c>
      <c r="G85" s="19">
        <f t="shared" si="24"/>
        <v>855</v>
      </c>
      <c r="H85" s="24">
        <f t="shared" si="26"/>
        <v>59.356725146198826</v>
      </c>
    </row>
    <row r="86" spans="1:9" x14ac:dyDescent="0.25">
      <c r="A86" s="10">
        <f t="shared" si="7"/>
        <v>39436</v>
      </c>
      <c r="B86">
        <v>676.6</v>
      </c>
      <c r="C86">
        <v>194.9</v>
      </c>
      <c r="D86">
        <v>705.4</v>
      </c>
      <c r="E86">
        <v>659.6</v>
      </c>
      <c r="F86" s="19">
        <f t="shared" si="25"/>
        <v>1382</v>
      </c>
      <c r="G86" s="19">
        <f t="shared" ref="G86:G91" si="27">+C86+E86</f>
        <v>854.5</v>
      </c>
      <c r="H86" s="24">
        <f t="shared" si="26"/>
        <v>61.732007021650091</v>
      </c>
    </row>
    <row r="87" spans="1:9" x14ac:dyDescent="0.25">
      <c r="A87" s="10">
        <f t="shared" si="7"/>
        <v>39443</v>
      </c>
      <c r="B87">
        <v>607.1</v>
      </c>
      <c r="C87">
        <v>194.9</v>
      </c>
      <c r="D87">
        <v>773.9</v>
      </c>
      <c r="E87">
        <v>659.6</v>
      </c>
      <c r="F87" s="19">
        <f t="shared" ref="F87:F92" si="28">+B87+D87</f>
        <v>1381</v>
      </c>
      <c r="G87" s="19">
        <f t="shared" si="27"/>
        <v>854.5</v>
      </c>
      <c r="H87" s="24">
        <f t="shared" si="26"/>
        <v>61.614979520187241</v>
      </c>
    </row>
    <row r="88" spans="1:9" x14ac:dyDescent="0.25">
      <c r="A88" s="10">
        <f t="shared" si="7"/>
        <v>39450</v>
      </c>
      <c r="B88">
        <v>559.29999999999995</v>
      </c>
      <c r="C88">
        <v>149.5</v>
      </c>
      <c r="D88">
        <v>799</v>
      </c>
      <c r="E88">
        <v>706.2</v>
      </c>
      <c r="F88" s="19">
        <f t="shared" si="28"/>
        <v>1358.3</v>
      </c>
      <c r="G88" s="19">
        <f t="shared" si="27"/>
        <v>855.7</v>
      </c>
      <c r="H88" s="24">
        <f t="shared" ref="H88:H93" si="29">+(F88/G88-1)*100</f>
        <v>58.735538155895739</v>
      </c>
    </row>
    <row r="89" spans="1:9" x14ac:dyDescent="0.25">
      <c r="A89" s="10">
        <f t="shared" si="7"/>
        <v>39457</v>
      </c>
      <c r="B89">
        <v>580.4</v>
      </c>
      <c r="C89">
        <v>196.7</v>
      </c>
      <c r="D89">
        <v>820.8</v>
      </c>
      <c r="E89">
        <v>751.6</v>
      </c>
      <c r="F89" s="19">
        <f t="shared" si="28"/>
        <v>1401.1999999999998</v>
      </c>
      <c r="G89" s="19">
        <f t="shared" si="27"/>
        <v>948.3</v>
      </c>
      <c r="H89" s="24">
        <f t="shared" si="29"/>
        <v>47.759147948961278</v>
      </c>
    </row>
    <row r="90" spans="1:9" x14ac:dyDescent="0.25">
      <c r="A90" s="10">
        <f t="shared" si="7"/>
        <v>39464</v>
      </c>
      <c r="B90">
        <v>586.70000000000005</v>
      </c>
      <c r="C90">
        <v>196.7</v>
      </c>
      <c r="D90">
        <v>862.9</v>
      </c>
      <c r="E90">
        <v>751.6</v>
      </c>
      <c r="F90" s="19">
        <f t="shared" si="28"/>
        <v>1449.6</v>
      </c>
      <c r="G90" s="19">
        <f t="shared" si="27"/>
        <v>948.3</v>
      </c>
      <c r="H90" s="24">
        <f t="shared" si="29"/>
        <v>52.863018032268272</v>
      </c>
    </row>
    <row r="91" spans="1:9" x14ac:dyDescent="0.25">
      <c r="A91" s="10">
        <f t="shared" si="7"/>
        <v>39471</v>
      </c>
      <c r="B91">
        <v>550.70000000000005</v>
      </c>
      <c r="C91">
        <v>175.8</v>
      </c>
      <c r="D91">
        <v>949.5</v>
      </c>
      <c r="E91">
        <v>774.5</v>
      </c>
      <c r="F91" s="19">
        <f t="shared" si="28"/>
        <v>1500.2</v>
      </c>
      <c r="G91" s="19">
        <f t="shared" si="27"/>
        <v>950.3</v>
      </c>
      <c r="H91" s="24">
        <f t="shared" si="29"/>
        <v>57.865937072503428</v>
      </c>
    </row>
    <row r="92" spans="1:9" x14ac:dyDescent="0.25">
      <c r="A92" s="10">
        <f t="shared" si="7"/>
        <v>39478</v>
      </c>
      <c r="B92">
        <v>543.29999999999995</v>
      </c>
      <c r="C92">
        <v>197</v>
      </c>
      <c r="D92">
        <v>960.6</v>
      </c>
      <c r="E92">
        <v>774.8</v>
      </c>
      <c r="F92" s="19">
        <f t="shared" si="28"/>
        <v>1503.9</v>
      </c>
      <c r="G92" s="19">
        <f t="shared" ref="G92:G97" si="30">+C92+E92</f>
        <v>971.8</v>
      </c>
      <c r="H92" s="24">
        <f t="shared" si="29"/>
        <v>54.754064622350285</v>
      </c>
      <c r="I92">
        <v>41.7</v>
      </c>
    </row>
    <row r="93" spans="1:9" x14ac:dyDescent="0.25">
      <c r="A93" s="10">
        <f t="shared" si="7"/>
        <v>39485</v>
      </c>
      <c r="B93">
        <v>544</v>
      </c>
      <c r="C93">
        <v>180.6</v>
      </c>
      <c r="D93">
        <v>961.3</v>
      </c>
      <c r="E93">
        <v>793.5</v>
      </c>
      <c r="F93" s="19">
        <f t="shared" ref="F93:F98" si="31">+B93+D93</f>
        <v>1505.3</v>
      </c>
      <c r="G93" s="19">
        <f t="shared" si="30"/>
        <v>974.1</v>
      </c>
      <c r="H93" s="24">
        <f t="shared" si="29"/>
        <v>54.532388871779069</v>
      </c>
      <c r="I93">
        <v>41.7</v>
      </c>
    </row>
    <row r="94" spans="1:9" x14ac:dyDescent="0.25">
      <c r="A94" s="10">
        <f t="shared" si="7"/>
        <v>39492</v>
      </c>
      <c r="B94">
        <v>494.8</v>
      </c>
      <c r="C94">
        <v>156.5</v>
      </c>
      <c r="D94">
        <v>1012.3</v>
      </c>
      <c r="E94">
        <v>818.3</v>
      </c>
      <c r="F94" s="19">
        <f t="shared" si="31"/>
        <v>1507.1</v>
      </c>
      <c r="G94" s="19">
        <f t="shared" si="30"/>
        <v>974.8</v>
      </c>
      <c r="H94" s="24">
        <f t="shared" ref="H94:H99" si="32">+(F94/G94-1)*100</f>
        <v>54.606073040623727</v>
      </c>
      <c r="I94">
        <v>41.7</v>
      </c>
    </row>
    <row r="95" spans="1:9" x14ac:dyDescent="0.25">
      <c r="A95" s="10">
        <f t="shared" si="7"/>
        <v>39499</v>
      </c>
      <c r="B95">
        <v>446.4</v>
      </c>
      <c r="C95">
        <v>156.6</v>
      </c>
      <c r="D95">
        <v>1086.9000000000001</v>
      </c>
      <c r="E95">
        <v>818.3</v>
      </c>
      <c r="F95" s="19">
        <f t="shared" si="31"/>
        <v>1533.3000000000002</v>
      </c>
      <c r="G95" s="19">
        <f t="shared" si="30"/>
        <v>974.9</v>
      </c>
      <c r="H95" s="24">
        <f t="shared" si="32"/>
        <v>57.277669504564585</v>
      </c>
      <c r="I95">
        <v>41.7</v>
      </c>
    </row>
    <row r="96" spans="1:9" x14ac:dyDescent="0.25">
      <c r="A96" s="10">
        <f t="shared" si="7"/>
        <v>39506</v>
      </c>
      <c r="B96">
        <v>371.1</v>
      </c>
      <c r="C96">
        <v>116.6</v>
      </c>
      <c r="D96">
        <v>1165.3</v>
      </c>
      <c r="E96">
        <v>885.3</v>
      </c>
      <c r="F96" s="19">
        <f t="shared" si="31"/>
        <v>1536.4</v>
      </c>
      <c r="G96" s="19">
        <f t="shared" si="30"/>
        <v>1001.9</v>
      </c>
      <c r="H96" s="24">
        <f t="shared" si="32"/>
        <v>53.348637588581703</v>
      </c>
      <c r="I96">
        <v>41.7</v>
      </c>
    </row>
    <row r="97" spans="1:9" x14ac:dyDescent="0.25">
      <c r="A97" s="10">
        <f t="shared" si="7"/>
        <v>39513</v>
      </c>
      <c r="B97">
        <v>390.6</v>
      </c>
      <c r="C97">
        <v>135.30000000000001</v>
      </c>
      <c r="D97">
        <v>1187.9000000000001</v>
      </c>
      <c r="E97">
        <v>908.2</v>
      </c>
      <c r="F97" s="19">
        <f t="shared" si="31"/>
        <v>1578.5</v>
      </c>
      <c r="G97" s="19">
        <f t="shared" si="30"/>
        <v>1043.5</v>
      </c>
      <c r="H97" s="24">
        <f t="shared" si="32"/>
        <v>51.26976521322473</v>
      </c>
      <c r="I97">
        <v>41.7</v>
      </c>
    </row>
    <row r="98" spans="1:9" x14ac:dyDescent="0.25">
      <c r="A98" s="10">
        <f t="shared" si="7"/>
        <v>39520</v>
      </c>
      <c r="B98">
        <v>369.1</v>
      </c>
      <c r="C98">
        <v>225.5</v>
      </c>
      <c r="D98">
        <v>1210.5999999999999</v>
      </c>
      <c r="E98">
        <v>908.2</v>
      </c>
      <c r="F98" s="19">
        <f t="shared" si="31"/>
        <v>1579.6999999999998</v>
      </c>
      <c r="G98" s="19">
        <f t="shared" ref="G98:G103" si="33">+C98+E98</f>
        <v>1133.7</v>
      </c>
      <c r="H98" s="24">
        <f t="shared" si="32"/>
        <v>39.340213460351038</v>
      </c>
      <c r="I98">
        <v>41.7</v>
      </c>
    </row>
    <row r="99" spans="1:9" x14ac:dyDescent="0.25">
      <c r="A99" s="10">
        <f t="shared" si="7"/>
        <v>39527</v>
      </c>
      <c r="B99">
        <v>351.8</v>
      </c>
      <c r="C99">
        <v>224.1</v>
      </c>
      <c r="D99">
        <v>1235.3</v>
      </c>
      <c r="E99">
        <v>933.4</v>
      </c>
      <c r="F99" s="19">
        <f t="shared" ref="F99:F104" si="34">+B99+D99</f>
        <v>1587.1</v>
      </c>
      <c r="G99" s="19">
        <f t="shared" si="33"/>
        <v>1157.5</v>
      </c>
      <c r="H99" s="24">
        <f t="shared" si="32"/>
        <v>37.114470842332615</v>
      </c>
      <c r="I99">
        <v>41.7</v>
      </c>
    </row>
    <row r="100" spans="1:9" x14ac:dyDescent="0.25">
      <c r="A100" s="10">
        <f t="shared" si="7"/>
        <v>39534</v>
      </c>
      <c r="B100">
        <v>360.5</v>
      </c>
      <c r="C100">
        <v>221.1</v>
      </c>
      <c r="D100">
        <v>1235.5</v>
      </c>
      <c r="E100">
        <v>958.2</v>
      </c>
      <c r="F100" s="19">
        <f t="shared" si="34"/>
        <v>1596</v>
      </c>
      <c r="G100" s="19">
        <f t="shared" si="33"/>
        <v>1179.3</v>
      </c>
      <c r="H100" s="24">
        <f t="shared" ref="H100:H105" si="35">+(F100/G100-1)*100</f>
        <v>35.334520478249807</v>
      </c>
      <c r="I100">
        <v>41.7</v>
      </c>
    </row>
    <row r="101" spans="1:9" x14ac:dyDescent="0.25">
      <c r="A101" s="10">
        <f t="shared" si="7"/>
        <v>39541</v>
      </c>
      <c r="B101">
        <v>333.4</v>
      </c>
      <c r="C101">
        <v>199.1</v>
      </c>
      <c r="D101">
        <v>1264.5999999999999</v>
      </c>
      <c r="E101">
        <v>981.1</v>
      </c>
      <c r="F101" s="19">
        <f t="shared" si="34"/>
        <v>1598</v>
      </c>
      <c r="G101" s="19">
        <f t="shared" si="33"/>
        <v>1180.2</v>
      </c>
      <c r="H101" s="24">
        <f t="shared" si="35"/>
        <v>35.400779528893402</v>
      </c>
      <c r="I101">
        <v>41.7</v>
      </c>
    </row>
    <row r="102" spans="1:9" x14ac:dyDescent="0.25">
      <c r="A102" s="10">
        <f t="shared" si="7"/>
        <v>39548</v>
      </c>
      <c r="B102">
        <v>310.2</v>
      </c>
      <c r="C102">
        <v>133.80000000000001</v>
      </c>
      <c r="D102">
        <v>1290.4000000000001</v>
      </c>
      <c r="E102">
        <v>1051.3</v>
      </c>
      <c r="F102" s="19">
        <f t="shared" si="34"/>
        <v>1600.6000000000001</v>
      </c>
      <c r="G102" s="19">
        <f t="shared" si="33"/>
        <v>1185.0999999999999</v>
      </c>
      <c r="H102" s="24">
        <f t="shared" si="35"/>
        <v>35.060332461395681</v>
      </c>
      <c r="I102">
        <v>41.7</v>
      </c>
    </row>
    <row r="103" spans="1:9" x14ac:dyDescent="0.25">
      <c r="A103" s="10">
        <f t="shared" si="7"/>
        <v>39555</v>
      </c>
      <c r="B103">
        <v>289.8</v>
      </c>
      <c r="C103">
        <v>133</v>
      </c>
      <c r="D103">
        <v>1312.6</v>
      </c>
      <c r="E103">
        <v>1051.9000000000001</v>
      </c>
      <c r="F103" s="19">
        <f t="shared" si="34"/>
        <v>1602.3999999999999</v>
      </c>
      <c r="G103" s="19">
        <f t="shared" si="33"/>
        <v>1184.9000000000001</v>
      </c>
      <c r="H103" s="24">
        <f t="shared" si="35"/>
        <v>35.235040931724185</v>
      </c>
      <c r="I103">
        <v>64</v>
      </c>
    </row>
    <row r="104" spans="1:9" x14ac:dyDescent="0.25">
      <c r="A104" s="10">
        <f t="shared" si="7"/>
        <v>39562</v>
      </c>
      <c r="B104">
        <v>267.5</v>
      </c>
      <c r="C104">
        <v>155.30000000000001</v>
      </c>
      <c r="D104">
        <v>1338.2</v>
      </c>
      <c r="E104">
        <v>1052.0999999999999</v>
      </c>
      <c r="F104" s="19">
        <f t="shared" si="34"/>
        <v>1605.7</v>
      </c>
      <c r="G104" s="19">
        <f t="shared" ref="G104:G109" si="36">+C104+E104</f>
        <v>1207.3999999999999</v>
      </c>
      <c r="H104" s="24">
        <f t="shared" si="35"/>
        <v>32.988239191651502</v>
      </c>
      <c r="I104">
        <v>64</v>
      </c>
    </row>
    <row r="105" spans="1:9" x14ac:dyDescent="0.25">
      <c r="A105" s="10">
        <f t="shared" si="7"/>
        <v>39569</v>
      </c>
      <c r="B105">
        <v>222.1</v>
      </c>
      <c r="C105">
        <v>111.6</v>
      </c>
      <c r="D105">
        <v>1384.6</v>
      </c>
      <c r="E105">
        <v>1098.9000000000001</v>
      </c>
      <c r="F105" s="19">
        <f t="shared" ref="F105:F110" si="37">+B105+D105</f>
        <v>1606.6999999999998</v>
      </c>
      <c r="G105" s="19">
        <f t="shared" si="36"/>
        <v>1210.5</v>
      </c>
      <c r="H105" s="24">
        <f t="shared" si="35"/>
        <v>32.730276745146611</v>
      </c>
      <c r="I105">
        <v>84.8</v>
      </c>
    </row>
    <row r="106" spans="1:9" x14ac:dyDescent="0.25">
      <c r="A106" s="10">
        <f t="shared" si="7"/>
        <v>39576</v>
      </c>
      <c r="B106">
        <v>221.8</v>
      </c>
      <c r="C106">
        <v>94.4</v>
      </c>
      <c r="D106">
        <v>1384.8</v>
      </c>
      <c r="E106">
        <v>1117.9000000000001</v>
      </c>
      <c r="F106" s="19">
        <f t="shared" si="37"/>
        <v>1606.6</v>
      </c>
      <c r="G106" s="19">
        <f t="shared" si="36"/>
        <v>1212.3000000000002</v>
      </c>
      <c r="H106" s="24">
        <f t="shared" ref="H106:H111" si="38">+(F106/G106-1)*100</f>
        <v>32.524952569495966</v>
      </c>
      <c r="I106">
        <v>102.8</v>
      </c>
    </row>
    <row r="107" spans="1:9" x14ac:dyDescent="0.25">
      <c r="A107" s="10">
        <f t="shared" si="7"/>
        <v>39583</v>
      </c>
      <c r="B107">
        <v>172.5</v>
      </c>
      <c r="C107">
        <v>45.9</v>
      </c>
      <c r="D107">
        <v>1434.7</v>
      </c>
      <c r="E107">
        <v>1144.8</v>
      </c>
      <c r="F107" s="19">
        <f t="shared" si="37"/>
        <v>1607.2</v>
      </c>
      <c r="G107" s="19">
        <f t="shared" si="36"/>
        <v>1190.7</v>
      </c>
      <c r="H107" s="24">
        <f t="shared" si="38"/>
        <v>34.979423868312765</v>
      </c>
      <c r="I107">
        <v>124.6</v>
      </c>
    </row>
    <row r="108" spans="1:9" x14ac:dyDescent="0.25">
      <c r="A108" s="10">
        <f t="shared" si="7"/>
        <v>39590</v>
      </c>
      <c r="B108">
        <v>147.69999999999999</v>
      </c>
      <c r="C108">
        <v>47.3</v>
      </c>
      <c r="D108">
        <v>1460.3</v>
      </c>
      <c r="E108">
        <v>1145</v>
      </c>
      <c r="F108" s="19">
        <f t="shared" si="37"/>
        <v>1608</v>
      </c>
      <c r="G108" s="19">
        <f t="shared" si="36"/>
        <v>1192.3</v>
      </c>
      <c r="H108" s="24">
        <f t="shared" si="38"/>
        <v>34.865386228298249</v>
      </c>
      <c r="I108">
        <v>124.6</v>
      </c>
    </row>
    <row r="109" spans="1:9" x14ac:dyDescent="0.25">
      <c r="A109" s="10">
        <f t="shared" si="7"/>
        <v>39597</v>
      </c>
      <c r="B109">
        <v>101.1</v>
      </c>
      <c r="C109">
        <v>3.1</v>
      </c>
      <c r="D109">
        <v>1509.4</v>
      </c>
      <c r="E109">
        <v>1191.4000000000001</v>
      </c>
      <c r="F109" s="19">
        <f t="shared" si="37"/>
        <v>1610.5</v>
      </c>
      <c r="G109" s="19">
        <f t="shared" si="36"/>
        <v>1194.5</v>
      </c>
      <c r="H109" s="24">
        <f t="shared" si="38"/>
        <v>34.826287149434918</v>
      </c>
      <c r="I109">
        <v>169.1</v>
      </c>
    </row>
    <row r="110" spans="1:9" x14ac:dyDescent="0.25">
      <c r="A110" s="10">
        <f t="shared" si="7"/>
        <v>39604</v>
      </c>
      <c r="B110">
        <v>295.3</v>
      </c>
      <c r="C110">
        <v>118.2</v>
      </c>
      <c r="D110">
        <v>0.3</v>
      </c>
      <c r="E110">
        <v>0</v>
      </c>
      <c r="F110" s="19">
        <f t="shared" si="37"/>
        <v>295.60000000000002</v>
      </c>
      <c r="G110" s="19">
        <f t="shared" ref="G110:G115" si="39">+C110+E110</f>
        <v>118.2</v>
      </c>
      <c r="H110" s="24">
        <f t="shared" si="38"/>
        <v>150.08460236886637</v>
      </c>
    </row>
    <row r="111" spans="1:9" x14ac:dyDescent="0.25">
      <c r="A111" s="10">
        <f t="shared" si="7"/>
        <v>39611</v>
      </c>
      <c r="B111">
        <v>295.3</v>
      </c>
      <c r="C111">
        <v>118.2</v>
      </c>
      <c r="D111">
        <v>0.3</v>
      </c>
      <c r="E111">
        <v>0</v>
      </c>
      <c r="F111" s="19">
        <f t="shared" ref="F111:F116" si="40">+B111+D111</f>
        <v>295.60000000000002</v>
      </c>
      <c r="G111" s="19">
        <f t="shared" si="39"/>
        <v>118.2</v>
      </c>
      <c r="H111" s="24">
        <f t="shared" si="38"/>
        <v>150.08460236886637</v>
      </c>
    </row>
    <row r="112" spans="1:9" x14ac:dyDescent="0.25">
      <c r="A112" s="10">
        <f t="shared" si="7"/>
        <v>39618</v>
      </c>
      <c r="B112">
        <v>264.39999999999998</v>
      </c>
      <c r="C112">
        <v>148.9</v>
      </c>
      <c r="D112">
        <v>75.2</v>
      </c>
      <c r="E112">
        <v>38.6</v>
      </c>
      <c r="F112" s="19">
        <f t="shared" si="40"/>
        <v>339.59999999999997</v>
      </c>
      <c r="G112" s="19">
        <f t="shared" si="39"/>
        <v>187.5</v>
      </c>
      <c r="H112" s="24">
        <f t="shared" ref="H112:H117" si="41">+(F112/G112-1)*100</f>
        <v>81.11999999999999</v>
      </c>
    </row>
    <row r="113" spans="1:8" x14ac:dyDescent="0.25">
      <c r="A113" s="10">
        <f t="shared" si="7"/>
        <v>39625</v>
      </c>
      <c r="B113">
        <v>287.60000000000002</v>
      </c>
      <c r="C113">
        <v>139.6</v>
      </c>
      <c r="D113">
        <v>76.8</v>
      </c>
      <c r="E113">
        <v>50.8</v>
      </c>
      <c r="F113" s="19">
        <f t="shared" si="40"/>
        <v>364.40000000000003</v>
      </c>
      <c r="G113" s="19">
        <f t="shared" si="39"/>
        <v>190.39999999999998</v>
      </c>
      <c r="H113" s="24">
        <f t="shared" si="41"/>
        <v>91.386554621848774</v>
      </c>
    </row>
    <row r="114" spans="1:8" x14ac:dyDescent="0.25">
      <c r="A114" s="10">
        <f t="shared" si="7"/>
        <v>39632</v>
      </c>
      <c r="B114">
        <v>298.3</v>
      </c>
      <c r="C114">
        <v>205.7</v>
      </c>
      <c r="D114">
        <v>77.400000000000006</v>
      </c>
      <c r="E114">
        <v>72.3</v>
      </c>
      <c r="F114" s="19">
        <f t="shared" si="40"/>
        <v>375.70000000000005</v>
      </c>
      <c r="G114" s="19">
        <f t="shared" si="39"/>
        <v>278</v>
      </c>
      <c r="H114" s="24">
        <f t="shared" si="41"/>
        <v>35.143884892086355</v>
      </c>
    </row>
    <row r="115" spans="1:8" x14ac:dyDescent="0.25">
      <c r="A115" s="10">
        <f t="shared" si="7"/>
        <v>39639</v>
      </c>
      <c r="B115">
        <v>274.89999999999998</v>
      </c>
      <c r="C115">
        <v>183.2</v>
      </c>
      <c r="D115">
        <v>102.9</v>
      </c>
      <c r="E115">
        <v>95.3</v>
      </c>
      <c r="F115" s="19">
        <f t="shared" si="40"/>
        <v>377.79999999999995</v>
      </c>
      <c r="G115" s="19">
        <f t="shared" si="39"/>
        <v>278.5</v>
      </c>
      <c r="H115" s="24">
        <f t="shared" si="41"/>
        <v>35.655296229802502</v>
      </c>
    </row>
    <row r="116" spans="1:8" x14ac:dyDescent="0.25">
      <c r="A116" s="10">
        <f t="shared" si="7"/>
        <v>39646</v>
      </c>
      <c r="B116">
        <v>327.8</v>
      </c>
      <c r="C116">
        <v>183.4</v>
      </c>
      <c r="D116">
        <v>103.5</v>
      </c>
      <c r="E116">
        <v>95.7</v>
      </c>
      <c r="F116" s="19">
        <f t="shared" si="40"/>
        <v>431.3</v>
      </c>
      <c r="G116" s="19">
        <f t="shared" ref="G116:G121" si="42">+C116+E116</f>
        <v>279.10000000000002</v>
      </c>
      <c r="H116" s="24">
        <f t="shared" si="41"/>
        <v>54.532425653887493</v>
      </c>
    </row>
    <row r="117" spans="1:8" x14ac:dyDescent="0.25">
      <c r="A117" s="10">
        <f t="shared" si="7"/>
        <v>39653</v>
      </c>
      <c r="B117">
        <v>306.2</v>
      </c>
      <c r="C117">
        <v>158.9</v>
      </c>
      <c r="D117">
        <v>127.2</v>
      </c>
      <c r="E117">
        <v>119.9</v>
      </c>
      <c r="F117" s="19">
        <f t="shared" ref="F117:F122" si="43">+B117+D117</f>
        <v>433.4</v>
      </c>
      <c r="G117" s="19">
        <f t="shared" si="42"/>
        <v>278.8</v>
      </c>
      <c r="H117" s="24">
        <f t="shared" si="41"/>
        <v>55.451936872309894</v>
      </c>
    </row>
    <row r="118" spans="1:8" x14ac:dyDescent="0.25">
      <c r="A118" s="10">
        <f t="shared" si="7"/>
        <v>39660</v>
      </c>
      <c r="B118">
        <v>286.3</v>
      </c>
      <c r="C118">
        <v>183.2</v>
      </c>
      <c r="D118">
        <v>173.1</v>
      </c>
      <c r="E118">
        <v>147.19999999999999</v>
      </c>
      <c r="F118" s="19">
        <f t="shared" si="43"/>
        <v>459.4</v>
      </c>
      <c r="G118" s="19">
        <f t="shared" si="42"/>
        <v>330.4</v>
      </c>
      <c r="H118" s="24">
        <f t="shared" ref="H118:H123" si="44">+(F118/G118-1)*100</f>
        <v>39.043583535108972</v>
      </c>
    </row>
    <row r="119" spans="1:8" x14ac:dyDescent="0.25">
      <c r="A119" s="10">
        <f t="shared" si="7"/>
        <v>39667</v>
      </c>
      <c r="B119">
        <v>287.10000000000002</v>
      </c>
      <c r="C119">
        <v>183</v>
      </c>
      <c r="D119">
        <v>173.1</v>
      </c>
      <c r="E119">
        <v>169.8</v>
      </c>
      <c r="F119" s="19">
        <f t="shared" si="43"/>
        <v>460.20000000000005</v>
      </c>
      <c r="G119" s="19">
        <f t="shared" si="42"/>
        <v>352.8</v>
      </c>
      <c r="H119" s="24">
        <f t="shared" si="44"/>
        <v>30.442176870748305</v>
      </c>
    </row>
    <row r="120" spans="1:8" x14ac:dyDescent="0.25">
      <c r="A120" s="10">
        <f t="shared" si="7"/>
        <v>39674</v>
      </c>
      <c r="B120">
        <v>265.60000000000002</v>
      </c>
      <c r="C120">
        <v>178.9</v>
      </c>
      <c r="D120">
        <v>196.3</v>
      </c>
      <c r="E120">
        <v>219</v>
      </c>
      <c r="F120" s="19">
        <f t="shared" si="43"/>
        <v>461.90000000000003</v>
      </c>
      <c r="G120" s="19">
        <f t="shared" si="42"/>
        <v>397.9</v>
      </c>
      <c r="H120" s="24">
        <f t="shared" si="44"/>
        <v>16.084443327469234</v>
      </c>
    </row>
    <row r="121" spans="1:8" x14ac:dyDescent="0.25">
      <c r="A121" s="10">
        <f t="shared" si="7"/>
        <v>39681</v>
      </c>
      <c r="B121">
        <v>221.4</v>
      </c>
      <c r="C121">
        <v>157.4</v>
      </c>
      <c r="D121">
        <v>244.5</v>
      </c>
      <c r="E121">
        <v>243.6</v>
      </c>
      <c r="F121" s="19">
        <f t="shared" si="43"/>
        <v>465.9</v>
      </c>
      <c r="G121" s="19">
        <f t="shared" si="42"/>
        <v>401</v>
      </c>
      <c r="H121" s="24">
        <f t="shared" si="44"/>
        <v>16.184538653366577</v>
      </c>
    </row>
    <row r="122" spans="1:8" x14ac:dyDescent="0.25">
      <c r="A122" s="10">
        <f t="shared" si="7"/>
        <v>39688</v>
      </c>
      <c r="B122">
        <v>284.8</v>
      </c>
      <c r="C122">
        <v>115.3</v>
      </c>
      <c r="D122">
        <v>245.3</v>
      </c>
      <c r="E122">
        <v>289.5</v>
      </c>
      <c r="F122" s="19">
        <f t="shared" si="43"/>
        <v>530.1</v>
      </c>
      <c r="G122" s="19">
        <f t="shared" ref="G122:G127" si="45">+C122+E122</f>
        <v>404.8</v>
      </c>
      <c r="H122" s="24">
        <f t="shared" si="44"/>
        <v>30.953557312252975</v>
      </c>
    </row>
    <row r="123" spans="1:8" x14ac:dyDescent="0.25">
      <c r="A123" s="10">
        <f t="shared" si="7"/>
        <v>39695</v>
      </c>
      <c r="B123">
        <v>287.89999999999998</v>
      </c>
      <c r="C123">
        <v>202.7</v>
      </c>
      <c r="D123">
        <v>245.5</v>
      </c>
      <c r="E123">
        <v>290</v>
      </c>
      <c r="F123" s="19">
        <f t="shared" ref="F123:F128" si="46">+B123+D123</f>
        <v>533.4</v>
      </c>
      <c r="G123" s="19">
        <f t="shared" si="45"/>
        <v>492.7</v>
      </c>
      <c r="H123" s="24">
        <f t="shared" si="44"/>
        <v>8.260604830525665</v>
      </c>
    </row>
    <row r="124" spans="1:8" x14ac:dyDescent="0.25">
      <c r="A124" s="10">
        <f t="shared" si="7"/>
        <v>39702</v>
      </c>
      <c r="B124">
        <v>308.8</v>
      </c>
      <c r="C124">
        <v>236.9</v>
      </c>
      <c r="D124">
        <v>271.10000000000002</v>
      </c>
      <c r="E124">
        <v>290</v>
      </c>
      <c r="F124" s="19">
        <f t="shared" si="46"/>
        <v>579.90000000000009</v>
      </c>
      <c r="G124" s="19">
        <f t="shared" si="45"/>
        <v>526.9</v>
      </c>
      <c r="H124" s="24">
        <f t="shared" ref="H124:H129" si="47">+(F124/G124-1)*100</f>
        <v>10.058834693490248</v>
      </c>
    </row>
    <row r="125" spans="1:8" x14ac:dyDescent="0.25">
      <c r="A125" s="10">
        <f t="shared" si="7"/>
        <v>39709</v>
      </c>
      <c r="B125">
        <v>311.89999999999998</v>
      </c>
      <c r="C125">
        <v>270.89999999999998</v>
      </c>
      <c r="D125">
        <v>293</v>
      </c>
      <c r="E125">
        <v>341.7</v>
      </c>
      <c r="F125" s="19">
        <f t="shared" si="46"/>
        <v>604.9</v>
      </c>
      <c r="G125" s="19">
        <f t="shared" si="45"/>
        <v>612.59999999999991</v>
      </c>
      <c r="H125" s="24">
        <f t="shared" si="47"/>
        <v>-1.2569376428338108</v>
      </c>
    </row>
    <row r="126" spans="1:8" x14ac:dyDescent="0.25">
      <c r="A126" s="10">
        <f t="shared" si="7"/>
        <v>39716</v>
      </c>
      <c r="B126">
        <v>288.7</v>
      </c>
      <c r="C126">
        <v>251.7</v>
      </c>
      <c r="D126">
        <v>317.39999999999998</v>
      </c>
      <c r="E126">
        <v>363.9</v>
      </c>
      <c r="F126" s="19">
        <f t="shared" si="46"/>
        <v>606.09999999999991</v>
      </c>
      <c r="G126" s="19">
        <f t="shared" si="45"/>
        <v>615.59999999999991</v>
      </c>
      <c r="H126" s="24">
        <f t="shared" si="47"/>
        <v>-1.5432098765432056</v>
      </c>
    </row>
    <row r="127" spans="1:8" x14ac:dyDescent="0.25">
      <c r="A127" s="10">
        <f t="shared" si="7"/>
        <v>39723</v>
      </c>
      <c r="B127">
        <v>265.10000000000002</v>
      </c>
      <c r="C127">
        <v>301.8</v>
      </c>
      <c r="D127">
        <v>367.9</v>
      </c>
      <c r="E127">
        <v>386.6</v>
      </c>
      <c r="F127" s="19">
        <f t="shared" si="46"/>
        <v>633</v>
      </c>
      <c r="G127" s="19">
        <f t="shared" si="45"/>
        <v>688.40000000000009</v>
      </c>
      <c r="H127" s="24">
        <f t="shared" si="47"/>
        <v>-8.0476467170249926</v>
      </c>
    </row>
    <row r="128" spans="1:8" x14ac:dyDescent="0.25">
      <c r="A128" s="10">
        <f t="shared" si="7"/>
        <v>39730</v>
      </c>
      <c r="B128">
        <v>291.60000000000002</v>
      </c>
      <c r="C128">
        <v>411.9</v>
      </c>
      <c r="D128">
        <v>391.4</v>
      </c>
      <c r="E128">
        <v>435.4</v>
      </c>
      <c r="F128" s="19">
        <f t="shared" si="46"/>
        <v>683</v>
      </c>
      <c r="G128" s="19">
        <f t="shared" ref="G128:G133" si="48">+C128+E128</f>
        <v>847.3</v>
      </c>
      <c r="H128" s="24">
        <f t="shared" si="47"/>
        <v>-19.39100672725127</v>
      </c>
    </row>
    <row r="129" spans="1:8" x14ac:dyDescent="0.25">
      <c r="A129" s="10">
        <f t="shared" si="7"/>
        <v>39737</v>
      </c>
      <c r="B129">
        <v>291.2</v>
      </c>
      <c r="C129">
        <v>394.7</v>
      </c>
      <c r="D129">
        <v>392.4</v>
      </c>
      <c r="E129">
        <v>455.1</v>
      </c>
      <c r="F129" s="19">
        <f t="shared" ref="F129:F134" si="49">+B129+D129</f>
        <v>683.59999999999991</v>
      </c>
      <c r="G129" s="19">
        <f t="shared" si="48"/>
        <v>849.8</v>
      </c>
      <c r="H129" s="24">
        <f t="shared" si="47"/>
        <v>-19.55754295128266</v>
      </c>
    </row>
    <row r="130" spans="1:8" x14ac:dyDescent="0.25">
      <c r="A130" s="10">
        <f t="shared" si="7"/>
        <v>39744</v>
      </c>
      <c r="B130">
        <v>248.4</v>
      </c>
      <c r="C130">
        <v>442.1</v>
      </c>
      <c r="D130">
        <v>439.4</v>
      </c>
      <c r="E130">
        <v>455.8</v>
      </c>
      <c r="F130" s="19">
        <f t="shared" si="49"/>
        <v>687.8</v>
      </c>
      <c r="G130" s="19">
        <f t="shared" si="48"/>
        <v>897.90000000000009</v>
      </c>
      <c r="H130" s="24">
        <f t="shared" ref="H130:H135" si="50">+(F130/G130-1)*100</f>
        <v>-23.399042209600196</v>
      </c>
    </row>
    <row r="131" spans="1:8" x14ac:dyDescent="0.25">
      <c r="A131" s="10">
        <f t="shared" si="7"/>
        <v>39751</v>
      </c>
      <c r="B131">
        <v>272.7</v>
      </c>
      <c r="C131">
        <v>444.4</v>
      </c>
      <c r="D131">
        <v>439.7</v>
      </c>
      <c r="E131">
        <v>508.9</v>
      </c>
      <c r="F131" s="19">
        <f t="shared" si="49"/>
        <v>712.4</v>
      </c>
      <c r="G131" s="19">
        <f t="shared" si="48"/>
        <v>953.3</v>
      </c>
      <c r="H131" s="24">
        <f t="shared" si="50"/>
        <v>-25.270114339662221</v>
      </c>
    </row>
    <row r="132" spans="1:8" x14ac:dyDescent="0.25">
      <c r="A132" s="10">
        <f t="shared" si="7"/>
        <v>39758</v>
      </c>
      <c r="B132">
        <v>241.2</v>
      </c>
      <c r="C132">
        <v>450.9</v>
      </c>
      <c r="D132">
        <v>471.5</v>
      </c>
      <c r="E132">
        <v>556.6</v>
      </c>
      <c r="F132" s="19">
        <f t="shared" si="49"/>
        <v>712.7</v>
      </c>
      <c r="G132" s="19">
        <f t="shared" si="48"/>
        <v>1007.5</v>
      </c>
      <c r="H132" s="24">
        <f t="shared" si="50"/>
        <v>-29.26054590570719</v>
      </c>
    </row>
    <row r="133" spans="1:8" x14ac:dyDescent="0.25">
      <c r="A133" s="10">
        <f t="shared" si="7"/>
        <v>39765</v>
      </c>
      <c r="B133">
        <v>320</v>
      </c>
      <c r="C133">
        <v>483.6</v>
      </c>
      <c r="D133">
        <v>482</v>
      </c>
      <c r="E133">
        <v>578.29999999999995</v>
      </c>
      <c r="F133" s="19">
        <f t="shared" si="49"/>
        <v>802</v>
      </c>
      <c r="G133" s="19">
        <f t="shared" si="48"/>
        <v>1061.9000000000001</v>
      </c>
      <c r="H133" s="24">
        <f t="shared" si="50"/>
        <v>-24.474997645729356</v>
      </c>
    </row>
    <row r="134" spans="1:8" x14ac:dyDescent="0.25">
      <c r="A134" s="10">
        <f t="shared" si="7"/>
        <v>39772</v>
      </c>
      <c r="B134">
        <v>275.7</v>
      </c>
      <c r="C134">
        <v>558</v>
      </c>
      <c r="D134">
        <v>526</v>
      </c>
      <c r="E134">
        <v>578.79999999999995</v>
      </c>
      <c r="F134" s="19">
        <f t="shared" si="49"/>
        <v>801.7</v>
      </c>
      <c r="G134" s="19">
        <f t="shared" ref="G134:G139" si="51">+C134+E134</f>
        <v>1136.8</v>
      </c>
      <c r="H134" s="24">
        <f t="shared" si="50"/>
        <v>-29.477480647431374</v>
      </c>
    </row>
    <row r="135" spans="1:8" x14ac:dyDescent="0.25">
      <c r="A135" s="10">
        <f t="shared" si="7"/>
        <v>39779</v>
      </c>
      <c r="B135">
        <v>255.9</v>
      </c>
      <c r="C135">
        <v>556.70000000000005</v>
      </c>
      <c r="D135">
        <v>547.5</v>
      </c>
      <c r="E135">
        <v>602.20000000000005</v>
      </c>
      <c r="F135" s="19">
        <f t="shared" ref="F135:F140" si="52">+B135+D135</f>
        <v>803.4</v>
      </c>
      <c r="G135" s="19">
        <f t="shared" si="51"/>
        <v>1158.9000000000001</v>
      </c>
      <c r="H135" s="24">
        <f t="shared" si="50"/>
        <v>-30.675640693761331</v>
      </c>
    </row>
    <row r="136" spans="1:8" x14ac:dyDescent="0.25">
      <c r="A136" s="10">
        <f t="shared" si="7"/>
        <v>39786</v>
      </c>
      <c r="B136">
        <v>235.9</v>
      </c>
      <c r="C136">
        <v>721</v>
      </c>
      <c r="D136">
        <v>571</v>
      </c>
      <c r="E136">
        <v>624.6</v>
      </c>
      <c r="F136" s="19">
        <f t="shared" si="52"/>
        <v>806.9</v>
      </c>
      <c r="G136" s="19">
        <f t="shared" si="51"/>
        <v>1345.6</v>
      </c>
      <c r="H136" s="24">
        <f t="shared" ref="H136:H141" si="53">+(F136/G136-1)*100</f>
        <v>-40.034185493460164</v>
      </c>
    </row>
    <row r="137" spans="1:8" x14ac:dyDescent="0.25">
      <c r="A137" s="10">
        <f t="shared" si="7"/>
        <v>39793</v>
      </c>
      <c r="B137">
        <v>212.9</v>
      </c>
      <c r="C137">
        <v>682.8</v>
      </c>
      <c r="D137">
        <v>596.1</v>
      </c>
      <c r="E137">
        <v>679.7</v>
      </c>
      <c r="F137" s="19">
        <f t="shared" si="52"/>
        <v>809</v>
      </c>
      <c r="G137" s="19">
        <f t="shared" si="51"/>
        <v>1362.5</v>
      </c>
      <c r="H137" s="24">
        <f t="shared" si="53"/>
        <v>-40.623853211009177</v>
      </c>
    </row>
    <row r="138" spans="1:8" x14ac:dyDescent="0.25">
      <c r="A138" s="10">
        <f t="shared" si="7"/>
        <v>39800</v>
      </c>
      <c r="B138">
        <v>236.3</v>
      </c>
      <c r="C138">
        <v>676.6</v>
      </c>
      <c r="D138">
        <v>596.6</v>
      </c>
      <c r="E138">
        <v>705.4</v>
      </c>
      <c r="F138" s="19">
        <f t="shared" si="52"/>
        <v>832.90000000000009</v>
      </c>
      <c r="G138" s="19">
        <f t="shared" si="51"/>
        <v>1382</v>
      </c>
      <c r="H138" s="24">
        <f t="shared" si="53"/>
        <v>-39.732272069464535</v>
      </c>
    </row>
    <row r="139" spans="1:8" x14ac:dyDescent="0.25">
      <c r="A139" s="10">
        <f t="shared" si="7"/>
        <v>39807</v>
      </c>
      <c r="B139">
        <v>274.3</v>
      </c>
      <c r="C139">
        <v>607.1</v>
      </c>
      <c r="D139">
        <v>597</v>
      </c>
      <c r="E139">
        <v>773.9</v>
      </c>
      <c r="F139" s="19">
        <f t="shared" si="52"/>
        <v>871.3</v>
      </c>
      <c r="G139" s="19">
        <f t="shared" si="51"/>
        <v>1381</v>
      </c>
      <c r="H139" s="24">
        <f t="shared" si="53"/>
        <v>-36.908037653874004</v>
      </c>
    </row>
    <row r="140" spans="1:8" x14ac:dyDescent="0.25">
      <c r="A140" s="10">
        <f t="shared" si="7"/>
        <v>39814</v>
      </c>
      <c r="B140">
        <v>252.3</v>
      </c>
      <c r="C140">
        <v>559.29999999999995</v>
      </c>
      <c r="D140">
        <v>618.79999999999995</v>
      </c>
      <c r="E140">
        <v>799</v>
      </c>
      <c r="F140" s="19">
        <f t="shared" si="52"/>
        <v>871.09999999999991</v>
      </c>
      <c r="G140" s="19">
        <f t="shared" ref="G140:G145" si="54">+C140+E140</f>
        <v>1358.3</v>
      </c>
      <c r="H140" s="24">
        <f t="shared" si="53"/>
        <v>-35.868364867849522</v>
      </c>
    </row>
    <row r="141" spans="1:8" x14ac:dyDescent="0.25">
      <c r="A141" s="10">
        <f t="shared" si="7"/>
        <v>39821</v>
      </c>
      <c r="B141">
        <v>182.8</v>
      </c>
      <c r="C141">
        <v>580.4</v>
      </c>
      <c r="D141">
        <v>668.3</v>
      </c>
      <c r="E141">
        <v>820.8</v>
      </c>
      <c r="F141" s="19">
        <f t="shared" ref="F141:F146" si="55">+B141+D141</f>
        <v>851.09999999999991</v>
      </c>
      <c r="G141" s="19">
        <f t="shared" si="54"/>
        <v>1401.1999999999998</v>
      </c>
      <c r="H141" s="24">
        <f t="shared" si="53"/>
        <v>-39.259206394518984</v>
      </c>
    </row>
    <row r="142" spans="1:8" x14ac:dyDescent="0.25">
      <c r="A142" s="10">
        <f t="shared" si="7"/>
        <v>39828</v>
      </c>
      <c r="B142">
        <v>161.80000000000001</v>
      </c>
      <c r="C142">
        <v>586.70000000000005</v>
      </c>
      <c r="D142">
        <v>714.1</v>
      </c>
      <c r="E142">
        <v>862.9</v>
      </c>
      <c r="F142" s="19">
        <f t="shared" si="55"/>
        <v>875.90000000000009</v>
      </c>
      <c r="G142" s="19">
        <f t="shared" si="54"/>
        <v>1449.6</v>
      </c>
      <c r="H142" s="24">
        <f t="shared" ref="H142:H147" si="56">+(F142/G142-1)*100</f>
        <v>-39.576434878587186</v>
      </c>
    </row>
    <row r="143" spans="1:8" x14ac:dyDescent="0.25">
      <c r="A143" s="10">
        <f t="shared" si="7"/>
        <v>39835</v>
      </c>
      <c r="B143">
        <v>185.9</v>
      </c>
      <c r="C143">
        <v>550.70000000000005</v>
      </c>
      <c r="D143">
        <v>739.7</v>
      </c>
      <c r="E143">
        <v>949.5</v>
      </c>
      <c r="F143" s="19">
        <f t="shared" si="55"/>
        <v>925.6</v>
      </c>
      <c r="G143" s="19">
        <f t="shared" si="54"/>
        <v>1500.2</v>
      </c>
      <c r="H143" s="24">
        <f t="shared" si="56"/>
        <v>-38.301559792027732</v>
      </c>
    </row>
    <row r="144" spans="1:8" x14ac:dyDescent="0.25">
      <c r="A144" s="10">
        <f t="shared" si="7"/>
        <v>39842</v>
      </c>
      <c r="B144">
        <v>183.7</v>
      </c>
      <c r="C144">
        <v>543.29999999999995</v>
      </c>
      <c r="D144">
        <v>742</v>
      </c>
      <c r="E144">
        <v>960.6</v>
      </c>
      <c r="F144" s="19">
        <f t="shared" si="55"/>
        <v>925.7</v>
      </c>
      <c r="G144" s="19">
        <f t="shared" si="54"/>
        <v>1503.9</v>
      </c>
      <c r="H144" s="24">
        <f t="shared" si="56"/>
        <v>-38.446705233060705</v>
      </c>
    </row>
    <row r="145" spans="1:9" x14ac:dyDescent="0.25">
      <c r="A145" s="10">
        <f t="shared" si="7"/>
        <v>39849</v>
      </c>
      <c r="B145">
        <v>180.5</v>
      </c>
      <c r="C145">
        <v>544</v>
      </c>
      <c r="D145">
        <v>767.4</v>
      </c>
      <c r="E145">
        <v>961.3</v>
      </c>
      <c r="F145" s="19">
        <f t="shared" si="55"/>
        <v>947.9</v>
      </c>
      <c r="G145" s="19">
        <f t="shared" si="54"/>
        <v>1505.3</v>
      </c>
      <c r="H145" s="24">
        <f t="shared" si="56"/>
        <v>-37.029163621869401</v>
      </c>
    </row>
    <row r="146" spans="1:9" x14ac:dyDescent="0.25">
      <c r="A146" s="10">
        <f t="shared" si="7"/>
        <v>39856</v>
      </c>
      <c r="B146">
        <v>222</v>
      </c>
      <c r="C146">
        <v>494.8</v>
      </c>
      <c r="D146">
        <v>795.4</v>
      </c>
      <c r="E146">
        <v>1012.3</v>
      </c>
      <c r="F146" s="19">
        <f t="shared" si="55"/>
        <v>1017.4</v>
      </c>
      <c r="G146" s="19">
        <f t="shared" ref="G146:G151" si="57">+C146+E146</f>
        <v>1507.1</v>
      </c>
      <c r="H146" s="24">
        <f t="shared" si="56"/>
        <v>-32.492867095746789</v>
      </c>
    </row>
    <row r="147" spans="1:9" x14ac:dyDescent="0.25">
      <c r="A147" s="10">
        <f t="shared" si="7"/>
        <v>39863</v>
      </c>
      <c r="B147">
        <v>197.6</v>
      </c>
      <c r="C147">
        <v>446.4</v>
      </c>
      <c r="D147">
        <v>818.7</v>
      </c>
      <c r="E147">
        <v>1086.9000000000001</v>
      </c>
      <c r="F147" s="19">
        <f t="shared" ref="F147:F152" si="58">+B147+D147</f>
        <v>1016.3000000000001</v>
      </c>
      <c r="G147" s="19">
        <f t="shared" si="57"/>
        <v>1533.3000000000002</v>
      </c>
      <c r="H147" s="24">
        <f t="shared" si="56"/>
        <v>-33.718124307050154</v>
      </c>
    </row>
    <row r="148" spans="1:9" x14ac:dyDescent="0.25">
      <c r="A148" s="10">
        <f t="shared" si="7"/>
        <v>39870</v>
      </c>
      <c r="B148">
        <v>243.4</v>
      </c>
      <c r="C148">
        <v>371.1</v>
      </c>
      <c r="D148">
        <v>841.9</v>
      </c>
      <c r="E148">
        <v>1165.3</v>
      </c>
      <c r="F148" s="19">
        <f t="shared" si="58"/>
        <v>1085.3</v>
      </c>
      <c r="G148" s="19">
        <f t="shared" si="57"/>
        <v>1536.4</v>
      </c>
      <c r="H148" s="24">
        <f t="shared" ref="H148:H153" si="59">+(F148/G148-1)*100</f>
        <v>-29.360843530330648</v>
      </c>
    </row>
    <row r="149" spans="1:9" x14ac:dyDescent="0.25">
      <c r="A149" s="10">
        <f t="shared" si="7"/>
        <v>39877</v>
      </c>
      <c r="B149">
        <v>204.5</v>
      </c>
      <c r="C149">
        <v>390.6</v>
      </c>
      <c r="D149">
        <v>886.1</v>
      </c>
      <c r="E149">
        <v>1187.9000000000001</v>
      </c>
      <c r="F149" s="19">
        <f t="shared" si="58"/>
        <v>1090.5999999999999</v>
      </c>
      <c r="G149" s="19">
        <f t="shared" si="57"/>
        <v>1578.5</v>
      </c>
      <c r="H149" s="24">
        <f t="shared" si="59"/>
        <v>-30.909090909090921</v>
      </c>
    </row>
    <row r="150" spans="1:9" x14ac:dyDescent="0.25">
      <c r="A150" s="10">
        <f t="shared" si="7"/>
        <v>39884</v>
      </c>
      <c r="B150">
        <v>226.1</v>
      </c>
      <c r="C150">
        <v>369.1</v>
      </c>
      <c r="D150">
        <v>886.1</v>
      </c>
      <c r="E150">
        <v>1210.5999999999999</v>
      </c>
      <c r="F150" s="19">
        <f t="shared" si="58"/>
        <v>1112.2</v>
      </c>
      <c r="G150" s="19">
        <f t="shared" si="57"/>
        <v>1579.6999999999998</v>
      </c>
      <c r="H150" s="24">
        <f t="shared" si="59"/>
        <v>-29.59422675191491</v>
      </c>
    </row>
    <row r="151" spans="1:9" x14ac:dyDescent="0.25">
      <c r="A151" s="10">
        <f t="shared" si="7"/>
        <v>39891</v>
      </c>
      <c r="B151">
        <v>223.9</v>
      </c>
      <c r="C151">
        <v>351.8</v>
      </c>
      <c r="D151">
        <v>911.2</v>
      </c>
      <c r="E151">
        <v>1235.3</v>
      </c>
      <c r="F151" s="19">
        <f t="shared" si="58"/>
        <v>1135.1000000000001</v>
      </c>
      <c r="G151" s="19">
        <f t="shared" si="57"/>
        <v>1587.1</v>
      </c>
      <c r="H151" s="24">
        <f t="shared" si="59"/>
        <v>-28.479616911347726</v>
      </c>
    </row>
    <row r="152" spans="1:9" x14ac:dyDescent="0.25">
      <c r="A152" s="10">
        <f t="shared" si="7"/>
        <v>39898</v>
      </c>
      <c r="B152">
        <v>223.8</v>
      </c>
      <c r="C152">
        <v>360.5</v>
      </c>
      <c r="D152">
        <v>911.7</v>
      </c>
      <c r="E152">
        <v>1235.5</v>
      </c>
      <c r="F152" s="19">
        <f t="shared" si="58"/>
        <v>1135.5</v>
      </c>
      <c r="G152" s="19">
        <f t="shared" ref="G152:G157" si="60">+C152+E152</f>
        <v>1596</v>
      </c>
      <c r="H152" s="24">
        <f t="shared" si="59"/>
        <v>-28.853383458646618</v>
      </c>
    </row>
    <row r="153" spans="1:9" x14ac:dyDescent="0.25">
      <c r="A153" s="10">
        <f t="shared" si="7"/>
        <v>39905</v>
      </c>
      <c r="B153">
        <v>201.1</v>
      </c>
      <c r="C153">
        <v>333.4</v>
      </c>
      <c r="D153">
        <v>936</v>
      </c>
      <c r="E153">
        <v>1264.5999999999999</v>
      </c>
      <c r="F153" s="19">
        <f t="shared" ref="F153:F158" si="61">+B153+D153</f>
        <v>1137.0999999999999</v>
      </c>
      <c r="G153" s="19">
        <f t="shared" si="60"/>
        <v>1598</v>
      </c>
      <c r="H153" s="24">
        <f t="shared" si="59"/>
        <v>-28.842302878598257</v>
      </c>
      <c r="I153">
        <v>88.4</v>
      </c>
    </row>
    <row r="154" spans="1:9" x14ac:dyDescent="0.25">
      <c r="A154" s="10">
        <f t="shared" si="7"/>
        <v>39912</v>
      </c>
      <c r="B154">
        <v>199.8</v>
      </c>
      <c r="C154">
        <v>310.2</v>
      </c>
      <c r="D154">
        <v>936.6</v>
      </c>
      <c r="E154">
        <v>1290.4000000000001</v>
      </c>
      <c r="F154" s="19">
        <f t="shared" si="61"/>
        <v>1136.4000000000001</v>
      </c>
      <c r="G154" s="19">
        <f t="shared" si="60"/>
        <v>1600.6000000000001</v>
      </c>
      <c r="H154" s="24">
        <f t="shared" ref="H154:H159" si="62">+(F154/G154-1)*100</f>
        <v>-29.001624390853429</v>
      </c>
    </row>
    <row r="155" spans="1:9" x14ac:dyDescent="0.25">
      <c r="A155" s="10">
        <f t="shared" si="7"/>
        <v>39919</v>
      </c>
      <c r="B155">
        <v>178.3</v>
      </c>
      <c r="C155">
        <v>289.8</v>
      </c>
      <c r="D155">
        <v>959.9</v>
      </c>
      <c r="E155">
        <v>1312.6</v>
      </c>
      <c r="F155" s="19">
        <f t="shared" si="61"/>
        <v>1138.2</v>
      </c>
      <c r="G155" s="19">
        <f t="shared" si="60"/>
        <v>1602.3999999999999</v>
      </c>
      <c r="H155" s="24">
        <f t="shared" si="62"/>
        <v>-28.96904643035446</v>
      </c>
    </row>
    <row r="156" spans="1:9" x14ac:dyDescent="0.25">
      <c r="A156" s="10">
        <f t="shared" si="7"/>
        <v>39926</v>
      </c>
      <c r="B156">
        <v>156.9</v>
      </c>
      <c r="C156">
        <v>267.5</v>
      </c>
      <c r="D156">
        <v>983.5</v>
      </c>
      <c r="E156">
        <v>1338.2</v>
      </c>
      <c r="F156" s="19">
        <f t="shared" si="61"/>
        <v>1140.4000000000001</v>
      </c>
      <c r="G156" s="19">
        <f t="shared" si="60"/>
        <v>1605.7</v>
      </c>
      <c r="H156" s="24">
        <f t="shared" si="62"/>
        <v>-28.978015818646075</v>
      </c>
      <c r="I156">
        <v>157.19999999999999</v>
      </c>
    </row>
    <row r="157" spans="1:9" x14ac:dyDescent="0.25">
      <c r="A157" s="10">
        <f t="shared" si="7"/>
        <v>39933</v>
      </c>
      <c r="B157">
        <v>134.1</v>
      </c>
      <c r="C157">
        <v>222.1</v>
      </c>
      <c r="D157">
        <v>1008.5</v>
      </c>
      <c r="E157">
        <v>1384.6</v>
      </c>
      <c r="F157" s="19">
        <f t="shared" si="61"/>
        <v>1142.5999999999999</v>
      </c>
      <c r="G157" s="19">
        <f t="shared" si="60"/>
        <v>1606.6999999999998</v>
      </c>
      <c r="H157" s="24">
        <f t="shared" si="62"/>
        <v>-28.885292836248212</v>
      </c>
      <c r="I157">
        <v>156.19999999999999</v>
      </c>
    </row>
    <row r="158" spans="1:9" x14ac:dyDescent="0.25">
      <c r="A158" s="10">
        <f t="shared" si="7"/>
        <v>39940</v>
      </c>
      <c r="B158">
        <v>110.1</v>
      </c>
      <c r="C158">
        <v>221.8</v>
      </c>
      <c r="D158">
        <v>1034</v>
      </c>
      <c r="E158">
        <v>1384.8</v>
      </c>
      <c r="F158" s="19">
        <f t="shared" si="61"/>
        <v>1144.0999999999999</v>
      </c>
      <c r="G158" s="19">
        <f t="shared" ref="G158:G189" si="63">+C158+E158</f>
        <v>1606.6</v>
      </c>
      <c r="H158" s="24">
        <f t="shared" si="62"/>
        <v>-28.787501556081164</v>
      </c>
      <c r="I158">
        <v>158.19999999999999</v>
      </c>
    </row>
    <row r="159" spans="1:9" x14ac:dyDescent="0.25">
      <c r="A159" s="10">
        <f t="shared" si="7"/>
        <v>39947</v>
      </c>
      <c r="B159">
        <v>104.1</v>
      </c>
      <c r="C159">
        <v>172.5</v>
      </c>
      <c r="D159">
        <v>1041.4000000000001</v>
      </c>
      <c r="E159">
        <v>1434.7</v>
      </c>
      <c r="F159" s="19">
        <f t="shared" ref="F159:F190" si="64">+B159+D159</f>
        <v>1145.5</v>
      </c>
      <c r="G159" s="19">
        <f t="shared" si="63"/>
        <v>1607.2</v>
      </c>
      <c r="H159" s="24">
        <f t="shared" si="62"/>
        <v>-28.726978596316577</v>
      </c>
      <c r="I159">
        <v>223.9</v>
      </c>
    </row>
    <row r="160" spans="1:9" x14ac:dyDescent="0.25">
      <c r="A160" s="10">
        <f t="shared" si="7"/>
        <v>39954</v>
      </c>
      <c r="B160">
        <v>89.2</v>
      </c>
      <c r="C160">
        <v>147.69999999999999</v>
      </c>
      <c r="D160">
        <v>1056.7</v>
      </c>
      <c r="E160">
        <v>1460.3</v>
      </c>
      <c r="F160" s="19">
        <f t="shared" si="64"/>
        <v>1145.9000000000001</v>
      </c>
      <c r="G160" s="19">
        <f t="shared" si="63"/>
        <v>1608</v>
      </c>
      <c r="H160" s="24">
        <f t="shared" ref="H160:H191" si="65">+(F160/G160-1)*100</f>
        <v>-28.737562189054721</v>
      </c>
      <c r="I160">
        <v>244.6</v>
      </c>
    </row>
    <row r="161" spans="1:9" x14ac:dyDescent="0.25">
      <c r="A161" s="10">
        <f t="shared" si="7"/>
        <v>39961</v>
      </c>
      <c r="B161">
        <v>64</v>
      </c>
      <c r="C161">
        <v>101.1</v>
      </c>
      <c r="D161">
        <v>1082.5</v>
      </c>
      <c r="E161">
        <v>1509.4</v>
      </c>
      <c r="F161" s="19">
        <f t="shared" si="64"/>
        <v>1146.5</v>
      </c>
      <c r="G161" s="19">
        <f t="shared" si="63"/>
        <v>1610.5</v>
      </c>
      <c r="H161" s="24">
        <f t="shared" si="65"/>
        <v>-28.81092828314188</v>
      </c>
      <c r="I161">
        <v>245.2</v>
      </c>
    </row>
    <row r="162" spans="1:9" x14ac:dyDescent="0.25">
      <c r="A162" s="10">
        <f t="shared" si="7"/>
        <v>39968</v>
      </c>
      <c r="B162">
        <v>305.7</v>
      </c>
      <c r="C162">
        <v>295.3</v>
      </c>
      <c r="D162">
        <v>0</v>
      </c>
      <c r="E162">
        <v>0.3</v>
      </c>
      <c r="F162" s="19">
        <f t="shared" si="64"/>
        <v>305.7</v>
      </c>
      <c r="G162" s="19">
        <f t="shared" si="63"/>
        <v>295.60000000000002</v>
      </c>
      <c r="H162" s="24">
        <f t="shared" si="65"/>
        <v>3.4167794316644073</v>
      </c>
    </row>
    <row r="163" spans="1:9" x14ac:dyDescent="0.25">
      <c r="A163" s="10">
        <f t="shared" si="7"/>
        <v>39975</v>
      </c>
      <c r="B163">
        <v>316.89999999999998</v>
      </c>
      <c r="C163">
        <v>287.39999999999998</v>
      </c>
      <c r="D163">
        <v>0</v>
      </c>
      <c r="E163">
        <v>51.4</v>
      </c>
      <c r="F163" s="19">
        <f t="shared" si="64"/>
        <v>316.89999999999998</v>
      </c>
      <c r="G163" s="19">
        <f t="shared" si="63"/>
        <v>338.79999999999995</v>
      </c>
      <c r="H163" s="24">
        <f t="shared" si="65"/>
        <v>-6.4639905548996346</v>
      </c>
    </row>
    <row r="164" spans="1:9" x14ac:dyDescent="0.25">
      <c r="A164" s="10">
        <f t="shared" si="7"/>
        <v>39982</v>
      </c>
      <c r="B164">
        <v>340.5</v>
      </c>
      <c r="C164">
        <v>264.39999999999998</v>
      </c>
      <c r="D164">
        <v>24.5</v>
      </c>
      <c r="E164">
        <v>75.2</v>
      </c>
      <c r="F164" s="19">
        <f t="shared" si="64"/>
        <v>365</v>
      </c>
      <c r="G164" s="19">
        <f t="shared" si="63"/>
        <v>339.59999999999997</v>
      </c>
      <c r="H164" s="24">
        <f t="shared" si="65"/>
        <v>7.4793875147232125</v>
      </c>
    </row>
    <row r="165" spans="1:9" x14ac:dyDescent="0.25">
      <c r="A165" s="10">
        <f t="shared" si="7"/>
        <v>39989</v>
      </c>
      <c r="B165">
        <v>294.3</v>
      </c>
      <c r="C165">
        <v>287.60000000000002</v>
      </c>
      <c r="D165">
        <v>72.900000000000006</v>
      </c>
      <c r="E165">
        <v>76.8</v>
      </c>
      <c r="F165" s="19">
        <f t="shared" si="64"/>
        <v>367.20000000000005</v>
      </c>
      <c r="G165" s="19">
        <f t="shared" si="63"/>
        <v>364.40000000000003</v>
      </c>
      <c r="H165" s="24">
        <f t="shared" si="65"/>
        <v>0.76838638858398589</v>
      </c>
    </row>
    <row r="166" spans="1:9" x14ac:dyDescent="0.25">
      <c r="A166" s="10">
        <f t="shared" si="7"/>
        <v>39996</v>
      </c>
      <c r="B166">
        <v>358.9</v>
      </c>
      <c r="C166">
        <v>298.3</v>
      </c>
      <c r="D166">
        <v>73.099999999999994</v>
      </c>
      <c r="E166">
        <v>77.400000000000006</v>
      </c>
      <c r="F166" s="19">
        <f t="shared" si="64"/>
        <v>432</v>
      </c>
      <c r="G166" s="19">
        <f t="shared" si="63"/>
        <v>375.70000000000005</v>
      </c>
      <c r="H166" s="24">
        <f t="shared" si="65"/>
        <v>14.985360660101122</v>
      </c>
    </row>
    <row r="167" spans="1:9" x14ac:dyDescent="0.25">
      <c r="A167" s="10">
        <f t="shared" si="7"/>
        <v>40003</v>
      </c>
      <c r="B167">
        <v>330.5</v>
      </c>
      <c r="C167">
        <v>274.89999999999998</v>
      </c>
      <c r="D167">
        <v>106.9</v>
      </c>
      <c r="E167">
        <v>102.9</v>
      </c>
      <c r="F167" s="19">
        <f t="shared" si="64"/>
        <v>437.4</v>
      </c>
      <c r="G167" s="19">
        <f t="shared" si="63"/>
        <v>377.79999999999995</v>
      </c>
      <c r="H167" s="24">
        <f t="shared" si="65"/>
        <v>15.775542615140292</v>
      </c>
    </row>
    <row r="168" spans="1:9" x14ac:dyDescent="0.25">
      <c r="A168" s="10">
        <f t="shared" si="7"/>
        <v>40010</v>
      </c>
      <c r="B168">
        <v>339.8</v>
      </c>
      <c r="C168">
        <v>327.8</v>
      </c>
      <c r="D168">
        <v>123.1</v>
      </c>
      <c r="E168">
        <v>103.5</v>
      </c>
      <c r="F168" s="19">
        <f t="shared" si="64"/>
        <v>462.9</v>
      </c>
      <c r="G168" s="19">
        <f t="shared" si="63"/>
        <v>431.3</v>
      </c>
      <c r="H168" s="24">
        <f t="shared" si="65"/>
        <v>7.3266867609552477</v>
      </c>
    </row>
    <row r="169" spans="1:9" x14ac:dyDescent="0.25">
      <c r="A169" s="10">
        <f t="shared" si="7"/>
        <v>40017</v>
      </c>
      <c r="B169">
        <v>339.8</v>
      </c>
      <c r="C169">
        <v>306.2</v>
      </c>
      <c r="D169">
        <v>123.1</v>
      </c>
      <c r="E169">
        <v>127.2</v>
      </c>
      <c r="F169" s="19">
        <f t="shared" si="64"/>
        <v>462.9</v>
      </c>
      <c r="G169" s="19">
        <f t="shared" si="63"/>
        <v>433.4</v>
      </c>
      <c r="H169" s="24">
        <f t="shared" si="65"/>
        <v>6.8066451315182297</v>
      </c>
    </row>
    <row r="170" spans="1:9" x14ac:dyDescent="0.25">
      <c r="A170" s="10">
        <f t="shared" si="7"/>
        <v>40024</v>
      </c>
      <c r="B170">
        <v>315.3</v>
      </c>
      <c r="C170">
        <v>286.3</v>
      </c>
      <c r="D170">
        <v>148.9</v>
      </c>
      <c r="E170">
        <v>173.1</v>
      </c>
      <c r="F170" s="19">
        <f t="shared" si="64"/>
        <v>464.20000000000005</v>
      </c>
      <c r="G170" s="19">
        <f t="shared" si="63"/>
        <v>459.4</v>
      </c>
      <c r="H170" s="24">
        <f t="shared" si="65"/>
        <v>1.0448410970831601</v>
      </c>
    </row>
    <row r="171" spans="1:9" x14ac:dyDescent="0.25">
      <c r="A171" s="10">
        <f t="shared" si="7"/>
        <v>40031</v>
      </c>
      <c r="B171">
        <v>293.8</v>
      </c>
      <c r="C171">
        <v>287.10000000000002</v>
      </c>
      <c r="D171">
        <v>171.7</v>
      </c>
      <c r="E171">
        <v>173.1</v>
      </c>
      <c r="F171" s="19">
        <f t="shared" si="64"/>
        <v>465.5</v>
      </c>
      <c r="G171" s="19">
        <f t="shared" si="63"/>
        <v>460.20000000000005</v>
      </c>
      <c r="H171" s="24">
        <f t="shared" si="65"/>
        <v>1.1516731855714779</v>
      </c>
    </row>
    <row r="172" spans="1:9" x14ac:dyDescent="0.25">
      <c r="A172" s="10">
        <f t="shared" si="7"/>
        <v>40038</v>
      </c>
      <c r="B172">
        <v>294.10000000000002</v>
      </c>
      <c r="C172">
        <v>265.60000000000002</v>
      </c>
      <c r="D172">
        <v>171.7</v>
      </c>
      <c r="E172">
        <v>196.3</v>
      </c>
      <c r="F172" s="19">
        <f t="shared" si="64"/>
        <v>465.8</v>
      </c>
      <c r="G172" s="19">
        <f t="shared" si="63"/>
        <v>461.90000000000003</v>
      </c>
      <c r="H172" s="24">
        <f t="shared" si="65"/>
        <v>0.8443386014288734</v>
      </c>
    </row>
    <row r="173" spans="1:9" x14ac:dyDescent="0.25">
      <c r="A173" s="10">
        <f t="shared" si="7"/>
        <v>40045</v>
      </c>
      <c r="B173">
        <v>304.2</v>
      </c>
      <c r="C173">
        <v>221.4</v>
      </c>
      <c r="D173">
        <v>216.2</v>
      </c>
      <c r="E173">
        <v>244.5</v>
      </c>
      <c r="F173" s="19">
        <f t="shared" si="64"/>
        <v>520.4</v>
      </c>
      <c r="G173" s="19">
        <f t="shared" si="63"/>
        <v>465.9</v>
      </c>
      <c r="H173" s="24">
        <f t="shared" si="65"/>
        <v>11.697789225155608</v>
      </c>
    </row>
    <row r="174" spans="1:9" x14ac:dyDescent="0.25">
      <c r="A174" s="10">
        <f t="shared" si="7"/>
        <v>40052</v>
      </c>
      <c r="B174">
        <v>282.10000000000002</v>
      </c>
      <c r="C174">
        <v>284.8</v>
      </c>
      <c r="D174">
        <v>241.6</v>
      </c>
      <c r="E174">
        <v>245.3</v>
      </c>
      <c r="F174" s="19">
        <f t="shared" si="64"/>
        <v>523.70000000000005</v>
      </c>
      <c r="G174" s="19">
        <f t="shared" si="63"/>
        <v>530.1</v>
      </c>
      <c r="H174" s="24">
        <f t="shared" si="65"/>
        <v>-1.2073193737030752</v>
      </c>
    </row>
    <row r="175" spans="1:9" x14ac:dyDescent="0.25">
      <c r="A175" s="10">
        <f t="shared" si="7"/>
        <v>40059</v>
      </c>
      <c r="B175">
        <v>282.10000000000002</v>
      </c>
      <c r="C175">
        <v>287.89999999999998</v>
      </c>
      <c r="D175">
        <v>241.7</v>
      </c>
      <c r="E175">
        <v>245.5</v>
      </c>
      <c r="F175" s="19">
        <f t="shared" si="64"/>
        <v>523.79999999999995</v>
      </c>
      <c r="G175" s="19">
        <f t="shared" si="63"/>
        <v>533.4</v>
      </c>
      <c r="H175" s="24">
        <f t="shared" si="65"/>
        <v>-1.7997750281214864</v>
      </c>
    </row>
    <row r="176" spans="1:9" x14ac:dyDescent="0.25">
      <c r="A176" s="10">
        <f t="shared" si="7"/>
        <v>40066</v>
      </c>
      <c r="B176">
        <v>236.7</v>
      </c>
      <c r="C176">
        <v>308.8</v>
      </c>
      <c r="D176">
        <v>292.89999999999998</v>
      </c>
      <c r="E176">
        <v>271.10000000000002</v>
      </c>
      <c r="F176" s="19">
        <f t="shared" si="64"/>
        <v>529.59999999999991</v>
      </c>
      <c r="G176" s="19">
        <f t="shared" si="63"/>
        <v>579.90000000000009</v>
      </c>
      <c r="H176" s="24">
        <f t="shared" si="65"/>
        <v>-8.6739092947060179</v>
      </c>
    </row>
    <row r="177" spans="1:8" x14ac:dyDescent="0.25">
      <c r="A177" s="10">
        <f t="shared" si="7"/>
        <v>40073</v>
      </c>
      <c r="B177">
        <v>259.2</v>
      </c>
      <c r="C177">
        <v>311.89999999999998</v>
      </c>
      <c r="D177">
        <v>293.60000000000002</v>
      </c>
      <c r="E177">
        <v>293</v>
      </c>
      <c r="F177" s="19">
        <f t="shared" si="64"/>
        <v>552.79999999999995</v>
      </c>
      <c r="G177" s="19">
        <f t="shared" si="63"/>
        <v>604.9</v>
      </c>
      <c r="H177" s="24">
        <f t="shared" si="65"/>
        <v>-8.6129938832865012</v>
      </c>
    </row>
    <row r="178" spans="1:8" x14ac:dyDescent="0.25">
      <c r="A178" s="10">
        <f t="shared" si="7"/>
        <v>40080</v>
      </c>
      <c r="B178">
        <v>229.3</v>
      </c>
      <c r="C178">
        <v>288.7</v>
      </c>
      <c r="D178">
        <v>345.4</v>
      </c>
      <c r="E178">
        <v>317.39999999999998</v>
      </c>
      <c r="F178" s="19">
        <f t="shared" si="64"/>
        <v>574.70000000000005</v>
      </c>
      <c r="G178" s="19">
        <f t="shared" si="63"/>
        <v>606.09999999999991</v>
      </c>
      <c r="H178" s="24">
        <f t="shared" si="65"/>
        <v>-5.1806632568882849</v>
      </c>
    </row>
    <row r="179" spans="1:8" x14ac:dyDescent="0.25">
      <c r="A179" s="10">
        <f t="shared" si="7"/>
        <v>40087</v>
      </c>
      <c r="B179">
        <v>265.7</v>
      </c>
      <c r="C179">
        <v>265.10000000000002</v>
      </c>
      <c r="D179">
        <v>345.7</v>
      </c>
      <c r="E179">
        <v>367.9</v>
      </c>
      <c r="F179" s="19">
        <f t="shared" si="64"/>
        <v>611.4</v>
      </c>
      <c r="G179" s="19">
        <f t="shared" si="63"/>
        <v>633</v>
      </c>
      <c r="H179" s="24">
        <f t="shared" si="65"/>
        <v>-3.4123222748815185</v>
      </c>
    </row>
    <row r="180" spans="1:8" x14ac:dyDescent="0.25">
      <c r="A180" s="10">
        <f t="shared" si="7"/>
        <v>40094</v>
      </c>
      <c r="B180">
        <v>242.7</v>
      </c>
      <c r="C180">
        <v>291.60000000000002</v>
      </c>
      <c r="D180">
        <v>370.9</v>
      </c>
      <c r="E180">
        <v>391.4</v>
      </c>
      <c r="F180" s="19">
        <f t="shared" si="64"/>
        <v>613.59999999999991</v>
      </c>
      <c r="G180" s="19">
        <f t="shared" si="63"/>
        <v>683</v>
      </c>
      <c r="H180" s="24">
        <f t="shared" si="65"/>
        <v>-10.161054172767214</v>
      </c>
    </row>
    <row r="181" spans="1:8" x14ac:dyDescent="0.25">
      <c r="A181" s="10">
        <f t="shared" si="7"/>
        <v>40101</v>
      </c>
      <c r="B181">
        <v>255.4</v>
      </c>
      <c r="C181">
        <v>291.2</v>
      </c>
      <c r="D181">
        <v>396.5</v>
      </c>
      <c r="E181">
        <v>392.4</v>
      </c>
      <c r="F181" s="19">
        <f t="shared" si="64"/>
        <v>651.9</v>
      </c>
      <c r="G181" s="19">
        <f t="shared" si="63"/>
        <v>683.59999999999991</v>
      </c>
      <c r="H181" s="24">
        <f t="shared" si="65"/>
        <v>-4.6372147454651795</v>
      </c>
    </row>
    <row r="182" spans="1:8" x14ac:dyDescent="0.25">
      <c r="A182" s="10">
        <f t="shared" si="7"/>
        <v>40108</v>
      </c>
      <c r="B182">
        <v>256.10000000000002</v>
      </c>
      <c r="C182">
        <v>248.4</v>
      </c>
      <c r="D182">
        <v>397</v>
      </c>
      <c r="E182">
        <v>439.4</v>
      </c>
      <c r="F182" s="19">
        <f t="shared" si="64"/>
        <v>653.1</v>
      </c>
      <c r="G182" s="19">
        <f t="shared" si="63"/>
        <v>687.8</v>
      </c>
      <c r="H182" s="24">
        <f t="shared" si="65"/>
        <v>-5.0450712416399979</v>
      </c>
    </row>
    <row r="183" spans="1:8" x14ac:dyDescent="0.25">
      <c r="A183" s="10">
        <f t="shared" si="7"/>
        <v>40115</v>
      </c>
      <c r="B183">
        <v>254.1</v>
      </c>
      <c r="C183">
        <v>272.7</v>
      </c>
      <c r="D183">
        <v>422.2</v>
      </c>
      <c r="E183">
        <v>439.7</v>
      </c>
      <c r="F183" s="19">
        <f t="shared" si="64"/>
        <v>676.3</v>
      </c>
      <c r="G183" s="19">
        <f t="shared" si="63"/>
        <v>712.4</v>
      </c>
      <c r="H183" s="24">
        <f t="shared" si="65"/>
        <v>-5.067377877596857</v>
      </c>
    </row>
    <row r="184" spans="1:8" x14ac:dyDescent="0.25">
      <c r="A184" s="10">
        <f t="shared" si="7"/>
        <v>40122</v>
      </c>
      <c r="B184">
        <v>256.89999999999998</v>
      </c>
      <c r="C184">
        <v>320</v>
      </c>
      <c r="D184">
        <v>443.8</v>
      </c>
      <c r="E184">
        <v>482</v>
      </c>
      <c r="F184" s="19">
        <f t="shared" si="64"/>
        <v>700.7</v>
      </c>
      <c r="G184" s="19">
        <f t="shared" si="63"/>
        <v>802</v>
      </c>
      <c r="H184" s="24">
        <f t="shared" si="65"/>
        <v>-12.630922693266822</v>
      </c>
    </row>
    <row r="185" spans="1:8" x14ac:dyDescent="0.25">
      <c r="A185" s="10">
        <f t="shared" si="7"/>
        <v>40129</v>
      </c>
      <c r="B185">
        <v>224.7</v>
      </c>
      <c r="C185">
        <v>320</v>
      </c>
      <c r="D185">
        <v>479.2</v>
      </c>
      <c r="E185">
        <v>482</v>
      </c>
      <c r="F185" s="19">
        <f t="shared" si="64"/>
        <v>703.9</v>
      </c>
      <c r="G185" s="19">
        <f t="shared" si="63"/>
        <v>802</v>
      </c>
      <c r="H185" s="24">
        <f t="shared" si="65"/>
        <v>-12.231920199501245</v>
      </c>
    </row>
    <row r="186" spans="1:8" x14ac:dyDescent="0.25">
      <c r="A186" s="10">
        <f t="shared" si="7"/>
        <v>40136</v>
      </c>
      <c r="B186">
        <v>212.7</v>
      </c>
      <c r="C186">
        <v>275.7</v>
      </c>
      <c r="D186">
        <v>520.1</v>
      </c>
      <c r="E186">
        <v>526</v>
      </c>
      <c r="F186" s="19">
        <f t="shared" si="64"/>
        <v>732.8</v>
      </c>
      <c r="G186" s="19">
        <f t="shared" si="63"/>
        <v>801.7</v>
      </c>
      <c r="H186" s="24">
        <f t="shared" si="65"/>
        <v>-8.5942372458525753</v>
      </c>
    </row>
    <row r="187" spans="1:8" x14ac:dyDescent="0.25">
      <c r="A187" s="10">
        <f t="shared" si="7"/>
        <v>40143</v>
      </c>
      <c r="B187">
        <v>210.4</v>
      </c>
      <c r="C187">
        <v>255.9</v>
      </c>
      <c r="D187">
        <v>547.1</v>
      </c>
      <c r="E187">
        <v>547.5</v>
      </c>
      <c r="F187" s="19">
        <f t="shared" si="64"/>
        <v>757.5</v>
      </c>
      <c r="G187" s="19">
        <f t="shared" si="63"/>
        <v>803.4</v>
      </c>
      <c r="H187" s="24">
        <f t="shared" si="65"/>
        <v>-5.7132188200149319</v>
      </c>
    </row>
    <row r="188" spans="1:8" x14ac:dyDescent="0.25">
      <c r="A188" s="10">
        <f t="shared" si="7"/>
        <v>40150</v>
      </c>
      <c r="B188">
        <v>234.2</v>
      </c>
      <c r="C188">
        <v>235.9</v>
      </c>
      <c r="D188">
        <v>547.79999999999995</v>
      </c>
      <c r="E188">
        <v>571</v>
      </c>
      <c r="F188" s="19">
        <f t="shared" si="64"/>
        <v>782</v>
      </c>
      <c r="G188" s="19">
        <f t="shared" si="63"/>
        <v>806.9</v>
      </c>
      <c r="H188" s="24">
        <f t="shared" si="65"/>
        <v>-3.0858842483579063</v>
      </c>
    </row>
    <row r="189" spans="1:8" x14ac:dyDescent="0.25">
      <c r="A189" s="10">
        <f t="shared" si="7"/>
        <v>40157</v>
      </c>
      <c r="B189">
        <v>257.39999999999998</v>
      </c>
      <c r="C189">
        <v>212.9</v>
      </c>
      <c r="D189">
        <v>548</v>
      </c>
      <c r="E189">
        <v>596.1</v>
      </c>
      <c r="F189" s="19">
        <f t="shared" si="64"/>
        <v>805.4</v>
      </c>
      <c r="G189" s="19">
        <f t="shared" si="63"/>
        <v>809</v>
      </c>
      <c r="H189" s="24">
        <f t="shared" si="65"/>
        <v>-0.44499381953028161</v>
      </c>
    </row>
    <row r="190" spans="1:8" x14ac:dyDescent="0.25">
      <c r="A190" s="10">
        <f t="shared" si="7"/>
        <v>40164</v>
      </c>
      <c r="B190">
        <v>254.1</v>
      </c>
      <c r="C190">
        <v>236.3</v>
      </c>
      <c r="D190">
        <v>573.4</v>
      </c>
      <c r="E190">
        <v>596.6</v>
      </c>
      <c r="F190" s="19">
        <f t="shared" si="64"/>
        <v>827.5</v>
      </c>
      <c r="G190" s="19">
        <f t="shared" ref="G190:G221" si="66">+C190+E190</f>
        <v>832.90000000000009</v>
      </c>
      <c r="H190" s="24">
        <f t="shared" si="65"/>
        <v>-0.64833713531037285</v>
      </c>
    </row>
    <row r="191" spans="1:8" x14ac:dyDescent="0.25">
      <c r="A191" s="10">
        <f t="shared" si="7"/>
        <v>40171</v>
      </c>
      <c r="B191">
        <v>275.7</v>
      </c>
      <c r="C191">
        <v>274.3</v>
      </c>
      <c r="D191">
        <v>603</v>
      </c>
      <c r="E191">
        <v>597</v>
      </c>
      <c r="F191" s="19">
        <f t="shared" ref="F191:F222" si="67">+B191+D191</f>
        <v>878.7</v>
      </c>
      <c r="G191" s="19">
        <f t="shared" si="66"/>
        <v>871.3</v>
      </c>
      <c r="H191" s="24">
        <f t="shared" si="65"/>
        <v>0.84930563525766889</v>
      </c>
    </row>
    <row r="192" spans="1:8" x14ac:dyDescent="0.25">
      <c r="A192" s="10">
        <f t="shared" si="7"/>
        <v>40178</v>
      </c>
      <c r="B192">
        <v>275.2</v>
      </c>
      <c r="C192">
        <v>252.3</v>
      </c>
      <c r="D192">
        <v>603.70000000000005</v>
      </c>
      <c r="E192">
        <v>618.79999999999995</v>
      </c>
      <c r="F192" s="19">
        <f t="shared" si="67"/>
        <v>878.90000000000009</v>
      </c>
      <c r="G192" s="19">
        <f t="shared" si="66"/>
        <v>871.09999999999991</v>
      </c>
      <c r="H192" s="24">
        <f t="shared" ref="H192:H223" si="68">+(F192/G192-1)*100</f>
        <v>0.89541958443348779</v>
      </c>
    </row>
    <row r="193" spans="1:9" x14ac:dyDescent="0.25">
      <c r="A193" s="10">
        <f t="shared" si="7"/>
        <v>40185</v>
      </c>
      <c r="B193">
        <v>230.8</v>
      </c>
      <c r="C193">
        <v>182.8</v>
      </c>
      <c r="D193">
        <v>652.20000000000005</v>
      </c>
      <c r="E193">
        <v>668.3</v>
      </c>
      <c r="F193" s="19">
        <f t="shared" si="67"/>
        <v>883</v>
      </c>
      <c r="G193" s="19">
        <f t="shared" si="66"/>
        <v>851.09999999999991</v>
      </c>
      <c r="H193" s="24">
        <f t="shared" si="68"/>
        <v>3.7480907061449908</v>
      </c>
    </row>
    <row r="194" spans="1:9" x14ac:dyDescent="0.25">
      <c r="A194" s="10">
        <f t="shared" si="7"/>
        <v>40192</v>
      </c>
      <c r="B194">
        <v>226.6</v>
      </c>
      <c r="C194">
        <v>161.80000000000001</v>
      </c>
      <c r="D194">
        <v>676.9</v>
      </c>
      <c r="E194">
        <v>714.1</v>
      </c>
      <c r="F194" s="19">
        <f t="shared" si="67"/>
        <v>903.5</v>
      </c>
      <c r="G194" s="19">
        <f t="shared" si="66"/>
        <v>875.90000000000009</v>
      </c>
      <c r="H194" s="24">
        <f t="shared" si="68"/>
        <v>3.1510446397990499</v>
      </c>
    </row>
    <row r="195" spans="1:9" x14ac:dyDescent="0.25">
      <c r="A195" s="10">
        <f t="shared" si="7"/>
        <v>40199</v>
      </c>
      <c r="B195">
        <v>279.2</v>
      </c>
      <c r="C195">
        <v>185.9</v>
      </c>
      <c r="D195">
        <v>699.9</v>
      </c>
      <c r="E195">
        <v>739.7</v>
      </c>
      <c r="F195" s="19">
        <f t="shared" si="67"/>
        <v>979.09999999999991</v>
      </c>
      <c r="G195" s="19">
        <f t="shared" si="66"/>
        <v>925.6</v>
      </c>
      <c r="H195" s="24">
        <f t="shared" si="68"/>
        <v>5.7800345721694013</v>
      </c>
    </row>
    <row r="196" spans="1:9" x14ac:dyDescent="0.25">
      <c r="A196" s="10">
        <f t="shared" si="7"/>
        <v>40206</v>
      </c>
      <c r="B196">
        <v>280.10000000000002</v>
      </c>
      <c r="C196">
        <v>183.7</v>
      </c>
      <c r="D196">
        <v>700.3</v>
      </c>
      <c r="E196">
        <v>742</v>
      </c>
      <c r="F196" s="19">
        <f t="shared" si="67"/>
        <v>980.4</v>
      </c>
      <c r="G196" s="19">
        <f t="shared" si="66"/>
        <v>925.7</v>
      </c>
      <c r="H196" s="24">
        <f t="shared" si="68"/>
        <v>5.90904180620071</v>
      </c>
    </row>
    <row r="197" spans="1:9" x14ac:dyDescent="0.25">
      <c r="A197" s="10">
        <f t="shared" si="7"/>
        <v>40213</v>
      </c>
      <c r="B197">
        <v>284</v>
      </c>
      <c r="C197">
        <v>180.5</v>
      </c>
      <c r="D197">
        <v>725.7</v>
      </c>
      <c r="E197">
        <v>767.4</v>
      </c>
      <c r="F197" s="19">
        <f t="shared" si="67"/>
        <v>1009.7</v>
      </c>
      <c r="G197" s="19">
        <f t="shared" si="66"/>
        <v>947.9</v>
      </c>
      <c r="H197" s="24">
        <f t="shared" si="68"/>
        <v>6.5196750712100515</v>
      </c>
    </row>
    <row r="198" spans="1:9" x14ac:dyDescent="0.25">
      <c r="A198" s="10">
        <f t="shared" si="7"/>
        <v>40220</v>
      </c>
      <c r="B198">
        <v>291.39999999999998</v>
      </c>
      <c r="C198">
        <v>222</v>
      </c>
      <c r="D198">
        <v>750.4</v>
      </c>
      <c r="E198">
        <v>795.4</v>
      </c>
      <c r="F198" s="19">
        <f t="shared" si="67"/>
        <v>1041.8</v>
      </c>
      <c r="G198" s="19">
        <f t="shared" si="66"/>
        <v>1017.4</v>
      </c>
      <c r="H198" s="24">
        <f t="shared" si="68"/>
        <v>2.3982701002555507</v>
      </c>
    </row>
    <row r="199" spans="1:9" x14ac:dyDescent="0.25">
      <c r="A199" s="10">
        <f t="shared" si="7"/>
        <v>40227</v>
      </c>
      <c r="B199">
        <v>290.8</v>
      </c>
      <c r="C199">
        <v>197.6</v>
      </c>
      <c r="D199">
        <v>750.9</v>
      </c>
      <c r="E199">
        <v>818.7</v>
      </c>
      <c r="F199" s="19">
        <f t="shared" si="67"/>
        <v>1041.7</v>
      </c>
      <c r="G199" s="19">
        <f t="shared" si="66"/>
        <v>1016.3000000000001</v>
      </c>
      <c r="H199" s="24">
        <f t="shared" si="68"/>
        <v>2.4992620289284728</v>
      </c>
    </row>
    <row r="200" spans="1:9" x14ac:dyDescent="0.25">
      <c r="A200" s="10">
        <f t="shared" si="7"/>
        <v>40234</v>
      </c>
      <c r="B200">
        <v>290.7</v>
      </c>
      <c r="C200">
        <v>243.4</v>
      </c>
      <c r="D200">
        <v>751.5</v>
      </c>
      <c r="E200">
        <v>841.9</v>
      </c>
      <c r="F200" s="19">
        <f t="shared" si="67"/>
        <v>1042.2</v>
      </c>
      <c r="G200" s="19">
        <f t="shared" si="66"/>
        <v>1085.3</v>
      </c>
      <c r="H200" s="24">
        <f t="shared" si="68"/>
        <v>-3.9712521883350171</v>
      </c>
    </row>
    <row r="201" spans="1:9" x14ac:dyDescent="0.25">
      <c r="A201" s="10">
        <f t="shared" si="7"/>
        <v>40241</v>
      </c>
      <c r="B201">
        <v>219.8</v>
      </c>
      <c r="C201">
        <v>204.5</v>
      </c>
      <c r="D201">
        <v>824.8</v>
      </c>
      <c r="E201">
        <v>886.1</v>
      </c>
      <c r="F201" s="19">
        <f t="shared" si="67"/>
        <v>1044.5999999999999</v>
      </c>
      <c r="G201" s="19">
        <f t="shared" si="66"/>
        <v>1090.5999999999999</v>
      </c>
      <c r="H201" s="24">
        <f t="shared" si="68"/>
        <v>-4.2178617274894581</v>
      </c>
    </row>
    <row r="202" spans="1:9" x14ac:dyDescent="0.25">
      <c r="A202" s="10">
        <f t="shared" si="7"/>
        <v>40248</v>
      </c>
      <c r="B202">
        <v>220.9</v>
      </c>
      <c r="C202">
        <v>226.1</v>
      </c>
      <c r="D202">
        <v>825.1</v>
      </c>
      <c r="E202">
        <v>886.1</v>
      </c>
      <c r="F202" s="19">
        <f t="shared" si="67"/>
        <v>1046</v>
      </c>
      <c r="G202" s="19">
        <f t="shared" si="66"/>
        <v>1112.2</v>
      </c>
      <c r="H202" s="24">
        <f t="shared" si="68"/>
        <v>-5.9521668764610736</v>
      </c>
    </row>
    <row r="203" spans="1:9" x14ac:dyDescent="0.25">
      <c r="A203" s="10">
        <f t="shared" si="7"/>
        <v>40255</v>
      </c>
      <c r="B203">
        <v>269.60000000000002</v>
      </c>
      <c r="C203">
        <v>223.9</v>
      </c>
      <c r="D203">
        <v>825.8</v>
      </c>
      <c r="E203">
        <v>911.2</v>
      </c>
      <c r="F203" s="19">
        <f t="shared" si="67"/>
        <v>1095.4000000000001</v>
      </c>
      <c r="G203" s="19">
        <f t="shared" si="66"/>
        <v>1135.1000000000001</v>
      </c>
      <c r="H203" s="24">
        <f t="shared" si="68"/>
        <v>-3.4974892079992936</v>
      </c>
      <c r="I203">
        <v>23</v>
      </c>
    </row>
    <row r="204" spans="1:9" x14ac:dyDescent="0.25">
      <c r="A204" s="10">
        <f t="shared" si="7"/>
        <v>40262</v>
      </c>
      <c r="B204">
        <v>323.8</v>
      </c>
      <c r="C204">
        <v>223.8</v>
      </c>
      <c r="D204">
        <v>826.8</v>
      </c>
      <c r="E204">
        <v>911.7</v>
      </c>
      <c r="F204" s="19">
        <f t="shared" si="67"/>
        <v>1150.5999999999999</v>
      </c>
      <c r="G204" s="19">
        <f t="shared" si="66"/>
        <v>1135.5</v>
      </c>
      <c r="H204" s="24">
        <f t="shared" si="68"/>
        <v>1.3298106560986289</v>
      </c>
    </row>
    <row r="205" spans="1:9" x14ac:dyDescent="0.25">
      <c r="A205" s="10">
        <f t="shared" si="7"/>
        <v>40269</v>
      </c>
      <c r="B205">
        <v>316.60000000000002</v>
      </c>
      <c r="C205">
        <v>201.1</v>
      </c>
      <c r="D205">
        <v>852.3</v>
      </c>
      <c r="E205">
        <v>936</v>
      </c>
      <c r="F205" s="19">
        <f t="shared" si="67"/>
        <v>1168.9000000000001</v>
      </c>
      <c r="G205" s="19">
        <f t="shared" si="66"/>
        <v>1137.0999999999999</v>
      </c>
      <c r="H205" s="24">
        <f t="shared" si="68"/>
        <v>2.7965878110984166</v>
      </c>
      <c r="I205">
        <v>46</v>
      </c>
    </row>
    <row r="206" spans="1:9" x14ac:dyDescent="0.25">
      <c r="A206" s="10">
        <f t="shared" si="7"/>
        <v>40276</v>
      </c>
      <c r="B206">
        <v>297.39999999999998</v>
      </c>
      <c r="C206">
        <v>199.8</v>
      </c>
      <c r="D206">
        <v>873.5</v>
      </c>
      <c r="E206">
        <v>936.6</v>
      </c>
      <c r="F206" s="19">
        <f t="shared" si="67"/>
        <v>1170.9000000000001</v>
      </c>
      <c r="G206" s="19">
        <f t="shared" si="66"/>
        <v>1136.4000000000001</v>
      </c>
      <c r="H206" s="24">
        <f t="shared" si="68"/>
        <v>3.0359028511087738</v>
      </c>
      <c r="I206">
        <v>46</v>
      </c>
    </row>
    <row r="207" spans="1:9" x14ac:dyDescent="0.25">
      <c r="A207" s="10">
        <f t="shared" si="7"/>
        <v>40283</v>
      </c>
      <c r="B207">
        <v>248.3</v>
      </c>
      <c r="C207">
        <v>178.3</v>
      </c>
      <c r="D207">
        <v>927.2</v>
      </c>
      <c r="E207">
        <v>959.9</v>
      </c>
      <c r="F207" s="19">
        <f t="shared" si="67"/>
        <v>1175.5</v>
      </c>
      <c r="G207" s="19">
        <f t="shared" si="66"/>
        <v>1138.2</v>
      </c>
      <c r="H207" s="24">
        <f t="shared" si="68"/>
        <v>3.2771041996134231</v>
      </c>
      <c r="I207">
        <v>101</v>
      </c>
    </row>
    <row r="208" spans="1:9" x14ac:dyDescent="0.25">
      <c r="A208" s="10">
        <f t="shared" si="7"/>
        <v>40290</v>
      </c>
      <c r="B208">
        <v>253.4</v>
      </c>
      <c r="C208">
        <v>156.9</v>
      </c>
      <c r="D208">
        <v>947.2</v>
      </c>
      <c r="E208">
        <v>983.5</v>
      </c>
      <c r="F208" s="19">
        <f t="shared" si="67"/>
        <v>1200.6000000000001</v>
      </c>
      <c r="G208" s="19">
        <f t="shared" si="66"/>
        <v>1140.4000000000001</v>
      </c>
      <c r="H208" s="24">
        <f t="shared" si="68"/>
        <v>5.2788495264819435</v>
      </c>
      <c r="I208">
        <v>124</v>
      </c>
    </row>
    <row r="209" spans="1:9" x14ac:dyDescent="0.25">
      <c r="A209" s="10">
        <f t="shared" si="7"/>
        <v>40297</v>
      </c>
      <c r="B209">
        <v>245.8</v>
      </c>
      <c r="C209">
        <v>134.1</v>
      </c>
      <c r="D209">
        <v>956.4</v>
      </c>
      <c r="E209">
        <v>1008.5</v>
      </c>
      <c r="F209" s="19">
        <f t="shared" si="67"/>
        <v>1202.2</v>
      </c>
      <c r="G209" s="19">
        <f t="shared" si="66"/>
        <v>1142.5999999999999</v>
      </c>
      <c r="H209" s="24">
        <f t="shared" si="68"/>
        <v>5.2161736390688107</v>
      </c>
      <c r="I209">
        <v>124</v>
      </c>
    </row>
    <row r="210" spans="1:9" x14ac:dyDescent="0.25">
      <c r="A210" s="10">
        <f t="shared" si="7"/>
        <v>40304</v>
      </c>
      <c r="B210">
        <v>246.4</v>
      </c>
      <c r="C210">
        <v>110.1</v>
      </c>
      <c r="D210">
        <v>956.5</v>
      </c>
      <c r="E210">
        <v>1034</v>
      </c>
      <c r="F210" s="19">
        <f t="shared" si="67"/>
        <v>1202.9000000000001</v>
      </c>
      <c r="G210" s="19">
        <f t="shared" si="66"/>
        <v>1144.0999999999999</v>
      </c>
      <c r="H210" s="24">
        <f t="shared" si="68"/>
        <v>5.1394108906564373</v>
      </c>
      <c r="I210">
        <v>124</v>
      </c>
    </row>
    <row r="211" spans="1:9" x14ac:dyDescent="0.25">
      <c r="A211" s="10">
        <f t="shared" si="7"/>
        <v>40311</v>
      </c>
      <c r="B211">
        <v>221.6</v>
      </c>
      <c r="C211">
        <v>104.1</v>
      </c>
      <c r="D211">
        <v>982.5</v>
      </c>
      <c r="E211">
        <v>1041.4000000000001</v>
      </c>
      <c r="F211" s="19">
        <f t="shared" si="67"/>
        <v>1204.0999999999999</v>
      </c>
      <c r="G211" s="19">
        <f t="shared" si="66"/>
        <v>1145.5</v>
      </c>
      <c r="H211" s="24">
        <f t="shared" si="68"/>
        <v>5.1156700130947197</v>
      </c>
      <c r="I211">
        <v>124</v>
      </c>
    </row>
    <row r="212" spans="1:9" x14ac:dyDescent="0.25">
      <c r="A212" s="10">
        <f t="shared" si="7"/>
        <v>40318</v>
      </c>
      <c r="B212">
        <v>123</v>
      </c>
      <c r="C212">
        <v>89.2</v>
      </c>
      <c r="D212">
        <v>1085.8</v>
      </c>
      <c r="E212">
        <v>1056.7</v>
      </c>
      <c r="F212" s="19">
        <f t="shared" si="67"/>
        <v>1208.8</v>
      </c>
      <c r="G212" s="19">
        <f t="shared" si="66"/>
        <v>1145.9000000000001</v>
      </c>
      <c r="H212" s="24">
        <f t="shared" si="68"/>
        <v>5.4891351775896657</v>
      </c>
      <c r="I212">
        <v>216.2</v>
      </c>
    </row>
    <row r="213" spans="1:9" x14ac:dyDescent="0.25">
      <c r="A213" s="10">
        <f t="shared" si="7"/>
        <v>40325</v>
      </c>
      <c r="B213">
        <v>115.8</v>
      </c>
      <c r="C213">
        <v>64</v>
      </c>
      <c r="D213">
        <v>1093.4000000000001</v>
      </c>
      <c r="E213">
        <v>1082.5</v>
      </c>
      <c r="F213" s="19">
        <f t="shared" si="67"/>
        <v>1209.2</v>
      </c>
      <c r="G213" s="19">
        <f t="shared" si="66"/>
        <v>1146.5</v>
      </c>
      <c r="H213" s="24">
        <f t="shared" si="68"/>
        <v>5.4688181421718385</v>
      </c>
      <c r="I213">
        <v>226.2</v>
      </c>
    </row>
    <row r="214" spans="1:9" x14ac:dyDescent="0.25">
      <c r="A214" s="10">
        <f t="shared" si="7"/>
        <v>40332</v>
      </c>
      <c r="B214">
        <v>325</v>
      </c>
      <c r="C214">
        <v>305.7</v>
      </c>
      <c r="D214">
        <v>0.4</v>
      </c>
      <c r="E214">
        <v>0</v>
      </c>
      <c r="F214" s="19">
        <f t="shared" si="67"/>
        <v>325.39999999999998</v>
      </c>
      <c r="G214" s="19">
        <f t="shared" si="66"/>
        <v>305.7</v>
      </c>
      <c r="H214" s="24">
        <f t="shared" si="68"/>
        <v>6.4442263657180199</v>
      </c>
    </row>
    <row r="215" spans="1:9" x14ac:dyDescent="0.25">
      <c r="A215" s="10">
        <f t="shared" si="7"/>
        <v>40339</v>
      </c>
      <c r="B215">
        <v>359.6</v>
      </c>
      <c r="C215">
        <v>316.89999999999998</v>
      </c>
      <c r="D215">
        <v>51.6</v>
      </c>
      <c r="E215">
        <v>0</v>
      </c>
      <c r="F215" s="19">
        <f t="shared" si="67"/>
        <v>411.20000000000005</v>
      </c>
      <c r="G215" s="19">
        <f t="shared" si="66"/>
        <v>316.89999999999998</v>
      </c>
      <c r="H215" s="24">
        <f t="shared" si="68"/>
        <v>29.757021142316219</v>
      </c>
    </row>
    <row r="216" spans="1:9" x14ac:dyDescent="0.25">
      <c r="A216" s="10">
        <f t="shared" si="7"/>
        <v>40346</v>
      </c>
      <c r="B216">
        <v>336</v>
      </c>
      <c r="C216">
        <v>340.5</v>
      </c>
      <c r="D216">
        <v>74.5</v>
      </c>
      <c r="E216">
        <v>24.5</v>
      </c>
      <c r="F216" s="19">
        <f t="shared" si="67"/>
        <v>410.5</v>
      </c>
      <c r="G216" s="19">
        <f t="shared" si="66"/>
        <v>365</v>
      </c>
      <c r="H216" s="24">
        <f t="shared" si="68"/>
        <v>12.465753424657544</v>
      </c>
    </row>
    <row r="217" spans="1:9" x14ac:dyDescent="0.25">
      <c r="A217" s="10">
        <f t="shared" si="7"/>
        <v>40353</v>
      </c>
      <c r="B217">
        <v>336.2</v>
      </c>
      <c r="C217">
        <v>294.3</v>
      </c>
      <c r="D217">
        <v>99.9</v>
      </c>
      <c r="E217">
        <v>72.900000000000006</v>
      </c>
      <c r="F217" s="19">
        <f t="shared" si="67"/>
        <v>436.1</v>
      </c>
      <c r="G217" s="19">
        <f t="shared" si="66"/>
        <v>367.20000000000005</v>
      </c>
      <c r="H217" s="24">
        <f t="shared" si="68"/>
        <v>18.763616557734196</v>
      </c>
    </row>
    <row r="218" spans="1:9" x14ac:dyDescent="0.25">
      <c r="A218" s="10">
        <f t="shared" si="7"/>
        <v>40360</v>
      </c>
      <c r="B218">
        <v>244.9</v>
      </c>
      <c r="C218">
        <v>358.9</v>
      </c>
      <c r="D218">
        <v>212.5</v>
      </c>
      <c r="E218">
        <v>73.099999999999994</v>
      </c>
      <c r="F218" s="19">
        <f t="shared" si="67"/>
        <v>457.4</v>
      </c>
      <c r="G218" s="19">
        <f t="shared" si="66"/>
        <v>432</v>
      </c>
      <c r="H218" s="24">
        <f t="shared" si="68"/>
        <v>5.8796296296296235</v>
      </c>
    </row>
    <row r="219" spans="1:9" x14ac:dyDescent="0.25">
      <c r="A219" s="10">
        <f t="shared" si="7"/>
        <v>40367</v>
      </c>
      <c r="B219">
        <v>271</v>
      </c>
      <c r="C219">
        <v>330.5</v>
      </c>
      <c r="D219">
        <v>212.5</v>
      </c>
      <c r="E219">
        <v>106.9</v>
      </c>
      <c r="F219" s="19">
        <f t="shared" si="67"/>
        <v>483.5</v>
      </c>
      <c r="G219" s="19">
        <f t="shared" si="66"/>
        <v>437.4</v>
      </c>
      <c r="H219" s="24">
        <f t="shared" si="68"/>
        <v>10.539551897576604</v>
      </c>
    </row>
    <row r="220" spans="1:9" x14ac:dyDescent="0.25">
      <c r="A220" s="10">
        <f t="shared" si="7"/>
        <v>40374</v>
      </c>
      <c r="B220">
        <v>217.6</v>
      </c>
      <c r="C220">
        <v>339.8</v>
      </c>
      <c r="D220">
        <v>271.39999999999998</v>
      </c>
      <c r="E220">
        <v>123.1</v>
      </c>
      <c r="F220" s="19">
        <f t="shared" si="67"/>
        <v>489</v>
      </c>
      <c r="G220" s="19">
        <f t="shared" si="66"/>
        <v>462.9</v>
      </c>
      <c r="H220" s="24">
        <f t="shared" si="68"/>
        <v>5.6383668178872304</v>
      </c>
    </row>
    <row r="221" spans="1:9" x14ac:dyDescent="0.25">
      <c r="A221" s="10">
        <f t="shared" si="7"/>
        <v>40381</v>
      </c>
      <c r="B221">
        <v>217.3</v>
      </c>
      <c r="C221">
        <v>339.8</v>
      </c>
      <c r="D221">
        <v>271.7</v>
      </c>
      <c r="E221">
        <v>123.1</v>
      </c>
      <c r="F221" s="19">
        <f t="shared" si="67"/>
        <v>489</v>
      </c>
      <c r="G221" s="19">
        <f t="shared" si="66"/>
        <v>462.9</v>
      </c>
      <c r="H221" s="24">
        <f t="shared" si="68"/>
        <v>5.6383668178872304</v>
      </c>
    </row>
    <row r="222" spans="1:9" x14ac:dyDescent="0.25">
      <c r="A222" s="10">
        <f t="shared" si="7"/>
        <v>40388</v>
      </c>
      <c r="B222">
        <v>272.3</v>
      </c>
      <c r="C222">
        <v>315.3</v>
      </c>
      <c r="D222">
        <v>298.60000000000002</v>
      </c>
      <c r="E222">
        <v>148.9</v>
      </c>
      <c r="F222" s="19">
        <f t="shared" si="67"/>
        <v>570.90000000000009</v>
      </c>
      <c r="G222" s="19">
        <f t="shared" ref="G222:G253" si="69">+C222+E222</f>
        <v>464.20000000000005</v>
      </c>
      <c r="H222" s="24">
        <f t="shared" si="68"/>
        <v>22.985781990521325</v>
      </c>
    </row>
    <row r="223" spans="1:9" x14ac:dyDescent="0.25">
      <c r="A223" s="10">
        <f t="shared" si="7"/>
        <v>40395</v>
      </c>
      <c r="B223">
        <v>322.2</v>
      </c>
      <c r="C223">
        <v>293.8</v>
      </c>
      <c r="D223">
        <v>298.7</v>
      </c>
      <c r="E223">
        <v>171.7</v>
      </c>
      <c r="F223" s="19">
        <f t="shared" ref="F223:F254" si="70">+B223+D223</f>
        <v>620.9</v>
      </c>
      <c r="G223" s="19">
        <f t="shared" si="69"/>
        <v>465.5</v>
      </c>
      <c r="H223" s="24">
        <f t="shared" si="68"/>
        <v>33.383458646616539</v>
      </c>
    </row>
    <row r="224" spans="1:9" x14ac:dyDescent="0.25">
      <c r="A224" s="10">
        <f t="shared" si="7"/>
        <v>40402</v>
      </c>
      <c r="B224">
        <v>319.3</v>
      </c>
      <c r="C224">
        <v>294.10000000000002</v>
      </c>
      <c r="D224">
        <v>327</v>
      </c>
      <c r="E224">
        <v>171.7</v>
      </c>
      <c r="F224" s="19">
        <f t="shared" si="70"/>
        <v>646.29999999999995</v>
      </c>
      <c r="G224" s="19">
        <f t="shared" si="69"/>
        <v>465.8</v>
      </c>
      <c r="H224" s="24">
        <f t="shared" ref="H224:H255" si="71">+(F224/G224-1)*100</f>
        <v>38.750536711034769</v>
      </c>
    </row>
    <row r="225" spans="1:8" x14ac:dyDescent="0.25">
      <c r="A225" s="10">
        <f t="shared" si="7"/>
        <v>40409</v>
      </c>
      <c r="B225">
        <v>357.2</v>
      </c>
      <c r="C225">
        <v>304.2</v>
      </c>
      <c r="D225">
        <v>370.5</v>
      </c>
      <c r="E225">
        <v>216.2</v>
      </c>
      <c r="F225" s="19">
        <f t="shared" si="70"/>
        <v>727.7</v>
      </c>
      <c r="G225" s="19">
        <f t="shared" si="69"/>
        <v>520.4</v>
      </c>
      <c r="H225" s="24">
        <f t="shared" si="71"/>
        <v>39.834742505764822</v>
      </c>
    </row>
    <row r="226" spans="1:8" x14ac:dyDescent="0.25">
      <c r="A226" s="10">
        <f t="shared" si="7"/>
        <v>40416</v>
      </c>
      <c r="B226">
        <v>381.2</v>
      </c>
      <c r="C226">
        <v>282.10000000000002</v>
      </c>
      <c r="D226">
        <v>370.5</v>
      </c>
      <c r="E226">
        <v>241.6</v>
      </c>
      <c r="F226" s="19">
        <f t="shared" si="70"/>
        <v>751.7</v>
      </c>
      <c r="G226" s="19">
        <f t="shared" si="69"/>
        <v>523.70000000000005</v>
      </c>
      <c r="H226" s="24">
        <f t="shared" si="71"/>
        <v>43.536375787664696</v>
      </c>
    </row>
    <row r="227" spans="1:8" x14ac:dyDescent="0.25">
      <c r="A227" s="10">
        <f t="shared" si="7"/>
        <v>40423</v>
      </c>
      <c r="B227">
        <v>425.2</v>
      </c>
      <c r="C227">
        <v>282.10000000000002</v>
      </c>
      <c r="D227">
        <v>449.1</v>
      </c>
      <c r="E227">
        <v>241.7</v>
      </c>
      <c r="F227" s="19">
        <f t="shared" si="70"/>
        <v>874.3</v>
      </c>
      <c r="G227" s="19">
        <f t="shared" si="69"/>
        <v>523.79999999999995</v>
      </c>
      <c r="H227" s="24">
        <f t="shared" si="71"/>
        <v>66.914852997327216</v>
      </c>
    </row>
    <row r="228" spans="1:8" x14ac:dyDescent="0.25">
      <c r="A228" s="10">
        <f t="shared" si="7"/>
        <v>40430</v>
      </c>
      <c r="B228">
        <v>482.6</v>
      </c>
      <c r="C228">
        <v>236.7</v>
      </c>
      <c r="D228">
        <v>449.1</v>
      </c>
      <c r="E228">
        <v>292.89999999999998</v>
      </c>
      <c r="F228" s="19">
        <f t="shared" si="70"/>
        <v>931.7</v>
      </c>
      <c r="G228" s="19">
        <f t="shared" si="69"/>
        <v>529.59999999999991</v>
      </c>
      <c r="H228" s="24">
        <f t="shared" si="71"/>
        <v>75.925226586102767</v>
      </c>
    </row>
    <row r="229" spans="1:8" x14ac:dyDescent="0.25">
      <c r="A229" s="10">
        <f t="shared" si="7"/>
        <v>40437</v>
      </c>
      <c r="B229">
        <v>437.6</v>
      </c>
      <c r="C229">
        <v>259.2</v>
      </c>
      <c r="D229">
        <v>558.4</v>
      </c>
      <c r="E229">
        <v>293.60000000000002</v>
      </c>
      <c r="F229" s="19">
        <f t="shared" si="70"/>
        <v>996</v>
      </c>
      <c r="G229" s="19">
        <f t="shared" si="69"/>
        <v>552.79999999999995</v>
      </c>
      <c r="H229" s="24">
        <f t="shared" si="71"/>
        <v>80.173661360347339</v>
      </c>
    </row>
    <row r="230" spans="1:8" x14ac:dyDescent="0.25">
      <c r="A230" s="10">
        <f t="shared" si="7"/>
        <v>40444</v>
      </c>
      <c r="B230">
        <v>422</v>
      </c>
      <c r="C230">
        <v>229.3</v>
      </c>
      <c r="D230">
        <v>578.9</v>
      </c>
      <c r="E230">
        <v>345.4</v>
      </c>
      <c r="F230" s="19">
        <f t="shared" si="70"/>
        <v>1000.9</v>
      </c>
      <c r="G230" s="19">
        <f t="shared" si="69"/>
        <v>574.70000000000005</v>
      </c>
      <c r="H230" s="24">
        <f t="shared" si="71"/>
        <v>74.160431529493636</v>
      </c>
    </row>
    <row r="231" spans="1:8" x14ac:dyDescent="0.25">
      <c r="A231" s="10">
        <f t="shared" si="7"/>
        <v>40451</v>
      </c>
      <c r="B231">
        <v>340.3</v>
      </c>
      <c r="C231">
        <v>265.7</v>
      </c>
      <c r="D231">
        <v>667.9</v>
      </c>
      <c r="E231">
        <v>345.7</v>
      </c>
      <c r="F231" s="19">
        <f t="shared" si="70"/>
        <v>1008.2</v>
      </c>
      <c r="G231" s="19">
        <f t="shared" si="69"/>
        <v>611.4</v>
      </c>
      <c r="H231" s="24">
        <f t="shared" si="71"/>
        <v>64.900228982662739</v>
      </c>
    </row>
    <row r="232" spans="1:8" x14ac:dyDescent="0.25">
      <c r="A232" s="10">
        <f t="shared" si="7"/>
        <v>40458</v>
      </c>
      <c r="B232">
        <v>318.7</v>
      </c>
      <c r="C232">
        <v>242.7</v>
      </c>
      <c r="D232">
        <v>695.8</v>
      </c>
      <c r="E232">
        <v>370.9</v>
      </c>
      <c r="F232" s="19">
        <f t="shared" si="70"/>
        <v>1014.5</v>
      </c>
      <c r="G232" s="19">
        <f t="shared" si="69"/>
        <v>613.59999999999991</v>
      </c>
      <c r="H232" s="24">
        <f t="shared" si="71"/>
        <v>65.335723598435493</v>
      </c>
    </row>
    <row r="233" spans="1:8" x14ac:dyDescent="0.25">
      <c r="A233" s="10">
        <f t="shared" si="7"/>
        <v>40465</v>
      </c>
      <c r="B233">
        <v>291.7</v>
      </c>
      <c r="C233">
        <v>255.4</v>
      </c>
      <c r="D233">
        <v>720.9</v>
      </c>
      <c r="E233">
        <v>396.5</v>
      </c>
      <c r="F233" s="19">
        <f t="shared" si="70"/>
        <v>1012.5999999999999</v>
      </c>
      <c r="G233" s="19">
        <f t="shared" si="69"/>
        <v>651.9</v>
      </c>
      <c r="H233" s="24">
        <f t="shared" si="71"/>
        <v>55.330572173646253</v>
      </c>
    </row>
    <row r="234" spans="1:8" x14ac:dyDescent="0.25">
      <c r="A234" s="10">
        <f t="shared" si="7"/>
        <v>40472</v>
      </c>
      <c r="B234">
        <v>347.5</v>
      </c>
      <c r="C234">
        <v>256.10000000000002</v>
      </c>
      <c r="D234">
        <v>742.9</v>
      </c>
      <c r="E234">
        <v>397</v>
      </c>
      <c r="F234" s="19">
        <f t="shared" si="70"/>
        <v>1090.4000000000001</v>
      </c>
      <c r="G234" s="19">
        <f t="shared" si="69"/>
        <v>653.1</v>
      </c>
      <c r="H234" s="24">
        <f t="shared" si="71"/>
        <v>66.957586893278219</v>
      </c>
    </row>
    <row r="235" spans="1:8" x14ac:dyDescent="0.25">
      <c r="A235" s="10">
        <f t="shared" si="7"/>
        <v>40479</v>
      </c>
      <c r="B235">
        <v>321.8</v>
      </c>
      <c r="C235">
        <v>254.1</v>
      </c>
      <c r="D235">
        <v>768.2</v>
      </c>
      <c r="E235">
        <v>422.2</v>
      </c>
      <c r="F235" s="19">
        <f t="shared" si="70"/>
        <v>1090</v>
      </c>
      <c r="G235" s="19">
        <f t="shared" si="69"/>
        <v>676.3</v>
      </c>
      <c r="H235" s="24">
        <f t="shared" si="71"/>
        <v>61.171077923998226</v>
      </c>
    </row>
    <row r="236" spans="1:8" x14ac:dyDescent="0.25">
      <c r="A236" s="10">
        <f t="shared" si="7"/>
        <v>40486</v>
      </c>
      <c r="B236">
        <v>295.3</v>
      </c>
      <c r="C236">
        <v>256.89999999999998</v>
      </c>
      <c r="D236">
        <v>795.9</v>
      </c>
      <c r="E236">
        <v>443.8</v>
      </c>
      <c r="F236" s="19">
        <f t="shared" si="70"/>
        <v>1091.2</v>
      </c>
      <c r="G236" s="19">
        <f t="shared" si="69"/>
        <v>700.7</v>
      </c>
      <c r="H236" s="24">
        <f t="shared" si="71"/>
        <v>55.72998430141287</v>
      </c>
    </row>
    <row r="237" spans="1:8" x14ac:dyDescent="0.25">
      <c r="A237" s="10">
        <f t="shared" si="7"/>
        <v>40493</v>
      </c>
      <c r="B237">
        <v>267.60000000000002</v>
      </c>
      <c r="C237">
        <v>224.7</v>
      </c>
      <c r="D237">
        <v>825.8</v>
      </c>
      <c r="E237">
        <v>479.2</v>
      </c>
      <c r="F237" s="19">
        <f t="shared" si="70"/>
        <v>1093.4000000000001</v>
      </c>
      <c r="G237" s="19">
        <f t="shared" si="69"/>
        <v>703.9</v>
      </c>
      <c r="H237" s="24">
        <f t="shared" si="71"/>
        <v>55.334564568830814</v>
      </c>
    </row>
    <row r="238" spans="1:8" x14ac:dyDescent="0.25">
      <c r="A238" s="10">
        <f t="shared" si="7"/>
        <v>40500</v>
      </c>
      <c r="B238">
        <v>336.5</v>
      </c>
      <c r="C238">
        <v>212.7</v>
      </c>
      <c r="D238">
        <v>850.9</v>
      </c>
      <c r="E238">
        <v>520.1</v>
      </c>
      <c r="F238" s="19">
        <f t="shared" si="70"/>
        <v>1187.4000000000001</v>
      </c>
      <c r="G238" s="19">
        <f t="shared" si="69"/>
        <v>732.8</v>
      </c>
      <c r="H238" s="24">
        <f t="shared" si="71"/>
        <v>62.036026200873387</v>
      </c>
    </row>
    <row r="239" spans="1:8" x14ac:dyDescent="0.25">
      <c r="A239" s="10">
        <f t="shared" si="7"/>
        <v>40507</v>
      </c>
      <c r="B239">
        <v>359.5</v>
      </c>
      <c r="C239">
        <v>210.4</v>
      </c>
      <c r="D239">
        <v>850.9</v>
      </c>
      <c r="E239">
        <v>547.1</v>
      </c>
      <c r="F239" s="19">
        <f t="shared" si="70"/>
        <v>1210.4000000000001</v>
      </c>
      <c r="G239" s="19">
        <f t="shared" si="69"/>
        <v>757.5</v>
      </c>
      <c r="H239" s="24">
        <f t="shared" si="71"/>
        <v>59.788778877887808</v>
      </c>
    </row>
    <row r="240" spans="1:8" x14ac:dyDescent="0.25">
      <c r="A240" s="10">
        <f t="shared" si="7"/>
        <v>40514</v>
      </c>
      <c r="B240">
        <v>364.5</v>
      </c>
      <c r="C240">
        <v>234.2</v>
      </c>
      <c r="D240">
        <v>868.8</v>
      </c>
      <c r="E240">
        <v>547.79999999999995</v>
      </c>
      <c r="F240" s="19">
        <f t="shared" si="70"/>
        <v>1233.3</v>
      </c>
      <c r="G240" s="19">
        <f t="shared" si="69"/>
        <v>782</v>
      </c>
      <c r="H240" s="24">
        <f t="shared" si="71"/>
        <v>57.710997442455245</v>
      </c>
    </row>
    <row r="241" spans="1:9" x14ac:dyDescent="0.25">
      <c r="A241" s="10">
        <f t="shared" si="7"/>
        <v>40521</v>
      </c>
      <c r="B241">
        <v>361.7</v>
      </c>
      <c r="C241">
        <v>257.39999999999998</v>
      </c>
      <c r="D241">
        <v>872.3</v>
      </c>
      <c r="E241">
        <v>548</v>
      </c>
      <c r="F241" s="19">
        <f t="shared" si="70"/>
        <v>1234</v>
      </c>
      <c r="G241" s="19">
        <f t="shared" si="69"/>
        <v>805.4</v>
      </c>
      <c r="H241" s="24">
        <f t="shared" si="71"/>
        <v>53.215793394586555</v>
      </c>
    </row>
    <row r="242" spans="1:9" x14ac:dyDescent="0.25">
      <c r="A242" s="10">
        <f t="shared" si="7"/>
        <v>40528</v>
      </c>
      <c r="B242">
        <v>322.8</v>
      </c>
      <c r="C242">
        <v>254.1</v>
      </c>
      <c r="D242">
        <v>940.2</v>
      </c>
      <c r="E242">
        <v>573.4</v>
      </c>
      <c r="F242" s="19">
        <f t="shared" si="70"/>
        <v>1263</v>
      </c>
      <c r="G242" s="19">
        <f t="shared" si="69"/>
        <v>827.5</v>
      </c>
      <c r="H242" s="24">
        <f t="shared" si="71"/>
        <v>52.628398791540775</v>
      </c>
    </row>
    <row r="243" spans="1:9" x14ac:dyDescent="0.25">
      <c r="A243" s="10">
        <f t="shared" si="7"/>
        <v>40535</v>
      </c>
      <c r="B243">
        <v>324.3</v>
      </c>
      <c r="C243">
        <v>275.7</v>
      </c>
      <c r="D243">
        <v>940.2</v>
      </c>
      <c r="E243">
        <v>603</v>
      </c>
      <c r="F243" s="19">
        <f t="shared" si="70"/>
        <v>1264.5</v>
      </c>
      <c r="G243" s="19">
        <f t="shared" si="69"/>
        <v>878.7</v>
      </c>
      <c r="H243" s="24">
        <f t="shared" si="71"/>
        <v>43.905769887333548</v>
      </c>
    </row>
    <row r="244" spans="1:9" x14ac:dyDescent="0.25">
      <c r="A244" s="10">
        <f t="shared" si="7"/>
        <v>40542</v>
      </c>
      <c r="B244">
        <v>270.10000000000002</v>
      </c>
      <c r="C244">
        <v>275.2</v>
      </c>
      <c r="D244">
        <v>1002</v>
      </c>
      <c r="E244">
        <v>603.70000000000005</v>
      </c>
      <c r="F244" s="19">
        <f t="shared" si="70"/>
        <v>1272.0999999999999</v>
      </c>
      <c r="G244" s="19">
        <f t="shared" si="69"/>
        <v>878.90000000000009</v>
      </c>
      <c r="H244" s="24">
        <f t="shared" si="71"/>
        <v>44.737740357264741</v>
      </c>
    </row>
    <row r="245" spans="1:9" x14ac:dyDescent="0.25">
      <c r="A245" s="10">
        <f t="shared" si="7"/>
        <v>40549</v>
      </c>
      <c r="B245">
        <v>271.10000000000002</v>
      </c>
      <c r="C245">
        <v>230.8</v>
      </c>
      <c r="D245">
        <v>1002</v>
      </c>
      <c r="E245">
        <v>652.20000000000005</v>
      </c>
      <c r="F245" s="19">
        <f t="shared" si="70"/>
        <v>1273.0999999999999</v>
      </c>
      <c r="G245" s="19">
        <f t="shared" si="69"/>
        <v>883</v>
      </c>
      <c r="H245" s="24">
        <f t="shared" si="71"/>
        <v>44.178935447338617</v>
      </c>
    </row>
    <row r="246" spans="1:9" x14ac:dyDescent="0.25">
      <c r="A246" s="10">
        <f t="shared" si="7"/>
        <v>40556</v>
      </c>
      <c r="B246">
        <v>296.10000000000002</v>
      </c>
      <c r="C246">
        <v>226.6</v>
      </c>
      <c r="D246">
        <v>1027.0999999999999</v>
      </c>
      <c r="E246">
        <v>676.9</v>
      </c>
      <c r="F246" s="19">
        <f t="shared" si="70"/>
        <v>1323.1999999999998</v>
      </c>
      <c r="G246" s="19">
        <f t="shared" si="69"/>
        <v>903.5</v>
      </c>
      <c r="H246" s="24">
        <f t="shared" si="71"/>
        <v>46.452684006640823</v>
      </c>
    </row>
    <row r="247" spans="1:9" x14ac:dyDescent="0.25">
      <c r="A247" s="10">
        <f t="shared" si="7"/>
        <v>40563</v>
      </c>
      <c r="B247">
        <v>303.5</v>
      </c>
      <c r="C247">
        <v>279.2</v>
      </c>
      <c r="D247">
        <v>1059.8</v>
      </c>
      <c r="E247">
        <v>699.9</v>
      </c>
      <c r="F247" s="19">
        <f t="shared" si="70"/>
        <v>1363.3</v>
      </c>
      <c r="G247" s="19">
        <f t="shared" si="69"/>
        <v>979.09999999999991</v>
      </c>
      <c r="H247" s="24">
        <f t="shared" si="71"/>
        <v>39.240118476151586</v>
      </c>
    </row>
    <row r="248" spans="1:9" x14ac:dyDescent="0.25">
      <c r="A248" s="10">
        <f t="shared" si="7"/>
        <v>40570</v>
      </c>
      <c r="B248">
        <v>302.7</v>
      </c>
      <c r="C248">
        <v>280.10000000000002</v>
      </c>
      <c r="D248">
        <v>1060.5999999999999</v>
      </c>
      <c r="E248">
        <v>700.3</v>
      </c>
      <c r="F248" s="19">
        <f t="shared" si="70"/>
        <v>1363.3</v>
      </c>
      <c r="G248" s="19">
        <f t="shared" si="69"/>
        <v>980.4</v>
      </c>
      <c r="H248" s="24">
        <f t="shared" si="71"/>
        <v>39.055487556099557</v>
      </c>
    </row>
    <row r="249" spans="1:9" x14ac:dyDescent="0.25">
      <c r="A249" s="10">
        <f t="shared" si="7"/>
        <v>40577</v>
      </c>
      <c r="B249">
        <v>288.2</v>
      </c>
      <c r="C249">
        <v>284</v>
      </c>
      <c r="D249">
        <v>1085.5</v>
      </c>
      <c r="E249">
        <v>725.7</v>
      </c>
      <c r="F249" s="19">
        <f t="shared" si="70"/>
        <v>1373.7</v>
      </c>
      <c r="G249" s="19">
        <f t="shared" si="69"/>
        <v>1009.7</v>
      </c>
      <c r="H249" s="24">
        <f t="shared" si="71"/>
        <v>36.050311973853624</v>
      </c>
    </row>
    <row r="250" spans="1:9" x14ac:dyDescent="0.25">
      <c r="A250" s="10">
        <f t="shared" si="7"/>
        <v>40584</v>
      </c>
      <c r="B250">
        <v>290</v>
      </c>
      <c r="C250">
        <v>291.39999999999998</v>
      </c>
      <c r="D250">
        <v>1134.5999999999999</v>
      </c>
      <c r="E250">
        <v>750.4</v>
      </c>
      <c r="F250" s="19">
        <f t="shared" si="70"/>
        <v>1424.6</v>
      </c>
      <c r="G250" s="19">
        <f t="shared" si="69"/>
        <v>1041.8</v>
      </c>
      <c r="H250" s="24">
        <f t="shared" si="71"/>
        <v>36.744096755615274</v>
      </c>
    </row>
    <row r="251" spans="1:9" x14ac:dyDescent="0.25">
      <c r="A251" s="10">
        <f t="shared" si="7"/>
        <v>40591</v>
      </c>
      <c r="B251">
        <v>369.7</v>
      </c>
      <c r="C251">
        <v>290.8</v>
      </c>
      <c r="D251">
        <v>1134.5999999999999</v>
      </c>
      <c r="E251">
        <v>750.9</v>
      </c>
      <c r="F251" s="19">
        <f t="shared" si="70"/>
        <v>1504.3</v>
      </c>
      <c r="G251" s="19">
        <f t="shared" si="69"/>
        <v>1041.7</v>
      </c>
      <c r="H251" s="24">
        <f t="shared" si="71"/>
        <v>44.408178938273956</v>
      </c>
    </row>
    <row r="252" spans="1:9" x14ac:dyDescent="0.25">
      <c r="A252" s="10">
        <f t="shared" si="7"/>
        <v>40598</v>
      </c>
      <c r="B252">
        <v>400.5</v>
      </c>
      <c r="C252">
        <v>290.7</v>
      </c>
      <c r="D252">
        <v>1134.5999999999999</v>
      </c>
      <c r="E252">
        <v>751.5</v>
      </c>
      <c r="F252" s="19">
        <f t="shared" si="70"/>
        <v>1535.1</v>
      </c>
      <c r="G252" s="19">
        <f t="shared" si="69"/>
        <v>1042.2</v>
      </c>
      <c r="H252" s="24">
        <f t="shared" si="71"/>
        <v>47.294185377086919</v>
      </c>
    </row>
    <row r="253" spans="1:9" x14ac:dyDescent="0.25">
      <c r="A253" s="10">
        <f t="shared" si="7"/>
        <v>40605</v>
      </c>
      <c r="B253">
        <v>400.3</v>
      </c>
      <c r="C253">
        <v>219.8</v>
      </c>
      <c r="D253">
        <v>1134.7</v>
      </c>
      <c r="E253">
        <v>824.8</v>
      </c>
      <c r="F253" s="19">
        <f t="shared" si="70"/>
        <v>1535</v>
      </c>
      <c r="G253" s="19">
        <f t="shared" si="69"/>
        <v>1044.5999999999999</v>
      </c>
      <c r="H253" s="24">
        <f t="shared" si="71"/>
        <v>46.9461995022018</v>
      </c>
    </row>
    <row r="254" spans="1:9" x14ac:dyDescent="0.25">
      <c r="A254" s="10">
        <f t="shared" si="7"/>
        <v>40612</v>
      </c>
      <c r="B254">
        <v>373.1</v>
      </c>
      <c r="C254">
        <v>220.9</v>
      </c>
      <c r="D254">
        <v>1163.5</v>
      </c>
      <c r="E254">
        <v>825.1</v>
      </c>
      <c r="F254" s="19">
        <f t="shared" si="70"/>
        <v>1536.6</v>
      </c>
      <c r="G254" s="19">
        <f t="shared" ref="G254:G265" si="72">+C254+E254</f>
        <v>1046</v>
      </c>
      <c r="H254" s="24">
        <f t="shared" si="71"/>
        <v>46.902485659655824</v>
      </c>
    </row>
    <row r="255" spans="1:9" x14ac:dyDescent="0.25">
      <c r="A255" s="10">
        <f t="shared" si="7"/>
        <v>40619</v>
      </c>
      <c r="B255">
        <v>426.3</v>
      </c>
      <c r="C255">
        <v>269.60000000000002</v>
      </c>
      <c r="D255">
        <v>1188.9000000000001</v>
      </c>
      <c r="E255">
        <v>825.8</v>
      </c>
      <c r="F255" s="19">
        <f t="shared" ref="F255:F265" si="73">+B255+D255</f>
        <v>1615.2</v>
      </c>
      <c r="G255" s="19">
        <f t="shared" si="72"/>
        <v>1095.4000000000001</v>
      </c>
      <c r="H255" s="24">
        <f t="shared" si="71"/>
        <v>47.452985210881863</v>
      </c>
      <c r="I255">
        <v>23</v>
      </c>
    </row>
    <row r="256" spans="1:9" x14ac:dyDescent="0.25">
      <c r="A256" s="10">
        <f t="shared" si="7"/>
        <v>40626</v>
      </c>
      <c r="B256">
        <v>425.9</v>
      </c>
      <c r="C256">
        <v>323.8</v>
      </c>
      <c r="D256">
        <v>1190.2</v>
      </c>
      <c r="E256">
        <v>826.8</v>
      </c>
      <c r="F256" s="19">
        <f t="shared" si="73"/>
        <v>1616.1</v>
      </c>
      <c r="G256" s="19">
        <f t="shared" si="72"/>
        <v>1150.5999999999999</v>
      </c>
      <c r="H256" s="24">
        <f t="shared" ref="H256:H265" si="74">+(F256/G256-1)*100</f>
        <v>40.457152789848784</v>
      </c>
      <c r="I256">
        <v>23</v>
      </c>
    </row>
    <row r="257" spans="1:9" x14ac:dyDescent="0.25">
      <c r="A257" s="10">
        <f t="shared" si="7"/>
        <v>40633</v>
      </c>
      <c r="B257">
        <v>406.5</v>
      </c>
      <c r="C257">
        <v>316.60000000000002</v>
      </c>
      <c r="D257">
        <v>1216</v>
      </c>
      <c r="E257">
        <v>852.3</v>
      </c>
      <c r="F257" s="19">
        <f t="shared" si="73"/>
        <v>1622.5</v>
      </c>
      <c r="G257" s="19">
        <f t="shared" si="72"/>
        <v>1168.9000000000001</v>
      </c>
      <c r="H257" s="24">
        <f t="shared" si="74"/>
        <v>38.805714774574376</v>
      </c>
      <c r="I257">
        <v>47</v>
      </c>
    </row>
    <row r="258" spans="1:9" x14ac:dyDescent="0.25">
      <c r="A258" s="10">
        <f t="shared" si="7"/>
        <v>40640</v>
      </c>
      <c r="B258">
        <v>363.1</v>
      </c>
      <c r="C258">
        <v>297.39999999999998</v>
      </c>
      <c r="D258">
        <v>1263.3</v>
      </c>
      <c r="E258">
        <v>873.5</v>
      </c>
      <c r="F258" s="19">
        <f t="shared" si="73"/>
        <v>1626.4</v>
      </c>
      <c r="G258" s="19">
        <f t="shared" si="72"/>
        <v>1170.9000000000001</v>
      </c>
      <c r="H258" s="24">
        <f t="shared" si="74"/>
        <v>38.901699547356742</v>
      </c>
      <c r="I258">
        <v>47</v>
      </c>
    </row>
    <row r="259" spans="1:9" x14ac:dyDescent="0.25">
      <c r="A259" s="10">
        <f t="shared" si="7"/>
        <v>40647</v>
      </c>
      <c r="B259">
        <v>350.5</v>
      </c>
      <c r="C259">
        <v>248.3</v>
      </c>
      <c r="D259">
        <v>1294.4000000000001</v>
      </c>
      <c r="E259">
        <v>927.2</v>
      </c>
      <c r="F259" s="19">
        <f t="shared" si="73"/>
        <v>1644.9</v>
      </c>
      <c r="G259" s="19">
        <f t="shared" si="72"/>
        <v>1175.5</v>
      </c>
      <c r="H259" s="24">
        <f t="shared" si="74"/>
        <v>39.931943853679286</v>
      </c>
      <c r="I259">
        <v>47</v>
      </c>
    </row>
    <row r="260" spans="1:9" x14ac:dyDescent="0.25">
      <c r="A260" s="10">
        <f t="shared" si="7"/>
        <v>40654</v>
      </c>
      <c r="B260">
        <v>322.39999999999998</v>
      </c>
      <c r="C260">
        <v>253.4</v>
      </c>
      <c r="D260">
        <v>1324.7</v>
      </c>
      <c r="E260">
        <v>947.2</v>
      </c>
      <c r="F260" s="19">
        <f t="shared" si="73"/>
        <v>1647.1</v>
      </c>
      <c r="G260" s="19">
        <f t="shared" si="72"/>
        <v>1200.6000000000001</v>
      </c>
      <c r="H260" s="24">
        <f t="shared" si="74"/>
        <v>37.189738464101254</v>
      </c>
      <c r="I260">
        <v>47</v>
      </c>
    </row>
    <row r="261" spans="1:9" x14ac:dyDescent="0.25">
      <c r="A261" s="10">
        <f t="shared" si="7"/>
        <v>40661</v>
      </c>
      <c r="B261">
        <v>274.7</v>
      </c>
      <c r="C261">
        <v>245.8</v>
      </c>
      <c r="D261">
        <v>1378.8</v>
      </c>
      <c r="E261">
        <v>956.4</v>
      </c>
      <c r="F261" s="19">
        <f t="shared" si="73"/>
        <v>1653.5</v>
      </c>
      <c r="G261" s="19">
        <f t="shared" si="72"/>
        <v>1202.2</v>
      </c>
      <c r="H261" s="24">
        <f t="shared" si="74"/>
        <v>37.539510896689386</v>
      </c>
      <c r="I261">
        <v>47</v>
      </c>
    </row>
    <row r="262" spans="1:9" x14ac:dyDescent="0.25">
      <c r="A262" s="10">
        <f t="shared" si="7"/>
        <v>40668</v>
      </c>
      <c r="B262">
        <v>210.1</v>
      </c>
      <c r="C262">
        <v>246.4</v>
      </c>
      <c r="D262">
        <v>1448.1</v>
      </c>
      <c r="E262">
        <v>956.5</v>
      </c>
      <c r="F262" s="19">
        <f t="shared" si="73"/>
        <v>1658.1999999999998</v>
      </c>
      <c r="G262" s="19">
        <f t="shared" si="72"/>
        <v>1202.9000000000001</v>
      </c>
      <c r="H262" s="24">
        <f t="shared" si="74"/>
        <v>37.850195361210396</v>
      </c>
      <c r="I262">
        <v>73.900000000000006</v>
      </c>
    </row>
    <row r="263" spans="1:9" x14ac:dyDescent="0.25">
      <c r="A263" s="10">
        <f t="shared" si="7"/>
        <v>40675</v>
      </c>
      <c r="B263">
        <v>167.7</v>
      </c>
      <c r="C263">
        <v>221.6</v>
      </c>
      <c r="D263">
        <v>1491.6</v>
      </c>
      <c r="E263">
        <v>982.5</v>
      </c>
      <c r="F263" s="19">
        <f t="shared" si="73"/>
        <v>1659.3</v>
      </c>
      <c r="G263" s="19">
        <f t="shared" si="72"/>
        <v>1204.0999999999999</v>
      </c>
      <c r="H263" s="24">
        <f t="shared" si="74"/>
        <v>37.804169088946104</v>
      </c>
      <c r="I263">
        <v>73.900000000000006</v>
      </c>
    </row>
    <row r="264" spans="1:9" x14ac:dyDescent="0.25">
      <c r="A264" s="10">
        <f t="shared" si="7"/>
        <v>40682</v>
      </c>
      <c r="B264">
        <v>51.8</v>
      </c>
      <c r="C264">
        <v>123</v>
      </c>
      <c r="D264">
        <v>1614.3</v>
      </c>
      <c r="E264">
        <v>1085.8</v>
      </c>
      <c r="F264" s="19">
        <f t="shared" si="73"/>
        <v>1666.1</v>
      </c>
      <c r="G264" s="19">
        <f t="shared" si="72"/>
        <v>1208.8</v>
      </c>
      <c r="H264" s="24">
        <f t="shared" si="74"/>
        <v>37.830906684315011</v>
      </c>
      <c r="I264">
        <v>73.900000000000006</v>
      </c>
    </row>
    <row r="265" spans="1:9" x14ac:dyDescent="0.25">
      <c r="A265" s="10">
        <f t="shared" si="7"/>
        <v>40689</v>
      </c>
      <c r="B265">
        <v>52.9</v>
      </c>
      <c r="C265">
        <v>115.8</v>
      </c>
      <c r="D265">
        <v>1640.1</v>
      </c>
      <c r="E265">
        <v>1093.5</v>
      </c>
      <c r="F265" s="19">
        <f t="shared" si="73"/>
        <v>1693</v>
      </c>
      <c r="G265" s="19">
        <f t="shared" si="72"/>
        <v>1209.3</v>
      </c>
      <c r="H265" s="24">
        <f t="shared" si="74"/>
        <v>39.998346150665689</v>
      </c>
      <c r="I265">
        <v>101.4</v>
      </c>
    </row>
    <row r="266" spans="1:9" x14ac:dyDescent="0.25">
      <c r="A266" s="10">
        <f t="shared" si="7"/>
        <v>40696</v>
      </c>
      <c r="B266">
        <v>154.69999999999999</v>
      </c>
      <c r="C266">
        <v>325</v>
      </c>
      <c r="D266">
        <v>0</v>
      </c>
      <c r="E266">
        <v>0.4</v>
      </c>
      <c r="F266" s="19">
        <f t="shared" ref="F266:F274" si="75">+B266+D266</f>
        <v>154.69999999999999</v>
      </c>
      <c r="G266" s="19">
        <f t="shared" ref="G266:G274" si="76">+C266+E266</f>
        <v>325.39999999999998</v>
      </c>
      <c r="H266" s="24">
        <f t="shared" ref="H266:H274" si="77">+(F266/G266-1)*100</f>
        <v>-52.458512599877075</v>
      </c>
    </row>
    <row r="267" spans="1:9" x14ac:dyDescent="0.25">
      <c r="A267" s="10">
        <v>40703</v>
      </c>
      <c r="B267">
        <v>154.69999999999999</v>
      </c>
      <c r="C267">
        <v>359.6</v>
      </c>
      <c r="D267">
        <v>0</v>
      </c>
      <c r="E267">
        <v>51.6</v>
      </c>
      <c r="F267" s="19">
        <f t="shared" si="75"/>
        <v>154.69999999999999</v>
      </c>
      <c r="G267" s="19">
        <f t="shared" si="76"/>
        <v>411.20000000000005</v>
      </c>
      <c r="H267" s="24">
        <f t="shared" si="77"/>
        <v>-62.378404669260703</v>
      </c>
    </row>
    <row r="268" spans="1:9" x14ac:dyDescent="0.25">
      <c r="A268" s="10">
        <f t="shared" si="7"/>
        <v>40710</v>
      </c>
      <c r="B268">
        <v>227.3</v>
      </c>
      <c r="C268">
        <v>336</v>
      </c>
      <c r="D268">
        <v>0</v>
      </c>
      <c r="E268">
        <v>74.5</v>
      </c>
      <c r="F268" s="19">
        <f t="shared" si="75"/>
        <v>227.3</v>
      </c>
      <c r="G268" s="19">
        <f t="shared" si="76"/>
        <v>410.5</v>
      </c>
      <c r="H268" s="24">
        <f t="shared" si="77"/>
        <v>-44.628501827040189</v>
      </c>
    </row>
    <row r="269" spans="1:9" x14ac:dyDescent="0.25">
      <c r="A269" s="10">
        <f t="shared" si="7"/>
        <v>40717</v>
      </c>
      <c r="B269">
        <v>178</v>
      </c>
      <c r="C269">
        <v>336.2</v>
      </c>
      <c r="D269">
        <v>52.9</v>
      </c>
      <c r="E269">
        <v>99.9</v>
      </c>
      <c r="F269" s="19">
        <f t="shared" si="75"/>
        <v>230.9</v>
      </c>
      <c r="G269" s="19">
        <f t="shared" si="76"/>
        <v>436.1</v>
      </c>
      <c r="H269" s="24">
        <f t="shared" si="77"/>
        <v>-47.05342811281816</v>
      </c>
    </row>
    <row r="270" spans="1:9" x14ac:dyDescent="0.25">
      <c r="A270" s="10">
        <f t="shared" ref="A270:A333" si="78">+A269+7</f>
        <v>40724</v>
      </c>
      <c r="B270">
        <v>201.3</v>
      </c>
      <c r="C270">
        <v>244.9</v>
      </c>
      <c r="D270">
        <v>53.1</v>
      </c>
      <c r="E270">
        <v>212.5</v>
      </c>
      <c r="F270" s="19">
        <f t="shared" si="75"/>
        <v>254.4</v>
      </c>
      <c r="G270" s="19">
        <f t="shared" si="76"/>
        <v>457.4</v>
      </c>
      <c r="H270" s="24">
        <f t="shared" si="77"/>
        <v>-44.381285526891126</v>
      </c>
    </row>
    <row r="271" spans="1:9" x14ac:dyDescent="0.25">
      <c r="A271" s="10">
        <f t="shared" si="78"/>
        <v>40731</v>
      </c>
      <c r="B271">
        <v>214.8</v>
      </c>
      <c r="C271">
        <v>271</v>
      </c>
      <c r="D271">
        <v>78.400000000000006</v>
      </c>
      <c r="E271">
        <v>212.5</v>
      </c>
      <c r="F271" s="19">
        <f t="shared" si="75"/>
        <v>293.20000000000005</v>
      </c>
      <c r="G271" s="19">
        <f t="shared" si="76"/>
        <v>483.5</v>
      </c>
      <c r="H271" s="24">
        <f t="shared" si="77"/>
        <v>-39.358841778696998</v>
      </c>
    </row>
    <row r="272" spans="1:9" x14ac:dyDescent="0.25">
      <c r="A272" s="10">
        <f t="shared" si="78"/>
        <v>40738</v>
      </c>
      <c r="B272">
        <v>281.2</v>
      </c>
      <c r="C272">
        <v>217.6</v>
      </c>
      <c r="D272">
        <v>103.7</v>
      </c>
      <c r="E272">
        <v>271.39999999999998</v>
      </c>
      <c r="F272" s="19">
        <f t="shared" si="75"/>
        <v>384.9</v>
      </c>
      <c r="G272" s="19">
        <f t="shared" si="76"/>
        <v>489</v>
      </c>
      <c r="H272" s="24">
        <f t="shared" si="77"/>
        <v>-21.288343558282207</v>
      </c>
    </row>
    <row r="273" spans="1:10" x14ac:dyDescent="0.25">
      <c r="A273" s="10">
        <f t="shared" si="78"/>
        <v>40745</v>
      </c>
      <c r="B273">
        <v>256.7</v>
      </c>
      <c r="C273">
        <v>217.3</v>
      </c>
      <c r="D273">
        <v>129.5</v>
      </c>
      <c r="E273">
        <v>271.7</v>
      </c>
      <c r="F273" s="19">
        <f t="shared" si="75"/>
        <v>386.2</v>
      </c>
      <c r="G273" s="19">
        <f t="shared" si="76"/>
        <v>489</v>
      </c>
      <c r="H273" s="24">
        <f t="shared" si="77"/>
        <v>-21.022494887525568</v>
      </c>
    </row>
    <row r="274" spans="1:10" x14ac:dyDescent="0.25">
      <c r="A274" s="10">
        <f t="shared" si="78"/>
        <v>40752</v>
      </c>
      <c r="B274">
        <v>256.7</v>
      </c>
      <c r="C274">
        <v>272.3</v>
      </c>
      <c r="D274">
        <v>129.6</v>
      </c>
      <c r="E274">
        <v>298.60000000000002</v>
      </c>
      <c r="F274" s="19">
        <f t="shared" si="75"/>
        <v>386.29999999999995</v>
      </c>
      <c r="G274" s="19">
        <f t="shared" si="76"/>
        <v>570.90000000000009</v>
      </c>
      <c r="H274" s="24">
        <f t="shared" si="77"/>
        <v>-32.334909791557209</v>
      </c>
    </row>
    <row r="275" spans="1:10" x14ac:dyDescent="0.25">
      <c r="A275" s="10">
        <f t="shared" si="78"/>
        <v>40759</v>
      </c>
      <c r="B275">
        <v>280</v>
      </c>
      <c r="C275">
        <v>322.2</v>
      </c>
      <c r="D275">
        <v>129.80000000000001</v>
      </c>
      <c r="E275">
        <v>298.7</v>
      </c>
      <c r="F275" s="19">
        <f>+B275+D275</f>
        <v>409.8</v>
      </c>
      <c r="G275" s="19">
        <f>+C275+E275</f>
        <v>620.9</v>
      </c>
      <c r="H275" s="24">
        <f>+(F275/G275-1)*100</f>
        <v>-33.999033660814938</v>
      </c>
    </row>
    <row r="276" spans="1:10" x14ac:dyDescent="0.25">
      <c r="A276" s="10">
        <f t="shared" si="78"/>
        <v>40766</v>
      </c>
      <c r="B276">
        <v>297.8</v>
      </c>
      <c r="C276">
        <v>319.3</v>
      </c>
      <c r="D276">
        <v>156.30000000000001</v>
      </c>
      <c r="E276">
        <v>327.10000000000002</v>
      </c>
      <c r="F276" s="19">
        <f t="shared" ref="F276:F333" si="79">+B276+D276</f>
        <v>454.1</v>
      </c>
      <c r="G276" s="19">
        <f t="shared" ref="G276:G333" si="80">+C276+E276</f>
        <v>646.40000000000009</v>
      </c>
      <c r="H276" s="24">
        <f t="shared" ref="H276:H333" si="81">+(F276/G276-1)*100</f>
        <v>-29.749381188118818</v>
      </c>
    </row>
    <row r="277" spans="1:10" x14ac:dyDescent="0.25">
      <c r="A277" s="10">
        <f t="shared" si="78"/>
        <v>40773</v>
      </c>
      <c r="B277">
        <v>297.60000000000002</v>
      </c>
      <c r="C277">
        <v>357.2</v>
      </c>
      <c r="D277">
        <v>156.4</v>
      </c>
      <c r="E277">
        <v>370.5</v>
      </c>
      <c r="F277" s="19">
        <f t="shared" si="79"/>
        <v>454</v>
      </c>
      <c r="G277" s="19">
        <f t="shared" si="80"/>
        <v>727.7</v>
      </c>
      <c r="H277" s="24">
        <f t="shared" si="81"/>
        <v>-37.61165315377216</v>
      </c>
    </row>
    <row r="278" spans="1:10" x14ac:dyDescent="0.25">
      <c r="A278" s="10">
        <f t="shared" si="78"/>
        <v>40780</v>
      </c>
      <c r="B278">
        <v>340.1</v>
      </c>
      <c r="C278">
        <v>381.2</v>
      </c>
      <c r="D278">
        <v>156.4</v>
      </c>
      <c r="E278">
        <v>370.5</v>
      </c>
      <c r="F278" s="19">
        <f t="shared" si="79"/>
        <v>496.5</v>
      </c>
      <c r="G278" s="19">
        <f t="shared" si="80"/>
        <v>751.7</v>
      </c>
      <c r="H278" s="24">
        <f t="shared" si="81"/>
        <v>-33.949713981641615</v>
      </c>
    </row>
    <row r="279" spans="1:10" x14ac:dyDescent="0.25">
      <c r="A279" s="10">
        <f t="shared" si="78"/>
        <v>40787</v>
      </c>
      <c r="B279">
        <v>318.39999999999998</v>
      </c>
      <c r="C279">
        <v>425.2</v>
      </c>
      <c r="D279">
        <v>179.6</v>
      </c>
      <c r="E279">
        <v>449.2</v>
      </c>
      <c r="F279" s="19">
        <f t="shared" si="79"/>
        <v>498</v>
      </c>
      <c r="G279" s="19">
        <f t="shared" si="80"/>
        <v>874.4</v>
      </c>
      <c r="H279" s="24">
        <f t="shared" si="81"/>
        <v>-43.046660567246107</v>
      </c>
    </row>
    <row r="280" spans="1:10" x14ac:dyDescent="0.25">
      <c r="A280" s="10">
        <f t="shared" si="78"/>
        <v>40794</v>
      </c>
      <c r="B280">
        <v>368.5</v>
      </c>
      <c r="C280">
        <v>482.6</v>
      </c>
      <c r="D280">
        <v>179.6</v>
      </c>
      <c r="E280">
        <v>449.2</v>
      </c>
      <c r="F280" s="19">
        <f t="shared" si="79"/>
        <v>548.1</v>
      </c>
      <c r="G280" s="19">
        <f t="shared" si="80"/>
        <v>931.8</v>
      </c>
      <c r="H280" s="24">
        <f t="shared" si="81"/>
        <v>-41.178364455891817</v>
      </c>
    </row>
    <row r="281" spans="1:10" x14ac:dyDescent="0.25">
      <c r="A281" s="10">
        <f t="shared" si="78"/>
        <v>40801</v>
      </c>
      <c r="B281">
        <v>348.2</v>
      </c>
      <c r="C281">
        <v>437.6</v>
      </c>
      <c r="D281">
        <v>227.3</v>
      </c>
      <c r="E281">
        <v>558.4</v>
      </c>
      <c r="F281" s="19">
        <f t="shared" si="79"/>
        <v>575.5</v>
      </c>
      <c r="G281" s="19">
        <f t="shared" si="80"/>
        <v>996</v>
      </c>
      <c r="H281" s="24">
        <f t="shared" si="81"/>
        <v>-42.218875502008032</v>
      </c>
    </row>
    <row r="282" spans="1:10" x14ac:dyDescent="0.25">
      <c r="A282" s="10">
        <f t="shared" si="78"/>
        <v>40808</v>
      </c>
      <c r="B282">
        <v>296.7</v>
      </c>
      <c r="C282">
        <v>422</v>
      </c>
      <c r="D282">
        <v>284.3</v>
      </c>
      <c r="E282">
        <v>578.9</v>
      </c>
      <c r="F282" s="19">
        <f t="shared" si="79"/>
        <v>581</v>
      </c>
      <c r="G282" s="19">
        <f t="shared" si="80"/>
        <v>1000.9</v>
      </c>
      <c r="H282" s="24">
        <f t="shared" si="81"/>
        <v>-41.952242981316815</v>
      </c>
      <c r="I282" s="80"/>
      <c r="J282" s="80"/>
    </row>
    <row r="283" spans="1:10" x14ac:dyDescent="0.25">
      <c r="A283" s="10">
        <f t="shared" si="78"/>
        <v>40815</v>
      </c>
      <c r="B283">
        <v>330.9</v>
      </c>
      <c r="C283">
        <v>340.3</v>
      </c>
      <c r="D283">
        <v>297.5</v>
      </c>
      <c r="E283">
        <v>667.9</v>
      </c>
      <c r="F283" s="19">
        <f t="shared" si="79"/>
        <v>628.4</v>
      </c>
      <c r="G283" s="19">
        <f t="shared" si="80"/>
        <v>1008.2</v>
      </c>
      <c r="H283" s="24">
        <f t="shared" si="81"/>
        <v>-37.67109700456259</v>
      </c>
    </row>
    <row r="284" spans="1:10" x14ac:dyDescent="0.25">
      <c r="A284" s="10">
        <f t="shared" si="78"/>
        <v>40822</v>
      </c>
      <c r="B284">
        <v>283.3</v>
      </c>
      <c r="C284">
        <v>318.7</v>
      </c>
      <c r="D284">
        <v>349</v>
      </c>
      <c r="E284">
        <v>695.8</v>
      </c>
      <c r="F284" s="19">
        <f>+B284+D284</f>
        <v>632.29999999999995</v>
      </c>
      <c r="G284" s="19">
        <f t="shared" si="80"/>
        <v>1014.5</v>
      </c>
      <c r="H284" s="24">
        <f t="shared" si="81"/>
        <v>-37.673730901922134</v>
      </c>
    </row>
    <row r="285" spans="1:10" x14ac:dyDescent="0.25">
      <c r="A285" s="10">
        <f t="shared" si="78"/>
        <v>40829</v>
      </c>
      <c r="B285">
        <v>283.3</v>
      </c>
      <c r="C285">
        <v>291.7</v>
      </c>
      <c r="D285">
        <v>349</v>
      </c>
      <c r="E285">
        <v>720.9</v>
      </c>
      <c r="F285" s="19">
        <f t="shared" si="79"/>
        <v>632.29999999999995</v>
      </c>
      <c r="G285" s="19">
        <f t="shared" si="80"/>
        <v>1012.5999999999999</v>
      </c>
      <c r="H285" s="24">
        <f t="shared" si="81"/>
        <v>-37.556784515109619</v>
      </c>
    </row>
    <row r="286" spans="1:10" x14ac:dyDescent="0.25">
      <c r="A286" s="10">
        <f t="shared" si="78"/>
        <v>40836</v>
      </c>
      <c r="B286">
        <v>277.5</v>
      </c>
      <c r="C286">
        <v>347.5</v>
      </c>
      <c r="D286">
        <v>378.7</v>
      </c>
      <c r="E286">
        <v>742.9</v>
      </c>
      <c r="F286" s="19">
        <f t="shared" si="79"/>
        <v>656.2</v>
      </c>
      <c r="G286" s="19">
        <f t="shared" si="80"/>
        <v>1090.4000000000001</v>
      </c>
      <c r="H286" s="24">
        <f t="shared" si="81"/>
        <v>-39.820249449743216</v>
      </c>
    </row>
    <row r="287" spans="1:10" x14ac:dyDescent="0.25">
      <c r="A287" s="10">
        <f t="shared" si="78"/>
        <v>40843</v>
      </c>
      <c r="B287">
        <v>298.3</v>
      </c>
      <c r="C287">
        <v>321.8</v>
      </c>
      <c r="D287">
        <v>378.9</v>
      </c>
      <c r="E287">
        <v>768.2</v>
      </c>
      <c r="F287" s="19">
        <f t="shared" si="79"/>
        <v>677.2</v>
      </c>
      <c r="G287" s="19">
        <f t="shared" si="80"/>
        <v>1090</v>
      </c>
      <c r="H287" s="24">
        <f t="shared" si="81"/>
        <v>-37.871559633027516</v>
      </c>
    </row>
    <row r="288" spans="1:10" x14ac:dyDescent="0.25">
      <c r="A288" s="10">
        <f t="shared" si="78"/>
        <v>40850</v>
      </c>
      <c r="B288">
        <v>333.2</v>
      </c>
      <c r="C288">
        <v>295.3</v>
      </c>
      <c r="D288" s="17">
        <v>429</v>
      </c>
      <c r="E288">
        <v>795.9</v>
      </c>
      <c r="F288" s="19">
        <f t="shared" si="79"/>
        <v>762.2</v>
      </c>
      <c r="G288" s="19">
        <f t="shared" si="80"/>
        <v>1091.2</v>
      </c>
      <c r="H288" s="24">
        <f t="shared" si="81"/>
        <v>-30.150293255131967</v>
      </c>
    </row>
    <row r="289" spans="1:8" x14ac:dyDescent="0.25">
      <c r="A289" s="10">
        <f t="shared" si="78"/>
        <v>40857</v>
      </c>
      <c r="B289">
        <v>311.7</v>
      </c>
      <c r="C289">
        <v>267.7</v>
      </c>
      <c r="D289">
        <v>450.9</v>
      </c>
      <c r="E289">
        <v>825.8</v>
      </c>
      <c r="F289" s="19">
        <f t="shared" si="79"/>
        <v>762.59999999999991</v>
      </c>
      <c r="G289" s="19">
        <f t="shared" si="80"/>
        <v>1093.5</v>
      </c>
      <c r="H289" s="24">
        <f t="shared" si="81"/>
        <v>-30.260631001371753</v>
      </c>
    </row>
    <row r="290" spans="1:8" x14ac:dyDescent="0.25">
      <c r="A290" s="10">
        <f t="shared" si="78"/>
        <v>40864</v>
      </c>
      <c r="B290">
        <v>500</v>
      </c>
      <c r="C290">
        <v>336.5</v>
      </c>
      <c r="D290">
        <v>450.9</v>
      </c>
      <c r="E290">
        <v>850.9</v>
      </c>
      <c r="F290" s="19">
        <f t="shared" si="79"/>
        <v>950.9</v>
      </c>
      <c r="G290" s="19">
        <f t="shared" si="80"/>
        <v>1187.4000000000001</v>
      </c>
      <c r="H290" s="24">
        <f t="shared" si="81"/>
        <v>-19.917466734040769</v>
      </c>
    </row>
    <row r="291" spans="1:8" x14ac:dyDescent="0.25">
      <c r="A291" s="10">
        <f t="shared" si="78"/>
        <v>40871</v>
      </c>
      <c r="B291">
        <v>576.5</v>
      </c>
      <c r="C291">
        <v>359.5</v>
      </c>
      <c r="D291">
        <v>451.1</v>
      </c>
      <c r="E291">
        <v>850.9</v>
      </c>
      <c r="F291" s="19">
        <f t="shared" si="79"/>
        <v>1027.5999999999999</v>
      </c>
      <c r="G291" s="19">
        <f t="shared" si="80"/>
        <v>1210.4000000000001</v>
      </c>
      <c r="H291" s="24">
        <f t="shared" si="81"/>
        <v>-15.10244547257107</v>
      </c>
    </row>
    <row r="292" spans="1:8" x14ac:dyDescent="0.25">
      <c r="A292" s="10">
        <f t="shared" si="78"/>
        <v>40878</v>
      </c>
      <c r="B292">
        <v>572.5</v>
      </c>
      <c r="C292">
        <v>364.5</v>
      </c>
      <c r="D292">
        <v>455.5</v>
      </c>
      <c r="E292">
        <v>868.8</v>
      </c>
      <c r="F292" s="19">
        <f t="shared" si="79"/>
        <v>1028</v>
      </c>
      <c r="G292" s="19">
        <f t="shared" si="80"/>
        <v>1233.3</v>
      </c>
      <c r="H292" s="24">
        <f t="shared" si="81"/>
        <v>-16.646395848536443</v>
      </c>
    </row>
    <row r="293" spans="1:8" x14ac:dyDescent="0.25">
      <c r="A293" s="10">
        <f t="shared" si="78"/>
        <v>40885</v>
      </c>
      <c r="B293">
        <v>501.9</v>
      </c>
      <c r="C293">
        <v>361.7</v>
      </c>
      <c r="D293">
        <v>530.79999999999995</v>
      </c>
      <c r="E293">
        <v>872.3</v>
      </c>
      <c r="F293" s="19">
        <f t="shared" si="79"/>
        <v>1032.6999999999998</v>
      </c>
      <c r="G293" s="19">
        <f t="shared" si="80"/>
        <v>1234</v>
      </c>
      <c r="H293" s="24">
        <f t="shared" si="81"/>
        <v>-16.312803889789318</v>
      </c>
    </row>
    <row r="294" spans="1:8" x14ac:dyDescent="0.25">
      <c r="A294" s="10">
        <f t="shared" si="78"/>
        <v>40892</v>
      </c>
      <c r="B294">
        <v>418.9</v>
      </c>
      <c r="C294">
        <v>322.8</v>
      </c>
      <c r="D294">
        <v>663.7</v>
      </c>
      <c r="E294">
        <v>940.2</v>
      </c>
      <c r="F294" s="19">
        <f t="shared" si="79"/>
        <v>1082.5999999999999</v>
      </c>
      <c r="G294" s="19">
        <f t="shared" si="80"/>
        <v>1263</v>
      </c>
      <c r="H294" s="24">
        <f t="shared" si="81"/>
        <v>-14.28345209817895</v>
      </c>
    </row>
    <row r="295" spans="1:8" x14ac:dyDescent="0.25">
      <c r="A295" s="10">
        <f t="shared" si="78"/>
        <v>40899</v>
      </c>
      <c r="B295">
        <v>418.9</v>
      </c>
      <c r="C295">
        <v>324.3</v>
      </c>
      <c r="D295">
        <v>663.7</v>
      </c>
      <c r="E295">
        <v>940.2</v>
      </c>
      <c r="F295" s="19">
        <f t="shared" si="79"/>
        <v>1082.5999999999999</v>
      </c>
      <c r="G295" s="19">
        <f t="shared" si="80"/>
        <v>1264.5</v>
      </c>
      <c r="H295" s="24">
        <f t="shared" si="81"/>
        <v>-14.385132463424288</v>
      </c>
    </row>
    <row r="296" spans="1:8" x14ac:dyDescent="0.25">
      <c r="A296" s="10">
        <f t="shared" si="78"/>
        <v>40906</v>
      </c>
      <c r="B296">
        <v>371.4</v>
      </c>
      <c r="C296">
        <v>270.10000000000002</v>
      </c>
      <c r="D296">
        <v>715.4</v>
      </c>
      <c r="E296">
        <v>1002.1</v>
      </c>
      <c r="F296" s="19">
        <f t="shared" si="79"/>
        <v>1086.8</v>
      </c>
      <c r="G296" s="19">
        <f t="shared" si="80"/>
        <v>1272.2</v>
      </c>
      <c r="H296" s="24">
        <f t="shared" si="81"/>
        <v>-14.573180317560141</v>
      </c>
    </row>
    <row r="297" spans="1:8" x14ac:dyDescent="0.25">
      <c r="A297" s="10">
        <f t="shared" si="78"/>
        <v>40913</v>
      </c>
      <c r="B297">
        <v>348.5</v>
      </c>
      <c r="C297">
        <v>271.10000000000002</v>
      </c>
      <c r="D297">
        <v>740.5</v>
      </c>
      <c r="E297">
        <v>1002.1</v>
      </c>
      <c r="F297" s="19">
        <f t="shared" si="79"/>
        <v>1089</v>
      </c>
      <c r="G297" s="19">
        <f t="shared" si="80"/>
        <v>1273.2</v>
      </c>
      <c r="H297" s="24">
        <f t="shared" si="81"/>
        <v>-14.4674835061263</v>
      </c>
    </row>
    <row r="298" spans="1:8" x14ac:dyDescent="0.25">
      <c r="A298" s="10">
        <f t="shared" si="78"/>
        <v>40920</v>
      </c>
      <c r="B298">
        <v>481.8</v>
      </c>
      <c r="C298">
        <v>296.10000000000002</v>
      </c>
      <c r="D298">
        <v>740.6</v>
      </c>
      <c r="E298">
        <v>1027.0999999999999</v>
      </c>
      <c r="F298" s="19">
        <f t="shared" si="79"/>
        <v>1222.4000000000001</v>
      </c>
      <c r="G298" s="19">
        <f t="shared" si="80"/>
        <v>1323.1999999999998</v>
      </c>
      <c r="H298" s="24">
        <f t="shared" si="81"/>
        <v>-7.6178960096734976</v>
      </c>
    </row>
    <row r="299" spans="1:8" x14ac:dyDescent="0.25">
      <c r="A299" s="10">
        <f t="shared" si="78"/>
        <v>40927</v>
      </c>
      <c r="B299">
        <v>595.29999999999995</v>
      </c>
      <c r="C299">
        <v>303.5</v>
      </c>
      <c r="D299">
        <v>823.2</v>
      </c>
      <c r="E299">
        <v>1059.8</v>
      </c>
      <c r="F299" s="19">
        <f t="shared" si="79"/>
        <v>1418.5</v>
      </c>
      <c r="G299" s="19">
        <f t="shared" si="80"/>
        <v>1363.3</v>
      </c>
      <c r="H299" s="24">
        <f t="shared" si="81"/>
        <v>4.0489987530257565</v>
      </c>
    </row>
    <row r="300" spans="1:8" x14ac:dyDescent="0.25">
      <c r="A300" s="10">
        <f t="shared" si="78"/>
        <v>40934</v>
      </c>
      <c r="B300">
        <v>573.79999999999995</v>
      </c>
      <c r="C300">
        <v>302.7</v>
      </c>
      <c r="D300">
        <v>846.8</v>
      </c>
      <c r="E300">
        <v>1060.5999999999999</v>
      </c>
      <c r="F300" s="19">
        <f t="shared" si="79"/>
        <v>1420.6</v>
      </c>
      <c r="G300" s="19">
        <f t="shared" si="80"/>
        <v>1363.3</v>
      </c>
      <c r="H300" s="24">
        <f t="shared" si="81"/>
        <v>4.2030367490647702</v>
      </c>
    </row>
    <row r="301" spans="1:8" x14ac:dyDescent="0.25">
      <c r="A301" s="10">
        <f t="shared" si="78"/>
        <v>40941</v>
      </c>
      <c r="B301">
        <v>550.20000000000005</v>
      </c>
      <c r="C301">
        <v>288.2</v>
      </c>
      <c r="D301">
        <v>871.1</v>
      </c>
      <c r="E301">
        <v>1085.5</v>
      </c>
      <c r="F301" s="19">
        <f t="shared" si="79"/>
        <v>1421.3000000000002</v>
      </c>
      <c r="G301" s="19">
        <f t="shared" si="80"/>
        <v>1373.7</v>
      </c>
      <c r="H301" s="24">
        <f t="shared" si="81"/>
        <v>3.4650942709470778</v>
      </c>
    </row>
    <row r="302" spans="1:8" x14ac:dyDescent="0.25">
      <c r="A302" s="10">
        <f t="shared" si="78"/>
        <v>40948</v>
      </c>
      <c r="B302">
        <v>600.29999999999995</v>
      </c>
      <c r="C302">
        <v>290</v>
      </c>
      <c r="D302">
        <v>901.8</v>
      </c>
      <c r="E302">
        <v>1134.5999999999999</v>
      </c>
      <c r="F302" s="19">
        <f t="shared" si="79"/>
        <v>1502.1</v>
      </c>
      <c r="G302" s="19">
        <f t="shared" si="80"/>
        <v>1424.6</v>
      </c>
      <c r="H302" s="24">
        <f t="shared" si="81"/>
        <v>5.4401235434508033</v>
      </c>
    </row>
    <row r="303" spans="1:8" x14ac:dyDescent="0.25">
      <c r="A303" s="10">
        <f t="shared" si="78"/>
        <v>40955</v>
      </c>
      <c r="B303">
        <v>625.1</v>
      </c>
      <c r="C303">
        <v>369.7</v>
      </c>
      <c r="D303">
        <v>954.2</v>
      </c>
      <c r="E303">
        <v>1134.5999999999999</v>
      </c>
      <c r="F303" s="19">
        <f t="shared" si="79"/>
        <v>1579.3000000000002</v>
      </c>
      <c r="G303" s="19">
        <f t="shared" si="80"/>
        <v>1504.3</v>
      </c>
      <c r="H303" s="24">
        <f t="shared" si="81"/>
        <v>4.9857076381041088</v>
      </c>
    </row>
    <row r="304" spans="1:8" x14ac:dyDescent="0.25">
      <c r="A304" s="10">
        <f t="shared" si="78"/>
        <v>40962</v>
      </c>
      <c r="B304">
        <v>768.6</v>
      </c>
      <c r="C304">
        <v>400.5</v>
      </c>
      <c r="D304">
        <v>977.9</v>
      </c>
      <c r="E304">
        <v>1134.5999999999999</v>
      </c>
      <c r="F304" s="19">
        <f t="shared" si="79"/>
        <v>1746.5</v>
      </c>
      <c r="G304" s="19">
        <f t="shared" si="80"/>
        <v>1535.1</v>
      </c>
      <c r="H304" s="24">
        <f t="shared" si="81"/>
        <v>13.771089831281348</v>
      </c>
    </row>
    <row r="305" spans="1:9" x14ac:dyDescent="0.25">
      <c r="A305" s="10">
        <f t="shared" si="78"/>
        <v>40969</v>
      </c>
      <c r="B305">
        <v>683.1</v>
      </c>
      <c r="C305">
        <v>400.3</v>
      </c>
      <c r="D305">
        <v>1088.3</v>
      </c>
      <c r="E305">
        <v>1134.7</v>
      </c>
      <c r="F305" s="19">
        <f t="shared" si="79"/>
        <v>1771.4</v>
      </c>
      <c r="G305" s="19">
        <f t="shared" si="80"/>
        <v>1535</v>
      </c>
      <c r="H305" s="24">
        <f t="shared" si="81"/>
        <v>15.400651465798054</v>
      </c>
    </row>
    <row r="306" spans="1:9" x14ac:dyDescent="0.25">
      <c r="A306" s="10">
        <f t="shared" si="78"/>
        <v>40976</v>
      </c>
      <c r="B306">
        <v>604.29999999999995</v>
      </c>
      <c r="C306">
        <v>373.1</v>
      </c>
      <c r="D306">
        <v>1168.7</v>
      </c>
      <c r="E306">
        <v>1162.5999999999999</v>
      </c>
      <c r="F306" s="19">
        <f t="shared" si="79"/>
        <v>1773</v>
      </c>
      <c r="G306" s="19">
        <f t="shared" si="80"/>
        <v>1535.6999999999998</v>
      </c>
      <c r="H306" s="24">
        <f t="shared" si="81"/>
        <v>15.452236764993167</v>
      </c>
    </row>
    <row r="307" spans="1:9" x14ac:dyDescent="0.25">
      <c r="A307" s="10">
        <f t="shared" si="78"/>
        <v>40983</v>
      </c>
      <c r="B307">
        <v>618.5</v>
      </c>
      <c r="C307">
        <v>426.3</v>
      </c>
      <c r="D307">
        <v>1227</v>
      </c>
      <c r="E307">
        <v>1188.4000000000001</v>
      </c>
      <c r="F307" s="19">
        <f t="shared" si="79"/>
        <v>1845.5</v>
      </c>
      <c r="G307" s="19">
        <f t="shared" si="80"/>
        <v>1614.7</v>
      </c>
      <c r="H307" s="24">
        <f t="shared" si="81"/>
        <v>14.293676843995783</v>
      </c>
    </row>
    <row r="308" spans="1:9" x14ac:dyDescent="0.25">
      <c r="A308" s="10">
        <f t="shared" si="78"/>
        <v>40990</v>
      </c>
      <c r="B308">
        <v>596.5</v>
      </c>
      <c r="C308">
        <v>425.9</v>
      </c>
      <c r="D308">
        <v>1303.4000000000001</v>
      </c>
      <c r="E308">
        <v>1189.5999999999999</v>
      </c>
      <c r="F308" s="19">
        <f t="shared" si="79"/>
        <v>1899.9</v>
      </c>
      <c r="G308" s="19">
        <f t="shared" si="80"/>
        <v>1615.5</v>
      </c>
      <c r="H308" s="24">
        <f t="shared" si="81"/>
        <v>17.60445682451255</v>
      </c>
    </row>
    <row r="309" spans="1:9" x14ac:dyDescent="0.25">
      <c r="A309" s="10">
        <f t="shared" si="78"/>
        <v>40997</v>
      </c>
      <c r="B309">
        <v>587.29999999999995</v>
      </c>
      <c r="C309">
        <v>406.5</v>
      </c>
      <c r="D309">
        <v>1328.9</v>
      </c>
      <c r="E309">
        <v>1215.4000000000001</v>
      </c>
      <c r="F309" s="19">
        <f t="shared" si="79"/>
        <v>1916.2</v>
      </c>
      <c r="G309" s="19">
        <f t="shared" si="80"/>
        <v>1621.9</v>
      </c>
      <c r="H309" s="24">
        <f t="shared" si="81"/>
        <v>18.14538504223442</v>
      </c>
    </row>
    <row r="310" spans="1:9" x14ac:dyDescent="0.25">
      <c r="A310" s="10">
        <f t="shared" si="78"/>
        <v>41004</v>
      </c>
      <c r="B310">
        <v>485.6</v>
      </c>
      <c r="C310">
        <v>363.1</v>
      </c>
      <c r="D310">
        <v>1432.9</v>
      </c>
      <c r="E310">
        <v>1262.8</v>
      </c>
      <c r="F310" s="19">
        <f t="shared" si="79"/>
        <v>1918.5</v>
      </c>
      <c r="G310" s="19">
        <f t="shared" si="80"/>
        <v>1625.9</v>
      </c>
      <c r="H310" s="24">
        <f t="shared" si="81"/>
        <v>17.996186727350995</v>
      </c>
    </row>
    <row r="311" spans="1:9" x14ac:dyDescent="0.25">
      <c r="A311" s="10">
        <f t="shared" si="78"/>
        <v>41011</v>
      </c>
      <c r="B311">
        <v>374.6</v>
      </c>
      <c r="C311">
        <v>350.5</v>
      </c>
      <c r="D311">
        <v>1547.8</v>
      </c>
      <c r="E311">
        <v>1293.9000000000001</v>
      </c>
      <c r="F311" s="19">
        <f t="shared" si="79"/>
        <v>1922.4</v>
      </c>
      <c r="G311" s="19">
        <f t="shared" si="80"/>
        <v>1644.4</v>
      </c>
      <c r="H311" s="24">
        <f t="shared" si="81"/>
        <v>16.905862320603248</v>
      </c>
    </row>
    <row r="312" spans="1:9" x14ac:dyDescent="0.25">
      <c r="A312" s="10">
        <f t="shared" si="78"/>
        <v>41018</v>
      </c>
      <c r="B312">
        <v>312.60000000000002</v>
      </c>
      <c r="C312">
        <v>322.39999999999998</v>
      </c>
      <c r="D312">
        <v>1610.8</v>
      </c>
      <c r="E312">
        <v>1324.2</v>
      </c>
      <c r="F312" s="19">
        <f t="shared" si="79"/>
        <v>1923.4</v>
      </c>
      <c r="G312" s="19">
        <f t="shared" si="80"/>
        <v>1646.6</v>
      </c>
      <c r="H312" s="24">
        <f t="shared" si="81"/>
        <v>16.810397182072158</v>
      </c>
    </row>
    <row r="313" spans="1:9" x14ac:dyDescent="0.25">
      <c r="A313" s="10">
        <f t="shared" si="78"/>
        <v>41025</v>
      </c>
      <c r="B313">
        <v>290</v>
      </c>
      <c r="C313">
        <v>274.7</v>
      </c>
      <c r="D313">
        <v>1696.4</v>
      </c>
      <c r="E313">
        <v>1378.3</v>
      </c>
      <c r="F313" s="19">
        <f t="shared" si="79"/>
        <v>1986.4</v>
      </c>
      <c r="G313" s="19">
        <f t="shared" si="80"/>
        <v>1653</v>
      </c>
      <c r="H313" s="24">
        <f t="shared" si="81"/>
        <v>20.169388989715674</v>
      </c>
    </row>
    <row r="314" spans="1:9" x14ac:dyDescent="0.25">
      <c r="A314" s="10">
        <f t="shared" si="78"/>
        <v>41032</v>
      </c>
      <c r="B314">
        <v>284</v>
      </c>
      <c r="C314">
        <v>210.1</v>
      </c>
      <c r="D314">
        <v>1708.2</v>
      </c>
      <c r="E314">
        <v>1447.6</v>
      </c>
      <c r="F314" s="19">
        <f t="shared" si="79"/>
        <v>1992.2</v>
      </c>
      <c r="G314" s="19">
        <f t="shared" si="80"/>
        <v>1657.6999999999998</v>
      </c>
      <c r="H314" s="24">
        <f t="shared" si="81"/>
        <v>20.178560656331079</v>
      </c>
      <c r="I314">
        <v>94.3</v>
      </c>
    </row>
    <row r="315" spans="1:9" x14ac:dyDescent="0.25">
      <c r="A315" s="10">
        <f t="shared" si="78"/>
        <v>41039</v>
      </c>
      <c r="B315">
        <v>261.60000000000002</v>
      </c>
      <c r="C315">
        <v>167.7</v>
      </c>
      <c r="D315">
        <v>1818.4</v>
      </c>
      <c r="E315">
        <v>1491.1</v>
      </c>
      <c r="F315" s="19">
        <f t="shared" si="79"/>
        <v>2080</v>
      </c>
      <c r="G315" s="19">
        <f t="shared" si="80"/>
        <v>1658.8</v>
      </c>
      <c r="H315" s="24">
        <f t="shared" si="81"/>
        <v>25.391849529780576</v>
      </c>
      <c r="I315">
        <v>224.2</v>
      </c>
    </row>
    <row r="316" spans="1:9" x14ac:dyDescent="0.25">
      <c r="A316" s="10">
        <f t="shared" si="78"/>
        <v>41046</v>
      </c>
      <c r="B316">
        <v>206.3</v>
      </c>
      <c r="C316">
        <v>51.8</v>
      </c>
      <c r="D316">
        <v>1876.4</v>
      </c>
      <c r="E316">
        <v>1614.3</v>
      </c>
      <c r="F316" s="19">
        <f t="shared" si="79"/>
        <v>2082.7000000000003</v>
      </c>
      <c r="G316" s="19">
        <f t="shared" si="80"/>
        <v>1666.1</v>
      </c>
      <c r="H316" s="24">
        <f t="shared" si="81"/>
        <v>25.004501530520407</v>
      </c>
      <c r="I316">
        <v>224.2</v>
      </c>
    </row>
    <row r="317" spans="1:9" x14ac:dyDescent="0.25">
      <c r="A317" s="10">
        <f t="shared" si="78"/>
        <v>41053</v>
      </c>
      <c r="B317">
        <v>153.69999999999999</v>
      </c>
      <c r="C317">
        <v>52.9</v>
      </c>
      <c r="D317">
        <v>1934.5</v>
      </c>
      <c r="E317">
        <v>1640.1</v>
      </c>
      <c r="F317" s="19">
        <f t="shared" si="79"/>
        <v>2088.1999999999998</v>
      </c>
      <c r="G317" s="19">
        <f t="shared" si="80"/>
        <v>1693</v>
      </c>
      <c r="H317" s="24">
        <f t="shared" si="81"/>
        <v>23.343177790903713</v>
      </c>
      <c r="I317">
        <v>224.2</v>
      </c>
    </row>
    <row r="318" spans="1:9" x14ac:dyDescent="0.25">
      <c r="A318" s="10">
        <f t="shared" si="78"/>
        <v>41060</v>
      </c>
      <c r="B318">
        <v>106.7</v>
      </c>
      <c r="C318">
        <v>52.8</v>
      </c>
      <c r="D318">
        <v>1983</v>
      </c>
      <c r="E318">
        <v>1640.2</v>
      </c>
      <c r="F318" s="19">
        <f t="shared" si="79"/>
        <v>2089.6999999999998</v>
      </c>
      <c r="G318" s="19">
        <f t="shared" si="80"/>
        <v>1693</v>
      </c>
      <c r="H318" s="24">
        <f t="shared" si="81"/>
        <v>23.431777909037208</v>
      </c>
      <c r="I318">
        <v>330.9</v>
      </c>
    </row>
    <row r="319" spans="1:9" x14ac:dyDescent="0.25">
      <c r="A319" s="10">
        <f t="shared" si="78"/>
        <v>41067</v>
      </c>
      <c r="B319">
        <v>330.9</v>
      </c>
      <c r="C319">
        <v>154.69999999999999</v>
      </c>
      <c r="D319">
        <v>0</v>
      </c>
      <c r="E319">
        <v>0</v>
      </c>
      <c r="F319" s="19">
        <f t="shared" si="79"/>
        <v>330.9</v>
      </c>
      <c r="G319" s="19">
        <f t="shared" si="80"/>
        <v>154.69999999999999</v>
      </c>
      <c r="H319" s="24">
        <f t="shared" si="81"/>
        <v>113.8978668390433</v>
      </c>
    </row>
    <row r="320" spans="1:9" x14ac:dyDescent="0.25">
      <c r="A320" s="10">
        <f t="shared" si="78"/>
        <v>41074</v>
      </c>
      <c r="B320">
        <v>346.1</v>
      </c>
      <c r="C320">
        <v>227.3</v>
      </c>
      <c r="D320">
        <v>26.2</v>
      </c>
      <c r="E320">
        <v>0</v>
      </c>
      <c r="F320" s="19">
        <f t="shared" si="79"/>
        <v>372.3</v>
      </c>
      <c r="G320" s="19">
        <f t="shared" si="80"/>
        <v>227.3</v>
      </c>
      <c r="H320" s="24">
        <f t="shared" si="81"/>
        <v>63.792344918609764</v>
      </c>
    </row>
    <row r="321" spans="1:8" x14ac:dyDescent="0.25">
      <c r="A321" s="10">
        <f t="shared" si="78"/>
        <v>41081</v>
      </c>
      <c r="B321">
        <v>331.4</v>
      </c>
      <c r="C321">
        <v>178</v>
      </c>
      <c r="D321">
        <v>51.7</v>
      </c>
      <c r="E321">
        <v>52.9</v>
      </c>
      <c r="F321" s="19">
        <f t="shared" si="79"/>
        <v>383.09999999999997</v>
      </c>
      <c r="G321" s="19">
        <f t="shared" si="80"/>
        <v>230.9</v>
      </c>
      <c r="H321" s="24">
        <f t="shared" si="81"/>
        <v>65.915980944131647</v>
      </c>
    </row>
    <row r="322" spans="1:8" x14ac:dyDescent="0.25">
      <c r="A322" s="10">
        <f t="shared" si="78"/>
        <v>41088</v>
      </c>
      <c r="B322">
        <v>356.2</v>
      </c>
      <c r="C322">
        <v>201.3</v>
      </c>
      <c r="D322">
        <v>52.4</v>
      </c>
      <c r="E322">
        <v>53.1</v>
      </c>
      <c r="F322" s="19">
        <f t="shared" si="79"/>
        <v>408.59999999999997</v>
      </c>
      <c r="G322" s="19">
        <f t="shared" si="80"/>
        <v>254.4</v>
      </c>
      <c r="H322" s="24">
        <f t="shared" si="81"/>
        <v>60.613207547169793</v>
      </c>
    </row>
    <row r="323" spans="1:8" x14ac:dyDescent="0.25">
      <c r="A323" s="10">
        <f t="shared" si="78"/>
        <v>41095</v>
      </c>
      <c r="B323">
        <v>349.1</v>
      </c>
      <c r="C323">
        <v>214.8</v>
      </c>
      <c r="D323">
        <v>87.2</v>
      </c>
      <c r="E323">
        <v>78.400000000000006</v>
      </c>
      <c r="F323" s="19">
        <f t="shared" si="79"/>
        <v>436.3</v>
      </c>
      <c r="G323" s="19">
        <f t="shared" si="80"/>
        <v>293.20000000000005</v>
      </c>
      <c r="H323" s="24">
        <f t="shared" si="81"/>
        <v>48.80627557980899</v>
      </c>
    </row>
    <row r="324" spans="1:8" x14ac:dyDescent="0.25">
      <c r="A324" s="10">
        <f t="shared" si="78"/>
        <v>41102</v>
      </c>
      <c r="B324">
        <v>364.4</v>
      </c>
      <c r="C324">
        <v>281.2</v>
      </c>
      <c r="D324">
        <v>128.5</v>
      </c>
      <c r="E324">
        <v>103.7</v>
      </c>
      <c r="F324" s="19">
        <f t="shared" si="79"/>
        <v>492.9</v>
      </c>
      <c r="G324" s="19">
        <f t="shared" si="80"/>
        <v>384.9</v>
      </c>
      <c r="H324" s="24">
        <f t="shared" si="81"/>
        <v>28.059236165237735</v>
      </c>
    </row>
    <row r="325" spans="1:8" x14ac:dyDescent="0.25">
      <c r="A325" s="10">
        <f t="shared" si="78"/>
        <v>41109</v>
      </c>
      <c r="B325">
        <v>365.4</v>
      </c>
      <c r="C325">
        <v>256.7</v>
      </c>
      <c r="D325">
        <v>128.5</v>
      </c>
      <c r="E325">
        <v>129.5</v>
      </c>
      <c r="F325" s="19">
        <f t="shared" si="79"/>
        <v>493.9</v>
      </c>
      <c r="G325" s="19">
        <f t="shared" si="80"/>
        <v>386.2</v>
      </c>
      <c r="H325" s="24">
        <f t="shared" si="81"/>
        <v>27.887105126877266</v>
      </c>
    </row>
    <row r="326" spans="1:8" x14ac:dyDescent="0.25">
      <c r="A326" s="10">
        <f t="shared" si="78"/>
        <v>41116</v>
      </c>
      <c r="B326">
        <v>422.2</v>
      </c>
      <c r="C326">
        <v>256.7</v>
      </c>
      <c r="D326">
        <v>128.5</v>
      </c>
      <c r="E326">
        <v>129.6</v>
      </c>
      <c r="F326" s="19">
        <f t="shared" si="79"/>
        <v>550.70000000000005</v>
      </c>
      <c r="G326" s="19">
        <f t="shared" si="80"/>
        <v>386.29999999999995</v>
      </c>
      <c r="H326" s="24">
        <f t="shared" si="81"/>
        <v>42.557597721977757</v>
      </c>
    </row>
    <row r="327" spans="1:8" x14ac:dyDescent="0.25">
      <c r="A327" s="10">
        <f t="shared" si="78"/>
        <v>41123</v>
      </c>
      <c r="B327">
        <v>516.20000000000005</v>
      </c>
      <c r="C327">
        <v>280</v>
      </c>
      <c r="D327">
        <v>128.5</v>
      </c>
      <c r="E327">
        <v>129.80000000000001</v>
      </c>
      <c r="F327" s="19">
        <f t="shared" si="79"/>
        <v>644.70000000000005</v>
      </c>
      <c r="G327" s="19">
        <f t="shared" si="80"/>
        <v>409.8</v>
      </c>
      <c r="H327" s="24">
        <f t="shared" si="81"/>
        <v>57.320644216691072</v>
      </c>
    </row>
    <row r="328" spans="1:8" x14ac:dyDescent="0.25">
      <c r="A328" s="10">
        <f t="shared" si="78"/>
        <v>41130</v>
      </c>
      <c r="B328">
        <v>521.4</v>
      </c>
      <c r="C328">
        <v>297.8</v>
      </c>
      <c r="D328">
        <v>159</v>
      </c>
      <c r="E328">
        <v>156.30000000000001</v>
      </c>
      <c r="F328" s="19">
        <f t="shared" si="79"/>
        <v>680.4</v>
      </c>
      <c r="G328" s="19">
        <f t="shared" si="80"/>
        <v>454.1</v>
      </c>
      <c r="H328" s="24">
        <f t="shared" si="81"/>
        <v>49.834838141378548</v>
      </c>
    </row>
    <row r="329" spans="1:8" x14ac:dyDescent="0.25">
      <c r="A329" s="10">
        <f t="shared" si="78"/>
        <v>41137</v>
      </c>
      <c r="B329">
        <v>453.8</v>
      </c>
      <c r="C329">
        <v>297.60000000000002</v>
      </c>
      <c r="D329">
        <v>279.60000000000002</v>
      </c>
      <c r="E329">
        <v>156.4</v>
      </c>
      <c r="F329" s="19">
        <f t="shared" si="79"/>
        <v>733.40000000000009</v>
      </c>
      <c r="G329" s="19">
        <f t="shared" si="80"/>
        <v>454</v>
      </c>
      <c r="H329" s="24">
        <f t="shared" si="81"/>
        <v>61.54185022026433</v>
      </c>
    </row>
    <row r="330" spans="1:8" x14ac:dyDescent="0.25">
      <c r="A330" s="10">
        <f t="shared" si="78"/>
        <v>41144</v>
      </c>
      <c r="B330">
        <v>389.2</v>
      </c>
      <c r="C330">
        <v>340.1</v>
      </c>
      <c r="D330">
        <v>390.8</v>
      </c>
      <c r="E330">
        <v>156.4</v>
      </c>
      <c r="F330" s="19">
        <f t="shared" si="79"/>
        <v>780</v>
      </c>
      <c r="G330" s="19">
        <f t="shared" si="80"/>
        <v>496.5</v>
      </c>
      <c r="H330" s="24">
        <f t="shared" si="81"/>
        <v>57.099697885196377</v>
      </c>
    </row>
    <row r="331" spans="1:8" x14ac:dyDescent="0.25">
      <c r="A331" s="10">
        <f t="shared" si="78"/>
        <v>41151</v>
      </c>
      <c r="B331">
        <v>339.1</v>
      </c>
      <c r="C331">
        <v>318.39999999999998</v>
      </c>
      <c r="D331">
        <v>443.2</v>
      </c>
      <c r="E331">
        <v>179.6</v>
      </c>
      <c r="F331" s="19">
        <f t="shared" si="79"/>
        <v>782.3</v>
      </c>
      <c r="G331" s="19">
        <f t="shared" si="80"/>
        <v>498</v>
      </c>
      <c r="H331" s="24">
        <f t="shared" si="81"/>
        <v>57.088353413654616</v>
      </c>
    </row>
    <row r="332" spans="1:8" x14ac:dyDescent="0.25">
      <c r="A332" s="10">
        <f t="shared" si="78"/>
        <v>41158</v>
      </c>
      <c r="B332">
        <v>340.7</v>
      </c>
      <c r="C332">
        <v>318.39999999999998</v>
      </c>
      <c r="D332">
        <v>443.2</v>
      </c>
      <c r="E332">
        <v>179.6</v>
      </c>
      <c r="F332" s="19">
        <f t="shared" si="79"/>
        <v>783.9</v>
      </c>
      <c r="G332" s="19">
        <f t="shared" si="80"/>
        <v>498</v>
      </c>
      <c r="H332" s="24">
        <f t="shared" si="81"/>
        <v>57.409638554216855</v>
      </c>
    </row>
    <row r="333" spans="1:8" x14ac:dyDescent="0.25">
      <c r="A333" s="10">
        <f t="shared" si="78"/>
        <v>41165</v>
      </c>
      <c r="B333">
        <v>320.8</v>
      </c>
      <c r="C333">
        <v>348.2</v>
      </c>
      <c r="D333">
        <v>466.9</v>
      </c>
      <c r="E333">
        <v>227.3</v>
      </c>
      <c r="F333" s="19">
        <f t="shared" si="79"/>
        <v>787.7</v>
      </c>
      <c r="G333" s="19">
        <f t="shared" si="80"/>
        <v>575.5</v>
      </c>
      <c r="H333" s="24">
        <f t="shared" si="81"/>
        <v>36.872284969591675</v>
      </c>
    </row>
    <row r="334" spans="1:8" x14ac:dyDescent="0.25">
      <c r="A334" s="10">
        <f t="shared" ref="A334:A397" si="82">+A333+7</f>
        <v>41172</v>
      </c>
      <c r="B334">
        <v>341.9</v>
      </c>
      <c r="C334">
        <v>296.7</v>
      </c>
      <c r="D334">
        <v>498.4</v>
      </c>
      <c r="E334">
        <v>284.3</v>
      </c>
      <c r="F334" s="19">
        <f t="shared" ref="F334:G339" si="83">+B334+D334</f>
        <v>840.3</v>
      </c>
      <c r="G334" s="19">
        <f t="shared" si="83"/>
        <v>581</v>
      </c>
      <c r="H334" s="24">
        <f t="shared" ref="H334:H339" si="84">+(F334/G334-1)*100</f>
        <v>44.629948364888115</v>
      </c>
    </row>
    <row r="335" spans="1:8" x14ac:dyDescent="0.25">
      <c r="A335" s="10">
        <f t="shared" si="82"/>
        <v>41179</v>
      </c>
      <c r="B335">
        <v>326.3</v>
      </c>
      <c r="C335">
        <v>330.9</v>
      </c>
      <c r="D335">
        <v>548</v>
      </c>
      <c r="E335">
        <v>297.5</v>
      </c>
      <c r="F335" s="19">
        <f t="shared" si="83"/>
        <v>874.3</v>
      </c>
      <c r="G335" s="19">
        <f t="shared" si="83"/>
        <v>628.4</v>
      </c>
      <c r="H335" s="24">
        <f t="shared" si="84"/>
        <v>39.131126670910255</v>
      </c>
    </row>
    <row r="336" spans="1:8" x14ac:dyDescent="0.25">
      <c r="A336" s="10">
        <f t="shared" si="82"/>
        <v>41186</v>
      </c>
      <c r="B336">
        <v>297.39999999999998</v>
      </c>
      <c r="C336">
        <v>283.3</v>
      </c>
      <c r="D336">
        <v>579.79999999999995</v>
      </c>
      <c r="E336">
        <v>349</v>
      </c>
      <c r="F336" s="19">
        <f t="shared" si="83"/>
        <v>877.19999999999993</v>
      </c>
      <c r="G336" s="19">
        <f t="shared" si="83"/>
        <v>632.29999999999995</v>
      </c>
      <c r="H336" s="24">
        <f t="shared" si="84"/>
        <v>38.731614739838683</v>
      </c>
    </row>
    <row r="337" spans="1:8" x14ac:dyDescent="0.25">
      <c r="A337" s="10">
        <f t="shared" si="82"/>
        <v>41193</v>
      </c>
      <c r="B337">
        <v>318.10000000000002</v>
      </c>
      <c r="C337">
        <v>283.3</v>
      </c>
      <c r="D337">
        <v>592.20000000000005</v>
      </c>
      <c r="E337">
        <v>349</v>
      </c>
      <c r="F337" s="19">
        <f t="shared" si="83"/>
        <v>910.30000000000007</v>
      </c>
      <c r="G337" s="19">
        <f t="shared" si="83"/>
        <v>632.29999999999995</v>
      </c>
      <c r="H337" s="24">
        <f t="shared" si="84"/>
        <v>43.966471611576807</v>
      </c>
    </row>
    <row r="338" spans="1:8" x14ac:dyDescent="0.25">
      <c r="A338" s="10">
        <f t="shared" si="82"/>
        <v>41200</v>
      </c>
      <c r="B338">
        <v>305.60000000000002</v>
      </c>
      <c r="C338">
        <v>277.5</v>
      </c>
      <c r="D338">
        <v>642.79999999999995</v>
      </c>
      <c r="E338">
        <v>378.7</v>
      </c>
      <c r="F338" s="19">
        <f t="shared" si="83"/>
        <v>948.4</v>
      </c>
      <c r="G338" s="19">
        <f t="shared" si="83"/>
        <v>656.2</v>
      </c>
      <c r="H338" s="24">
        <f t="shared" si="84"/>
        <v>44.529106979579389</v>
      </c>
    </row>
    <row r="339" spans="1:8" x14ac:dyDescent="0.25">
      <c r="A339" s="10">
        <f t="shared" si="82"/>
        <v>41207</v>
      </c>
      <c r="B339">
        <v>307.60000000000002</v>
      </c>
      <c r="C339">
        <v>298.3</v>
      </c>
      <c r="D339">
        <v>642.79999999999995</v>
      </c>
      <c r="E339">
        <v>378.9</v>
      </c>
      <c r="F339" s="19">
        <f t="shared" si="83"/>
        <v>950.4</v>
      </c>
      <c r="G339" s="19">
        <f t="shared" si="83"/>
        <v>677.2</v>
      </c>
      <c r="H339" s="24">
        <f t="shared" si="84"/>
        <v>40.342587123449491</v>
      </c>
    </row>
    <row r="340" spans="1:8" x14ac:dyDescent="0.25">
      <c r="A340" s="10">
        <f t="shared" si="82"/>
        <v>41214</v>
      </c>
      <c r="B340">
        <v>347.2</v>
      </c>
      <c r="C340">
        <v>333.2</v>
      </c>
      <c r="D340">
        <v>704.8</v>
      </c>
      <c r="E340">
        <v>429</v>
      </c>
      <c r="F340" s="19">
        <f t="shared" ref="F340:G342" si="85">+B340+D340</f>
        <v>1052</v>
      </c>
      <c r="G340" s="19">
        <f t="shared" si="85"/>
        <v>762.2</v>
      </c>
      <c r="H340" s="24">
        <f t="shared" ref="H340:H345" si="86">+(F340/G340-1)*100</f>
        <v>38.021516662293344</v>
      </c>
    </row>
    <row r="341" spans="1:8" x14ac:dyDescent="0.25">
      <c r="A341" s="10">
        <f t="shared" si="82"/>
        <v>41221</v>
      </c>
      <c r="B341">
        <v>368.5</v>
      </c>
      <c r="C341">
        <v>311.7</v>
      </c>
      <c r="D341">
        <v>706</v>
      </c>
      <c r="E341">
        <v>450.9</v>
      </c>
      <c r="F341" s="19">
        <f t="shared" si="85"/>
        <v>1074.5</v>
      </c>
      <c r="G341" s="19">
        <f t="shared" si="85"/>
        <v>762.59999999999991</v>
      </c>
      <c r="H341" s="24">
        <f t="shared" si="86"/>
        <v>40.899554156831911</v>
      </c>
    </row>
    <row r="342" spans="1:8" x14ac:dyDescent="0.25">
      <c r="A342" s="10">
        <f t="shared" si="82"/>
        <v>41228</v>
      </c>
      <c r="B342">
        <v>351.4</v>
      </c>
      <c r="C342">
        <v>500</v>
      </c>
      <c r="D342">
        <v>741.2</v>
      </c>
      <c r="E342">
        <v>450.9</v>
      </c>
      <c r="F342" s="19">
        <f t="shared" si="85"/>
        <v>1092.5999999999999</v>
      </c>
      <c r="G342" s="19">
        <f t="shared" si="85"/>
        <v>950.9</v>
      </c>
      <c r="H342" s="24">
        <f t="shared" si="86"/>
        <v>14.901672100115682</v>
      </c>
    </row>
    <row r="343" spans="1:8" x14ac:dyDescent="0.25">
      <c r="A343" s="10">
        <f t="shared" si="82"/>
        <v>41235</v>
      </c>
      <c r="B343">
        <v>375.9</v>
      </c>
      <c r="C343">
        <v>576.5</v>
      </c>
      <c r="D343">
        <v>741.2</v>
      </c>
      <c r="E343">
        <v>451.1</v>
      </c>
      <c r="F343" s="19">
        <f t="shared" ref="F343:F373" si="87">+B343+D343</f>
        <v>1117.0999999999999</v>
      </c>
      <c r="G343" s="19">
        <f t="shared" ref="G343:G373" si="88">+C343+E343</f>
        <v>1027.5999999999999</v>
      </c>
      <c r="H343" s="24">
        <f t="shared" si="86"/>
        <v>8.7096146360451598</v>
      </c>
    </row>
    <row r="344" spans="1:8" x14ac:dyDescent="0.25">
      <c r="A344" s="10">
        <f t="shared" si="82"/>
        <v>41242</v>
      </c>
      <c r="B344">
        <v>321.3</v>
      </c>
      <c r="C344">
        <v>572.5</v>
      </c>
      <c r="D344">
        <v>802</v>
      </c>
      <c r="E344">
        <v>455.5</v>
      </c>
      <c r="F344" s="19">
        <f t="shared" si="87"/>
        <v>1123.3</v>
      </c>
      <c r="G344" s="19">
        <f t="shared" si="88"/>
        <v>1028</v>
      </c>
      <c r="H344" s="24">
        <f t="shared" si="86"/>
        <v>9.2704280155641925</v>
      </c>
    </row>
    <row r="345" spans="1:8" x14ac:dyDescent="0.25">
      <c r="A345" s="10">
        <f t="shared" si="82"/>
        <v>41249</v>
      </c>
      <c r="B345">
        <v>312.60000000000002</v>
      </c>
      <c r="C345">
        <v>501.9</v>
      </c>
      <c r="D345">
        <v>851.9</v>
      </c>
      <c r="E345">
        <v>530.79999999999995</v>
      </c>
      <c r="F345" s="19">
        <f t="shared" si="87"/>
        <v>1164.5</v>
      </c>
      <c r="G345" s="19">
        <f t="shared" si="88"/>
        <v>1032.6999999999998</v>
      </c>
      <c r="H345" s="24">
        <f t="shared" si="86"/>
        <v>12.762660985765484</v>
      </c>
    </row>
    <row r="346" spans="1:8" x14ac:dyDescent="0.25">
      <c r="A346" s="10">
        <f t="shared" si="82"/>
        <v>41256</v>
      </c>
      <c r="B346">
        <v>331.7</v>
      </c>
      <c r="C346">
        <v>418.9</v>
      </c>
      <c r="D346">
        <v>884.6</v>
      </c>
      <c r="E346">
        <v>663.7</v>
      </c>
      <c r="F346" s="19">
        <f t="shared" si="87"/>
        <v>1216.3</v>
      </c>
      <c r="G346" s="19">
        <f t="shared" si="88"/>
        <v>1082.5999999999999</v>
      </c>
      <c r="H346" s="24">
        <f t="shared" ref="H346:H373" si="89">+(F346/G346-1)*100</f>
        <v>12.349898392758174</v>
      </c>
    </row>
    <row r="347" spans="1:8" x14ac:dyDescent="0.25">
      <c r="A347" s="10">
        <f t="shared" si="82"/>
        <v>41263</v>
      </c>
      <c r="B347">
        <v>356.7</v>
      </c>
      <c r="C347">
        <v>418.9</v>
      </c>
      <c r="D347">
        <v>884.6</v>
      </c>
      <c r="E347">
        <v>663.7</v>
      </c>
      <c r="F347" s="19">
        <f t="shared" si="87"/>
        <v>1241.3</v>
      </c>
      <c r="G347" s="19">
        <f t="shared" si="88"/>
        <v>1082.5999999999999</v>
      </c>
      <c r="H347" s="24">
        <f t="shared" si="89"/>
        <v>14.659153888786269</v>
      </c>
    </row>
    <row r="348" spans="1:8" x14ac:dyDescent="0.25">
      <c r="A348" s="10">
        <f t="shared" si="82"/>
        <v>41270</v>
      </c>
      <c r="B348">
        <v>385.2</v>
      </c>
      <c r="C348">
        <v>371.4</v>
      </c>
      <c r="D348">
        <v>884.6</v>
      </c>
      <c r="E348">
        <v>715.4</v>
      </c>
      <c r="F348" s="19">
        <f t="shared" si="87"/>
        <v>1269.8</v>
      </c>
      <c r="G348" s="19">
        <f t="shared" si="88"/>
        <v>1086.8</v>
      </c>
      <c r="H348" s="24">
        <f t="shared" si="89"/>
        <v>16.838424733161574</v>
      </c>
    </row>
    <row r="349" spans="1:8" x14ac:dyDescent="0.25">
      <c r="A349" s="10">
        <f t="shared" si="82"/>
        <v>41277</v>
      </c>
      <c r="B349">
        <v>358</v>
      </c>
      <c r="C349">
        <v>348.5</v>
      </c>
      <c r="D349">
        <v>927.6</v>
      </c>
      <c r="E349">
        <v>740.5</v>
      </c>
      <c r="F349" s="19">
        <f t="shared" si="87"/>
        <v>1285.5999999999999</v>
      </c>
      <c r="G349" s="19">
        <f t="shared" si="88"/>
        <v>1089</v>
      </c>
      <c r="H349" s="24">
        <f t="shared" si="89"/>
        <v>18.053259871441686</v>
      </c>
    </row>
    <row r="350" spans="1:8" x14ac:dyDescent="0.25">
      <c r="A350" s="10">
        <f t="shared" si="82"/>
        <v>41284</v>
      </c>
      <c r="B350">
        <v>360.2</v>
      </c>
      <c r="C350">
        <v>481.8</v>
      </c>
      <c r="D350">
        <v>927.6</v>
      </c>
      <c r="E350">
        <v>740.6</v>
      </c>
      <c r="F350" s="19">
        <f t="shared" si="87"/>
        <v>1287.8</v>
      </c>
      <c r="G350" s="19">
        <f t="shared" si="88"/>
        <v>1222.4000000000001</v>
      </c>
      <c r="H350" s="24">
        <f t="shared" si="89"/>
        <v>5.3501308900523403</v>
      </c>
    </row>
    <row r="351" spans="1:8" x14ac:dyDescent="0.25">
      <c r="A351" s="10">
        <f t="shared" si="82"/>
        <v>41291</v>
      </c>
      <c r="B351">
        <v>360.1</v>
      </c>
      <c r="C351">
        <v>595.29999999999995</v>
      </c>
      <c r="D351">
        <v>932.1</v>
      </c>
      <c r="E351">
        <v>823.2</v>
      </c>
      <c r="F351" s="19">
        <f t="shared" si="87"/>
        <v>1292.2</v>
      </c>
      <c r="G351" s="19">
        <f t="shared" si="88"/>
        <v>1418.5</v>
      </c>
      <c r="H351" s="24">
        <f t="shared" si="89"/>
        <v>-8.9037715897074321</v>
      </c>
    </row>
    <row r="352" spans="1:8" x14ac:dyDescent="0.25">
      <c r="A352" s="10">
        <f t="shared" si="82"/>
        <v>41298</v>
      </c>
      <c r="B352">
        <v>327.2</v>
      </c>
      <c r="C352">
        <v>573.79999999999995</v>
      </c>
      <c r="D352">
        <v>965</v>
      </c>
      <c r="E352">
        <v>846.8</v>
      </c>
      <c r="F352" s="19">
        <f t="shared" si="87"/>
        <v>1292.2</v>
      </c>
      <c r="G352" s="19">
        <f t="shared" si="88"/>
        <v>1420.6</v>
      </c>
      <c r="H352" s="24">
        <f t="shared" si="89"/>
        <v>-9.038434464310841</v>
      </c>
    </row>
    <row r="353" spans="1:9" x14ac:dyDescent="0.25">
      <c r="A353" s="10">
        <f t="shared" si="82"/>
        <v>41305</v>
      </c>
      <c r="B353">
        <v>301.60000000000002</v>
      </c>
      <c r="C353">
        <v>550.20000000000005</v>
      </c>
      <c r="D353">
        <v>992</v>
      </c>
      <c r="E353">
        <v>871.1</v>
      </c>
      <c r="F353" s="19">
        <f t="shared" si="87"/>
        <v>1293.5999999999999</v>
      </c>
      <c r="G353" s="19">
        <f t="shared" si="88"/>
        <v>1421.3000000000002</v>
      </c>
      <c r="H353" s="24">
        <f t="shared" si="89"/>
        <v>-8.9847322873425899</v>
      </c>
    </row>
    <row r="354" spans="1:9" x14ac:dyDescent="0.25">
      <c r="A354" s="10">
        <f t="shared" si="82"/>
        <v>41312</v>
      </c>
      <c r="B354">
        <v>301.2</v>
      </c>
      <c r="C354">
        <v>600.29999999999995</v>
      </c>
      <c r="D354">
        <v>1018.3</v>
      </c>
      <c r="E354">
        <v>901.8</v>
      </c>
      <c r="F354" s="19">
        <f t="shared" si="87"/>
        <v>1319.5</v>
      </c>
      <c r="G354" s="19">
        <f t="shared" si="88"/>
        <v>1502.1</v>
      </c>
      <c r="H354" s="24">
        <f t="shared" si="89"/>
        <v>-12.156314493043062</v>
      </c>
    </row>
    <row r="355" spans="1:9" x14ac:dyDescent="0.25">
      <c r="A355" s="10">
        <f t="shared" si="82"/>
        <v>41319</v>
      </c>
      <c r="B355">
        <v>324.10000000000002</v>
      </c>
      <c r="C355">
        <v>625.1</v>
      </c>
      <c r="D355">
        <v>1018.5</v>
      </c>
      <c r="E355">
        <v>954.2</v>
      </c>
      <c r="F355" s="19">
        <f t="shared" si="87"/>
        <v>1342.6</v>
      </c>
      <c r="G355" s="19">
        <f t="shared" si="88"/>
        <v>1579.3000000000002</v>
      </c>
      <c r="H355" s="24">
        <f t="shared" si="89"/>
        <v>-14.98765275755083</v>
      </c>
    </row>
    <row r="356" spans="1:9" x14ac:dyDescent="0.25">
      <c r="A356" s="10">
        <f t="shared" si="82"/>
        <v>41326</v>
      </c>
      <c r="B356">
        <v>353.3</v>
      </c>
      <c r="C356">
        <v>768.6</v>
      </c>
      <c r="D356">
        <v>1019.7</v>
      </c>
      <c r="E356">
        <v>977.9</v>
      </c>
      <c r="F356" s="19">
        <f t="shared" si="87"/>
        <v>1373</v>
      </c>
      <c r="G356" s="19">
        <f t="shared" si="88"/>
        <v>1746.5</v>
      </c>
      <c r="H356" s="24">
        <f t="shared" si="89"/>
        <v>-21.385628399656454</v>
      </c>
    </row>
    <row r="357" spans="1:9" x14ac:dyDescent="0.25">
      <c r="A357" s="10">
        <f t="shared" si="82"/>
        <v>41333</v>
      </c>
      <c r="B357">
        <v>276.10000000000002</v>
      </c>
      <c r="C357">
        <v>683.1</v>
      </c>
      <c r="D357">
        <v>1098.0999999999999</v>
      </c>
      <c r="E357">
        <v>1088.3</v>
      </c>
      <c r="F357" s="19">
        <f t="shared" si="87"/>
        <v>1374.1999999999998</v>
      </c>
      <c r="G357" s="19">
        <f t="shared" si="88"/>
        <v>1771.4</v>
      </c>
      <c r="H357" s="24">
        <f t="shared" si="89"/>
        <v>-22.422942305521076</v>
      </c>
    </row>
    <row r="358" spans="1:9" x14ac:dyDescent="0.25">
      <c r="A358" s="10">
        <f t="shared" si="82"/>
        <v>41340</v>
      </c>
      <c r="B358">
        <v>224.9</v>
      </c>
      <c r="C358">
        <v>604.29999999999995</v>
      </c>
      <c r="D358">
        <v>1146.7</v>
      </c>
      <c r="E358">
        <v>1168.7</v>
      </c>
      <c r="F358" s="19">
        <f t="shared" si="87"/>
        <v>1371.6000000000001</v>
      </c>
      <c r="G358" s="19">
        <f t="shared" si="88"/>
        <v>1773</v>
      </c>
      <c r="H358" s="24">
        <f t="shared" si="89"/>
        <v>-22.639593908629429</v>
      </c>
    </row>
    <row r="359" spans="1:9" x14ac:dyDescent="0.25">
      <c r="A359" s="10">
        <f t="shared" si="82"/>
        <v>41347</v>
      </c>
      <c r="B359">
        <v>224.9</v>
      </c>
      <c r="C359">
        <v>618.5</v>
      </c>
      <c r="D359">
        <v>1146.7</v>
      </c>
      <c r="E359">
        <v>1227</v>
      </c>
      <c r="F359" s="19">
        <f t="shared" si="87"/>
        <v>1371.6000000000001</v>
      </c>
      <c r="G359" s="19">
        <f t="shared" si="88"/>
        <v>1845.5</v>
      </c>
      <c r="H359" s="24">
        <f t="shared" si="89"/>
        <v>-25.678677865077205</v>
      </c>
      <c r="I359">
        <v>27.5</v>
      </c>
    </row>
    <row r="360" spans="1:9" x14ac:dyDescent="0.25">
      <c r="A360" s="10">
        <f t="shared" si="82"/>
        <v>41354</v>
      </c>
      <c r="B360">
        <v>225.1</v>
      </c>
      <c r="C360">
        <v>596.5</v>
      </c>
      <c r="D360">
        <v>1147</v>
      </c>
      <c r="E360">
        <v>1303.4000000000001</v>
      </c>
      <c r="F360" s="19">
        <f t="shared" si="87"/>
        <v>1372.1</v>
      </c>
      <c r="G360" s="19">
        <f t="shared" si="88"/>
        <v>1899.9</v>
      </c>
      <c r="H360" s="24">
        <f t="shared" si="89"/>
        <v>-27.780409495236601</v>
      </c>
      <c r="I360">
        <v>27.5</v>
      </c>
    </row>
    <row r="361" spans="1:9" x14ac:dyDescent="0.25">
      <c r="A361" s="10">
        <f t="shared" si="82"/>
        <v>41361</v>
      </c>
      <c r="B361">
        <v>195.9</v>
      </c>
      <c r="C361">
        <v>587.29999999999995</v>
      </c>
      <c r="D361">
        <v>1179.0999999999999</v>
      </c>
      <c r="E361">
        <v>1328.9</v>
      </c>
      <c r="F361" s="19">
        <f t="shared" si="87"/>
        <v>1375</v>
      </c>
      <c r="G361" s="19">
        <f t="shared" si="88"/>
        <v>1916.2</v>
      </c>
      <c r="H361" s="24">
        <f t="shared" si="89"/>
        <v>-28.243398392652132</v>
      </c>
      <c r="I361">
        <v>27.5</v>
      </c>
    </row>
    <row r="362" spans="1:9" x14ac:dyDescent="0.25">
      <c r="A362" s="10">
        <f t="shared" si="82"/>
        <v>41368</v>
      </c>
      <c r="B362">
        <v>171.4</v>
      </c>
      <c r="C362">
        <v>485.6</v>
      </c>
      <c r="D362">
        <v>1203.8</v>
      </c>
      <c r="E362">
        <v>1432.9</v>
      </c>
      <c r="F362" s="19">
        <f t="shared" si="87"/>
        <v>1375.2</v>
      </c>
      <c r="G362" s="19">
        <f t="shared" si="88"/>
        <v>1918.5</v>
      </c>
      <c r="H362" s="24">
        <f t="shared" si="89"/>
        <v>-28.318999218139172</v>
      </c>
      <c r="I362">
        <v>56.8</v>
      </c>
    </row>
    <row r="363" spans="1:9" x14ac:dyDescent="0.25">
      <c r="A363" s="10">
        <f t="shared" si="82"/>
        <v>41375</v>
      </c>
      <c r="B363">
        <v>162.1</v>
      </c>
      <c r="C363">
        <v>374.6</v>
      </c>
      <c r="D363">
        <v>1235.3</v>
      </c>
      <c r="E363">
        <v>1547.8</v>
      </c>
      <c r="F363" s="19">
        <f t="shared" si="87"/>
        <v>1397.3999999999999</v>
      </c>
      <c r="G363" s="19">
        <f t="shared" si="88"/>
        <v>1922.4</v>
      </c>
      <c r="H363" s="24">
        <f t="shared" si="89"/>
        <v>-27.309612983770293</v>
      </c>
      <c r="I363">
        <v>56.8</v>
      </c>
    </row>
    <row r="364" spans="1:9" x14ac:dyDescent="0.25">
      <c r="A364" s="10">
        <f t="shared" si="82"/>
        <v>41382</v>
      </c>
      <c r="B364">
        <v>136.69999999999999</v>
      </c>
      <c r="C364">
        <v>312.60000000000002</v>
      </c>
      <c r="D364">
        <v>1261.8</v>
      </c>
      <c r="E364">
        <v>1610.8</v>
      </c>
      <c r="F364" s="19">
        <f t="shared" si="87"/>
        <v>1398.5</v>
      </c>
      <c r="G364" s="19">
        <f t="shared" si="88"/>
        <v>1923.4</v>
      </c>
      <c r="H364" s="24">
        <f t="shared" si="89"/>
        <v>-27.290215243839032</v>
      </c>
      <c r="I364">
        <v>56.8</v>
      </c>
    </row>
    <row r="365" spans="1:9" x14ac:dyDescent="0.25">
      <c r="A365" s="10">
        <f t="shared" si="82"/>
        <v>41389</v>
      </c>
      <c r="B365">
        <v>113.4</v>
      </c>
      <c r="C365">
        <v>290</v>
      </c>
      <c r="D365">
        <v>1287.5</v>
      </c>
      <c r="E365">
        <v>1696.4</v>
      </c>
      <c r="F365" s="19">
        <f t="shared" si="87"/>
        <v>1400.9</v>
      </c>
      <c r="G365" s="19">
        <f t="shared" si="88"/>
        <v>1986.4</v>
      </c>
      <c r="H365" s="24">
        <f t="shared" si="89"/>
        <v>-29.475432944019332</v>
      </c>
      <c r="I365">
        <v>56.8</v>
      </c>
    </row>
    <row r="366" spans="1:9" x14ac:dyDescent="0.25">
      <c r="A366" s="10">
        <f t="shared" si="82"/>
        <v>41396</v>
      </c>
      <c r="B366">
        <v>90.2</v>
      </c>
      <c r="C366">
        <v>284</v>
      </c>
      <c r="D366">
        <v>1310.2</v>
      </c>
      <c r="E366">
        <v>1708.2</v>
      </c>
      <c r="F366" s="19">
        <f t="shared" si="87"/>
        <v>1400.4</v>
      </c>
      <c r="G366" s="19">
        <f t="shared" si="88"/>
        <v>1992.2</v>
      </c>
      <c r="H366" s="24">
        <f t="shared" si="89"/>
        <v>-29.705852826021484</v>
      </c>
      <c r="I366">
        <v>56.8</v>
      </c>
    </row>
    <row r="367" spans="1:9" x14ac:dyDescent="0.25">
      <c r="A367" s="10">
        <f t="shared" si="82"/>
        <v>41403</v>
      </c>
      <c r="B367">
        <v>69.599999999999994</v>
      </c>
      <c r="C367">
        <v>261.60000000000002</v>
      </c>
      <c r="D367">
        <v>1332.8</v>
      </c>
      <c r="E367">
        <v>1818.4</v>
      </c>
      <c r="F367" s="19">
        <f t="shared" si="87"/>
        <v>1402.3999999999999</v>
      </c>
      <c r="G367" s="19">
        <f t="shared" si="88"/>
        <v>2080</v>
      </c>
      <c r="H367" s="24">
        <f t="shared" si="89"/>
        <v>-32.57692307692308</v>
      </c>
      <c r="I367">
        <v>79.8</v>
      </c>
    </row>
    <row r="368" spans="1:9" x14ac:dyDescent="0.25">
      <c r="A368" s="10">
        <f t="shared" si="82"/>
        <v>41410</v>
      </c>
      <c r="B368">
        <v>69.599999999999994</v>
      </c>
      <c r="C368">
        <v>206.3</v>
      </c>
      <c r="D368">
        <v>1332.8</v>
      </c>
      <c r="E368">
        <v>1876.4</v>
      </c>
      <c r="F368" s="19">
        <f t="shared" si="87"/>
        <v>1402.3999999999999</v>
      </c>
      <c r="G368" s="19">
        <f t="shared" si="88"/>
        <v>2082.7000000000003</v>
      </c>
      <c r="H368" s="24">
        <f t="shared" si="89"/>
        <v>-32.664329956306737</v>
      </c>
      <c r="I368">
        <v>134.80000000000001</v>
      </c>
    </row>
    <row r="369" spans="1:9" x14ac:dyDescent="0.25">
      <c r="A369" s="10">
        <f t="shared" si="82"/>
        <v>41417</v>
      </c>
      <c r="B369">
        <v>51.1</v>
      </c>
      <c r="C369">
        <v>153.69999999999999</v>
      </c>
      <c r="D369">
        <v>1358.7</v>
      </c>
      <c r="E369">
        <v>1934.5</v>
      </c>
      <c r="F369" s="19">
        <f t="shared" si="87"/>
        <v>1409.8</v>
      </c>
      <c r="G369" s="19">
        <f t="shared" si="88"/>
        <v>2088.1999999999998</v>
      </c>
      <c r="H369" s="24">
        <f t="shared" si="89"/>
        <v>-32.487309644670049</v>
      </c>
      <c r="I369">
        <v>79.8</v>
      </c>
    </row>
    <row r="370" spans="1:9" x14ac:dyDescent="0.25">
      <c r="A370" s="10">
        <f t="shared" si="82"/>
        <v>41424</v>
      </c>
      <c r="B370">
        <v>1</v>
      </c>
      <c r="C370">
        <v>106.7</v>
      </c>
      <c r="D370">
        <v>1384.8</v>
      </c>
      <c r="E370">
        <v>1983</v>
      </c>
      <c r="F370" s="19">
        <f t="shared" si="87"/>
        <v>1385.8</v>
      </c>
      <c r="G370" s="19">
        <f t="shared" si="88"/>
        <v>2089.6999999999998</v>
      </c>
      <c r="H370" s="24">
        <f t="shared" si="89"/>
        <v>-33.684260898693587</v>
      </c>
      <c r="I370">
        <v>173.3</v>
      </c>
    </row>
    <row r="371" spans="1:9" x14ac:dyDescent="0.25">
      <c r="A371" s="10">
        <f t="shared" si="82"/>
        <v>41431</v>
      </c>
      <c r="B371">
        <v>151</v>
      </c>
      <c r="C371">
        <v>330.9</v>
      </c>
      <c r="D371">
        <v>26.7</v>
      </c>
      <c r="E371">
        <v>0</v>
      </c>
      <c r="F371" s="19">
        <f t="shared" si="87"/>
        <v>177.7</v>
      </c>
      <c r="G371" s="19">
        <f t="shared" si="88"/>
        <v>330.9</v>
      </c>
      <c r="H371" s="24">
        <f t="shared" si="89"/>
        <v>-46.297975219099428</v>
      </c>
    </row>
    <row r="372" spans="1:9" x14ac:dyDescent="0.25">
      <c r="A372" s="10">
        <f t="shared" si="82"/>
        <v>41438</v>
      </c>
      <c r="B372" s="19">
        <v>150.5</v>
      </c>
      <c r="C372" s="19">
        <v>346.1</v>
      </c>
      <c r="D372" s="19">
        <v>27.2</v>
      </c>
      <c r="E372" s="19">
        <v>26.2</v>
      </c>
      <c r="F372" s="19">
        <f t="shared" si="87"/>
        <v>177.7</v>
      </c>
      <c r="G372" s="19">
        <f t="shared" si="88"/>
        <v>372.3</v>
      </c>
      <c r="H372" s="24">
        <f t="shared" si="89"/>
        <v>-52.269674993284987</v>
      </c>
    </row>
    <row r="373" spans="1:9" x14ac:dyDescent="0.25">
      <c r="A373" s="10">
        <f t="shared" si="82"/>
        <v>41445</v>
      </c>
      <c r="B373" s="19">
        <v>151.4</v>
      </c>
      <c r="C373" s="19">
        <v>331.4</v>
      </c>
      <c r="D373" s="19">
        <v>27.5</v>
      </c>
      <c r="E373" s="19">
        <v>51.7</v>
      </c>
      <c r="F373" s="19">
        <f t="shared" si="87"/>
        <v>178.9</v>
      </c>
      <c r="G373" s="19">
        <f t="shared" si="88"/>
        <v>383.09999999999997</v>
      </c>
      <c r="H373" s="24">
        <f t="shared" si="89"/>
        <v>-53.302009919081172</v>
      </c>
    </row>
    <row r="374" spans="1:9" x14ac:dyDescent="0.25">
      <c r="A374" s="10">
        <f t="shared" si="82"/>
        <v>41452</v>
      </c>
      <c r="B374" s="54">
        <v>153.9</v>
      </c>
      <c r="C374" s="54">
        <v>356.2</v>
      </c>
      <c r="D374" s="54">
        <v>27.5</v>
      </c>
      <c r="E374" s="54">
        <v>52.4</v>
      </c>
      <c r="F374" s="19">
        <f t="shared" ref="F374:G376" si="90">+B374+D374</f>
        <v>181.4</v>
      </c>
      <c r="G374" s="19">
        <f t="shared" si="90"/>
        <v>408.59999999999997</v>
      </c>
      <c r="H374" s="24">
        <f t="shared" ref="H374:H379" si="91">+(F374/G374-1)*100</f>
        <v>-55.604503181595689</v>
      </c>
    </row>
    <row r="375" spans="1:9" x14ac:dyDescent="0.25">
      <c r="A375" s="10">
        <f t="shared" si="82"/>
        <v>41459</v>
      </c>
      <c r="B375">
        <v>153.9</v>
      </c>
      <c r="C375">
        <v>349.1</v>
      </c>
      <c r="D375">
        <v>52.8</v>
      </c>
      <c r="E375">
        <v>87.2</v>
      </c>
      <c r="F375" s="19">
        <f t="shared" si="90"/>
        <v>206.7</v>
      </c>
      <c r="G375" s="19">
        <f t="shared" si="90"/>
        <v>436.3</v>
      </c>
      <c r="H375" s="24">
        <f t="shared" si="91"/>
        <v>-52.624341049736422</v>
      </c>
    </row>
    <row r="376" spans="1:9" x14ac:dyDescent="0.25">
      <c r="A376" s="10">
        <f t="shared" si="82"/>
        <v>41466</v>
      </c>
      <c r="B376">
        <v>221.7</v>
      </c>
      <c r="C376">
        <v>364.4</v>
      </c>
      <c r="D376">
        <v>80</v>
      </c>
      <c r="E376">
        <v>128.5</v>
      </c>
      <c r="F376" s="19">
        <f t="shared" si="90"/>
        <v>301.7</v>
      </c>
      <c r="G376" s="19">
        <f t="shared" si="90"/>
        <v>492.9</v>
      </c>
      <c r="H376" s="24">
        <f t="shared" si="91"/>
        <v>-38.790829782917427</v>
      </c>
    </row>
    <row r="377" spans="1:9" x14ac:dyDescent="0.25">
      <c r="A377" s="10">
        <f t="shared" si="82"/>
        <v>41473</v>
      </c>
      <c r="B377">
        <v>167.1</v>
      </c>
      <c r="C377">
        <v>365.4</v>
      </c>
      <c r="D377">
        <v>140</v>
      </c>
      <c r="E377">
        <v>128.5</v>
      </c>
      <c r="F377" s="19">
        <f t="shared" ref="F377:F388" si="92">+B377+D377</f>
        <v>307.10000000000002</v>
      </c>
      <c r="G377" s="19">
        <f t="shared" ref="G377:G388" si="93">+C377+E377</f>
        <v>493.9</v>
      </c>
      <c r="H377" s="24">
        <f t="shared" si="91"/>
        <v>-37.821421340352288</v>
      </c>
    </row>
    <row r="378" spans="1:9" x14ac:dyDescent="0.25">
      <c r="A378" s="10">
        <f t="shared" si="82"/>
        <v>41480</v>
      </c>
      <c r="B378">
        <v>167.1</v>
      </c>
      <c r="C378">
        <v>422.2</v>
      </c>
      <c r="D378">
        <v>166.3</v>
      </c>
      <c r="E378">
        <v>128.5</v>
      </c>
      <c r="F378" s="19">
        <f t="shared" si="92"/>
        <v>333.4</v>
      </c>
      <c r="G378" s="19">
        <f t="shared" si="93"/>
        <v>550.70000000000005</v>
      </c>
      <c r="H378" s="24">
        <f t="shared" si="91"/>
        <v>-39.458870528418387</v>
      </c>
    </row>
    <row r="379" spans="1:9" x14ac:dyDescent="0.25">
      <c r="A379" s="10">
        <f t="shared" si="82"/>
        <v>41487</v>
      </c>
      <c r="B379">
        <v>167.1</v>
      </c>
      <c r="C379">
        <v>516.20000000000005</v>
      </c>
      <c r="D379">
        <v>193.8</v>
      </c>
      <c r="E379">
        <v>128.5</v>
      </c>
      <c r="F379" s="19">
        <f t="shared" si="92"/>
        <v>360.9</v>
      </c>
      <c r="G379" s="19">
        <f t="shared" si="93"/>
        <v>644.70000000000005</v>
      </c>
      <c r="H379" s="24">
        <f t="shared" si="91"/>
        <v>-44.020474639367158</v>
      </c>
    </row>
    <row r="380" spans="1:9" x14ac:dyDescent="0.25">
      <c r="A380" s="10">
        <f t="shared" si="82"/>
        <v>41494</v>
      </c>
      <c r="B380">
        <v>143.9</v>
      </c>
      <c r="C380">
        <v>521.4</v>
      </c>
      <c r="D380">
        <v>219.3</v>
      </c>
      <c r="E380">
        <v>159</v>
      </c>
      <c r="F380" s="19">
        <f t="shared" si="92"/>
        <v>363.20000000000005</v>
      </c>
      <c r="G380" s="19">
        <f t="shared" si="93"/>
        <v>680.4</v>
      </c>
      <c r="H380" s="24">
        <f t="shared" ref="H380:H388" si="94">+(F380/G380-1)*100</f>
        <v>-46.619635508524397</v>
      </c>
    </row>
    <row r="381" spans="1:9" x14ac:dyDescent="0.25">
      <c r="A381" s="10">
        <f t="shared" si="82"/>
        <v>41501</v>
      </c>
      <c r="B381">
        <v>167.4</v>
      </c>
      <c r="C381">
        <v>453.8</v>
      </c>
      <c r="D381">
        <v>246</v>
      </c>
      <c r="E381">
        <v>279.60000000000002</v>
      </c>
      <c r="F381" s="19">
        <f t="shared" si="92"/>
        <v>413.4</v>
      </c>
      <c r="G381" s="19">
        <f t="shared" si="93"/>
        <v>733.40000000000009</v>
      </c>
      <c r="H381" s="24">
        <f t="shared" si="94"/>
        <v>-43.632397054813211</v>
      </c>
    </row>
    <row r="382" spans="1:9" x14ac:dyDescent="0.25">
      <c r="A382" s="10">
        <f t="shared" si="82"/>
        <v>41508</v>
      </c>
      <c r="B382">
        <v>170.3</v>
      </c>
      <c r="C382">
        <v>389.2</v>
      </c>
      <c r="D382">
        <v>246</v>
      </c>
      <c r="E382">
        <v>390.8</v>
      </c>
      <c r="F382" s="19">
        <f t="shared" si="92"/>
        <v>416.3</v>
      </c>
      <c r="G382" s="19">
        <f t="shared" si="93"/>
        <v>780</v>
      </c>
      <c r="H382" s="24">
        <f t="shared" si="94"/>
        <v>-46.628205128205124</v>
      </c>
    </row>
    <row r="383" spans="1:9" x14ac:dyDescent="0.25">
      <c r="A383" s="10">
        <f t="shared" si="82"/>
        <v>41515</v>
      </c>
      <c r="B383">
        <v>177.3</v>
      </c>
      <c r="C383">
        <v>339.1</v>
      </c>
      <c r="D383">
        <v>271.8</v>
      </c>
      <c r="E383">
        <v>443.2</v>
      </c>
      <c r="F383" s="19">
        <f t="shared" si="92"/>
        <v>449.1</v>
      </c>
      <c r="G383" s="19">
        <f t="shared" si="93"/>
        <v>782.3</v>
      </c>
      <c r="H383" s="24">
        <f t="shared" si="94"/>
        <v>-42.592355873705735</v>
      </c>
    </row>
    <row r="384" spans="1:9" x14ac:dyDescent="0.25">
      <c r="A384" s="10">
        <f t="shared" si="82"/>
        <v>41522</v>
      </c>
      <c r="B384">
        <v>173.9</v>
      </c>
      <c r="C384">
        <v>340.7</v>
      </c>
      <c r="D384">
        <v>326.3</v>
      </c>
      <c r="E384">
        <v>443.2</v>
      </c>
      <c r="F384" s="19">
        <f t="shared" si="92"/>
        <v>500.20000000000005</v>
      </c>
      <c r="G384" s="19">
        <f t="shared" si="93"/>
        <v>783.9</v>
      </c>
      <c r="H384" s="24">
        <f t="shared" si="94"/>
        <v>-36.190840668452608</v>
      </c>
    </row>
    <row r="385" spans="1:12" x14ac:dyDescent="0.25">
      <c r="A385" s="10">
        <f t="shared" si="82"/>
        <v>41529</v>
      </c>
      <c r="B385">
        <v>195.9</v>
      </c>
      <c r="C385">
        <v>320.8</v>
      </c>
      <c r="D385">
        <v>327.3</v>
      </c>
      <c r="E385">
        <v>466.9</v>
      </c>
      <c r="F385" s="19">
        <f t="shared" si="92"/>
        <v>523.20000000000005</v>
      </c>
      <c r="G385" s="19">
        <f t="shared" si="93"/>
        <v>787.7</v>
      </c>
      <c r="H385" s="24">
        <f t="shared" si="94"/>
        <v>-33.578773644788626</v>
      </c>
    </row>
    <row r="386" spans="1:12" x14ac:dyDescent="0.25">
      <c r="A386" s="10">
        <f t="shared" si="82"/>
        <v>41536</v>
      </c>
      <c r="B386">
        <v>250.3</v>
      </c>
      <c r="C386">
        <v>341.9</v>
      </c>
      <c r="D386">
        <v>327.3</v>
      </c>
      <c r="E386">
        <v>498.4</v>
      </c>
      <c r="F386" s="19">
        <f t="shared" si="92"/>
        <v>577.6</v>
      </c>
      <c r="G386" s="19">
        <f t="shared" si="93"/>
        <v>840.3</v>
      </c>
      <c r="H386" s="24">
        <f t="shared" si="94"/>
        <v>-31.262644293704621</v>
      </c>
    </row>
    <row r="387" spans="1:12" ht="15" x14ac:dyDescent="0.25">
      <c r="A387" s="10">
        <f t="shared" si="82"/>
        <v>41543</v>
      </c>
      <c r="B387">
        <v>250.3</v>
      </c>
      <c r="C387">
        <v>326.3</v>
      </c>
      <c r="D387">
        <v>327.3</v>
      </c>
      <c r="E387">
        <v>548</v>
      </c>
      <c r="F387" s="19">
        <f t="shared" si="92"/>
        <v>577.6</v>
      </c>
      <c r="G387" s="19">
        <f t="shared" si="93"/>
        <v>874.3</v>
      </c>
      <c r="H387" s="24">
        <f t="shared" si="94"/>
        <v>-33.935720004575089</v>
      </c>
      <c r="K387" s="75"/>
    </row>
    <row r="388" spans="1:12" x14ac:dyDescent="0.25">
      <c r="A388" s="10">
        <f t="shared" si="82"/>
        <v>41550</v>
      </c>
      <c r="B388">
        <v>377.4</v>
      </c>
      <c r="C388">
        <v>297.39999999999998</v>
      </c>
      <c r="D388">
        <v>373.9</v>
      </c>
      <c r="E388">
        <v>579.79999999999995</v>
      </c>
      <c r="F388" s="19">
        <f t="shared" si="92"/>
        <v>751.3</v>
      </c>
      <c r="G388" s="19">
        <f t="shared" si="93"/>
        <v>877.19999999999993</v>
      </c>
      <c r="H388" s="24">
        <f t="shared" si="94"/>
        <v>-14.352485180118556</v>
      </c>
    </row>
    <row r="389" spans="1:12" x14ac:dyDescent="0.25">
      <c r="A389" s="10">
        <f t="shared" si="82"/>
        <v>41557</v>
      </c>
    </row>
    <row r="390" spans="1:12" x14ac:dyDescent="0.25">
      <c r="A390" s="10">
        <f t="shared" si="82"/>
        <v>41564</v>
      </c>
    </row>
    <row r="391" spans="1:12" x14ac:dyDescent="0.25">
      <c r="A391" s="10">
        <f t="shared" si="82"/>
        <v>41571</v>
      </c>
      <c r="B391">
        <v>430</v>
      </c>
      <c r="C391">
        <v>307.60000000000002</v>
      </c>
      <c r="D391">
        <v>401.4</v>
      </c>
      <c r="E391">
        <v>642.79999999999995</v>
      </c>
      <c r="F391" s="19">
        <f t="shared" ref="F391:G393" si="95">+B391+D391</f>
        <v>831.4</v>
      </c>
      <c r="G391" s="19">
        <f t="shared" si="95"/>
        <v>950.4</v>
      </c>
      <c r="H391" s="24">
        <f>+(F391/G391-1)*100</f>
        <v>-12.521043771043772</v>
      </c>
    </row>
    <row r="392" spans="1:12" x14ac:dyDescent="0.25">
      <c r="A392" s="10">
        <f t="shared" si="82"/>
        <v>41578</v>
      </c>
      <c r="B392">
        <v>431.4</v>
      </c>
      <c r="C392">
        <v>347.2</v>
      </c>
      <c r="D392">
        <v>401.4</v>
      </c>
      <c r="E392">
        <v>704.8</v>
      </c>
      <c r="F392" s="19">
        <f t="shared" si="95"/>
        <v>832.8</v>
      </c>
      <c r="G392" s="19">
        <f t="shared" si="95"/>
        <v>1052</v>
      </c>
      <c r="H392" s="24">
        <f>+(F392/G392-1)*100</f>
        <v>-20.836501901140693</v>
      </c>
    </row>
    <row r="393" spans="1:12" ht="15" x14ac:dyDescent="0.25">
      <c r="A393" s="10">
        <f t="shared" si="82"/>
        <v>41585</v>
      </c>
      <c r="B393">
        <v>384.6</v>
      </c>
      <c r="C393">
        <v>368.5</v>
      </c>
      <c r="D393">
        <v>450.9</v>
      </c>
      <c r="E393" s="17">
        <v>706</v>
      </c>
      <c r="F393" s="19">
        <f t="shared" si="95"/>
        <v>835.5</v>
      </c>
      <c r="G393" s="19">
        <f t="shared" si="95"/>
        <v>1074.5</v>
      </c>
      <c r="H393" s="24">
        <f>+(F393/G393-1)*100</f>
        <v>-22.242903676128435</v>
      </c>
      <c r="L393" s="75"/>
    </row>
    <row r="394" spans="1:12" x14ac:dyDescent="0.25">
      <c r="A394" s="10">
        <f t="shared" si="82"/>
        <v>41592</v>
      </c>
      <c r="B394">
        <v>465.1</v>
      </c>
      <c r="C394">
        <v>351.4</v>
      </c>
      <c r="D394">
        <v>450.9</v>
      </c>
      <c r="E394">
        <v>741.2</v>
      </c>
      <c r="F394" s="19">
        <f>+B394+D394</f>
        <v>916</v>
      </c>
      <c r="G394" s="19">
        <f>+C394+E394</f>
        <v>1092.5999999999999</v>
      </c>
      <c r="H394" s="24">
        <f>+(F394/G394-1)*100</f>
        <v>-16.163280248947455</v>
      </c>
    </row>
    <row r="395" spans="1:12" x14ac:dyDescent="0.25">
      <c r="A395" s="10">
        <f t="shared" si="82"/>
        <v>41599</v>
      </c>
      <c r="B395">
        <v>464.4</v>
      </c>
      <c r="C395">
        <v>375.9</v>
      </c>
      <c r="D395">
        <v>451.6</v>
      </c>
      <c r="E395">
        <v>741.2</v>
      </c>
      <c r="F395" s="19">
        <f>+B395+D395</f>
        <v>916</v>
      </c>
      <c r="G395" s="19">
        <f>+C395+E395</f>
        <v>1117.0999999999999</v>
      </c>
      <c r="H395" s="24">
        <f>+(F395/G395-1)*100</f>
        <v>-18.00196938501476</v>
      </c>
    </row>
    <row r="396" spans="1:12" x14ac:dyDescent="0.25">
      <c r="A396" s="10">
        <f t="shared" si="82"/>
        <v>41606</v>
      </c>
    </row>
    <row r="397" spans="1:12" x14ac:dyDescent="0.25">
      <c r="A397" s="10">
        <f t="shared" si="82"/>
        <v>41613</v>
      </c>
    </row>
    <row r="398" spans="1:12" x14ac:dyDescent="0.25">
      <c r="A398" s="10">
        <f t="shared" ref="A398:A461" si="96">+A397+7</f>
        <v>41620</v>
      </c>
    </row>
    <row r="399" spans="1:12" x14ac:dyDescent="0.25">
      <c r="A399" s="10">
        <f t="shared" si="96"/>
        <v>41627</v>
      </c>
    </row>
    <row r="400" spans="1:12" x14ac:dyDescent="0.25">
      <c r="A400" s="10">
        <f t="shared" si="96"/>
        <v>41634</v>
      </c>
    </row>
    <row r="401" spans="1:1" x14ac:dyDescent="0.25">
      <c r="A401" s="10">
        <f t="shared" si="96"/>
        <v>41641</v>
      </c>
    </row>
    <row r="402" spans="1:1" x14ac:dyDescent="0.25">
      <c r="A402" s="10">
        <f t="shared" si="96"/>
        <v>41648</v>
      </c>
    </row>
    <row r="403" spans="1:1" x14ac:dyDescent="0.25">
      <c r="A403" s="10">
        <f t="shared" si="96"/>
        <v>41655</v>
      </c>
    </row>
    <row r="404" spans="1:1" x14ac:dyDescent="0.25">
      <c r="A404" s="10">
        <f t="shared" si="96"/>
        <v>41662</v>
      </c>
    </row>
    <row r="405" spans="1:1" x14ac:dyDescent="0.25">
      <c r="A405" s="10">
        <f t="shared" si="96"/>
        <v>41669</v>
      </c>
    </row>
    <row r="406" spans="1:1" x14ac:dyDescent="0.25">
      <c r="A406" s="10">
        <f t="shared" si="96"/>
        <v>41676</v>
      </c>
    </row>
    <row r="407" spans="1:1" x14ac:dyDescent="0.25">
      <c r="A407" s="10">
        <f t="shared" si="96"/>
        <v>41683</v>
      </c>
    </row>
    <row r="408" spans="1:1" x14ac:dyDescent="0.25">
      <c r="A408" s="10">
        <f t="shared" si="96"/>
        <v>41690</v>
      </c>
    </row>
    <row r="409" spans="1:1" x14ac:dyDescent="0.25">
      <c r="A409" s="10">
        <f t="shared" si="96"/>
        <v>41697</v>
      </c>
    </row>
    <row r="410" spans="1:1" x14ac:dyDescent="0.25">
      <c r="A410" s="10">
        <f t="shared" si="96"/>
        <v>41704</v>
      </c>
    </row>
    <row r="411" spans="1:1" x14ac:dyDescent="0.25">
      <c r="A411" s="10">
        <f t="shared" si="96"/>
        <v>41711</v>
      </c>
    </row>
    <row r="412" spans="1:1" x14ac:dyDescent="0.25">
      <c r="A412" s="10">
        <f t="shared" si="96"/>
        <v>41718</v>
      </c>
    </row>
    <row r="413" spans="1:1" x14ac:dyDescent="0.25">
      <c r="A413" s="10">
        <f t="shared" si="96"/>
        <v>41725</v>
      </c>
    </row>
    <row r="414" spans="1:1" x14ac:dyDescent="0.25">
      <c r="A414" s="10">
        <f t="shared" si="96"/>
        <v>41732</v>
      </c>
    </row>
    <row r="415" spans="1:1" x14ac:dyDescent="0.25">
      <c r="A415" s="10">
        <f t="shared" si="96"/>
        <v>41739</v>
      </c>
    </row>
    <row r="416" spans="1:1" x14ac:dyDescent="0.25">
      <c r="A416" s="10">
        <f t="shared" si="96"/>
        <v>41746</v>
      </c>
    </row>
    <row r="417" spans="1:1" x14ac:dyDescent="0.25">
      <c r="A417" s="10">
        <f t="shared" si="96"/>
        <v>41753</v>
      </c>
    </row>
    <row r="418" spans="1:1" x14ac:dyDescent="0.25">
      <c r="A418" s="10">
        <f t="shared" si="96"/>
        <v>41760</v>
      </c>
    </row>
    <row r="419" spans="1:1" x14ac:dyDescent="0.25">
      <c r="A419" s="10">
        <f t="shared" si="96"/>
        <v>41767</v>
      </c>
    </row>
    <row r="420" spans="1:1" x14ac:dyDescent="0.25">
      <c r="A420" s="10">
        <f t="shared" si="96"/>
        <v>41774</v>
      </c>
    </row>
    <row r="421" spans="1:1" x14ac:dyDescent="0.25">
      <c r="A421" s="10">
        <f t="shared" si="96"/>
        <v>41781</v>
      </c>
    </row>
    <row r="422" spans="1:1" x14ac:dyDescent="0.25">
      <c r="A422" s="10">
        <f t="shared" si="96"/>
        <v>41788</v>
      </c>
    </row>
    <row r="423" spans="1:1" x14ac:dyDescent="0.25">
      <c r="A423" s="10">
        <f t="shared" si="96"/>
        <v>41795</v>
      </c>
    </row>
    <row r="424" spans="1:1" x14ac:dyDescent="0.25">
      <c r="A424" s="10">
        <f t="shared" si="96"/>
        <v>41802</v>
      </c>
    </row>
    <row r="425" spans="1:1" x14ac:dyDescent="0.25">
      <c r="A425" s="10">
        <f t="shared" si="96"/>
        <v>41809</v>
      </c>
    </row>
    <row r="426" spans="1:1" x14ac:dyDescent="0.25">
      <c r="A426" s="10">
        <f t="shared" si="96"/>
        <v>41816</v>
      </c>
    </row>
    <row r="427" spans="1:1" x14ac:dyDescent="0.25">
      <c r="A427" s="10">
        <f t="shared" si="96"/>
        <v>41823</v>
      </c>
    </row>
    <row r="428" spans="1:1" x14ac:dyDescent="0.25">
      <c r="A428" s="10">
        <f t="shared" si="96"/>
        <v>41830</v>
      </c>
    </row>
    <row r="429" spans="1:1" x14ac:dyDescent="0.25">
      <c r="A429" s="10">
        <f t="shared" si="96"/>
        <v>41837</v>
      </c>
    </row>
    <row r="430" spans="1:1" x14ac:dyDescent="0.25">
      <c r="A430" s="10">
        <f t="shared" si="96"/>
        <v>41844</v>
      </c>
    </row>
    <row r="431" spans="1:1" x14ac:dyDescent="0.25">
      <c r="A431" s="10">
        <f t="shared" si="96"/>
        <v>41851</v>
      </c>
    </row>
    <row r="432" spans="1:1" x14ac:dyDescent="0.25">
      <c r="A432" s="10">
        <f t="shared" si="96"/>
        <v>41858</v>
      </c>
    </row>
    <row r="433" spans="1:1" x14ac:dyDescent="0.25">
      <c r="A433" s="10">
        <f t="shared" si="96"/>
        <v>41865</v>
      </c>
    </row>
    <row r="434" spans="1:1" x14ac:dyDescent="0.25">
      <c r="A434" s="10">
        <f t="shared" si="96"/>
        <v>41872</v>
      </c>
    </row>
    <row r="435" spans="1:1" x14ac:dyDescent="0.25">
      <c r="A435" s="10">
        <f t="shared" si="96"/>
        <v>41879</v>
      </c>
    </row>
    <row r="436" spans="1:1" x14ac:dyDescent="0.25">
      <c r="A436" s="10">
        <f t="shared" si="96"/>
        <v>41886</v>
      </c>
    </row>
    <row r="437" spans="1:1" x14ac:dyDescent="0.25">
      <c r="A437" s="10">
        <f t="shared" si="96"/>
        <v>41893</v>
      </c>
    </row>
    <row r="438" spans="1:1" x14ac:dyDescent="0.25">
      <c r="A438" s="10">
        <f t="shared" si="96"/>
        <v>41900</v>
      </c>
    </row>
    <row r="439" spans="1:1" x14ac:dyDescent="0.25">
      <c r="A439" s="10">
        <f t="shared" si="96"/>
        <v>41907</v>
      </c>
    </row>
    <row r="440" spans="1:1" x14ac:dyDescent="0.25">
      <c r="A440" s="10">
        <f t="shared" si="96"/>
        <v>41914</v>
      </c>
    </row>
    <row r="441" spans="1:1" x14ac:dyDescent="0.25">
      <c r="A441" s="10">
        <f t="shared" si="96"/>
        <v>41921</v>
      </c>
    </row>
    <row r="442" spans="1:1" x14ac:dyDescent="0.25">
      <c r="A442" s="10">
        <f t="shared" si="96"/>
        <v>41928</v>
      </c>
    </row>
    <row r="443" spans="1:1" x14ac:dyDescent="0.25">
      <c r="A443" s="10">
        <f t="shared" si="96"/>
        <v>41935</v>
      </c>
    </row>
    <row r="444" spans="1:1" x14ac:dyDescent="0.25">
      <c r="A444" s="10">
        <f t="shared" si="96"/>
        <v>41942</v>
      </c>
    </row>
    <row r="445" spans="1:1" x14ac:dyDescent="0.25">
      <c r="A445" s="10">
        <f t="shared" si="96"/>
        <v>41949</v>
      </c>
    </row>
    <row r="446" spans="1:1" x14ac:dyDescent="0.25">
      <c r="A446" s="10">
        <f t="shared" si="96"/>
        <v>41956</v>
      </c>
    </row>
    <row r="447" spans="1:1" x14ac:dyDescent="0.25">
      <c r="A447" s="10">
        <f t="shared" si="96"/>
        <v>41963</v>
      </c>
    </row>
    <row r="448" spans="1:1" x14ac:dyDescent="0.25">
      <c r="A448" s="10">
        <f t="shared" si="96"/>
        <v>41970</v>
      </c>
    </row>
    <row r="449" spans="1:1" x14ac:dyDescent="0.25">
      <c r="A449" s="10">
        <f t="shared" si="96"/>
        <v>41977</v>
      </c>
    </row>
    <row r="450" spans="1:1" x14ac:dyDescent="0.25">
      <c r="A450" s="10">
        <f t="shared" si="96"/>
        <v>41984</v>
      </c>
    </row>
    <row r="451" spans="1:1" x14ac:dyDescent="0.25">
      <c r="A451" s="10">
        <f t="shared" si="96"/>
        <v>41991</v>
      </c>
    </row>
    <row r="452" spans="1:1" x14ac:dyDescent="0.25">
      <c r="A452" s="10">
        <f t="shared" si="96"/>
        <v>41998</v>
      </c>
    </row>
    <row r="453" spans="1:1" x14ac:dyDescent="0.25">
      <c r="A453" s="10">
        <f t="shared" si="96"/>
        <v>42005</v>
      </c>
    </row>
    <row r="454" spans="1:1" x14ac:dyDescent="0.25">
      <c r="A454" s="10">
        <f t="shared" si="96"/>
        <v>42012</v>
      </c>
    </row>
    <row r="455" spans="1:1" x14ac:dyDescent="0.25">
      <c r="A455" s="10">
        <f t="shared" si="96"/>
        <v>42019</v>
      </c>
    </row>
    <row r="456" spans="1:1" x14ac:dyDescent="0.25">
      <c r="A456" s="10">
        <f t="shared" si="96"/>
        <v>42026</v>
      </c>
    </row>
    <row r="457" spans="1:1" x14ac:dyDescent="0.25">
      <c r="A457" s="10">
        <f t="shared" si="96"/>
        <v>42033</v>
      </c>
    </row>
    <row r="458" spans="1:1" x14ac:dyDescent="0.25">
      <c r="A458" s="10">
        <f t="shared" si="96"/>
        <v>42040</v>
      </c>
    </row>
    <row r="459" spans="1:1" x14ac:dyDescent="0.25">
      <c r="A459" s="10">
        <f t="shared" si="96"/>
        <v>42047</v>
      </c>
    </row>
    <row r="460" spans="1:1" x14ac:dyDescent="0.25">
      <c r="A460" s="10">
        <f t="shared" si="96"/>
        <v>42054</v>
      </c>
    </row>
    <row r="461" spans="1:1" x14ac:dyDescent="0.25">
      <c r="A461" s="10">
        <f t="shared" si="96"/>
        <v>42061</v>
      </c>
    </row>
    <row r="462" spans="1:1" x14ac:dyDescent="0.25">
      <c r="A462" s="10">
        <f t="shared" ref="A462:A525" si="97">+A461+7</f>
        <v>42068</v>
      </c>
    </row>
    <row r="463" spans="1:1" x14ac:dyDescent="0.25">
      <c r="A463" s="10">
        <f t="shared" si="97"/>
        <v>42075</v>
      </c>
    </row>
    <row r="464" spans="1:1" x14ac:dyDescent="0.25">
      <c r="A464" s="10">
        <f t="shared" si="97"/>
        <v>42082</v>
      </c>
    </row>
    <row r="465" spans="1:1" x14ac:dyDescent="0.25">
      <c r="A465" s="10">
        <f t="shared" si="97"/>
        <v>42089</v>
      </c>
    </row>
    <row r="466" spans="1:1" x14ac:dyDescent="0.25">
      <c r="A466" s="10">
        <f t="shared" si="97"/>
        <v>42096</v>
      </c>
    </row>
    <row r="467" spans="1:1" x14ac:dyDescent="0.25">
      <c r="A467" s="10">
        <f t="shared" si="97"/>
        <v>42103</v>
      </c>
    </row>
    <row r="468" spans="1:1" x14ac:dyDescent="0.25">
      <c r="A468" s="10">
        <f t="shared" si="97"/>
        <v>42110</v>
      </c>
    </row>
    <row r="469" spans="1:1" x14ac:dyDescent="0.25">
      <c r="A469" s="10">
        <f t="shared" si="97"/>
        <v>42117</v>
      </c>
    </row>
    <row r="470" spans="1:1" x14ac:dyDescent="0.25">
      <c r="A470" s="10">
        <f t="shared" si="97"/>
        <v>42124</v>
      </c>
    </row>
    <row r="471" spans="1:1" x14ac:dyDescent="0.25">
      <c r="A471" s="10">
        <f t="shared" si="97"/>
        <v>42131</v>
      </c>
    </row>
    <row r="472" spans="1:1" x14ac:dyDescent="0.25">
      <c r="A472" s="10">
        <f t="shared" si="97"/>
        <v>42138</v>
      </c>
    </row>
    <row r="473" spans="1:1" x14ac:dyDescent="0.25">
      <c r="A473" s="10">
        <f t="shared" si="97"/>
        <v>42145</v>
      </c>
    </row>
    <row r="474" spans="1:1" x14ac:dyDescent="0.25">
      <c r="A474" s="10">
        <f t="shared" si="97"/>
        <v>42152</v>
      </c>
    </row>
    <row r="475" spans="1:1" x14ac:dyDescent="0.25">
      <c r="A475" s="10">
        <f t="shared" si="97"/>
        <v>42159</v>
      </c>
    </row>
    <row r="476" spans="1:1" x14ac:dyDescent="0.25">
      <c r="A476" s="10">
        <f t="shared" si="97"/>
        <v>42166</v>
      </c>
    </row>
    <row r="477" spans="1:1" x14ac:dyDescent="0.25">
      <c r="A477" s="10">
        <f t="shared" si="97"/>
        <v>42173</v>
      </c>
    </row>
    <row r="478" spans="1:1" x14ac:dyDescent="0.25">
      <c r="A478" s="10">
        <f t="shared" si="97"/>
        <v>42180</v>
      </c>
    </row>
    <row r="479" spans="1:1" x14ac:dyDescent="0.25">
      <c r="A479" s="10">
        <f t="shared" si="97"/>
        <v>42187</v>
      </c>
    </row>
    <row r="480" spans="1:1" x14ac:dyDescent="0.25">
      <c r="A480" s="10">
        <f t="shared" si="97"/>
        <v>42194</v>
      </c>
    </row>
    <row r="481" spans="1:1" x14ac:dyDescent="0.25">
      <c r="A481" s="10">
        <f t="shared" si="97"/>
        <v>42201</v>
      </c>
    </row>
    <row r="482" spans="1:1" x14ac:dyDescent="0.25">
      <c r="A482" s="10">
        <f t="shared" si="97"/>
        <v>42208</v>
      </c>
    </row>
    <row r="483" spans="1:1" x14ac:dyDescent="0.25">
      <c r="A483" s="10">
        <f t="shared" si="97"/>
        <v>42215</v>
      </c>
    </row>
    <row r="484" spans="1:1" x14ac:dyDescent="0.25">
      <c r="A484" s="10">
        <f t="shared" si="97"/>
        <v>42222</v>
      </c>
    </row>
    <row r="485" spans="1:1" x14ac:dyDescent="0.25">
      <c r="A485" s="10">
        <f t="shared" si="97"/>
        <v>42229</v>
      </c>
    </row>
    <row r="486" spans="1:1" x14ac:dyDescent="0.25">
      <c r="A486" s="10">
        <f t="shared" si="97"/>
        <v>42236</v>
      </c>
    </row>
    <row r="487" spans="1:1" x14ac:dyDescent="0.25">
      <c r="A487" s="10">
        <f t="shared" si="97"/>
        <v>42243</v>
      </c>
    </row>
    <row r="488" spans="1:1" x14ac:dyDescent="0.25">
      <c r="A488" s="10">
        <f t="shared" si="97"/>
        <v>42250</v>
      </c>
    </row>
    <row r="489" spans="1:1" x14ac:dyDescent="0.25">
      <c r="A489" s="10">
        <f t="shared" si="97"/>
        <v>42257</v>
      </c>
    </row>
    <row r="490" spans="1:1" x14ac:dyDescent="0.25">
      <c r="A490" s="10">
        <f t="shared" si="97"/>
        <v>42264</v>
      </c>
    </row>
    <row r="491" spans="1:1" x14ac:dyDescent="0.25">
      <c r="A491" s="10">
        <f t="shared" si="97"/>
        <v>42271</v>
      </c>
    </row>
    <row r="492" spans="1:1" x14ac:dyDescent="0.25">
      <c r="A492" s="10">
        <f t="shared" si="97"/>
        <v>42278</v>
      </c>
    </row>
    <row r="493" spans="1:1" x14ac:dyDescent="0.25">
      <c r="A493" s="10">
        <f t="shared" si="97"/>
        <v>42285</v>
      </c>
    </row>
    <row r="494" spans="1:1" x14ac:dyDescent="0.25">
      <c r="A494" s="10">
        <f t="shared" si="97"/>
        <v>42292</v>
      </c>
    </row>
    <row r="495" spans="1:1" x14ac:dyDescent="0.25">
      <c r="A495" s="10">
        <f t="shared" si="97"/>
        <v>42299</v>
      </c>
    </row>
    <row r="496" spans="1:1" x14ac:dyDescent="0.25">
      <c r="A496" s="10">
        <f t="shared" si="97"/>
        <v>42306</v>
      </c>
    </row>
    <row r="497" spans="1:1" x14ac:dyDescent="0.25">
      <c r="A497" s="10">
        <f t="shared" si="97"/>
        <v>42313</v>
      </c>
    </row>
    <row r="498" spans="1:1" x14ac:dyDescent="0.25">
      <c r="A498" s="10">
        <f t="shared" si="97"/>
        <v>42320</v>
      </c>
    </row>
    <row r="499" spans="1:1" x14ac:dyDescent="0.25">
      <c r="A499" s="10">
        <f t="shared" si="97"/>
        <v>42327</v>
      </c>
    </row>
    <row r="500" spans="1:1" x14ac:dyDescent="0.25">
      <c r="A500" s="10">
        <f t="shared" si="97"/>
        <v>42334</v>
      </c>
    </row>
    <row r="501" spans="1:1" x14ac:dyDescent="0.25">
      <c r="A501" s="10">
        <f t="shared" si="97"/>
        <v>42341</v>
      </c>
    </row>
    <row r="502" spans="1:1" x14ac:dyDescent="0.25">
      <c r="A502" s="10">
        <f t="shared" si="97"/>
        <v>42348</v>
      </c>
    </row>
    <row r="503" spans="1:1" x14ac:dyDescent="0.25">
      <c r="A503" s="10">
        <f t="shared" si="97"/>
        <v>42355</v>
      </c>
    </row>
    <row r="504" spans="1:1" x14ac:dyDescent="0.25">
      <c r="A504" s="10">
        <f t="shared" si="97"/>
        <v>42362</v>
      </c>
    </row>
    <row r="505" spans="1:1" x14ac:dyDescent="0.25">
      <c r="A505" s="10">
        <f t="shared" si="97"/>
        <v>42369</v>
      </c>
    </row>
    <row r="506" spans="1:1" x14ac:dyDescent="0.25">
      <c r="A506" s="10">
        <f t="shared" si="97"/>
        <v>42376</v>
      </c>
    </row>
    <row r="507" spans="1:1" x14ac:dyDescent="0.25">
      <c r="A507" s="10">
        <f t="shared" si="97"/>
        <v>42383</v>
      </c>
    </row>
    <row r="508" spans="1:1" x14ac:dyDescent="0.25">
      <c r="A508" s="10">
        <f t="shared" si="97"/>
        <v>42390</v>
      </c>
    </row>
    <row r="509" spans="1:1" x14ac:dyDescent="0.25">
      <c r="A509" s="10">
        <f t="shared" si="97"/>
        <v>42397</v>
      </c>
    </row>
    <row r="510" spans="1:1" x14ac:dyDescent="0.25">
      <c r="A510" s="10">
        <f t="shared" si="97"/>
        <v>42404</v>
      </c>
    </row>
    <row r="511" spans="1:1" x14ac:dyDescent="0.25">
      <c r="A511" s="10">
        <f t="shared" si="97"/>
        <v>42411</v>
      </c>
    </row>
    <row r="512" spans="1:1" x14ac:dyDescent="0.25">
      <c r="A512" s="10">
        <f t="shared" si="97"/>
        <v>42418</v>
      </c>
    </row>
    <row r="513" spans="1:1" x14ac:dyDescent="0.25">
      <c r="A513" s="10">
        <f t="shared" si="97"/>
        <v>42425</v>
      </c>
    </row>
    <row r="514" spans="1:1" x14ac:dyDescent="0.25">
      <c r="A514" s="10">
        <f t="shared" si="97"/>
        <v>42432</v>
      </c>
    </row>
    <row r="515" spans="1:1" x14ac:dyDescent="0.25">
      <c r="A515" s="10">
        <f t="shared" si="97"/>
        <v>42439</v>
      </c>
    </row>
    <row r="516" spans="1:1" x14ac:dyDescent="0.25">
      <c r="A516" s="10">
        <f t="shared" si="97"/>
        <v>42446</v>
      </c>
    </row>
    <row r="517" spans="1:1" x14ac:dyDescent="0.25">
      <c r="A517" s="10">
        <f t="shared" si="97"/>
        <v>42453</v>
      </c>
    </row>
    <row r="518" spans="1:1" x14ac:dyDescent="0.25">
      <c r="A518" s="10">
        <f t="shared" si="97"/>
        <v>42460</v>
      </c>
    </row>
    <row r="519" spans="1:1" x14ac:dyDescent="0.25">
      <c r="A519" s="10">
        <f t="shared" si="97"/>
        <v>42467</v>
      </c>
    </row>
    <row r="520" spans="1:1" x14ac:dyDescent="0.25">
      <c r="A520" s="10">
        <f t="shared" si="97"/>
        <v>42474</v>
      </c>
    </row>
    <row r="521" spans="1:1" x14ac:dyDescent="0.25">
      <c r="A521" s="10">
        <f t="shared" si="97"/>
        <v>42481</v>
      </c>
    </row>
    <row r="522" spans="1:1" x14ac:dyDescent="0.25">
      <c r="A522" s="10">
        <f t="shared" si="97"/>
        <v>42488</v>
      </c>
    </row>
    <row r="523" spans="1:1" x14ac:dyDescent="0.25">
      <c r="A523" s="10">
        <f t="shared" si="97"/>
        <v>42495</v>
      </c>
    </row>
    <row r="524" spans="1:1" x14ac:dyDescent="0.25">
      <c r="A524" s="10">
        <f t="shared" si="97"/>
        <v>42502</v>
      </c>
    </row>
    <row r="525" spans="1:1" x14ac:dyDescent="0.25">
      <c r="A525" s="10">
        <f t="shared" si="97"/>
        <v>42509</v>
      </c>
    </row>
    <row r="526" spans="1:1" x14ac:dyDescent="0.25">
      <c r="A526" s="10">
        <f t="shared" ref="A526:A589" si="98">+A525+7</f>
        <v>42516</v>
      </c>
    </row>
    <row r="527" spans="1:1" x14ac:dyDescent="0.25">
      <c r="A527" s="10">
        <f t="shared" si="98"/>
        <v>42523</v>
      </c>
    </row>
    <row r="528" spans="1:1" x14ac:dyDescent="0.25">
      <c r="A528" s="10">
        <f t="shared" si="98"/>
        <v>42530</v>
      </c>
    </row>
    <row r="529" spans="1:1" x14ac:dyDescent="0.25">
      <c r="A529" s="10">
        <f t="shared" si="98"/>
        <v>42537</v>
      </c>
    </row>
    <row r="530" spans="1:1" x14ac:dyDescent="0.25">
      <c r="A530" s="10">
        <f t="shared" si="98"/>
        <v>42544</v>
      </c>
    </row>
    <row r="531" spans="1:1" x14ac:dyDescent="0.25">
      <c r="A531" s="10">
        <f t="shared" si="98"/>
        <v>42551</v>
      </c>
    </row>
    <row r="532" spans="1:1" x14ac:dyDescent="0.25">
      <c r="A532" s="10">
        <f t="shared" si="98"/>
        <v>42558</v>
      </c>
    </row>
    <row r="533" spans="1:1" x14ac:dyDescent="0.25">
      <c r="A533" s="10">
        <f t="shared" si="98"/>
        <v>42565</v>
      </c>
    </row>
    <row r="534" spans="1:1" x14ac:dyDescent="0.25">
      <c r="A534" s="10">
        <f t="shared" si="98"/>
        <v>42572</v>
      </c>
    </row>
    <row r="535" spans="1:1" x14ac:dyDescent="0.25">
      <c r="A535" s="10">
        <f t="shared" si="98"/>
        <v>42579</v>
      </c>
    </row>
    <row r="536" spans="1:1" x14ac:dyDescent="0.25">
      <c r="A536" s="10">
        <f t="shared" si="98"/>
        <v>42586</v>
      </c>
    </row>
    <row r="537" spans="1:1" x14ac:dyDescent="0.25">
      <c r="A537" s="10">
        <f t="shared" si="98"/>
        <v>42593</v>
      </c>
    </row>
    <row r="538" spans="1:1" x14ac:dyDescent="0.25">
      <c r="A538" s="10">
        <f t="shared" si="98"/>
        <v>42600</v>
      </c>
    </row>
    <row r="539" spans="1:1" x14ac:dyDescent="0.25">
      <c r="A539" s="10">
        <f t="shared" si="98"/>
        <v>42607</v>
      </c>
    </row>
    <row r="540" spans="1:1" x14ac:dyDescent="0.25">
      <c r="A540" s="10">
        <f t="shared" si="98"/>
        <v>42614</v>
      </c>
    </row>
    <row r="541" spans="1:1" x14ac:dyDescent="0.25">
      <c r="A541" s="10">
        <f t="shared" si="98"/>
        <v>42621</v>
      </c>
    </row>
    <row r="542" spans="1:1" x14ac:dyDescent="0.25">
      <c r="A542" s="10">
        <f t="shared" si="98"/>
        <v>42628</v>
      </c>
    </row>
    <row r="543" spans="1:1" x14ac:dyDescent="0.25">
      <c r="A543" s="10">
        <f t="shared" si="98"/>
        <v>42635</v>
      </c>
    </row>
    <row r="544" spans="1:1" x14ac:dyDescent="0.25">
      <c r="A544" s="10">
        <f t="shared" si="98"/>
        <v>42642</v>
      </c>
    </row>
    <row r="545" spans="1:1" x14ac:dyDescent="0.25">
      <c r="A545" s="10">
        <f t="shared" si="98"/>
        <v>42649</v>
      </c>
    </row>
    <row r="546" spans="1:1" x14ac:dyDescent="0.25">
      <c r="A546" s="10">
        <f t="shared" si="98"/>
        <v>42656</v>
      </c>
    </row>
    <row r="547" spans="1:1" x14ac:dyDescent="0.25">
      <c r="A547" s="10">
        <f t="shared" si="98"/>
        <v>42663</v>
      </c>
    </row>
    <row r="548" spans="1:1" x14ac:dyDescent="0.25">
      <c r="A548" s="10">
        <f t="shared" si="98"/>
        <v>42670</v>
      </c>
    </row>
    <row r="549" spans="1:1" x14ac:dyDescent="0.25">
      <c r="A549" s="10">
        <f t="shared" si="98"/>
        <v>42677</v>
      </c>
    </row>
    <row r="550" spans="1:1" x14ac:dyDescent="0.25">
      <c r="A550" s="10">
        <f t="shared" si="98"/>
        <v>42684</v>
      </c>
    </row>
    <row r="551" spans="1:1" x14ac:dyDescent="0.25">
      <c r="A551" s="10">
        <f t="shared" si="98"/>
        <v>42691</v>
      </c>
    </row>
    <row r="552" spans="1:1" x14ac:dyDescent="0.25">
      <c r="A552" s="10">
        <f t="shared" si="98"/>
        <v>42698</v>
      </c>
    </row>
    <row r="553" spans="1:1" x14ac:dyDescent="0.25">
      <c r="A553" s="10">
        <f t="shared" si="98"/>
        <v>42705</v>
      </c>
    </row>
    <row r="554" spans="1:1" x14ac:dyDescent="0.25">
      <c r="A554" s="10">
        <f t="shared" si="98"/>
        <v>42712</v>
      </c>
    </row>
    <row r="555" spans="1:1" x14ac:dyDescent="0.25">
      <c r="A555" s="10">
        <f t="shared" si="98"/>
        <v>42719</v>
      </c>
    </row>
    <row r="556" spans="1:1" x14ac:dyDescent="0.25">
      <c r="A556" s="10">
        <f t="shared" si="98"/>
        <v>42726</v>
      </c>
    </row>
    <row r="557" spans="1:1" x14ac:dyDescent="0.25">
      <c r="A557" s="10">
        <f t="shared" si="98"/>
        <v>42733</v>
      </c>
    </row>
    <row r="558" spans="1:1" x14ac:dyDescent="0.25">
      <c r="A558" s="10">
        <f t="shared" si="98"/>
        <v>42740</v>
      </c>
    </row>
    <row r="559" spans="1:1" x14ac:dyDescent="0.25">
      <c r="A559" s="10">
        <f t="shared" si="98"/>
        <v>42747</v>
      </c>
    </row>
    <row r="560" spans="1:1" x14ac:dyDescent="0.25">
      <c r="A560" s="10">
        <f t="shared" si="98"/>
        <v>42754</v>
      </c>
    </row>
    <row r="561" spans="1:1" x14ac:dyDescent="0.25">
      <c r="A561" s="10">
        <f t="shared" si="98"/>
        <v>42761</v>
      </c>
    </row>
    <row r="562" spans="1:1" x14ac:dyDescent="0.25">
      <c r="A562" s="10">
        <f t="shared" si="98"/>
        <v>42768</v>
      </c>
    </row>
    <row r="563" spans="1:1" x14ac:dyDescent="0.25">
      <c r="A563" s="10">
        <f t="shared" si="98"/>
        <v>42775</v>
      </c>
    </row>
    <row r="564" spans="1:1" x14ac:dyDescent="0.25">
      <c r="A564" s="10">
        <f t="shared" si="98"/>
        <v>42782</v>
      </c>
    </row>
    <row r="565" spans="1:1" x14ac:dyDescent="0.25">
      <c r="A565" s="10">
        <f t="shared" si="98"/>
        <v>42789</v>
      </c>
    </row>
    <row r="566" spans="1:1" x14ac:dyDescent="0.25">
      <c r="A566" s="10">
        <f t="shared" si="98"/>
        <v>42796</v>
      </c>
    </row>
    <row r="567" spans="1:1" x14ac:dyDescent="0.25">
      <c r="A567" s="10">
        <f t="shared" si="98"/>
        <v>42803</v>
      </c>
    </row>
    <row r="568" spans="1:1" x14ac:dyDescent="0.25">
      <c r="A568" s="10">
        <f t="shared" si="98"/>
        <v>42810</v>
      </c>
    </row>
    <row r="569" spans="1:1" x14ac:dyDescent="0.25">
      <c r="A569" s="10">
        <f t="shared" si="98"/>
        <v>42817</v>
      </c>
    </row>
    <row r="570" spans="1:1" x14ac:dyDescent="0.25">
      <c r="A570" s="10">
        <f t="shared" si="98"/>
        <v>42824</v>
      </c>
    </row>
    <row r="571" spans="1:1" x14ac:dyDescent="0.25">
      <c r="A571" s="10">
        <f t="shared" si="98"/>
        <v>42831</v>
      </c>
    </row>
    <row r="572" spans="1:1" x14ac:dyDescent="0.25">
      <c r="A572" s="10">
        <f t="shared" si="98"/>
        <v>42838</v>
      </c>
    </row>
    <row r="573" spans="1:1" x14ac:dyDescent="0.25">
      <c r="A573" s="10">
        <f t="shared" si="98"/>
        <v>42845</v>
      </c>
    </row>
    <row r="574" spans="1:1" x14ac:dyDescent="0.25">
      <c r="A574" s="10">
        <f t="shared" si="98"/>
        <v>42852</v>
      </c>
    </row>
    <row r="575" spans="1:1" x14ac:dyDescent="0.25">
      <c r="A575" s="10">
        <f t="shared" si="98"/>
        <v>42859</v>
      </c>
    </row>
    <row r="576" spans="1:1" x14ac:dyDescent="0.25">
      <c r="A576" s="10">
        <f t="shared" si="98"/>
        <v>42866</v>
      </c>
    </row>
    <row r="577" spans="1:1" x14ac:dyDescent="0.25">
      <c r="A577" s="10">
        <f t="shared" si="98"/>
        <v>42873</v>
      </c>
    </row>
    <row r="578" spans="1:1" x14ac:dyDescent="0.25">
      <c r="A578" s="10">
        <f t="shared" si="98"/>
        <v>42880</v>
      </c>
    </row>
    <row r="579" spans="1:1" x14ac:dyDescent="0.25">
      <c r="A579" s="10">
        <f t="shared" si="98"/>
        <v>42887</v>
      </c>
    </row>
    <row r="580" spans="1:1" x14ac:dyDescent="0.25">
      <c r="A580" s="10">
        <f t="shared" si="98"/>
        <v>42894</v>
      </c>
    </row>
    <row r="581" spans="1:1" x14ac:dyDescent="0.25">
      <c r="A581" s="10">
        <f t="shared" si="98"/>
        <v>42901</v>
      </c>
    </row>
    <row r="582" spans="1:1" x14ac:dyDescent="0.25">
      <c r="A582" s="10">
        <f t="shared" si="98"/>
        <v>42908</v>
      </c>
    </row>
    <row r="583" spans="1:1" x14ac:dyDescent="0.25">
      <c r="A583" s="10">
        <f t="shared" si="98"/>
        <v>42915</v>
      </c>
    </row>
    <row r="584" spans="1:1" x14ac:dyDescent="0.25">
      <c r="A584" s="10">
        <f t="shared" si="98"/>
        <v>42922</v>
      </c>
    </row>
    <row r="585" spans="1:1" x14ac:dyDescent="0.25">
      <c r="A585" s="10">
        <f t="shared" si="98"/>
        <v>42929</v>
      </c>
    </row>
    <row r="586" spans="1:1" x14ac:dyDescent="0.25">
      <c r="A586" s="10">
        <f t="shared" si="98"/>
        <v>42936</v>
      </c>
    </row>
    <row r="587" spans="1:1" x14ac:dyDescent="0.25">
      <c r="A587" s="10">
        <f t="shared" si="98"/>
        <v>42943</v>
      </c>
    </row>
    <row r="588" spans="1:1" x14ac:dyDescent="0.25">
      <c r="A588" s="10">
        <f t="shared" si="98"/>
        <v>42950</v>
      </c>
    </row>
    <row r="589" spans="1:1" x14ac:dyDescent="0.25">
      <c r="A589" s="10">
        <f t="shared" si="98"/>
        <v>42957</v>
      </c>
    </row>
    <row r="590" spans="1:1" x14ac:dyDescent="0.25">
      <c r="A590" s="10">
        <f t="shared" ref="A590:A653" si="99">+A589+7</f>
        <v>42964</v>
      </c>
    </row>
    <row r="591" spans="1:1" x14ac:dyDescent="0.25">
      <c r="A591" s="10">
        <f t="shared" si="99"/>
        <v>42971</v>
      </c>
    </row>
    <row r="592" spans="1:1" x14ac:dyDescent="0.25">
      <c r="A592" s="10">
        <f t="shared" si="99"/>
        <v>42978</v>
      </c>
    </row>
    <row r="593" spans="1:1" x14ac:dyDescent="0.25">
      <c r="A593" s="10">
        <f t="shared" si="99"/>
        <v>42985</v>
      </c>
    </row>
    <row r="594" spans="1:1" x14ac:dyDescent="0.25">
      <c r="A594" s="10">
        <f t="shared" si="99"/>
        <v>42992</v>
      </c>
    </row>
    <row r="595" spans="1:1" x14ac:dyDescent="0.25">
      <c r="A595" s="10">
        <f t="shared" si="99"/>
        <v>42999</v>
      </c>
    </row>
    <row r="596" spans="1:1" x14ac:dyDescent="0.25">
      <c r="A596" s="10">
        <f t="shared" si="99"/>
        <v>43006</v>
      </c>
    </row>
    <row r="597" spans="1:1" x14ac:dyDescent="0.25">
      <c r="A597" s="10">
        <f t="shared" si="99"/>
        <v>43013</v>
      </c>
    </row>
    <row r="598" spans="1:1" x14ac:dyDescent="0.25">
      <c r="A598" s="10">
        <f t="shared" si="99"/>
        <v>43020</v>
      </c>
    </row>
    <row r="599" spans="1:1" x14ac:dyDescent="0.25">
      <c r="A599" s="10">
        <f t="shared" si="99"/>
        <v>43027</v>
      </c>
    </row>
    <row r="600" spans="1:1" x14ac:dyDescent="0.25">
      <c r="A600" s="10">
        <f t="shared" si="99"/>
        <v>43034</v>
      </c>
    </row>
    <row r="601" spans="1:1" x14ac:dyDescent="0.25">
      <c r="A601" s="10">
        <f t="shared" si="99"/>
        <v>43041</v>
      </c>
    </row>
    <row r="602" spans="1:1" x14ac:dyDescent="0.25">
      <c r="A602" s="10">
        <f t="shared" si="99"/>
        <v>43048</v>
      </c>
    </row>
    <row r="603" spans="1:1" x14ac:dyDescent="0.25">
      <c r="A603" s="10">
        <f t="shared" si="99"/>
        <v>43055</v>
      </c>
    </row>
    <row r="604" spans="1:1" x14ac:dyDescent="0.25">
      <c r="A604" s="10">
        <f t="shared" si="99"/>
        <v>43062</v>
      </c>
    </row>
    <row r="605" spans="1:1" x14ac:dyDescent="0.25">
      <c r="A605" s="10">
        <f t="shared" si="99"/>
        <v>43069</v>
      </c>
    </row>
    <row r="606" spans="1:1" x14ac:dyDescent="0.25">
      <c r="A606" s="10">
        <f t="shared" si="99"/>
        <v>43076</v>
      </c>
    </row>
    <row r="607" spans="1:1" x14ac:dyDescent="0.25">
      <c r="A607" s="10">
        <f t="shared" si="99"/>
        <v>43083</v>
      </c>
    </row>
    <row r="608" spans="1:1" x14ac:dyDescent="0.25">
      <c r="A608" s="10">
        <f t="shared" si="99"/>
        <v>43090</v>
      </c>
    </row>
    <row r="609" spans="1:1" x14ac:dyDescent="0.25">
      <c r="A609" s="10">
        <f t="shared" si="99"/>
        <v>43097</v>
      </c>
    </row>
    <row r="610" spans="1:1" x14ac:dyDescent="0.25">
      <c r="A610" s="10">
        <f t="shared" si="99"/>
        <v>43104</v>
      </c>
    </row>
    <row r="611" spans="1:1" x14ac:dyDescent="0.25">
      <c r="A611" s="10">
        <f t="shared" si="99"/>
        <v>43111</v>
      </c>
    </row>
    <row r="612" spans="1:1" x14ac:dyDescent="0.25">
      <c r="A612" s="10">
        <f t="shared" si="99"/>
        <v>43118</v>
      </c>
    </row>
    <row r="613" spans="1:1" x14ac:dyDescent="0.25">
      <c r="A613" s="10">
        <f t="shared" si="99"/>
        <v>43125</v>
      </c>
    </row>
    <row r="614" spans="1:1" x14ac:dyDescent="0.25">
      <c r="A614" s="10">
        <f t="shared" si="99"/>
        <v>43132</v>
      </c>
    </row>
    <row r="615" spans="1:1" x14ac:dyDescent="0.25">
      <c r="A615" s="10">
        <f t="shared" si="99"/>
        <v>43139</v>
      </c>
    </row>
    <row r="616" spans="1:1" x14ac:dyDescent="0.25">
      <c r="A616" s="10">
        <f t="shared" si="99"/>
        <v>43146</v>
      </c>
    </row>
    <row r="617" spans="1:1" x14ac:dyDescent="0.25">
      <c r="A617" s="10">
        <f t="shared" si="99"/>
        <v>43153</v>
      </c>
    </row>
    <row r="618" spans="1:1" x14ac:dyDescent="0.25">
      <c r="A618" s="10">
        <f t="shared" si="99"/>
        <v>43160</v>
      </c>
    </row>
    <row r="619" spans="1:1" x14ac:dyDescent="0.25">
      <c r="A619" s="10">
        <f t="shared" si="99"/>
        <v>43167</v>
      </c>
    </row>
    <row r="620" spans="1:1" x14ac:dyDescent="0.25">
      <c r="A620" s="10">
        <f t="shared" si="99"/>
        <v>43174</v>
      </c>
    </row>
    <row r="621" spans="1:1" x14ac:dyDescent="0.25">
      <c r="A621" s="10">
        <f t="shared" si="99"/>
        <v>43181</v>
      </c>
    </row>
    <row r="622" spans="1:1" x14ac:dyDescent="0.25">
      <c r="A622" s="10">
        <f t="shared" si="99"/>
        <v>43188</v>
      </c>
    </row>
    <row r="623" spans="1:1" x14ac:dyDescent="0.25">
      <c r="A623" s="10">
        <f t="shared" si="99"/>
        <v>43195</v>
      </c>
    </row>
    <row r="624" spans="1:1" x14ac:dyDescent="0.25">
      <c r="A624" s="10">
        <f t="shared" si="99"/>
        <v>43202</v>
      </c>
    </row>
    <row r="625" spans="1:1" x14ac:dyDescent="0.25">
      <c r="A625" s="10">
        <f t="shared" si="99"/>
        <v>43209</v>
      </c>
    </row>
    <row r="626" spans="1:1" x14ac:dyDescent="0.25">
      <c r="A626" s="10">
        <f t="shared" si="99"/>
        <v>43216</v>
      </c>
    </row>
    <row r="627" spans="1:1" x14ac:dyDescent="0.25">
      <c r="A627" s="10">
        <f t="shared" si="99"/>
        <v>43223</v>
      </c>
    </row>
    <row r="628" spans="1:1" x14ac:dyDescent="0.25">
      <c r="A628" s="10">
        <f t="shared" si="99"/>
        <v>43230</v>
      </c>
    </row>
    <row r="629" spans="1:1" x14ac:dyDescent="0.25">
      <c r="A629" s="10">
        <f t="shared" si="99"/>
        <v>43237</v>
      </c>
    </row>
    <row r="630" spans="1:1" x14ac:dyDescent="0.25">
      <c r="A630" s="10">
        <f t="shared" si="99"/>
        <v>43244</v>
      </c>
    </row>
    <row r="631" spans="1:1" x14ac:dyDescent="0.25">
      <c r="A631" s="10">
        <f t="shared" si="99"/>
        <v>43251</v>
      </c>
    </row>
    <row r="632" spans="1:1" x14ac:dyDescent="0.25">
      <c r="A632" s="10">
        <f t="shared" si="99"/>
        <v>43258</v>
      </c>
    </row>
    <row r="633" spans="1:1" x14ac:dyDescent="0.25">
      <c r="A633" s="10">
        <f t="shared" si="99"/>
        <v>43265</v>
      </c>
    </row>
    <row r="634" spans="1:1" x14ac:dyDescent="0.25">
      <c r="A634" s="10">
        <f t="shared" si="99"/>
        <v>43272</v>
      </c>
    </row>
    <row r="635" spans="1:1" x14ac:dyDescent="0.25">
      <c r="A635" s="10">
        <f t="shared" si="99"/>
        <v>43279</v>
      </c>
    </row>
    <row r="636" spans="1:1" x14ac:dyDescent="0.25">
      <c r="A636" s="10">
        <f t="shared" si="99"/>
        <v>43286</v>
      </c>
    </row>
    <row r="637" spans="1:1" x14ac:dyDescent="0.25">
      <c r="A637" s="10">
        <f t="shared" si="99"/>
        <v>43293</v>
      </c>
    </row>
    <row r="638" spans="1:1" x14ac:dyDescent="0.25">
      <c r="A638" s="10">
        <f t="shared" si="99"/>
        <v>43300</v>
      </c>
    </row>
    <row r="639" spans="1:1" x14ac:dyDescent="0.25">
      <c r="A639" s="10">
        <f t="shared" si="99"/>
        <v>43307</v>
      </c>
    </row>
    <row r="640" spans="1:1" x14ac:dyDescent="0.25">
      <c r="A640" s="10">
        <f t="shared" si="99"/>
        <v>43314</v>
      </c>
    </row>
    <row r="641" spans="1:1" x14ac:dyDescent="0.25">
      <c r="A641" s="10">
        <f t="shared" si="99"/>
        <v>43321</v>
      </c>
    </row>
    <row r="642" spans="1:1" x14ac:dyDescent="0.25">
      <c r="A642" s="10">
        <f t="shared" si="99"/>
        <v>43328</v>
      </c>
    </row>
    <row r="643" spans="1:1" x14ac:dyDescent="0.25">
      <c r="A643" s="10">
        <f t="shared" si="99"/>
        <v>43335</v>
      </c>
    </row>
    <row r="644" spans="1:1" x14ac:dyDescent="0.25">
      <c r="A644" s="10">
        <f t="shared" si="99"/>
        <v>43342</v>
      </c>
    </row>
    <row r="645" spans="1:1" x14ac:dyDescent="0.25">
      <c r="A645" s="10">
        <f t="shared" si="99"/>
        <v>43349</v>
      </c>
    </row>
    <row r="646" spans="1:1" x14ac:dyDescent="0.25">
      <c r="A646" s="10">
        <f t="shared" si="99"/>
        <v>43356</v>
      </c>
    </row>
    <row r="647" spans="1:1" x14ac:dyDescent="0.25">
      <c r="A647" s="10">
        <f t="shared" si="99"/>
        <v>43363</v>
      </c>
    </row>
    <row r="648" spans="1:1" x14ac:dyDescent="0.25">
      <c r="A648" s="10">
        <f t="shared" si="99"/>
        <v>43370</v>
      </c>
    </row>
    <row r="649" spans="1:1" x14ac:dyDescent="0.25">
      <c r="A649" s="10">
        <f t="shared" si="99"/>
        <v>43377</v>
      </c>
    </row>
    <row r="650" spans="1:1" x14ac:dyDescent="0.25">
      <c r="A650" s="10">
        <f t="shared" si="99"/>
        <v>43384</v>
      </c>
    </row>
    <row r="651" spans="1:1" x14ac:dyDescent="0.25">
      <c r="A651" s="10">
        <f t="shared" si="99"/>
        <v>43391</v>
      </c>
    </row>
    <row r="652" spans="1:1" x14ac:dyDescent="0.25">
      <c r="A652" s="10">
        <f t="shared" si="99"/>
        <v>43398</v>
      </c>
    </row>
    <row r="653" spans="1:1" x14ac:dyDescent="0.25">
      <c r="A653" s="10">
        <f t="shared" si="99"/>
        <v>43405</v>
      </c>
    </row>
    <row r="654" spans="1:1" x14ac:dyDescent="0.25">
      <c r="A654" s="10">
        <f t="shared" ref="A654:A693" si="100">+A653+7</f>
        <v>43412</v>
      </c>
    </row>
    <row r="655" spans="1:1" x14ac:dyDescent="0.25">
      <c r="A655" s="10">
        <f t="shared" si="100"/>
        <v>43419</v>
      </c>
    </row>
    <row r="656" spans="1:1" x14ac:dyDescent="0.25">
      <c r="A656" s="10">
        <f t="shared" si="100"/>
        <v>43426</v>
      </c>
    </row>
    <row r="657" spans="1:1" x14ac:dyDescent="0.25">
      <c r="A657" s="10">
        <f t="shared" si="100"/>
        <v>43433</v>
      </c>
    </row>
    <row r="658" spans="1:1" x14ac:dyDescent="0.25">
      <c r="A658" s="10">
        <f t="shared" si="100"/>
        <v>43440</v>
      </c>
    </row>
    <row r="659" spans="1:1" x14ac:dyDescent="0.25">
      <c r="A659" s="10">
        <f t="shared" si="100"/>
        <v>43447</v>
      </c>
    </row>
    <row r="660" spans="1:1" x14ac:dyDescent="0.25">
      <c r="A660" s="10">
        <f t="shared" si="100"/>
        <v>43454</v>
      </c>
    </row>
    <row r="661" spans="1:1" x14ac:dyDescent="0.25">
      <c r="A661" s="10">
        <f t="shared" si="100"/>
        <v>43461</v>
      </c>
    </row>
    <row r="662" spans="1:1" x14ac:dyDescent="0.25">
      <c r="A662" s="10">
        <f t="shared" si="100"/>
        <v>43468</v>
      </c>
    </row>
    <row r="663" spans="1:1" x14ac:dyDescent="0.25">
      <c r="A663" s="10">
        <f t="shared" si="100"/>
        <v>43475</v>
      </c>
    </row>
    <row r="664" spans="1:1" x14ac:dyDescent="0.25">
      <c r="A664" s="10">
        <f t="shared" si="100"/>
        <v>43482</v>
      </c>
    </row>
    <row r="665" spans="1:1" x14ac:dyDescent="0.25">
      <c r="A665" s="10">
        <f t="shared" si="100"/>
        <v>43489</v>
      </c>
    </row>
    <row r="666" spans="1:1" x14ac:dyDescent="0.25">
      <c r="A666" s="10">
        <f t="shared" si="100"/>
        <v>43496</v>
      </c>
    </row>
    <row r="667" spans="1:1" x14ac:dyDescent="0.25">
      <c r="A667" s="10">
        <f t="shared" si="100"/>
        <v>43503</v>
      </c>
    </row>
    <row r="668" spans="1:1" x14ac:dyDescent="0.25">
      <c r="A668" s="10">
        <f t="shared" si="100"/>
        <v>43510</v>
      </c>
    </row>
    <row r="669" spans="1:1" x14ac:dyDescent="0.25">
      <c r="A669" s="10">
        <f t="shared" si="100"/>
        <v>43517</v>
      </c>
    </row>
    <row r="670" spans="1:1" x14ac:dyDescent="0.25">
      <c r="A670" s="10">
        <f t="shared" si="100"/>
        <v>43524</v>
      </c>
    </row>
    <row r="671" spans="1:1" x14ac:dyDescent="0.25">
      <c r="A671" s="10">
        <f t="shared" si="100"/>
        <v>43531</v>
      </c>
    </row>
    <row r="672" spans="1:1" x14ac:dyDescent="0.25">
      <c r="A672" s="10">
        <f t="shared" si="100"/>
        <v>43538</v>
      </c>
    </row>
    <row r="673" spans="1:1" x14ac:dyDescent="0.25">
      <c r="A673" s="10">
        <f t="shared" si="100"/>
        <v>43545</v>
      </c>
    </row>
    <row r="674" spans="1:1" x14ac:dyDescent="0.25">
      <c r="A674" s="10">
        <f t="shared" si="100"/>
        <v>43552</v>
      </c>
    </row>
    <row r="675" spans="1:1" x14ac:dyDescent="0.25">
      <c r="A675" s="10">
        <f t="shared" si="100"/>
        <v>43559</v>
      </c>
    </row>
    <row r="676" spans="1:1" x14ac:dyDescent="0.25">
      <c r="A676" s="10">
        <f t="shared" si="100"/>
        <v>43566</v>
      </c>
    </row>
    <row r="677" spans="1:1" x14ac:dyDescent="0.25">
      <c r="A677" s="10">
        <f t="shared" si="100"/>
        <v>43573</v>
      </c>
    </row>
    <row r="678" spans="1:1" x14ac:dyDescent="0.25">
      <c r="A678" s="10">
        <f t="shared" si="100"/>
        <v>43580</v>
      </c>
    </row>
    <row r="679" spans="1:1" x14ac:dyDescent="0.25">
      <c r="A679" s="10">
        <f t="shared" si="100"/>
        <v>43587</v>
      </c>
    </row>
    <row r="680" spans="1:1" x14ac:dyDescent="0.25">
      <c r="A680" s="10">
        <f t="shared" si="100"/>
        <v>43594</v>
      </c>
    </row>
    <row r="681" spans="1:1" x14ac:dyDescent="0.25">
      <c r="A681" s="10">
        <f t="shared" si="100"/>
        <v>43601</v>
      </c>
    </row>
    <row r="682" spans="1:1" x14ac:dyDescent="0.25">
      <c r="A682" s="10">
        <f t="shared" si="100"/>
        <v>43608</v>
      </c>
    </row>
    <row r="683" spans="1:1" x14ac:dyDescent="0.25">
      <c r="A683" s="10">
        <f t="shared" si="100"/>
        <v>43615</v>
      </c>
    </row>
    <row r="684" spans="1:1" x14ac:dyDescent="0.25">
      <c r="A684" s="10">
        <f t="shared" si="100"/>
        <v>43622</v>
      </c>
    </row>
    <row r="685" spans="1:1" x14ac:dyDescent="0.25">
      <c r="A685" s="10">
        <f t="shared" si="100"/>
        <v>43629</v>
      </c>
    </row>
    <row r="686" spans="1:1" x14ac:dyDescent="0.25">
      <c r="A686" s="10">
        <f t="shared" si="100"/>
        <v>43636</v>
      </c>
    </row>
    <row r="687" spans="1:1" x14ac:dyDescent="0.25">
      <c r="A687" s="10">
        <f t="shared" si="100"/>
        <v>43643</v>
      </c>
    </row>
    <row r="688" spans="1:1" x14ac:dyDescent="0.25">
      <c r="A688" s="10">
        <f t="shared" si="100"/>
        <v>43650</v>
      </c>
    </row>
    <row r="689" spans="1:1" x14ac:dyDescent="0.25">
      <c r="A689" s="10">
        <f t="shared" si="100"/>
        <v>43657</v>
      </c>
    </row>
    <row r="690" spans="1:1" x14ac:dyDescent="0.25">
      <c r="A690" s="10">
        <f t="shared" si="100"/>
        <v>43664</v>
      </c>
    </row>
    <row r="691" spans="1:1" x14ac:dyDescent="0.25">
      <c r="A691" s="10">
        <f t="shared" si="100"/>
        <v>43671</v>
      </c>
    </row>
    <row r="692" spans="1:1" x14ac:dyDescent="0.25">
      <c r="A692" s="10">
        <f t="shared" si="100"/>
        <v>43678</v>
      </c>
    </row>
    <row r="693" spans="1:1" x14ac:dyDescent="0.25">
      <c r="A693" s="10">
        <f t="shared" si="100"/>
        <v>43685</v>
      </c>
    </row>
    <row r="65525" spans="1:8" x14ac:dyDescent="0.25">
      <c r="A65525" s="10"/>
      <c r="F65525" s="19"/>
      <c r="G65525" s="19"/>
      <c r="H65525" s="24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5525"/>
  <sheetViews>
    <sheetView topLeftCell="A371" workbookViewId="0">
      <selection activeCell="C400" sqref="C400"/>
    </sheetView>
  </sheetViews>
  <sheetFormatPr defaultRowHeight="13.2" x14ac:dyDescent="0.25"/>
  <cols>
    <col min="1" max="1" width="10.44140625" customWidth="1"/>
  </cols>
  <sheetData>
    <row r="1" spans="1:9" x14ac:dyDescent="0.25"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14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  <c r="I2" s="19">
        <v>2006</v>
      </c>
    </row>
    <row r="3" spans="1:9" x14ac:dyDescent="0.25">
      <c r="A3" s="10">
        <f>Japan!A3</f>
        <v>38855</v>
      </c>
      <c r="B3">
        <v>79</v>
      </c>
      <c r="C3">
        <v>32.299999999999997</v>
      </c>
      <c r="D3">
        <v>872</v>
      </c>
      <c r="E3">
        <v>926.7</v>
      </c>
      <c r="F3" s="11">
        <f>+B3+D3</f>
        <v>951</v>
      </c>
      <c r="G3" s="12">
        <f>+C3+E3</f>
        <v>959</v>
      </c>
      <c r="H3" s="15">
        <f>+(F3/G3-1)*100</f>
        <v>-0.83420229405630764</v>
      </c>
      <c r="I3">
        <v>40</v>
      </c>
    </row>
    <row r="4" spans="1:9" x14ac:dyDescent="0.25">
      <c r="A4" s="10">
        <f>Japan!A4</f>
        <v>38862</v>
      </c>
      <c r="B4">
        <v>38.9</v>
      </c>
      <c r="C4">
        <v>32.299999999999997</v>
      </c>
      <c r="D4">
        <v>914</v>
      </c>
      <c r="E4">
        <v>926.7</v>
      </c>
      <c r="F4" s="11">
        <f>+B4+D4</f>
        <v>952.9</v>
      </c>
      <c r="G4" s="12">
        <f>+C4+E4</f>
        <v>959</v>
      </c>
      <c r="H4" s="15">
        <f>+(F4/G4-1)*100</f>
        <v>-0.63607924921793568</v>
      </c>
      <c r="I4">
        <v>85.5</v>
      </c>
    </row>
    <row r="5" spans="1:9" x14ac:dyDescent="0.25">
      <c r="A5" s="10">
        <f>+A4+7</f>
        <v>38869</v>
      </c>
      <c r="B5">
        <v>124.4</v>
      </c>
      <c r="C5">
        <v>130.80000000000001</v>
      </c>
      <c r="D5">
        <v>0</v>
      </c>
      <c r="E5">
        <v>0</v>
      </c>
      <c r="F5">
        <f t="shared" ref="F5:G7" si="0">+B5+D5</f>
        <v>124.4</v>
      </c>
      <c r="G5">
        <f t="shared" si="0"/>
        <v>130.80000000000001</v>
      </c>
      <c r="H5" s="14">
        <f t="shared" ref="H5:H38" si="1">+(F5/G5-1)*100</f>
        <v>-4.8929663608562768</v>
      </c>
    </row>
    <row r="6" spans="1:9" x14ac:dyDescent="0.25">
      <c r="A6" s="10">
        <f t="shared" ref="A6:A255" si="2">+A5+7</f>
        <v>38876</v>
      </c>
      <c r="B6">
        <v>194.9</v>
      </c>
      <c r="C6">
        <v>86</v>
      </c>
      <c r="D6">
        <v>0</v>
      </c>
      <c r="E6">
        <v>47.1</v>
      </c>
      <c r="F6">
        <f t="shared" si="0"/>
        <v>194.9</v>
      </c>
      <c r="G6">
        <f t="shared" si="0"/>
        <v>133.1</v>
      </c>
      <c r="H6" s="14">
        <f t="shared" si="1"/>
        <v>46.431254695717513</v>
      </c>
    </row>
    <row r="7" spans="1:9" x14ac:dyDescent="0.25">
      <c r="A7" s="10">
        <f t="shared" si="2"/>
        <v>38883</v>
      </c>
      <c r="B7">
        <v>116</v>
      </c>
      <c r="C7">
        <v>102</v>
      </c>
      <c r="D7">
        <v>82.8</v>
      </c>
      <c r="E7">
        <v>47.1</v>
      </c>
      <c r="F7">
        <f t="shared" si="0"/>
        <v>198.8</v>
      </c>
      <c r="G7">
        <f t="shared" si="0"/>
        <v>149.1</v>
      </c>
      <c r="H7" s="14">
        <f t="shared" si="1"/>
        <v>33.33333333333335</v>
      </c>
    </row>
    <row r="8" spans="1:9" x14ac:dyDescent="0.25">
      <c r="A8" s="10">
        <f t="shared" si="2"/>
        <v>38890</v>
      </c>
      <c r="B8">
        <v>116</v>
      </c>
      <c r="C8">
        <v>102</v>
      </c>
      <c r="D8">
        <v>82.8</v>
      </c>
      <c r="E8">
        <v>47.1</v>
      </c>
      <c r="F8">
        <f t="shared" ref="F8:G38" si="3">+B8+D8</f>
        <v>198.8</v>
      </c>
      <c r="G8">
        <f t="shared" si="3"/>
        <v>149.1</v>
      </c>
      <c r="H8" s="14">
        <f t="shared" si="1"/>
        <v>33.33333333333335</v>
      </c>
    </row>
    <row r="9" spans="1:9" x14ac:dyDescent="0.25">
      <c r="A9" s="10">
        <f t="shared" si="2"/>
        <v>38897</v>
      </c>
      <c r="B9">
        <v>156.5</v>
      </c>
      <c r="C9">
        <v>102</v>
      </c>
      <c r="D9">
        <v>82.8</v>
      </c>
      <c r="E9">
        <v>41.1</v>
      </c>
      <c r="F9" s="19">
        <f t="shared" si="3"/>
        <v>239.3</v>
      </c>
      <c r="G9" s="19">
        <f t="shared" si="3"/>
        <v>143.1</v>
      </c>
      <c r="H9" s="24">
        <f t="shared" si="1"/>
        <v>67.225716282320079</v>
      </c>
    </row>
    <row r="10" spans="1:9" x14ac:dyDescent="0.25">
      <c r="A10" s="10">
        <f t="shared" si="2"/>
        <v>38904</v>
      </c>
      <c r="B10">
        <v>111</v>
      </c>
      <c r="C10">
        <v>102</v>
      </c>
      <c r="D10">
        <v>126.9</v>
      </c>
      <c r="E10">
        <v>47.1</v>
      </c>
      <c r="F10" s="19">
        <f t="shared" si="3"/>
        <v>237.9</v>
      </c>
      <c r="G10" s="19">
        <f t="shared" si="3"/>
        <v>149.1</v>
      </c>
      <c r="H10" s="24">
        <f t="shared" si="1"/>
        <v>59.557344064386328</v>
      </c>
    </row>
    <row r="11" spans="1:9" x14ac:dyDescent="0.25">
      <c r="A11" s="10">
        <f t="shared" si="2"/>
        <v>38911</v>
      </c>
      <c r="B11">
        <v>111</v>
      </c>
      <c r="C11">
        <v>194.2</v>
      </c>
      <c r="D11">
        <v>126.9</v>
      </c>
      <c r="E11">
        <v>47.1</v>
      </c>
      <c r="F11" s="19">
        <f t="shared" si="3"/>
        <v>237.9</v>
      </c>
      <c r="G11" s="19">
        <f t="shared" si="3"/>
        <v>241.29999999999998</v>
      </c>
      <c r="H11" s="24">
        <f t="shared" si="1"/>
        <v>-1.4090343970161512</v>
      </c>
    </row>
    <row r="12" spans="1:9" x14ac:dyDescent="0.25">
      <c r="A12" s="10">
        <f t="shared" si="2"/>
        <v>38918</v>
      </c>
      <c r="B12">
        <v>111</v>
      </c>
      <c r="C12">
        <v>194.2</v>
      </c>
      <c r="D12">
        <v>126.9</v>
      </c>
      <c r="E12">
        <v>47.1</v>
      </c>
      <c r="F12" s="19">
        <f t="shared" si="3"/>
        <v>237.9</v>
      </c>
      <c r="G12" s="19">
        <f t="shared" si="3"/>
        <v>241.29999999999998</v>
      </c>
      <c r="H12" s="24">
        <f t="shared" si="1"/>
        <v>-1.4090343970161512</v>
      </c>
    </row>
    <row r="13" spans="1:9" x14ac:dyDescent="0.25">
      <c r="A13" s="10">
        <f t="shared" si="2"/>
        <v>38925</v>
      </c>
      <c r="B13">
        <v>41</v>
      </c>
      <c r="C13">
        <v>92.2</v>
      </c>
      <c r="D13">
        <v>198.5</v>
      </c>
      <c r="E13">
        <v>135</v>
      </c>
      <c r="F13" s="19">
        <f t="shared" si="3"/>
        <v>239.5</v>
      </c>
      <c r="G13" s="19">
        <f t="shared" si="3"/>
        <v>227.2</v>
      </c>
      <c r="H13" s="24">
        <f t="shared" si="1"/>
        <v>5.4137323943661997</v>
      </c>
    </row>
    <row r="14" spans="1:9" x14ac:dyDescent="0.25">
      <c r="A14" s="10">
        <f t="shared" si="2"/>
        <v>38932</v>
      </c>
      <c r="B14">
        <v>41</v>
      </c>
      <c r="C14">
        <v>92.2</v>
      </c>
      <c r="D14">
        <v>198.5</v>
      </c>
      <c r="E14">
        <v>135</v>
      </c>
      <c r="F14" s="19">
        <f t="shared" si="3"/>
        <v>239.5</v>
      </c>
      <c r="G14" s="19">
        <f t="shared" si="3"/>
        <v>227.2</v>
      </c>
      <c r="H14" s="24">
        <f t="shared" si="1"/>
        <v>5.4137323943661997</v>
      </c>
    </row>
    <row r="15" spans="1:9" x14ac:dyDescent="0.25">
      <c r="A15" s="10">
        <f t="shared" si="2"/>
        <v>38939</v>
      </c>
      <c r="B15">
        <v>137.30000000000001</v>
      </c>
      <c r="C15">
        <v>92.2</v>
      </c>
      <c r="D15">
        <v>198.5</v>
      </c>
      <c r="E15">
        <v>135</v>
      </c>
      <c r="F15" s="19">
        <f t="shared" si="3"/>
        <v>335.8</v>
      </c>
      <c r="G15" s="19">
        <f t="shared" si="3"/>
        <v>227.2</v>
      </c>
      <c r="H15" s="24">
        <f t="shared" si="1"/>
        <v>47.799295774647902</v>
      </c>
    </row>
    <row r="16" spans="1:9" x14ac:dyDescent="0.25">
      <c r="A16" s="10">
        <f t="shared" si="2"/>
        <v>38946</v>
      </c>
      <c r="B16">
        <v>96.8</v>
      </c>
      <c r="C16">
        <v>194.1</v>
      </c>
      <c r="D16">
        <v>241</v>
      </c>
      <c r="E16">
        <v>135</v>
      </c>
      <c r="F16" s="19">
        <f t="shared" si="3"/>
        <v>337.8</v>
      </c>
      <c r="G16" s="19">
        <f t="shared" si="3"/>
        <v>329.1</v>
      </c>
      <c r="H16" s="24">
        <f t="shared" si="1"/>
        <v>2.6435733819507812</v>
      </c>
    </row>
    <row r="17" spans="1:8" x14ac:dyDescent="0.25">
      <c r="A17" s="10">
        <f t="shared" si="2"/>
        <v>38953</v>
      </c>
      <c r="B17">
        <v>97</v>
      </c>
      <c r="C17">
        <v>194.1</v>
      </c>
      <c r="D17">
        <v>241</v>
      </c>
      <c r="E17">
        <v>135</v>
      </c>
      <c r="F17" s="19">
        <f t="shared" si="3"/>
        <v>338</v>
      </c>
      <c r="G17" s="19">
        <f t="shared" si="3"/>
        <v>329.1</v>
      </c>
      <c r="H17" s="24">
        <f t="shared" si="1"/>
        <v>2.7043451838346888</v>
      </c>
    </row>
    <row r="18" spans="1:8" x14ac:dyDescent="0.25">
      <c r="A18" s="10">
        <f t="shared" si="2"/>
        <v>38960</v>
      </c>
      <c r="B18">
        <v>97</v>
      </c>
      <c r="C18">
        <v>199</v>
      </c>
      <c r="D18">
        <v>241</v>
      </c>
      <c r="E18">
        <v>135</v>
      </c>
      <c r="F18" s="19">
        <f t="shared" si="3"/>
        <v>338</v>
      </c>
      <c r="G18" s="19">
        <f t="shared" si="3"/>
        <v>334</v>
      </c>
      <c r="H18" s="24">
        <f t="shared" si="1"/>
        <v>1.1976047904191711</v>
      </c>
    </row>
    <row r="19" spans="1:8" x14ac:dyDescent="0.25">
      <c r="A19" s="10">
        <f t="shared" si="2"/>
        <v>38967</v>
      </c>
      <c r="B19">
        <v>148.1</v>
      </c>
      <c r="C19">
        <v>153.30000000000001</v>
      </c>
      <c r="D19">
        <v>241</v>
      </c>
      <c r="E19">
        <v>180.3</v>
      </c>
      <c r="F19" s="19">
        <f t="shared" si="3"/>
        <v>389.1</v>
      </c>
      <c r="G19" s="19">
        <f t="shared" si="3"/>
        <v>333.6</v>
      </c>
      <c r="H19" s="24">
        <f t="shared" si="1"/>
        <v>16.636690647482013</v>
      </c>
    </row>
    <row r="20" spans="1:8" x14ac:dyDescent="0.25">
      <c r="A20" s="10">
        <f t="shared" si="2"/>
        <v>38974</v>
      </c>
      <c r="B20">
        <v>148.6</v>
      </c>
      <c r="C20">
        <v>165.2</v>
      </c>
      <c r="D20">
        <v>241</v>
      </c>
      <c r="E20">
        <v>225.7</v>
      </c>
      <c r="F20" s="19">
        <f t="shared" si="3"/>
        <v>389.6</v>
      </c>
      <c r="G20" s="19">
        <f t="shared" si="3"/>
        <v>390.9</v>
      </c>
      <c r="H20" s="24">
        <f t="shared" si="1"/>
        <v>-0.33256587362495704</v>
      </c>
    </row>
    <row r="21" spans="1:8" x14ac:dyDescent="0.25">
      <c r="A21" s="10">
        <f t="shared" si="2"/>
        <v>38981</v>
      </c>
      <c r="B21">
        <v>143.19999999999999</v>
      </c>
      <c r="C21">
        <v>165.2</v>
      </c>
      <c r="D21">
        <v>291.2</v>
      </c>
      <c r="E21">
        <v>225.7</v>
      </c>
      <c r="F21" s="19">
        <f t="shared" si="3"/>
        <v>434.4</v>
      </c>
      <c r="G21" s="19">
        <f t="shared" si="3"/>
        <v>390.9</v>
      </c>
      <c r="H21" s="24">
        <f t="shared" si="1"/>
        <v>11.128165771297006</v>
      </c>
    </row>
    <row r="22" spans="1:8" x14ac:dyDescent="0.25">
      <c r="A22" s="10">
        <f t="shared" si="2"/>
        <v>38988</v>
      </c>
      <c r="B22">
        <v>143.19999999999999</v>
      </c>
      <c r="C22">
        <v>200.2</v>
      </c>
      <c r="D22">
        <v>291.2</v>
      </c>
      <c r="E22">
        <v>284.3</v>
      </c>
      <c r="F22" s="19">
        <f t="shared" si="3"/>
        <v>434.4</v>
      </c>
      <c r="G22" s="19">
        <f t="shared" si="3"/>
        <v>484.5</v>
      </c>
      <c r="H22" s="24">
        <f t="shared" si="1"/>
        <v>-10.340557275541794</v>
      </c>
    </row>
    <row r="23" spans="1:8" x14ac:dyDescent="0.25">
      <c r="A23" s="10">
        <f t="shared" si="2"/>
        <v>38995</v>
      </c>
      <c r="B23">
        <v>95.8</v>
      </c>
      <c r="C23">
        <v>215.9</v>
      </c>
      <c r="D23">
        <v>340.9</v>
      </c>
      <c r="E23">
        <v>284.3</v>
      </c>
      <c r="F23" s="19">
        <f t="shared" si="3"/>
        <v>436.7</v>
      </c>
      <c r="G23" s="19">
        <f t="shared" si="3"/>
        <v>500.20000000000005</v>
      </c>
      <c r="H23" s="24">
        <f t="shared" si="1"/>
        <v>-12.694922031187538</v>
      </c>
    </row>
    <row r="24" spans="1:8" x14ac:dyDescent="0.25">
      <c r="A24" s="10">
        <f t="shared" si="2"/>
        <v>39002</v>
      </c>
      <c r="B24">
        <v>95.8</v>
      </c>
      <c r="C24">
        <v>215.9</v>
      </c>
      <c r="D24">
        <v>340.9</v>
      </c>
      <c r="E24">
        <v>284.3</v>
      </c>
      <c r="F24" s="19">
        <f t="shared" si="3"/>
        <v>436.7</v>
      </c>
      <c r="G24" s="19">
        <f t="shared" si="3"/>
        <v>500.20000000000005</v>
      </c>
      <c r="H24" s="24">
        <f t="shared" si="1"/>
        <v>-12.694922031187538</v>
      </c>
    </row>
    <row r="25" spans="1:8" x14ac:dyDescent="0.25">
      <c r="A25" s="10">
        <f t="shared" si="2"/>
        <v>39009</v>
      </c>
      <c r="B25">
        <v>95.8</v>
      </c>
      <c r="C25">
        <v>167.5</v>
      </c>
      <c r="D25">
        <v>340.9</v>
      </c>
      <c r="E25">
        <v>332.7</v>
      </c>
      <c r="F25" s="19">
        <f t="shared" si="3"/>
        <v>436.7</v>
      </c>
      <c r="G25" s="19">
        <f t="shared" si="3"/>
        <v>500.2</v>
      </c>
      <c r="H25" s="24">
        <f t="shared" si="1"/>
        <v>-12.694922031187527</v>
      </c>
    </row>
    <row r="26" spans="1:8" x14ac:dyDescent="0.25">
      <c r="A26" s="10">
        <f t="shared" si="2"/>
        <v>39016</v>
      </c>
      <c r="B26">
        <v>51.2</v>
      </c>
      <c r="C26">
        <v>167.5</v>
      </c>
      <c r="D26">
        <v>385.5</v>
      </c>
      <c r="E26">
        <v>334.7</v>
      </c>
      <c r="F26" s="19">
        <f t="shared" si="3"/>
        <v>436.7</v>
      </c>
      <c r="G26" s="19">
        <f t="shared" si="3"/>
        <v>502.2</v>
      </c>
      <c r="H26" s="24">
        <f t="shared" si="1"/>
        <v>-13.042612504978102</v>
      </c>
    </row>
    <row r="27" spans="1:8" x14ac:dyDescent="0.25">
      <c r="A27" s="10">
        <f t="shared" si="2"/>
        <v>39023</v>
      </c>
      <c r="B27">
        <v>95.3</v>
      </c>
      <c r="C27">
        <v>201.8</v>
      </c>
      <c r="D27">
        <v>391.4</v>
      </c>
      <c r="E27">
        <v>394.8</v>
      </c>
      <c r="F27" s="19">
        <f t="shared" si="3"/>
        <v>486.7</v>
      </c>
      <c r="G27" s="19">
        <f t="shared" si="3"/>
        <v>596.6</v>
      </c>
      <c r="H27" s="24">
        <f t="shared" si="1"/>
        <v>-18.421052631578949</v>
      </c>
    </row>
    <row r="28" spans="1:8" x14ac:dyDescent="0.25">
      <c r="A28" s="10">
        <f t="shared" si="2"/>
        <v>39030</v>
      </c>
      <c r="B28">
        <v>94.7</v>
      </c>
      <c r="C28">
        <v>201.8</v>
      </c>
      <c r="D28">
        <v>392</v>
      </c>
      <c r="E28">
        <v>394.8</v>
      </c>
      <c r="F28" s="19">
        <f t="shared" si="3"/>
        <v>486.7</v>
      </c>
      <c r="G28" s="19">
        <f t="shared" si="3"/>
        <v>596.6</v>
      </c>
      <c r="H28" s="24">
        <f t="shared" si="1"/>
        <v>-18.421052631578949</v>
      </c>
    </row>
    <row r="29" spans="1:8" x14ac:dyDescent="0.25">
      <c r="A29" s="10">
        <f t="shared" si="2"/>
        <v>39037</v>
      </c>
      <c r="B29">
        <v>95.2</v>
      </c>
      <c r="C29">
        <v>173.6</v>
      </c>
      <c r="D29">
        <v>392</v>
      </c>
      <c r="E29">
        <v>421.8</v>
      </c>
      <c r="F29" s="19">
        <f t="shared" si="3"/>
        <v>487.2</v>
      </c>
      <c r="G29" s="19">
        <f t="shared" si="3"/>
        <v>595.4</v>
      </c>
      <c r="H29" s="24">
        <f t="shared" si="1"/>
        <v>-18.172657037285855</v>
      </c>
    </row>
    <row r="30" spans="1:8" x14ac:dyDescent="0.25">
      <c r="A30" s="10">
        <f t="shared" si="2"/>
        <v>39044</v>
      </c>
      <c r="B30">
        <v>96.2</v>
      </c>
      <c r="C30">
        <v>135.5</v>
      </c>
      <c r="D30">
        <v>392</v>
      </c>
      <c r="E30">
        <v>461.5</v>
      </c>
      <c r="F30" s="19">
        <f t="shared" si="3"/>
        <v>488.2</v>
      </c>
      <c r="G30" s="19">
        <f t="shared" si="3"/>
        <v>597</v>
      </c>
      <c r="H30" s="24">
        <f t="shared" si="1"/>
        <v>-18.22445561139029</v>
      </c>
    </row>
    <row r="31" spans="1:8" x14ac:dyDescent="0.25">
      <c r="A31" s="10">
        <f t="shared" si="2"/>
        <v>39051</v>
      </c>
      <c r="B31">
        <v>96.3</v>
      </c>
      <c r="C31">
        <v>86.7</v>
      </c>
      <c r="D31">
        <v>392.9</v>
      </c>
      <c r="E31">
        <v>511.4</v>
      </c>
      <c r="F31" s="19">
        <f t="shared" si="3"/>
        <v>489.2</v>
      </c>
      <c r="G31" s="19">
        <f t="shared" si="3"/>
        <v>598.1</v>
      </c>
      <c r="H31" s="24">
        <f t="shared" si="1"/>
        <v>-18.207657582344094</v>
      </c>
    </row>
    <row r="32" spans="1:8" x14ac:dyDescent="0.25">
      <c r="A32" s="10">
        <f t="shared" si="2"/>
        <v>39058</v>
      </c>
      <c r="B32">
        <v>99.3</v>
      </c>
      <c r="C32">
        <v>175.7</v>
      </c>
      <c r="D32">
        <v>433</v>
      </c>
      <c r="E32">
        <v>512.1</v>
      </c>
      <c r="F32" s="19">
        <f t="shared" si="3"/>
        <v>532.29999999999995</v>
      </c>
      <c r="G32" s="19">
        <f t="shared" si="3"/>
        <v>687.8</v>
      </c>
      <c r="H32" s="24">
        <f t="shared" si="1"/>
        <v>-22.608316371038097</v>
      </c>
    </row>
    <row r="33" spans="1:8" x14ac:dyDescent="0.25">
      <c r="A33" s="10">
        <f t="shared" si="2"/>
        <v>39065</v>
      </c>
      <c r="B33">
        <v>100.2</v>
      </c>
      <c r="C33">
        <v>175.7</v>
      </c>
      <c r="D33">
        <v>435.6</v>
      </c>
      <c r="E33">
        <v>512.1</v>
      </c>
      <c r="F33" s="19">
        <f t="shared" si="3"/>
        <v>535.80000000000007</v>
      </c>
      <c r="G33" s="19">
        <f t="shared" si="3"/>
        <v>687.8</v>
      </c>
      <c r="H33" s="24">
        <f t="shared" si="1"/>
        <v>-22.099447513812144</v>
      </c>
    </row>
    <row r="34" spans="1:8" x14ac:dyDescent="0.25">
      <c r="A34" s="10">
        <f t="shared" si="2"/>
        <v>39072</v>
      </c>
      <c r="B34">
        <v>195.3</v>
      </c>
      <c r="C34">
        <v>129.19999999999999</v>
      </c>
      <c r="D34">
        <v>437.4</v>
      </c>
      <c r="E34">
        <v>559.9</v>
      </c>
      <c r="F34" s="19">
        <f t="shared" si="3"/>
        <v>632.70000000000005</v>
      </c>
      <c r="G34" s="19">
        <f t="shared" si="3"/>
        <v>689.09999999999991</v>
      </c>
      <c r="H34" s="24">
        <f t="shared" si="1"/>
        <v>-8.1845885938180096</v>
      </c>
    </row>
    <row r="35" spans="1:8" x14ac:dyDescent="0.25">
      <c r="A35" s="10">
        <f t="shared" si="2"/>
        <v>39079</v>
      </c>
      <c r="B35">
        <v>247</v>
      </c>
      <c r="C35">
        <v>129.19999999999999</v>
      </c>
      <c r="D35">
        <v>437.4</v>
      </c>
      <c r="E35">
        <v>559.9</v>
      </c>
      <c r="F35" s="19">
        <f t="shared" si="3"/>
        <v>684.4</v>
      </c>
      <c r="G35" s="19">
        <f t="shared" si="3"/>
        <v>689.09999999999991</v>
      </c>
      <c r="H35" s="24">
        <f t="shared" si="1"/>
        <v>-0.68204904948482303</v>
      </c>
    </row>
    <row r="36" spans="1:8" x14ac:dyDescent="0.25">
      <c r="A36" s="10">
        <f t="shared" si="2"/>
        <v>39086</v>
      </c>
      <c r="B36">
        <v>245.9</v>
      </c>
      <c r="C36">
        <v>83.2</v>
      </c>
      <c r="D36">
        <v>438.7</v>
      </c>
      <c r="E36">
        <v>607.70000000000005</v>
      </c>
      <c r="F36" s="19">
        <f t="shared" si="3"/>
        <v>684.6</v>
      </c>
      <c r="G36" s="19">
        <f t="shared" si="3"/>
        <v>690.90000000000009</v>
      </c>
      <c r="H36" s="24">
        <f t="shared" si="1"/>
        <v>-0.91185410334347905</v>
      </c>
    </row>
    <row r="37" spans="1:8" x14ac:dyDescent="0.25">
      <c r="A37" s="10">
        <f t="shared" si="2"/>
        <v>39093</v>
      </c>
      <c r="B37">
        <v>242.8</v>
      </c>
      <c r="C37">
        <v>83.2</v>
      </c>
      <c r="D37">
        <v>485</v>
      </c>
      <c r="E37">
        <v>607.70000000000005</v>
      </c>
      <c r="F37" s="19">
        <f t="shared" si="3"/>
        <v>727.8</v>
      </c>
      <c r="G37" s="19">
        <f t="shared" si="3"/>
        <v>690.90000000000009</v>
      </c>
      <c r="H37" s="24">
        <f t="shared" si="1"/>
        <v>5.3408597481545694</v>
      </c>
    </row>
    <row r="38" spans="1:8" x14ac:dyDescent="0.25">
      <c r="A38" s="10">
        <f t="shared" si="2"/>
        <v>39100</v>
      </c>
      <c r="B38">
        <v>197.9</v>
      </c>
      <c r="C38">
        <v>83.2</v>
      </c>
      <c r="D38">
        <v>532.1</v>
      </c>
      <c r="E38">
        <v>607.70000000000005</v>
      </c>
      <c r="F38" s="19">
        <f t="shared" si="3"/>
        <v>730</v>
      </c>
      <c r="G38" s="19">
        <f t="shared" si="3"/>
        <v>690.90000000000009</v>
      </c>
      <c r="H38" s="24">
        <f t="shared" si="1"/>
        <v>5.6592849905919618</v>
      </c>
    </row>
    <row r="39" spans="1:8" x14ac:dyDescent="0.25">
      <c r="A39" s="10">
        <f t="shared" si="2"/>
        <v>39107</v>
      </c>
      <c r="B39">
        <v>197.7</v>
      </c>
      <c r="C39">
        <v>142.19999999999999</v>
      </c>
      <c r="D39">
        <v>533</v>
      </c>
      <c r="E39">
        <v>607.70000000000005</v>
      </c>
      <c r="F39" s="19">
        <f t="shared" ref="F39:G41" si="4">+B39+D39</f>
        <v>730.7</v>
      </c>
      <c r="G39" s="19">
        <f t="shared" si="4"/>
        <v>749.90000000000009</v>
      </c>
      <c r="H39" s="24">
        <f t="shared" ref="H39:H44" si="5">+(F39/G39-1)*100</f>
        <v>-2.5603413788505169</v>
      </c>
    </row>
    <row r="40" spans="1:8" x14ac:dyDescent="0.25">
      <c r="A40" s="10">
        <f t="shared" si="2"/>
        <v>39114</v>
      </c>
      <c r="B40">
        <v>183.1</v>
      </c>
      <c r="C40">
        <v>142.19999999999999</v>
      </c>
      <c r="D40">
        <v>633.29999999999995</v>
      </c>
      <c r="E40">
        <v>607.70000000000005</v>
      </c>
      <c r="F40" s="19">
        <f t="shared" si="4"/>
        <v>816.4</v>
      </c>
      <c r="G40" s="19">
        <f t="shared" si="4"/>
        <v>749.90000000000009</v>
      </c>
      <c r="H40" s="24">
        <f t="shared" si="5"/>
        <v>8.8678490465395221</v>
      </c>
    </row>
    <row r="41" spans="1:8" x14ac:dyDescent="0.25">
      <c r="A41" s="10">
        <f t="shared" si="2"/>
        <v>39121</v>
      </c>
      <c r="B41">
        <v>184.6</v>
      </c>
      <c r="C41">
        <v>198.7</v>
      </c>
      <c r="D41">
        <v>633.5</v>
      </c>
      <c r="E41">
        <v>624.9</v>
      </c>
      <c r="F41" s="19">
        <f t="shared" si="4"/>
        <v>818.1</v>
      </c>
      <c r="G41" s="19">
        <f t="shared" si="4"/>
        <v>823.59999999999991</v>
      </c>
      <c r="H41" s="24">
        <f t="shared" si="5"/>
        <v>-0.66779990286545132</v>
      </c>
    </row>
    <row r="42" spans="1:8" x14ac:dyDescent="0.25">
      <c r="A42" s="10">
        <f t="shared" si="2"/>
        <v>39128</v>
      </c>
      <c r="B42">
        <v>225.9</v>
      </c>
      <c r="C42">
        <v>158.9</v>
      </c>
      <c r="D42">
        <v>637.79999999999995</v>
      </c>
      <c r="E42">
        <v>667.5</v>
      </c>
      <c r="F42" s="19">
        <f t="shared" ref="F42:G44" si="6">+B42+D42</f>
        <v>863.69999999999993</v>
      </c>
      <c r="G42" s="19">
        <f t="shared" si="6"/>
        <v>826.4</v>
      </c>
      <c r="H42" s="24">
        <f t="shared" si="5"/>
        <v>4.5135527589544866</v>
      </c>
    </row>
    <row r="43" spans="1:8" x14ac:dyDescent="0.25">
      <c r="A43" s="10">
        <f t="shared" si="2"/>
        <v>39135</v>
      </c>
      <c r="B43">
        <v>181.1</v>
      </c>
      <c r="C43">
        <v>158.9</v>
      </c>
      <c r="D43">
        <v>684.8</v>
      </c>
      <c r="E43">
        <v>667.5</v>
      </c>
      <c r="F43" s="19">
        <f t="shared" si="6"/>
        <v>865.9</v>
      </c>
      <c r="G43" s="19">
        <f t="shared" si="6"/>
        <v>826.4</v>
      </c>
      <c r="H43" s="24">
        <f t="shared" si="5"/>
        <v>4.7797676669893541</v>
      </c>
    </row>
    <row r="44" spans="1:8" x14ac:dyDescent="0.25">
      <c r="A44" s="10">
        <f t="shared" si="2"/>
        <v>39142</v>
      </c>
      <c r="B44">
        <v>129.5</v>
      </c>
      <c r="C44">
        <v>132.80000000000001</v>
      </c>
      <c r="D44">
        <v>737.2</v>
      </c>
      <c r="E44">
        <v>695</v>
      </c>
      <c r="F44" s="19">
        <f t="shared" si="6"/>
        <v>866.7</v>
      </c>
      <c r="G44" s="19">
        <f t="shared" si="6"/>
        <v>827.8</v>
      </c>
      <c r="H44" s="24">
        <f t="shared" si="5"/>
        <v>4.6992027059676422</v>
      </c>
    </row>
    <row r="45" spans="1:8" x14ac:dyDescent="0.25">
      <c r="A45" s="10">
        <f t="shared" si="2"/>
        <v>39149</v>
      </c>
      <c r="B45">
        <v>170.6</v>
      </c>
      <c r="C45">
        <v>213</v>
      </c>
      <c r="D45">
        <v>737.4</v>
      </c>
      <c r="E45">
        <v>695</v>
      </c>
      <c r="F45" s="34">
        <f t="shared" ref="F45:G47" si="7">+B45+D45</f>
        <v>908</v>
      </c>
      <c r="G45" s="34">
        <f t="shared" si="7"/>
        <v>908</v>
      </c>
      <c r="H45" s="33">
        <f t="shared" ref="H45:H50" si="8">+(F45/G45-1)*100</f>
        <v>0</v>
      </c>
    </row>
    <row r="46" spans="1:8" x14ac:dyDescent="0.25">
      <c r="A46" s="10">
        <f t="shared" si="2"/>
        <v>39156</v>
      </c>
      <c r="B46">
        <v>130.19999999999999</v>
      </c>
      <c r="C46">
        <v>154</v>
      </c>
      <c r="D46">
        <v>779.6</v>
      </c>
      <c r="E46">
        <v>751.2</v>
      </c>
      <c r="F46" s="34">
        <f t="shared" si="7"/>
        <v>909.8</v>
      </c>
      <c r="G46" s="34">
        <f t="shared" si="7"/>
        <v>905.2</v>
      </c>
      <c r="H46" s="33">
        <f t="shared" si="8"/>
        <v>0.50817498895270319</v>
      </c>
    </row>
    <row r="47" spans="1:8" x14ac:dyDescent="0.25">
      <c r="A47" s="10">
        <f t="shared" si="2"/>
        <v>39163</v>
      </c>
      <c r="B47">
        <v>127.9</v>
      </c>
      <c r="C47">
        <v>120.5</v>
      </c>
      <c r="D47">
        <v>781.9</v>
      </c>
      <c r="E47">
        <v>786.4</v>
      </c>
      <c r="F47" s="34">
        <f t="shared" si="7"/>
        <v>909.8</v>
      </c>
      <c r="G47" s="34">
        <f t="shared" si="7"/>
        <v>906.9</v>
      </c>
      <c r="H47" s="33">
        <f t="shared" si="8"/>
        <v>0.31977064725989823</v>
      </c>
    </row>
    <row r="48" spans="1:8" x14ac:dyDescent="0.25">
      <c r="A48" s="10">
        <f t="shared" si="2"/>
        <v>39170</v>
      </c>
      <c r="B48">
        <v>87.5</v>
      </c>
      <c r="C48">
        <v>110.6</v>
      </c>
      <c r="D48">
        <v>824.6</v>
      </c>
      <c r="E48">
        <v>786.4</v>
      </c>
      <c r="F48" s="34">
        <f t="shared" ref="F48:G50" si="9">+B48+D48</f>
        <v>912.1</v>
      </c>
      <c r="G48" s="34">
        <f t="shared" si="9"/>
        <v>897</v>
      </c>
      <c r="H48" s="33">
        <f t="shared" si="8"/>
        <v>1.683389074693431</v>
      </c>
    </row>
    <row r="49" spans="1:9" x14ac:dyDescent="0.25">
      <c r="A49" s="10">
        <f t="shared" si="2"/>
        <v>39177</v>
      </c>
      <c r="B49">
        <v>129</v>
      </c>
      <c r="C49">
        <v>110.1</v>
      </c>
      <c r="D49">
        <v>826.6</v>
      </c>
      <c r="E49">
        <v>786.9</v>
      </c>
      <c r="F49" s="34">
        <f t="shared" si="9"/>
        <v>955.6</v>
      </c>
      <c r="G49" s="34">
        <f t="shared" si="9"/>
        <v>897</v>
      </c>
      <c r="H49" s="33">
        <f t="shared" si="8"/>
        <v>6.532887402452614</v>
      </c>
    </row>
    <row r="50" spans="1:9" x14ac:dyDescent="0.25">
      <c r="A50" s="10">
        <f t="shared" si="2"/>
        <v>39184</v>
      </c>
      <c r="B50">
        <v>85.2</v>
      </c>
      <c r="C50">
        <v>110.8</v>
      </c>
      <c r="D50">
        <v>872.6</v>
      </c>
      <c r="E50">
        <v>828.1</v>
      </c>
      <c r="F50" s="34">
        <f t="shared" si="9"/>
        <v>957.80000000000007</v>
      </c>
      <c r="G50" s="34">
        <f t="shared" si="9"/>
        <v>938.9</v>
      </c>
      <c r="H50" s="33">
        <f t="shared" si="8"/>
        <v>2.0129939290659316</v>
      </c>
    </row>
    <row r="51" spans="1:9" x14ac:dyDescent="0.25">
      <c r="A51" s="10">
        <f t="shared" si="2"/>
        <v>39191</v>
      </c>
      <c r="B51">
        <v>125.2</v>
      </c>
      <c r="C51">
        <v>79</v>
      </c>
      <c r="D51">
        <v>872.6</v>
      </c>
      <c r="E51">
        <v>872</v>
      </c>
      <c r="F51" s="34">
        <f t="shared" ref="F51:G53" si="10">+B51+D51</f>
        <v>997.80000000000007</v>
      </c>
      <c r="G51" s="34">
        <f t="shared" si="10"/>
        <v>951</v>
      </c>
      <c r="H51" s="33">
        <f t="shared" ref="H51:H57" si="11">+(F51/G51-1)*100</f>
        <v>4.9211356466877021</v>
      </c>
    </row>
    <row r="52" spans="1:9" x14ac:dyDescent="0.25">
      <c r="A52" s="10">
        <f t="shared" si="2"/>
        <v>39198</v>
      </c>
      <c r="B52">
        <v>124.6</v>
      </c>
      <c r="C52">
        <v>79</v>
      </c>
      <c r="D52">
        <v>873.1</v>
      </c>
      <c r="E52">
        <v>872</v>
      </c>
      <c r="F52" s="34">
        <f t="shared" si="10"/>
        <v>997.7</v>
      </c>
      <c r="G52" s="34">
        <f t="shared" si="10"/>
        <v>951</v>
      </c>
      <c r="H52" s="33">
        <f t="shared" si="11"/>
        <v>4.9106203995793907</v>
      </c>
    </row>
    <row r="53" spans="1:9" x14ac:dyDescent="0.25">
      <c r="A53" s="10">
        <f t="shared" si="2"/>
        <v>39205</v>
      </c>
      <c r="B53">
        <v>155.6</v>
      </c>
      <c r="C53">
        <v>79</v>
      </c>
      <c r="D53">
        <v>874</v>
      </c>
      <c r="E53">
        <v>872</v>
      </c>
      <c r="F53" s="34">
        <f t="shared" si="10"/>
        <v>1029.5999999999999</v>
      </c>
      <c r="G53" s="34">
        <f t="shared" si="10"/>
        <v>951</v>
      </c>
      <c r="H53" s="33">
        <f t="shared" si="11"/>
        <v>8.2649842271293359</v>
      </c>
      <c r="I53">
        <v>5.2</v>
      </c>
    </row>
    <row r="54" spans="1:9" x14ac:dyDescent="0.25">
      <c r="A54" s="10">
        <f t="shared" si="2"/>
        <v>39212</v>
      </c>
      <c r="B54">
        <v>114</v>
      </c>
      <c r="C54">
        <v>79</v>
      </c>
      <c r="D54">
        <v>917.7</v>
      </c>
      <c r="E54">
        <v>872</v>
      </c>
      <c r="F54" s="34">
        <f t="shared" ref="F54:G56" si="12">+B54+D54</f>
        <v>1031.7</v>
      </c>
      <c r="G54" s="34">
        <f t="shared" si="12"/>
        <v>951</v>
      </c>
      <c r="H54" s="33">
        <f t="shared" si="11"/>
        <v>8.485804416403786</v>
      </c>
      <c r="I54">
        <v>5.2</v>
      </c>
    </row>
    <row r="55" spans="1:9" x14ac:dyDescent="0.25">
      <c r="A55" s="10">
        <f t="shared" si="2"/>
        <v>39219</v>
      </c>
      <c r="B55">
        <v>82</v>
      </c>
      <c r="C55">
        <v>79</v>
      </c>
      <c r="D55">
        <v>917.8</v>
      </c>
      <c r="E55">
        <v>872</v>
      </c>
      <c r="F55" s="34">
        <f t="shared" si="12"/>
        <v>999.8</v>
      </c>
      <c r="G55" s="34">
        <f t="shared" si="12"/>
        <v>951</v>
      </c>
      <c r="H55" s="33">
        <f t="shared" si="11"/>
        <v>5.1314405888538417</v>
      </c>
      <c r="I55">
        <v>46.4</v>
      </c>
    </row>
    <row r="56" spans="1:9" x14ac:dyDescent="0.25">
      <c r="A56" s="10">
        <f t="shared" si="2"/>
        <v>39226</v>
      </c>
      <c r="B56">
        <v>37.9</v>
      </c>
      <c r="C56">
        <v>38.9</v>
      </c>
      <c r="D56">
        <v>964</v>
      </c>
      <c r="E56">
        <v>914</v>
      </c>
      <c r="F56" s="34">
        <f t="shared" si="12"/>
        <v>1001.9</v>
      </c>
      <c r="G56" s="34">
        <f t="shared" si="12"/>
        <v>952.9</v>
      </c>
      <c r="H56" s="33">
        <f t="shared" si="11"/>
        <v>5.1421975023612232</v>
      </c>
      <c r="I56">
        <v>129.9</v>
      </c>
    </row>
    <row r="57" spans="1:9" x14ac:dyDescent="0.25">
      <c r="A57" s="10">
        <f t="shared" si="2"/>
        <v>39233</v>
      </c>
      <c r="F57">
        <v>999</v>
      </c>
      <c r="G57">
        <v>914</v>
      </c>
      <c r="H57" s="33">
        <f t="shared" si="11"/>
        <v>9.2997811816192488</v>
      </c>
    </row>
    <row r="58" spans="1:9" x14ac:dyDescent="0.25">
      <c r="A58" s="10">
        <f t="shared" si="2"/>
        <v>39240</v>
      </c>
      <c r="B58">
        <v>131.6</v>
      </c>
      <c r="C58">
        <v>194.9</v>
      </c>
      <c r="D58">
        <v>1.5</v>
      </c>
      <c r="E58">
        <v>0</v>
      </c>
      <c r="F58" s="34">
        <f t="shared" ref="F58:G60" si="13">+B58+D58</f>
        <v>133.1</v>
      </c>
      <c r="G58" s="34">
        <f t="shared" si="13"/>
        <v>194.9</v>
      </c>
      <c r="H58" s="33">
        <f t="shared" ref="H58:H63" si="14">+(F58/G58-1)*100</f>
        <v>-31.708568496664956</v>
      </c>
    </row>
    <row r="59" spans="1:9" x14ac:dyDescent="0.25">
      <c r="A59" s="10">
        <f t="shared" si="2"/>
        <v>39247</v>
      </c>
      <c r="B59">
        <v>131</v>
      </c>
      <c r="C59">
        <v>116</v>
      </c>
      <c r="D59">
        <v>2.2000000000000002</v>
      </c>
      <c r="E59">
        <v>82.8</v>
      </c>
      <c r="F59" s="34">
        <f t="shared" si="13"/>
        <v>133.19999999999999</v>
      </c>
      <c r="G59" s="34">
        <f t="shared" si="13"/>
        <v>198.8</v>
      </c>
      <c r="H59" s="33">
        <f t="shared" si="14"/>
        <v>-32.997987927565397</v>
      </c>
    </row>
    <row r="60" spans="1:9" x14ac:dyDescent="0.25">
      <c r="A60" s="10">
        <f t="shared" si="2"/>
        <v>39254</v>
      </c>
      <c r="B60">
        <v>220.6</v>
      </c>
      <c r="C60">
        <v>116</v>
      </c>
      <c r="D60">
        <v>3</v>
      </c>
      <c r="E60">
        <v>82.8</v>
      </c>
      <c r="F60" s="34">
        <f t="shared" si="13"/>
        <v>223.6</v>
      </c>
      <c r="G60" s="34">
        <f t="shared" si="13"/>
        <v>198.8</v>
      </c>
      <c r="H60" s="33">
        <f t="shared" si="14"/>
        <v>12.474849094567396</v>
      </c>
    </row>
    <row r="61" spans="1:9" x14ac:dyDescent="0.25">
      <c r="A61" s="10">
        <f t="shared" si="2"/>
        <v>39261</v>
      </c>
      <c r="B61">
        <v>179.3</v>
      </c>
      <c r="C61">
        <v>156.5</v>
      </c>
      <c r="D61">
        <v>46.3</v>
      </c>
      <c r="E61">
        <v>82.8</v>
      </c>
      <c r="F61" s="34">
        <f t="shared" ref="F61:G63" si="15">+B61+D61</f>
        <v>225.60000000000002</v>
      </c>
      <c r="G61" s="34">
        <f t="shared" si="15"/>
        <v>239.3</v>
      </c>
      <c r="H61" s="33">
        <f t="shared" si="14"/>
        <v>-5.7250313414124454</v>
      </c>
    </row>
    <row r="62" spans="1:9" x14ac:dyDescent="0.25">
      <c r="A62" s="10">
        <f t="shared" si="2"/>
        <v>39268</v>
      </c>
      <c r="B62">
        <v>177.6</v>
      </c>
      <c r="C62">
        <v>111</v>
      </c>
      <c r="D62">
        <v>48</v>
      </c>
      <c r="E62">
        <v>126.9</v>
      </c>
      <c r="F62" s="34">
        <f t="shared" si="15"/>
        <v>225.6</v>
      </c>
      <c r="G62" s="34">
        <f t="shared" si="15"/>
        <v>237.9</v>
      </c>
      <c r="H62" s="33">
        <f t="shared" si="14"/>
        <v>-5.1702395964691057</v>
      </c>
    </row>
    <row r="63" spans="1:9" x14ac:dyDescent="0.25">
      <c r="A63" s="10">
        <f t="shared" si="2"/>
        <v>39275</v>
      </c>
      <c r="B63">
        <v>146.1</v>
      </c>
      <c r="C63">
        <v>111</v>
      </c>
      <c r="D63">
        <v>90.9</v>
      </c>
      <c r="E63">
        <v>126.9</v>
      </c>
      <c r="F63" s="34">
        <f t="shared" si="15"/>
        <v>237</v>
      </c>
      <c r="G63" s="34">
        <f t="shared" si="15"/>
        <v>237.9</v>
      </c>
      <c r="H63" s="33">
        <f t="shared" si="14"/>
        <v>-0.37831021437578771</v>
      </c>
    </row>
    <row r="64" spans="1:9" x14ac:dyDescent="0.25">
      <c r="A64" s="10">
        <f t="shared" si="2"/>
        <v>39282</v>
      </c>
      <c r="B64">
        <v>144.6</v>
      </c>
      <c r="C64">
        <v>111</v>
      </c>
      <c r="D64">
        <v>92.7</v>
      </c>
      <c r="E64">
        <v>126.9</v>
      </c>
      <c r="F64" s="34">
        <f t="shared" ref="F64:G66" si="16">+B64+D64</f>
        <v>237.3</v>
      </c>
      <c r="G64" s="34">
        <f t="shared" si="16"/>
        <v>237.9</v>
      </c>
      <c r="H64" s="33">
        <f t="shared" ref="H64:H69" si="17">+(F64/G64-1)*100</f>
        <v>-0.25220680958385477</v>
      </c>
    </row>
    <row r="65" spans="1:9" x14ac:dyDescent="0.25">
      <c r="A65" s="10">
        <f t="shared" si="2"/>
        <v>39289</v>
      </c>
      <c r="B65">
        <v>139.80000000000001</v>
      </c>
      <c r="C65">
        <v>41</v>
      </c>
      <c r="D65">
        <v>99.3</v>
      </c>
      <c r="E65">
        <v>198.5</v>
      </c>
      <c r="F65" s="34">
        <f t="shared" si="16"/>
        <v>239.10000000000002</v>
      </c>
      <c r="G65" s="34">
        <f t="shared" si="16"/>
        <v>239.5</v>
      </c>
      <c r="H65" s="33">
        <f t="shared" si="17"/>
        <v>-0.1670146137786932</v>
      </c>
    </row>
    <row r="66" spans="1:9" x14ac:dyDescent="0.25">
      <c r="A66" s="10">
        <f t="shared" si="2"/>
        <v>39296</v>
      </c>
      <c r="B66">
        <v>189.4</v>
      </c>
      <c r="C66">
        <v>41</v>
      </c>
      <c r="D66">
        <v>152.1</v>
      </c>
      <c r="E66">
        <v>198.5</v>
      </c>
      <c r="F66" s="34">
        <f t="shared" si="16"/>
        <v>341.5</v>
      </c>
      <c r="G66" s="34">
        <f t="shared" si="16"/>
        <v>239.5</v>
      </c>
      <c r="H66" s="33">
        <f t="shared" si="17"/>
        <v>42.588726513569931</v>
      </c>
    </row>
    <row r="67" spans="1:9" x14ac:dyDescent="0.25">
      <c r="A67" s="10">
        <f t="shared" si="2"/>
        <v>39303</v>
      </c>
      <c r="B67">
        <v>162.30000000000001</v>
      </c>
      <c r="C67">
        <v>137.30000000000001</v>
      </c>
      <c r="D67">
        <v>180.9</v>
      </c>
      <c r="E67">
        <v>198.5</v>
      </c>
      <c r="F67" s="34">
        <f t="shared" ref="F67:G69" si="18">+B67+D67</f>
        <v>343.20000000000005</v>
      </c>
      <c r="G67" s="34">
        <f t="shared" si="18"/>
        <v>335.8</v>
      </c>
      <c r="H67" s="33">
        <f t="shared" si="17"/>
        <v>2.2036926742108554</v>
      </c>
    </row>
    <row r="68" spans="1:9" x14ac:dyDescent="0.25">
      <c r="A68" s="10">
        <f t="shared" si="2"/>
        <v>39310</v>
      </c>
      <c r="B68">
        <v>114.4</v>
      </c>
      <c r="C68">
        <v>93.8</v>
      </c>
      <c r="D68">
        <v>231.2</v>
      </c>
      <c r="E68">
        <v>241</v>
      </c>
      <c r="F68" s="34">
        <f t="shared" si="18"/>
        <v>345.6</v>
      </c>
      <c r="G68" s="34">
        <f t="shared" si="18"/>
        <v>334.8</v>
      </c>
      <c r="H68" s="33">
        <f t="shared" si="17"/>
        <v>3.2258064516129004</v>
      </c>
    </row>
    <row r="69" spans="1:9" x14ac:dyDescent="0.25">
      <c r="A69" s="10">
        <f t="shared" si="2"/>
        <v>39317</v>
      </c>
      <c r="B69">
        <v>114.4</v>
      </c>
      <c r="C69">
        <v>97</v>
      </c>
      <c r="D69">
        <v>231.8</v>
      </c>
      <c r="E69">
        <v>241</v>
      </c>
      <c r="F69" s="34">
        <f t="shared" si="18"/>
        <v>346.20000000000005</v>
      </c>
      <c r="G69" s="34">
        <f t="shared" si="18"/>
        <v>338</v>
      </c>
      <c r="H69" s="33">
        <f t="shared" si="17"/>
        <v>2.4260355029585901</v>
      </c>
    </row>
    <row r="70" spans="1:9" x14ac:dyDescent="0.25">
      <c r="A70" s="10">
        <f t="shared" si="2"/>
        <v>39324</v>
      </c>
      <c r="B70">
        <v>164.4</v>
      </c>
      <c r="C70">
        <v>97</v>
      </c>
      <c r="D70">
        <v>232.3</v>
      </c>
      <c r="E70">
        <v>241</v>
      </c>
      <c r="F70" s="34">
        <f t="shared" ref="F70:G72" si="19">+B70+D70</f>
        <v>396.70000000000005</v>
      </c>
      <c r="G70" s="34">
        <f t="shared" si="19"/>
        <v>338</v>
      </c>
      <c r="H70" s="33">
        <f t="shared" ref="H70:H75" si="20">+(F70/G70-1)*100</f>
        <v>17.366863905325445</v>
      </c>
    </row>
    <row r="71" spans="1:9" x14ac:dyDescent="0.25">
      <c r="A71" s="10">
        <f t="shared" si="2"/>
        <v>39331</v>
      </c>
      <c r="B71">
        <v>164.9</v>
      </c>
      <c r="C71">
        <v>148.1</v>
      </c>
      <c r="D71">
        <v>280.60000000000002</v>
      </c>
      <c r="E71">
        <v>241</v>
      </c>
      <c r="F71" s="34">
        <f t="shared" si="19"/>
        <v>445.5</v>
      </c>
      <c r="G71" s="34">
        <f t="shared" si="19"/>
        <v>389.1</v>
      </c>
      <c r="H71" s="33">
        <f t="shared" si="20"/>
        <v>14.494988434849642</v>
      </c>
    </row>
    <row r="72" spans="1:9" x14ac:dyDescent="0.25">
      <c r="A72" s="10">
        <f t="shared" si="2"/>
        <v>39338</v>
      </c>
      <c r="B72">
        <v>165.4</v>
      </c>
      <c r="C72">
        <v>148.6</v>
      </c>
      <c r="D72">
        <v>282.2</v>
      </c>
      <c r="E72">
        <v>241</v>
      </c>
      <c r="F72" s="34">
        <f t="shared" si="19"/>
        <v>447.6</v>
      </c>
      <c r="G72" s="34">
        <f t="shared" si="19"/>
        <v>389.6</v>
      </c>
      <c r="H72" s="33">
        <f t="shared" si="20"/>
        <v>14.887063655030808</v>
      </c>
    </row>
    <row r="73" spans="1:9" x14ac:dyDescent="0.25">
      <c r="A73" s="10">
        <f t="shared" si="2"/>
        <v>39345</v>
      </c>
      <c r="B73">
        <v>256.10000000000002</v>
      </c>
      <c r="C73">
        <v>143.19999999999999</v>
      </c>
      <c r="D73">
        <v>285</v>
      </c>
      <c r="E73">
        <v>291.2</v>
      </c>
      <c r="F73" s="34">
        <f t="shared" ref="F73:G75" si="21">+B73+D73</f>
        <v>541.1</v>
      </c>
      <c r="G73" s="34">
        <f t="shared" si="21"/>
        <v>434.4</v>
      </c>
      <c r="H73" s="33">
        <f t="shared" si="20"/>
        <v>24.562615101289143</v>
      </c>
    </row>
    <row r="74" spans="1:9" x14ac:dyDescent="0.25">
      <c r="A74" s="10">
        <f t="shared" si="2"/>
        <v>39352</v>
      </c>
      <c r="B74">
        <v>209.7</v>
      </c>
      <c r="C74">
        <v>143.19999999999999</v>
      </c>
      <c r="D74">
        <v>332.9</v>
      </c>
      <c r="E74">
        <v>291.2</v>
      </c>
      <c r="F74" s="34">
        <f t="shared" si="21"/>
        <v>542.59999999999991</v>
      </c>
      <c r="G74" s="34">
        <f t="shared" si="21"/>
        <v>434.4</v>
      </c>
      <c r="H74" s="33">
        <f t="shared" si="20"/>
        <v>24.907918968692442</v>
      </c>
    </row>
    <row r="75" spans="1:9" x14ac:dyDescent="0.25">
      <c r="A75" s="10">
        <f t="shared" si="2"/>
        <v>39359</v>
      </c>
      <c r="B75">
        <v>166.9</v>
      </c>
      <c r="C75">
        <v>95.8</v>
      </c>
      <c r="D75">
        <v>379.7</v>
      </c>
      <c r="E75">
        <v>340.9</v>
      </c>
      <c r="F75" s="34">
        <f t="shared" si="21"/>
        <v>546.6</v>
      </c>
      <c r="G75" s="34">
        <f t="shared" si="21"/>
        <v>436.7</v>
      </c>
      <c r="H75" s="33">
        <f t="shared" si="20"/>
        <v>25.166017861231982</v>
      </c>
    </row>
    <row r="76" spans="1:9" x14ac:dyDescent="0.25">
      <c r="A76" s="10">
        <f t="shared" si="2"/>
        <v>39366</v>
      </c>
      <c r="B76">
        <v>167.2</v>
      </c>
      <c r="C76">
        <v>95.8</v>
      </c>
      <c r="D76">
        <v>381.6</v>
      </c>
      <c r="E76">
        <v>340.9</v>
      </c>
      <c r="F76" s="34">
        <f t="shared" ref="F76:G78" si="22">+B76+D76</f>
        <v>548.79999999999995</v>
      </c>
      <c r="G76" s="34">
        <f t="shared" si="22"/>
        <v>436.7</v>
      </c>
      <c r="H76" s="33">
        <f t="shared" ref="H76:H81" si="23">+(F76/G76-1)*100</f>
        <v>25.669796198763439</v>
      </c>
    </row>
    <row r="77" spans="1:9" x14ac:dyDescent="0.25">
      <c r="A77" s="10">
        <f t="shared" si="2"/>
        <v>39373</v>
      </c>
      <c r="B77">
        <v>251.3</v>
      </c>
      <c r="C77">
        <v>95.8</v>
      </c>
      <c r="D77">
        <v>382.2</v>
      </c>
      <c r="E77">
        <v>340.9</v>
      </c>
      <c r="F77" s="34">
        <f t="shared" si="22"/>
        <v>633.5</v>
      </c>
      <c r="G77" s="34">
        <f t="shared" si="22"/>
        <v>436.7</v>
      </c>
      <c r="H77" s="33">
        <f t="shared" si="23"/>
        <v>45.065262193725665</v>
      </c>
    </row>
    <row r="78" spans="1:9" x14ac:dyDescent="0.25">
      <c r="A78" s="10">
        <f t="shared" si="2"/>
        <v>39380</v>
      </c>
      <c r="B78">
        <v>209.5</v>
      </c>
      <c r="C78">
        <v>51.2</v>
      </c>
      <c r="D78">
        <v>431.8</v>
      </c>
      <c r="E78">
        <v>385.5</v>
      </c>
      <c r="F78" s="34">
        <f t="shared" si="22"/>
        <v>641.29999999999995</v>
      </c>
      <c r="G78" s="34">
        <f t="shared" si="22"/>
        <v>436.7</v>
      </c>
      <c r="H78" s="33">
        <f t="shared" si="23"/>
        <v>46.851385390428213</v>
      </c>
      <c r="I78">
        <v>1.8</v>
      </c>
    </row>
    <row r="79" spans="1:9" x14ac:dyDescent="0.25">
      <c r="A79" s="10">
        <f t="shared" si="2"/>
        <v>39387</v>
      </c>
      <c r="B79">
        <v>209.9</v>
      </c>
      <c r="C79">
        <v>95.3</v>
      </c>
      <c r="D79">
        <v>434.7</v>
      </c>
      <c r="E79">
        <v>391.4</v>
      </c>
      <c r="F79" s="34">
        <f t="shared" ref="F79:G81" si="24">+B79+D79</f>
        <v>644.6</v>
      </c>
      <c r="G79" s="34">
        <f t="shared" si="24"/>
        <v>486.7</v>
      </c>
      <c r="H79" s="33">
        <f t="shared" si="23"/>
        <v>32.442983357304314</v>
      </c>
    </row>
    <row r="80" spans="1:9" x14ac:dyDescent="0.25">
      <c r="A80" s="10">
        <f t="shared" si="2"/>
        <v>39394</v>
      </c>
      <c r="B80">
        <v>245.6</v>
      </c>
      <c r="C80">
        <v>94.7</v>
      </c>
      <c r="D80">
        <v>480.1</v>
      </c>
      <c r="E80">
        <v>392</v>
      </c>
      <c r="F80" s="34">
        <f t="shared" si="24"/>
        <v>725.7</v>
      </c>
      <c r="G80" s="34">
        <f t="shared" si="24"/>
        <v>486.7</v>
      </c>
      <c r="H80" s="33">
        <f t="shared" si="23"/>
        <v>49.106225600986249</v>
      </c>
    </row>
    <row r="81" spans="1:9" x14ac:dyDescent="0.25">
      <c r="A81" s="10">
        <f t="shared" si="2"/>
        <v>39401</v>
      </c>
      <c r="B81">
        <v>203.2</v>
      </c>
      <c r="C81">
        <v>95.2</v>
      </c>
      <c r="D81">
        <v>525.9</v>
      </c>
      <c r="E81">
        <v>392</v>
      </c>
      <c r="F81" s="34">
        <f t="shared" si="24"/>
        <v>729.09999999999991</v>
      </c>
      <c r="G81" s="34">
        <f t="shared" si="24"/>
        <v>487.2</v>
      </c>
      <c r="H81" s="33">
        <f t="shared" si="23"/>
        <v>49.651067323481101</v>
      </c>
    </row>
    <row r="82" spans="1:9" x14ac:dyDescent="0.25">
      <c r="A82" s="10">
        <f t="shared" si="2"/>
        <v>39408</v>
      </c>
      <c r="B82">
        <v>205.2</v>
      </c>
      <c r="C82">
        <v>96.2</v>
      </c>
      <c r="D82">
        <v>528.6</v>
      </c>
      <c r="E82">
        <v>392</v>
      </c>
      <c r="F82" s="34">
        <f t="shared" ref="F82:G84" si="25">+B82+D82</f>
        <v>733.8</v>
      </c>
      <c r="G82" s="34">
        <f t="shared" si="25"/>
        <v>488.2</v>
      </c>
      <c r="H82" s="33">
        <f t="shared" ref="H82:H87" si="26">+(F82/G82-1)*100</f>
        <v>50.307251126587445</v>
      </c>
    </row>
    <row r="83" spans="1:9" x14ac:dyDescent="0.25">
      <c r="A83" s="10">
        <f t="shared" si="2"/>
        <v>39415</v>
      </c>
      <c r="B83">
        <v>203.6</v>
      </c>
      <c r="C83">
        <v>96.3</v>
      </c>
      <c r="D83">
        <v>530.4</v>
      </c>
      <c r="E83">
        <v>392.9</v>
      </c>
      <c r="F83" s="34">
        <f t="shared" si="25"/>
        <v>734</v>
      </c>
      <c r="G83" s="34">
        <f t="shared" si="25"/>
        <v>489.2</v>
      </c>
      <c r="H83" s="33">
        <f t="shared" si="26"/>
        <v>50.040883074407191</v>
      </c>
    </row>
    <row r="84" spans="1:9" x14ac:dyDescent="0.25">
      <c r="A84" s="10">
        <f t="shared" si="2"/>
        <v>39422</v>
      </c>
      <c r="B84">
        <v>278.10000000000002</v>
      </c>
      <c r="C84">
        <v>99.3</v>
      </c>
      <c r="D84">
        <v>533.5</v>
      </c>
      <c r="E84">
        <v>433</v>
      </c>
      <c r="F84" s="34">
        <f t="shared" si="25"/>
        <v>811.6</v>
      </c>
      <c r="G84" s="34">
        <f t="shared" si="25"/>
        <v>532.29999999999995</v>
      </c>
      <c r="H84" s="33">
        <f t="shared" si="26"/>
        <v>52.470411422130404</v>
      </c>
    </row>
    <row r="85" spans="1:9" x14ac:dyDescent="0.25">
      <c r="A85" s="10">
        <f t="shared" si="2"/>
        <v>39429</v>
      </c>
      <c r="B85">
        <v>276.8</v>
      </c>
      <c r="C85">
        <v>100.2</v>
      </c>
      <c r="D85">
        <v>534.70000000000005</v>
      </c>
      <c r="E85">
        <v>435.6</v>
      </c>
      <c r="F85" s="34">
        <f t="shared" ref="F85:G87" si="27">+B85+D85</f>
        <v>811.5</v>
      </c>
      <c r="G85" s="34">
        <f t="shared" si="27"/>
        <v>535.80000000000007</v>
      </c>
      <c r="H85" s="33">
        <f t="shared" si="26"/>
        <v>51.455767077267623</v>
      </c>
    </row>
    <row r="86" spans="1:9" x14ac:dyDescent="0.25">
      <c r="A86" s="10">
        <f t="shared" si="2"/>
        <v>39436</v>
      </c>
      <c r="B86">
        <v>231.7</v>
      </c>
      <c r="C86">
        <v>195.3</v>
      </c>
      <c r="D86">
        <v>579.1</v>
      </c>
      <c r="E86">
        <v>437.4</v>
      </c>
      <c r="F86" s="34">
        <f t="shared" si="27"/>
        <v>810.8</v>
      </c>
      <c r="G86" s="34">
        <f t="shared" si="27"/>
        <v>632.70000000000005</v>
      </c>
      <c r="H86" s="33">
        <f t="shared" si="26"/>
        <v>28.149201833412342</v>
      </c>
    </row>
    <row r="87" spans="1:9" x14ac:dyDescent="0.25">
      <c r="A87" s="10">
        <f t="shared" si="2"/>
        <v>39443</v>
      </c>
      <c r="B87">
        <v>187</v>
      </c>
      <c r="C87">
        <v>247</v>
      </c>
      <c r="D87">
        <v>626.1</v>
      </c>
      <c r="E87">
        <v>437.4</v>
      </c>
      <c r="F87" s="34">
        <f t="shared" si="27"/>
        <v>813.1</v>
      </c>
      <c r="G87" s="34">
        <f t="shared" si="27"/>
        <v>684.4</v>
      </c>
      <c r="H87" s="33">
        <f t="shared" si="26"/>
        <v>18.804792518994738</v>
      </c>
    </row>
    <row r="88" spans="1:9" x14ac:dyDescent="0.25">
      <c r="A88" s="10">
        <f t="shared" si="2"/>
        <v>39450</v>
      </c>
      <c r="B88">
        <v>186.1</v>
      </c>
      <c r="C88">
        <v>245.9</v>
      </c>
      <c r="D88">
        <v>627</v>
      </c>
      <c r="E88">
        <v>438.7</v>
      </c>
      <c r="F88" s="34">
        <f t="shared" ref="F88:G90" si="28">+B88+D88</f>
        <v>813.1</v>
      </c>
      <c r="G88" s="34">
        <f t="shared" si="28"/>
        <v>684.6</v>
      </c>
      <c r="H88" s="33">
        <f t="shared" ref="H88:H93" si="29">+(F88/G88-1)*100</f>
        <v>18.770084721004963</v>
      </c>
    </row>
    <row r="89" spans="1:9" x14ac:dyDescent="0.25">
      <c r="A89" s="10">
        <f t="shared" si="2"/>
        <v>39457</v>
      </c>
      <c r="B89">
        <v>261.89999999999998</v>
      </c>
      <c r="C89">
        <v>242.8</v>
      </c>
      <c r="D89">
        <v>631.70000000000005</v>
      </c>
      <c r="E89">
        <v>485</v>
      </c>
      <c r="F89" s="34">
        <f t="shared" si="28"/>
        <v>893.6</v>
      </c>
      <c r="G89" s="34">
        <f t="shared" si="28"/>
        <v>727.8</v>
      </c>
      <c r="H89" s="33">
        <f t="shared" si="29"/>
        <v>22.780983786754618</v>
      </c>
    </row>
    <row r="90" spans="1:9" x14ac:dyDescent="0.25">
      <c r="A90" s="10">
        <f t="shared" si="2"/>
        <v>39464</v>
      </c>
      <c r="B90">
        <v>220.5</v>
      </c>
      <c r="C90">
        <v>197.9</v>
      </c>
      <c r="D90">
        <v>675.1</v>
      </c>
      <c r="E90">
        <v>485</v>
      </c>
      <c r="F90" s="34">
        <f t="shared" si="28"/>
        <v>895.6</v>
      </c>
      <c r="G90" s="34">
        <f t="shared" si="28"/>
        <v>682.9</v>
      </c>
      <c r="H90" s="33">
        <f t="shared" si="29"/>
        <v>31.146580758529808</v>
      </c>
    </row>
    <row r="91" spans="1:9" x14ac:dyDescent="0.25">
      <c r="A91" s="10">
        <f t="shared" si="2"/>
        <v>39471</v>
      </c>
      <c r="B91">
        <v>220.8</v>
      </c>
      <c r="C91">
        <v>197.7</v>
      </c>
      <c r="D91">
        <v>676.3</v>
      </c>
      <c r="E91">
        <v>533</v>
      </c>
      <c r="F91" s="34">
        <f t="shared" ref="F91:G93" si="30">+B91+D91</f>
        <v>897.09999999999991</v>
      </c>
      <c r="G91" s="34">
        <f t="shared" si="30"/>
        <v>730.7</v>
      </c>
      <c r="H91" s="33">
        <f t="shared" si="29"/>
        <v>22.772683727932108</v>
      </c>
    </row>
    <row r="92" spans="1:9" x14ac:dyDescent="0.25">
      <c r="A92" s="10">
        <f t="shared" si="2"/>
        <v>39478</v>
      </c>
      <c r="B92">
        <v>255.8</v>
      </c>
      <c r="C92">
        <v>183.1</v>
      </c>
      <c r="D92">
        <v>720.5</v>
      </c>
      <c r="E92">
        <v>633.29999999999995</v>
      </c>
      <c r="F92" s="34">
        <f t="shared" si="30"/>
        <v>976.3</v>
      </c>
      <c r="G92" s="34">
        <f t="shared" si="30"/>
        <v>816.4</v>
      </c>
      <c r="H92" s="33">
        <f t="shared" si="29"/>
        <v>19.585987261146485</v>
      </c>
    </row>
    <row r="93" spans="1:9" x14ac:dyDescent="0.25">
      <c r="A93" s="10">
        <f t="shared" si="2"/>
        <v>39485</v>
      </c>
      <c r="B93">
        <v>254.7</v>
      </c>
      <c r="C93">
        <v>184.6</v>
      </c>
      <c r="D93">
        <v>722.5</v>
      </c>
      <c r="E93">
        <v>633.5</v>
      </c>
      <c r="F93" s="34">
        <f t="shared" si="30"/>
        <v>977.2</v>
      </c>
      <c r="G93" s="34">
        <f t="shared" si="30"/>
        <v>818.1</v>
      </c>
      <c r="H93" s="33">
        <f t="shared" si="29"/>
        <v>19.447500305586107</v>
      </c>
      <c r="I93">
        <v>1.8</v>
      </c>
    </row>
    <row r="94" spans="1:9" x14ac:dyDescent="0.25">
      <c r="A94" s="10">
        <f t="shared" si="2"/>
        <v>39492</v>
      </c>
      <c r="B94">
        <v>253.3</v>
      </c>
      <c r="C94">
        <v>225.9</v>
      </c>
      <c r="D94">
        <v>723.9</v>
      </c>
      <c r="E94">
        <v>637.79999999999995</v>
      </c>
      <c r="F94" s="34">
        <f t="shared" ref="F94:G96" si="31">+B94+D94</f>
        <v>977.2</v>
      </c>
      <c r="G94" s="34">
        <f t="shared" si="31"/>
        <v>863.69999999999993</v>
      </c>
      <c r="H94" s="33">
        <f t="shared" ref="H94:H99" si="32">+(F94/G94-1)*100</f>
        <v>13.14113696885495</v>
      </c>
      <c r="I94">
        <v>1.8</v>
      </c>
    </row>
    <row r="95" spans="1:9" x14ac:dyDescent="0.25">
      <c r="A95" s="10">
        <f t="shared" si="2"/>
        <v>39499</v>
      </c>
      <c r="B95">
        <v>218.8</v>
      </c>
      <c r="C95">
        <v>181.1</v>
      </c>
      <c r="D95">
        <v>757</v>
      </c>
      <c r="E95">
        <v>684.8</v>
      </c>
      <c r="F95" s="34">
        <f t="shared" si="31"/>
        <v>975.8</v>
      </c>
      <c r="G95" s="34">
        <f t="shared" si="31"/>
        <v>865.9</v>
      </c>
      <c r="H95" s="33">
        <f t="shared" si="32"/>
        <v>12.69199676637025</v>
      </c>
      <c r="I95">
        <v>1.8</v>
      </c>
    </row>
    <row r="96" spans="1:9" x14ac:dyDescent="0.25">
      <c r="A96" s="10">
        <f t="shared" si="2"/>
        <v>39506</v>
      </c>
      <c r="B96">
        <v>217</v>
      </c>
      <c r="C96">
        <v>129.5</v>
      </c>
      <c r="D96">
        <v>759</v>
      </c>
      <c r="E96">
        <v>737.2</v>
      </c>
      <c r="F96" s="34">
        <f t="shared" si="31"/>
        <v>976</v>
      </c>
      <c r="G96" s="34">
        <f t="shared" si="31"/>
        <v>866.7</v>
      </c>
      <c r="H96" s="33">
        <f t="shared" si="32"/>
        <v>12.611053421022266</v>
      </c>
      <c r="I96">
        <v>1.8</v>
      </c>
    </row>
    <row r="97" spans="1:9" x14ac:dyDescent="0.25">
      <c r="A97" s="10">
        <f t="shared" si="2"/>
        <v>39513</v>
      </c>
      <c r="B97">
        <v>207.3</v>
      </c>
      <c r="C97">
        <v>170.6</v>
      </c>
      <c r="D97">
        <v>849</v>
      </c>
      <c r="E97">
        <v>737.4</v>
      </c>
      <c r="F97" s="34">
        <f t="shared" ref="F97:G99" si="33">+B97+D97</f>
        <v>1056.3</v>
      </c>
      <c r="G97" s="34">
        <f t="shared" si="33"/>
        <v>908</v>
      </c>
      <c r="H97" s="33">
        <f t="shared" si="32"/>
        <v>16.332599118942738</v>
      </c>
      <c r="I97">
        <v>1.8</v>
      </c>
    </row>
    <row r="98" spans="1:9" x14ac:dyDescent="0.25">
      <c r="A98" s="10">
        <f t="shared" si="2"/>
        <v>39520</v>
      </c>
      <c r="B98">
        <v>207.9</v>
      </c>
      <c r="C98">
        <v>130.19999999999999</v>
      </c>
      <c r="D98">
        <v>849.3</v>
      </c>
      <c r="E98">
        <v>779.6</v>
      </c>
      <c r="F98" s="34">
        <f t="shared" si="33"/>
        <v>1057.2</v>
      </c>
      <c r="G98" s="34">
        <f t="shared" si="33"/>
        <v>909.8</v>
      </c>
      <c r="H98" s="33">
        <f t="shared" si="32"/>
        <v>16.201362936909213</v>
      </c>
      <c r="I98">
        <v>1.8</v>
      </c>
    </row>
    <row r="99" spans="1:9" x14ac:dyDescent="0.25">
      <c r="A99" s="10">
        <f t="shared" si="2"/>
        <v>39527</v>
      </c>
      <c r="B99">
        <v>208.9</v>
      </c>
      <c r="C99">
        <v>127.9</v>
      </c>
      <c r="D99">
        <v>849.7</v>
      </c>
      <c r="E99">
        <v>781.9</v>
      </c>
      <c r="F99" s="34">
        <f t="shared" si="33"/>
        <v>1058.6000000000001</v>
      </c>
      <c r="G99" s="34">
        <f t="shared" si="33"/>
        <v>909.8</v>
      </c>
      <c r="H99" s="33">
        <f t="shared" si="32"/>
        <v>16.35524291052981</v>
      </c>
      <c r="I99">
        <v>1.8</v>
      </c>
    </row>
    <row r="100" spans="1:9" x14ac:dyDescent="0.25">
      <c r="A100" s="10">
        <f t="shared" si="2"/>
        <v>39534</v>
      </c>
      <c r="B100">
        <v>169.8</v>
      </c>
      <c r="C100">
        <v>87.5</v>
      </c>
      <c r="D100">
        <v>891.8</v>
      </c>
      <c r="E100">
        <v>824.6</v>
      </c>
      <c r="F100" s="34">
        <f t="shared" ref="F100:G102" si="34">+B100+D100</f>
        <v>1061.5999999999999</v>
      </c>
      <c r="G100" s="34">
        <f t="shared" si="34"/>
        <v>912.1</v>
      </c>
      <c r="H100" s="33">
        <f t="shared" ref="H100:H105" si="35">+(F100/G100-1)*100</f>
        <v>16.390746628659137</v>
      </c>
      <c r="I100">
        <v>1.8</v>
      </c>
    </row>
    <row r="101" spans="1:9" x14ac:dyDescent="0.25">
      <c r="A101" s="10">
        <f t="shared" si="2"/>
        <v>39541</v>
      </c>
      <c r="B101">
        <v>208.5</v>
      </c>
      <c r="C101">
        <v>129</v>
      </c>
      <c r="D101">
        <v>893.2</v>
      </c>
      <c r="E101">
        <v>826.6</v>
      </c>
      <c r="F101" s="34">
        <f t="shared" si="34"/>
        <v>1101.7</v>
      </c>
      <c r="G101" s="34">
        <f t="shared" si="34"/>
        <v>955.6</v>
      </c>
      <c r="H101" s="33">
        <f t="shared" si="35"/>
        <v>15.288823775638338</v>
      </c>
      <c r="I101">
        <v>1.8</v>
      </c>
    </row>
    <row r="102" spans="1:9" x14ac:dyDescent="0.25">
      <c r="A102" s="10">
        <f t="shared" si="2"/>
        <v>39548</v>
      </c>
      <c r="B102">
        <v>204</v>
      </c>
      <c r="C102">
        <v>85.2</v>
      </c>
      <c r="D102">
        <v>896.6</v>
      </c>
      <c r="E102">
        <v>872.6</v>
      </c>
      <c r="F102" s="34">
        <f t="shared" si="34"/>
        <v>1100.5999999999999</v>
      </c>
      <c r="G102" s="34">
        <f t="shared" si="34"/>
        <v>957.80000000000007</v>
      </c>
      <c r="H102" s="33">
        <f t="shared" si="35"/>
        <v>14.909166840676535</v>
      </c>
      <c r="I102">
        <v>1.8</v>
      </c>
    </row>
    <row r="103" spans="1:9" x14ac:dyDescent="0.25">
      <c r="A103" s="10">
        <f t="shared" si="2"/>
        <v>39555</v>
      </c>
      <c r="B103">
        <v>166.5</v>
      </c>
      <c r="C103">
        <v>125.2</v>
      </c>
      <c r="D103">
        <v>939.3</v>
      </c>
      <c r="E103">
        <v>872.6</v>
      </c>
      <c r="F103" s="34">
        <f t="shared" ref="F103:G105" si="36">+B103+D103</f>
        <v>1105.8</v>
      </c>
      <c r="G103" s="34">
        <f t="shared" si="36"/>
        <v>997.80000000000007</v>
      </c>
      <c r="H103" s="33">
        <f t="shared" si="35"/>
        <v>10.823812387251941</v>
      </c>
      <c r="I103">
        <v>5.0999999999999996</v>
      </c>
    </row>
    <row r="104" spans="1:9" x14ac:dyDescent="0.25">
      <c r="A104" s="10">
        <f t="shared" si="2"/>
        <v>39562</v>
      </c>
      <c r="B104">
        <v>165.6</v>
      </c>
      <c r="C104">
        <v>124.6</v>
      </c>
      <c r="D104">
        <v>940.2</v>
      </c>
      <c r="E104">
        <v>873.1</v>
      </c>
      <c r="F104" s="34">
        <f t="shared" si="36"/>
        <v>1105.8</v>
      </c>
      <c r="G104" s="34">
        <f t="shared" si="36"/>
        <v>997.7</v>
      </c>
      <c r="H104" s="33">
        <f t="shared" si="35"/>
        <v>10.834920316728457</v>
      </c>
      <c r="I104">
        <v>6.6</v>
      </c>
    </row>
    <row r="105" spans="1:9" x14ac:dyDescent="0.25">
      <c r="A105" s="10">
        <f t="shared" si="2"/>
        <v>39569</v>
      </c>
      <c r="B105">
        <v>124.3</v>
      </c>
      <c r="C105">
        <v>155.6</v>
      </c>
      <c r="D105">
        <v>984.3</v>
      </c>
      <c r="E105">
        <v>874</v>
      </c>
      <c r="F105" s="34">
        <f t="shared" si="36"/>
        <v>1108.5999999999999</v>
      </c>
      <c r="G105" s="34">
        <f t="shared" si="36"/>
        <v>1029.5999999999999</v>
      </c>
      <c r="H105" s="33">
        <f t="shared" si="35"/>
        <v>7.6728826728826638</v>
      </c>
      <c r="I105">
        <v>6.6</v>
      </c>
    </row>
    <row r="106" spans="1:9" x14ac:dyDescent="0.25">
      <c r="A106" s="10">
        <f t="shared" si="2"/>
        <v>39576</v>
      </c>
      <c r="B106">
        <v>123.6</v>
      </c>
      <c r="C106">
        <v>114</v>
      </c>
      <c r="D106">
        <v>984.9</v>
      </c>
      <c r="E106">
        <v>917.7</v>
      </c>
      <c r="F106" s="34">
        <f t="shared" ref="F106:G108" si="37">+B106+D106</f>
        <v>1108.5</v>
      </c>
      <c r="G106" s="34">
        <f t="shared" si="37"/>
        <v>1031.7</v>
      </c>
      <c r="H106" s="33">
        <f t="shared" ref="H106:H111" si="38">+(F106/G106-1)*100</f>
        <v>7.4440244257051313</v>
      </c>
      <c r="I106">
        <v>6.6</v>
      </c>
    </row>
    <row r="107" spans="1:9" x14ac:dyDescent="0.25">
      <c r="A107" s="10">
        <f t="shared" si="2"/>
        <v>39583</v>
      </c>
      <c r="B107">
        <v>122.3</v>
      </c>
      <c r="C107">
        <v>82</v>
      </c>
      <c r="D107">
        <v>986.3</v>
      </c>
      <c r="E107">
        <v>917.8</v>
      </c>
      <c r="F107" s="34">
        <f t="shared" si="37"/>
        <v>1108.5999999999999</v>
      </c>
      <c r="G107" s="34">
        <f t="shared" si="37"/>
        <v>999.8</v>
      </c>
      <c r="H107" s="33">
        <f t="shared" si="38"/>
        <v>10.882176435287061</v>
      </c>
      <c r="I107">
        <v>14.6</v>
      </c>
    </row>
    <row r="108" spans="1:9" x14ac:dyDescent="0.25">
      <c r="A108" s="10">
        <f t="shared" si="2"/>
        <v>39590</v>
      </c>
      <c r="B108">
        <v>123.3</v>
      </c>
      <c r="C108">
        <v>37.9</v>
      </c>
      <c r="D108">
        <v>986.5</v>
      </c>
      <c r="E108">
        <v>964</v>
      </c>
      <c r="F108" s="34">
        <f t="shared" si="37"/>
        <v>1109.8</v>
      </c>
      <c r="G108" s="34">
        <f t="shared" si="37"/>
        <v>1001.9</v>
      </c>
      <c r="H108" s="33">
        <f t="shared" si="38"/>
        <v>10.769537878031743</v>
      </c>
      <c r="I108">
        <v>14.4</v>
      </c>
    </row>
    <row r="109" spans="1:9" x14ac:dyDescent="0.25">
      <c r="A109" s="10">
        <f t="shared" si="2"/>
        <v>39597</v>
      </c>
      <c r="B109">
        <v>89.2</v>
      </c>
      <c r="C109">
        <v>2</v>
      </c>
      <c r="D109">
        <v>1023.1</v>
      </c>
      <c r="E109">
        <v>999</v>
      </c>
      <c r="F109" s="34">
        <f t="shared" ref="F109:G111" si="39">+B109+D109</f>
        <v>1112.3</v>
      </c>
      <c r="G109" s="34">
        <f t="shared" si="39"/>
        <v>1001</v>
      </c>
      <c r="H109" s="33">
        <f t="shared" si="38"/>
        <v>11.118881118881108</v>
      </c>
      <c r="I109">
        <v>14.1</v>
      </c>
    </row>
    <row r="110" spans="1:9" x14ac:dyDescent="0.25">
      <c r="A110" s="10">
        <f t="shared" si="2"/>
        <v>39604</v>
      </c>
      <c r="B110">
        <v>65.2</v>
      </c>
      <c r="C110">
        <v>131.6</v>
      </c>
      <c r="D110">
        <v>0.1</v>
      </c>
      <c r="E110">
        <v>1.5</v>
      </c>
      <c r="F110" s="34">
        <f t="shared" si="39"/>
        <v>65.3</v>
      </c>
      <c r="G110" s="34">
        <f t="shared" si="39"/>
        <v>133.1</v>
      </c>
      <c r="H110" s="33">
        <f t="shared" si="38"/>
        <v>-50.939143501126971</v>
      </c>
    </row>
    <row r="111" spans="1:9" x14ac:dyDescent="0.25">
      <c r="A111" s="10">
        <f t="shared" si="2"/>
        <v>39611</v>
      </c>
      <c r="B111">
        <v>65.2</v>
      </c>
      <c r="C111">
        <v>131.6</v>
      </c>
      <c r="D111">
        <v>0.1</v>
      </c>
      <c r="E111">
        <v>1.5</v>
      </c>
      <c r="F111" s="34">
        <f t="shared" si="39"/>
        <v>65.3</v>
      </c>
      <c r="G111" s="34">
        <f t="shared" si="39"/>
        <v>133.1</v>
      </c>
      <c r="H111" s="33">
        <f t="shared" si="38"/>
        <v>-50.939143501126971</v>
      </c>
    </row>
    <row r="112" spans="1:9" x14ac:dyDescent="0.25">
      <c r="A112" s="10">
        <f t="shared" si="2"/>
        <v>39618</v>
      </c>
      <c r="B112">
        <v>96.5</v>
      </c>
      <c r="C112">
        <v>220.6</v>
      </c>
      <c r="D112">
        <v>2.2000000000000002</v>
      </c>
      <c r="E112">
        <v>3</v>
      </c>
      <c r="F112" s="34">
        <f t="shared" ref="F112:G114" si="40">+B112+D112</f>
        <v>98.7</v>
      </c>
      <c r="G112" s="34">
        <f t="shared" si="40"/>
        <v>223.6</v>
      </c>
      <c r="H112" s="33">
        <f t="shared" ref="H112:H117" si="41">+(F112/G112-1)*100</f>
        <v>-55.858676207513412</v>
      </c>
    </row>
    <row r="113" spans="1:8" x14ac:dyDescent="0.25">
      <c r="A113" s="10">
        <f t="shared" si="2"/>
        <v>39625</v>
      </c>
      <c r="B113">
        <v>97</v>
      </c>
      <c r="C113">
        <v>179.3</v>
      </c>
      <c r="D113">
        <v>2.7</v>
      </c>
      <c r="E113">
        <v>46.3</v>
      </c>
      <c r="F113" s="34">
        <f t="shared" si="40"/>
        <v>99.7</v>
      </c>
      <c r="G113" s="34">
        <f t="shared" si="40"/>
        <v>225.60000000000002</v>
      </c>
      <c r="H113" s="33">
        <f t="shared" si="41"/>
        <v>-55.806737588652489</v>
      </c>
    </row>
    <row r="114" spans="1:8" x14ac:dyDescent="0.25">
      <c r="A114" s="10">
        <f t="shared" si="2"/>
        <v>39632</v>
      </c>
      <c r="B114">
        <v>50.5</v>
      </c>
      <c r="C114">
        <v>177.6</v>
      </c>
      <c r="D114">
        <v>49.8</v>
      </c>
      <c r="E114">
        <v>48</v>
      </c>
      <c r="F114" s="34">
        <f t="shared" si="40"/>
        <v>100.3</v>
      </c>
      <c r="G114" s="34">
        <f t="shared" si="40"/>
        <v>225.6</v>
      </c>
      <c r="H114" s="33">
        <f t="shared" si="41"/>
        <v>-55.540780141843967</v>
      </c>
    </row>
    <row r="115" spans="1:8" x14ac:dyDescent="0.25">
      <c r="A115" s="10">
        <f t="shared" si="2"/>
        <v>39639</v>
      </c>
      <c r="B115">
        <v>50.1</v>
      </c>
      <c r="C115">
        <v>146.1</v>
      </c>
      <c r="D115">
        <v>51.7</v>
      </c>
      <c r="E115">
        <v>90.9</v>
      </c>
      <c r="F115" s="34">
        <f t="shared" ref="F115:G117" si="42">+B115+D115</f>
        <v>101.80000000000001</v>
      </c>
      <c r="G115" s="34">
        <f t="shared" si="42"/>
        <v>237</v>
      </c>
      <c r="H115" s="33">
        <f t="shared" si="41"/>
        <v>-57.046413502109708</v>
      </c>
    </row>
    <row r="116" spans="1:8" x14ac:dyDescent="0.25">
      <c r="A116" s="10">
        <f t="shared" si="2"/>
        <v>39646</v>
      </c>
      <c r="B116">
        <v>47.9</v>
      </c>
      <c r="C116">
        <v>144.6</v>
      </c>
      <c r="D116">
        <v>53.9</v>
      </c>
      <c r="E116">
        <v>92.7</v>
      </c>
      <c r="F116" s="34">
        <f t="shared" si="42"/>
        <v>101.8</v>
      </c>
      <c r="G116" s="34">
        <f t="shared" si="42"/>
        <v>237.3</v>
      </c>
      <c r="H116" s="33">
        <f t="shared" si="41"/>
        <v>-57.100716392751792</v>
      </c>
    </row>
    <row r="117" spans="1:8" x14ac:dyDescent="0.25">
      <c r="A117" s="10">
        <f t="shared" si="2"/>
        <v>39653</v>
      </c>
      <c r="B117">
        <v>46.5</v>
      </c>
      <c r="C117">
        <v>139.80000000000001</v>
      </c>
      <c r="D117">
        <v>55.8</v>
      </c>
      <c r="E117">
        <v>99.3</v>
      </c>
      <c r="F117" s="34">
        <f t="shared" si="42"/>
        <v>102.3</v>
      </c>
      <c r="G117" s="34">
        <f t="shared" si="42"/>
        <v>239.10000000000002</v>
      </c>
      <c r="H117" s="33">
        <f t="shared" si="41"/>
        <v>-57.214554579673781</v>
      </c>
    </row>
    <row r="118" spans="1:8" x14ac:dyDescent="0.25">
      <c r="A118" s="10">
        <f t="shared" si="2"/>
        <v>39660</v>
      </c>
      <c r="B118">
        <v>45</v>
      </c>
      <c r="C118">
        <v>189.4</v>
      </c>
      <c r="D118">
        <v>57.4</v>
      </c>
      <c r="E118">
        <v>152.1</v>
      </c>
      <c r="F118" s="34">
        <f t="shared" ref="F118:G120" si="43">+B118+D118</f>
        <v>102.4</v>
      </c>
      <c r="G118" s="34">
        <f t="shared" si="43"/>
        <v>341.5</v>
      </c>
      <c r="H118" s="33">
        <f t="shared" ref="H118:H123" si="44">+(F118/G118-1)*100</f>
        <v>-70.014641288433381</v>
      </c>
    </row>
    <row r="119" spans="1:8" x14ac:dyDescent="0.25">
      <c r="A119" s="10">
        <f t="shared" si="2"/>
        <v>39667</v>
      </c>
      <c r="B119">
        <v>10.3</v>
      </c>
      <c r="C119">
        <v>162.30000000000001</v>
      </c>
      <c r="D119">
        <v>92.4</v>
      </c>
      <c r="E119">
        <v>180.9</v>
      </c>
      <c r="F119" s="34">
        <f t="shared" si="43"/>
        <v>102.7</v>
      </c>
      <c r="G119" s="34">
        <f t="shared" si="43"/>
        <v>343.20000000000005</v>
      </c>
      <c r="H119" s="33">
        <f t="shared" si="44"/>
        <v>-70.075757575757578</v>
      </c>
    </row>
    <row r="120" spans="1:8" x14ac:dyDescent="0.25">
      <c r="A120" s="10">
        <f t="shared" si="2"/>
        <v>39674</v>
      </c>
      <c r="B120">
        <v>58.4</v>
      </c>
      <c r="C120">
        <v>114.4</v>
      </c>
      <c r="D120">
        <v>93.3</v>
      </c>
      <c r="E120">
        <v>231.2</v>
      </c>
      <c r="F120" s="34">
        <f t="shared" si="43"/>
        <v>151.69999999999999</v>
      </c>
      <c r="G120" s="34">
        <f t="shared" si="43"/>
        <v>345.6</v>
      </c>
      <c r="H120" s="33">
        <f t="shared" si="44"/>
        <v>-56.105324074074083</v>
      </c>
    </row>
    <row r="121" spans="1:8" x14ac:dyDescent="0.25">
      <c r="A121" s="10">
        <f t="shared" si="2"/>
        <v>39681</v>
      </c>
      <c r="B121">
        <v>58.9</v>
      </c>
      <c r="C121">
        <v>114.4</v>
      </c>
      <c r="D121">
        <v>93.3</v>
      </c>
      <c r="E121">
        <v>231.8</v>
      </c>
      <c r="F121" s="34">
        <f t="shared" ref="F121:G123" si="45">+B121+D121</f>
        <v>152.19999999999999</v>
      </c>
      <c r="G121" s="34">
        <f t="shared" si="45"/>
        <v>346.20000000000005</v>
      </c>
      <c r="H121" s="33">
        <f t="shared" si="44"/>
        <v>-56.036972848064707</v>
      </c>
    </row>
    <row r="122" spans="1:8" x14ac:dyDescent="0.25">
      <c r="A122" s="10">
        <f t="shared" si="2"/>
        <v>39688</v>
      </c>
      <c r="B122">
        <v>55.9</v>
      </c>
      <c r="C122">
        <v>164.4</v>
      </c>
      <c r="D122">
        <v>96.3</v>
      </c>
      <c r="E122">
        <v>232.3</v>
      </c>
      <c r="F122" s="34">
        <f t="shared" si="45"/>
        <v>152.19999999999999</v>
      </c>
      <c r="G122" s="34">
        <f t="shared" si="45"/>
        <v>396.70000000000005</v>
      </c>
      <c r="H122" s="33">
        <f t="shared" si="44"/>
        <v>-61.633476178472414</v>
      </c>
    </row>
    <row r="123" spans="1:8" x14ac:dyDescent="0.25">
      <c r="A123" s="10">
        <f t="shared" si="2"/>
        <v>39695</v>
      </c>
      <c r="B123">
        <v>95.7</v>
      </c>
      <c r="C123">
        <v>164.9</v>
      </c>
      <c r="D123">
        <v>96.3</v>
      </c>
      <c r="E123">
        <v>280.60000000000002</v>
      </c>
      <c r="F123" s="34">
        <f t="shared" si="45"/>
        <v>192</v>
      </c>
      <c r="G123" s="34">
        <f t="shared" si="45"/>
        <v>445.5</v>
      </c>
      <c r="H123" s="33">
        <f t="shared" si="44"/>
        <v>-56.9023569023569</v>
      </c>
    </row>
    <row r="124" spans="1:8" x14ac:dyDescent="0.25">
      <c r="A124" s="10">
        <f t="shared" si="2"/>
        <v>39702</v>
      </c>
      <c r="B124">
        <v>93.3</v>
      </c>
      <c r="C124">
        <v>165.4</v>
      </c>
      <c r="D124">
        <v>99.2</v>
      </c>
      <c r="E124">
        <v>282.2</v>
      </c>
      <c r="F124" s="34">
        <f t="shared" ref="F124:G126" si="46">+B124+D124</f>
        <v>192.5</v>
      </c>
      <c r="G124" s="34">
        <f t="shared" si="46"/>
        <v>447.6</v>
      </c>
      <c r="H124" s="33">
        <f t="shared" ref="H124:H129" si="47">+(F124/G124-1)*100</f>
        <v>-56.992850759606796</v>
      </c>
    </row>
    <row r="125" spans="1:8" x14ac:dyDescent="0.25">
      <c r="A125" s="10">
        <f t="shared" si="2"/>
        <v>39709</v>
      </c>
      <c r="B125">
        <v>88.4</v>
      </c>
      <c r="C125">
        <v>256.10000000000002</v>
      </c>
      <c r="D125">
        <v>142.9</v>
      </c>
      <c r="E125">
        <v>285</v>
      </c>
      <c r="F125" s="34">
        <f t="shared" si="46"/>
        <v>231.3</v>
      </c>
      <c r="G125" s="34">
        <f t="shared" si="46"/>
        <v>541.1</v>
      </c>
      <c r="H125" s="33">
        <f t="shared" si="47"/>
        <v>-57.253742376640183</v>
      </c>
    </row>
    <row r="126" spans="1:8" x14ac:dyDescent="0.25">
      <c r="A126" s="10">
        <f t="shared" si="2"/>
        <v>39716</v>
      </c>
      <c r="B126">
        <v>83.9</v>
      </c>
      <c r="C126">
        <v>209.7</v>
      </c>
      <c r="D126">
        <v>147.4</v>
      </c>
      <c r="E126">
        <v>332.9</v>
      </c>
      <c r="F126" s="34">
        <f t="shared" si="46"/>
        <v>231.3</v>
      </c>
      <c r="G126" s="34">
        <f t="shared" si="46"/>
        <v>542.59999999999991</v>
      </c>
      <c r="H126" s="33">
        <f t="shared" si="47"/>
        <v>-57.371913011426457</v>
      </c>
    </row>
    <row r="127" spans="1:8" x14ac:dyDescent="0.25">
      <c r="A127" s="10">
        <f t="shared" si="2"/>
        <v>39723</v>
      </c>
      <c r="B127">
        <v>83.2</v>
      </c>
      <c r="C127">
        <v>166.9</v>
      </c>
      <c r="D127">
        <v>148.1</v>
      </c>
      <c r="E127">
        <v>379.7</v>
      </c>
      <c r="F127" s="34">
        <f t="shared" ref="F127:G129" si="48">+B127+D127</f>
        <v>231.3</v>
      </c>
      <c r="G127" s="34">
        <f t="shared" si="48"/>
        <v>546.6</v>
      </c>
      <c r="H127" s="33">
        <f t="shared" si="47"/>
        <v>-57.683863885839735</v>
      </c>
    </row>
    <row r="128" spans="1:8" x14ac:dyDescent="0.25">
      <c r="A128" s="10">
        <f t="shared" si="2"/>
        <v>39730</v>
      </c>
      <c r="B128">
        <v>55</v>
      </c>
      <c r="C128">
        <v>167.2</v>
      </c>
      <c r="D128">
        <v>177.7</v>
      </c>
      <c r="E128">
        <v>381.6</v>
      </c>
      <c r="F128" s="34">
        <f t="shared" si="48"/>
        <v>232.7</v>
      </c>
      <c r="G128" s="34">
        <f t="shared" si="48"/>
        <v>548.79999999999995</v>
      </c>
      <c r="H128" s="33">
        <f t="shared" si="47"/>
        <v>-57.598396501457728</v>
      </c>
    </row>
    <row r="129" spans="1:8" x14ac:dyDescent="0.25">
      <c r="A129" s="10">
        <f t="shared" si="2"/>
        <v>39737</v>
      </c>
      <c r="B129">
        <v>42.7</v>
      </c>
      <c r="C129">
        <v>251.3</v>
      </c>
      <c r="D129">
        <v>191.5</v>
      </c>
      <c r="E129">
        <v>382.2</v>
      </c>
      <c r="F129" s="34">
        <f t="shared" si="48"/>
        <v>234.2</v>
      </c>
      <c r="G129" s="34">
        <f t="shared" si="48"/>
        <v>633.5</v>
      </c>
      <c r="H129" s="33">
        <f t="shared" si="47"/>
        <v>-63.03078137332281</v>
      </c>
    </row>
    <row r="130" spans="1:8" x14ac:dyDescent="0.25">
      <c r="A130" s="10">
        <f t="shared" si="2"/>
        <v>39744</v>
      </c>
      <c r="B130">
        <v>42.5</v>
      </c>
      <c r="C130">
        <v>209.5</v>
      </c>
      <c r="D130">
        <v>192</v>
      </c>
      <c r="E130">
        <v>431.8</v>
      </c>
      <c r="F130" s="34">
        <f t="shared" ref="F130:G132" si="49">+B130+D130</f>
        <v>234.5</v>
      </c>
      <c r="G130" s="34">
        <f t="shared" si="49"/>
        <v>641.29999999999995</v>
      </c>
      <c r="H130" s="33">
        <f t="shared" ref="H130:H135" si="50">+(F130/G130-1)*100</f>
        <v>-63.433650397629805</v>
      </c>
    </row>
    <row r="131" spans="1:8" x14ac:dyDescent="0.25">
      <c r="A131" s="10">
        <f t="shared" si="2"/>
        <v>39751</v>
      </c>
      <c r="B131">
        <v>81.8</v>
      </c>
      <c r="C131">
        <v>209.9</v>
      </c>
      <c r="D131">
        <v>192.7</v>
      </c>
      <c r="E131">
        <v>434.7</v>
      </c>
      <c r="F131" s="34">
        <f t="shared" si="49"/>
        <v>274.5</v>
      </c>
      <c r="G131" s="34">
        <f t="shared" si="49"/>
        <v>644.6</v>
      </c>
      <c r="H131" s="33">
        <f t="shared" si="50"/>
        <v>-57.415451442755192</v>
      </c>
    </row>
    <row r="132" spans="1:8" x14ac:dyDescent="0.25">
      <c r="A132" s="10">
        <f t="shared" si="2"/>
        <v>39758</v>
      </c>
      <c r="B132">
        <v>106.1</v>
      </c>
      <c r="C132">
        <v>245.6</v>
      </c>
      <c r="D132">
        <v>222.8</v>
      </c>
      <c r="E132">
        <v>480.1</v>
      </c>
      <c r="F132" s="34">
        <f t="shared" si="49"/>
        <v>328.9</v>
      </c>
      <c r="G132" s="34">
        <f t="shared" si="49"/>
        <v>725.7</v>
      </c>
      <c r="H132" s="33">
        <f t="shared" si="50"/>
        <v>-54.678241697671211</v>
      </c>
    </row>
    <row r="133" spans="1:8" x14ac:dyDescent="0.25">
      <c r="A133" s="10">
        <f t="shared" si="2"/>
        <v>39765</v>
      </c>
      <c r="B133">
        <v>95.1</v>
      </c>
      <c r="C133">
        <v>203.2</v>
      </c>
      <c r="D133">
        <v>235.3</v>
      </c>
      <c r="E133">
        <v>525.9</v>
      </c>
      <c r="F133" s="34">
        <f t="shared" ref="F133:G135" si="51">+B133+D133</f>
        <v>330.4</v>
      </c>
      <c r="G133" s="34">
        <f t="shared" si="51"/>
        <v>729.09999999999991</v>
      </c>
      <c r="H133" s="33">
        <f t="shared" si="50"/>
        <v>-54.683856809765466</v>
      </c>
    </row>
    <row r="134" spans="1:8" x14ac:dyDescent="0.25">
      <c r="A134" s="10">
        <f t="shared" si="2"/>
        <v>39772</v>
      </c>
      <c r="B134">
        <v>137.9</v>
      </c>
      <c r="C134">
        <v>205.2</v>
      </c>
      <c r="D134">
        <v>235.3</v>
      </c>
      <c r="E134">
        <v>528.6</v>
      </c>
      <c r="F134" s="34">
        <f t="shared" si="51"/>
        <v>373.20000000000005</v>
      </c>
      <c r="G134" s="34">
        <f t="shared" si="51"/>
        <v>733.8</v>
      </c>
      <c r="H134" s="33">
        <f t="shared" si="50"/>
        <v>-49.14145543744889</v>
      </c>
    </row>
    <row r="135" spans="1:8" x14ac:dyDescent="0.25">
      <c r="A135" s="10">
        <f t="shared" si="2"/>
        <v>39779</v>
      </c>
      <c r="B135">
        <v>137.6</v>
      </c>
      <c r="C135">
        <v>203.6</v>
      </c>
      <c r="D135">
        <v>235.6</v>
      </c>
      <c r="E135">
        <v>530.4</v>
      </c>
      <c r="F135" s="34">
        <f t="shared" si="51"/>
        <v>373.2</v>
      </c>
      <c r="G135" s="34">
        <f t="shared" si="51"/>
        <v>734</v>
      </c>
      <c r="H135" s="33">
        <f t="shared" si="50"/>
        <v>-49.155313351498641</v>
      </c>
    </row>
    <row r="136" spans="1:8" x14ac:dyDescent="0.25">
      <c r="A136" s="10">
        <f t="shared" si="2"/>
        <v>39786</v>
      </c>
      <c r="B136">
        <v>122.9</v>
      </c>
      <c r="C136">
        <v>278.10000000000002</v>
      </c>
      <c r="D136">
        <v>251</v>
      </c>
      <c r="E136">
        <v>533.5</v>
      </c>
      <c r="F136" s="34">
        <f t="shared" ref="F136:G138" si="52">+B136+D136</f>
        <v>373.9</v>
      </c>
      <c r="G136" s="34">
        <f t="shared" si="52"/>
        <v>811.6</v>
      </c>
      <c r="H136" s="33">
        <f t="shared" ref="H136:H141" si="53">+(F136/G136-1)*100</f>
        <v>-53.930507639231152</v>
      </c>
    </row>
    <row r="137" spans="1:8" x14ac:dyDescent="0.25">
      <c r="A137" s="10">
        <f t="shared" si="2"/>
        <v>39793</v>
      </c>
      <c r="B137">
        <v>97.1</v>
      </c>
      <c r="C137">
        <v>276.8</v>
      </c>
      <c r="D137">
        <v>278</v>
      </c>
      <c r="E137">
        <v>534.70000000000005</v>
      </c>
      <c r="F137" s="34">
        <f t="shared" si="52"/>
        <v>375.1</v>
      </c>
      <c r="G137" s="34">
        <f t="shared" si="52"/>
        <v>811.5</v>
      </c>
      <c r="H137" s="33">
        <f t="shared" si="53"/>
        <v>-53.776956253850884</v>
      </c>
    </row>
    <row r="138" spans="1:8" x14ac:dyDescent="0.25">
      <c r="A138" s="10">
        <f t="shared" si="2"/>
        <v>39800</v>
      </c>
      <c r="B138">
        <v>152.69999999999999</v>
      </c>
      <c r="C138">
        <v>231.7</v>
      </c>
      <c r="D138">
        <v>278.5</v>
      </c>
      <c r="E138">
        <v>579.1</v>
      </c>
      <c r="F138" s="34">
        <f t="shared" si="52"/>
        <v>431.2</v>
      </c>
      <c r="G138" s="34">
        <f t="shared" si="52"/>
        <v>810.8</v>
      </c>
      <c r="H138" s="33">
        <f t="shared" si="53"/>
        <v>-46.817957572767632</v>
      </c>
    </row>
    <row r="139" spans="1:8" x14ac:dyDescent="0.25">
      <c r="A139" s="10">
        <f t="shared" si="2"/>
        <v>39807</v>
      </c>
      <c r="B139">
        <v>152.4</v>
      </c>
      <c r="C139">
        <v>187</v>
      </c>
      <c r="D139">
        <v>278.8</v>
      </c>
      <c r="E139">
        <v>626.1</v>
      </c>
      <c r="F139" s="34">
        <f t="shared" ref="F139:G141" si="54">+B139+D139</f>
        <v>431.20000000000005</v>
      </c>
      <c r="G139" s="34">
        <f t="shared" si="54"/>
        <v>813.1</v>
      </c>
      <c r="H139" s="33">
        <f t="shared" si="53"/>
        <v>-46.968392571639406</v>
      </c>
    </row>
    <row r="140" spans="1:8" x14ac:dyDescent="0.25">
      <c r="A140" s="10">
        <f t="shared" si="2"/>
        <v>39814</v>
      </c>
      <c r="B140">
        <v>152.30000000000001</v>
      </c>
      <c r="C140">
        <v>186.1</v>
      </c>
      <c r="D140">
        <v>278.89999999999998</v>
      </c>
      <c r="E140">
        <v>627</v>
      </c>
      <c r="F140" s="34">
        <f t="shared" si="54"/>
        <v>431.2</v>
      </c>
      <c r="G140" s="34">
        <f t="shared" si="54"/>
        <v>813.1</v>
      </c>
      <c r="H140" s="33">
        <f t="shared" si="53"/>
        <v>-46.968392571639406</v>
      </c>
    </row>
    <row r="141" spans="1:8" x14ac:dyDescent="0.25">
      <c r="A141" s="10">
        <f t="shared" si="2"/>
        <v>39821</v>
      </c>
      <c r="B141">
        <v>99.3</v>
      </c>
      <c r="C141">
        <v>261.89999999999998</v>
      </c>
      <c r="D141">
        <v>329.8</v>
      </c>
      <c r="E141">
        <v>631.70000000000005</v>
      </c>
      <c r="F141" s="34">
        <f t="shared" si="54"/>
        <v>429.1</v>
      </c>
      <c r="G141" s="34">
        <f t="shared" si="54"/>
        <v>893.6</v>
      </c>
      <c r="H141" s="33">
        <f t="shared" si="53"/>
        <v>-51.980752014324082</v>
      </c>
    </row>
    <row r="142" spans="1:8" x14ac:dyDescent="0.25">
      <c r="A142" s="10">
        <f t="shared" si="2"/>
        <v>39828</v>
      </c>
      <c r="B142">
        <v>189.8</v>
      </c>
      <c r="C142">
        <v>220.5</v>
      </c>
      <c r="D142">
        <v>329.8</v>
      </c>
      <c r="E142">
        <v>675.1</v>
      </c>
      <c r="F142" s="34">
        <f t="shared" ref="F142:G144" si="55">+B142+D142</f>
        <v>519.6</v>
      </c>
      <c r="G142" s="34">
        <f t="shared" si="55"/>
        <v>895.6</v>
      </c>
      <c r="H142" s="33">
        <f t="shared" ref="H142:H147" si="56">+(F142/G142-1)*100</f>
        <v>-41.983028137561405</v>
      </c>
    </row>
    <row r="143" spans="1:8" x14ac:dyDescent="0.25">
      <c r="A143" s="10">
        <f t="shared" si="2"/>
        <v>39835</v>
      </c>
      <c r="B143">
        <v>189.3</v>
      </c>
      <c r="C143">
        <v>220.8</v>
      </c>
      <c r="D143">
        <v>330.2</v>
      </c>
      <c r="E143">
        <v>676.3</v>
      </c>
      <c r="F143" s="34">
        <f t="shared" si="55"/>
        <v>519.5</v>
      </c>
      <c r="G143" s="34">
        <f t="shared" si="55"/>
        <v>897.09999999999991</v>
      </c>
      <c r="H143" s="33">
        <f t="shared" si="56"/>
        <v>-42.091182699810489</v>
      </c>
    </row>
    <row r="144" spans="1:8" x14ac:dyDescent="0.25">
      <c r="A144" s="10">
        <f t="shared" si="2"/>
        <v>39842</v>
      </c>
      <c r="B144">
        <v>146.4</v>
      </c>
      <c r="C144">
        <v>255.8</v>
      </c>
      <c r="D144">
        <v>374.3</v>
      </c>
      <c r="E144">
        <v>720.5</v>
      </c>
      <c r="F144" s="34">
        <f t="shared" si="55"/>
        <v>520.70000000000005</v>
      </c>
      <c r="G144" s="34">
        <f t="shared" si="55"/>
        <v>976.3</v>
      </c>
      <c r="H144" s="33">
        <f t="shared" si="56"/>
        <v>-46.665983816449852</v>
      </c>
    </row>
    <row r="145" spans="1:9" x14ac:dyDescent="0.25">
      <c r="A145" s="10">
        <f t="shared" si="2"/>
        <v>39849</v>
      </c>
      <c r="B145">
        <v>146.69999999999999</v>
      </c>
      <c r="C145">
        <v>254.7</v>
      </c>
      <c r="D145">
        <v>374.3</v>
      </c>
      <c r="E145">
        <v>722.5</v>
      </c>
      <c r="F145" s="34">
        <f t="shared" ref="F145:G147" si="57">+B145+D145</f>
        <v>521</v>
      </c>
      <c r="G145" s="34">
        <f t="shared" si="57"/>
        <v>977.2</v>
      </c>
      <c r="H145" s="33">
        <f t="shared" si="56"/>
        <v>-46.68440442079411</v>
      </c>
    </row>
    <row r="146" spans="1:9" x14ac:dyDescent="0.25">
      <c r="A146" s="10">
        <f t="shared" si="2"/>
        <v>39856</v>
      </c>
      <c r="B146">
        <v>91.7</v>
      </c>
      <c r="C146">
        <v>253.3</v>
      </c>
      <c r="D146">
        <v>430.7</v>
      </c>
      <c r="E146">
        <v>723.9</v>
      </c>
      <c r="F146" s="34">
        <f t="shared" si="57"/>
        <v>522.4</v>
      </c>
      <c r="G146" s="34">
        <f t="shared" si="57"/>
        <v>977.2</v>
      </c>
      <c r="H146" s="33">
        <f t="shared" si="56"/>
        <v>-46.541137945149416</v>
      </c>
    </row>
    <row r="147" spans="1:9" x14ac:dyDescent="0.25">
      <c r="A147" s="10">
        <f t="shared" si="2"/>
        <v>39863</v>
      </c>
      <c r="B147">
        <v>183.5</v>
      </c>
      <c r="C147">
        <v>218.8</v>
      </c>
      <c r="D147">
        <v>430.7</v>
      </c>
      <c r="E147">
        <v>757</v>
      </c>
      <c r="F147" s="34">
        <f t="shared" si="57"/>
        <v>614.20000000000005</v>
      </c>
      <c r="G147" s="34">
        <f t="shared" si="57"/>
        <v>975.8</v>
      </c>
      <c r="H147" s="33">
        <f t="shared" si="56"/>
        <v>-37.056773929083818</v>
      </c>
    </row>
    <row r="148" spans="1:9" x14ac:dyDescent="0.25">
      <c r="A148" s="10">
        <f t="shared" si="2"/>
        <v>39870</v>
      </c>
      <c r="B148">
        <v>183.5</v>
      </c>
      <c r="C148">
        <v>217</v>
      </c>
      <c r="D148">
        <v>430.7</v>
      </c>
      <c r="E148">
        <v>759</v>
      </c>
      <c r="F148" s="34">
        <f t="shared" ref="F148:G150" si="58">+B148+D148</f>
        <v>614.20000000000005</v>
      </c>
      <c r="G148" s="34">
        <f t="shared" si="58"/>
        <v>976</v>
      </c>
      <c r="H148" s="33">
        <f t="shared" ref="H148:H153" si="59">+(F148/G148-1)*100</f>
        <v>-37.069672131147534</v>
      </c>
    </row>
    <row r="149" spans="1:9" x14ac:dyDescent="0.25">
      <c r="A149" s="10">
        <f t="shared" si="2"/>
        <v>39877</v>
      </c>
      <c r="B149">
        <v>161.1</v>
      </c>
      <c r="C149">
        <v>207.3</v>
      </c>
      <c r="D149">
        <v>452.7</v>
      </c>
      <c r="E149">
        <v>849</v>
      </c>
      <c r="F149" s="34">
        <f t="shared" si="58"/>
        <v>613.79999999999995</v>
      </c>
      <c r="G149" s="34">
        <f t="shared" si="58"/>
        <v>1056.3</v>
      </c>
      <c r="H149" s="33">
        <f t="shared" si="59"/>
        <v>-41.891508094291396</v>
      </c>
    </row>
    <row r="150" spans="1:9" x14ac:dyDescent="0.25">
      <c r="A150" s="10">
        <f t="shared" si="2"/>
        <v>39884</v>
      </c>
      <c r="B150">
        <v>133.4</v>
      </c>
      <c r="C150">
        <v>207.9</v>
      </c>
      <c r="D150">
        <v>481.5</v>
      </c>
      <c r="E150">
        <v>849.3</v>
      </c>
      <c r="F150" s="34">
        <f t="shared" si="58"/>
        <v>614.9</v>
      </c>
      <c r="G150" s="34">
        <f t="shared" si="58"/>
        <v>1057.2</v>
      </c>
      <c r="H150" s="33">
        <f t="shared" si="59"/>
        <v>-41.836927733636017</v>
      </c>
    </row>
    <row r="151" spans="1:9" x14ac:dyDescent="0.25">
      <c r="A151" s="10">
        <f t="shared" si="2"/>
        <v>39891</v>
      </c>
      <c r="B151">
        <v>91.6</v>
      </c>
      <c r="C151">
        <v>208.9</v>
      </c>
      <c r="D151">
        <v>524.9</v>
      </c>
      <c r="E151">
        <v>849.7</v>
      </c>
      <c r="F151" s="34">
        <f t="shared" ref="F151:G155" si="60">+B151+D151</f>
        <v>616.5</v>
      </c>
      <c r="G151" s="34">
        <f t="shared" si="60"/>
        <v>1058.6000000000001</v>
      </c>
      <c r="H151" s="33">
        <f t="shared" si="59"/>
        <v>-41.762705460041573</v>
      </c>
    </row>
    <row r="152" spans="1:9" x14ac:dyDescent="0.25">
      <c r="A152" s="10">
        <f t="shared" si="2"/>
        <v>39898</v>
      </c>
      <c r="B152">
        <v>184.7</v>
      </c>
      <c r="C152">
        <v>169.8</v>
      </c>
      <c r="D152">
        <v>524.9</v>
      </c>
      <c r="E152">
        <v>891.8</v>
      </c>
      <c r="F152" s="34">
        <f t="shared" si="60"/>
        <v>709.59999999999991</v>
      </c>
      <c r="G152" s="34">
        <f t="shared" si="60"/>
        <v>1061.5999999999999</v>
      </c>
      <c r="H152" s="33">
        <f t="shared" si="59"/>
        <v>-33.157498116051244</v>
      </c>
    </row>
    <row r="153" spans="1:9" x14ac:dyDescent="0.25">
      <c r="A153" s="10">
        <f t="shared" si="2"/>
        <v>39905</v>
      </c>
      <c r="B153">
        <v>184.6</v>
      </c>
      <c r="C153">
        <v>208.5</v>
      </c>
      <c r="D153">
        <v>525.1</v>
      </c>
      <c r="E153">
        <v>893.2</v>
      </c>
      <c r="F153" s="34">
        <f t="shared" si="60"/>
        <v>709.7</v>
      </c>
      <c r="G153" s="34">
        <f t="shared" si="60"/>
        <v>1101.7</v>
      </c>
      <c r="H153" s="33">
        <f t="shared" si="59"/>
        <v>-35.581374239811204</v>
      </c>
    </row>
    <row r="154" spans="1:9" x14ac:dyDescent="0.25">
      <c r="A154" s="10">
        <f t="shared" si="2"/>
        <v>39912</v>
      </c>
      <c r="B154">
        <v>136.1</v>
      </c>
      <c r="C154">
        <v>204</v>
      </c>
      <c r="D154">
        <v>576</v>
      </c>
      <c r="E154">
        <v>896.6</v>
      </c>
      <c r="F154" s="34">
        <f t="shared" si="60"/>
        <v>712.1</v>
      </c>
      <c r="G154" s="34">
        <f t="shared" si="60"/>
        <v>1100.5999999999999</v>
      </c>
      <c r="H154" s="33">
        <f t="shared" ref="H154:H159" si="61">+(F154/G154-1)*100</f>
        <v>-35.298927857532249</v>
      </c>
    </row>
    <row r="155" spans="1:9" x14ac:dyDescent="0.25">
      <c r="A155" s="10">
        <f t="shared" si="2"/>
        <v>39919</v>
      </c>
      <c r="B155">
        <v>136.1</v>
      </c>
      <c r="C155">
        <v>166.5</v>
      </c>
      <c r="D155">
        <v>576</v>
      </c>
      <c r="E155">
        <v>939.3</v>
      </c>
      <c r="F155" s="34">
        <f t="shared" si="60"/>
        <v>712.1</v>
      </c>
      <c r="G155" s="34">
        <f t="shared" si="60"/>
        <v>1105.8</v>
      </c>
      <c r="H155" s="33">
        <f t="shared" si="61"/>
        <v>-35.603183215771381</v>
      </c>
    </row>
    <row r="156" spans="1:9" x14ac:dyDescent="0.25">
      <c r="A156" s="10">
        <f t="shared" si="2"/>
        <v>39926</v>
      </c>
      <c r="B156">
        <v>95.3</v>
      </c>
      <c r="C156">
        <v>165.6</v>
      </c>
      <c r="D156">
        <v>620.1</v>
      </c>
      <c r="E156">
        <v>940.2</v>
      </c>
      <c r="F156" s="34">
        <f t="shared" ref="F156:F187" si="62">+B156+D156</f>
        <v>715.4</v>
      </c>
      <c r="G156" s="34">
        <f t="shared" ref="G156:G187" si="63">+C156+E156</f>
        <v>1105.8</v>
      </c>
      <c r="H156" s="33">
        <f t="shared" si="61"/>
        <v>-35.304756737203832</v>
      </c>
      <c r="I156">
        <v>86.4</v>
      </c>
    </row>
    <row r="157" spans="1:9" x14ac:dyDescent="0.25">
      <c r="A157" s="10">
        <f t="shared" si="2"/>
        <v>39933</v>
      </c>
      <c r="B157">
        <v>95.1</v>
      </c>
      <c r="C157">
        <v>124.3</v>
      </c>
      <c r="D157">
        <v>620.29999999999995</v>
      </c>
      <c r="E157">
        <v>984.3</v>
      </c>
      <c r="F157" s="34">
        <f t="shared" si="62"/>
        <v>715.4</v>
      </c>
      <c r="G157" s="34">
        <f t="shared" si="63"/>
        <v>1108.5999999999999</v>
      </c>
      <c r="H157" s="33">
        <f t="shared" si="61"/>
        <v>-35.468158037163988</v>
      </c>
      <c r="I157">
        <v>86.4</v>
      </c>
    </row>
    <row r="158" spans="1:9" x14ac:dyDescent="0.25">
      <c r="A158" s="10">
        <f t="shared" si="2"/>
        <v>39940</v>
      </c>
      <c r="B158">
        <v>95.1</v>
      </c>
      <c r="C158">
        <v>123.6</v>
      </c>
      <c r="D158">
        <v>620.29999999999995</v>
      </c>
      <c r="E158">
        <v>984.9</v>
      </c>
      <c r="F158" s="34">
        <f t="shared" si="62"/>
        <v>715.4</v>
      </c>
      <c r="G158" s="34">
        <f t="shared" si="63"/>
        <v>1108.5</v>
      </c>
      <c r="H158" s="33">
        <f t="shared" si="61"/>
        <v>-35.462336490753273</v>
      </c>
      <c r="I158">
        <v>86.4</v>
      </c>
    </row>
    <row r="159" spans="1:9" x14ac:dyDescent="0.25">
      <c r="A159" s="10">
        <f t="shared" si="2"/>
        <v>39947</v>
      </c>
      <c r="B159">
        <v>48.2</v>
      </c>
      <c r="C159">
        <v>122.3</v>
      </c>
      <c r="D159">
        <v>667.8</v>
      </c>
      <c r="E159">
        <v>986.3</v>
      </c>
      <c r="F159" s="34">
        <f t="shared" si="62"/>
        <v>716</v>
      </c>
      <c r="G159" s="34">
        <f t="shared" si="63"/>
        <v>1108.5999999999999</v>
      </c>
      <c r="H159" s="33">
        <f t="shared" si="61"/>
        <v>-35.41403572072884</v>
      </c>
      <c r="I159">
        <v>86.4</v>
      </c>
    </row>
    <row r="160" spans="1:9" x14ac:dyDescent="0.25">
      <c r="A160" s="10">
        <f t="shared" si="2"/>
        <v>39954</v>
      </c>
      <c r="B160">
        <v>2</v>
      </c>
      <c r="C160">
        <v>123.3</v>
      </c>
      <c r="D160">
        <v>711.7</v>
      </c>
      <c r="E160">
        <v>986.5</v>
      </c>
      <c r="F160" s="34">
        <f t="shared" si="62"/>
        <v>713.7</v>
      </c>
      <c r="G160" s="34">
        <f t="shared" si="63"/>
        <v>1109.8</v>
      </c>
      <c r="H160" s="33">
        <f t="shared" ref="H160:H191" si="64">+(F160/G160-1)*100</f>
        <v>-35.691115516309239</v>
      </c>
      <c r="I160">
        <v>86.9</v>
      </c>
    </row>
    <row r="161" spans="1:9" x14ac:dyDescent="0.25">
      <c r="A161" s="10">
        <f t="shared" si="2"/>
        <v>39961</v>
      </c>
      <c r="B161">
        <v>1</v>
      </c>
      <c r="C161">
        <v>89.2</v>
      </c>
      <c r="D161">
        <v>712.7</v>
      </c>
      <c r="E161">
        <v>1023.1</v>
      </c>
      <c r="F161" s="34">
        <f t="shared" si="62"/>
        <v>713.7</v>
      </c>
      <c r="G161" s="34">
        <f t="shared" si="63"/>
        <v>1112.3</v>
      </c>
      <c r="H161" s="33">
        <f t="shared" si="64"/>
        <v>-35.835655848242375</v>
      </c>
      <c r="I161">
        <v>120.5</v>
      </c>
    </row>
    <row r="162" spans="1:9" x14ac:dyDescent="0.25">
      <c r="A162" s="10">
        <f t="shared" si="2"/>
        <v>39968</v>
      </c>
      <c r="B162">
        <v>119.9</v>
      </c>
      <c r="C162">
        <v>65.2</v>
      </c>
      <c r="D162">
        <v>0.6</v>
      </c>
      <c r="E162">
        <v>0.1</v>
      </c>
      <c r="F162" s="34">
        <f t="shared" si="62"/>
        <v>120.5</v>
      </c>
      <c r="G162" s="34">
        <f t="shared" si="63"/>
        <v>65.3</v>
      </c>
      <c r="H162" s="33">
        <f t="shared" si="64"/>
        <v>84.532924961715167</v>
      </c>
    </row>
    <row r="163" spans="1:9" x14ac:dyDescent="0.25">
      <c r="A163" s="10">
        <f t="shared" si="2"/>
        <v>39975</v>
      </c>
      <c r="B163">
        <v>127.8</v>
      </c>
      <c r="C163">
        <v>95.6</v>
      </c>
      <c r="D163">
        <v>42.5</v>
      </c>
      <c r="E163">
        <v>1.6</v>
      </c>
      <c r="F163" s="34">
        <f t="shared" si="62"/>
        <v>170.3</v>
      </c>
      <c r="G163" s="34">
        <f t="shared" si="63"/>
        <v>97.199999999999989</v>
      </c>
      <c r="H163" s="33">
        <f t="shared" si="64"/>
        <v>75.205761316872469</v>
      </c>
    </row>
    <row r="164" spans="1:9" x14ac:dyDescent="0.25">
      <c r="A164" s="10">
        <f t="shared" si="2"/>
        <v>39982</v>
      </c>
      <c r="B164">
        <v>127.8</v>
      </c>
      <c r="C164">
        <v>96.5</v>
      </c>
      <c r="D164">
        <v>42.5</v>
      </c>
      <c r="E164">
        <v>2.2000000000000002</v>
      </c>
      <c r="F164" s="34">
        <f t="shared" si="62"/>
        <v>170.3</v>
      </c>
      <c r="G164" s="34">
        <f t="shared" si="63"/>
        <v>98.7</v>
      </c>
      <c r="H164" s="33">
        <f t="shared" si="64"/>
        <v>72.543059777102343</v>
      </c>
    </row>
    <row r="165" spans="1:9" x14ac:dyDescent="0.25">
      <c r="A165" s="10">
        <f t="shared" si="2"/>
        <v>39989</v>
      </c>
      <c r="B165">
        <v>127.8</v>
      </c>
      <c r="C165">
        <v>97</v>
      </c>
      <c r="D165">
        <v>42.5</v>
      </c>
      <c r="E165">
        <v>2.7</v>
      </c>
      <c r="F165" s="34">
        <f t="shared" si="62"/>
        <v>170.3</v>
      </c>
      <c r="G165" s="34">
        <f t="shared" si="63"/>
        <v>99.7</v>
      </c>
      <c r="H165" s="33">
        <f t="shared" si="64"/>
        <v>70.81243731193581</v>
      </c>
    </row>
    <row r="166" spans="1:9" x14ac:dyDescent="0.25">
      <c r="A166" s="10">
        <f t="shared" si="2"/>
        <v>39996</v>
      </c>
      <c r="B166">
        <v>167.7</v>
      </c>
      <c r="C166">
        <v>50.5</v>
      </c>
      <c r="D166">
        <v>87</v>
      </c>
      <c r="E166">
        <v>49.8</v>
      </c>
      <c r="F166" s="34">
        <f t="shared" si="62"/>
        <v>254.7</v>
      </c>
      <c r="G166" s="34">
        <f t="shared" si="63"/>
        <v>100.3</v>
      </c>
      <c r="H166" s="33">
        <f t="shared" si="64"/>
        <v>153.938185443669</v>
      </c>
    </row>
    <row r="167" spans="1:9" x14ac:dyDescent="0.25">
      <c r="A167" s="10">
        <f t="shared" si="2"/>
        <v>40003</v>
      </c>
      <c r="B167">
        <v>167.7</v>
      </c>
      <c r="C167">
        <v>50.1</v>
      </c>
      <c r="D167">
        <v>87</v>
      </c>
      <c r="E167">
        <v>51.7</v>
      </c>
      <c r="F167" s="34">
        <f t="shared" si="62"/>
        <v>254.7</v>
      </c>
      <c r="G167" s="34">
        <f t="shared" si="63"/>
        <v>101.80000000000001</v>
      </c>
      <c r="H167" s="33">
        <f t="shared" si="64"/>
        <v>150.19646365422395</v>
      </c>
    </row>
    <row r="168" spans="1:9" x14ac:dyDescent="0.25">
      <c r="A168" s="10">
        <f t="shared" si="2"/>
        <v>40010</v>
      </c>
      <c r="B168">
        <v>167.8</v>
      </c>
      <c r="C168">
        <v>47.9</v>
      </c>
      <c r="D168">
        <v>87</v>
      </c>
      <c r="E168">
        <v>53.9</v>
      </c>
      <c r="F168" s="34">
        <f t="shared" si="62"/>
        <v>254.8</v>
      </c>
      <c r="G168" s="34">
        <f t="shared" si="63"/>
        <v>101.8</v>
      </c>
      <c r="H168" s="33">
        <f t="shared" si="64"/>
        <v>150.29469548133596</v>
      </c>
    </row>
    <row r="169" spans="1:9" x14ac:dyDescent="0.25">
      <c r="A169" s="10">
        <f t="shared" si="2"/>
        <v>40017</v>
      </c>
      <c r="B169">
        <v>133.9</v>
      </c>
      <c r="C169">
        <v>46.5</v>
      </c>
      <c r="D169">
        <v>121.2</v>
      </c>
      <c r="E169">
        <v>55.8</v>
      </c>
      <c r="F169" s="34">
        <f t="shared" si="62"/>
        <v>255.10000000000002</v>
      </c>
      <c r="G169" s="34">
        <f t="shared" si="63"/>
        <v>102.3</v>
      </c>
      <c r="H169" s="33">
        <f t="shared" si="64"/>
        <v>149.36461388074295</v>
      </c>
    </row>
    <row r="170" spans="1:9" x14ac:dyDescent="0.25">
      <c r="A170" s="10">
        <f t="shared" si="2"/>
        <v>40024</v>
      </c>
      <c r="B170">
        <v>133.9</v>
      </c>
      <c r="C170">
        <v>45</v>
      </c>
      <c r="D170">
        <v>121.3</v>
      </c>
      <c r="E170">
        <v>57.4</v>
      </c>
      <c r="F170" s="34">
        <f t="shared" si="62"/>
        <v>255.2</v>
      </c>
      <c r="G170" s="34">
        <f t="shared" si="63"/>
        <v>102.4</v>
      </c>
      <c r="H170" s="33">
        <f t="shared" si="64"/>
        <v>149.21874999999994</v>
      </c>
    </row>
    <row r="171" spans="1:9" x14ac:dyDescent="0.25">
      <c r="A171" s="10">
        <f t="shared" si="2"/>
        <v>40031</v>
      </c>
      <c r="B171">
        <v>135.1</v>
      </c>
      <c r="C171">
        <v>10.3</v>
      </c>
      <c r="D171">
        <v>121.3</v>
      </c>
      <c r="E171">
        <v>92.4</v>
      </c>
      <c r="F171" s="34">
        <f t="shared" si="62"/>
        <v>256.39999999999998</v>
      </c>
      <c r="G171" s="34">
        <f t="shared" si="63"/>
        <v>102.7</v>
      </c>
      <c r="H171" s="33">
        <f t="shared" si="64"/>
        <v>149.65920155793572</v>
      </c>
    </row>
    <row r="172" spans="1:9" x14ac:dyDescent="0.25">
      <c r="A172" s="10">
        <f t="shared" si="2"/>
        <v>40038</v>
      </c>
      <c r="B172">
        <v>83.7</v>
      </c>
      <c r="C172">
        <v>58.4</v>
      </c>
      <c r="D172">
        <v>171.6</v>
      </c>
      <c r="E172">
        <v>93.3</v>
      </c>
      <c r="F172" s="34">
        <f t="shared" si="62"/>
        <v>255.3</v>
      </c>
      <c r="G172" s="34">
        <f t="shared" si="63"/>
        <v>151.69999999999999</v>
      </c>
      <c r="H172" s="33">
        <f t="shared" si="64"/>
        <v>68.292682926829286</v>
      </c>
    </row>
    <row r="173" spans="1:9" x14ac:dyDescent="0.25">
      <c r="A173" s="10">
        <f t="shared" si="2"/>
        <v>40045</v>
      </c>
      <c r="B173">
        <v>80.900000000000006</v>
      </c>
      <c r="C173">
        <v>58.9</v>
      </c>
      <c r="D173">
        <v>206.1</v>
      </c>
      <c r="E173">
        <v>93.3</v>
      </c>
      <c r="F173" s="34">
        <f t="shared" si="62"/>
        <v>287</v>
      </c>
      <c r="G173" s="34">
        <f t="shared" si="63"/>
        <v>152.19999999999999</v>
      </c>
      <c r="H173" s="33">
        <f t="shared" si="64"/>
        <v>88.567674113009204</v>
      </c>
    </row>
    <row r="174" spans="1:9" x14ac:dyDescent="0.25">
      <c r="A174" s="10">
        <f t="shared" si="2"/>
        <v>40052</v>
      </c>
      <c r="B174">
        <v>80.3</v>
      </c>
      <c r="C174">
        <v>55.9</v>
      </c>
      <c r="D174">
        <v>206.7</v>
      </c>
      <c r="E174">
        <v>96.3</v>
      </c>
      <c r="F174" s="34">
        <f t="shared" si="62"/>
        <v>287</v>
      </c>
      <c r="G174" s="34">
        <f t="shared" si="63"/>
        <v>152.19999999999999</v>
      </c>
      <c r="H174" s="33">
        <f t="shared" si="64"/>
        <v>88.567674113009204</v>
      </c>
    </row>
    <row r="175" spans="1:9" x14ac:dyDescent="0.25">
      <c r="A175" s="10">
        <f t="shared" si="2"/>
        <v>40059</v>
      </c>
      <c r="B175">
        <v>33.5</v>
      </c>
      <c r="C175">
        <v>95.7</v>
      </c>
      <c r="D175">
        <v>254.3</v>
      </c>
      <c r="E175">
        <v>96.3</v>
      </c>
      <c r="F175" s="34">
        <f t="shared" si="62"/>
        <v>287.8</v>
      </c>
      <c r="G175" s="34">
        <f t="shared" si="63"/>
        <v>192</v>
      </c>
      <c r="H175" s="33">
        <f t="shared" si="64"/>
        <v>49.895833333333343</v>
      </c>
    </row>
    <row r="176" spans="1:9" x14ac:dyDescent="0.25">
      <c r="A176" s="10">
        <f t="shared" si="2"/>
        <v>40066</v>
      </c>
      <c r="B176">
        <v>87.8</v>
      </c>
      <c r="C176">
        <v>93.3</v>
      </c>
      <c r="D176">
        <v>254.3</v>
      </c>
      <c r="E176">
        <v>99.2</v>
      </c>
      <c r="F176" s="34">
        <f t="shared" si="62"/>
        <v>342.1</v>
      </c>
      <c r="G176" s="34">
        <f t="shared" si="63"/>
        <v>192.5</v>
      </c>
      <c r="H176" s="33">
        <f t="shared" si="64"/>
        <v>77.714285714285737</v>
      </c>
    </row>
    <row r="177" spans="1:8" x14ac:dyDescent="0.25">
      <c r="A177" s="10">
        <f t="shared" si="2"/>
        <v>40073</v>
      </c>
      <c r="B177">
        <v>87.8</v>
      </c>
      <c r="C177">
        <v>88.4</v>
      </c>
      <c r="D177">
        <v>254.3</v>
      </c>
      <c r="E177">
        <v>142.9</v>
      </c>
      <c r="F177" s="34">
        <f t="shared" si="62"/>
        <v>342.1</v>
      </c>
      <c r="G177" s="34">
        <f t="shared" si="63"/>
        <v>231.3</v>
      </c>
      <c r="H177" s="33">
        <f t="shared" si="64"/>
        <v>47.903156074362307</v>
      </c>
    </row>
    <row r="178" spans="1:8" x14ac:dyDescent="0.25">
      <c r="A178" s="10">
        <f t="shared" si="2"/>
        <v>40080</v>
      </c>
      <c r="B178">
        <v>87.8</v>
      </c>
      <c r="C178">
        <v>83.9</v>
      </c>
      <c r="D178">
        <v>254.3</v>
      </c>
      <c r="E178">
        <v>147.4</v>
      </c>
      <c r="F178" s="34">
        <f t="shared" si="62"/>
        <v>342.1</v>
      </c>
      <c r="G178" s="34">
        <f t="shared" si="63"/>
        <v>231.3</v>
      </c>
      <c r="H178" s="33">
        <f t="shared" si="64"/>
        <v>47.903156074362307</v>
      </c>
    </row>
    <row r="179" spans="1:8" x14ac:dyDescent="0.25">
      <c r="A179" s="10">
        <f t="shared" si="2"/>
        <v>40087</v>
      </c>
      <c r="B179">
        <v>175.3</v>
      </c>
      <c r="C179">
        <v>83.2</v>
      </c>
      <c r="D179">
        <v>254.3</v>
      </c>
      <c r="E179">
        <v>148.1</v>
      </c>
      <c r="F179" s="34">
        <f t="shared" si="62"/>
        <v>429.6</v>
      </c>
      <c r="G179" s="34">
        <f t="shared" si="63"/>
        <v>231.3</v>
      </c>
      <c r="H179" s="33">
        <f t="shared" si="64"/>
        <v>85.732814526588854</v>
      </c>
    </row>
    <row r="180" spans="1:8" x14ac:dyDescent="0.25">
      <c r="A180" s="10">
        <f t="shared" si="2"/>
        <v>40094</v>
      </c>
      <c r="B180">
        <v>175.2</v>
      </c>
      <c r="C180">
        <v>55</v>
      </c>
      <c r="D180">
        <v>254.4</v>
      </c>
      <c r="E180">
        <v>177.7</v>
      </c>
      <c r="F180" s="34">
        <f t="shared" si="62"/>
        <v>429.6</v>
      </c>
      <c r="G180" s="34">
        <f t="shared" si="63"/>
        <v>232.7</v>
      </c>
      <c r="H180" s="33">
        <f t="shared" si="64"/>
        <v>84.615384615384627</v>
      </c>
    </row>
    <row r="181" spans="1:8" x14ac:dyDescent="0.25">
      <c r="A181" s="10">
        <f t="shared" si="2"/>
        <v>40101</v>
      </c>
      <c r="B181">
        <v>175.1</v>
      </c>
      <c r="C181">
        <v>42.7</v>
      </c>
      <c r="D181">
        <v>254.5</v>
      </c>
      <c r="E181">
        <v>191.5</v>
      </c>
      <c r="F181" s="34">
        <f t="shared" si="62"/>
        <v>429.6</v>
      </c>
      <c r="G181" s="34">
        <f t="shared" si="63"/>
        <v>234.2</v>
      </c>
      <c r="H181" s="33">
        <f t="shared" si="64"/>
        <v>83.432963279248511</v>
      </c>
    </row>
    <row r="182" spans="1:8" x14ac:dyDescent="0.25">
      <c r="A182" s="10">
        <f t="shared" si="2"/>
        <v>40108</v>
      </c>
      <c r="B182">
        <v>248.9</v>
      </c>
      <c r="C182">
        <v>42.5</v>
      </c>
      <c r="D182">
        <v>254.6</v>
      </c>
      <c r="E182">
        <v>192</v>
      </c>
      <c r="F182" s="34">
        <f t="shared" si="62"/>
        <v>503.5</v>
      </c>
      <c r="G182" s="34">
        <f t="shared" si="63"/>
        <v>234.5</v>
      </c>
      <c r="H182" s="33">
        <f t="shared" si="64"/>
        <v>114.71215351812364</v>
      </c>
    </row>
    <row r="183" spans="1:8" x14ac:dyDescent="0.25">
      <c r="A183" s="10">
        <f t="shared" si="2"/>
        <v>40115</v>
      </c>
      <c r="B183">
        <v>216</v>
      </c>
      <c r="C183">
        <v>81.8</v>
      </c>
      <c r="D183">
        <v>287.5</v>
      </c>
      <c r="E183">
        <v>192.7</v>
      </c>
      <c r="F183" s="34">
        <f t="shared" si="62"/>
        <v>503.5</v>
      </c>
      <c r="G183" s="34">
        <f t="shared" si="63"/>
        <v>274.5</v>
      </c>
      <c r="H183" s="33">
        <f t="shared" si="64"/>
        <v>83.424408014571938</v>
      </c>
    </row>
    <row r="184" spans="1:8" x14ac:dyDescent="0.25">
      <c r="A184" s="10">
        <f t="shared" si="2"/>
        <v>40122</v>
      </c>
      <c r="B184">
        <v>216</v>
      </c>
      <c r="C184">
        <v>95.1</v>
      </c>
      <c r="D184">
        <v>287.5</v>
      </c>
      <c r="E184">
        <v>235.3</v>
      </c>
      <c r="F184" s="34">
        <f t="shared" si="62"/>
        <v>503.5</v>
      </c>
      <c r="G184" s="34">
        <f t="shared" si="63"/>
        <v>330.4</v>
      </c>
      <c r="H184" s="33">
        <f t="shared" si="64"/>
        <v>52.391041162227616</v>
      </c>
    </row>
    <row r="185" spans="1:8" x14ac:dyDescent="0.25">
      <c r="A185" s="10">
        <f t="shared" si="2"/>
        <v>40129</v>
      </c>
      <c r="B185">
        <v>226.4</v>
      </c>
      <c r="C185">
        <v>95.1</v>
      </c>
      <c r="D185">
        <v>344.5</v>
      </c>
      <c r="E185">
        <v>235.3</v>
      </c>
      <c r="F185" s="34">
        <f t="shared" si="62"/>
        <v>570.9</v>
      </c>
      <c r="G185" s="34">
        <f t="shared" si="63"/>
        <v>330.4</v>
      </c>
      <c r="H185" s="33">
        <f t="shared" si="64"/>
        <v>72.790556900726401</v>
      </c>
    </row>
    <row r="186" spans="1:8" x14ac:dyDescent="0.25">
      <c r="A186" s="10">
        <f t="shared" si="2"/>
        <v>40136</v>
      </c>
      <c r="B186">
        <v>188.3</v>
      </c>
      <c r="C186">
        <v>137.9</v>
      </c>
      <c r="D186">
        <v>384.6</v>
      </c>
      <c r="E186">
        <v>235.3</v>
      </c>
      <c r="F186" s="34">
        <f t="shared" si="62"/>
        <v>572.90000000000009</v>
      </c>
      <c r="G186" s="34">
        <f t="shared" si="63"/>
        <v>373.20000000000005</v>
      </c>
      <c r="H186" s="33">
        <f t="shared" si="64"/>
        <v>53.5101822079314</v>
      </c>
    </row>
    <row r="187" spans="1:8" x14ac:dyDescent="0.25">
      <c r="A187" s="10">
        <f t="shared" si="2"/>
        <v>40143</v>
      </c>
      <c r="B187">
        <v>188.2</v>
      </c>
      <c r="C187">
        <v>137.6</v>
      </c>
      <c r="D187">
        <v>384.7</v>
      </c>
      <c r="E187">
        <v>235.6</v>
      </c>
      <c r="F187" s="34">
        <f t="shared" si="62"/>
        <v>572.9</v>
      </c>
      <c r="G187" s="34">
        <f t="shared" si="63"/>
        <v>373.2</v>
      </c>
      <c r="H187" s="33">
        <f t="shared" si="64"/>
        <v>53.5101822079314</v>
      </c>
    </row>
    <row r="188" spans="1:8" x14ac:dyDescent="0.25">
      <c r="A188" s="10">
        <f t="shared" si="2"/>
        <v>40150</v>
      </c>
      <c r="B188">
        <v>138.9</v>
      </c>
      <c r="C188">
        <v>122.9</v>
      </c>
      <c r="D188">
        <v>434.8</v>
      </c>
      <c r="E188">
        <v>251</v>
      </c>
      <c r="F188" s="34">
        <f t="shared" ref="F188:F219" si="65">+B188+D188</f>
        <v>573.70000000000005</v>
      </c>
      <c r="G188" s="34">
        <f t="shared" ref="G188:G219" si="66">+C188+E188</f>
        <v>373.9</v>
      </c>
      <c r="H188" s="33">
        <f t="shared" si="64"/>
        <v>53.436747793527694</v>
      </c>
    </row>
    <row r="189" spans="1:8" x14ac:dyDescent="0.25">
      <c r="A189" s="10">
        <f t="shared" si="2"/>
        <v>40157</v>
      </c>
      <c r="B189">
        <v>138.9</v>
      </c>
      <c r="C189">
        <v>97.1</v>
      </c>
      <c r="D189">
        <v>434.8</v>
      </c>
      <c r="E189">
        <v>278</v>
      </c>
      <c r="F189" s="34">
        <f t="shared" si="65"/>
        <v>573.70000000000005</v>
      </c>
      <c r="G189" s="34">
        <f t="shared" si="66"/>
        <v>375.1</v>
      </c>
      <c r="H189" s="33">
        <f t="shared" si="64"/>
        <v>52.945881098373768</v>
      </c>
    </row>
    <row r="190" spans="1:8" x14ac:dyDescent="0.25">
      <c r="A190" s="10">
        <f t="shared" si="2"/>
        <v>40164</v>
      </c>
      <c r="B190">
        <v>138.9</v>
      </c>
      <c r="C190">
        <v>152.69999999999999</v>
      </c>
      <c r="D190">
        <v>434.8</v>
      </c>
      <c r="E190">
        <v>278.5</v>
      </c>
      <c r="F190" s="34">
        <f t="shared" si="65"/>
        <v>573.70000000000005</v>
      </c>
      <c r="G190" s="34">
        <f t="shared" si="66"/>
        <v>431.2</v>
      </c>
      <c r="H190" s="33">
        <f t="shared" si="64"/>
        <v>33.04730983302413</v>
      </c>
    </row>
    <row r="191" spans="1:8" x14ac:dyDescent="0.25">
      <c r="A191" s="10">
        <f t="shared" si="2"/>
        <v>40171</v>
      </c>
      <c r="B191">
        <v>138.6</v>
      </c>
      <c r="C191">
        <v>152.4</v>
      </c>
      <c r="D191">
        <v>435.1</v>
      </c>
      <c r="E191">
        <v>278.8</v>
      </c>
      <c r="F191" s="34">
        <f t="shared" si="65"/>
        <v>573.70000000000005</v>
      </c>
      <c r="G191" s="34">
        <f t="shared" si="66"/>
        <v>431.20000000000005</v>
      </c>
      <c r="H191" s="33">
        <f t="shared" si="64"/>
        <v>33.047309833024109</v>
      </c>
    </row>
    <row r="192" spans="1:8" x14ac:dyDescent="0.25">
      <c r="A192" s="10">
        <f t="shared" si="2"/>
        <v>40178</v>
      </c>
      <c r="B192">
        <v>94.1</v>
      </c>
      <c r="C192">
        <v>152.30000000000001</v>
      </c>
      <c r="D192">
        <v>479.1</v>
      </c>
      <c r="E192">
        <v>278.89999999999998</v>
      </c>
      <c r="F192" s="34">
        <f t="shared" si="65"/>
        <v>573.20000000000005</v>
      </c>
      <c r="G192" s="34">
        <f t="shared" si="66"/>
        <v>431.2</v>
      </c>
      <c r="H192" s="33">
        <f t="shared" ref="H192:H223" si="67">+(F192/G192-1)*100</f>
        <v>32.931354359925805</v>
      </c>
    </row>
    <row r="193" spans="1:8" x14ac:dyDescent="0.25">
      <c r="A193" s="10">
        <f t="shared" si="2"/>
        <v>40185</v>
      </c>
      <c r="B193">
        <v>137.80000000000001</v>
      </c>
      <c r="C193">
        <v>99.3</v>
      </c>
      <c r="D193">
        <v>479.1</v>
      </c>
      <c r="E193">
        <v>329.8</v>
      </c>
      <c r="F193" s="34">
        <f t="shared" si="65"/>
        <v>616.90000000000009</v>
      </c>
      <c r="G193" s="34">
        <f t="shared" si="66"/>
        <v>429.1</v>
      </c>
      <c r="H193" s="33">
        <f t="shared" si="67"/>
        <v>43.766021906315558</v>
      </c>
    </row>
    <row r="194" spans="1:8" x14ac:dyDescent="0.25">
      <c r="A194" s="10">
        <f t="shared" si="2"/>
        <v>40192</v>
      </c>
      <c r="B194">
        <v>108.4</v>
      </c>
      <c r="C194">
        <v>189.8</v>
      </c>
      <c r="D194">
        <v>510</v>
      </c>
      <c r="E194">
        <v>329.8</v>
      </c>
      <c r="F194" s="34">
        <f t="shared" si="65"/>
        <v>618.4</v>
      </c>
      <c r="G194" s="34">
        <f t="shared" si="66"/>
        <v>519.6</v>
      </c>
      <c r="H194" s="33">
        <f t="shared" si="67"/>
        <v>19.014626635873743</v>
      </c>
    </row>
    <row r="195" spans="1:8" x14ac:dyDescent="0.25">
      <c r="A195" s="10">
        <f t="shared" si="2"/>
        <v>40199</v>
      </c>
      <c r="B195">
        <v>108.4</v>
      </c>
      <c r="C195">
        <v>189.3</v>
      </c>
      <c r="D195">
        <v>510</v>
      </c>
      <c r="E195">
        <v>330.2</v>
      </c>
      <c r="F195" s="34">
        <f t="shared" si="65"/>
        <v>618.4</v>
      </c>
      <c r="G195" s="34">
        <f t="shared" si="66"/>
        <v>519.5</v>
      </c>
      <c r="H195" s="33">
        <f t="shared" si="67"/>
        <v>19.037536092396536</v>
      </c>
    </row>
    <row r="196" spans="1:8" x14ac:dyDescent="0.25">
      <c r="A196" s="10">
        <f t="shared" si="2"/>
        <v>40206</v>
      </c>
      <c r="B196">
        <v>108.4</v>
      </c>
      <c r="C196">
        <v>146.4</v>
      </c>
      <c r="D196">
        <v>510</v>
      </c>
      <c r="E196">
        <v>374.3</v>
      </c>
      <c r="F196" s="34">
        <f t="shared" si="65"/>
        <v>618.4</v>
      </c>
      <c r="G196" s="34">
        <f t="shared" si="66"/>
        <v>520.70000000000005</v>
      </c>
      <c r="H196" s="33">
        <f t="shared" si="67"/>
        <v>18.763203380065274</v>
      </c>
    </row>
    <row r="197" spans="1:8" x14ac:dyDescent="0.25">
      <c r="A197" s="10">
        <f t="shared" si="2"/>
        <v>40213</v>
      </c>
      <c r="B197">
        <v>125.4</v>
      </c>
      <c r="C197">
        <v>146.69999999999999</v>
      </c>
      <c r="D197">
        <v>542</v>
      </c>
      <c r="E197">
        <v>374.3</v>
      </c>
      <c r="F197" s="34">
        <f t="shared" si="65"/>
        <v>667.4</v>
      </c>
      <c r="G197" s="34">
        <f t="shared" si="66"/>
        <v>521</v>
      </c>
      <c r="H197" s="33">
        <f t="shared" si="67"/>
        <v>28.09980806142034</v>
      </c>
    </row>
    <row r="198" spans="1:8" x14ac:dyDescent="0.25">
      <c r="A198" s="10">
        <f t="shared" si="2"/>
        <v>40220</v>
      </c>
      <c r="B198">
        <v>91.2</v>
      </c>
      <c r="C198">
        <v>91.7</v>
      </c>
      <c r="D198">
        <v>575.1</v>
      </c>
      <c r="E198">
        <v>430.7</v>
      </c>
      <c r="F198" s="34">
        <f t="shared" si="65"/>
        <v>666.30000000000007</v>
      </c>
      <c r="G198" s="34">
        <f t="shared" si="66"/>
        <v>522.4</v>
      </c>
      <c r="H198" s="33">
        <f t="shared" si="67"/>
        <v>27.545941807044439</v>
      </c>
    </row>
    <row r="199" spans="1:8" x14ac:dyDescent="0.25">
      <c r="A199" s="10">
        <f t="shared" si="2"/>
        <v>40227</v>
      </c>
      <c r="B199">
        <v>91.2</v>
      </c>
      <c r="C199">
        <v>183.5</v>
      </c>
      <c r="D199">
        <v>575.1</v>
      </c>
      <c r="E199">
        <v>430.7</v>
      </c>
      <c r="F199" s="34">
        <f t="shared" si="65"/>
        <v>666.30000000000007</v>
      </c>
      <c r="G199" s="34">
        <f t="shared" si="66"/>
        <v>614.20000000000005</v>
      </c>
      <c r="H199" s="33">
        <f t="shared" si="67"/>
        <v>8.4825789645066827</v>
      </c>
    </row>
    <row r="200" spans="1:8" x14ac:dyDescent="0.25">
      <c r="A200" s="10">
        <f t="shared" si="2"/>
        <v>40234</v>
      </c>
      <c r="B200">
        <v>77.7</v>
      </c>
      <c r="C200">
        <v>183.5</v>
      </c>
      <c r="D200">
        <v>589.5</v>
      </c>
      <c r="E200">
        <v>430.7</v>
      </c>
      <c r="F200" s="34">
        <f t="shared" si="65"/>
        <v>667.2</v>
      </c>
      <c r="G200" s="34">
        <f t="shared" si="66"/>
        <v>614.20000000000005</v>
      </c>
      <c r="H200" s="33">
        <f t="shared" si="67"/>
        <v>8.629111038749592</v>
      </c>
    </row>
    <row r="201" spans="1:8" x14ac:dyDescent="0.25">
      <c r="A201" s="10">
        <f t="shared" si="2"/>
        <v>40241</v>
      </c>
      <c r="B201">
        <v>88.4</v>
      </c>
      <c r="C201">
        <v>161.1</v>
      </c>
      <c r="D201">
        <v>619.79999999999995</v>
      </c>
      <c r="E201">
        <v>452.7</v>
      </c>
      <c r="F201" s="34">
        <f t="shared" si="65"/>
        <v>708.19999999999993</v>
      </c>
      <c r="G201" s="34">
        <f t="shared" si="66"/>
        <v>613.79999999999995</v>
      </c>
      <c r="H201" s="33">
        <f t="shared" si="67"/>
        <v>15.379602476376665</v>
      </c>
    </row>
    <row r="202" spans="1:8" x14ac:dyDescent="0.25">
      <c r="A202" s="10">
        <f t="shared" si="2"/>
        <v>40248</v>
      </c>
      <c r="B202">
        <v>137.6</v>
      </c>
      <c r="C202">
        <v>133.4</v>
      </c>
      <c r="D202">
        <v>619.79999999999995</v>
      </c>
      <c r="E202">
        <v>481.5</v>
      </c>
      <c r="F202" s="34">
        <f t="shared" si="65"/>
        <v>757.4</v>
      </c>
      <c r="G202" s="34">
        <f t="shared" si="66"/>
        <v>614.9</v>
      </c>
      <c r="H202" s="33">
        <f t="shared" si="67"/>
        <v>23.174499918685964</v>
      </c>
    </row>
    <row r="203" spans="1:8" x14ac:dyDescent="0.25">
      <c r="A203" s="10">
        <f t="shared" si="2"/>
        <v>40255</v>
      </c>
      <c r="B203">
        <v>137.6</v>
      </c>
      <c r="C203">
        <v>91.6</v>
      </c>
      <c r="D203">
        <v>619.79999999999995</v>
      </c>
      <c r="E203">
        <v>524.9</v>
      </c>
      <c r="F203" s="34">
        <f t="shared" si="65"/>
        <v>757.4</v>
      </c>
      <c r="G203" s="34">
        <f t="shared" si="66"/>
        <v>616.5</v>
      </c>
      <c r="H203" s="33">
        <f t="shared" si="67"/>
        <v>22.854825628548259</v>
      </c>
    </row>
    <row r="204" spans="1:8" x14ac:dyDescent="0.25">
      <c r="A204" s="10">
        <f t="shared" si="2"/>
        <v>40262</v>
      </c>
      <c r="B204">
        <v>90.1</v>
      </c>
      <c r="C204">
        <v>184.7</v>
      </c>
      <c r="D204">
        <v>669.2</v>
      </c>
      <c r="E204">
        <v>524.9</v>
      </c>
      <c r="F204" s="34">
        <f t="shared" si="65"/>
        <v>759.30000000000007</v>
      </c>
      <c r="G204" s="34">
        <f t="shared" si="66"/>
        <v>709.59999999999991</v>
      </c>
      <c r="H204" s="33">
        <f t="shared" si="67"/>
        <v>7.003945885005658</v>
      </c>
    </row>
    <row r="205" spans="1:8" x14ac:dyDescent="0.25">
      <c r="A205" s="10">
        <f t="shared" si="2"/>
        <v>40269</v>
      </c>
      <c r="B205">
        <v>137.80000000000001</v>
      </c>
      <c r="C205">
        <v>184.6</v>
      </c>
      <c r="D205">
        <v>669.2</v>
      </c>
      <c r="E205">
        <v>525.1</v>
      </c>
      <c r="F205" s="34">
        <f t="shared" si="65"/>
        <v>807</v>
      </c>
      <c r="G205" s="34">
        <f t="shared" si="66"/>
        <v>709.7</v>
      </c>
      <c r="H205" s="33">
        <f t="shared" si="67"/>
        <v>13.710018317598971</v>
      </c>
    </row>
    <row r="206" spans="1:8" x14ac:dyDescent="0.25">
      <c r="A206" s="10">
        <f t="shared" si="2"/>
        <v>40276</v>
      </c>
      <c r="B206">
        <v>172.4</v>
      </c>
      <c r="C206">
        <v>136.1</v>
      </c>
      <c r="D206">
        <v>669.2</v>
      </c>
      <c r="E206">
        <v>576</v>
      </c>
      <c r="F206" s="34">
        <f t="shared" si="65"/>
        <v>841.6</v>
      </c>
      <c r="G206" s="34">
        <f t="shared" si="66"/>
        <v>712.1</v>
      </c>
      <c r="H206" s="33">
        <f t="shared" si="67"/>
        <v>18.185648083134389</v>
      </c>
    </row>
    <row r="207" spans="1:8" x14ac:dyDescent="0.25">
      <c r="A207" s="10">
        <f t="shared" si="2"/>
        <v>40283</v>
      </c>
      <c r="B207">
        <v>131.4</v>
      </c>
      <c r="C207">
        <v>136.1</v>
      </c>
      <c r="D207">
        <v>712.2</v>
      </c>
      <c r="E207">
        <v>576</v>
      </c>
      <c r="F207" s="34">
        <f t="shared" si="65"/>
        <v>843.6</v>
      </c>
      <c r="G207" s="34">
        <f t="shared" si="66"/>
        <v>712.1</v>
      </c>
      <c r="H207" s="33">
        <f t="shared" si="67"/>
        <v>18.46650751298975</v>
      </c>
    </row>
    <row r="208" spans="1:8" x14ac:dyDescent="0.25">
      <c r="A208" s="10">
        <f t="shared" si="2"/>
        <v>40290</v>
      </c>
      <c r="B208">
        <v>131.4</v>
      </c>
      <c r="C208">
        <v>95.3</v>
      </c>
      <c r="D208">
        <v>712.2</v>
      </c>
      <c r="E208">
        <v>620.1</v>
      </c>
      <c r="F208" s="34">
        <f t="shared" si="65"/>
        <v>843.6</v>
      </c>
      <c r="G208" s="34">
        <f t="shared" si="66"/>
        <v>715.4</v>
      </c>
      <c r="H208" s="33">
        <f t="shared" si="67"/>
        <v>17.920044730220862</v>
      </c>
    </row>
    <row r="209" spans="1:9" x14ac:dyDescent="0.25">
      <c r="A209" s="10">
        <f t="shared" si="2"/>
        <v>40297</v>
      </c>
      <c r="B209">
        <v>95.3</v>
      </c>
      <c r="C209">
        <v>95.1</v>
      </c>
      <c r="D209">
        <v>761.1</v>
      </c>
      <c r="E209">
        <v>620.29999999999995</v>
      </c>
      <c r="F209" s="34">
        <f t="shared" si="65"/>
        <v>856.4</v>
      </c>
      <c r="G209" s="34">
        <f t="shared" si="66"/>
        <v>715.4</v>
      </c>
      <c r="H209" s="33">
        <f t="shared" si="67"/>
        <v>19.709253564439464</v>
      </c>
      <c r="I209">
        <v>18.399999999999999</v>
      </c>
    </row>
    <row r="210" spans="1:9" x14ac:dyDescent="0.25">
      <c r="A210" s="10">
        <f t="shared" si="2"/>
        <v>40304</v>
      </c>
      <c r="B210">
        <v>34.700000000000003</v>
      </c>
      <c r="C210">
        <v>95.1</v>
      </c>
      <c r="D210">
        <v>809.6</v>
      </c>
      <c r="E210">
        <v>620.29999999999995</v>
      </c>
      <c r="F210" s="34">
        <f t="shared" si="65"/>
        <v>844.30000000000007</v>
      </c>
      <c r="G210" s="34">
        <f t="shared" si="66"/>
        <v>715.4</v>
      </c>
      <c r="H210" s="33">
        <f t="shared" si="67"/>
        <v>18.01789208834219</v>
      </c>
      <c r="I210">
        <v>31.5</v>
      </c>
    </row>
    <row r="211" spans="1:9" x14ac:dyDescent="0.25">
      <c r="A211" s="10">
        <f t="shared" si="2"/>
        <v>40311</v>
      </c>
      <c r="B211">
        <v>34.700000000000003</v>
      </c>
      <c r="C211">
        <v>48.2</v>
      </c>
      <c r="D211">
        <v>809.6</v>
      </c>
      <c r="E211">
        <v>667.8</v>
      </c>
      <c r="F211" s="34">
        <f t="shared" si="65"/>
        <v>844.30000000000007</v>
      </c>
      <c r="G211" s="34">
        <f t="shared" si="66"/>
        <v>716</v>
      </c>
      <c r="H211" s="33">
        <f t="shared" si="67"/>
        <v>17.91899441340783</v>
      </c>
      <c r="I211">
        <v>72.8</v>
      </c>
    </row>
    <row r="212" spans="1:9" x14ac:dyDescent="0.25">
      <c r="A212" s="10">
        <f t="shared" si="2"/>
        <v>40318</v>
      </c>
      <c r="B212">
        <v>34.700000000000003</v>
      </c>
      <c r="C212">
        <v>2</v>
      </c>
      <c r="D212">
        <v>809.6</v>
      </c>
      <c r="E212">
        <v>711.7</v>
      </c>
      <c r="F212" s="34">
        <f t="shared" si="65"/>
        <v>844.30000000000007</v>
      </c>
      <c r="G212" s="34">
        <f t="shared" si="66"/>
        <v>713.7</v>
      </c>
      <c r="H212" s="33">
        <f t="shared" si="67"/>
        <v>18.299005184251094</v>
      </c>
      <c r="I212">
        <v>72.8</v>
      </c>
    </row>
    <row r="213" spans="1:9" x14ac:dyDescent="0.25">
      <c r="A213" s="10">
        <f t="shared" si="2"/>
        <v>40325</v>
      </c>
      <c r="B213">
        <v>34.700000000000003</v>
      </c>
      <c r="C213">
        <v>1</v>
      </c>
      <c r="D213">
        <v>809.6</v>
      </c>
      <c r="E213">
        <v>712.7</v>
      </c>
      <c r="F213" s="34">
        <f t="shared" si="65"/>
        <v>844.30000000000007</v>
      </c>
      <c r="G213" s="34">
        <f t="shared" si="66"/>
        <v>713.7</v>
      </c>
      <c r="H213" s="33">
        <f t="shared" si="67"/>
        <v>18.299005184251094</v>
      </c>
      <c r="I213">
        <v>72.8</v>
      </c>
    </row>
    <row r="214" spans="1:9" x14ac:dyDescent="0.25">
      <c r="A214" s="10">
        <f t="shared" si="2"/>
        <v>40332</v>
      </c>
      <c r="B214">
        <v>72.900000000000006</v>
      </c>
      <c r="C214">
        <v>119.9</v>
      </c>
      <c r="D214">
        <v>0</v>
      </c>
      <c r="E214">
        <v>0.6</v>
      </c>
      <c r="F214" s="34">
        <f t="shared" si="65"/>
        <v>72.900000000000006</v>
      </c>
      <c r="G214" s="34">
        <f t="shared" si="66"/>
        <v>120.5</v>
      </c>
      <c r="H214" s="33">
        <f t="shared" si="67"/>
        <v>-39.502074688796675</v>
      </c>
    </row>
    <row r="215" spans="1:9" x14ac:dyDescent="0.25">
      <c r="A215" s="10">
        <f t="shared" si="2"/>
        <v>40339</v>
      </c>
      <c r="B215">
        <v>102.9</v>
      </c>
      <c r="C215">
        <v>127.8</v>
      </c>
      <c r="D215">
        <v>0</v>
      </c>
      <c r="E215">
        <v>42.5</v>
      </c>
      <c r="F215" s="34">
        <f t="shared" si="65"/>
        <v>102.9</v>
      </c>
      <c r="G215" s="34">
        <f t="shared" si="66"/>
        <v>170.3</v>
      </c>
      <c r="H215" s="33">
        <f t="shared" si="67"/>
        <v>-39.577216676453318</v>
      </c>
    </row>
    <row r="216" spans="1:9" x14ac:dyDescent="0.25">
      <c r="A216" s="10">
        <f t="shared" si="2"/>
        <v>40346</v>
      </c>
      <c r="B216">
        <v>89.8</v>
      </c>
      <c r="C216">
        <v>127.8</v>
      </c>
      <c r="D216">
        <v>13.1</v>
      </c>
      <c r="E216">
        <v>42.5</v>
      </c>
      <c r="F216" s="34">
        <f t="shared" si="65"/>
        <v>102.89999999999999</v>
      </c>
      <c r="G216" s="34">
        <f t="shared" si="66"/>
        <v>170.3</v>
      </c>
      <c r="H216" s="33">
        <f t="shared" si="67"/>
        <v>-39.577216676453332</v>
      </c>
    </row>
    <row r="217" spans="1:9" x14ac:dyDescent="0.25">
      <c r="A217" s="10">
        <f t="shared" si="2"/>
        <v>40353</v>
      </c>
      <c r="B217">
        <v>71.400000000000006</v>
      </c>
      <c r="C217">
        <v>127.8</v>
      </c>
      <c r="D217">
        <v>32.5</v>
      </c>
      <c r="E217">
        <v>42.5</v>
      </c>
      <c r="F217" s="34">
        <f t="shared" si="65"/>
        <v>103.9</v>
      </c>
      <c r="G217" s="34">
        <f t="shared" si="66"/>
        <v>170.3</v>
      </c>
      <c r="H217" s="33">
        <f t="shared" si="67"/>
        <v>-38.990017615971816</v>
      </c>
    </row>
    <row r="218" spans="1:9" x14ac:dyDescent="0.25">
      <c r="A218" s="10">
        <f t="shared" si="2"/>
        <v>40360</v>
      </c>
      <c r="B218">
        <v>71.400000000000006</v>
      </c>
      <c r="C218">
        <v>167.7</v>
      </c>
      <c r="D218">
        <v>32.5</v>
      </c>
      <c r="E218">
        <v>87</v>
      </c>
      <c r="F218" s="34">
        <f t="shared" si="65"/>
        <v>103.9</v>
      </c>
      <c r="G218" s="34">
        <f t="shared" si="66"/>
        <v>254.7</v>
      </c>
      <c r="H218" s="33">
        <f t="shared" si="67"/>
        <v>-59.206910090302308</v>
      </c>
    </row>
    <row r="219" spans="1:9" x14ac:dyDescent="0.25">
      <c r="A219" s="10">
        <f t="shared" si="2"/>
        <v>40367</v>
      </c>
      <c r="B219">
        <v>115</v>
      </c>
      <c r="C219">
        <v>167.7</v>
      </c>
      <c r="D219">
        <v>32.6</v>
      </c>
      <c r="E219">
        <v>87</v>
      </c>
      <c r="F219" s="34">
        <f t="shared" si="65"/>
        <v>147.6</v>
      </c>
      <c r="G219" s="34">
        <f t="shared" si="66"/>
        <v>254.7</v>
      </c>
      <c r="H219" s="33">
        <f t="shared" si="67"/>
        <v>-42.049469964664311</v>
      </c>
    </row>
    <row r="220" spans="1:9" x14ac:dyDescent="0.25">
      <c r="A220" s="10">
        <f t="shared" si="2"/>
        <v>40374</v>
      </c>
      <c r="B220">
        <v>73.7</v>
      </c>
      <c r="C220">
        <v>167.8</v>
      </c>
      <c r="D220">
        <v>76</v>
      </c>
      <c r="E220">
        <v>87</v>
      </c>
      <c r="F220" s="34">
        <f t="shared" ref="F220:F251" si="68">+B220+D220</f>
        <v>149.69999999999999</v>
      </c>
      <c r="G220" s="34">
        <f t="shared" ref="G220:G251" si="69">+C220+E220</f>
        <v>254.8</v>
      </c>
      <c r="H220" s="33">
        <f t="shared" si="67"/>
        <v>-41.248037676609115</v>
      </c>
    </row>
    <row r="221" spans="1:9" x14ac:dyDescent="0.25">
      <c r="A221" s="10">
        <f t="shared" si="2"/>
        <v>40381</v>
      </c>
      <c r="B221">
        <v>107.6</v>
      </c>
      <c r="C221">
        <v>133.9</v>
      </c>
      <c r="D221">
        <v>76</v>
      </c>
      <c r="E221">
        <v>121.2</v>
      </c>
      <c r="F221" s="34">
        <f t="shared" si="68"/>
        <v>183.6</v>
      </c>
      <c r="G221" s="34">
        <f t="shared" si="69"/>
        <v>255.10000000000002</v>
      </c>
      <c r="H221" s="33">
        <f t="shared" si="67"/>
        <v>-28.028224225793817</v>
      </c>
    </row>
    <row r="222" spans="1:9" x14ac:dyDescent="0.25">
      <c r="A222" s="10">
        <f t="shared" si="2"/>
        <v>40388</v>
      </c>
      <c r="B222">
        <v>107.6</v>
      </c>
      <c r="C222">
        <v>133.9</v>
      </c>
      <c r="D222">
        <v>76</v>
      </c>
      <c r="E222">
        <v>121.3</v>
      </c>
      <c r="F222" s="34">
        <f t="shared" si="68"/>
        <v>183.6</v>
      </c>
      <c r="G222" s="34">
        <f t="shared" si="69"/>
        <v>255.2</v>
      </c>
      <c r="H222" s="33">
        <f t="shared" si="67"/>
        <v>-28.056426332288396</v>
      </c>
    </row>
    <row r="223" spans="1:9" x14ac:dyDescent="0.25">
      <c r="A223" s="10">
        <f t="shared" si="2"/>
        <v>40395</v>
      </c>
      <c r="B223">
        <v>107.6</v>
      </c>
      <c r="C223">
        <v>135.1</v>
      </c>
      <c r="D223">
        <v>76</v>
      </c>
      <c r="E223">
        <v>121.3</v>
      </c>
      <c r="F223" s="34">
        <f t="shared" si="68"/>
        <v>183.6</v>
      </c>
      <c r="G223" s="34">
        <f t="shared" si="69"/>
        <v>256.39999999999998</v>
      </c>
      <c r="H223" s="33">
        <f t="shared" si="67"/>
        <v>-28.393135725429008</v>
      </c>
    </row>
    <row r="224" spans="1:9" x14ac:dyDescent="0.25">
      <c r="A224" s="10">
        <f t="shared" si="2"/>
        <v>40402</v>
      </c>
      <c r="B224">
        <v>77.599999999999994</v>
      </c>
      <c r="C224">
        <v>83.7</v>
      </c>
      <c r="D224">
        <v>107.5</v>
      </c>
      <c r="E224">
        <v>171.6</v>
      </c>
      <c r="F224" s="34">
        <f t="shared" si="68"/>
        <v>185.1</v>
      </c>
      <c r="G224" s="34">
        <f t="shared" si="69"/>
        <v>255.3</v>
      </c>
      <c r="H224" s="33">
        <f t="shared" ref="H224:H255" si="70">+(F224/G224-1)*100</f>
        <v>-27.497062279670981</v>
      </c>
    </row>
    <row r="225" spans="1:8" x14ac:dyDescent="0.25">
      <c r="A225" s="10">
        <f t="shared" si="2"/>
        <v>40409</v>
      </c>
      <c r="B225">
        <v>100.3</v>
      </c>
      <c r="C225">
        <v>80.900000000000006</v>
      </c>
      <c r="D225">
        <v>137.9</v>
      </c>
      <c r="E225">
        <v>206.1</v>
      </c>
      <c r="F225" s="34">
        <f t="shared" si="68"/>
        <v>238.2</v>
      </c>
      <c r="G225" s="34">
        <f t="shared" si="69"/>
        <v>287</v>
      </c>
      <c r="H225" s="33">
        <f t="shared" si="70"/>
        <v>-17.003484320557494</v>
      </c>
    </row>
    <row r="226" spans="1:8" x14ac:dyDescent="0.25">
      <c r="A226" s="10">
        <f t="shared" si="2"/>
        <v>40416</v>
      </c>
      <c r="B226">
        <v>140.19999999999999</v>
      </c>
      <c r="C226">
        <v>80.3</v>
      </c>
      <c r="D226">
        <v>150.1</v>
      </c>
      <c r="E226">
        <v>206.7</v>
      </c>
      <c r="F226" s="34">
        <f t="shared" si="68"/>
        <v>290.29999999999995</v>
      </c>
      <c r="G226" s="34">
        <f t="shared" si="69"/>
        <v>287</v>
      </c>
      <c r="H226" s="33">
        <f t="shared" si="70"/>
        <v>1.1498257839721138</v>
      </c>
    </row>
    <row r="227" spans="1:8" x14ac:dyDescent="0.25">
      <c r="A227" s="10">
        <f t="shared" si="2"/>
        <v>40423</v>
      </c>
      <c r="B227">
        <v>191.9</v>
      </c>
      <c r="C227">
        <v>33.5</v>
      </c>
      <c r="D227">
        <v>150.1</v>
      </c>
      <c r="E227">
        <v>254.3</v>
      </c>
      <c r="F227" s="34">
        <f t="shared" si="68"/>
        <v>342</v>
      </c>
      <c r="G227" s="34">
        <f t="shared" si="69"/>
        <v>287.8</v>
      </c>
      <c r="H227" s="33">
        <f t="shared" si="70"/>
        <v>18.832522585128551</v>
      </c>
    </row>
    <row r="228" spans="1:8" x14ac:dyDescent="0.25">
      <c r="A228" s="10">
        <f t="shared" si="2"/>
        <v>40430</v>
      </c>
      <c r="B228">
        <v>158.1</v>
      </c>
      <c r="C228">
        <v>87.8</v>
      </c>
      <c r="D228">
        <v>185.4</v>
      </c>
      <c r="E228">
        <v>254.3</v>
      </c>
      <c r="F228" s="34">
        <f t="shared" si="68"/>
        <v>343.5</v>
      </c>
      <c r="G228" s="34">
        <f t="shared" si="69"/>
        <v>342.1</v>
      </c>
      <c r="H228" s="33">
        <f t="shared" si="70"/>
        <v>0.4092370651856081</v>
      </c>
    </row>
    <row r="229" spans="1:8" x14ac:dyDescent="0.25">
      <c r="A229" s="10">
        <f t="shared" si="2"/>
        <v>40437</v>
      </c>
      <c r="B229">
        <v>158.1</v>
      </c>
      <c r="C229">
        <v>87.8</v>
      </c>
      <c r="D229">
        <v>185.4</v>
      </c>
      <c r="E229">
        <v>254.3</v>
      </c>
      <c r="F229" s="34">
        <f t="shared" si="68"/>
        <v>343.5</v>
      </c>
      <c r="G229" s="34">
        <f t="shared" si="69"/>
        <v>342.1</v>
      </c>
      <c r="H229" s="33">
        <f t="shared" si="70"/>
        <v>0.4092370651856081</v>
      </c>
    </row>
    <row r="230" spans="1:8" x14ac:dyDescent="0.25">
      <c r="A230" s="10">
        <f t="shared" si="2"/>
        <v>40444</v>
      </c>
      <c r="B230">
        <v>210.1</v>
      </c>
      <c r="C230">
        <v>87.8</v>
      </c>
      <c r="D230">
        <v>185.4</v>
      </c>
      <c r="E230">
        <v>254.3</v>
      </c>
      <c r="F230" s="34">
        <f t="shared" si="68"/>
        <v>395.5</v>
      </c>
      <c r="G230" s="34">
        <f t="shared" si="69"/>
        <v>342.1</v>
      </c>
      <c r="H230" s="33">
        <f t="shared" si="70"/>
        <v>15.609470914937141</v>
      </c>
    </row>
    <row r="231" spans="1:8" x14ac:dyDescent="0.25">
      <c r="A231" s="10">
        <f t="shared" si="2"/>
        <v>40451</v>
      </c>
      <c r="B231">
        <v>210.1</v>
      </c>
      <c r="C231">
        <v>175.3</v>
      </c>
      <c r="D231">
        <v>185.4</v>
      </c>
      <c r="E231">
        <v>254.3</v>
      </c>
      <c r="F231" s="34">
        <f t="shared" si="68"/>
        <v>395.5</v>
      </c>
      <c r="G231" s="34">
        <f t="shared" si="69"/>
        <v>429.6</v>
      </c>
      <c r="H231" s="33">
        <f t="shared" si="70"/>
        <v>-7.9376163873370658</v>
      </c>
    </row>
    <row r="232" spans="1:8" x14ac:dyDescent="0.25">
      <c r="A232" s="10">
        <f t="shared" si="2"/>
        <v>40458</v>
      </c>
      <c r="B232">
        <v>156.1</v>
      </c>
      <c r="C232">
        <v>175.2</v>
      </c>
      <c r="D232">
        <v>242.1</v>
      </c>
      <c r="E232">
        <v>254.4</v>
      </c>
      <c r="F232" s="34">
        <f t="shared" si="68"/>
        <v>398.2</v>
      </c>
      <c r="G232" s="34">
        <f t="shared" si="69"/>
        <v>429.6</v>
      </c>
      <c r="H232" s="33">
        <f t="shared" si="70"/>
        <v>-7.3091247672253274</v>
      </c>
    </row>
    <row r="233" spans="1:8" x14ac:dyDescent="0.25">
      <c r="A233" s="10">
        <f t="shared" si="2"/>
        <v>40465</v>
      </c>
      <c r="B233">
        <v>154.30000000000001</v>
      </c>
      <c r="C233">
        <v>175.1</v>
      </c>
      <c r="D233">
        <v>244.2</v>
      </c>
      <c r="E233">
        <v>254.5</v>
      </c>
      <c r="F233" s="34">
        <f t="shared" si="68"/>
        <v>398.5</v>
      </c>
      <c r="G233" s="34">
        <f t="shared" si="69"/>
        <v>429.6</v>
      </c>
      <c r="H233" s="33">
        <f t="shared" si="70"/>
        <v>-7.2392923649906908</v>
      </c>
    </row>
    <row r="234" spans="1:8" x14ac:dyDescent="0.25">
      <c r="A234" s="10">
        <f t="shared" si="2"/>
        <v>40472</v>
      </c>
      <c r="B234">
        <v>104.2</v>
      </c>
      <c r="C234">
        <v>248.9</v>
      </c>
      <c r="D234">
        <v>294.2</v>
      </c>
      <c r="E234">
        <v>254.6</v>
      </c>
      <c r="F234" s="34">
        <f t="shared" si="68"/>
        <v>398.4</v>
      </c>
      <c r="G234" s="34">
        <f t="shared" si="69"/>
        <v>503.5</v>
      </c>
      <c r="H234" s="33">
        <f t="shared" si="70"/>
        <v>-20.873882820258196</v>
      </c>
    </row>
    <row r="235" spans="1:8" x14ac:dyDescent="0.25">
      <c r="A235" s="10">
        <f t="shared" si="2"/>
        <v>40479</v>
      </c>
      <c r="B235">
        <v>156.19999999999999</v>
      </c>
      <c r="C235">
        <v>216</v>
      </c>
      <c r="D235">
        <v>294.2</v>
      </c>
      <c r="E235">
        <v>287.5</v>
      </c>
      <c r="F235" s="34">
        <f t="shared" si="68"/>
        <v>450.4</v>
      </c>
      <c r="G235" s="34">
        <f t="shared" si="69"/>
        <v>503.5</v>
      </c>
      <c r="H235" s="33">
        <f t="shared" si="70"/>
        <v>-10.546176762661375</v>
      </c>
    </row>
    <row r="236" spans="1:8" x14ac:dyDescent="0.25">
      <c r="A236" s="10">
        <f t="shared" si="2"/>
        <v>40486</v>
      </c>
      <c r="B236">
        <v>153.5</v>
      </c>
      <c r="C236">
        <v>216</v>
      </c>
      <c r="D236">
        <v>347.4</v>
      </c>
      <c r="E236">
        <v>287.5</v>
      </c>
      <c r="F236" s="34">
        <f t="shared" si="68"/>
        <v>500.9</v>
      </c>
      <c r="G236" s="34">
        <f t="shared" si="69"/>
        <v>503.5</v>
      </c>
      <c r="H236" s="33">
        <f t="shared" si="70"/>
        <v>-0.51638530287984041</v>
      </c>
    </row>
    <row r="237" spans="1:8" x14ac:dyDescent="0.25">
      <c r="A237" s="10">
        <f t="shared" si="2"/>
        <v>40493</v>
      </c>
      <c r="B237">
        <v>197</v>
      </c>
      <c r="C237">
        <v>226.4</v>
      </c>
      <c r="D237">
        <v>347.4</v>
      </c>
      <c r="E237">
        <v>344.5</v>
      </c>
      <c r="F237" s="34">
        <f t="shared" si="68"/>
        <v>544.4</v>
      </c>
      <c r="G237" s="34">
        <f t="shared" si="69"/>
        <v>570.9</v>
      </c>
      <c r="H237" s="33">
        <f t="shared" si="70"/>
        <v>-4.6417936591346969</v>
      </c>
    </row>
    <row r="238" spans="1:8" x14ac:dyDescent="0.25">
      <c r="A238" s="10">
        <f t="shared" si="2"/>
        <v>40500</v>
      </c>
      <c r="B238">
        <v>205.1</v>
      </c>
      <c r="C238">
        <v>188.3</v>
      </c>
      <c r="D238">
        <v>347.4</v>
      </c>
      <c r="E238">
        <v>384.6</v>
      </c>
      <c r="F238" s="34">
        <f t="shared" si="68"/>
        <v>552.5</v>
      </c>
      <c r="G238" s="34">
        <f t="shared" si="69"/>
        <v>572.90000000000009</v>
      </c>
      <c r="H238" s="33">
        <f t="shared" si="70"/>
        <v>-3.5608308605341366</v>
      </c>
    </row>
    <row r="239" spans="1:8" x14ac:dyDescent="0.25">
      <c r="A239" s="10">
        <f t="shared" si="2"/>
        <v>40507</v>
      </c>
      <c r="B239">
        <v>204.6</v>
      </c>
      <c r="C239">
        <v>188.2</v>
      </c>
      <c r="D239">
        <v>347.9</v>
      </c>
      <c r="E239">
        <v>384.7</v>
      </c>
      <c r="F239" s="34">
        <f t="shared" si="68"/>
        <v>552.5</v>
      </c>
      <c r="G239" s="34">
        <f t="shared" si="69"/>
        <v>572.9</v>
      </c>
      <c r="H239" s="33">
        <f t="shared" si="70"/>
        <v>-3.5608308605341255</v>
      </c>
    </row>
    <row r="240" spans="1:8" x14ac:dyDescent="0.25">
      <c r="A240" s="10">
        <f t="shared" si="2"/>
        <v>40514</v>
      </c>
      <c r="B240">
        <v>190.6</v>
      </c>
      <c r="C240">
        <v>138.9</v>
      </c>
      <c r="D240">
        <v>362.3</v>
      </c>
      <c r="E240">
        <v>434.8</v>
      </c>
      <c r="F240" s="34">
        <f t="shared" si="68"/>
        <v>552.9</v>
      </c>
      <c r="G240" s="34">
        <f t="shared" si="69"/>
        <v>573.70000000000005</v>
      </c>
      <c r="H240" s="33">
        <f t="shared" si="70"/>
        <v>-3.6255882865609323</v>
      </c>
    </row>
    <row r="241" spans="1:8" x14ac:dyDescent="0.25">
      <c r="A241" s="10">
        <f t="shared" si="2"/>
        <v>40521</v>
      </c>
      <c r="B241">
        <v>199.8</v>
      </c>
      <c r="C241">
        <v>138.9</v>
      </c>
      <c r="D241">
        <v>400.2</v>
      </c>
      <c r="E241">
        <v>434.8</v>
      </c>
      <c r="F241" s="34">
        <f t="shared" si="68"/>
        <v>600</v>
      </c>
      <c r="G241" s="34">
        <f t="shared" si="69"/>
        <v>573.70000000000005</v>
      </c>
      <c r="H241" s="33">
        <f t="shared" si="70"/>
        <v>4.584277496949607</v>
      </c>
    </row>
    <row r="242" spans="1:8" x14ac:dyDescent="0.25">
      <c r="A242" s="10">
        <f t="shared" si="2"/>
        <v>40528</v>
      </c>
      <c r="B242">
        <v>152.30000000000001</v>
      </c>
      <c r="C242">
        <v>138.9</v>
      </c>
      <c r="D242">
        <v>451.3</v>
      </c>
      <c r="E242">
        <v>434.8</v>
      </c>
      <c r="F242" s="34">
        <f t="shared" si="68"/>
        <v>603.6</v>
      </c>
      <c r="G242" s="34">
        <f t="shared" si="69"/>
        <v>573.70000000000005</v>
      </c>
      <c r="H242" s="33">
        <f t="shared" si="70"/>
        <v>5.211783161931316</v>
      </c>
    </row>
    <row r="243" spans="1:8" x14ac:dyDescent="0.25">
      <c r="A243" s="10">
        <f t="shared" si="2"/>
        <v>40535</v>
      </c>
      <c r="B243">
        <v>152.30000000000001</v>
      </c>
      <c r="C243">
        <v>138.6</v>
      </c>
      <c r="D243">
        <v>453.7</v>
      </c>
      <c r="E243">
        <v>435.1</v>
      </c>
      <c r="F243" s="34">
        <f t="shared" si="68"/>
        <v>606</v>
      </c>
      <c r="G243" s="34">
        <f t="shared" si="69"/>
        <v>573.70000000000005</v>
      </c>
      <c r="H243" s="33">
        <f t="shared" si="70"/>
        <v>5.6301202719191146</v>
      </c>
    </row>
    <row r="244" spans="1:8" x14ac:dyDescent="0.25">
      <c r="A244" s="10">
        <f t="shared" si="2"/>
        <v>40542</v>
      </c>
      <c r="B244">
        <v>204.3</v>
      </c>
      <c r="C244">
        <v>94.1</v>
      </c>
      <c r="D244">
        <v>454.7</v>
      </c>
      <c r="E244">
        <v>479.1</v>
      </c>
      <c r="F244" s="34">
        <f t="shared" si="68"/>
        <v>659</v>
      </c>
      <c r="G244" s="34">
        <f t="shared" si="69"/>
        <v>573.20000000000005</v>
      </c>
      <c r="H244" s="33">
        <f t="shared" si="70"/>
        <v>14.968597348220513</v>
      </c>
    </row>
    <row r="245" spans="1:8" x14ac:dyDescent="0.25">
      <c r="A245" s="10">
        <f t="shared" si="2"/>
        <v>40549</v>
      </c>
      <c r="B245">
        <v>157.69999999999999</v>
      </c>
      <c r="C245">
        <v>137.80000000000001</v>
      </c>
      <c r="D245">
        <v>506.6</v>
      </c>
      <c r="E245">
        <v>479.1</v>
      </c>
      <c r="F245" s="34">
        <f t="shared" si="68"/>
        <v>664.3</v>
      </c>
      <c r="G245" s="34">
        <f t="shared" si="69"/>
        <v>616.90000000000009</v>
      </c>
      <c r="H245" s="33">
        <f t="shared" si="70"/>
        <v>7.6835791862538194</v>
      </c>
    </row>
    <row r="246" spans="1:8" x14ac:dyDescent="0.25">
      <c r="A246" s="10">
        <f t="shared" si="2"/>
        <v>40556</v>
      </c>
      <c r="B246">
        <v>157.69999999999999</v>
      </c>
      <c r="C246">
        <v>108.4</v>
      </c>
      <c r="D246">
        <v>507.1</v>
      </c>
      <c r="E246">
        <v>510</v>
      </c>
      <c r="F246" s="34">
        <f t="shared" si="68"/>
        <v>664.8</v>
      </c>
      <c r="G246" s="34">
        <f t="shared" si="69"/>
        <v>618.4</v>
      </c>
      <c r="H246" s="33">
        <f t="shared" si="70"/>
        <v>7.5032341526519941</v>
      </c>
    </row>
    <row r="247" spans="1:8" x14ac:dyDescent="0.25">
      <c r="A247" s="10">
        <f t="shared" si="2"/>
        <v>40563</v>
      </c>
      <c r="B247">
        <v>167.3</v>
      </c>
      <c r="C247">
        <v>108.4</v>
      </c>
      <c r="D247">
        <v>552.6</v>
      </c>
      <c r="E247">
        <v>510</v>
      </c>
      <c r="F247" s="34">
        <f t="shared" si="68"/>
        <v>719.90000000000009</v>
      </c>
      <c r="G247" s="34">
        <f t="shared" si="69"/>
        <v>618.4</v>
      </c>
      <c r="H247" s="33">
        <f t="shared" si="70"/>
        <v>16.413324708926289</v>
      </c>
    </row>
    <row r="248" spans="1:8" x14ac:dyDescent="0.25">
      <c r="A248" s="10">
        <f t="shared" si="2"/>
        <v>40570</v>
      </c>
      <c r="B248">
        <v>223</v>
      </c>
      <c r="C248">
        <v>108.4</v>
      </c>
      <c r="D248">
        <v>554.9</v>
      </c>
      <c r="E248">
        <v>510</v>
      </c>
      <c r="F248" s="34">
        <f t="shared" si="68"/>
        <v>777.9</v>
      </c>
      <c r="G248" s="34">
        <f t="shared" si="69"/>
        <v>618.4</v>
      </c>
      <c r="H248" s="33">
        <f t="shared" si="70"/>
        <v>25.792367399741266</v>
      </c>
    </row>
    <row r="249" spans="1:8" x14ac:dyDescent="0.25">
      <c r="A249" s="10">
        <f t="shared" si="2"/>
        <v>40577</v>
      </c>
      <c r="B249">
        <v>220.6</v>
      </c>
      <c r="C249">
        <v>125.4</v>
      </c>
      <c r="D249">
        <v>557.29999999999995</v>
      </c>
      <c r="E249">
        <v>542</v>
      </c>
      <c r="F249" s="34">
        <f t="shared" si="68"/>
        <v>777.9</v>
      </c>
      <c r="G249" s="34">
        <f t="shared" si="69"/>
        <v>667.4</v>
      </c>
      <c r="H249" s="33">
        <f t="shared" si="70"/>
        <v>16.556787533712924</v>
      </c>
    </row>
    <row r="250" spans="1:8" x14ac:dyDescent="0.25">
      <c r="A250" s="10">
        <f t="shared" si="2"/>
        <v>40584</v>
      </c>
      <c r="B250">
        <v>208.8</v>
      </c>
      <c r="C250">
        <v>91.2</v>
      </c>
      <c r="D250">
        <v>569.4</v>
      </c>
      <c r="E250">
        <v>575.1</v>
      </c>
      <c r="F250" s="34">
        <f t="shared" si="68"/>
        <v>778.2</v>
      </c>
      <c r="G250" s="34">
        <f t="shared" si="69"/>
        <v>666.30000000000007</v>
      </c>
      <c r="H250" s="33">
        <f t="shared" si="70"/>
        <v>16.794236830256626</v>
      </c>
    </row>
    <row r="251" spans="1:8" x14ac:dyDescent="0.25">
      <c r="A251" s="10">
        <f t="shared" si="2"/>
        <v>40591</v>
      </c>
      <c r="B251">
        <v>210.6</v>
      </c>
      <c r="C251">
        <v>91.2</v>
      </c>
      <c r="D251">
        <v>608.9</v>
      </c>
      <c r="E251">
        <v>575.1</v>
      </c>
      <c r="F251" s="34">
        <f t="shared" si="68"/>
        <v>819.5</v>
      </c>
      <c r="G251" s="34">
        <f t="shared" si="69"/>
        <v>666.30000000000007</v>
      </c>
      <c r="H251" s="33">
        <f t="shared" si="70"/>
        <v>22.992645955275393</v>
      </c>
    </row>
    <row r="252" spans="1:8" x14ac:dyDescent="0.25">
      <c r="A252" s="10">
        <f t="shared" si="2"/>
        <v>40598</v>
      </c>
      <c r="B252">
        <v>208.6</v>
      </c>
      <c r="C252">
        <v>77.7</v>
      </c>
      <c r="D252">
        <v>613.20000000000005</v>
      </c>
      <c r="E252">
        <v>589.5</v>
      </c>
      <c r="F252" s="34">
        <f t="shared" ref="F252:F264" si="71">+B252+D252</f>
        <v>821.80000000000007</v>
      </c>
      <c r="G252" s="34">
        <f t="shared" ref="G252:G264" si="72">+C252+E252</f>
        <v>667.2</v>
      </c>
      <c r="H252" s="33">
        <f t="shared" si="70"/>
        <v>23.17146282973621</v>
      </c>
    </row>
    <row r="253" spans="1:8" x14ac:dyDescent="0.25">
      <c r="A253" s="10">
        <f t="shared" si="2"/>
        <v>40605</v>
      </c>
      <c r="B253">
        <v>206.7</v>
      </c>
      <c r="C253">
        <v>88.4</v>
      </c>
      <c r="D253">
        <v>615.1</v>
      </c>
      <c r="E253">
        <v>619.79999999999995</v>
      </c>
      <c r="F253" s="34">
        <f t="shared" si="71"/>
        <v>821.8</v>
      </c>
      <c r="G253" s="34">
        <f t="shared" si="72"/>
        <v>708.19999999999993</v>
      </c>
      <c r="H253" s="33">
        <f t="shared" si="70"/>
        <v>16.040666478395949</v>
      </c>
    </row>
    <row r="254" spans="1:8" x14ac:dyDescent="0.25">
      <c r="A254" s="10">
        <f t="shared" si="2"/>
        <v>40612</v>
      </c>
      <c r="B254">
        <v>253.6</v>
      </c>
      <c r="C254">
        <v>137.6</v>
      </c>
      <c r="D254">
        <v>616.79999999999995</v>
      </c>
      <c r="E254">
        <v>619.79999999999995</v>
      </c>
      <c r="F254" s="34">
        <f t="shared" si="71"/>
        <v>870.4</v>
      </c>
      <c r="G254" s="34">
        <f t="shared" si="72"/>
        <v>757.4</v>
      </c>
      <c r="H254" s="33">
        <f t="shared" si="70"/>
        <v>14.919461315025085</v>
      </c>
    </row>
    <row r="255" spans="1:8" x14ac:dyDescent="0.25">
      <c r="A255" s="10">
        <f t="shared" si="2"/>
        <v>40619</v>
      </c>
      <c r="B255">
        <v>201.5</v>
      </c>
      <c r="C255">
        <v>137.6</v>
      </c>
      <c r="D255">
        <v>670.5</v>
      </c>
      <c r="E255">
        <v>619.79999999999995</v>
      </c>
      <c r="F255" s="34">
        <f t="shared" si="71"/>
        <v>872</v>
      </c>
      <c r="G255" s="34">
        <f t="shared" si="72"/>
        <v>757.4</v>
      </c>
      <c r="H255" s="33">
        <f t="shared" si="70"/>
        <v>15.130710324795359</v>
      </c>
    </row>
    <row r="256" spans="1:8" x14ac:dyDescent="0.25">
      <c r="A256" s="10">
        <f t="shared" ref="A256:A319" si="73">+A255+7</f>
        <v>40626</v>
      </c>
      <c r="B256">
        <v>199.3</v>
      </c>
      <c r="C256">
        <v>90.1</v>
      </c>
      <c r="D256">
        <v>672.9</v>
      </c>
      <c r="E256">
        <v>669.2</v>
      </c>
      <c r="F256" s="34">
        <f t="shared" si="71"/>
        <v>872.2</v>
      </c>
      <c r="G256" s="34">
        <f t="shared" si="72"/>
        <v>759.30000000000007</v>
      </c>
      <c r="H256" s="33">
        <f t="shared" ref="H256:H274" si="74">+(F256/G256-1)*100</f>
        <v>14.868958251020681</v>
      </c>
    </row>
    <row r="257" spans="1:8" x14ac:dyDescent="0.25">
      <c r="A257" s="10">
        <f t="shared" si="73"/>
        <v>40633</v>
      </c>
      <c r="B257">
        <v>258.8</v>
      </c>
      <c r="C257">
        <v>137.80000000000001</v>
      </c>
      <c r="D257">
        <v>682.7</v>
      </c>
      <c r="E257">
        <v>669.2</v>
      </c>
      <c r="F257" s="34">
        <f t="shared" si="71"/>
        <v>941.5</v>
      </c>
      <c r="G257" s="34">
        <f t="shared" si="72"/>
        <v>807</v>
      </c>
      <c r="H257" s="33">
        <f t="shared" si="74"/>
        <v>16.666666666666675</v>
      </c>
    </row>
    <row r="258" spans="1:8" x14ac:dyDescent="0.25">
      <c r="A258" s="10">
        <f t="shared" si="73"/>
        <v>40640</v>
      </c>
      <c r="B258">
        <v>214.2</v>
      </c>
      <c r="C258">
        <v>172.4</v>
      </c>
      <c r="D258">
        <v>728.2</v>
      </c>
      <c r="E258">
        <v>669.2</v>
      </c>
      <c r="F258" s="34">
        <f t="shared" si="71"/>
        <v>942.40000000000009</v>
      </c>
      <c r="G258" s="34">
        <f t="shared" si="72"/>
        <v>841.6</v>
      </c>
      <c r="H258" s="33">
        <f t="shared" si="74"/>
        <v>11.977186311787079</v>
      </c>
    </row>
    <row r="259" spans="1:8" x14ac:dyDescent="0.25">
      <c r="A259" s="10">
        <f t="shared" si="73"/>
        <v>40647</v>
      </c>
      <c r="B259">
        <v>215.9</v>
      </c>
      <c r="C259">
        <v>131.4</v>
      </c>
      <c r="D259">
        <v>728.2</v>
      </c>
      <c r="E259">
        <v>712.2</v>
      </c>
      <c r="F259" s="34">
        <f t="shared" si="71"/>
        <v>944.1</v>
      </c>
      <c r="G259" s="34">
        <f t="shared" si="72"/>
        <v>843.6</v>
      </c>
      <c r="H259" s="33">
        <f t="shared" si="74"/>
        <v>11.913229018492167</v>
      </c>
    </row>
    <row r="260" spans="1:8" x14ac:dyDescent="0.25">
      <c r="A260" s="10">
        <f t="shared" si="73"/>
        <v>40654</v>
      </c>
      <c r="B260">
        <v>165.9</v>
      </c>
      <c r="C260">
        <v>131.4</v>
      </c>
      <c r="D260">
        <v>782.2</v>
      </c>
      <c r="E260">
        <v>712.2</v>
      </c>
      <c r="F260" s="34">
        <f t="shared" si="71"/>
        <v>948.1</v>
      </c>
      <c r="G260" s="34">
        <f t="shared" si="72"/>
        <v>843.6</v>
      </c>
      <c r="H260" s="33">
        <f t="shared" si="74"/>
        <v>12.387387387387383</v>
      </c>
    </row>
    <row r="261" spans="1:8" x14ac:dyDescent="0.25">
      <c r="A261" s="10">
        <f t="shared" si="73"/>
        <v>40661</v>
      </c>
      <c r="B261">
        <v>125.9</v>
      </c>
      <c r="C261">
        <v>95.3</v>
      </c>
      <c r="D261">
        <v>825</v>
      </c>
      <c r="E261">
        <v>761.1</v>
      </c>
      <c r="F261" s="34">
        <f t="shared" si="71"/>
        <v>950.9</v>
      </c>
      <c r="G261" s="34">
        <f t="shared" si="72"/>
        <v>856.4</v>
      </c>
      <c r="H261" s="33">
        <f t="shared" si="74"/>
        <v>11.034563288183087</v>
      </c>
    </row>
    <row r="262" spans="1:8" x14ac:dyDescent="0.25">
      <c r="A262" s="10">
        <f t="shared" si="73"/>
        <v>40668</v>
      </c>
      <c r="B262">
        <v>125.1</v>
      </c>
      <c r="C262">
        <v>34.700000000000003</v>
      </c>
      <c r="D262">
        <v>826.3</v>
      </c>
      <c r="E262">
        <v>809.6</v>
      </c>
      <c r="F262" s="34">
        <f t="shared" si="71"/>
        <v>951.4</v>
      </c>
      <c r="G262" s="34">
        <f t="shared" si="72"/>
        <v>844.30000000000007</v>
      </c>
      <c r="H262" s="33">
        <f t="shared" si="74"/>
        <v>12.685064550515213</v>
      </c>
    </row>
    <row r="263" spans="1:8" x14ac:dyDescent="0.25">
      <c r="A263" s="10">
        <f t="shared" si="73"/>
        <v>40675</v>
      </c>
      <c r="B263">
        <v>122.8</v>
      </c>
      <c r="C263">
        <v>34.700000000000003</v>
      </c>
      <c r="D263">
        <v>828.1</v>
      </c>
      <c r="E263">
        <v>809.6</v>
      </c>
      <c r="F263" s="34">
        <f t="shared" si="71"/>
        <v>950.9</v>
      </c>
      <c r="G263" s="34">
        <f t="shared" si="72"/>
        <v>844.30000000000007</v>
      </c>
      <c r="H263" s="33">
        <f t="shared" si="74"/>
        <v>12.62584389435033</v>
      </c>
    </row>
    <row r="264" spans="1:8" x14ac:dyDescent="0.25">
      <c r="A264" s="10">
        <f t="shared" si="73"/>
        <v>40682</v>
      </c>
      <c r="B264">
        <v>75.900000000000006</v>
      </c>
      <c r="C264">
        <v>34.700000000000003</v>
      </c>
      <c r="D264">
        <v>877.4</v>
      </c>
      <c r="E264">
        <v>809.6</v>
      </c>
      <c r="F264" s="34">
        <f t="shared" si="71"/>
        <v>953.3</v>
      </c>
      <c r="G264" s="34">
        <f t="shared" si="72"/>
        <v>844.30000000000007</v>
      </c>
      <c r="H264" s="33">
        <f t="shared" si="74"/>
        <v>12.910103043941712</v>
      </c>
    </row>
    <row r="265" spans="1:8" x14ac:dyDescent="0.25">
      <c r="A265" s="10">
        <f t="shared" si="73"/>
        <v>40689</v>
      </c>
      <c r="B265">
        <v>43.1</v>
      </c>
      <c r="C265">
        <v>34.700000000000003</v>
      </c>
      <c r="D265">
        <v>909.7</v>
      </c>
      <c r="E265">
        <v>809.6</v>
      </c>
      <c r="F265" s="34">
        <f>+B265+D265</f>
        <v>952.80000000000007</v>
      </c>
      <c r="G265" s="34">
        <f t="shared" ref="G265:G274" si="75">+C265+E265</f>
        <v>844.30000000000007</v>
      </c>
      <c r="H265" s="33">
        <f t="shared" si="74"/>
        <v>12.850882387776853</v>
      </c>
    </row>
    <row r="266" spans="1:8" x14ac:dyDescent="0.25">
      <c r="A266" s="10">
        <f t="shared" si="73"/>
        <v>40696</v>
      </c>
      <c r="B266">
        <v>119.4</v>
      </c>
      <c r="C266">
        <v>72.900000000000006</v>
      </c>
      <c r="D266">
        <v>37.5</v>
      </c>
      <c r="E266">
        <v>0</v>
      </c>
      <c r="F266" s="34">
        <f t="shared" ref="F266:F274" si="76">+B266+D266</f>
        <v>156.9</v>
      </c>
      <c r="G266" s="34">
        <f t="shared" si="75"/>
        <v>72.900000000000006</v>
      </c>
      <c r="H266" s="33">
        <f t="shared" si="74"/>
        <v>115.22633744855968</v>
      </c>
    </row>
    <row r="267" spans="1:8" x14ac:dyDescent="0.25">
      <c r="A267" s="10">
        <f t="shared" si="73"/>
        <v>40703</v>
      </c>
      <c r="B267">
        <v>191.1</v>
      </c>
      <c r="C267">
        <v>102.9</v>
      </c>
      <c r="D267">
        <v>39.6</v>
      </c>
      <c r="F267" s="34">
        <f t="shared" si="76"/>
        <v>230.7</v>
      </c>
      <c r="G267" s="34">
        <f t="shared" si="75"/>
        <v>102.9</v>
      </c>
      <c r="H267" s="33">
        <f t="shared" si="74"/>
        <v>124.19825072886294</v>
      </c>
    </row>
    <row r="268" spans="1:8" x14ac:dyDescent="0.25">
      <c r="A268" s="10">
        <f t="shared" si="73"/>
        <v>40710</v>
      </c>
      <c r="B268">
        <v>158.9</v>
      </c>
      <c r="C268">
        <v>89.8</v>
      </c>
      <c r="D268">
        <v>74.3</v>
      </c>
      <c r="E268">
        <v>13.2</v>
      </c>
      <c r="F268" s="34">
        <f t="shared" si="76"/>
        <v>233.2</v>
      </c>
      <c r="G268" s="34">
        <f t="shared" si="75"/>
        <v>103</v>
      </c>
      <c r="H268" s="33">
        <f t="shared" si="74"/>
        <v>126.40776699029126</v>
      </c>
    </row>
    <row r="269" spans="1:8" x14ac:dyDescent="0.25">
      <c r="A269" s="10">
        <f t="shared" si="73"/>
        <v>40717</v>
      </c>
      <c r="B269">
        <v>162.4</v>
      </c>
      <c r="C269">
        <v>71.400000000000006</v>
      </c>
      <c r="D269">
        <v>74.3</v>
      </c>
      <c r="E269">
        <v>32.5</v>
      </c>
      <c r="F269" s="34">
        <f t="shared" si="76"/>
        <v>236.7</v>
      </c>
      <c r="G269" s="34">
        <f t="shared" si="75"/>
        <v>103.9</v>
      </c>
      <c r="H269" s="33">
        <f t="shared" si="74"/>
        <v>127.81520692974011</v>
      </c>
    </row>
    <row r="270" spans="1:8" x14ac:dyDescent="0.25">
      <c r="A270" s="10">
        <f t="shared" si="73"/>
        <v>40724</v>
      </c>
      <c r="B270">
        <v>163</v>
      </c>
      <c r="C270">
        <v>71.400000000000006</v>
      </c>
      <c r="D270">
        <v>76.099999999999994</v>
      </c>
      <c r="E270">
        <v>32.5</v>
      </c>
      <c r="F270" s="34">
        <f t="shared" si="76"/>
        <v>239.1</v>
      </c>
      <c r="G270" s="34">
        <f t="shared" si="75"/>
        <v>103.9</v>
      </c>
      <c r="H270" s="33">
        <f t="shared" si="74"/>
        <v>130.12512030798842</v>
      </c>
    </row>
    <row r="271" spans="1:8" x14ac:dyDescent="0.25">
      <c r="A271" s="10">
        <f t="shared" si="73"/>
        <v>40731</v>
      </c>
      <c r="B271">
        <v>162.80000000000001</v>
      </c>
      <c r="C271">
        <v>115</v>
      </c>
      <c r="D271">
        <v>77.5</v>
      </c>
      <c r="E271">
        <v>32.6</v>
      </c>
      <c r="F271" s="34">
        <f t="shared" si="76"/>
        <v>240.3</v>
      </c>
      <c r="G271" s="34">
        <f t="shared" si="75"/>
        <v>147.6</v>
      </c>
      <c r="H271" s="33">
        <f t="shared" si="74"/>
        <v>62.804878048780502</v>
      </c>
    </row>
    <row r="272" spans="1:8" x14ac:dyDescent="0.25">
      <c r="A272" s="10">
        <f t="shared" si="73"/>
        <v>40738</v>
      </c>
      <c r="B272">
        <v>125.1</v>
      </c>
      <c r="C272">
        <v>73.7</v>
      </c>
      <c r="D272">
        <v>117.9</v>
      </c>
      <c r="E272">
        <v>76</v>
      </c>
      <c r="F272" s="34">
        <f t="shared" si="76"/>
        <v>243</v>
      </c>
      <c r="G272" s="34">
        <f t="shared" si="75"/>
        <v>149.69999999999999</v>
      </c>
      <c r="H272" s="33">
        <f t="shared" si="74"/>
        <v>62.324649298597201</v>
      </c>
    </row>
    <row r="273" spans="1:9" x14ac:dyDescent="0.25">
      <c r="A273" s="10">
        <f t="shared" si="73"/>
        <v>40745</v>
      </c>
      <c r="B273">
        <v>124.2</v>
      </c>
      <c r="C273">
        <v>107.6</v>
      </c>
      <c r="D273">
        <v>119.1</v>
      </c>
      <c r="E273">
        <v>76</v>
      </c>
      <c r="F273" s="34">
        <f t="shared" si="76"/>
        <v>243.3</v>
      </c>
      <c r="G273" s="34">
        <f t="shared" si="75"/>
        <v>183.6</v>
      </c>
      <c r="H273" s="33">
        <f t="shared" si="74"/>
        <v>32.516339869281062</v>
      </c>
    </row>
    <row r="274" spans="1:9" x14ac:dyDescent="0.25">
      <c r="A274" s="10">
        <f t="shared" si="73"/>
        <v>40752</v>
      </c>
      <c r="B274">
        <v>88.2</v>
      </c>
      <c r="C274">
        <v>107.6</v>
      </c>
      <c r="D274">
        <v>154.4</v>
      </c>
      <c r="E274">
        <v>76</v>
      </c>
      <c r="F274" s="34">
        <f t="shared" si="76"/>
        <v>242.60000000000002</v>
      </c>
      <c r="G274" s="34">
        <f t="shared" si="75"/>
        <v>183.6</v>
      </c>
      <c r="H274" s="33">
        <f t="shared" si="74"/>
        <v>32.135076252723337</v>
      </c>
    </row>
    <row r="275" spans="1:9" x14ac:dyDescent="0.25">
      <c r="A275" s="10">
        <f t="shared" si="73"/>
        <v>40759</v>
      </c>
      <c r="B275">
        <v>68.400000000000006</v>
      </c>
      <c r="C275">
        <v>107.6</v>
      </c>
      <c r="D275">
        <v>175.8</v>
      </c>
      <c r="E275">
        <v>76</v>
      </c>
      <c r="F275" s="34">
        <f t="shared" ref="F275:F323" si="77">+B275+D275</f>
        <v>244.20000000000002</v>
      </c>
      <c r="G275" s="34">
        <f t="shared" ref="G275:G323" si="78">+C275+E275</f>
        <v>183.6</v>
      </c>
      <c r="H275" s="33">
        <f t="shared" ref="H275:H323" si="79">+(F275/G275-1)*100</f>
        <v>33.006535947712436</v>
      </c>
    </row>
    <row r="276" spans="1:9" x14ac:dyDescent="0.25">
      <c r="A276" s="10">
        <f t="shared" si="73"/>
        <v>40766</v>
      </c>
      <c r="B276">
        <v>20.100000000000001</v>
      </c>
      <c r="C276">
        <v>77.599999999999994</v>
      </c>
      <c r="D276">
        <v>229.4</v>
      </c>
      <c r="E276">
        <v>107.5</v>
      </c>
      <c r="F276" s="34">
        <f t="shared" si="77"/>
        <v>249.5</v>
      </c>
      <c r="G276" s="34">
        <f t="shared" si="78"/>
        <v>185.1</v>
      </c>
      <c r="H276" s="33">
        <f t="shared" si="79"/>
        <v>34.792004321988124</v>
      </c>
    </row>
    <row r="277" spans="1:9" x14ac:dyDescent="0.25">
      <c r="A277" s="10">
        <f t="shared" si="73"/>
        <v>40773</v>
      </c>
      <c r="B277">
        <v>16.399999999999999</v>
      </c>
      <c r="C277">
        <v>100.3</v>
      </c>
      <c r="D277">
        <v>233.2</v>
      </c>
      <c r="E277">
        <v>137.9</v>
      </c>
      <c r="F277" s="34">
        <f t="shared" si="77"/>
        <v>249.6</v>
      </c>
      <c r="G277" s="34">
        <f t="shared" si="78"/>
        <v>238.2</v>
      </c>
      <c r="H277" s="33">
        <f t="shared" si="79"/>
        <v>4.7858942065491128</v>
      </c>
    </row>
    <row r="278" spans="1:9" x14ac:dyDescent="0.25">
      <c r="A278" s="10">
        <f t="shared" si="73"/>
        <v>40780</v>
      </c>
      <c r="B278">
        <v>18.100000000000001</v>
      </c>
      <c r="C278">
        <v>140.19999999999999</v>
      </c>
      <c r="D278">
        <v>234.5</v>
      </c>
      <c r="E278">
        <v>150.1</v>
      </c>
      <c r="F278" s="34">
        <f t="shared" si="77"/>
        <v>252.6</v>
      </c>
      <c r="G278" s="34">
        <f t="shared" si="78"/>
        <v>290.29999999999995</v>
      </c>
      <c r="H278" s="33">
        <f t="shared" si="79"/>
        <v>-12.986565621770573</v>
      </c>
    </row>
    <row r="279" spans="1:9" x14ac:dyDescent="0.25">
      <c r="A279" s="10">
        <f t="shared" si="73"/>
        <v>40787</v>
      </c>
      <c r="B279">
        <v>71.2</v>
      </c>
      <c r="C279">
        <v>191.9</v>
      </c>
      <c r="D279">
        <v>236.1</v>
      </c>
      <c r="E279">
        <v>150.1</v>
      </c>
      <c r="F279" s="34">
        <f t="shared" si="77"/>
        <v>307.3</v>
      </c>
      <c r="G279" s="34">
        <f t="shared" si="78"/>
        <v>342</v>
      </c>
      <c r="H279" s="33">
        <f t="shared" si="79"/>
        <v>-10.146198830409359</v>
      </c>
    </row>
    <row r="280" spans="1:9" x14ac:dyDescent="0.25">
      <c r="A280" s="10">
        <f t="shared" si="73"/>
        <v>40794</v>
      </c>
      <c r="B280">
        <v>69.400000000000006</v>
      </c>
      <c r="C280">
        <v>158.1</v>
      </c>
      <c r="D280">
        <v>238.1</v>
      </c>
      <c r="E280">
        <v>185.4</v>
      </c>
      <c r="F280" s="34">
        <f t="shared" si="77"/>
        <v>307.5</v>
      </c>
      <c r="G280" s="34">
        <f t="shared" si="78"/>
        <v>343.5</v>
      </c>
      <c r="H280" s="33">
        <f t="shared" si="79"/>
        <v>-10.480349344978169</v>
      </c>
    </row>
    <row r="281" spans="1:9" x14ac:dyDescent="0.25">
      <c r="A281" s="10">
        <f t="shared" si="73"/>
        <v>40801</v>
      </c>
      <c r="B281">
        <v>68.8</v>
      </c>
      <c r="C281">
        <v>158.1</v>
      </c>
      <c r="D281">
        <v>240.3</v>
      </c>
      <c r="E281">
        <v>185.4</v>
      </c>
      <c r="F281" s="34">
        <f t="shared" si="77"/>
        <v>309.10000000000002</v>
      </c>
      <c r="G281" s="34">
        <f t="shared" si="78"/>
        <v>343.5</v>
      </c>
      <c r="H281" s="33">
        <f t="shared" si="79"/>
        <v>-10.014556040756906</v>
      </c>
    </row>
    <row r="282" spans="1:9" x14ac:dyDescent="0.25">
      <c r="A282" s="10">
        <f t="shared" si="73"/>
        <v>40808</v>
      </c>
      <c r="B282">
        <v>110</v>
      </c>
      <c r="C282">
        <v>210.1</v>
      </c>
      <c r="D282">
        <v>244.7</v>
      </c>
      <c r="E282">
        <v>185.4</v>
      </c>
      <c r="F282" s="34">
        <f t="shared" si="77"/>
        <v>354.7</v>
      </c>
      <c r="G282" s="34">
        <f t="shared" si="78"/>
        <v>395.5</v>
      </c>
      <c r="H282" s="33">
        <f t="shared" si="79"/>
        <v>-10.316055625790144</v>
      </c>
      <c r="I282" s="80"/>
    </row>
    <row r="283" spans="1:9" x14ac:dyDescent="0.25">
      <c r="A283" s="10">
        <f t="shared" si="73"/>
        <v>40815</v>
      </c>
      <c r="B283">
        <v>163.30000000000001</v>
      </c>
      <c r="C283">
        <v>210.1</v>
      </c>
      <c r="D283">
        <v>246.2</v>
      </c>
      <c r="E283">
        <v>185.4</v>
      </c>
      <c r="F283" s="34">
        <f t="shared" si="77"/>
        <v>409.5</v>
      </c>
      <c r="G283" s="34">
        <f t="shared" si="78"/>
        <v>395.5</v>
      </c>
      <c r="H283" s="33">
        <f t="shared" si="79"/>
        <v>3.539823008849563</v>
      </c>
    </row>
    <row r="284" spans="1:9" x14ac:dyDescent="0.25">
      <c r="A284" s="10">
        <f t="shared" si="73"/>
        <v>40822</v>
      </c>
      <c r="B284">
        <v>160.30000000000001</v>
      </c>
      <c r="C284">
        <v>156.1</v>
      </c>
      <c r="D284">
        <v>249.3</v>
      </c>
      <c r="E284">
        <v>242.1</v>
      </c>
      <c r="F284" s="34">
        <f t="shared" si="77"/>
        <v>409.6</v>
      </c>
      <c r="G284" s="34">
        <f t="shared" si="78"/>
        <v>398.2</v>
      </c>
      <c r="H284" s="33">
        <f t="shared" si="79"/>
        <v>2.8628829733802208</v>
      </c>
      <c r="I284" s="80"/>
    </row>
    <row r="285" spans="1:9" x14ac:dyDescent="0.25">
      <c r="A285" s="10">
        <f t="shared" si="73"/>
        <v>40829</v>
      </c>
      <c r="B285">
        <v>147.4</v>
      </c>
      <c r="C285">
        <v>154.30000000000001</v>
      </c>
      <c r="D285">
        <v>307.10000000000002</v>
      </c>
      <c r="E285">
        <v>244.2</v>
      </c>
      <c r="F285" s="34">
        <f t="shared" si="77"/>
        <v>454.5</v>
      </c>
      <c r="G285" s="34">
        <f t="shared" si="78"/>
        <v>398.5</v>
      </c>
      <c r="H285" s="33">
        <f t="shared" si="79"/>
        <v>14.052697616060229</v>
      </c>
      <c r="I285" s="80"/>
    </row>
    <row r="286" spans="1:9" x14ac:dyDescent="0.25">
      <c r="A286" s="10">
        <f t="shared" si="73"/>
        <v>40836</v>
      </c>
      <c r="B286">
        <v>146</v>
      </c>
      <c r="C286">
        <v>104.2</v>
      </c>
      <c r="D286">
        <v>308.60000000000002</v>
      </c>
      <c r="E286">
        <v>294.2</v>
      </c>
      <c r="F286" s="34">
        <f t="shared" si="77"/>
        <v>454.6</v>
      </c>
      <c r="G286" s="34">
        <f t="shared" si="78"/>
        <v>398.4</v>
      </c>
      <c r="H286" s="33">
        <f t="shared" si="79"/>
        <v>14.106425702811265</v>
      </c>
    </row>
    <row r="287" spans="1:9" x14ac:dyDescent="0.25">
      <c r="A287" s="10">
        <f t="shared" si="73"/>
        <v>40843</v>
      </c>
      <c r="B287">
        <v>189.4</v>
      </c>
      <c r="C287">
        <v>156.19999999999999</v>
      </c>
      <c r="D287">
        <v>309.10000000000002</v>
      </c>
      <c r="E287">
        <v>294.2</v>
      </c>
      <c r="F287" s="34">
        <f t="shared" si="77"/>
        <v>498.5</v>
      </c>
      <c r="G287" s="34">
        <f t="shared" si="78"/>
        <v>450.4</v>
      </c>
      <c r="H287" s="33">
        <f t="shared" si="79"/>
        <v>10.679396092362348</v>
      </c>
    </row>
    <row r="288" spans="1:9" x14ac:dyDescent="0.25">
      <c r="A288" s="10">
        <f t="shared" si="73"/>
        <v>40850</v>
      </c>
      <c r="B288">
        <v>175.8</v>
      </c>
      <c r="C288">
        <v>153.5</v>
      </c>
      <c r="D288">
        <v>322.7</v>
      </c>
      <c r="E288">
        <v>347.4</v>
      </c>
      <c r="F288" s="34">
        <f t="shared" si="77"/>
        <v>498.5</v>
      </c>
      <c r="G288" s="34">
        <f t="shared" si="78"/>
        <v>500.9</v>
      </c>
      <c r="H288" s="33">
        <f t="shared" si="79"/>
        <v>-0.4791375524056618</v>
      </c>
    </row>
    <row r="289" spans="1:8" x14ac:dyDescent="0.25">
      <c r="A289" s="10">
        <f t="shared" si="73"/>
        <v>40857</v>
      </c>
      <c r="B289">
        <v>103.2</v>
      </c>
      <c r="C289">
        <v>197</v>
      </c>
      <c r="D289">
        <v>395.4</v>
      </c>
      <c r="E289">
        <v>347.4</v>
      </c>
      <c r="F289" s="34">
        <f t="shared" si="77"/>
        <v>498.59999999999997</v>
      </c>
      <c r="G289" s="34">
        <f t="shared" si="78"/>
        <v>544.4</v>
      </c>
      <c r="H289" s="33">
        <f t="shared" si="79"/>
        <v>-8.4129316678912538</v>
      </c>
    </row>
    <row r="290" spans="1:8" x14ac:dyDescent="0.25">
      <c r="A290" s="10">
        <f t="shared" si="73"/>
        <v>40864</v>
      </c>
      <c r="B290">
        <v>90.2</v>
      </c>
      <c r="C290">
        <v>205.1</v>
      </c>
      <c r="D290">
        <v>408.8</v>
      </c>
      <c r="E290">
        <v>347.4</v>
      </c>
      <c r="F290" s="34">
        <f t="shared" si="77"/>
        <v>499</v>
      </c>
      <c r="G290" s="34">
        <f t="shared" si="78"/>
        <v>552.5</v>
      </c>
      <c r="H290" s="33">
        <f t="shared" si="79"/>
        <v>-9.6832579185520355</v>
      </c>
    </row>
    <row r="291" spans="1:8" x14ac:dyDescent="0.25">
      <c r="A291" s="10">
        <f t="shared" si="73"/>
        <v>40871</v>
      </c>
      <c r="B291">
        <v>124.6</v>
      </c>
      <c r="C291">
        <v>204.6</v>
      </c>
      <c r="D291">
        <v>409.7</v>
      </c>
      <c r="E291">
        <v>347.9</v>
      </c>
      <c r="F291" s="34">
        <f t="shared" si="77"/>
        <v>534.29999999999995</v>
      </c>
      <c r="G291" s="34">
        <f t="shared" si="78"/>
        <v>552.5</v>
      </c>
      <c r="H291" s="33">
        <f t="shared" si="79"/>
        <v>-3.2941176470588363</v>
      </c>
    </row>
    <row r="292" spans="1:8" x14ac:dyDescent="0.25">
      <c r="A292" s="10">
        <f t="shared" si="73"/>
        <v>40878</v>
      </c>
      <c r="B292">
        <v>81.8</v>
      </c>
      <c r="C292">
        <v>190.6</v>
      </c>
      <c r="D292">
        <v>455.1</v>
      </c>
      <c r="E292">
        <v>362.3</v>
      </c>
      <c r="F292" s="34">
        <f t="shared" si="77"/>
        <v>536.9</v>
      </c>
      <c r="G292" s="34">
        <f t="shared" si="78"/>
        <v>552.9</v>
      </c>
      <c r="H292" s="33">
        <f t="shared" si="79"/>
        <v>-2.8938325194429404</v>
      </c>
    </row>
    <row r="293" spans="1:8" x14ac:dyDescent="0.25">
      <c r="A293" s="10">
        <f t="shared" si="73"/>
        <v>40885</v>
      </c>
      <c r="B293" s="17">
        <v>82</v>
      </c>
      <c r="C293">
        <v>199.8</v>
      </c>
      <c r="D293">
        <v>455.1</v>
      </c>
      <c r="E293">
        <v>400.2</v>
      </c>
      <c r="F293" s="34">
        <f t="shared" si="77"/>
        <v>537.1</v>
      </c>
      <c r="G293" s="34">
        <f t="shared" si="78"/>
        <v>600</v>
      </c>
      <c r="H293" s="33">
        <f t="shared" si="79"/>
        <v>-10.483333333333334</v>
      </c>
    </row>
    <row r="294" spans="1:8" x14ac:dyDescent="0.25">
      <c r="A294" s="10">
        <f t="shared" si="73"/>
        <v>40892</v>
      </c>
      <c r="B294">
        <v>140.6</v>
      </c>
      <c r="C294">
        <v>152.30000000000001</v>
      </c>
      <c r="D294">
        <v>479.4</v>
      </c>
      <c r="E294">
        <v>451.3</v>
      </c>
      <c r="F294" s="34">
        <f t="shared" si="77"/>
        <v>620</v>
      </c>
      <c r="G294" s="34">
        <f t="shared" si="78"/>
        <v>603.6</v>
      </c>
      <c r="H294" s="33">
        <f t="shared" si="79"/>
        <v>2.7170311464546071</v>
      </c>
    </row>
    <row r="295" spans="1:8" x14ac:dyDescent="0.25">
      <c r="A295" s="10">
        <f t="shared" si="73"/>
        <v>40899</v>
      </c>
      <c r="B295">
        <v>122.2</v>
      </c>
      <c r="C295">
        <v>152.30000000000001</v>
      </c>
      <c r="D295">
        <v>498.4</v>
      </c>
      <c r="E295">
        <v>453.7</v>
      </c>
      <c r="F295" s="34">
        <f t="shared" si="77"/>
        <v>620.6</v>
      </c>
      <c r="G295" s="34">
        <f t="shared" si="78"/>
        <v>606</v>
      </c>
      <c r="H295" s="33">
        <f t="shared" si="79"/>
        <v>2.409240924092404</v>
      </c>
    </row>
    <row r="296" spans="1:8" x14ac:dyDescent="0.25">
      <c r="A296" s="10">
        <f t="shared" si="73"/>
        <v>40906</v>
      </c>
      <c r="B296">
        <v>120.2</v>
      </c>
      <c r="C296">
        <v>204.3</v>
      </c>
      <c r="D296">
        <v>499.3</v>
      </c>
      <c r="E296">
        <v>454.7</v>
      </c>
      <c r="F296" s="34">
        <f t="shared" si="77"/>
        <v>619.5</v>
      </c>
      <c r="G296" s="34">
        <f t="shared" si="78"/>
        <v>659</v>
      </c>
      <c r="H296" s="33">
        <f t="shared" si="79"/>
        <v>-5.9939301972685932</v>
      </c>
    </row>
    <row r="297" spans="1:8" x14ac:dyDescent="0.25">
      <c r="A297" s="10">
        <f t="shared" si="73"/>
        <v>40913</v>
      </c>
      <c r="B297">
        <v>204</v>
      </c>
      <c r="C297">
        <v>157.69999999999999</v>
      </c>
      <c r="D297">
        <v>500.2</v>
      </c>
      <c r="E297">
        <v>506.7</v>
      </c>
      <c r="F297" s="34">
        <f t="shared" si="77"/>
        <v>704.2</v>
      </c>
      <c r="G297" s="34">
        <f t="shared" si="78"/>
        <v>664.4</v>
      </c>
      <c r="H297" s="33">
        <f t="shared" si="79"/>
        <v>5.9903672486454118</v>
      </c>
    </row>
    <row r="298" spans="1:8" x14ac:dyDescent="0.25">
      <c r="A298" s="10">
        <f t="shared" si="73"/>
        <v>40920</v>
      </c>
      <c r="B298">
        <v>168.4</v>
      </c>
      <c r="C298">
        <v>157.69999999999999</v>
      </c>
      <c r="D298">
        <v>536</v>
      </c>
      <c r="E298">
        <v>507.1</v>
      </c>
      <c r="F298" s="34">
        <f t="shared" si="77"/>
        <v>704.4</v>
      </c>
      <c r="G298" s="34">
        <f t="shared" si="78"/>
        <v>664.8</v>
      </c>
      <c r="H298" s="33">
        <f t="shared" si="79"/>
        <v>5.9566787003610067</v>
      </c>
    </row>
    <row r="299" spans="1:8" x14ac:dyDescent="0.25">
      <c r="A299" s="10">
        <f t="shared" si="73"/>
        <v>40927</v>
      </c>
      <c r="B299">
        <v>168.9</v>
      </c>
      <c r="C299">
        <v>167.3</v>
      </c>
      <c r="D299">
        <v>536</v>
      </c>
      <c r="E299">
        <v>552.6</v>
      </c>
      <c r="F299" s="34">
        <f t="shared" si="77"/>
        <v>704.9</v>
      </c>
      <c r="G299" s="34">
        <f t="shared" si="78"/>
        <v>719.90000000000009</v>
      </c>
      <c r="H299" s="33">
        <f t="shared" si="79"/>
        <v>-2.0836227253785422</v>
      </c>
    </row>
    <row r="300" spans="1:8" x14ac:dyDescent="0.25">
      <c r="A300" s="10">
        <f t="shared" si="73"/>
        <v>40934</v>
      </c>
      <c r="B300">
        <v>168.9</v>
      </c>
      <c r="C300">
        <v>223</v>
      </c>
      <c r="D300">
        <v>536</v>
      </c>
      <c r="E300">
        <v>554.9</v>
      </c>
      <c r="F300" s="34">
        <f t="shared" si="77"/>
        <v>704.9</v>
      </c>
      <c r="G300" s="34">
        <f t="shared" si="78"/>
        <v>777.9</v>
      </c>
      <c r="H300" s="33">
        <f t="shared" si="79"/>
        <v>-9.3842396194883655</v>
      </c>
    </row>
    <row r="301" spans="1:8" x14ac:dyDescent="0.25">
      <c r="A301" s="10">
        <f t="shared" si="73"/>
        <v>40941</v>
      </c>
      <c r="B301">
        <v>123.1</v>
      </c>
      <c r="C301">
        <v>220.6</v>
      </c>
      <c r="D301">
        <v>584.79999999999995</v>
      </c>
      <c r="E301">
        <v>557.29999999999995</v>
      </c>
      <c r="F301" s="34">
        <f t="shared" si="77"/>
        <v>707.9</v>
      </c>
      <c r="G301" s="34">
        <f t="shared" si="78"/>
        <v>777.9</v>
      </c>
      <c r="H301" s="33">
        <f t="shared" si="79"/>
        <v>-8.9985859364956955</v>
      </c>
    </row>
    <row r="302" spans="1:8" x14ac:dyDescent="0.25">
      <c r="A302" s="10">
        <f t="shared" si="73"/>
        <v>40948</v>
      </c>
      <c r="B302">
        <v>123.2</v>
      </c>
      <c r="C302">
        <v>208.8</v>
      </c>
      <c r="D302">
        <v>584.79999999999995</v>
      </c>
      <c r="E302">
        <v>569.4</v>
      </c>
      <c r="F302" s="34">
        <f t="shared" si="77"/>
        <v>708</v>
      </c>
      <c r="G302" s="34">
        <f t="shared" si="78"/>
        <v>778.2</v>
      </c>
      <c r="H302" s="33">
        <f t="shared" si="79"/>
        <v>-9.0208172706245264</v>
      </c>
    </row>
    <row r="303" spans="1:8" x14ac:dyDescent="0.25">
      <c r="A303" s="10">
        <f t="shared" si="73"/>
        <v>40955</v>
      </c>
      <c r="B303">
        <v>145</v>
      </c>
      <c r="C303">
        <v>210.6</v>
      </c>
      <c r="D303">
        <v>623.9</v>
      </c>
      <c r="E303">
        <v>608.9</v>
      </c>
      <c r="F303" s="34">
        <f t="shared" si="77"/>
        <v>768.9</v>
      </c>
      <c r="G303" s="34">
        <f t="shared" si="78"/>
        <v>819.5</v>
      </c>
      <c r="H303" s="33">
        <f t="shared" si="79"/>
        <v>-6.174496644295302</v>
      </c>
    </row>
    <row r="304" spans="1:8" x14ac:dyDescent="0.25">
      <c r="A304" s="10">
        <f t="shared" si="73"/>
        <v>40962</v>
      </c>
      <c r="B304">
        <v>173.2</v>
      </c>
      <c r="C304">
        <v>208.6</v>
      </c>
      <c r="D304">
        <v>624.20000000000005</v>
      </c>
      <c r="E304">
        <v>613.20000000000005</v>
      </c>
      <c r="F304" s="34">
        <f t="shared" si="77"/>
        <v>797.40000000000009</v>
      </c>
      <c r="G304" s="34">
        <f t="shared" si="78"/>
        <v>821.80000000000007</v>
      </c>
      <c r="H304" s="33">
        <f t="shared" si="79"/>
        <v>-2.9690922365539052</v>
      </c>
    </row>
    <row r="305" spans="1:9" x14ac:dyDescent="0.25">
      <c r="A305" s="10">
        <f t="shared" si="73"/>
        <v>40969</v>
      </c>
      <c r="B305">
        <v>204.4</v>
      </c>
      <c r="C305">
        <v>206.7</v>
      </c>
      <c r="D305">
        <v>624.20000000000005</v>
      </c>
      <c r="E305">
        <v>615.1</v>
      </c>
      <c r="F305" s="34">
        <f t="shared" si="77"/>
        <v>828.6</v>
      </c>
      <c r="G305" s="34">
        <f t="shared" si="78"/>
        <v>821.8</v>
      </c>
      <c r="H305" s="33">
        <f t="shared" si="79"/>
        <v>0.82745193477733459</v>
      </c>
    </row>
    <row r="306" spans="1:9" x14ac:dyDescent="0.25">
      <c r="A306" s="10">
        <f t="shared" si="73"/>
        <v>40976</v>
      </c>
      <c r="B306">
        <v>156.4</v>
      </c>
      <c r="C306">
        <v>253.6</v>
      </c>
      <c r="D306">
        <v>673.5</v>
      </c>
      <c r="E306">
        <v>616.79999999999995</v>
      </c>
      <c r="F306" s="34">
        <f t="shared" si="77"/>
        <v>829.9</v>
      </c>
      <c r="G306" s="34">
        <f t="shared" si="78"/>
        <v>870.4</v>
      </c>
      <c r="H306" s="33">
        <f t="shared" si="79"/>
        <v>-4.6530330882352917</v>
      </c>
    </row>
    <row r="307" spans="1:9" x14ac:dyDescent="0.25">
      <c r="A307" s="10">
        <f t="shared" si="73"/>
        <v>40983</v>
      </c>
      <c r="B307">
        <v>156.4</v>
      </c>
      <c r="C307">
        <v>201.5</v>
      </c>
      <c r="D307">
        <v>673.5</v>
      </c>
      <c r="E307">
        <v>670.6</v>
      </c>
      <c r="F307" s="34">
        <f t="shared" si="77"/>
        <v>829.9</v>
      </c>
      <c r="G307" s="34">
        <f t="shared" si="78"/>
        <v>872.1</v>
      </c>
      <c r="H307" s="33">
        <f t="shared" si="79"/>
        <v>-4.83889462217636</v>
      </c>
    </row>
    <row r="308" spans="1:9" x14ac:dyDescent="0.25">
      <c r="A308" s="10">
        <f t="shared" si="73"/>
        <v>40990</v>
      </c>
      <c r="B308">
        <v>117.8</v>
      </c>
      <c r="C308">
        <v>199.3</v>
      </c>
      <c r="D308">
        <v>710.4</v>
      </c>
      <c r="E308">
        <v>672.9</v>
      </c>
      <c r="F308" s="34">
        <f t="shared" si="77"/>
        <v>828.19999999999993</v>
      </c>
      <c r="G308" s="34">
        <f t="shared" si="78"/>
        <v>872.2</v>
      </c>
      <c r="H308" s="33">
        <f t="shared" si="79"/>
        <v>-5.0447145150194999</v>
      </c>
    </row>
    <row r="309" spans="1:9" x14ac:dyDescent="0.25">
      <c r="A309" s="10">
        <f t="shared" si="73"/>
        <v>40997</v>
      </c>
      <c r="B309">
        <v>159.5</v>
      </c>
      <c r="C309">
        <v>258.8</v>
      </c>
      <c r="D309">
        <v>710.6</v>
      </c>
      <c r="E309">
        <v>682.7</v>
      </c>
      <c r="F309" s="34">
        <f t="shared" si="77"/>
        <v>870.1</v>
      </c>
      <c r="G309" s="34">
        <f t="shared" si="78"/>
        <v>941.5</v>
      </c>
      <c r="H309" s="33">
        <f t="shared" si="79"/>
        <v>-7.583643122676575</v>
      </c>
    </row>
    <row r="310" spans="1:9" x14ac:dyDescent="0.25">
      <c r="A310" s="10">
        <f t="shared" si="73"/>
        <v>41004</v>
      </c>
      <c r="B310">
        <v>200.6</v>
      </c>
      <c r="C310">
        <v>214.2</v>
      </c>
      <c r="D310">
        <v>711.1</v>
      </c>
      <c r="E310">
        <v>728.2</v>
      </c>
      <c r="F310" s="34">
        <f t="shared" si="77"/>
        <v>911.7</v>
      </c>
      <c r="G310" s="34">
        <f t="shared" si="78"/>
        <v>942.40000000000009</v>
      </c>
      <c r="H310" s="33">
        <f t="shared" si="79"/>
        <v>-3.2576400679117157</v>
      </c>
    </row>
    <row r="311" spans="1:9" x14ac:dyDescent="0.25">
      <c r="A311" s="10">
        <f t="shared" si="73"/>
        <v>41011</v>
      </c>
      <c r="B311">
        <v>116.6</v>
      </c>
      <c r="C311">
        <v>215.9</v>
      </c>
      <c r="D311">
        <v>799.9</v>
      </c>
      <c r="E311">
        <v>728.2</v>
      </c>
      <c r="F311" s="34">
        <f t="shared" si="77"/>
        <v>916.5</v>
      </c>
      <c r="G311" s="34">
        <f t="shared" si="78"/>
        <v>944.1</v>
      </c>
      <c r="H311" s="33">
        <f t="shared" si="79"/>
        <v>-2.9234191293295186</v>
      </c>
    </row>
    <row r="312" spans="1:9" x14ac:dyDescent="0.25">
      <c r="A312" s="10">
        <f t="shared" si="73"/>
        <v>41018</v>
      </c>
      <c r="B312">
        <v>158.19999999999999</v>
      </c>
      <c r="C312">
        <v>165.9</v>
      </c>
      <c r="D312">
        <v>799.9</v>
      </c>
      <c r="E312">
        <v>782.2</v>
      </c>
      <c r="F312" s="34">
        <f t="shared" si="77"/>
        <v>958.09999999999991</v>
      </c>
      <c r="G312" s="34">
        <f t="shared" si="78"/>
        <v>948.1</v>
      </c>
      <c r="H312" s="33">
        <f t="shared" si="79"/>
        <v>1.0547410610694863</v>
      </c>
    </row>
    <row r="313" spans="1:9" x14ac:dyDescent="0.25">
      <c r="A313" s="10">
        <f t="shared" si="73"/>
        <v>41025</v>
      </c>
      <c r="B313">
        <v>158.19999999999999</v>
      </c>
      <c r="C313">
        <v>125.9</v>
      </c>
      <c r="D313">
        <v>799.9</v>
      </c>
      <c r="E313">
        <v>825</v>
      </c>
      <c r="F313" s="34">
        <f t="shared" si="77"/>
        <v>958.09999999999991</v>
      </c>
      <c r="G313" s="34">
        <f t="shared" si="78"/>
        <v>950.9</v>
      </c>
      <c r="H313" s="33">
        <f t="shared" si="79"/>
        <v>0.75717741087391044</v>
      </c>
    </row>
    <row r="314" spans="1:9" x14ac:dyDescent="0.25">
      <c r="A314" s="10">
        <f t="shared" si="73"/>
        <v>41032</v>
      </c>
      <c r="B314">
        <v>214.7</v>
      </c>
      <c r="C314">
        <v>125.1</v>
      </c>
      <c r="D314">
        <v>799.9</v>
      </c>
      <c r="E314">
        <v>826.3</v>
      </c>
      <c r="F314" s="34">
        <f t="shared" si="77"/>
        <v>1014.5999999999999</v>
      </c>
      <c r="G314" s="34">
        <f t="shared" si="78"/>
        <v>951.4</v>
      </c>
      <c r="H314" s="33">
        <f t="shared" si="79"/>
        <v>6.642842127391213</v>
      </c>
      <c r="I314">
        <v>3</v>
      </c>
    </row>
    <row r="315" spans="1:9" x14ac:dyDescent="0.25">
      <c r="A315" s="10">
        <f t="shared" si="73"/>
        <v>41039</v>
      </c>
      <c r="B315">
        <v>214.2</v>
      </c>
      <c r="C315">
        <v>122.8</v>
      </c>
      <c r="D315">
        <v>799.9</v>
      </c>
      <c r="E315">
        <v>828.1</v>
      </c>
      <c r="F315" s="34">
        <f t="shared" si="77"/>
        <v>1014.0999999999999</v>
      </c>
      <c r="G315" s="34">
        <f t="shared" si="78"/>
        <v>950.9</v>
      </c>
      <c r="H315" s="33">
        <f t="shared" si="79"/>
        <v>6.6463350510043151</v>
      </c>
      <c r="I315">
        <v>51.7</v>
      </c>
    </row>
    <row r="316" spans="1:9" x14ac:dyDescent="0.25">
      <c r="A316" s="10">
        <f t="shared" si="73"/>
        <v>41046</v>
      </c>
      <c r="B316">
        <v>122.3</v>
      </c>
      <c r="C316">
        <v>75.900000000000006</v>
      </c>
      <c r="D316">
        <v>851.6</v>
      </c>
      <c r="E316">
        <v>877.4</v>
      </c>
      <c r="F316" s="34">
        <f t="shared" si="77"/>
        <v>973.9</v>
      </c>
      <c r="G316" s="34">
        <f t="shared" si="78"/>
        <v>953.3</v>
      </c>
      <c r="H316" s="33">
        <f t="shared" si="79"/>
        <v>2.1609147172978016</v>
      </c>
      <c r="I316">
        <v>95.7</v>
      </c>
    </row>
    <row r="317" spans="1:9" x14ac:dyDescent="0.25">
      <c r="A317" s="10">
        <f t="shared" si="73"/>
        <v>41053</v>
      </c>
      <c r="B317">
        <v>87.8</v>
      </c>
      <c r="C317">
        <v>43.1</v>
      </c>
      <c r="D317">
        <v>887.6</v>
      </c>
      <c r="E317">
        <v>909.7</v>
      </c>
      <c r="F317" s="34">
        <f t="shared" si="77"/>
        <v>975.4</v>
      </c>
      <c r="G317" s="34">
        <f t="shared" si="78"/>
        <v>952.80000000000007</v>
      </c>
      <c r="H317" s="33">
        <f t="shared" si="79"/>
        <v>2.3719563392107457</v>
      </c>
      <c r="I317">
        <v>99.2</v>
      </c>
    </row>
    <row r="318" spans="1:9" x14ac:dyDescent="0.25">
      <c r="A318" s="10">
        <f t="shared" si="73"/>
        <v>41060</v>
      </c>
      <c r="B318">
        <v>87.5</v>
      </c>
      <c r="C318">
        <v>40.1</v>
      </c>
      <c r="D318">
        <v>887.9</v>
      </c>
      <c r="E318">
        <v>912.9</v>
      </c>
      <c r="F318" s="34">
        <f t="shared" si="77"/>
        <v>975.4</v>
      </c>
      <c r="G318" s="34">
        <f t="shared" si="78"/>
        <v>953</v>
      </c>
      <c r="H318" s="33">
        <f t="shared" si="79"/>
        <v>2.3504721930744932</v>
      </c>
    </row>
    <row r="319" spans="1:9" x14ac:dyDescent="0.25">
      <c r="A319" s="10">
        <f t="shared" si="73"/>
        <v>41067</v>
      </c>
      <c r="B319">
        <v>235.4</v>
      </c>
      <c r="C319">
        <v>191.1</v>
      </c>
      <c r="D319">
        <v>0</v>
      </c>
      <c r="E319">
        <v>39.6</v>
      </c>
      <c r="F319" s="34">
        <f t="shared" si="77"/>
        <v>235.4</v>
      </c>
      <c r="G319" s="34">
        <f t="shared" si="78"/>
        <v>230.7</v>
      </c>
      <c r="H319" s="33">
        <f t="shared" si="79"/>
        <v>2.0372778500216793</v>
      </c>
    </row>
    <row r="320" spans="1:9" x14ac:dyDescent="0.25">
      <c r="A320" s="10">
        <f t="shared" ref="A320:A384" si="80">+A319+7</f>
        <v>41074</v>
      </c>
      <c r="B320">
        <v>240.8</v>
      </c>
      <c r="C320">
        <v>158.9</v>
      </c>
      <c r="D320">
        <v>43.7</v>
      </c>
      <c r="E320">
        <v>74.3</v>
      </c>
      <c r="F320" s="34">
        <f t="shared" si="77"/>
        <v>284.5</v>
      </c>
      <c r="G320" s="34">
        <f t="shared" si="78"/>
        <v>233.2</v>
      </c>
      <c r="H320" s="33">
        <f t="shared" si="79"/>
        <v>21.99828473413379</v>
      </c>
    </row>
    <row r="321" spans="1:8" x14ac:dyDescent="0.25">
      <c r="A321" s="10">
        <f t="shared" si="80"/>
        <v>41081</v>
      </c>
      <c r="B321">
        <v>241</v>
      </c>
      <c r="C321">
        <v>162.4</v>
      </c>
      <c r="D321">
        <v>44.3</v>
      </c>
      <c r="E321">
        <v>74.3</v>
      </c>
      <c r="F321" s="34">
        <f t="shared" si="77"/>
        <v>285.3</v>
      </c>
      <c r="G321" s="34">
        <f t="shared" si="78"/>
        <v>236.7</v>
      </c>
      <c r="H321" s="33">
        <f t="shared" si="79"/>
        <v>20.532319391634999</v>
      </c>
    </row>
    <row r="322" spans="1:8" x14ac:dyDescent="0.25">
      <c r="A322" s="10">
        <f t="shared" si="80"/>
        <v>41088</v>
      </c>
      <c r="B322">
        <v>184.3</v>
      </c>
      <c r="C322">
        <v>163</v>
      </c>
      <c r="D322">
        <v>102.5</v>
      </c>
      <c r="E322">
        <v>76.099999999999994</v>
      </c>
      <c r="F322" s="34">
        <f t="shared" si="77"/>
        <v>286.8</v>
      </c>
      <c r="G322" s="34">
        <f t="shared" si="78"/>
        <v>239.1</v>
      </c>
      <c r="H322" s="33">
        <f t="shared" si="79"/>
        <v>19.949811794228367</v>
      </c>
    </row>
    <row r="323" spans="1:8" x14ac:dyDescent="0.25">
      <c r="A323" s="10">
        <f t="shared" si="80"/>
        <v>41095</v>
      </c>
      <c r="B323">
        <v>191</v>
      </c>
      <c r="C323">
        <v>162.80000000000001</v>
      </c>
      <c r="D323">
        <v>102.5</v>
      </c>
      <c r="E323">
        <v>77.5</v>
      </c>
      <c r="F323" s="34">
        <f t="shared" si="77"/>
        <v>293.5</v>
      </c>
      <c r="G323" s="34">
        <f t="shared" si="78"/>
        <v>240.3</v>
      </c>
      <c r="H323" s="33">
        <f t="shared" si="79"/>
        <v>22.138992925509783</v>
      </c>
    </row>
    <row r="324" spans="1:8" x14ac:dyDescent="0.25">
      <c r="A324" s="10">
        <f t="shared" si="80"/>
        <v>41102</v>
      </c>
      <c r="B324">
        <v>142.30000000000001</v>
      </c>
      <c r="C324">
        <v>125.1</v>
      </c>
      <c r="D324">
        <v>153.69999999999999</v>
      </c>
      <c r="E324">
        <v>117.9</v>
      </c>
      <c r="F324" s="34">
        <f t="shared" ref="F324:F355" si="81">+B324+D324</f>
        <v>296</v>
      </c>
      <c r="G324" s="34">
        <f t="shared" ref="G324:G355" si="82">+C324+E324</f>
        <v>243</v>
      </c>
      <c r="H324" s="33">
        <f t="shared" ref="H324:H361" si="83">+(F324/G324-1)*100</f>
        <v>21.810699588477366</v>
      </c>
    </row>
    <row r="325" spans="1:8" x14ac:dyDescent="0.25">
      <c r="A325" s="10">
        <f t="shared" si="80"/>
        <v>41109</v>
      </c>
      <c r="B325">
        <v>185.8</v>
      </c>
      <c r="C325">
        <v>124.2</v>
      </c>
      <c r="D325">
        <v>153.80000000000001</v>
      </c>
      <c r="E325">
        <v>119.1</v>
      </c>
      <c r="F325" s="34">
        <f t="shared" si="81"/>
        <v>339.6</v>
      </c>
      <c r="G325" s="34">
        <f t="shared" si="82"/>
        <v>243.3</v>
      </c>
      <c r="H325" s="33">
        <f t="shared" si="83"/>
        <v>39.580764488286071</v>
      </c>
    </row>
    <row r="326" spans="1:8" x14ac:dyDescent="0.25">
      <c r="A326" s="10">
        <f t="shared" si="80"/>
        <v>41116</v>
      </c>
      <c r="B326">
        <v>137</v>
      </c>
      <c r="C326">
        <v>88.2</v>
      </c>
      <c r="D326">
        <v>204.9</v>
      </c>
      <c r="E326">
        <v>154.4</v>
      </c>
      <c r="F326" s="34">
        <f t="shared" si="81"/>
        <v>341.9</v>
      </c>
      <c r="G326" s="34">
        <f t="shared" si="82"/>
        <v>242.60000000000002</v>
      </c>
      <c r="H326" s="33">
        <f t="shared" si="83"/>
        <v>40.93157460840888</v>
      </c>
    </row>
    <row r="327" spans="1:8" x14ac:dyDescent="0.25">
      <c r="A327" s="10">
        <f t="shared" si="80"/>
        <v>41123</v>
      </c>
      <c r="B327">
        <v>137</v>
      </c>
      <c r="C327">
        <v>68.400000000000006</v>
      </c>
      <c r="D327">
        <v>204.9</v>
      </c>
      <c r="E327">
        <v>175.8</v>
      </c>
      <c r="F327" s="34">
        <f t="shared" si="81"/>
        <v>341.9</v>
      </c>
      <c r="G327" s="34">
        <f t="shared" si="82"/>
        <v>244.20000000000002</v>
      </c>
      <c r="H327" s="33">
        <f t="shared" si="83"/>
        <v>40.008190008189985</v>
      </c>
    </row>
    <row r="328" spans="1:8" x14ac:dyDescent="0.25">
      <c r="A328" s="10">
        <f t="shared" si="80"/>
        <v>41130</v>
      </c>
      <c r="B328">
        <v>89.7</v>
      </c>
      <c r="C328">
        <v>20.100000000000001</v>
      </c>
      <c r="D328">
        <v>254.6</v>
      </c>
      <c r="E328">
        <v>229.4</v>
      </c>
      <c r="F328" s="34">
        <f t="shared" si="81"/>
        <v>344.3</v>
      </c>
      <c r="G328" s="34">
        <f t="shared" si="82"/>
        <v>249.5</v>
      </c>
      <c r="H328" s="33">
        <f t="shared" si="83"/>
        <v>37.995991983967947</v>
      </c>
    </row>
    <row r="329" spans="1:8" x14ac:dyDescent="0.25">
      <c r="A329" s="10">
        <f t="shared" si="80"/>
        <v>41137</v>
      </c>
      <c r="B329">
        <v>88.8</v>
      </c>
      <c r="C329">
        <v>16.399999999999999</v>
      </c>
      <c r="D329">
        <v>255.5</v>
      </c>
      <c r="E329">
        <v>233.2</v>
      </c>
      <c r="F329" s="34">
        <f t="shared" si="81"/>
        <v>344.3</v>
      </c>
      <c r="G329" s="34">
        <f t="shared" si="82"/>
        <v>249.6</v>
      </c>
      <c r="H329" s="33">
        <f t="shared" si="83"/>
        <v>37.940705128205131</v>
      </c>
    </row>
    <row r="330" spans="1:8" x14ac:dyDescent="0.25">
      <c r="A330" s="10">
        <f t="shared" si="80"/>
        <v>41144</v>
      </c>
      <c r="B330">
        <v>182.4</v>
      </c>
      <c r="C330">
        <v>18.100000000000001</v>
      </c>
      <c r="D330">
        <v>256.2</v>
      </c>
      <c r="E330">
        <v>234.5</v>
      </c>
      <c r="F330" s="34">
        <f t="shared" si="81"/>
        <v>438.6</v>
      </c>
      <c r="G330" s="34">
        <f t="shared" si="82"/>
        <v>252.6</v>
      </c>
      <c r="H330" s="33">
        <f t="shared" si="83"/>
        <v>73.634204275534472</v>
      </c>
    </row>
    <row r="331" spans="1:8" x14ac:dyDescent="0.25">
      <c r="A331" s="10">
        <f t="shared" si="80"/>
        <v>41151</v>
      </c>
      <c r="B331">
        <v>138.1</v>
      </c>
      <c r="C331">
        <v>71.2</v>
      </c>
      <c r="D331">
        <v>302.60000000000002</v>
      </c>
      <c r="E331">
        <v>236.1</v>
      </c>
      <c r="F331" s="34">
        <f t="shared" si="81"/>
        <v>440.70000000000005</v>
      </c>
      <c r="G331" s="34">
        <f t="shared" si="82"/>
        <v>307.3</v>
      </c>
      <c r="H331" s="33">
        <f t="shared" si="83"/>
        <v>43.410348193947293</v>
      </c>
    </row>
    <row r="332" spans="1:8" x14ac:dyDescent="0.25">
      <c r="A332" s="10">
        <f t="shared" si="80"/>
        <v>41158</v>
      </c>
      <c r="B332">
        <v>193</v>
      </c>
      <c r="C332">
        <v>71.2</v>
      </c>
      <c r="D332">
        <v>302.89999999999998</v>
      </c>
      <c r="E332">
        <v>236.1</v>
      </c>
      <c r="F332" s="34">
        <f t="shared" si="81"/>
        <v>495.9</v>
      </c>
      <c r="G332" s="34">
        <f t="shared" si="82"/>
        <v>307.3</v>
      </c>
      <c r="H332" s="33">
        <f t="shared" si="83"/>
        <v>61.373250894890965</v>
      </c>
    </row>
    <row r="333" spans="1:8" x14ac:dyDescent="0.25">
      <c r="A333" s="10">
        <f t="shared" si="80"/>
        <v>41165</v>
      </c>
      <c r="B333">
        <v>193.5</v>
      </c>
      <c r="C333">
        <v>68.8</v>
      </c>
      <c r="D333">
        <v>302.89999999999998</v>
      </c>
      <c r="E333">
        <v>240.3</v>
      </c>
      <c r="F333" s="34">
        <f t="shared" si="81"/>
        <v>496.4</v>
      </c>
      <c r="G333" s="34">
        <f t="shared" si="82"/>
        <v>309.10000000000002</v>
      </c>
      <c r="H333" s="33">
        <f t="shared" si="83"/>
        <v>60.595276609511473</v>
      </c>
    </row>
    <row r="334" spans="1:8" x14ac:dyDescent="0.25">
      <c r="A334" s="10">
        <f t="shared" si="80"/>
        <v>41172</v>
      </c>
      <c r="B334">
        <v>193.5</v>
      </c>
      <c r="C334">
        <v>110</v>
      </c>
      <c r="D334">
        <v>302.89999999999998</v>
      </c>
      <c r="E334">
        <v>244.7</v>
      </c>
      <c r="F334" s="34">
        <f t="shared" si="81"/>
        <v>496.4</v>
      </c>
      <c r="G334" s="34">
        <f t="shared" si="82"/>
        <v>354.7</v>
      </c>
      <c r="H334" s="33">
        <f t="shared" si="83"/>
        <v>39.949252889766008</v>
      </c>
    </row>
    <row r="335" spans="1:8" x14ac:dyDescent="0.25">
      <c r="A335" s="10">
        <f t="shared" si="80"/>
        <v>41179</v>
      </c>
      <c r="B335">
        <v>150</v>
      </c>
      <c r="C335">
        <v>163.30000000000001</v>
      </c>
      <c r="D335">
        <v>348.6</v>
      </c>
      <c r="E335">
        <v>246.2</v>
      </c>
      <c r="F335" s="34">
        <f t="shared" si="81"/>
        <v>498.6</v>
      </c>
      <c r="G335" s="34">
        <f t="shared" si="82"/>
        <v>409.5</v>
      </c>
      <c r="H335" s="33">
        <f t="shared" si="83"/>
        <v>21.75824175824177</v>
      </c>
    </row>
    <row r="336" spans="1:8" x14ac:dyDescent="0.25">
      <c r="A336" s="10">
        <f t="shared" si="80"/>
        <v>41186</v>
      </c>
      <c r="B336">
        <v>201.1</v>
      </c>
      <c r="C336">
        <v>160.30000000000001</v>
      </c>
      <c r="D336">
        <v>348.6</v>
      </c>
      <c r="E336">
        <v>249.3</v>
      </c>
      <c r="F336" s="34">
        <f t="shared" si="81"/>
        <v>549.70000000000005</v>
      </c>
      <c r="G336" s="34">
        <f t="shared" si="82"/>
        <v>409.6</v>
      </c>
      <c r="H336" s="33">
        <f t="shared" si="83"/>
        <v>34.2041015625</v>
      </c>
    </row>
    <row r="337" spans="1:8" x14ac:dyDescent="0.25">
      <c r="A337" s="10">
        <f t="shared" si="80"/>
        <v>41193</v>
      </c>
      <c r="B337">
        <v>202.1</v>
      </c>
      <c r="C337">
        <v>147.4</v>
      </c>
      <c r="D337">
        <v>348.6</v>
      </c>
      <c r="E337">
        <v>307.10000000000002</v>
      </c>
      <c r="F337" s="34">
        <f t="shared" si="81"/>
        <v>550.70000000000005</v>
      </c>
      <c r="G337" s="34">
        <f t="shared" si="82"/>
        <v>454.5</v>
      </c>
      <c r="H337" s="33">
        <f t="shared" si="83"/>
        <v>21.166116611661167</v>
      </c>
    </row>
    <row r="338" spans="1:8" x14ac:dyDescent="0.25">
      <c r="A338" s="10">
        <f t="shared" si="80"/>
        <v>41200</v>
      </c>
      <c r="B338">
        <v>153.5</v>
      </c>
      <c r="C338">
        <v>146</v>
      </c>
      <c r="D338">
        <v>398.2</v>
      </c>
      <c r="E338">
        <v>308.60000000000002</v>
      </c>
      <c r="F338" s="34">
        <f t="shared" si="81"/>
        <v>551.70000000000005</v>
      </c>
      <c r="G338" s="34">
        <f t="shared" si="82"/>
        <v>454.6</v>
      </c>
      <c r="H338" s="33">
        <f t="shared" si="83"/>
        <v>21.359436867575887</v>
      </c>
    </row>
    <row r="339" spans="1:8" x14ac:dyDescent="0.25">
      <c r="A339" s="10">
        <f t="shared" si="80"/>
        <v>41207</v>
      </c>
      <c r="B339">
        <v>211</v>
      </c>
      <c r="C339">
        <v>189.4</v>
      </c>
      <c r="D339">
        <v>442.8</v>
      </c>
      <c r="E339">
        <v>309.10000000000002</v>
      </c>
      <c r="F339" s="34">
        <f t="shared" si="81"/>
        <v>653.79999999999995</v>
      </c>
      <c r="G339" s="34">
        <f t="shared" si="82"/>
        <v>498.5</v>
      </c>
      <c r="H339" s="33">
        <f t="shared" si="83"/>
        <v>31.153460381143418</v>
      </c>
    </row>
    <row r="340" spans="1:8" x14ac:dyDescent="0.25">
      <c r="A340" s="10">
        <f t="shared" si="80"/>
        <v>41214</v>
      </c>
      <c r="B340">
        <v>155.80000000000001</v>
      </c>
      <c r="C340">
        <v>175.8</v>
      </c>
      <c r="D340">
        <v>500.8</v>
      </c>
      <c r="E340">
        <v>322.7</v>
      </c>
      <c r="F340" s="34">
        <f t="shared" si="81"/>
        <v>656.6</v>
      </c>
      <c r="G340" s="34">
        <f t="shared" si="82"/>
        <v>498.5</v>
      </c>
      <c r="H340" s="33">
        <f t="shared" si="83"/>
        <v>31.715145436308934</v>
      </c>
    </row>
    <row r="341" spans="1:8" x14ac:dyDescent="0.25">
      <c r="A341" s="10">
        <f t="shared" si="80"/>
        <v>41221</v>
      </c>
      <c r="B341">
        <v>155.80000000000001</v>
      </c>
      <c r="C341">
        <v>103.2</v>
      </c>
      <c r="D341">
        <v>500.8</v>
      </c>
      <c r="E341">
        <v>395.4</v>
      </c>
      <c r="F341" s="34">
        <f t="shared" si="81"/>
        <v>656.6</v>
      </c>
      <c r="G341" s="34">
        <f t="shared" si="82"/>
        <v>498.59999999999997</v>
      </c>
      <c r="H341" s="33">
        <f t="shared" si="83"/>
        <v>31.688728439630975</v>
      </c>
    </row>
    <row r="342" spans="1:8" x14ac:dyDescent="0.25">
      <c r="A342" s="10">
        <f t="shared" si="80"/>
        <v>41228</v>
      </c>
      <c r="B342">
        <v>223.4</v>
      </c>
      <c r="C342">
        <v>90.2</v>
      </c>
      <c r="D342">
        <v>501.6</v>
      </c>
      <c r="E342">
        <v>408.8</v>
      </c>
      <c r="F342" s="34">
        <f t="shared" si="81"/>
        <v>725</v>
      </c>
      <c r="G342" s="34">
        <f t="shared" si="82"/>
        <v>499</v>
      </c>
      <c r="H342" s="33">
        <f t="shared" si="83"/>
        <v>45.290581162324649</v>
      </c>
    </row>
    <row r="343" spans="1:8" x14ac:dyDescent="0.25">
      <c r="A343" s="10">
        <f t="shared" si="80"/>
        <v>41235</v>
      </c>
      <c r="B343">
        <v>223</v>
      </c>
      <c r="C343">
        <v>124.6</v>
      </c>
      <c r="D343">
        <v>501.8</v>
      </c>
      <c r="E343">
        <v>409.7</v>
      </c>
      <c r="F343" s="34">
        <f t="shared" si="81"/>
        <v>724.8</v>
      </c>
      <c r="G343" s="34">
        <f t="shared" si="82"/>
        <v>534.29999999999995</v>
      </c>
      <c r="H343" s="33">
        <f t="shared" si="83"/>
        <v>35.654126895002804</v>
      </c>
    </row>
    <row r="344" spans="1:8" x14ac:dyDescent="0.25">
      <c r="A344" s="10">
        <f t="shared" si="80"/>
        <v>41242</v>
      </c>
      <c r="B344">
        <v>223</v>
      </c>
      <c r="C344">
        <v>81.8</v>
      </c>
      <c r="D344">
        <v>501.8</v>
      </c>
      <c r="E344">
        <v>455.1</v>
      </c>
      <c r="F344" s="34">
        <f t="shared" si="81"/>
        <v>724.8</v>
      </c>
      <c r="G344" s="34">
        <f t="shared" si="82"/>
        <v>536.9</v>
      </c>
      <c r="H344" s="33">
        <f t="shared" si="83"/>
        <v>34.997206183646853</v>
      </c>
    </row>
    <row r="345" spans="1:8" x14ac:dyDescent="0.25">
      <c r="A345" s="10">
        <f t="shared" si="80"/>
        <v>41249</v>
      </c>
      <c r="B345">
        <v>172.4</v>
      </c>
      <c r="C345">
        <v>82</v>
      </c>
      <c r="D345">
        <v>554.9</v>
      </c>
      <c r="E345">
        <v>455.1</v>
      </c>
      <c r="F345" s="34">
        <f t="shared" si="81"/>
        <v>727.3</v>
      </c>
      <c r="G345" s="34">
        <f t="shared" si="82"/>
        <v>537.1</v>
      </c>
      <c r="H345" s="33">
        <f t="shared" si="83"/>
        <v>35.41239992552596</v>
      </c>
    </row>
    <row r="346" spans="1:8" x14ac:dyDescent="0.25">
      <c r="A346" s="10">
        <f t="shared" si="80"/>
        <v>41256</v>
      </c>
      <c r="B346">
        <v>120.4</v>
      </c>
      <c r="C346">
        <v>140.6</v>
      </c>
      <c r="D346">
        <v>609.5</v>
      </c>
      <c r="E346">
        <v>479.4</v>
      </c>
      <c r="F346" s="34">
        <f t="shared" si="81"/>
        <v>729.9</v>
      </c>
      <c r="G346" s="34">
        <f t="shared" si="82"/>
        <v>620</v>
      </c>
      <c r="H346" s="33">
        <f t="shared" si="83"/>
        <v>17.725806451612904</v>
      </c>
    </row>
    <row r="347" spans="1:8" x14ac:dyDescent="0.25">
      <c r="A347" s="10">
        <f t="shared" si="80"/>
        <v>41263</v>
      </c>
      <c r="B347">
        <v>120.4</v>
      </c>
      <c r="C347">
        <v>121.2</v>
      </c>
      <c r="D347">
        <v>609.5</v>
      </c>
      <c r="E347">
        <v>498.4</v>
      </c>
      <c r="F347" s="34">
        <f t="shared" si="81"/>
        <v>729.9</v>
      </c>
      <c r="G347" s="34">
        <f t="shared" si="82"/>
        <v>619.6</v>
      </c>
      <c r="H347" s="33">
        <f t="shared" si="83"/>
        <v>17.801807617817932</v>
      </c>
    </row>
    <row r="348" spans="1:8" x14ac:dyDescent="0.25">
      <c r="A348" s="10">
        <f t="shared" si="80"/>
        <v>41270</v>
      </c>
      <c r="B348">
        <v>196</v>
      </c>
      <c r="C348">
        <v>120.2</v>
      </c>
      <c r="D348">
        <v>609.5</v>
      </c>
      <c r="E348">
        <v>499.3</v>
      </c>
      <c r="F348" s="34">
        <f t="shared" si="81"/>
        <v>805.5</v>
      </c>
      <c r="G348" s="34">
        <f t="shared" si="82"/>
        <v>619.5</v>
      </c>
      <c r="H348" s="33">
        <f t="shared" si="83"/>
        <v>30.024213075060537</v>
      </c>
    </row>
    <row r="349" spans="1:8" x14ac:dyDescent="0.25">
      <c r="A349" s="10">
        <f t="shared" si="80"/>
        <v>41277</v>
      </c>
      <c r="B349">
        <v>196</v>
      </c>
      <c r="C349">
        <v>204</v>
      </c>
      <c r="D349">
        <v>609.5</v>
      </c>
      <c r="E349">
        <v>500.2</v>
      </c>
      <c r="F349" s="34">
        <f t="shared" si="81"/>
        <v>805.5</v>
      </c>
      <c r="G349" s="34">
        <f t="shared" si="82"/>
        <v>704.2</v>
      </c>
      <c r="H349" s="33">
        <f t="shared" si="83"/>
        <v>14.385117864243103</v>
      </c>
    </row>
    <row r="350" spans="1:8" x14ac:dyDescent="0.25">
      <c r="A350" s="10">
        <f t="shared" si="80"/>
        <v>41284</v>
      </c>
      <c r="B350">
        <v>144.5</v>
      </c>
      <c r="C350">
        <v>168.4</v>
      </c>
      <c r="D350">
        <v>664.1</v>
      </c>
      <c r="E350">
        <v>536</v>
      </c>
      <c r="F350" s="34">
        <f t="shared" si="81"/>
        <v>808.6</v>
      </c>
      <c r="G350" s="34">
        <f t="shared" si="82"/>
        <v>704.4</v>
      </c>
      <c r="H350" s="33">
        <f t="shared" si="83"/>
        <v>14.792731402612169</v>
      </c>
    </row>
    <row r="351" spans="1:8" x14ac:dyDescent="0.25">
      <c r="A351" s="10">
        <f t="shared" si="80"/>
        <v>41291</v>
      </c>
      <c r="B351">
        <v>119.1</v>
      </c>
      <c r="C351">
        <v>168.9</v>
      </c>
      <c r="D351">
        <v>690.5</v>
      </c>
      <c r="E351">
        <v>536</v>
      </c>
      <c r="F351" s="34">
        <f t="shared" si="81"/>
        <v>809.6</v>
      </c>
      <c r="G351" s="34">
        <f t="shared" si="82"/>
        <v>704.9</v>
      </c>
      <c r="H351" s="33">
        <f t="shared" si="83"/>
        <v>14.853170662505333</v>
      </c>
    </row>
    <row r="352" spans="1:8" x14ac:dyDescent="0.25">
      <c r="A352" s="10">
        <f t="shared" si="80"/>
        <v>41298</v>
      </c>
      <c r="B352">
        <v>110.5</v>
      </c>
      <c r="C352">
        <v>168.9</v>
      </c>
      <c r="D352">
        <v>699.1</v>
      </c>
      <c r="E352">
        <v>536</v>
      </c>
      <c r="F352" s="34">
        <f t="shared" si="81"/>
        <v>809.6</v>
      </c>
      <c r="G352" s="34">
        <f t="shared" si="82"/>
        <v>704.9</v>
      </c>
      <c r="H352" s="33">
        <f t="shared" si="83"/>
        <v>14.853170662505333</v>
      </c>
    </row>
    <row r="353" spans="1:8" x14ac:dyDescent="0.25">
      <c r="A353" s="10">
        <f t="shared" si="80"/>
        <v>41305</v>
      </c>
      <c r="B353">
        <v>189.2</v>
      </c>
      <c r="C353">
        <v>123.1</v>
      </c>
      <c r="D353">
        <v>699.1</v>
      </c>
      <c r="E353">
        <v>584.79999999999995</v>
      </c>
      <c r="F353" s="34">
        <f t="shared" si="81"/>
        <v>888.3</v>
      </c>
      <c r="G353" s="34">
        <f t="shared" si="82"/>
        <v>707.9</v>
      </c>
      <c r="H353" s="33">
        <f t="shared" si="83"/>
        <v>25.483825399067662</v>
      </c>
    </row>
    <row r="354" spans="1:8" x14ac:dyDescent="0.25">
      <c r="A354" s="10">
        <f t="shared" si="80"/>
        <v>41312</v>
      </c>
      <c r="B354">
        <v>154.69999999999999</v>
      </c>
      <c r="C354">
        <v>123.2</v>
      </c>
      <c r="D354">
        <v>735.4</v>
      </c>
      <c r="E354">
        <v>584.79999999999995</v>
      </c>
      <c r="F354" s="34">
        <f t="shared" si="81"/>
        <v>890.09999999999991</v>
      </c>
      <c r="G354" s="34">
        <f t="shared" si="82"/>
        <v>708</v>
      </c>
      <c r="H354" s="33">
        <f t="shared" si="83"/>
        <v>25.720338983050837</v>
      </c>
    </row>
    <row r="355" spans="1:8" x14ac:dyDescent="0.25">
      <c r="A355" s="10">
        <f t="shared" si="80"/>
        <v>41319</v>
      </c>
      <c r="B355">
        <v>154.69999999999999</v>
      </c>
      <c r="C355">
        <v>145</v>
      </c>
      <c r="D355">
        <v>735.4</v>
      </c>
      <c r="E355">
        <v>623.9</v>
      </c>
      <c r="F355" s="34">
        <f t="shared" si="81"/>
        <v>890.09999999999991</v>
      </c>
      <c r="G355" s="34">
        <f t="shared" si="82"/>
        <v>768.9</v>
      </c>
      <c r="H355" s="33">
        <f t="shared" si="83"/>
        <v>15.762777994537647</v>
      </c>
    </row>
    <row r="356" spans="1:8" x14ac:dyDescent="0.25">
      <c r="A356" s="10">
        <f t="shared" si="80"/>
        <v>41326</v>
      </c>
      <c r="B356">
        <v>154.5</v>
      </c>
      <c r="C356">
        <v>173.2</v>
      </c>
      <c r="D356">
        <v>735.5</v>
      </c>
      <c r="E356">
        <v>624.20000000000005</v>
      </c>
      <c r="F356" s="34">
        <f t="shared" ref="F356:F373" si="84">+B356+D356</f>
        <v>890</v>
      </c>
      <c r="G356" s="34">
        <f t="shared" ref="G356:G373" si="85">+C356+E356</f>
        <v>797.40000000000009</v>
      </c>
      <c r="H356" s="33">
        <f t="shared" si="83"/>
        <v>11.61274140958113</v>
      </c>
    </row>
    <row r="357" spans="1:8" x14ac:dyDescent="0.25">
      <c r="A357" s="10">
        <f t="shared" si="80"/>
        <v>41333</v>
      </c>
      <c r="B357">
        <v>114.1</v>
      </c>
      <c r="C357">
        <v>204.4</v>
      </c>
      <c r="D357">
        <v>778.2</v>
      </c>
      <c r="E357">
        <v>624.20000000000005</v>
      </c>
      <c r="F357" s="34">
        <f t="shared" si="84"/>
        <v>892.30000000000007</v>
      </c>
      <c r="G357" s="34">
        <f t="shared" si="85"/>
        <v>828.6</v>
      </c>
      <c r="H357" s="33">
        <f t="shared" si="83"/>
        <v>7.6876659425537008</v>
      </c>
    </row>
    <row r="358" spans="1:8" x14ac:dyDescent="0.25">
      <c r="A358" s="10">
        <f t="shared" si="80"/>
        <v>41340</v>
      </c>
      <c r="B358">
        <v>172.6</v>
      </c>
      <c r="C358">
        <v>156.4</v>
      </c>
      <c r="D358">
        <v>813.1</v>
      </c>
      <c r="E358">
        <v>673.5</v>
      </c>
      <c r="F358" s="34">
        <f t="shared" si="84"/>
        <v>985.7</v>
      </c>
      <c r="G358" s="34">
        <f t="shared" si="85"/>
        <v>829.9</v>
      </c>
      <c r="H358" s="33">
        <f t="shared" si="83"/>
        <v>18.773346186287519</v>
      </c>
    </row>
    <row r="359" spans="1:8" x14ac:dyDescent="0.25">
      <c r="A359" s="10">
        <f t="shared" si="80"/>
        <v>41347</v>
      </c>
      <c r="B359">
        <v>128.19999999999999</v>
      </c>
      <c r="C359">
        <v>156.4</v>
      </c>
      <c r="D359">
        <v>859.5</v>
      </c>
      <c r="E359">
        <v>673.5</v>
      </c>
      <c r="F359" s="34">
        <f t="shared" si="84"/>
        <v>987.7</v>
      </c>
      <c r="G359" s="34">
        <f t="shared" si="85"/>
        <v>829.9</v>
      </c>
      <c r="H359" s="33">
        <f t="shared" si="83"/>
        <v>19.014339076997231</v>
      </c>
    </row>
    <row r="360" spans="1:8" x14ac:dyDescent="0.25">
      <c r="A360" s="10">
        <f t="shared" si="80"/>
        <v>41354</v>
      </c>
      <c r="B360">
        <v>128.19999999999999</v>
      </c>
      <c r="C360">
        <v>117.8</v>
      </c>
      <c r="D360">
        <v>859.5</v>
      </c>
      <c r="E360">
        <v>710.4</v>
      </c>
      <c r="F360" s="34">
        <f t="shared" si="84"/>
        <v>987.7</v>
      </c>
      <c r="G360" s="34">
        <f t="shared" si="85"/>
        <v>828.19999999999993</v>
      </c>
      <c r="H360" s="33">
        <f t="shared" si="83"/>
        <v>19.258633180391229</v>
      </c>
    </row>
    <row r="361" spans="1:8" x14ac:dyDescent="0.25">
      <c r="A361" s="10">
        <f t="shared" si="80"/>
        <v>41361</v>
      </c>
      <c r="B361">
        <v>128.19999999999999</v>
      </c>
      <c r="C361">
        <v>159.5</v>
      </c>
      <c r="D361">
        <v>859.5</v>
      </c>
      <c r="E361">
        <v>710.6</v>
      </c>
      <c r="F361" s="34">
        <f t="shared" si="84"/>
        <v>987.7</v>
      </c>
      <c r="G361" s="34">
        <f t="shared" si="85"/>
        <v>870.1</v>
      </c>
      <c r="H361" s="33">
        <f t="shared" si="83"/>
        <v>13.515687851971038</v>
      </c>
    </row>
    <row r="362" spans="1:8" x14ac:dyDescent="0.25">
      <c r="A362" s="10">
        <f t="shared" si="80"/>
        <v>41368</v>
      </c>
      <c r="B362">
        <v>128.4</v>
      </c>
      <c r="C362">
        <v>200.6</v>
      </c>
      <c r="D362">
        <v>859.5</v>
      </c>
      <c r="E362">
        <v>711.1</v>
      </c>
      <c r="F362" s="34">
        <f t="shared" si="84"/>
        <v>987.9</v>
      </c>
      <c r="G362" s="34">
        <f t="shared" si="85"/>
        <v>911.7</v>
      </c>
      <c r="H362" s="33"/>
    </row>
    <row r="363" spans="1:8" x14ac:dyDescent="0.25">
      <c r="A363" s="10">
        <f t="shared" si="80"/>
        <v>41375</v>
      </c>
      <c r="B363">
        <v>140.30000000000001</v>
      </c>
      <c r="C363">
        <v>116.6</v>
      </c>
      <c r="D363">
        <v>892.8</v>
      </c>
      <c r="E363">
        <v>799.9</v>
      </c>
      <c r="F363" s="34">
        <f t="shared" si="84"/>
        <v>1033.0999999999999</v>
      </c>
      <c r="G363" s="34">
        <f t="shared" si="85"/>
        <v>916.5</v>
      </c>
      <c r="H363" s="33">
        <v>37.6</v>
      </c>
    </row>
    <row r="364" spans="1:8" x14ac:dyDescent="0.25">
      <c r="A364" s="10">
        <f t="shared" si="80"/>
        <v>41382</v>
      </c>
      <c r="B364">
        <v>120.1</v>
      </c>
      <c r="C364">
        <v>158.19999999999999</v>
      </c>
      <c r="D364">
        <v>913.7</v>
      </c>
      <c r="E364">
        <v>799.9</v>
      </c>
      <c r="F364" s="34">
        <f t="shared" si="84"/>
        <v>1033.8</v>
      </c>
      <c r="G364" s="34">
        <f t="shared" si="85"/>
        <v>958.09999999999991</v>
      </c>
      <c r="H364" s="33">
        <v>37.6</v>
      </c>
    </row>
    <row r="365" spans="1:8" x14ac:dyDescent="0.25">
      <c r="A365" s="10">
        <f t="shared" si="80"/>
        <v>41389</v>
      </c>
      <c r="B365">
        <v>88.2</v>
      </c>
      <c r="C365">
        <v>158.19999999999999</v>
      </c>
      <c r="D365">
        <v>947.2</v>
      </c>
      <c r="E365">
        <v>799.9</v>
      </c>
      <c r="F365" s="34">
        <f t="shared" si="84"/>
        <v>1035.4000000000001</v>
      </c>
      <c r="G365" s="34">
        <f t="shared" si="85"/>
        <v>958.09999999999991</v>
      </c>
      <c r="H365" s="33">
        <v>37.6</v>
      </c>
    </row>
    <row r="366" spans="1:8" x14ac:dyDescent="0.25">
      <c r="A366" s="10">
        <f t="shared" si="80"/>
        <v>41396</v>
      </c>
      <c r="B366">
        <v>57.8</v>
      </c>
      <c r="C366">
        <v>214.7</v>
      </c>
      <c r="D366">
        <v>978.2</v>
      </c>
      <c r="E366">
        <v>799.9</v>
      </c>
      <c r="F366" s="34">
        <f t="shared" si="84"/>
        <v>1036</v>
      </c>
      <c r="G366" s="34">
        <f t="shared" si="85"/>
        <v>1014.5999999999999</v>
      </c>
      <c r="H366" s="33">
        <v>37.6</v>
      </c>
    </row>
    <row r="367" spans="1:8" x14ac:dyDescent="0.25">
      <c r="A367" s="10">
        <f t="shared" si="80"/>
        <v>41403</v>
      </c>
      <c r="B367">
        <v>46.4</v>
      </c>
      <c r="C367">
        <v>214.2</v>
      </c>
      <c r="D367">
        <v>989.7</v>
      </c>
      <c r="E367">
        <v>799.9</v>
      </c>
      <c r="F367" s="34">
        <f t="shared" si="84"/>
        <v>1036.1000000000001</v>
      </c>
      <c r="G367" s="34">
        <f t="shared" si="85"/>
        <v>1014.0999999999999</v>
      </c>
      <c r="H367" s="33">
        <v>37.6</v>
      </c>
    </row>
    <row r="368" spans="1:8" x14ac:dyDescent="0.25">
      <c r="A368" s="10">
        <f t="shared" si="80"/>
        <v>41410</v>
      </c>
      <c r="B368">
        <v>10.4</v>
      </c>
      <c r="C368">
        <v>122.3</v>
      </c>
      <c r="D368">
        <v>1027.2</v>
      </c>
      <c r="E368">
        <v>851.6</v>
      </c>
      <c r="F368" s="34">
        <f t="shared" si="84"/>
        <v>1037.6000000000001</v>
      </c>
      <c r="G368" s="34">
        <f t="shared" si="85"/>
        <v>973.9</v>
      </c>
      <c r="H368" s="33">
        <v>48.8</v>
      </c>
    </row>
    <row r="369" spans="1:8" x14ac:dyDescent="0.25">
      <c r="A369" s="10">
        <f t="shared" si="80"/>
        <v>41417</v>
      </c>
      <c r="B369">
        <v>0</v>
      </c>
      <c r="C369">
        <v>87.8</v>
      </c>
      <c r="D369">
        <v>1038.0999999999999</v>
      </c>
      <c r="E369">
        <v>887.6</v>
      </c>
      <c r="F369" s="34">
        <f t="shared" si="84"/>
        <v>1038.0999999999999</v>
      </c>
      <c r="G369" s="34">
        <f t="shared" si="85"/>
        <v>975.4</v>
      </c>
      <c r="H369" s="33">
        <v>48.8</v>
      </c>
    </row>
    <row r="370" spans="1:8" x14ac:dyDescent="0.25">
      <c r="A370" s="10">
        <f t="shared" si="80"/>
        <v>41424</v>
      </c>
      <c r="B370">
        <v>0</v>
      </c>
      <c r="C370">
        <v>87.5</v>
      </c>
      <c r="D370">
        <v>1038.0999999999999</v>
      </c>
      <c r="E370">
        <v>887.9</v>
      </c>
      <c r="F370" s="34">
        <f t="shared" si="84"/>
        <v>1038.0999999999999</v>
      </c>
      <c r="G370" s="34">
        <f t="shared" si="85"/>
        <v>975.4</v>
      </c>
      <c r="H370" s="33">
        <v>48.8</v>
      </c>
    </row>
    <row r="371" spans="1:8" x14ac:dyDescent="0.25">
      <c r="A371" s="10">
        <f t="shared" si="80"/>
        <v>41431</v>
      </c>
      <c r="B371">
        <v>48.8</v>
      </c>
      <c r="C371">
        <v>235.4</v>
      </c>
      <c r="D371">
        <v>0</v>
      </c>
      <c r="E371">
        <v>0</v>
      </c>
      <c r="F371" s="34">
        <f t="shared" si="84"/>
        <v>48.8</v>
      </c>
      <c r="G371" s="34">
        <f t="shared" si="85"/>
        <v>235.4</v>
      </c>
    </row>
    <row r="372" spans="1:8" x14ac:dyDescent="0.25">
      <c r="A372" s="10">
        <f t="shared" si="80"/>
        <v>41438</v>
      </c>
      <c r="B372">
        <v>11.2</v>
      </c>
      <c r="C372">
        <v>240.8</v>
      </c>
      <c r="D372">
        <v>35.9</v>
      </c>
      <c r="E372">
        <v>43.7</v>
      </c>
      <c r="F372" s="34">
        <f t="shared" si="84"/>
        <v>47.099999999999994</v>
      </c>
      <c r="G372" s="34">
        <f t="shared" si="85"/>
        <v>284.5</v>
      </c>
    </row>
    <row r="373" spans="1:8" x14ac:dyDescent="0.25">
      <c r="A373" s="10">
        <f t="shared" si="80"/>
        <v>41445</v>
      </c>
      <c r="B373">
        <v>96.7</v>
      </c>
      <c r="C373">
        <v>241</v>
      </c>
      <c r="D373">
        <v>63.8</v>
      </c>
      <c r="E373">
        <v>44.3</v>
      </c>
      <c r="F373" s="34">
        <f t="shared" si="84"/>
        <v>160.5</v>
      </c>
      <c r="G373" s="34">
        <f t="shared" si="85"/>
        <v>285.3</v>
      </c>
    </row>
    <row r="374" spans="1:8" x14ac:dyDescent="0.25">
      <c r="A374" s="10">
        <f t="shared" si="80"/>
        <v>41452</v>
      </c>
      <c r="B374">
        <v>96.7</v>
      </c>
      <c r="C374">
        <v>184.3</v>
      </c>
      <c r="D374">
        <v>74.900000000000006</v>
      </c>
      <c r="E374">
        <v>102.5</v>
      </c>
      <c r="F374" s="34">
        <f t="shared" ref="F374:G376" si="86">+B374+D374</f>
        <v>171.60000000000002</v>
      </c>
      <c r="G374" s="34">
        <f t="shared" si="86"/>
        <v>286.8</v>
      </c>
    </row>
    <row r="375" spans="1:8" x14ac:dyDescent="0.25">
      <c r="A375" s="10">
        <f t="shared" si="80"/>
        <v>41459</v>
      </c>
      <c r="B375">
        <v>96.7</v>
      </c>
      <c r="C375">
        <v>191</v>
      </c>
      <c r="D375">
        <v>86.8</v>
      </c>
      <c r="E375">
        <v>102.5</v>
      </c>
      <c r="F375" s="34">
        <f t="shared" si="86"/>
        <v>183.5</v>
      </c>
      <c r="G375" s="34">
        <f t="shared" si="86"/>
        <v>293.5</v>
      </c>
    </row>
    <row r="376" spans="1:8" x14ac:dyDescent="0.25">
      <c r="A376" s="10">
        <f t="shared" si="80"/>
        <v>41466</v>
      </c>
      <c r="B376">
        <v>99.5</v>
      </c>
      <c r="C376">
        <v>142.30000000000001</v>
      </c>
      <c r="D376">
        <v>86.8</v>
      </c>
      <c r="E376">
        <v>153.69999999999999</v>
      </c>
      <c r="F376" s="34">
        <f t="shared" si="86"/>
        <v>186.3</v>
      </c>
      <c r="G376" s="34">
        <f t="shared" si="86"/>
        <v>296</v>
      </c>
    </row>
    <row r="377" spans="1:8" x14ac:dyDescent="0.25">
      <c r="A377" s="10">
        <f t="shared" si="80"/>
        <v>41473</v>
      </c>
      <c r="B377">
        <v>99.5</v>
      </c>
      <c r="C377">
        <v>185.8</v>
      </c>
      <c r="D377">
        <v>116.1</v>
      </c>
      <c r="E377">
        <v>153.80000000000001</v>
      </c>
      <c r="F377" s="34">
        <f t="shared" ref="F377:F388" si="87">+B377+D377</f>
        <v>215.6</v>
      </c>
      <c r="G377" s="34">
        <f t="shared" ref="G377:G388" si="88">+C377+E377</f>
        <v>339.6</v>
      </c>
    </row>
    <row r="378" spans="1:8" x14ac:dyDescent="0.25">
      <c r="A378" s="10">
        <f t="shared" si="80"/>
        <v>41480</v>
      </c>
      <c r="B378">
        <v>88.4</v>
      </c>
      <c r="C378">
        <v>137</v>
      </c>
      <c r="D378">
        <v>127.8</v>
      </c>
      <c r="E378">
        <v>204.9</v>
      </c>
      <c r="F378" s="34">
        <f t="shared" si="87"/>
        <v>216.2</v>
      </c>
      <c r="G378" s="34">
        <f t="shared" si="88"/>
        <v>341.9</v>
      </c>
    </row>
    <row r="379" spans="1:8" x14ac:dyDescent="0.25">
      <c r="A379" s="10">
        <f t="shared" si="80"/>
        <v>41487</v>
      </c>
      <c r="B379">
        <v>137.30000000000001</v>
      </c>
      <c r="C379">
        <v>137</v>
      </c>
      <c r="D379">
        <v>178.5</v>
      </c>
      <c r="E379">
        <v>204.9</v>
      </c>
      <c r="F379" s="34">
        <f t="shared" si="87"/>
        <v>315.8</v>
      </c>
      <c r="G379" s="34">
        <f t="shared" si="88"/>
        <v>341.9</v>
      </c>
    </row>
    <row r="380" spans="1:8" x14ac:dyDescent="0.25">
      <c r="A380" s="10">
        <f t="shared" si="80"/>
        <v>41494</v>
      </c>
      <c r="B380">
        <v>137.30000000000001</v>
      </c>
      <c r="C380">
        <v>89.7</v>
      </c>
      <c r="D380">
        <v>178.5</v>
      </c>
      <c r="E380">
        <v>254.6</v>
      </c>
      <c r="F380" s="34">
        <f t="shared" si="87"/>
        <v>315.8</v>
      </c>
      <c r="G380" s="34">
        <f t="shared" si="88"/>
        <v>344.3</v>
      </c>
    </row>
    <row r="381" spans="1:8" x14ac:dyDescent="0.25">
      <c r="A381" s="10">
        <f t="shared" si="80"/>
        <v>41501</v>
      </c>
      <c r="B381">
        <v>146.1</v>
      </c>
      <c r="C381">
        <v>88.8</v>
      </c>
      <c r="D381">
        <v>217.6</v>
      </c>
      <c r="E381">
        <v>255.5</v>
      </c>
      <c r="F381" s="34">
        <f t="shared" si="87"/>
        <v>363.7</v>
      </c>
      <c r="G381" s="34">
        <f t="shared" si="88"/>
        <v>344.3</v>
      </c>
    </row>
    <row r="382" spans="1:8" x14ac:dyDescent="0.25">
      <c r="A382" s="10">
        <f t="shared" si="80"/>
        <v>41508</v>
      </c>
      <c r="B382">
        <v>148.1</v>
      </c>
      <c r="C382">
        <v>182.4</v>
      </c>
      <c r="D382">
        <v>217.6</v>
      </c>
      <c r="E382">
        <v>256.2</v>
      </c>
      <c r="F382" s="34">
        <f t="shared" si="87"/>
        <v>365.7</v>
      </c>
      <c r="G382" s="34">
        <f t="shared" si="88"/>
        <v>438.6</v>
      </c>
    </row>
    <row r="383" spans="1:8" x14ac:dyDescent="0.25">
      <c r="A383" s="10">
        <f t="shared" si="80"/>
        <v>41515</v>
      </c>
      <c r="B383">
        <v>145.69999999999999</v>
      </c>
      <c r="C383">
        <v>138.1</v>
      </c>
      <c r="D383">
        <v>218</v>
      </c>
      <c r="E383">
        <v>302.60000000000002</v>
      </c>
      <c r="F383" s="34">
        <f t="shared" si="87"/>
        <v>363.7</v>
      </c>
      <c r="G383" s="34">
        <f t="shared" si="88"/>
        <v>440.70000000000005</v>
      </c>
    </row>
    <row r="384" spans="1:8" x14ac:dyDescent="0.25">
      <c r="A384" s="10">
        <f t="shared" si="80"/>
        <v>41522</v>
      </c>
      <c r="B384">
        <v>92.2</v>
      </c>
      <c r="C384">
        <v>193</v>
      </c>
      <c r="D384">
        <v>271.2</v>
      </c>
      <c r="E384">
        <v>302.89999999999998</v>
      </c>
      <c r="F384" s="34">
        <f t="shared" si="87"/>
        <v>363.4</v>
      </c>
      <c r="G384" s="34">
        <f t="shared" si="88"/>
        <v>495.9</v>
      </c>
    </row>
    <row r="385" spans="1:10" x14ac:dyDescent="0.25">
      <c r="A385" s="10">
        <f t="shared" ref="A385:A420" si="89">+A384+7</f>
        <v>41529</v>
      </c>
      <c r="B385">
        <v>92.7</v>
      </c>
      <c r="C385">
        <v>193.5</v>
      </c>
      <c r="D385">
        <v>272.7</v>
      </c>
      <c r="E385">
        <v>302.89999999999998</v>
      </c>
      <c r="F385" s="34">
        <f t="shared" si="87"/>
        <v>365.4</v>
      </c>
      <c r="G385" s="34">
        <f t="shared" si="88"/>
        <v>496.4</v>
      </c>
    </row>
    <row r="386" spans="1:10" x14ac:dyDescent="0.25">
      <c r="A386" s="10">
        <f t="shared" si="89"/>
        <v>41536</v>
      </c>
      <c r="B386">
        <v>92.7</v>
      </c>
      <c r="C386">
        <v>193.5</v>
      </c>
      <c r="D386">
        <v>272.7</v>
      </c>
      <c r="E386">
        <v>302.89999999999998</v>
      </c>
      <c r="F386" s="34">
        <f t="shared" si="87"/>
        <v>365.4</v>
      </c>
      <c r="G386" s="34">
        <f t="shared" si="88"/>
        <v>496.4</v>
      </c>
    </row>
    <row r="387" spans="1:10" ht="15" x14ac:dyDescent="0.25">
      <c r="A387" s="10">
        <f t="shared" si="89"/>
        <v>41543</v>
      </c>
      <c r="B387">
        <v>185.1</v>
      </c>
      <c r="C387">
        <v>150</v>
      </c>
      <c r="D387">
        <v>272.7</v>
      </c>
      <c r="E387">
        <v>348.6</v>
      </c>
      <c r="F387" s="34">
        <f t="shared" si="87"/>
        <v>457.79999999999995</v>
      </c>
      <c r="G387" s="34">
        <f t="shared" si="88"/>
        <v>498.6</v>
      </c>
      <c r="J387" s="75"/>
    </row>
    <row r="388" spans="1:10" x14ac:dyDescent="0.25">
      <c r="A388" s="10">
        <f t="shared" si="89"/>
        <v>41550</v>
      </c>
      <c r="B388">
        <v>185.1</v>
      </c>
      <c r="C388">
        <v>201.1</v>
      </c>
      <c r="D388">
        <v>329.2</v>
      </c>
      <c r="E388">
        <v>348.6</v>
      </c>
      <c r="F388" s="34">
        <f t="shared" si="87"/>
        <v>514.29999999999995</v>
      </c>
      <c r="G388" s="34">
        <f t="shared" si="88"/>
        <v>549.70000000000005</v>
      </c>
    </row>
    <row r="389" spans="1:10" x14ac:dyDescent="0.25">
      <c r="A389" s="10">
        <f t="shared" si="89"/>
        <v>41557</v>
      </c>
    </row>
    <row r="390" spans="1:10" x14ac:dyDescent="0.25">
      <c r="A390" s="10">
        <f t="shared" si="89"/>
        <v>41564</v>
      </c>
    </row>
    <row r="391" spans="1:10" x14ac:dyDescent="0.25">
      <c r="A391" s="10">
        <f t="shared" si="89"/>
        <v>41571</v>
      </c>
      <c r="B391">
        <v>141.19999999999999</v>
      </c>
      <c r="C391">
        <v>211</v>
      </c>
      <c r="D391">
        <v>374.1</v>
      </c>
      <c r="E391">
        <v>442.8</v>
      </c>
      <c r="F391" s="34">
        <f t="shared" ref="F391:G393" si="90">+B391+D391</f>
        <v>515.29999999999995</v>
      </c>
      <c r="G391" s="34">
        <f t="shared" si="90"/>
        <v>653.79999999999995</v>
      </c>
    </row>
    <row r="392" spans="1:10" ht="15" x14ac:dyDescent="0.25">
      <c r="A392" s="10">
        <f t="shared" si="89"/>
        <v>41578</v>
      </c>
      <c r="B392">
        <v>231.2</v>
      </c>
      <c r="C392">
        <v>155.80000000000001</v>
      </c>
      <c r="D392">
        <v>374.1</v>
      </c>
      <c r="E392">
        <v>500.8</v>
      </c>
      <c r="F392" s="34">
        <f t="shared" si="90"/>
        <v>605.29999999999995</v>
      </c>
      <c r="G392" s="34">
        <f t="shared" si="90"/>
        <v>656.6</v>
      </c>
      <c r="J392" s="75"/>
    </row>
    <row r="393" spans="1:10" x14ac:dyDescent="0.25">
      <c r="A393" s="10">
        <f t="shared" si="89"/>
        <v>41585</v>
      </c>
      <c r="B393">
        <v>186.5</v>
      </c>
      <c r="C393">
        <v>155.80000000000001</v>
      </c>
      <c r="D393">
        <v>422.2</v>
      </c>
      <c r="E393">
        <v>500.8</v>
      </c>
      <c r="F393" s="34">
        <f t="shared" si="90"/>
        <v>608.70000000000005</v>
      </c>
      <c r="G393" s="34">
        <f t="shared" si="90"/>
        <v>656.6</v>
      </c>
    </row>
    <row r="394" spans="1:10" x14ac:dyDescent="0.25">
      <c r="A394" s="10">
        <f t="shared" si="89"/>
        <v>41592</v>
      </c>
      <c r="B394">
        <v>186.5</v>
      </c>
      <c r="C394">
        <v>223.4</v>
      </c>
      <c r="D394">
        <v>422.2</v>
      </c>
      <c r="E394">
        <v>501.6</v>
      </c>
      <c r="F394" s="34">
        <f>+B394+D394</f>
        <v>608.70000000000005</v>
      </c>
      <c r="G394" s="34">
        <f>+C394+E394</f>
        <v>725</v>
      </c>
    </row>
    <row r="395" spans="1:10" x14ac:dyDescent="0.25">
      <c r="A395" s="10">
        <f t="shared" si="89"/>
        <v>41599</v>
      </c>
      <c r="B395">
        <v>135.19999999999999</v>
      </c>
      <c r="C395">
        <v>223</v>
      </c>
      <c r="D395">
        <v>474.4</v>
      </c>
      <c r="E395">
        <v>501.8</v>
      </c>
      <c r="F395" s="34">
        <f>+B395+D395</f>
        <v>609.59999999999991</v>
      </c>
      <c r="G395" s="34">
        <f>+C395+E395</f>
        <v>724.8</v>
      </c>
    </row>
    <row r="396" spans="1:10" x14ac:dyDescent="0.25">
      <c r="A396" s="10">
        <f t="shared" si="89"/>
        <v>41606</v>
      </c>
    </row>
    <row r="397" spans="1:10" x14ac:dyDescent="0.25">
      <c r="A397" s="10">
        <f t="shared" si="89"/>
        <v>41613</v>
      </c>
    </row>
    <row r="398" spans="1:10" x14ac:dyDescent="0.25">
      <c r="A398" s="10">
        <f t="shared" si="89"/>
        <v>41620</v>
      </c>
    </row>
    <row r="399" spans="1:10" x14ac:dyDescent="0.25">
      <c r="A399" s="10">
        <f t="shared" si="89"/>
        <v>41627</v>
      </c>
    </row>
    <row r="400" spans="1:10" x14ac:dyDescent="0.25">
      <c r="A400" s="10">
        <f t="shared" si="89"/>
        <v>41634</v>
      </c>
    </row>
    <row r="401" spans="1:1" x14ac:dyDescent="0.25">
      <c r="A401" s="10">
        <f t="shared" si="89"/>
        <v>41641</v>
      </c>
    </row>
    <row r="402" spans="1:1" x14ac:dyDescent="0.25">
      <c r="A402" s="10">
        <f t="shared" si="89"/>
        <v>41648</v>
      </c>
    </row>
    <row r="403" spans="1:1" x14ac:dyDescent="0.25">
      <c r="A403" s="10">
        <f t="shared" si="89"/>
        <v>41655</v>
      </c>
    </row>
    <row r="404" spans="1:1" x14ac:dyDescent="0.25">
      <c r="A404" s="10">
        <f t="shared" si="89"/>
        <v>41662</v>
      </c>
    </row>
    <row r="405" spans="1:1" x14ac:dyDescent="0.25">
      <c r="A405" s="10">
        <f t="shared" si="89"/>
        <v>41669</v>
      </c>
    </row>
    <row r="406" spans="1:1" x14ac:dyDescent="0.25">
      <c r="A406" s="10">
        <f t="shared" si="89"/>
        <v>41676</v>
      </c>
    </row>
    <row r="407" spans="1:1" x14ac:dyDescent="0.25">
      <c r="A407" s="10">
        <f t="shared" si="89"/>
        <v>41683</v>
      </c>
    </row>
    <row r="408" spans="1:1" x14ac:dyDescent="0.25">
      <c r="A408" s="10">
        <f t="shared" si="89"/>
        <v>41690</v>
      </c>
    </row>
    <row r="409" spans="1:1" x14ac:dyDescent="0.25">
      <c r="A409" s="10">
        <f t="shared" si="89"/>
        <v>41697</v>
      </c>
    </row>
    <row r="410" spans="1:1" x14ac:dyDescent="0.25">
      <c r="A410" s="10">
        <f t="shared" si="89"/>
        <v>41704</v>
      </c>
    </row>
    <row r="411" spans="1:1" x14ac:dyDescent="0.25">
      <c r="A411" s="10">
        <f t="shared" si="89"/>
        <v>41711</v>
      </c>
    </row>
    <row r="412" spans="1:1" x14ac:dyDescent="0.25">
      <c r="A412" s="10">
        <f t="shared" si="89"/>
        <v>41718</v>
      </c>
    </row>
    <row r="413" spans="1:1" x14ac:dyDescent="0.25">
      <c r="A413" s="10">
        <f t="shared" si="89"/>
        <v>41725</v>
      </c>
    </row>
    <row r="414" spans="1:1" x14ac:dyDescent="0.25">
      <c r="A414" s="10">
        <f t="shared" si="89"/>
        <v>41732</v>
      </c>
    </row>
    <row r="415" spans="1:1" x14ac:dyDescent="0.25">
      <c r="A415" s="10">
        <f t="shared" si="89"/>
        <v>41739</v>
      </c>
    </row>
    <row r="416" spans="1:1" x14ac:dyDescent="0.25">
      <c r="A416" s="10">
        <f t="shared" si="89"/>
        <v>41746</v>
      </c>
    </row>
    <row r="417" spans="1:1" x14ac:dyDescent="0.25">
      <c r="A417" s="10">
        <f t="shared" si="89"/>
        <v>41753</v>
      </c>
    </row>
    <row r="418" spans="1:1" x14ac:dyDescent="0.25">
      <c r="A418" s="10">
        <f t="shared" si="89"/>
        <v>41760</v>
      </c>
    </row>
    <row r="419" spans="1:1" x14ac:dyDescent="0.25">
      <c r="A419" s="10">
        <f t="shared" si="89"/>
        <v>41767</v>
      </c>
    </row>
    <row r="420" spans="1:1" x14ac:dyDescent="0.25">
      <c r="A420" s="10">
        <f t="shared" si="89"/>
        <v>41774</v>
      </c>
    </row>
    <row r="65525" spans="1:8" x14ac:dyDescent="0.25">
      <c r="A65525" s="10"/>
      <c r="F65525" s="34"/>
      <c r="G65525" s="34"/>
      <c r="H65525" s="33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J65525"/>
  <sheetViews>
    <sheetView topLeftCell="A372" workbookViewId="0">
      <selection activeCell="C400" sqref="C400"/>
    </sheetView>
  </sheetViews>
  <sheetFormatPr defaultRowHeight="13.2" x14ac:dyDescent="0.25"/>
  <cols>
    <col min="1" max="1" width="14.33203125" customWidth="1"/>
  </cols>
  <sheetData>
    <row r="1" spans="1:9" x14ac:dyDescent="0.25">
      <c r="A1" s="43" t="s">
        <v>30</v>
      </c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16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  <c r="I2" s="19">
        <v>2006</v>
      </c>
    </row>
    <row r="3" spans="1:9" x14ac:dyDescent="0.25">
      <c r="A3" s="10">
        <v>38855</v>
      </c>
      <c r="B3">
        <v>115</v>
      </c>
      <c r="C3">
        <v>55</v>
      </c>
      <c r="D3">
        <v>1123.5999999999999</v>
      </c>
      <c r="E3">
        <v>1896.6</v>
      </c>
      <c r="F3" s="11">
        <f>+B3+D3</f>
        <v>1238.5999999999999</v>
      </c>
      <c r="G3" s="12">
        <f>+C3+E3</f>
        <v>1951.6</v>
      </c>
      <c r="H3" s="15">
        <f>+(F3/G3-1)*100</f>
        <v>-36.534125845460139</v>
      </c>
      <c r="I3">
        <v>0</v>
      </c>
    </row>
    <row r="4" spans="1:9" x14ac:dyDescent="0.25">
      <c r="A4" s="10">
        <f>Japan!A4</f>
        <v>38862</v>
      </c>
      <c r="B4">
        <v>115</v>
      </c>
      <c r="C4">
        <v>55</v>
      </c>
      <c r="D4">
        <v>1123.5999999999999</v>
      </c>
      <c r="E4">
        <v>1896.6</v>
      </c>
      <c r="F4" s="11">
        <f>+B4+D4</f>
        <v>1238.5999999999999</v>
      </c>
      <c r="G4" s="12">
        <f>+C4+E4</f>
        <v>1951.6</v>
      </c>
      <c r="H4" s="15">
        <f>+(F4/G4-1)*100</f>
        <v>-36.534125845460139</v>
      </c>
      <c r="I4">
        <v>0</v>
      </c>
    </row>
    <row r="5" spans="1:9" x14ac:dyDescent="0.25">
      <c r="A5" s="10">
        <f>+A4+7</f>
        <v>38869</v>
      </c>
      <c r="B5">
        <v>55</v>
      </c>
      <c r="C5">
        <v>165</v>
      </c>
      <c r="D5">
        <v>0</v>
      </c>
      <c r="E5">
        <v>0</v>
      </c>
      <c r="F5">
        <f t="shared" ref="F5:G7" si="0">+B5+D5</f>
        <v>55</v>
      </c>
      <c r="G5">
        <f t="shared" si="0"/>
        <v>165</v>
      </c>
      <c r="H5" s="14">
        <f t="shared" ref="H5:H30" si="1">+(F5/G5-1)*100</f>
        <v>-66.666666666666671</v>
      </c>
    </row>
    <row r="6" spans="1:9" x14ac:dyDescent="0.25">
      <c r="A6" s="10">
        <f t="shared" ref="A6:A252" si="2">+A5+7</f>
        <v>38876</v>
      </c>
      <c r="B6">
        <v>55</v>
      </c>
      <c r="C6">
        <v>110</v>
      </c>
      <c r="D6">
        <v>0</v>
      </c>
      <c r="E6">
        <v>57.8</v>
      </c>
      <c r="F6">
        <f t="shared" si="0"/>
        <v>55</v>
      </c>
      <c r="G6">
        <f t="shared" si="0"/>
        <v>167.8</v>
      </c>
      <c r="H6" s="14">
        <f t="shared" si="1"/>
        <v>-67.222884386174016</v>
      </c>
    </row>
    <row r="7" spans="1:9" x14ac:dyDescent="0.25">
      <c r="A7" s="10">
        <f t="shared" si="2"/>
        <v>38883</v>
      </c>
      <c r="B7">
        <v>55</v>
      </c>
      <c r="C7">
        <v>110</v>
      </c>
      <c r="D7">
        <v>0</v>
      </c>
      <c r="E7">
        <v>57.8</v>
      </c>
      <c r="F7">
        <f t="shared" si="0"/>
        <v>55</v>
      </c>
      <c r="G7">
        <f t="shared" si="0"/>
        <v>167.8</v>
      </c>
      <c r="H7" s="14">
        <f t="shared" si="1"/>
        <v>-67.222884386174016</v>
      </c>
    </row>
    <row r="8" spans="1:9" x14ac:dyDescent="0.25">
      <c r="A8" s="10">
        <f t="shared" si="2"/>
        <v>38890</v>
      </c>
      <c r="B8">
        <v>175</v>
      </c>
      <c r="C8">
        <v>110</v>
      </c>
      <c r="D8">
        <v>57.8</v>
      </c>
      <c r="E8">
        <v>57.8</v>
      </c>
      <c r="F8">
        <f t="shared" ref="F8:G30" si="3">+B8+D8</f>
        <v>232.8</v>
      </c>
      <c r="G8">
        <f t="shared" si="3"/>
        <v>167.8</v>
      </c>
      <c r="H8" s="14">
        <f t="shared" si="1"/>
        <v>38.736591179976166</v>
      </c>
    </row>
    <row r="9" spans="1:9" x14ac:dyDescent="0.25">
      <c r="A9" s="10">
        <f t="shared" si="2"/>
        <v>38897</v>
      </c>
      <c r="B9">
        <v>175</v>
      </c>
      <c r="C9">
        <v>170</v>
      </c>
      <c r="D9">
        <v>57.8</v>
      </c>
      <c r="E9">
        <v>57.8</v>
      </c>
      <c r="F9" s="19">
        <f t="shared" si="3"/>
        <v>232.8</v>
      </c>
      <c r="G9" s="19">
        <f t="shared" si="3"/>
        <v>227.8</v>
      </c>
      <c r="H9" s="24">
        <f t="shared" si="1"/>
        <v>2.1949078138718159</v>
      </c>
    </row>
    <row r="10" spans="1:9" x14ac:dyDescent="0.25">
      <c r="A10" s="10">
        <f t="shared" si="2"/>
        <v>38904</v>
      </c>
      <c r="B10">
        <v>175</v>
      </c>
      <c r="C10">
        <v>170</v>
      </c>
      <c r="D10">
        <v>57.8</v>
      </c>
      <c r="E10">
        <v>57.8</v>
      </c>
      <c r="F10" s="19">
        <f t="shared" si="3"/>
        <v>232.8</v>
      </c>
      <c r="G10" s="19">
        <f t="shared" si="3"/>
        <v>227.8</v>
      </c>
      <c r="H10" s="24">
        <f t="shared" si="1"/>
        <v>2.1949078138718159</v>
      </c>
    </row>
    <row r="11" spans="1:9" x14ac:dyDescent="0.25">
      <c r="A11" s="10">
        <f t="shared" si="2"/>
        <v>38911</v>
      </c>
      <c r="B11">
        <v>175</v>
      </c>
      <c r="C11">
        <v>170</v>
      </c>
      <c r="D11">
        <v>57.8</v>
      </c>
      <c r="E11">
        <v>57.8</v>
      </c>
      <c r="F11" s="19">
        <f t="shared" si="3"/>
        <v>232.8</v>
      </c>
      <c r="G11" s="19">
        <f t="shared" si="3"/>
        <v>227.8</v>
      </c>
      <c r="H11" s="24">
        <f t="shared" si="1"/>
        <v>2.1949078138718159</v>
      </c>
    </row>
    <row r="12" spans="1:9" x14ac:dyDescent="0.25">
      <c r="A12" s="10">
        <f t="shared" si="2"/>
        <v>38918</v>
      </c>
      <c r="B12">
        <v>235</v>
      </c>
      <c r="C12">
        <v>230</v>
      </c>
      <c r="D12">
        <v>116.3</v>
      </c>
      <c r="E12">
        <v>115.5</v>
      </c>
      <c r="F12" s="19">
        <f t="shared" si="3"/>
        <v>351.3</v>
      </c>
      <c r="G12" s="19">
        <f t="shared" si="3"/>
        <v>345.5</v>
      </c>
      <c r="H12" s="24">
        <f t="shared" si="1"/>
        <v>1.6787264833574511</v>
      </c>
    </row>
    <row r="13" spans="1:9" x14ac:dyDescent="0.25">
      <c r="A13" s="10">
        <f t="shared" si="2"/>
        <v>38925</v>
      </c>
      <c r="B13">
        <v>350</v>
      </c>
      <c r="C13">
        <v>170</v>
      </c>
      <c r="D13">
        <v>116.3</v>
      </c>
      <c r="E13">
        <v>178.5</v>
      </c>
      <c r="F13" s="19">
        <f t="shared" si="3"/>
        <v>466.3</v>
      </c>
      <c r="G13" s="19">
        <f t="shared" si="3"/>
        <v>348.5</v>
      </c>
      <c r="H13" s="24">
        <f t="shared" si="1"/>
        <v>33.802008608321387</v>
      </c>
    </row>
    <row r="14" spans="1:9" x14ac:dyDescent="0.25">
      <c r="A14" s="10">
        <f t="shared" si="2"/>
        <v>38932</v>
      </c>
      <c r="B14">
        <v>235</v>
      </c>
      <c r="C14">
        <v>175</v>
      </c>
      <c r="D14">
        <v>230.5</v>
      </c>
      <c r="E14">
        <v>236.3</v>
      </c>
      <c r="F14" s="19">
        <f t="shared" si="3"/>
        <v>465.5</v>
      </c>
      <c r="G14" s="19">
        <f t="shared" si="3"/>
        <v>411.3</v>
      </c>
      <c r="H14" s="24">
        <f t="shared" si="1"/>
        <v>13.177729151470952</v>
      </c>
    </row>
    <row r="15" spans="1:9" x14ac:dyDescent="0.25">
      <c r="A15" s="10">
        <f t="shared" si="2"/>
        <v>38939</v>
      </c>
      <c r="B15">
        <v>235</v>
      </c>
      <c r="C15">
        <v>175</v>
      </c>
      <c r="D15">
        <v>230.5</v>
      </c>
      <c r="E15">
        <v>236.3</v>
      </c>
      <c r="F15" s="19">
        <f t="shared" si="3"/>
        <v>465.5</v>
      </c>
      <c r="G15" s="19">
        <f t="shared" si="3"/>
        <v>411.3</v>
      </c>
      <c r="H15" s="24">
        <f t="shared" si="1"/>
        <v>13.177729151470952</v>
      </c>
    </row>
    <row r="16" spans="1:9" x14ac:dyDescent="0.25">
      <c r="A16" s="10">
        <f t="shared" si="2"/>
        <v>38946</v>
      </c>
      <c r="B16">
        <v>290</v>
      </c>
      <c r="C16">
        <v>290</v>
      </c>
      <c r="D16">
        <v>290.5</v>
      </c>
      <c r="E16">
        <v>236.3</v>
      </c>
      <c r="F16" s="19">
        <f t="shared" si="3"/>
        <v>580.5</v>
      </c>
      <c r="G16" s="19">
        <f t="shared" si="3"/>
        <v>526.29999999999995</v>
      </c>
      <c r="H16" s="24">
        <f t="shared" si="1"/>
        <v>10.298308949268487</v>
      </c>
    </row>
    <row r="17" spans="1:8" x14ac:dyDescent="0.25">
      <c r="A17" s="10">
        <f t="shared" si="2"/>
        <v>38953</v>
      </c>
      <c r="B17">
        <v>170</v>
      </c>
      <c r="C17">
        <v>175</v>
      </c>
      <c r="D17">
        <v>407.4</v>
      </c>
      <c r="E17">
        <v>353.4</v>
      </c>
      <c r="F17" s="19">
        <f t="shared" si="3"/>
        <v>577.4</v>
      </c>
      <c r="G17" s="19">
        <f t="shared" si="3"/>
        <v>528.4</v>
      </c>
      <c r="H17" s="24">
        <f t="shared" si="1"/>
        <v>9.2732778198334707</v>
      </c>
    </row>
    <row r="18" spans="1:8" x14ac:dyDescent="0.25">
      <c r="A18" s="10">
        <f t="shared" si="2"/>
        <v>38960</v>
      </c>
      <c r="B18">
        <v>118.7</v>
      </c>
      <c r="C18">
        <v>295</v>
      </c>
      <c r="D18">
        <v>458.8</v>
      </c>
      <c r="E18">
        <v>353.4</v>
      </c>
      <c r="F18" s="19">
        <f t="shared" si="3"/>
        <v>577.5</v>
      </c>
      <c r="G18" s="19">
        <f t="shared" si="3"/>
        <v>648.4</v>
      </c>
      <c r="H18" s="24">
        <f t="shared" si="1"/>
        <v>-10.934608266502154</v>
      </c>
    </row>
    <row r="19" spans="1:8" x14ac:dyDescent="0.25">
      <c r="A19" s="10">
        <f t="shared" si="2"/>
        <v>38967</v>
      </c>
      <c r="B19">
        <v>178.6</v>
      </c>
      <c r="C19">
        <v>295</v>
      </c>
      <c r="D19">
        <v>458.8</v>
      </c>
      <c r="E19">
        <v>353.4</v>
      </c>
      <c r="F19" s="19">
        <f t="shared" si="3"/>
        <v>637.4</v>
      </c>
      <c r="G19" s="19">
        <f t="shared" si="3"/>
        <v>648.4</v>
      </c>
      <c r="H19" s="24">
        <f t="shared" si="1"/>
        <v>-1.6964836520666271</v>
      </c>
    </row>
    <row r="20" spans="1:8" x14ac:dyDescent="0.25">
      <c r="A20" s="10">
        <f t="shared" si="2"/>
        <v>38974</v>
      </c>
      <c r="B20">
        <v>353.6</v>
      </c>
      <c r="C20">
        <v>295</v>
      </c>
      <c r="D20">
        <v>458.8</v>
      </c>
      <c r="E20">
        <v>353.4</v>
      </c>
      <c r="F20" s="19">
        <f t="shared" si="3"/>
        <v>812.40000000000009</v>
      </c>
      <c r="G20" s="19">
        <f t="shared" si="3"/>
        <v>648.4</v>
      </c>
      <c r="H20" s="24">
        <f t="shared" si="1"/>
        <v>25.293028994447898</v>
      </c>
    </row>
    <row r="21" spans="1:8" x14ac:dyDescent="0.25">
      <c r="A21" s="10">
        <f t="shared" si="2"/>
        <v>38981</v>
      </c>
      <c r="B21">
        <v>340.9</v>
      </c>
      <c r="C21">
        <v>295</v>
      </c>
      <c r="D21">
        <v>516</v>
      </c>
      <c r="E21">
        <v>353.4</v>
      </c>
      <c r="F21" s="19">
        <f t="shared" si="3"/>
        <v>856.9</v>
      </c>
      <c r="G21" s="19">
        <f t="shared" si="3"/>
        <v>648.4</v>
      </c>
      <c r="H21" s="24">
        <f t="shared" si="1"/>
        <v>32.156076495990128</v>
      </c>
    </row>
    <row r="22" spans="1:8" x14ac:dyDescent="0.25">
      <c r="A22" s="10">
        <f t="shared" si="2"/>
        <v>38988</v>
      </c>
      <c r="B22">
        <v>280.89999999999998</v>
      </c>
      <c r="C22">
        <v>235</v>
      </c>
      <c r="D22">
        <v>574.4</v>
      </c>
      <c r="E22">
        <v>410.9</v>
      </c>
      <c r="F22" s="19">
        <f t="shared" si="3"/>
        <v>855.3</v>
      </c>
      <c r="G22" s="19">
        <f t="shared" si="3"/>
        <v>645.9</v>
      </c>
      <c r="H22" s="24">
        <f t="shared" si="1"/>
        <v>32.419879238272188</v>
      </c>
    </row>
    <row r="23" spans="1:8" x14ac:dyDescent="0.25">
      <c r="A23" s="10">
        <f t="shared" si="2"/>
        <v>38995</v>
      </c>
      <c r="B23">
        <v>340.9</v>
      </c>
      <c r="C23">
        <v>175</v>
      </c>
      <c r="D23">
        <v>574.4</v>
      </c>
      <c r="E23">
        <v>525.70000000000005</v>
      </c>
      <c r="F23" s="19">
        <f t="shared" si="3"/>
        <v>915.3</v>
      </c>
      <c r="G23" s="19">
        <f t="shared" si="3"/>
        <v>700.7</v>
      </c>
      <c r="H23" s="24">
        <f t="shared" si="1"/>
        <v>30.626516340802045</v>
      </c>
    </row>
    <row r="24" spans="1:8" x14ac:dyDescent="0.25">
      <c r="A24" s="10">
        <f t="shared" si="2"/>
        <v>39002</v>
      </c>
      <c r="B24">
        <v>236.4</v>
      </c>
      <c r="C24">
        <v>175</v>
      </c>
      <c r="D24">
        <v>682.8</v>
      </c>
      <c r="E24">
        <v>525.70000000000005</v>
      </c>
      <c r="F24" s="19">
        <f t="shared" si="3"/>
        <v>919.19999999999993</v>
      </c>
      <c r="G24" s="19">
        <f t="shared" si="3"/>
        <v>700.7</v>
      </c>
      <c r="H24" s="24">
        <f t="shared" si="1"/>
        <v>31.18310261167403</v>
      </c>
    </row>
    <row r="25" spans="1:8" x14ac:dyDescent="0.25">
      <c r="A25" s="10">
        <f t="shared" si="2"/>
        <v>39009</v>
      </c>
      <c r="B25">
        <v>120</v>
      </c>
      <c r="C25">
        <v>175</v>
      </c>
      <c r="D25">
        <v>860.3</v>
      </c>
      <c r="E25">
        <v>641.5</v>
      </c>
      <c r="F25" s="19">
        <f t="shared" si="3"/>
        <v>980.3</v>
      </c>
      <c r="G25" s="19">
        <f t="shared" si="3"/>
        <v>816.5</v>
      </c>
      <c r="H25" s="24">
        <f t="shared" si="1"/>
        <v>20.061236987140219</v>
      </c>
    </row>
    <row r="26" spans="1:8" x14ac:dyDescent="0.25">
      <c r="A26" s="10">
        <f t="shared" si="2"/>
        <v>39016</v>
      </c>
      <c r="B26">
        <v>180</v>
      </c>
      <c r="C26">
        <v>175</v>
      </c>
      <c r="D26">
        <v>860.3</v>
      </c>
      <c r="E26">
        <v>641.5</v>
      </c>
      <c r="F26" s="19">
        <f t="shared" si="3"/>
        <v>1040.3</v>
      </c>
      <c r="G26" s="19">
        <f t="shared" si="3"/>
        <v>816.5</v>
      </c>
      <c r="H26" s="24">
        <f t="shared" si="1"/>
        <v>27.409675443968151</v>
      </c>
    </row>
    <row r="27" spans="1:8" x14ac:dyDescent="0.25">
      <c r="A27" s="10">
        <f t="shared" si="2"/>
        <v>39023</v>
      </c>
      <c r="B27">
        <v>300</v>
      </c>
      <c r="C27">
        <v>235</v>
      </c>
      <c r="D27">
        <v>860.3</v>
      </c>
      <c r="E27">
        <v>641.5</v>
      </c>
      <c r="F27" s="19">
        <f t="shared" si="3"/>
        <v>1160.3</v>
      </c>
      <c r="G27" s="19">
        <f t="shared" si="3"/>
        <v>876.5</v>
      </c>
      <c r="H27" s="24">
        <f t="shared" si="1"/>
        <v>32.378779235596113</v>
      </c>
    </row>
    <row r="28" spans="1:8" x14ac:dyDescent="0.25">
      <c r="A28" s="10">
        <f t="shared" si="2"/>
        <v>39030</v>
      </c>
      <c r="B28">
        <v>300</v>
      </c>
      <c r="C28">
        <v>235</v>
      </c>
      <c r="D28">
        <v>860.3</v>
      </c>
      <c r="E28">
        <v>641.5</v>
      </c>
      <c r="F28" s="19">
        <f t="shared" si="3"/>
        <v>1160.3</v>
      </c>
      <c r="G28" s="19">
        <f t="shared" si="3"/>
        <v>876.5</v>
      </c>
      <c r="H28" s="24">
        <f t="shared" si="1"/>
        <v>32.378779235596113</v>
      </c>
    </row>
    <row r="29" spans="1:8" x14ac:dyDescent="0.25">
      <c r="A29" s="10">
        <f t="shared" si="2"/>
        <v>39037</v>
      </c>
      <c r="B29">
        <v>240</v>
      </c>
      <c r="C29">
        <v>235</v>
      </c>
      <c r="D29">
        <v>981</v>
      </c>
      <c r="E29">
        <v>641.5</v>
      </c>
      <c r="F29" s="19">
        <f t="shared" si="3"/>
        <v>1221</v>
      </c>
      <c r="G29" s="19">
        <f t="shared" si="3"/>
        <v>876.5</v>
      </c>
      <c r="H29" s="24">
        <f t="shared" si="1"/>
        <v>39.304050199657723</v>
      </c>
    </row>
    <row r="30" spans="1:8" x14ac:dyDescent="0.25">
      <c r="A30" s="10">
        <f t="shared" si="2"/>
        <v>39044</v>
      </c>
      <c r="B30">
        <v>240</v>
      </c>
      <c r="C30">
        <v>180</v>
      </c>
      <c r="D30">
        <v>1040</v>
      </c>
      <c r="E30">
        <v>699.2</v>
      </c>
      <c r="F30" s="19">
        <f t="shared" si="3"/>
        <v>1280</v>
      </c>
      <c r="G30" s="19">
        <f t="shared" si="3"/>
        <v>879.2</v>
      </c>
      <c r="H30" s="24">
        <f t="shared" si="1"/>
        <v>45.58689717925386</v>
      </c>
    </row>
    <row r="31" spans="1:8" x14ac:dyDescent="0.25">
      <c r="A31" s="10">
        <f t="shared" si="2"/>
        <v>39051</v>
      </c>
      <c r="B31">
        <v>240</v>
      </c>
      <c r="C31">
        <v>180</v>
      </c>
      <c r="D31">
        <v>1040</v>
      </c>
      <c r="E31">
        <v>699.2</v>
      </c>
      <c r="F31" s="19">
        <f t="shared" ref="F31:G36" si="4">+B31+D31</f>
        <v>1280</v>
      </c>
      <c r="G31" s="19">
        <f t="shared" si="4"/>
        <v>879.2</v>
      </c>
      <c r="H31" s="24">
        <f t="shared" ref="H31:H36" si="5">+(F31/G31-1)*100</f>
        <v>45.58689717925386</v>
      </c>
    </row>
    <row r="32" spans="1:8" x14ac:dyDescent="0.25">
      <c r="A32" s="10">
        <f t="shared" si="2"/>
        <v>39058</v>
      </c>
      <c r="B32">
        <v>300</v>
      </c>
      <c r="C32">
        <v>175</v>
      </c>
      <c r="D32">
        <v>1040</v>
      </c>
      <c r="E32">
        <v>815.7</v>
      </c>
      <c r="F32" s="19">
        <f t="shared" si="4"/>
        <v>1340</v>
      </c>
      <c r="G32" s="19">
        <f t="shared" si="4"/>
        <v>990.7</v>
      </c>
      <c r="H32" s="24">
        <f t="shared" si="5"/>
        <v>35.257898455637424</v>
      </c>
    </row>
    <row r="33" spans="1:8" x14ac:dyDescent="0.25">
      <c r="A33" s="10">
        <f t="shared" si="2"/>
        <v>39065</v>
      </c>
      <c r="B33">
        <v>355</v>
      </c>
      <c r="C33">
        <v>175</v>
      </c>
      <c r="D33">
        <v>1099</v>
      </c>
      <c r="E33">
        <v>815.7</v>
      </c>
      <c r="F33" s="19">
        <f t="shared" si="4"/>
        <v>1454</v>
      </c>
      <c r="G33" s="19">
        <f t="shared" si="4"/>
        <v>990.7</v>
      </c>
      <c r="H33" s="24">
        <f t="shared" si="5"/>
        <v>46.764913697385694</v>
      </c>
    </row>
    <row r="34" spans="1:8" x14ac:dyDescent="0.25">
      <c r="A34" s="10">
        <f t="shared" si="2"/>
        <v>39072</v>
      </c>
      <c r="B34">
        <v>355</v>
      </c>
      <c r="C34">
        <v>175</v>
      </c>
      <c r="D34">
        <v>1099</v>
      </c>
      <c r="E34">
        <v>815.7</v>
      </c>
      <c r="F34" s="19">
        <f t="shared" si="4"/>
        <v>1454</v>
      </c>
      <c r="G34" s="19">
        <f t="shared" si="4"/>
        <v>990.7</v>
      </c>
      <c r="H34" s="24">
        <f t="shared" si="5"/>
        <v>46.764913697385694</v>
      </c>
    </row>
    <row r="35" spans="1:8" x14ac:dyDescent="0.25">
      <c r="A35" s="10">
        <f t="shared" si="2"/>
        <v>39079</v>
      </c>
      <c r="B35">
        <v>235</v>
      </c>
      <c r="C35">
        <v>115</v>
      </c>
      <c r="D35">
        <v>1214.8</v>
      </c>
      <c r="E35">
        <v>874.7</v>
      </c>
      <c r="F35" s="19">
        <f t="shared" si="4"/>
        <v>1449.8</v>
      </c>
      <c r="G35" s="19">
        <f t="shared" si="4"/>
        <v>989.7</v>
      </c>
      <c r="H35" s="24">
        <f t="shared" si="5"/>
        <v>46.488835000505205</v>
      </c>
    </row>
    <row r="36" spans="1:8" x14ac:dyDescent="0.25">
      <c r="A36" s="10">
        <f t="shared" si="2"/>
        <v>39086</v>
      </c>
      <c r="B36">
        <v>295</v>
      </c>
      <c r="C36">
        <v>115</v>
      </c>
      <c r="D36">
        <v>1214.8</v>
      </c>
      <c r="E36">
        <v>874.7</v>
      </c>
      <c r="F36" s="19">
        <f t="shared" si="4"/>
        <v>1509.8</v>
      </c>
      <c r="G36" s="19">
        <f t="shared" si="4"/>
        <v>989.7</v>
      </c>
      <c r="H36" s="24">
        <f t="shared" si="5"/>
        <v>52.551278165100527</v>
      </c>
    </row>
    <row r="37" spans="1:8" x14ac:dyDescent="0.25">
      <c r="A37" s="10">
        <f t="shared" si="2"/>
        <v>39093</v>
      </c>
      <c r="B37">
        <v>295</v>
      </c>
      <c r="C37">
        <v>115</v>
      </c>
      <c r="D37">
        <v>1214.8</v>
      </c>
      <c r="E37">
        <v>874.7</v>
      </c>
      <c r="F37" s="19">
        <f t="shared" ref="F37:G39" si="6">+B37+D37</f>
        <v>1509.8</v>
      </c>
      <c r="G37" s="19">
        <f t="shared" si="6"/>
        <v>989.7</v>
      </c>
      <c r="H37" s="24">
        <f t="shared" ref="H37:H42" si="7">+(F37/G37-1)*100</f>
        <v>52.551278165100527</v>
      </c>
    </row>
    <row r="38" spans="1:8" x14ac:dyDescent="0.25">
      <c r="A38" s="10">
        <f t="shared" si="2"/>
        <v>39100</v>
      </c>
      <c r="B38">
        <v>175</v>
      </c>
      <c r="C38">
        <v>60</v>
      </c>
      <c r="D38">
        <v>1335.2</v>
      </c>
      <c r="E38">
        <v>931.5</v>
      </c>
      <c r="F38" s="19">
        <f t="shared" si="6"/>
        <v>1510.2</v>
      </c>
      <c r="G38" s="19">
        <f t="shared" si="6"/>
        <v>991.5</v>
      </c>
      <c r="H38" s="24">
        <f t="shared" si="7"/>
        <v>52.314674735249625</v>
      </c>
    </row>
    <row r="39" spans="1:8" x14ac:dyDescent="0.25">
      <c r="A39" s="10">
        <f t="shared" si="2"/>
        <v>39107</v>
      </c>
      <c r="B39">
        <v>170</v>
      </c>
      <c r="C39">
        <v>69</v>
      </c>
      <c r="D39">
        <v>1393.2</v>
      </c>
      <c r="E39">
        <v>931.5</v>
      </c>
      <c r="F39" s="19">
        <f t="shared" si="6"/>
        <v>1563.2</v>
      </c>
      <c r="G39" s="19">
        <f t="shared" si="6"/>
        <v>1000.5</v>
      </c>
      <c r="H39" s="24">
        <f t="shared" si="7"/>
        <v>56.241879060469778</v>
      </c>
    </row>
    <row r="40" spans="1:8" x14ac:dyDescent="0.25">
      <c r="A40" s="10">
        <f t="shared" si="2"/>
        <v>39114</v>
      </c>
      <c r="B40">
        <v>235</v>
      </c>
      <c r="C40">
        <v>69</v>
      </c>
      <c r="D40">
        <v>1450.8</v>
      </c>
      <c r="E40">
        <v>931.5</v>
      </c>
      <c r="F40" s="19">
        <f t="shared" ref="F40:G42" si="8">+B40+D40</f>
        <v>1685.8</v>
      </c>
      <c r="G40" s="19">
        <f t="shared" si="8"/>
        <v>1000.5</v>
      </c>
      <c r="H40" s="24">
        <f t="shared" si="7"/>
        <v>68.495752123938033</v>
      </c>
    </row>
    <row r="41" spans="1:8" x14ac:dyDescent="0.25">
      <c r="A41" s="10">
        <f t="shared" si="2"/>
        <v>39121</v>
      </c>
      <c r="B41">
        <v>230</v>
      </c>
      <c r="C41">
        <v>9</v>
      </c>
      <c r="D41">
        <v>1509.8</v>
      </c>
      <c r="E41">
        <v>989.3</v>
      </c>
      <c r="F41" s="19">
        <f t="shared" si="8"/>
        <v>1739.8</v>
      </c>
      <c r="G41" s="19">
        <f t="shared" si="8"/>
        <v>998.3</v>
      </c>
      <c r="H41" s="24">
        <f t="shared" si="7"/>
        <v>74.276269658419309</v>
      </c>
    </row>
    <row r="42" spans="1:8" x14ac:dyDescent="0.25">
      <c r="A42" s="10">
        <f t="shared" si="2"/>
        <v>39128</v>
      </c>
      <c r="B42">
        <v>230</v>
      </c>
      <c r="C42">
        <v>60</v>
      </c>
      <c r="D42">
        <v>1572.8</v>
      </c>
      <c r="E42">
        <v>998</v>
      </c>
      <c r="F42" s="19">
        <f t="shared" si="8"/>
        <v>1802.8</v>
      </c>
      <c r="G42" s="19">
        <f t="shared" si="8"/>
        <v>1058</v>
      </c>
      <c r="H42" s="24">
        <f t="shared" si="7"/>
        <v>70.396975425330808</v>
      </c>
    </row>
    <row r="43" spans="1:8" x14ac:dyDescent="0.25">
      <c r="A43" s="10">
        <f t="shared" si="2"/>
        <v>39135</v>
      </c>
      <c r="B43">
        <v>230</v>
      </c>
      <c r="C43">
        <v>60</v>
      </c>
      <c r="D43">
        <v>1602.8</v>
      </c>
      <c r="E43">
        <v>998</v>
      </c>
      <c r="F43" s="19">
        <f t="shared" ref="F43:G45" si="9">+B43+D43</f>
        <v>1832.8</v>
      </c>
      <c r="G43" s="19">
        <f t="shared" si="9"/>
        <v>1058</v>
      </c>
      <c r="H43" s="24">
        <f t="shared" ref="H43:H48" si="10">+(F43/G43-1)*100</f>
        <v>73.232514177693758</v>
      </c>
    </row>
    <row r="44" spans="1:8" x14ac:dyDescent="0.25">
      <c r="A44" s="10">
        <f t="shared" si="2"/>
        <v>39142</v>
      </c>
      <c r="B44">
        <v>230</v>
      </c>
      <c r="C44">
        <v>60</v>
      </c>
      <c r="D44">
        <v>1602.8</v>
      </c>
      <c r="E44">
        <v>998</v>
      </c>
      <c r="F44" s="19">
        <f t="shared" si="9"/>
        <v>1832.8</v>
      </c>
      <c r="G44" s="19">
        <f t="shared" si="9"/>
        <v>1058</v>
      </c>
      <c r="H44" s="24">
        <f t="shared" si="10"/>
        <v>73.232514177693758</v>
      </c>
    </row>
    <row r="45" spans="1:8" x14ac:dyDescent="0.25">
      <c r="A45" s="10">
        <f t="shared" si="2"/>
        <v>39149</v>
      </c>
      <c r="B45">
        <v>110</v>
      </c>
      <c r="C45">
        <v>60</v>
      </c>
      <c r="D45">
        <v>1728.8</v>
      </c>
      <c r="E45">
        <v>998</v>
      </c>
      <c r="F45" s="19">
        <f t="shared" si="9"/>
        <v>1838.8</v>
      </c>
      <c r="G45" s="19">
        <f t="shared" si="9"/>
        <v>1058</v>
      </c>
      <c r="H45" s="24">
        <f t="shared" si="10"/>
        <v>73.799621928166331</v>
      </c>
    </row>
    <row r="46" spans="1:8" x14ac:dyDescent="0.25">
      <c r="A46" s="10">
        <f t="shared" si="2"/>
        <v>39156</v>
      </c>
      <c r="B46">
        <v>55</v>
      </c>
      <c r="C46">
        <v>129</v>
      </c>
      <c r="D46">
        <v>1786.5</v>
      </c>
      <c r="E46">
        <v>998</v>
      </c>
      <c r="F46" s="19">
        <f t="shared" ref="F46:G48" si="11">+B46+D46</f>
        <v>1841.5</v>
      </c>
      <c r="G46" s="19">
        <f t="shared" si="11"/>
        <v>1127</v>
      </c>
      <c r="H46" s="24">
        <f t="shared" si="10"/>
        <v>63.398402839396638</v>
      </c>
    </row>
    <row r="47" spans="1:8" x14ac:dyDescent="0.25">
      <c r="A47" s="10">
        <f t="shared" si="2"/>
        <v>39163</v>
      </c>
      <c r="B47">
        <v>178</v>
      </c>
      <c r="C47">
        <v>69</v>
      </c>
      <c r="D47">
        <v>1786.5</v>
      </c>
      <c r="E47">
        <v>1055.9000000000001</v>
      </c>
      <c r="F47" s="19">
        <f t="shared" si="11"/>
        <v>1964.5</v>
      </c>
      <c r="G47" s="19">
        <f t="shared" si="11"/>
        <v>1124.9000000000001</v>
      </c>
      <c r="H47" s="24">
        <f t="shared" si="10"/>
        <v>74.637745577384649</v>
      </c>
    </row>
    <row r="48" spans="1:8" x14ac:dyDescent="0.25">
      <c r="A48" s="10">
        <f t="shared" si="2"/>
        <v>39170</v>
      </c>
      <c r="B48">
        <v>131</v>
      </c>
      <c r="C48">
        <v>69</v>
      </c>
      <c r="D48">
        <v>1844.3</v>
      </c>
      <c r="E48">
        <v>1055.9000000000001</v>
      </c>
      <c r="F48" s="19">
        <f t="shared" si="11"/>
        <v>1975.3</v>
      </c>
      <c r="G48" s="19">
        <f t="shared" si="11"/>
        <v>1124.9000000000001</v>
      </c>
      <c r="H48" s="24">
        <f t="shared" si="10"/>
        <v>75.597830918303828</v>
      </c>
    </row>
    <row r="49" spans="1:9" x14ac:dyDescent="0.25">
      <c r="A49" s="10">
        <f t="shared" si="2"/>
        <v>39177</v>
      </c>
      <c r="B49">
        <v>178</v>
      </c>
      <c r="C49">
        <v>69</v>
      </c>
      <c r="D49">
        <v>1852.7</v>
      </c>
      <c r="E49">
        <v>1055.9000000000001</v>
      </c>
      <c r="F49" s="19">
        <f t="shared" ref="F49:G51" si="12">+B49+D49</f>
        <v>2030.7</v>
      </c>
      <c r="G49" s="19">
        <f t="shared" si="12"/>
        <v>1124.9000000000001</v>
      </c>
      <c r="H49" s="24">
        <f t="shared" ref="H49:H54" si="13">+(F49/G49-1)*100</f>
        <v>80.52271313005599</v>
      </c>
    </row>
    <row r="50" spans="1:9" x14ac:dyDescent="0.25">
      <c r="A50" s="10">
        <f t="shared" si="2"/>
        <v>39184</v>
      </c>
      <c r="B50">
        <v>115</v>
      </c>
      <c r="C50">
        <v>69</v>
      </c>
      <c r="D50">
        <v>1919.5</v>
      </c>
      <c r="E50">
        <v>1055.9000000000001</v>
      </c>
      <c r="F50" s="19">
        <f t="shared" si="12"/>
        <v>2034.5</v>
      </c>
      <c r="G50" s="19">
        <f t="shared" si="12"/>
        <v>1124.9000000000001</v>
      </c>
      <c r="H50" s="24">
        <f t="shared" si="13"/>
        <v>80.860520935194231</v>
      </c>
    </row>
    <row r="51" spans="1:9" x14ac:dyDescent="0.25">
      <c r="A51" s="10">
        <f t="shared" si="2"/>
        <v>39191</v>
      </c>
      <c r="B51">
        <v>115</v>
      </c>
      <c r="C51">
        <v>60</v>
      </c>
      <c r="D51">
        <v>1919.5</v>
      </c>
      <c r="E51">
        <v>1064.5999999999999</v>
      </c>
      <c r="F51" s="19">
        <f t="shared" si="12"/>
        <v>2034.5</v>
      </c>
      <c r="G51" s="19">
        <f t="shared" si="12"/>
        <v>1124.5999999999999</v>
      </c>
      <c r="H51" s="24">
        <f t="shared" si="13"/>
        <v>80.908767561799763</v>
      </c>
    </row>
    <row r="52" spans="1:9" x14ac:dyDescent="0.25">
      <c r="A52" s="10">
        <f t="shared" si="2"/>
        <v>39198</v>
      </c>
      <c r="B52">
        <v>115</v>
      </c>
      <c r="C52">
        <v>115</v>
      </c>
      <c r="D52">
        <v>1919.5</v>
      </c>
      <c r="E52">
        <v>1123.5999999999999</v>
      </c>
      <c r="F52" s="19">
        <f t="shared" ref="F52:G54" si="14">+B52+D52</f>
        <v>2034.5</v>
      </c>
      <c r="G52" s="19">
        <f t="shared" si="14"/>
        <v>1238.5999999999999</v>
      </c>
      <c r="H52" s="24">
        <f t="shared" si="13"/>
        <v>64.258033263361881</v>
      </c>
    </row>
    <row r="53" spans="1:9" x14ac:dyDescent="0.25">
      <c r="A53" s="10">
        <f t="shared" si="2"/>
        <v>39205</v>
      </c>
      <c r="B53">
        <v>115</v>
      </c>
      <c r="C53">
        <v>115</v>
      </c>
      <c r="D53">
        <v>1919.5</v>
      </c>
      <c r="E53">
        <v>1123.5999999999999</v>
      </c>
      <c r="F53" s="19">
        <f t="shared" si="14"/>
        <v>2034.5</v>
      </c>
      <c r="G53" s="19">
        <f t="shared" si="14"/>
        <v>1238.5999999999999</v>
      </c>
      <c r="H53" s="24">
        <f t="shared" si="13"/>
        <v>64.258033263361881</v>
      </c>
    </row>
    <row r="54" spans="1:9" x14ac:dyDescent="0.25">
      <c r="A54" s="10">
        <f t="shared" si="2"/>
        <v>39212</v>
      </c>
      <c r="B54">
        <v>110</v>
      </c>
      <c r="C54">
        <v>115</v>
      </c>
      <c r="D54">
        <v>1981.5</v>
      </c>
      <c r="E54">
        <v>1123.5999999999999</v>
      </c>
      <c r="F54" s="19">
        <f t="shared" si="14"/>
        <v>2091.5</v>
      </c>
      <c r="G54" s="19">
        <f t="shared" si="14"/>
        <v>1238.5999999999999</v>
      </c>
      <c r="H54" s="24">
        <f t="shared" si="13"/>
        <v>68.86000322945263</v>
      </c>
    </row>
    <row r="55" spans="1:9" x14ac:dyDescent="0.25">
      <c r="A55" s="10">
        <f t="shared" si="2"/>
        <v>39219</v>
      </c>
      <c r="B55">
        <v>110</v>
      </c>
      <c r="C55">
        <v>115</v>
      </c>
      <c r="D55">
        <v>1981.5</v>
      </c>
      <c r="E55">
        <v>1123.5999999999999</v>
      </c>
      <c r="F55" s="19">
        <f>+B55+D55</f>
        <v>2091.5</v>
      </c>
      <c r="G55" s="19">
        <f>+C55+E55</f>
        <v>1238.5999999999999</v>
      </c>
      <c r="H55" s="24">
        <f t="shared" ref="H55:H60" si="15">+(F55/G55-1)*100</f>
        <v>68.86000322945263</v>
      </c>
      <c r="I55">
        <v>60</v>
      </c>
    </row>
    <row r="56" spans="1:9" x14ac:dyDescent="0.25">
      <c r="A56" s="10">
        <f t="shared" si="2"/>
        <v>39226</v>
      </c>
      <c r="B56">
        <v>110</v>
      </c>
      <c r="C56">
        <v>115</v>
      </c>
      <c r="D56">
        <v>1981.5</v>
      </c>
      <c r="E56">
        <v>1123.5999999999999</v>
      </c>
      <c r="F56" s="19">
        <f>+B56+D56</f>
        <v>2091.5</v>
      </c>
      <c r="G56" s="19">
        <f>+C56+E56</f>
        <v>1238.5999999999999</v>
      </c>
      <c r="H56" s="24">
        <f t="shared" si="15"/>
        <v>68.86000322945263</v>
      </c>
      <c r="I56">
        <v>120</v>
      </c>
    </row>
    <row r="57" spans="1:9" x14ac:dyDescent="0.25">
      <c r="A57" s="10">
        <f t="shared" si="2"/>
        <v>39233</v>
      </c>
      <c r="F57">
        <v>1981.5</v>
      </c>
      <c r="G57">
        <v>1181.3</v>
      </c>
      <c r="H57" s="24">
        <f t="shared" si="15"/>
        <v>67.738931685431297</v>
      </c>
    </row>
    <row r="58" spans="1:9" x14ac:dyDescent="0.25">
      <c r="A58" s="10">
        <f t="shared" si="2"/>
        <v>39240</v>
      </c>
      <c r="B58">
        <v>275</v>
      </c>
      <c r="C58">
        <v>55</v>
      </c>
      <c r="D58">
        <v>0</v>
      </c>
      <c r="E58">
        <v>0</v>
      </c>
      <c r="F58" s="19">
        <f t="shared" ref="F58:G60" si="16">+B58+D58</f>
        <v>275</v>
      </c>
      <c r="G58" s="19">
        <f t="shared" si="16"/>
        <v>55</v>
      </c>
      <c r="H58" s="24">
        <f t="shared" si="15"/>
        <v>400</v>
      </c>
    </row>
    <row r="59" spans="1:9" x14ac:dyDescent="0.25">
      <c r="A59" s="10">
        <f t="shared" si="2"/>
        <v>39247</v>
      </c>
      <c r="B59">
        <v>275</v>
      </c>
      <c r="C59">
        <v>55</v>
      </c>
      <c r="D59">
        <v>0</v>
      </c>
      <c r="E59">
        <v>0</v>
      </c>
      <c r="F59" s="19">
        <f t="shared" si="16"/>
        <v>275</v>
      </c>
      <c r="G59" s="19">
        <f t="shared" si="16"/>
        <v>55</v>
      </c>
      <c r="H59" s="24">
        <f t="shared" si="15"/>
        <v>400</v>
      </c>
    </row>
    <row r="60" spans="1:9" x14ac:dyDescent="0.25">
      <c r="A60" s="10">
        <f t="shared" si="2"/>
        <v>39254</v>
      </c>
      <c r="B60">
        <v>100</v>
      </c>
      <c r="C60">
        <v>175</v>
      </c>
      <c r="D60">
        <v>186.8</v>
      </c>
      <c r="E60">
        <v>57.8</v>
      </c>
      <c r="F60" s="19">
        <f t="shared" si="16"/>
        <v>286.8</v>
      </c>
      <c r="G60" s="19">
        <f t="shared" si="16"/>
        <v>232.8</v>
      </c>
      <c r="H60" s="24">
        <f t="shared" si="15"/>
        <v>23.1958762886598</v>
      </c>
    </row>
    <row r="61" spans="1:9" x14ac:dyDescent="0.25">
      <c r="A61" s="10">
        <f t="shared" si="2"/>
        <v>39261</v>
      </c>
      <c r="B61">
        <v>110</v>
      </c>
      <c r="C61">
        <v>175</v>
      </c>
      <c r="D61">
        <v>295.2</v>
      </c>
      <c r="E61">
        <v>57.8</v>
      </c>
      <c r="F61" s="19">
        <f t="shared" ref="F61:G63" si="17">+B61+D61</f>
        <v>405.2</v>
      </c>
      <c r="G61" s="19">
        <f t="shared" si="17"/>
        <v>232.8</v>
      </c>
      <c r="H61" s="24">
        <f t="shared" ref="H61:H66" si="18">+(F61/G61-1)*100</f>
        <v>74.054982817869401</v>
      </c>
    </row>
    <row r="62" spans="1:9" x14ac:dyDescent="0.25">
      <c r="A62" s="10">
        <f t="shared" si="2"/>
        <v>39268</v>
      </c>
      <c r="B62">
        <v>340</v>
      </c>
      <c r="C62">
        <v>175</v>
      </c>
      <c r="D62">
        <v>355.3</v>
      </c>
      <c r="E62">
        <v>57.8</v>
      </c>
      <c r="F62" s="19">
        <f t="shared" si="17"/>
        <v>695.3</v>
      </c>
      <c r="G62" s="19">
        <f t="shared" si="17"/>
        <v>232.8</v>
      </c>
      <c r="H62" s="24">
        <f t="shared" si="18"/>
        <v>198.66838487972504</v>
      </c>
    </row>
    <row r="63" spans="1:9" x14ac:dyDescent="0.25">
      <c r="A63" s="10">
        <f t="shared" si="2"/>
        <v>39275</v>
      </c>
      <c r="B63">
        <v>457</v>
      </c>
      <c r="C63">
        <v>175</v>
      </c>
      <c r="D63">
        <v>355.3</v>
      </c>
      <c r="E63">
        <v>57.8</v>
      </c>
      <c r="F63" s="19">
        <f t="shared" si="17"/>
        <v>812.3</v>
      </c>
      <c r="G63" s="19">
        <f t="shared" si="17"/>
        <v>232.8</v>
      </c>
      <c r="H63" s="24">
        <f t="shared" si="18"/>
        <v>248.92611683848793</v>
      </c>
    </row>
    <row r="64" spans="1:9" x14ac:dyDescent="0.25">
      <c r="A64" s="10">
        <f t="shared" si="2"/>
        <v>39282</v>
      </c>
      <c r="B64">
        <v>826</v>
      </c>
      <c r="C64">
        <v>235</v>
      </c>
      <c r="D64">
        <v>414.5</v>
      </c>
      <c r="E64">
        <v>116.3</v>
      </c>
      <c r="F64" s="19">
        <f t="shared" ref="F64:G66" si="19">+B64+D64</f>
        <v>1240.5</v>
      </c>
      <c r="G64" s="19">
        <f t="shared" si="19"/>
        <v>351.3</v>
      </c>
      <c r="H64" s="24">
        <f t="shared" si="18"/>
        <v>253.11699402220324</v>
      </c>
    </row>
    <row r="65" spans="1:8" x14ac:dyDescent="0.25">
      <c r="A65" s="10">
        <f t="shared" si="2"/>
        <v>39289</v>
      </c>
      <c r="B65">
        <v>892</v>
      </c>
      <c r="C65">
        <v>350</v>
      </c>
      <c r="D65">
        <v>414.5</v>
      </c>
      <c r="E65">
        <v>116.3</v>
      </c>
      <c r="F65" s="19">
        <f t="shared" si="19"/>
        <v>1306.5</v>
      </c>
      <c r="G65" s="19">
        <f t="shared" si="19"/>
        <v>466.3</v>
      </c>
      <c r="H65" s="24">
        <f t="shared" si="18"/>
        <v>180.18443062406178</v>
      </c>
    </row>
    <row r="66" spans="1:8" x14ac:dyDescent="0.25">
      <c r="A66" s="10">
        <f t="shared" si="2"/>
        <v>39296</v>
      </c>
      <c r="B66">
        <v>785</v>
      </c>
      <c r="C66">
        <v>235</v>
      </c>
      <c r="D66">
        <v>535.29999999999995</v>
      </c>
      <c r="E66">
        <v>230.5</v>
      </c>
      <c r="F66" s="19">
        <f t="shared" si="19"/>
        <v>1320.3</v>
      </c>
      <c r="G66" s="19">
        <f t="shared" si="19"/>
        <v>465.5</v>
      </c>
      <c r="H66" s="24">
        <f t="shared" si="18"/>
        <v>183.63050483351233</v>
      </c>
    </row>
    <row r="67" spans="1:8" x14ac:dyDescent="0.25">
      <c r="A67" s="10">
        <f t="shared" si="2"/>
        <v>39303</v>
      </c>
      <c r="B67">
        <v>825</v>
      </c>
      <c r="C67">
        <v>235</v>
      </c>
      <c r="D67">
        <v>669.9</v>
      </c>
      <c r="E67">
        <v>230.5</v>
      </c>
      <c r="F67" s="19">
        <f t="shared" ref="F67:G69" si="20">+B67+D67</f>
        <v>1494.9</v>
      </c>
      <c r="G67" s="19">
        <f t="shared" si="20"/>
        <v>465.5</v>
      </c>
      <c r="H67" s="24">
        <f t="shared" ref="H67:H72" si="21">+(F67/G67-1)*100</f>
        <v>221.13856068743289</v>
      </c>
    </row>
    <row r="68" spans="1:8" x14ac:dyDescent="0.25">
      <c r="A68" s="10">
        <f t="shared" si="2"/>
        <v>39310</v>
      </c>
      <c r="B68">
        <v>915</v>
      </c>
      <c r="C68">
        <v>290</v>
      </c>
      <c r="D68">
        <v>855.5</v>
      </c>
      <c r="E68">
        <v>290</v>
      </c>
      <c r="F68" s="19">
        <f t="shared" si="20"/>
        <v>1770.5</v>
      </c>
      <c r="G68" s="19">
        <f t="shared" si="20"/>
        <v>580</v>
      </c>
      <c r="H68" s="24">
        <f t="shared" si="21"/>
        <v>205.25862068965517</v>
      </c>
    </row>
    <row r="69" spans="1:8" x14ac:dyDescent="0.25">
      <c r="A69" s="10">
        <f t="shared" si="2"/>
        <v>39317</v>
      </c>
      <c r="B69">
        <v>1055.5</v>
      </c>
      <c r="C69">
        <v>170</v>
      </c>
      <c r="D69">
        <v>1037</v>
      </c>
      <c r="E69">
        <v>407.4</v>
      </c>
      <c r="F69" s="19">
        <f t="shared" si="20"/>
        <v>2092.5</v>
      </c>
      <c r="G69" s="19">
        <f t="shared" si="20"/>
        <v>577.4</v>
      </c>
      <c r="H69" s="24">
        <f t="shared" si="21"/>
        <v>262.40041565639075</v>
      </c>
    </row>
    <row r="70" spans="1:8" x14ac:dyDescent="0.25">
      <c r="A70" s="10">
        <f t="shared" si="2"/>
        <v>39324</v>
      </c>
      <c r="B70">
        <v>815.5</v>
      </c>
      <c r="C70">
        <v>118.7</v>
      </c>
      <c r="D70">
        <v>1343.6</v>
      </c>
      <c r="E70">
        <v>458.8</v>
      </c>
      <c r="F70" s="19">
        <f t="shared" ref="F70:G72" si="22">+B70+D70</f>
        <v>2159.1</v>
      </c>
      <c r="G70" s="19">
        <f t="shared" si="22"/>
        <v>577.5</v>
      </c>
      <c r="H70" s="24">
        <f t="shared" si="21"/>
        <v>273.87012987012986</v>
      </c>
    </row>
    <row r="71" spans="1:8" x14ac:dyDescent="0.25">
      <c r="A71" s="36">
        <f t="shared" si="2"/>
        <v>39331</v>
      </c>
      <c r="B71">
        <v>1157.5</v>
      </c>
      <c r="C71">
        <v>178.6</v>
      </c>
      <c r="D71">
        <v>1415.4</v>
      </c>
      <c r="E71">
        <v>458.8</v>
      </c>
      <c r="F71" s="19">
        <f t="shared" si="22"/>
        <v>2572.9</v>
      </c>
      <c r="G71" s="19">
        <f t="shared" si="22"/>
        <v>637.4</v>
      </c>
      <c r="H71" s="24">
        <f t="shared" si="21"/>
        <v>303.6554753686853</v>
      </c>
    </row>
    <row r="72" spans="1:8" x14ac:dyDescent="0.25">
      <c r="A72" s="10">
        <f t="shared" si="2"/>
        <v>39338</v>
      </c>
      <c r="B72">
        <v>1097.5</v>
      </c>
      <c r="C72">
        <v>353.6</v>
      </c>
      <c r="D72">
        <v>1540.7</v>
      </c>
      <c r="E72">
        <v>458.8</v>
      </c>
      <c r="F72" s="19">
        <f t="shared" si="22"/>
        <v>2638.2</v>
      </c>
      <c r="G72" s="19">
        <f t="shared" si="22"/>
        <v>812.40000000000009</v>
      </c>
      <c r="H72" s="24">
        <f t="shared" si="21"/>
        <v>224.74150664697189</v>
      </c>
    </row>
    <row r="73" spans="1:8" x14ac:dyDescent="0.25">
      <c r="A73" s="10">
        <f t="shared" si="2"/>
        <v>39345</v>
      </c>
      <c r="B73">
        <v>917.5</v>
      </c>
      <c r="C73">
        <v>340.9</v>
      </c>
      <c r="D73">
        <v>1718.5</v>
      </c>
      <c r="E73">
        <v>516</v>
      </c>
      <c r="F73" s="19">
        <f t="shared" ref="F73:G75" si="23">+B73+D73</f>
        <v>2636</v>
      </c>
      <c r="G73" s="19">
        <f t="shared" si="23"/>
        <v>856.9</v>
      </c>
      <c r="H73" s="24">
        <f t="shared" ref="H73:H78" si="24">+(F73/G73-1)*100</f>
        <v>207.62049247286734</v>
      </c>
    </row>
    <row r="74" spans="1:8" x14ac:dyDescent="0.25">
      <c r="A74" s="10">
        <f t="shared" si="2"/>
        <v>39352</v>
      </c>
      <c r="B74">
        <v>802.5</v>
      </c>
      <c r="C74">
        <v>280.89999999999998</v>
      </c>
      <c r="D74">
        <v>1841.5</v>
      </c>
      <c r="E74">
        <v>574.4</v>
      </c>
      <c r="F74" s="19">
        <f t="shared" si="23"/>
        <v>2644</v>
      </c>
      <c r="G74" s="19">
        <f t="shared" si="23"/>
        <v>855.3</v>
      </c>
      <c r="H74" s="24">
        <f t="shared" si="24"/>
        <v>209.13129895942944</v>
      </c>
    </row>
    <row r="75" spans="1:8" x14ac:dyDescent="0.25">
      <c r="A75" s="10">
        <f t="shared" si="2"/>
        <v>39359</v>
      </c>
      <c r="B75">
        <v>682.5</v>
      </c>
      <c r="C75">
        <v>340.9</v>
      </c>
      <c r="D75">
        <v>1970.5</v>
      </c>
      <c r="E75">
        <v>574.4</v>
      </c>
      <c r="F75" s="19">
        <f t="shared" si="23"/>
        <v>2653</v>
      </c>
      <c r="G75" s="19">
        <f t="shared" si="23"/>
        <v>915.3</v>
      </c>
      <c r="H75" s="24">
        <f t="shared" si="24"/>
        <v>189.85032229869989</v>
      </c>
    </row>
    <row r="76" spans="1:8" x14ac:dyDescent="0.25">
      <c r="A76" s="10">
        <f t="shared" si="2"/>
        <v>39366</v>
      </c>
      <c r="B76">
        <v>569.5</v>
      </c>
      <c r="C76">
        <v>236.4</v>
      </c>
      <c r="D76">
        <v>2119.6</v>
      </c>
      <c r="E76">
        <v>682.8</v>
      </c>
      <c r="F76" s="19">
        <f t="shared" ref="F76:G78" si="25">+B76+D76</f>
        <v>2689.1</v>
      </c>
      <c r="G76" s="19">
        <f t="shared" si="25"/>
        <v>919.19999999999993</v>
      </c>
      <c r="H76" s="24">
        <f t="shared" si="24"/>
        <v>192.54786771105313</v>
      </c>
    </row>
    <row r="77" spans="1:8" x14ac:dyDescent="0.25">
      <c r="A77" s="10">
        <f t="shared" si="2"/>
        <v>39373</v>
      </c>
      <c r="B77">
        <v>514.5</v>
      </c>
      <c r="C77">
        <v>120</v>
      </c>
      <c r="D77">
        <v>2177.4</v>
      </c>
      <c r="E77">
        <v>860.3</v>
      </c>
      <c r="F77" s="19">
        <f t="shared" si="25"/>
        <v>2691.9</v>
      </c>
      <c r="G77" s="19">
        <f t="shared" si="25"/>
        <v>980.3</v>
      </c>
      <c r="H77" s="24">
        <f t="shared" si="24"/>
        <v>174.59961236356222</v>
      </c>
    </row>
    <row r="78" spans="1:8" x14ac:dyDescent="0.25">
      <c r="A78" s="10">
        <f t="shared" si="2"/>
        <v>39380</v>
      </c>
      <c r="B78">
        <v>424.5</v>
      </c>
      <c r="C78">
        <v>180</v>
      </c>
      <c r="D78">
        <v>2240.4</v>
      </c>
      <c r="E78">
        <v>860.3</v>
      </c>
      <c r="F78" s="19">
        <f t="shared" si="25"/>
        <v>2664.9</v>
      </c>
      <c r="G78" s="19">
        <f t="shared" si="25"/>
        <v>1040.3</v>
      </c>
      <c r="H78" s="24">
        <f t="shared" si="24"/>
        <v>156.16649043545135</v>
      </c>
    </row>
    <row r="79" spans="1:8" x14ac:dyDescent="0.25">
      <c r="A79" s="10">
        <f t="shared" si="2"/>
        <v>39387</v>
      </c>
      <c r="B79">
        <v>367.5</v>
      </c>
      <c r="C79">
        <v>300</v>
      </c>
      <c r="D79">
        <v>2240.4</v>
      </c>
      <c r="E79">
        <v>860.3</v>
      </c>
      <c r="F79" s="19">
        <f t="shared" ref="F79:G81" si="26">+B79+D79</f>
        <v>2607.9</v>
      </c>
      <c r="G79" s="19">
        <f t="shared" si="26"/>
        <v>1160.3</v>
      </c>
      <c r="H79" s="24">
        <f t="shared" ref="H79:H84" si="27">+(F79/G79-1)*100</f>
        <v>124.76083771438424</v>
      </c>
    </row>
    <row r="80" spans="1:8" x14ac:dyDescent="0.25">
      <c r="A80" s="10">
        <f t="shared" si="2"/>
        <v>39394</v>
      </c>
      <c r="B80">
        <v>367.5</v>
      </c>
      <c r="C80">
        <v>300</v>
      </c>
      <c r="D80">
        <v>2240.4</v>
      </c>
      <c r="E80">
        <v>860.3</v>
      </c>
      <c r="F80" s="19">
        <f t="shared" si="26"/>
        <v>2607.9</v>
      </c>
      <c r="G80" s="19">
        <f t="shared" si="26"/>
        <v>1160.3</v>
      </c>
      <c r="H80" s="24">
        <f t="shared" si="27"/>
        <v>124.76083771438424</v>
      </c>
    </row>
    <row r="81" spans="1:9" x14ac:dyDescent="0.25">
      <c r="A81" s="10">
        <f t="shared" si="2"/>
        <v>39401</v>
      </c>
      <c r="B81">
        <v>367.5</v>
      </c>
      <c r="C81">
        <v>240</v>
      </c>
      <c r="D81">
        <v>2240.4</v>
      </c>
      <c r="E81">
        <v>981</v>
      </c>
      <c r="F81" s="19">
        <f t="shared" si="26"/>
        <v>2607.9</v>
      </c>
      <c r="G81" s="19">
        <f t="shared" si="26"/>
        <v>1221</v>
      </c>
      <c r="H81" s="24">
        <f t="shared" si="27"/>
        <v>113.58722358722359</v>
      </c>
    </row>
    <row r="82" spans="1:9" x14ac:dyDescent="0.25">
      <c r="A82" s="10">
        <f t="shared" si="2"/>
        <v>39408</v>
      </c>
      <c r="B82">
        <v>137.5</v>
      </c>
      <c r="C82">
        <v>240</v>
      </c>
      <c r="D82">
        <v>2475.8000000000002</v>
      </c>
      <c r="E82">
        <v>1040</v>
      </c>
      <c r="F82" s="19">
        <f t="shared" ref="F82:G84" si="28">+B82+D82</f>
        <v>2613.3000000000002</v>
      </c>
      <c r="G82" s="19">
        <f t="shared" si="28"/>
        <v>1280</v>
      </c>
      <c r="H82" s="24">
        <f t="shared" si="27"/>
        <v>104.16406250000003</v>
      </c>
    </row>
    <row r="83" spans="1:9" x14ac:dyDescent="0.25">
      <c r="A83" s="10">
        <f t="shared" si="2"/>
        <v>39415</v>
      </c>
      <c r="B83">
        <v>76</v>
      </c>
      <c r="C83">
        <v>240</v>
      </c>
      <c r="D83">
        <v>2536.4</v>
      </c>
      <c r="E83">
        <v>1040</v>
      </c>
      <c r="F83" s="19">
        <f t="shared" si="28"/>
        <v>2612.4</v>
      </c>
      <c r="G83" s="19">
        <f t="shared" si="28"/>
        <v>1280</v>
      </c>
      <c r="H83" s="24">
        <f t="shared" si="27"/>
        <v>104.09375</v>
      </c>
    </row>
    <row r="84" spans="1:9" x14ac:dyDescent="0.25">
      <c r="A84" s="10">
        <f t="shared" si="2"/>
        <v>39422</v>
      </c>
      <c r="B84">
        <v>76</v>
      </c>
      <c r="C84">
        <v>300</v>
      </c>
      <c r="D84">
        <v>2563.9</v>
      </c>
      <c r="E84">
        <v>1040</v>
      </c>
      <c r="F84" s="19">
        <f t="shared" si="28"/>
        <v>2639.9</v>
      </c>
      <c r="G84" s="19">
        <f t="shared" si="28"/>
        <v>1340</v>
      </c>
      <c r="H84" s="24">
        <f t="shared" si="27"/>
        <v>97.007462686567166</v>
      </c>
    </row>
    <row r="85" spans="1:9" x14ac:dyDescent="0.25">
      <c r="A85" s="10">
        <f t="shared" si="2"/>
        <v>39429</v>
      </c>
      <c r="B85">
        <v>76</v>
      </c>
      <c r="C85">
        <v>355</v>
      </c>
      <c r="D85">
        <v>2562</v>
      </c>
      <c r="E85">
        <v>1099</v>
      </c>
      <c r="F85" s="19">
        <f t="shared" ref="F85:G87" si="29">+B85+D85</f>
        <v>2638</v>
      </c>
      <c r="G85" s="19">
        <f t="shared" si="29"/>
        <v>1454</v>
      </c>
      <c r="H85" s="24">
        <f t="shared" ref="H85:H90" si="30">+(F85/G85-1)*100</f>
        <v>81.430536451169175</v>
      </c>
    </row>
    <row r="86" spans="1:9" x14ac:dyDescent="0.25">
      <c r="A86" s="10">
        <f t="shared" si="2"/>
        <v>39436</v>
      </c>
      <c r="B86">
        <v>60</v>
      </c>
      <c r="C86">
        <v>355</v>
      </c>
      <c r="D86">
        <v>2562</v>
      </c>
      <c r="E86">
        <v>1099</v>
      </c>
      <c r="F86" s="19">
        <f t="shared" si="29"/>
        <v>2622</v>
      </c>
      <c r="G86" s="19">
        <f t="shared" si="29"/>
        <v>1454</v>
      </c>
      <c r="H86" s="24">
        <f t="shared" si="30"/>
        <v>80.330123796423663</v>
      </c>
    </row>
    <row r="87" spans="1:9" x14ac:dyDescent="0.25">
      <c r="A87" s="10">
        <f t="shared" si="2"/>
        <v>39443</v>
      </c>
      <c r="B87">
        <v>0</v>
      </c>
      <c r="C87">
        <v>235</v>
      </c>
      <c r="D87">
        <v>2625</v>
      </c>
      <c r="E87">
        <v>1214.8</v>
      </c>
      <c r="F87" s="19">
        <f t="shared" si="29"/>
        <v>2625</v>
      </c>
      <c r="G87" s="19">
        <f t="shared" si="29"/>
        <v>1449.8</v>
      </c>
      <c r="H87" s="24">
        <f t="shared" si="30"/>
        <v>81.059456476755415</v>
      </c>
    </row>
    <row r="88" spans="1:9" x14ac:dyDescent="0.25">
      <c r="A88" s="10">
        <f t="shared" si="2"/>
        <v>39450</v>
      </c>
      <c r="B88">
        <v>120</v>
      </c>
      <c r="C88">
        <v>295</v>
      </c>
      <c r="D88">
        <v>2625</v>
      </c>
      <c r="E88">
        <v>1214.8</v>
      </c>
      <c r="F88" s="19">
        <f t="shared" ref="F88:G90" si="31">+B88+D88</f>
        <v>2745</v>
      </c>
      <c r="G88" s="19">
        <f t="shared" si="31"/>
        <v>1509.8</v>
      </c>
      <c r="H88" s="24">
        <f t="shared" si="30"/>
        <v>81.81216055106637</v>
      </c>
    </row>
    <row r="89" spans="1:9" x14ac:dyDescent="0.25">
      <c r="A89" s="10">
        <f t="shared" si="2"/>
        <v>39457</v>
      </c>
      <c r="B89">
        <v>120</v>
      </c>
      <c r="C89">
        <v>295</v>
      </c>
      <c r="D89">
        <v>2625</v>
      </c>
      <c r="E89">
        <v>1214.8</v>
      </c>
      <c r="F89" s="19">
        <f t="shared" si="31"/>
        <v>2745</v>
      </c>
      <c r="G89" s="19">
        <f t="shared" si="31"/>
        <v>1509.8</v>
      </c>
      <c r="H89" s="24">
        <f t="shared" si="30"/>
        <v>81.81216055106637</v>
      </c>
    </row>
    <row r="90" spans="1:9" x14ac:dyDescent="0.25">
      <c r="A90" s="10">
        <f t="shared" si="2"/>
        <v>39464</v>
      </c>
      <c r="B90">
        <v>60</v>
      </c>
      <c r="C90">
        <v>175</v>
      </c>
      <c r="D90">
        <v>2625</v>
      </c>
      <c r="E90">
        <v>1335.2</v>
      </c>
      <c r="F90" s="19">
        <f t="shared" si="31"/>
        <v>2685</v>
      </c>
      <c r="G90" s="19">
        <f t="shared" si="31"/>
        <v>1510.2</v>
      </c>
      <c r="H90" s="24">
        <f t="shared" si="30"/>
        <v>77.791021056813662</v>
      </c>
      <c r="I90">
        <v>120</v>
      </c>
    </row>
    <row r="91" spans="1:9" x14ac:dyDescent="0.25">
      <c r="A91" s="10">
        <f t="shared" si="2"/>
        <v>39471</v>
      </c>
      <c r="B91">
        <v>60</v>
      </c>
      <c r="C91">
        <v>170</v>
      </c>
      <c r="D91">
        <v>2625</v>
      </c>
      <c r="E91">
        <v>1393.2</v>
      </c>
      <c r="F91" s="19">
        <f t="shared" ref="F91:G93" si="32">+B91+D91</f>
        <v>2685</v>
      </c>
      <c r="G91" s="19">
        <f t="shared" si="32"/>
        <v>1563.2</v>
      </c>
      <c r="H91" s="24">
        <f t="shared" ref="H91:H96" si="33">+(F91/G91-1)*100</f>
        <v>71.763050153531211</v>
      </c>
      <c r="I91">
        <v>120</v>
      </c>
    </row>
    <row r="92" spans="1:9" x14ac:dyDescent="0.25">
      <c r="A92" s="10">
        <f t="shared" si="2"/>
        <v>39478</v>
      </c>
      <c r="B92">
        <v>60</v>
      </c>
      <c r="C92">
        <v>235</v>
      </c>
      <c r="D92">
        <v>2625</v>
      </c>
      <c r="E92">
        <v>1450.8</v>
      </c>
      <c r="F92" s="19">
        <f t="shared" si="32"/>
        <v>2685</v>
      </c>
      <c r="G92" s="19">
        <f t="shared" si="32"/>
        <v>1685.8</v>
      </c>
      <c r="H92" s="24">
        <f t="shared" si="33"/>
        <v>59.271562462925623</v>
      </c>
      <c r="I92">
        <v>120</v>
      </c>
    </row>
    <row r="93" spans="1:9" x14ac:dyDescent="0.25">
      <c r="A93" s="10">
        <f t="shared" si="2"/>
        <v>39485</v>
      </c>
      <c r="B93">
        <v>60</v>
      </c>
      <c r="C93">
        <v>230</v>
      </c>
      <c r="D93">
        <v>2625</v>
      </c>
      <c r="E93">
        <v>1509.8</v>
      </c>
      <c r="F93" s="19">
        <f t="shared" si="32"/>
        <v>2685</v>
      </c>
      <c r="G93" s="19">
        <f t="shared" si="32"/>
        <v>1739.8</v>
      </c>
      <c r="H93" s="24">
        <f t="shared" si="33"/>
        <v>54.328083687780214</v>
      </c>
    </row>
    <row r="94" spans="1:9" x14ac:dyDescent="0.25">
      <c r="A94" s="10">
        <f t="shared" si="2"/>
        <v>39492</v>
      </c>
      <c r="B94">
        <v>60</v>
      </c>
      <c r="C94">
        <v>230</v>
      </c>
      <c r="D94">
        <v>2625</v>
      </c>
      <c r="E94">
        <v>1572.8</v>
      </c>
      <c r="F94" s="19">
        <f t="shared" ref="F94:G96" si="34">+B94+D94</f>
        <v>2685</v>
      </c>
      <c r="G94" s="19">
        <f t="shared" si="34"/>
        <v>1802.8</v>
      </c>
      <c r="H94" s="24">
        <f t="shared" si="33"/>
        <v>48.934990015531412</v>
      </c>
    </row>
    <row r="95" spans="1:9" x14ac:dyDescent="0.25">
      <c r="A95" s="10">
        <f t="shared" si="2"/>
        <v>39499</v>
      </c>
      <c r="B95">
        <v>115</v>
      </c>
      <c r="C95">
        <v>230</v>
      </c>
      <c r="D95">
        <v>2625</v>
      </c>
      <c r="E95">
        <v>1602.8</v>
      </c>
      <c r="F95" s="19">
        <f t="shared" si="34"/>
        <v>2740</v>
      </c>
      <c r="G95" s="19">
        <f t="shared" si="34"/>
        <v>1832.8</v>
      </c>
      <c r="H95" s="24">
        <f t="shared" si="33"/>
        <v>49.498035792230468</v>
      </c>
    </row>
    <row r="96" spans="1:9" x14ac:dyDescent="0.25">
      <c r="A96" s="10">
        <f t="shared" si="2"/>
        <v>39506</v>
      </c>
      <c r="B96">
        <v>175</v>
      </c>
      <c r="C96">
        <v>230</v>
      </c>
      <c r="D96">
        <v>2625</v>
      </c>
      <c r="E96">
        <v>1602.8</v>
      </c>
      <c r="F96" s="19">
        <f t="shared" si="34"/>
        <v>2800</v>
      </c>
      <c r="G96" s="19">
        <f t="shared" si="34"/>
        <v>1832.8</v>
      </c>
      <c r="H96" s="24">
        <f t="shared" si="33"/>
        <v>52.771715408118737</v>
      </c>
    </row>
    <row r="97" spans="1:9" x14ac:dyDescent="0.25">
      <c r="A97" s="10">
        <f t="shared" si="2"/>
        <v>39513</v>
      </c>
      <c r="B97">
        <v>175</v>
      </c>
      <c r="C97">
        <v>110</v>
      </c>
      <c r="D97">
        <v>2682</v>
      </c>
      <c r="E97">
        <v>1728.8</v>
      </c>
      <c r="F97" s="19">
        <f t="shared" ref="F97:G99" si="35">+B97+D97</f>
        <v>2857</v>
      </c>
      <c r="G97" s="19">
        <f t="shared" si="35"/>
        <v>1838.8</v>
      </c>
      <c r="H97" s="24">
        <f t="shared" ref="H97:H102" si="36">+(F97/G97-1)*100</f>
        <v>55.373069393082439</v>
      </c>
    </row>
    <row r="98" spans="1:9" x14ac:dyDescent="0.25">
      <c r="A98" s="10">
        <f t="shared" si="2"/>
        <v>39520</v>
      </c>
      <c r="B98">
        <v>115</v>
      </c>
      <c r="C98">
        <v>55</v>
      </c>
      <c r="D98">
        <v>2811.2</v>
      </c>
      <c r="E98">
        <v>1786.5</v>
      </c>
      <c r="F98" s="19">
        <f t="shared" si="35"/>
        <v>2926.2</v>
      </c>
      <c r="G98" s="19">
        <f t="shared" si="35"/>
        <v>1841.5</v>
      </c>
      <c r="H98" s="24">
        <f t="shared" si="36"/>
        <v>58.90306815096389</v>
      </c>
    </row>
    <row r="99" spans="1:9" x14ac:dyDescent="0.25">
      <c r="A99" s="10">
        <f t="shared" si="2"/>
        <v>39527</v>
      </c>
      <c r="B99">
        <v>175</v>
      </c>
      <c r="C99">
        <v>178</v>
      </c>
      <c r="D99">
        <v>2811.2</v>
      </c>
      <c r="E99">
        <v>1786.5</v>
      </c>
      <c r="F99" s="19">
        <f t="shared" si="35"/>
        <v>2986.2</v>
      </c>
      <c r="G99" s="19">
        <f t="shared" si="35"/>
        <v>1964.5</v>
      </c>
      <c r="H99" s="24">
        <f t="shared" si="36"/>
        <v>52.008144566047321</v>
      </c>
    </row>
    <row r="100" spans="1:9" x14ac:dyDescent="0.25">
      <c r="A100" s="10">
        <f t="shared" si="2"/>
        <v>39534</v>
      </c>
      <c r="B100">
        <v>260</v>
      </c>
      <c r="C100">
        <v>131</v>
      </c>
      <c r="D100">
        <v>2811.2</v>
      </c>
      <c r="E100">
        <v>1844.3</v>
      </c>
      <c r="F100" s="19">
        <f t="shared" ref="F100:G102" si="37">+B100+D100</f>
        <v>3071.2</v>
      </c>
      <c r="G100" s="19">
        <f t="shared" si="37"/>
        <v>1975.3</v>
      </c>
      <c r="H100" s="24">
        <f t="shared" si="36"/>
        <v>55.480180225788487</v>
      </c>
    </row>
    <row r="101" spans="1:9" x14ac:dyDescent="0.25">
      <c r="A101" s="10">
        <f t="shared" si="2"/>
        <v>39541</v>
      </c>
      <c r="B101">
        <v>200</v>
      </c>
      <c r="C101">
        <v>178</v>
      </c>
      <c r="D101">
        <v>2932</v>
      </c>
      <c r="E101">
        <v>1852.7</v>
      </c>
      <c r="F101" s="19">
        <f t="shared" si="37"/>
        <v>3132</v>
      </c>
      <c r="G101" s="19">
        <f t="shared" si="37"/>
        <v>2030.7</v>
      </c>
      <c r="H101" s="24">
        <f t="shared" si="36"/>
        <v>54.232530654454123</v>
      </c>
    </row>
    <row r="102" spans="1:9" x14ac:dyDescent="0.25">
      <c r="A102" s="10">
        <f t="shared" si="2"/>
        <v>39548</v>
      </c>
      <c r="B102">
        <v>200</v>
      </c>
      <c r="C102">
        <v>115</v>
      </c>
      <c r="D102">
        <v>2968.8</v>
      </c>
      <c r="E102">
        <v>1919.5</v>
      </c>
      <c r="F102" s="19">
        <f t="shared" si="37"/>
        <v>3168.8</v>
      </c>
      <c r="G102" s="19">
        <f t="shared" si="37"/>
        <v>2034.5</v>
      </c>
      <c r="H102" s="24">
        <f t="shared" si="36"/>
        <v>55.753256328336207</v>
      </c>
    </row>
    <row r="103" spans="1:9" x14ac:dyDescent="0.25">
      <c r="A103" s="10">
        <f t="shared" si="2"/>
        <v>39555</v>
      </c>
      <c r="B103">
        <v>200</v>
      </c>
      <c r="C103">
        <v>115</v>
      </c>
      <c r="D103">
        <v>2968.8</v>
      </c>
      <c r="E103">
        <v>1919.5</v>
      </c>
      <c r="F103" s="19">
        <f t="shared" ref="F103:G105" si="38">+B103+D103</f>
        <v>3168.8</v>
      </c>
      <c r="G103" s="19">
        <f t="shared" si="38"/>
        <v>2034.5</v>
      </c>
      <c r="H103" s="24">
        <f t="shared" ref="H103:H108" si="39">+(F103/G103-1)*100</f>
        <v>55.753256328336207</v>
      </c>
    </row>
    <row r="104" spans="1:9" x14ac:dyDescent="0.25">
      <c r="A104" s="10">
        <f t="shared" si="2"/>
        <v>39562</v>
      </c>
      <c r="B104">
        <v>200</v>
      </c>
      <c r="C104">
        <v>115</v>
      </c>
      <c r="D104">
        <v>2968.8</v>
      </c>
      <c r="E104">
        <v>1919.5</v>
      </c>
      <c r="F104" s="19">
        <f t="shared" si="38"/>
        <v>3168.8</v>
      </c>
      <c r="G104" s="19">
        <f t="shared" si="38"/>
        <v>2034.5</v>
      </c>
      <c r="H104" s="24">
        <f t="shared" si="39"/>
        <v>55.753256328336207</v>
      </c>
    </row>
    <row r="105" spans="1:9" x14ac:dyDescent="0.25">
      <c r="A105" s="10">
        <f t="shared" si="2"/>
        <v>39569</v>
      </c>
      <c r="B105">
        <v>110</v>
      </c>
      <c r="C105">
        <v>115</v>
      </c>
      <c r="D105">
        <v>3053.3</v>
      </c>
      <c r="E105">
        <v>1919.5</v>
      </c>
      <c r="F105" s="19">
        <f t="shared" si="38"/>
        <v>3163.3</v>
      </c>
      <c r="G105" s="19">
        <f t="shared" si="38"/>
        <v>2034.5</v>
      </c>
      <c r="H105" s="24">
        <f t="shared" si="39"/>
        <v>55.482919636274275</v>
      </c>
      <c r="I105">
        <v>300</v>
      </c>
    </row>
    <row r="106" spans="1:9" x14ac:dyDescent="0.25">
      <c r="A106" s="10">
        <f t="shared" si="2"/>
        <v>39576</v>
      </c>
      <c r="B106">
        <v>110</v>
      </c>
      <c r="C106">
        <v>110</v>
      </c>
      <c r="D106">
        <v>3174.1</v>
      </c>
      <c r="E106">
        <v>1981.5</v>
      </c>
      <c r="F106" s="19">
        <f t="shared" ref="F106:G108" si="40">+B106+D106</f>
        <v>3284.1</v>
      </c>
      <c r="G106" s="19">
        <f t="shared" si="40"/>
        <v>2091.5</v>
      </c>
      <c r="H106" s="24">
        <f t="shared" si="39"/>
        <v>57.021276595744673</v>
      </c>
      <c r="I106">
        <v>300</v>
      </c>
    </row>
    <row r="107" spans="1:9" x14ac:dyDescent="0.25">
      <c r="A107" s="10">
        <f t="shared" si="2"/>
        <v>39583</v>
      </c>
      <c r="B107">
        <v>118</v>
      </c>
      <c r="C107">
        <v>110</v>
      </c>
      <c r="D107">
        <v>3174.1</v>
      </c>
      <c r="E107">
        <v>1981.5</v>
      </c>
      <c r="F107" s="19">
        <f t="shared" si="40"/>
        <v>3292.1</v>
      </c>
      <c r="G107" s="19">
        <f t="shared" si="40"/>
        <v>2091.5</v>
      </c>
      <c r="H107" s="24">
        <f t="shared" si="39"/>
        <v>57.403777193401865</v>
      </c>
      <c r="I107">
        <v>300</v>
      </c>
    </row>
    <row r="108" spans="1:9" x14ac:dyDescent="0.25">
      <c r="A108" s="10">
        <f t="shared" si="2"/>
        <v>39590</v>
      </c>
      <c r="B108">
        <v>118</v>
      </c>
      <c r="C108">
        <v>110</v>
      </c>
      <c r="D108">
        <v>3213.3</v>
      </c>
      <c r="E108">
        <v>1981.5</v>
      </c>
      <c r="F108" s="19">
        <f t="shared" si="40"/>
        <v>3331.3</v>
      </c>
      <c r="G108" s="19">
        <f t="shared" si="40"/>
        <v>2091.5</v>
      </c>
      <c r="H108" s="24">
        <f t="shared" si="39"/>
        <v>59.278030121922079</v>
      </c>
      <c r="I108">
        <v>300</v>
      </c>
    </row>
    <row r="109" spans="1:9" x14ac:dyDescent="0.25">
      <c r="A109" s="10">
        <f t="shared" si="2"/>
        <v>39597</v>
      </c>
      <c r="B109">
        <v>118</v>
      </c>
      <c r="C109">
        <v>110</v>
      </c>
      <c r="D109">
        <v>3276.3</v>
      </c>
      <c r="E109">
        <v>1981.5</v>
      </c>
      <c r="F109" s="19">
        <f t="shared" ref="F109:G111" si="41">+B109+D109</f>
        <v>3394.3</v>
      </c>
      <c r="G109" s="19">
        <f t="shared" si="41"/>
        <v>2091.5</v>
      </c>
      <c r="H109" s="24">
        <f t="shared" ref="H109:H114" si="42">+(F109/G109-1)*100</f>
        <v>62.290222328472389</v>
      </c>
      <c r="I109">
        <v>300</v>
      </c>
    </row>
    <row r="110" spans="1:9" x14ac:dyDescent="0.25">
      <c r="A110" s="10">
        <f t="shared" si="2"/>
        <v>39604</v>
      </c>
      <c r="B110">
        <v>355</v>
      </c>
      <c r="C110">
        <v>275</v>
      </c>
      <c r="D110">
        <v>63.4</v>
      </c>
      <c r="E110">
        <v>0</v>
      </c>
      <c r="F110" s="19">
        <f t="shared" si="41"/>
        <v>418.4</v>
      </c>
      <c r="G110" s="19">
        <f t="shared" si="41"/>
        <v>275</v>
      </c>
      <c r="H110" s="24">
        <f t="shared" si="42"/>
        <v>52.145454545454541</v>
      </c>
    </row>
    <row r="111" spans="1:9" x14ac:dyDescent="0.25">
      <c r="A111" s="10">
        <f t="shared" si="2"/>
        <v>39611</v>
      </c>
      <c r="B111">
        <v>355</v>
      </c>
      <c r="C111">
        <v>275</v>
      </c>
      <c r="D111">
        <v>63.4</v>
      </c>
      <c r="E111">
        <v>0</v>
      </c>
      <c r="F111" s="19">
        <f t="shared" si="41"/>
        <v>418.4</v>
      </c>
      <c r="G111" s="19">
        <f t="shared" si="41"/>
        <v>275</v>
      </c>
      <c r="H111" s="24">
        <f t="shared" si="42"/>
        <v>52.145454545454541</v>
      </c>
    </row>
    <row r="112" spans="1:9" x14ac:dyDescent="0.25">
      <c r="A112" s="10">
        <f t="shared" si="2"/>
        <v>39618</v>
      </c>
      <c r="B112">
        <v>355</v>
      </c>
      <c r="C112">
        <v>100</v>
      </c>
      <c r="D112">
        <v>125.9</v>
      </c>
      <c r="E112">
        <v>186.8</v>
      </c>
      <c r="F112" s="19">
        <f t="shared" ref="F112:G114" si="43">+B112+D112</f>
        <v>480.9</v>
      </c>
      <c r="G112" s="19">
        <f t="shared" si="43"/>
        <v>286.8</v>
      </c>
      <c r="H112" s="24">
        <f t="shared" si="42"/>
        <v>67.677824267782412</v>
      </c>
    </row>
    <row r="113" spans="1:8" x14ac:dyDescent="0.25">
      <c r="A113" s="10">
        <f t="shared" si="2"/>
        <v>39625</v>
      </c>
      <c r="B113">
        <v>355</v>
      </c>
      <c r="C113">
        <v>110</v>
      </c>
      <c r="D113">
        <v>188.3</v>
      </c>
      <c r="E113">
        <v>295.2</v>
      </c>
      <c r="F113" s="19">
        <f t="shared" si="43"/>
        <v>543.29999999999995</v>
      </c>
      <c r="G113" s="19">
        <f t="shared" si="43"/>
        <v>405.2</v>
      </c>
      <c r="H113" s="24">
        <f t="shared" si="42"/>
        <v>34.081934846989135</v>
      </c>
    </row>
    <row r="114" spans="1:8" x14ac:dyDescent="0.25">
      <c r="A114" s="10">
        <f t="shared" si="2"/>
        <v>39632</v>
      </c>
      <c r="B114">
        <v>295</v>
      </c>
      <c r="C114">
        <v>340</v>
      </c>
      <c r="D114">
        <v>283.60000000000002</v>
      </c>
      <c r="E114">
        <v>355.3</v>
      </c>
      <c r="F114" s="19">
        <f t="shared" si="43"/>
        <v>578.6</v>
      </c>
      <c r="G114" s="19">
        <f t="shared" si="43"/>
        <v>695.3</v>
      </c>
      <c r="H114" s="24">
        <f t="shared" si="42"/>
        <v>-16.784121961743125</v>
      </c>
    </row>
    <row r="115" spans="1:8" x14ac:dyDescent="0.25">
      <c r="A115" s="10">
        <f t="shared" si="2"/>
        <v>39639</v>
      </c>
      <c r="B115">
        <v>235</v>
      </c>
      <c r="C115">
        <v>457</v>
      </c>
      <c r="D115">
        <v>342.3</v>
      </c>
      <c r="E115">
        <v>355.3</v>
      </c>
      <c r="F115" s="19">
        <f t="shared" ref="F115:G117" si="44">+B115+D115</f>
        <v>577.29999999999995</v>
      </c>
      <c r="G115" s="19">
        <f t="shared" si="44"/>
        <v>812.3</v>
      </c>
      <c r="H115" s="24">
        <f t="shared" ref="H115:H120" si="45">+(F115/G115-1)*100</f>
        <v>-28.930198202634493</v>
      </c>
    </row>
    <row r="116" spans="1:8" x14ac:dyDescent="0.25">
      <c r="A116" s="10">
        <f t="shared" si="2"/>
        <v>39646</v>
      </c>
      <c r="B116">
        <v>102</v>
      </c>
      <c r="C116">
        <v>826</v>
      </c>
      <c r="D116">
        <v>590</v>
      </c>
      <c r="E116">
        <v>414.5</v>
      </c>
      <c r="F116" s="19">
        <f t="shared" si="44"/>
        <v>692</v>
      </c>
      <c r="G116" s="19">
        <f t="shared" si="44"/>
        <v>1240.5</v>
      </c>
      <c r="H116" s="24">
        <f t="shared" si="45"/>
        <v>-44.216041918581219</v>
      </c>
    </row>
    <row r="117" spans="1:8" x14ac:dyDescent="0.25">
      <c r="A117" s="10">
        <f t="shared" si="2"/>
        <v>39653</v>
      </c>
      <c r="B117">
        <v>222.5</v>
      </c>
      <c r="C117">
        <v>892</v>
      </c>
      <c r="D117">
        <v>649.6</v>
      </c>
      <c r="E117">
        <v>414.5</v>
      </c>
      <c r="F117" s="19">
        <f t="shared" si="44"/>
        <v>872.1</v>
      </c>
      <c r="G117" s="19">
        <f t="shared" si="44"/>
        <v>1306.5</v>
      </c>
      <c r="H117" s="24">
        <f t="shared" si="45"/>
        <v>-33.249138920780709</v>
      </c>
    </row>
    <row r="118" spans="1:8" x14ac:dyDescent="0.25">
      <c r="A118" s="10">
        <f t="shared" si="2"/>
        <v>39660</v>
      </c>
      <c r="B118">
        <v>180.5</v>
      </c>
      <c r="C118">
        <v>785</v>
      </c>
      <c r="D118">
        <v>689.4</v>
      </c>
      <c r="E118">
        <v>535.29999999999995</v>
      </c>
      <c r="F118" s="19">
        <f t="shared" ref="F118:G120" si="46">+B118+D118</f>
        <v>869.9</v>
      </c>
      <c r="G118" s="19">
        <f t="shared" si="46"/>
        <v>1320.3</v>
      </c>
      <c r="H118" s="24">
        <f t="shared" si="45"/>
        <v>-34.113459062334314</v>
      </c>
    </row>
    <row r="119" spans="1:8" x14ac:dyDescent="0.25">
      <c r="A119" s="10">
        <f t="shared" si="2"/>
        <v>39667</v>
      </c>
      <c r="B119">
        <v>244</v>
      </c>
      <c r="C119">
        <v>825</v>
      </c>
      <c r="D119">
        <v>779.3</v>
      </c>
      <c r="E119">
        <v>669.9</v>
      </c>
      <c r="F119" s="19">
        <f t="shared" si="46"/>
        <v>1023.3</v>
      </c>
      <c r="G119" s="19">
        <f t="shared" si="46"/>
        <v>1494.9</v>
      </c>
      <c r="H119" s="24">
        <f t="shared" si="45"/>
        <v>-31.547260686333544</v>
      </c>
    </row>
    <row r="120" spans="1:8" x14ac:dyDescent="0.25">
      <c r="A120" s="10">
        <f t="shared" si="2"/>
        <v>39674</v>
      </c>
      <c r="B120">
        <v>239</v>
      </c>
      <c r="C120">
        <v>915</v>
      </c>
      <c r="D120">
        <v>843.9</v>
      </c>
      <c r="E120">
        <v>855.5</v>
      </c>
      <c r="F120" s="19">
        <f t="shared" si="46"/>
        <v>1082.9000000000001</v>
      </c>
      <c r="G120" s="19">
        <f t="shared" si="46"/>
        <v>1770.5</v>
      </c>
      <c r="H120" s="24">
        <f t="shared" si="45"/>
        <v>-38.836486868116346</v>
      </c>
    </row>
    <row r="121" spans="1:8" x14ac:dyDescent="0.25">
      <c r="A121" s="10">
        <f t="shared" si="2"/>
        <v>39681</v>
      </c>
      <c r="B121">
        <v>184</v>
      </c>
      <c r="C121">
        <v>1055.5</v>
      </c>
      <c r="D121">
        <v>901.4</v>
      </c>
      <c r="E121">
        <v>1037</v>
      </c>
      <c r="F121" s="19">
        <f t="shared" ref="F121:G123" si="47">+B121+D121</f>
        <v>1085.4000000000001</v>
      </c>
      <c r="G121" s="19">
        <f t="shared" si="47"/>
        <v>2092.5</v>
      </c>
      <c r="H121" s="24">
        <f t="shared" ref="H121:H126" si="48">+(F121/G121-1)*100</f>
        <v>-48.129032258064505</v>
      </c>
    </row>
    <row r="122" spans="1:8" x14ac:dyDescent="0.25">
      <c r="A122" s="10">
        <f t="shared" si="2"/>
        <v>39688</v>
      </c>
      <c r="B122">
        <v>178.9</v>
      </c>
      <c r="C122">
        <v>815.5</v>
      </c>
      <c r="D122">
        <v>976.4</v>
      </c>
      <c r="E122">
        <v>1343.6</v>
      </c>
      <c r="F122" s="19">
        <f t="shared" si="47"/>
        <v>1155.3</v>
      </c>
      <c r="G122" s="19">
        <f t="shared" si="47"/>
        <v>2159.1</v>
      </c>
      <c r="H122" s="24">
        <f t="shared" si="48"/>
        <v>-46.491593719605397</v>
      </c>
    </row>
    <row r="123" spans="1:8" x14ac:dyDescent="0.25">
      <c r="A123" s="10">
        <f t="shared" si="2"/>
        <v>39695</v>
      </c>
      <c r="B123">
        <v>238.9</v>
      </c>
      <c r="C123">
        <v>1157.5</v>
      </c>
      <c r="D123">
        <v>976.4</v>
      </c>
      <c r="E123">
        <v>1415.4</v>
      </c>
      <c r="F123" s="19">
        <f t="shared" si="47"/>
        <v>1215.3</v>
      </c>
      <c r="G123" s="19">
        <f t="shared" si="47"/>
        <v>2572.9</v>
      </c>
      <c r="H123" s="24">
        <f t="shared" si="48"/>
        <v>-52.765362042831043</v>
      </c>
    </row>
    <row r="124" spans="1:8" x14ac:dyDescent="0.25">
      <c r="A124" s="10">
        <f t="shared" si="2"/>
        <v>39702</v>
      </c>
      <c r="B124">
        <v>175</v>
      </c>
      <c r="C124">
        <v>1097.5</v>
      </c>
      <c r="D124">
        <v>1040.3</v>
      </c>
      <c r="E124">
        <v>1540.7</v>
      </c>
      <c r="F124" s="19">
        <f t="shared" ref="F124:G126" si="49">+B124+D124</f>
        <v>1215.3</v>
      </c>
      <c r="G124" s="19">
        <f t="shared" si="49"/>
        <v>2638.2</v>
      </c>
      <c r="H124" s="24">
        <f t="shared" si="48"/>
        <v>-53.934500795997266</v>
      </c>
    </row>
    <row r="125" spans="1:8" x14ac:dyDescent="0.25">
      <c r="A125" s="10">
        <f t="shared" si="2"/>
        <v>39709</v>
      </c>
      <c r="B125">
        <v>115</v>
      </c>
      <c r="C125">
        <v>917.5</v>
      </c>
      <c r="D125">
        <v>1168.8</v>
      </c>
      <c r="E125">
        <v>1718.5</v>
      </c>
      <c r="F125" s="19">
        <f t="shared" si="49"/>
        <v>1283.8</v>
      </c>
      <c r="G125" s="19">
        <f t="shared" si="49"/>
        <v>2636</v>
      </c>
      <c r="H125" s="24">
        <f t="shared" si="48"/>
        <v>-51.297420333839149</v>
      </c>
    </row>
    <row r="126" spans="1:8" x14ac:dyDescent="0.25">
      <c r="A126" s="10">
        <f t="shared" si="2"/>
        <v>39716</v>
      </c>
      <c r="B126">
        <v>115</v>
      </c>
      <c r="C126">
        <v>802.5</v>
      </c>
      <c r="D126">
        <v>1168.8</v>
      </c>
      <c r="E126">
        <v>1841.5</v>
      </c>
      <c r="F126" s="19">
        <f t="shared" si="49"/>
        <v>1283.8</v>
      </c>
      <c r="G126" s="19">
        <f t="shared" si="49"/>
        <v>2644</v>
      </c>
      <c r="H126" s="24">
        <f t="shared" si="48"/>
        <v>-51.44478063540091</v>
      </c>
    </row>
    <row r="127" spans="1:8" x14ac:dyDescent="0.25">
      <c r="A127" s="10">
        <f t="shared" si="2"/>
        <v>39723</v>
      </c>
      <c r="B127">
        <v>60</v>
      </c>
      <c r="C127">
        <v>682.5</v>
      </c>
      <c r="D127">
        <v>1286.3</v>
      </c>
      <c r="E127">
        <v>1970.5</v>
      </c>
      <c r="F127" s="19">
        <f t="shared" ref="F127:G129" si="50">+B127+D127</f>
        <v>1346.3</v>
      </c>
      <c r="G127" s="19">
        <f t="shared" si="50"/>
        <v>2653</v>
      </c>
      <c r="H127" s="24">
        <f t="shared" ref="H127:H132" si="51">+(F127/G127-1)*100</f>
        <v>-49.253675084809657</v>
      </c>
    </row>
    <row r="128" spans="1:8" x14ac:dyDescent="0.25">
      <c r="A128" s="10">
        <f t="shared" si="2"/>
        <v>39730</v>
      </c>
      <c r="B128">
        <v>115</v>
      </c>
      <c r="C128">
        <v>569.5</v>
      </c>
      <c r="D128">
        <v>1286.3</v>
      </c>
      <c r="E128">
        <v>2119.6</v>
      </c>
      <c r="F128" s="19">
        <f t="shared" si="50"/>
        <v>1401.3</v>
      </c>
      <c r="G128" s="19">
        <f t="shared" si="50"/>
        <v>2689.1</v>
      </c>
      <c r="H128" s="24">
        <f t="shared" si="51"/>
        <v>-47.88962850024172</v>
      </c>
    </row>
    <row r="129" spans="1:8" x14ac:dyDescent="0.25">
      <c r="A129" s="10">
        <f t="shared" si="2"/>
        <v>39737</v>
      </c>
      <c r="B129">
        <v>175</v>
      </c>
      <c r="C129">
        <v>514.5</v>
      </c>
      <c r="D129">
        <v>1286.3</v>
      </c>
      <c r="E129">
        <v>2177.4</v>
      </c>
      <c r="F129" s="19">
        <f t="shared" si="50"/>
        <v>1461.3</v>
      </c>
      <c r="G129" s="19">
        <f t="shared" si="50"/>
        <v>2691.9</v>
      </c>
      <c r="H129" s="24">
        <f t="shared" si="51"/>
        <v>-45.714922545414026</v>
      </c>
    </row>
    <row r="130" spans="1:8" x14ac:dyDescent="0.25">
      <c r="A130" s="10">
        <f t="shared" si="2"/>
        <v>39744</v>
      </c>
      <c r="B130">
        <v>178</v>
      </c>
      <c r="C130">
        <v>424.5</v>
      </c>
      <c r="D130">
        <v>1351.8</v>
      </c>
      <c r="E130">
        <v>2240.4</v>
      </c>
      <c r="F130" s="19">
        <f t="shared" ref="F130:G132" si="52">+B130+D130</f>
        <v>1529.8</v>
      </c>
      <c r="G130" s="19">
        <f t="shared" si="52"/>
        <v>2664.9</v>
      </c>
      <c r="H130" s="24">
        <f t="shared" si="51"/>
        <v>-42.594468835603593</v>
      </c>
    </row>
    <row r="131" spans="1:8" x14ac:dyDescent="0.25">
      <c r="A131" s="10">
        <f t="shared" si="2"/>
        <v>39751</v>
      </c>
      <c r="B131">
        <v>178</v>
      </c>
      <c r="C131">
        <v>367.5</v>
      </c>
      <c r="D131">
        <v>1351.8</v>
      </c>
      <c r="E131">
        <v>2240.4</v>
      </c>
      <c r="F131" s="19">
        <f t="shared" si="52"/>
        <v>1529.8</v>
      </c>
      <c r="G131" s="19">
        <f t="shared" si="52"/>
        <v>2607.9</v>
      </c>
      <c r="H131" s="24">
        <f t="shared" si="51"/>
        <v>-41.339775298132594</v>
      </c>
    </row>
    <row r="132" spans="1:8" x14ac:dyDescent="0.25">
      <c r="A132" s="10">
        <f t="shared" si="2"/>
        <v>39758</v>
      </c>
      <c r="B132">
        <v>178</v>
      </c>
      <c r="C132">
        <v>367.5</v>
      </c>
      <c r="D132">
        <v>1416.6</v>
      </c>
      <c r="E132">
        <v>2240.4</v>
      </c>
      <c r="F132" s="19">
        <f t="shared" si="52"/>
        <v>1594.6</v>
      </c>
      <c r="G132" s="19">
        <f t="shared" si="52"/>
        <v>2607.9</v>
      </c>
      <c r="H132" s="24">
        <f t="shared" si="51"/>
        <v>-38.855017446988008</v>
      </c>
    </row>
    <row r="133" spans="1:8" x14ac:dyDescent="0.25">
      <c r="A133" s="10">
        <f t="shared" si="2"/>
        <v>39765</v>
      </c>
      <c r="B133">
        <v>170</v>
      </c>
      <c r="C133">
        <v>367.5</v>
      </c>
      <c r="D133">
        <v>1481.5</v>
      </c>
      <c r="E133">
        <v>2240.4</v>
      </c>
      <c r="F133" s="19">
        <f t="shared" ref="F133:G135" si="53">+B133+D133</f>
        <v>1651.5</v>
      </c>
      <c r="G133" s="19">
        <f t="shared" si="53"/>
        <v>2607.9</v>
      </c>
      <c r="H133" s="24">
        <f t="shared" ref="H133:H138" si="54">+(F133/G133-1)*100</f>
        <v>-36.673185321523071</v>
      </c>
    </row>
    <row r="134" spans="1:8" x14ac:dyDescent="0.25">
      <c r="A134" s="10">
        <f t="shared" si="2"/>
        <v>39772</v>
      </c>
      <c r="B134">
        <v>118.5</v>
      </c>
      <c r="C134">
        <v>137.5</v>
      </c>
      <c r="D134">
        <v>1544.5</v>
      </c>
      <c r="E134">
        <v>2473.8000000000002</v>
      </c>
      <c r="F134" s="19">
        <f t="shared" si="53"/>
        <v>1663</v>
      </c>
      <c r="G134" s="19">
        <f t="shared" si="53"/>
        <v>2611.3000000000002</v>
      </c>
      <c r="H134" s="24">
        <f t="shared" si="54"/>
        <v>-36.315245280128671</v>
      </c>
    </row>
    <row r="135" spans="1:8" x14ac:dyDescent="0.25">
      <c r="A135" s="10">
        <f t="shared" si="2"/>
        <v>39779</v>
      </c>
      <c r="B135">
        <v>118.5</v>
      </c>
      <c r="C135">
        <v>76</v>
      </c>
      <c r="D135">
        <v>1544.5</v>
      </c>
      <c r="E135">
        <v>2534.5</v>
      </c>
      <c r="F135" s="19">
        <f t="shared" si="53"/>
        <v>1663</v>
      </c>
      <c r="G135" s="19">
        <f t="shared" si="53"/>
        <v>2610.5</v>
      </c>
      <c r="H135" s="24">
        <f t="shared" si="54"/>
        <v>-36.295728787588587</v>
      </c>
    </row>
    <row r="136" spans="1:8" x14ac:dyDescent="0.25">
      <c r="A136" s="10">
        <f t="shared" si="2"/>
        <v>39786</v>
      </c>
      <c r="B136">
        <v>118.5</v>
      </c>
      <c r="C136">
        <v>76</v>
      </c>
      <c r="D136">
        <v>1544.5</v>
      </c>
      <c r="E136">
        <v>2562</v>
      </c>
      <c r="F136" s="19">
        <f t="shared" ref="F136:G138" si="55">+B136+D136</f>
        <v>1663</v>
      </c>
      <c r="G136" s="19">
        <f t="shared" si="55"/>
        <v>2638</v>
      </c>
      <c r="H136" s="24">
        <f t="shared" si="54"/>
        <v>-36.959818043972703</v>
      </c>
    </row>
    <row r="137" spans="1:8" x14ac:dyDescent="0.25">
      <c r="A137" s="10">
        <f t="shared" si="2"/>
        <v>39793</v>
      </c>
      <c r="B137">
        <v>110</v>
      </c>
      <c r="C137">
        <v>76</v>
      </c>
      <c r="D137">
        <v>1553.5</v>
      </c>
      <c r="E137">
        <v>2562</v>
      </c>
      <c r="F137" s="19">
        <f t="shared" si="55"/>
        <v>1663.5</v>
      </c>
      <c r="G137" s="19">
        <f t="shared" si="55"/>
        <v>2638</v>
      </c>
      <c r="H137" s="24">
        <f t="shared" si="54"/>
        <v>-36.94086429112965</v>
      </c>
    </row>
    <row r="138" spans="1:8" x14ac:dyDescent="0.25">
      <c r="A138" s="10">
        <f t="shared" si="2"/>
        <v>39800</v>
      </c>
      <c r="B138">
        <v>110</v>
      </c>
      <c r="C138">
        <v>60</v>
      </c>
      <c r="D138">
        <v>1611.2</v>
      </c>
      <c r="E138">
        <v>2562</v>
      </c>
      <c r="F138" s="19">
        <f t="shared" si="55"/>
        <v>1721.2</v>
      </c>
      <c r="G138" s="19">
        <f t="shared" si="55"/>
        <v>2622</v>
      </c>
      <c r="H138" s="24">
        <f t="shared" si="54"/>
        <v>-34.355453852021355</v>
      </c>
    </row>
    <row r="139" spans="1:8" x14ac:dyDescent="0.25">
      <c r="A139" s="10">
        <f t="shared" si="2"/>
        <v>39807</v>
      </c>
      <c r="B139">
        <v>170</v>
      </c>
      <c r="C139">
        <v>0</v>
      </c>
      <c r="D139">
        <v>1611.2</v>
      </c>
      <c r="E139">
        <v>2625</v>
      </c>
      <c r="F139" s="19">
        <f t="shared" ref="F139:G141" si="56">+B139+D139</f>
        <v>1781.2</v>
      </c>
      <c r="G139" s="19">
        <f t="shared" si="56"/>
        <v>2625</v>
      </c>
      <c r="H139" s="24">
        <f t="shared" ref="H139:H144" si="57">+(F139/G139-1)*100</f>
        <v>-32.1447619047619</v>
      </c>
    </row>
    <row r="140" spans="1:8" x14ac:dyDescent="0.25">
      <c r="A140" s="10">
        <f t="shared" si="2"/>
        <v>39814</v>
      </c>
      <c r="B140">
        <v>115</v>
      </c>
      <c r="C140">
        <v>120</v>
      </c>
      <c r="D140">
        <v>1670.3</v>
      </c>
      <c r="E140">
        <v>2625</v>
      </c>
      <c r="F140" s="19">
        <f t="shared" si="56"/>
        <v>1785.3</v>
      </c>
      <c r="G140" s="19">
        <f t="shared" si="56"/>
        <v>2745</v>
      </c>
      <c r="H140" s="24">
        <f t="shared" si="57"/>
        <v>-34.961748633879786</v>
      </c>
    </row>
    <row r="141" spans="1:8" x14ac:dyDescent="0.25">
      <c r="A141" s="10">
        <f t="shared" si="2"/>
        <v>39821</v>
      </c>
      <c r="B141">
        <v>55</v>
      </c>
      <c r="C141">
        <v>120</v>
      </c>
      <c r="D141">
        <v>1670.3</v>
      </c>
      <c r="E141">
        <v>2625</v>
      </c>
      <c r="F141" s="19">
        <f t="shared" si="56"/>
        <v>1725.3</v>
      </c>
      <c r="G141" s="19">
        <f t="shared" si="56"/>
        <v>2745</v>
      </c>
      <c r="H141" s="24">
        <f t="shared" si="57"/>
        <v>-37.147540983606561</v>
      </c>
    </row>
    <row r="142" spans="1:8" x14ac:dyDescent="0.25">
      <c r="A142" s="10">
        <f t="shared" si="2"/>
        <v>39828</v>
      </c>
      <c r="B142">
        <v>55</v>
      </c>
      <c r="C142">
        <v>60</v>
      </c>
      <c r="D142">
        <v>1670.3</v>
      </c>
      <c r="E142">
        <v>2625</v>
      </c>
      <c r="F142" s="19">
        <f t="shared" ref="F142:G144" si="58">+B142+D142</f>
        <v>1725.3</v>
      </c>
      <c r="G142" s="19">
        <f t="shared" si="58"/>
        <v>2685</v>
      </c>
      <c r="H142" s="24">
        <f t="shared" si="57"/>
        <v>-35.743016759776538</v>
      </c>
    </row>
    <row r="143" spans="1:8" x14ac:dyDescent="0.25">
      <c r="A143" s="10">
        <f t="shared" si="2"/>
        <v>39835</v>
      </c>
      <c r="B143">
        <v>55</v>
      </c>
      <c r="C143">
        <v>60</v>
      </c>
      <c r="D143">
        <v>1670.3</v>
      </c>
      <c r="E143">
        <v>2625</v>
      </c>
      <c r="F143" s="19">
        <f t="shared" si="58"/>
        <v>1725.3</v>
      </c>
      <c r="G143" s="19">
        <f t="shared" si="58"/>
        <v>2685</v>
      </c>
      <c r="H143" s="24">
        <f t="shared" si="57"/>
        <v>-35.743016759776538</v>
      </c>
    </row>
    <row r="144" spans="1:8" x14ac:dyDescent="0.25">
      <c r="A144" s="10">
        <f t="shared" si="2"/>
        <v>39842</v>
      </c>
      <c r="B144">
        <v>64</v>
      </c>
      <c r="C144">
        <v>60</v>
      </c>
      <c r="D144">
        <v>1670.3</v>
      </c>
      <c r="E144">
        <v>2625</v>
      </c>
      <c r="F144" s="19">
        <f t="shared" si="58"/>
        <v>1734.3</v>
      </c>
      <c r="G144" s="19">
        <f t="shared" si="58"/>
        <v>2685</v>
      </c>
      <c r="H144" s="24">
        <f t="shared" si="57"/>
        <v>-35.407821229050285</v>
      </c>
    </row>
    <row r="145" spans="1:9" x14ac:dyDescent="0.25">
      <c r="A145" s="10">
        <f t="shared" si="2"/>
        <v>39849</v>
      </c>
      <c r="B145">
        <v>179</v>
      </c>
      <c r="C145">
        <v>60</v>
      </c>
      <c r="D145">
        <v>1670.3</v>
      </c>
      <c r="E145">
        <v>2625</v>
      </c>
      <c r="F145" s="19">
        <f t="shared" ref="F145:G147" si="59">+B145+D145</f>
        <v>1849.3</v>
      </c>
      <c r="G145" s="19">
        <f t="shared" si="59"/>
        <v>2685</v>
      </c>
      <c r="H145" s="24">
        <f t="shared" ref="H145:H150" si="60">+(F145/G145-1)*100</f>
        <v>-31.12476722532589</v>
      </c>
    </row>
    <row r="146" spans="1:9" x14ac:dyDescent="0.25">
      <c r="A146" s="10">
        <f t="shared" si="2"/>
        <v>39856</v>
      </c>
      <c r="B146">
        <v>179</v>
      </c>
      <c r="C146">
        <v>60</v>
      </c>
      <c r="D146">
        <v>1670.3</v>
      </c>
      <c r="E146">
        <v>2625</v>
      </c>
      <c r="F146" s="19">
        <f t="shared" si="59"/>
        <v>1849.3</v>
      </c>
      <c r="G146" s="19">
        <f t="shared" si="59"/>
        <v>2685</v>
      </c>
      <c r="H146" s="24">
        <f t="shared" si="60"/>
        <v>-31.12476722532589</v>
      </c>
    </row>
    <row r="147" spans="1:9" x14ac:dyDescent="0.25">
      <c r="A147" s="10">
        <f t="shared" si="2"/>
        <v>39863</v>
      </c>
      <c r="B147">
        <v>179</v>
      </c>
      <c r="C147">
        <v>115</v>
      </c>
      <c r="D147">
        <v>1670.3</v>
      </c>
      <c r="E147">
        <v>2625</v>
      </c>
      <c r="F147" s="19">
        <f t="shared" si="59"/>
        <v>1849.3</v>
      </c>
      <c r="G147" s="19">
        <f t="shared" si="59"/>
        <v>2740</v>
      </c>
      <c r="H147" s="24">
        <f t="shared" si="60"/>
        <v>-32.507299270072998</v>
      </c>
    </row>
    <row r="148" spans="1:9" x14ac:dyDescent="0.25">
      <c r="A148" s="10">
        <f t="shared" si="2"/>
        <v>39870</v>
      </c>
      <c r="B148">
        <v>124</v>
      </c>
      <c r="C148">
        <v>175</v>
      </c>
      <c r="D148">
        <v>1729.3</v>
      </c>
      <c r="E148">
        <v>2625</v>
      </c>
      <c r="F148" s="19">
        <f t="shared" ref="F148:G150" si="61">+B148+D148</f>
        <v>1853.3</v>
      </c>
      <c r="G148" s="19">
        <f t="shared" si="61"/>
        <v>2800</v>
      </c>
      <c r="H148" s="24">
        <f t="shared" si="60"/>
        <v>-33.810714285714283</v>
      </c>
    </row>
    <row r="149" spans="1:9" x14ac:dyDescent="0.25">
      <c r="A149" s="10">
        <f t="shared" si="2"/>
        <v>39877</v>
      </c>
      <c r="B149">
        <v>124</v>
      </c>
      <c r="C149">
        <v>175</v>
      </c>
      <c r="D149">
        <v>1729.3</v>
      </c>
      <c r="E149">
        <v>2682</v>
      </c>
      <c r="F149" s="19">
        <f t="shared" si="61"/>
        <v>1853.3</v>
      </c>
      <c r="G149" s="19">
        <f t="shared" si="61"/>
        <v>2857</v>
      </c>
      <c r="H149" s="24">
        <f t="shared" si="60"/>
        <v>-35.131256562828142</v>
      </c>
    </row>
    <row r="150" spans="1:9" x14ac:dyDescent="0.25">
      <c r="A150" s="10">
        <f t="shared" si="2"/>
        <v>39884</v>
      </c>
      <c r="B150">
        <v>124</v>
      </c>
      <c r="C150">
        <v>115</v>
      </c>
      <c r="D150">
        <v>1729.3</v>
      </c>
      <c r="E150">
        <v>2811.2</v>
      </c>
      <c r="F150" s="19">
        <f t="shared" si="61"/>
        <v>1853.3</v>
      </c>
      <c r="G150" s="19">
        <f t="shared" si="61"/>
        <v>2926.2</v>
      </c>
      <c r="H150" s="24">
        <f t="shared" si="60"/>
        <v>-36.665299706103468</v>
      </c>
    </row>
    <row r="151" spans="1:9" x14ac:dyDescent="0.25">
      <c r="A151" s="10">
        <f t="shared" si="2"/>
        <v>39891</v>
      </c>
      <c r="B151">
        <v>55</v>
      </c>
      <c r="C151">
        <v>175</v>
      </c>
      <c r="D151">
        <v>1867.9</v>
      </c>
      <c r="E151">
        <v>2811.2</v>
      </c>
      <c r="F151" s="19">
        <f t="shared" ref="F151:G155" si="62">+B151+D151</f>
        <v>1922.9</v>
      </c>
      <c r="G151" s="19">
        <f t="shared" si="62"/>
        <v>2986.2</v>
      </c>
      <c r="H151" s="24">
        <f t="shared" ref="H151:H156" si="63">+(F151/G151-1)*100</f>
        <v>-35.607126113455223</v>
      </c>
    </row>
    <row r="152" spans="1:9" x14ac:dyDescent="0.25">
      <c r="A152" s="10">
        <f t="shared" si="2"/>
        <v>39898</v>
      </c>
      <c r="B152">
        <v>55</v>
      </c>
      <c r="C152">
        <v>260</v>
      </c>
      <c r="D152">
        <v>1867.9</v>
      </c>
      <c r="E152">
        <v>2811.2</v>
      </c>
      <c r="F152" s="19">
        <f t="shared" si="62"/>
        <v>1922.9</v>
      </c>
      <c r="G152" s="19">
        <f t="shared" si="62"/>
        <v>3071.2</v>
      </c>
      <c r="H152" s="24">
        <f t="shared" si="63"/>
        <v>-37.389294087001815</v>
      </c>
    </row>
    <row r="153" spans="1:9" x14ac:dyDescent="0.25">
      <c r="A153" s="10">
        <f t="shared" si="2"/>
        <v>39905</v>
      </c>
      <c r="B153">
        <v>0</v>
      </c>
      <c r="C153">
        <v>200</v>
      </c>
      <c r="D153">
        <v>1928.4</v>
      </c>
      <c r="E153">
        <v>2932</v>
      </c>
      <c r="F153" s="19">
        <f t="shared" si="62"/>
        <v>1928.4</v>
      </c>
      <c r="G153" s="19">
        <f t="shared" si="62"/>
        <v>3132</v>
      </c>
      <c r="H153" s="24">
        <f t="shared" si="63"/>
        <v>-38.429118773946357</v>
      </c>
    </row>
    <row r="154" spans="1:9" x14ac:dyDescent="0.25">
      <c r="A154" s="10">
        <f t="shared" si="2"/>
        <v>39912</v>
      </c>
      <c r="B154">
        <v>0</v>
      </c>
      <c r="C154">
        <v>200</v>
      </c>
      <c r="D154">
        <v>1928.4</v>
      </c>
      <c r="E154">
        <v>2968.8</v>
      </c>
      <c r="F154" s="19">
        <f t="shared" si="62"/>
        <v>1928.4</v>
      </c>
      <c r="G154" s="19">
        <f t="shared" si="62"/>
        <v>3168.8</v>
      </c>
      <c r="H154" s="24">
        <f t="shared" si="63"/>
        <v>-39.14415551628376</v>
      </c>
    </row>
    <row r="155" spans="1:9" x14ac:dyDescent="0.25">
      <c r="A155" s="10">
        <f t="shared" si="2"/>
        <v>39919</v>
      </c>
      <c r="B155">
        <v>0</v>
      </c>
      <c r="C155">
        <v>200</v>
      </c>
      <c r="D155">
        <v>1928.4</v>
      </c>
      <c r="E155">
        <v>2968.8</v>
      </c>
      <c r="F155" s="19">
        <f t="shared" si="62"/>
        <v>1928.4</v>
      </c>
      <c r="G155" s="19">
        <f t="shared" si="62"/>
        <v>3168.8</v>
      </c>
      <c r="H155" s="24">
        <f t="shared" si="63"/>
        <v>-39.14415551628376</v>
      </c>
    </row>
    <row r="156" spans="1:9" x14ac:dyDescent="0.25">
      <c r="A156" s="10">
        <f t="shared" si="2"/>
        <v>39926</v>
      </c>
      <c r="B156">
        <v>0</v>
      </c>
      <c r="C156">
        <v>200</v>
      </c>
      <c r="D156">
        <v>1928.4</v>
      </c>
      <c r="E156">
        <v>2968.8</v>
      </c>
      <c r="F156" s="19">
        <f t="shared" ref="F156:F187" si="64">+B156+D156</f>
        <v>1928.4</v>
      </c>
      <c r="G156" s="19">
        <f t="shared" ref="G156:G187" si="65">+C156+E156</f>
        <v>3168.8</v>
      </c>
      <c r="H156" s="24">
        <f t="shared" si="63"/>
        <v>-39.14415551628376</v>
      </c>
    </row>
    <row r="157" spans="1:9" x14ac:dyDescent="0.25">
      <c r="A157" s="10">
        <f t="shared" si="2"/>
        <v>39933</v>
      </c>
      <c r="B157">
        <v>0</v>
      </c>
      <c r="C157">
        <v>110</v>
      </c>
      <c r="D157">
        <v>1928.4</v>
      </c>
      <c r="E157">
        <v>3029.1</v>
      </c>
      <c r="F157" s="19">
        <f t="shared" si="64"/>
        <v>1928.4</v>
      </c>
      <c r="G157" s="19">
        <f t="shared" si="65"/>
        <v>3139.1</v>
      </c>
      <c r="H157" s="24">
        <f t="shared" ref="H157:H188" si="66">+(F157/G157-1)*100</f>
        <v>-38.568379471823135</v>
      </c>
      <c r="I157">
        <v>0</v>
      </c>
    </row>
    <row r="158" spans="1:9" x14ac:dyDescent="0.25">
      <c r="A158" s="10">
        <f t="shared" si="2"/>
        <v>39940</v>
      </c>
      <c r="B158">
        <v>0</v>
      </c>
      <c r="C158">
        <v>110</v>
      </c>
      <c r="D158">
        <v>1928.4</v>
      </c>
      <c r="E158">
        <v>3149.9</v>
      </c>
      <c r="F158" s="19">
        <f t="shared" si="64"/>
        <v>1928.4</v>
      </c>
      <c r="G158" s="19">
        <f t="shared" si="65"/>
        <v>3259.9</v>
      </c>
      <c r="H158" s="24">
        <f t="shared" si="66"/>
        <v>-40.844811190527317</v>
      </c>
      <c r="I158">
        <v>0</v>
      </c>
    </row>
    <row r="159" spans="1:9" x14ac:dyDescent="0.25">
      <c r="A159" s="10">
        <f t="shared" si="2"/>
        <v>39947</v>
      </c>
      <c r="B159">
        <v>0</v>
      </c>
      <c r="C159">
        <v>118</v>
      </c>
      <c r="D159">
        <v>1928.4</v>
      </c>
      <c r="E159">
        <v>3149.9</v>
      </c>
      <c r="F159" s="19">
        <f t="shared" si="64"/>
        <v>1928.4</v>
      </c>
      <c r="G159" s="19">
        <f t="shared" si="65"/>
        <v>3267.9</v>
      </c>
      <c r="H159" s="24">
        <f t="shared" si="66"/>
        <v>-40.989626365555864</v>
      </c>
      <c r="I159">
        <v>0</v>
      </c>
    </row>
    <row r="160" spans="1:9" x14ac:dyDescent="0.25">
      <c r="A160" s="10">
        <f t="shared" si="2"/>
        <v>39954</v>
      </c>
      <c r="B160">
        <v>0</v>
      </c>
      <c r="C160">
        <v>118</v>
      </c>
      <c r="D160">
        <v>1928.4</v>
      </c>
      <c r="E160">
        <v>3213.3</v>
      </c>
      <c r="F160" s="19">
        <f t="shared" si="64"/>
        <v>1928.4</v>
      </c>
      <c r="G160" s="19">
        <f t="shared" si="65"/>
        <v>3331.3</v>
      </c>
      <c r="H160" s="24">
        <f t="shared" si="66"/>
        <v>-42.112688740131475</v>
      </c>
      <c r="I160">
        <v>0</v>
      </c>
    </row>
    <row r="161" spans="1:9" x14ac:dyDescent="0.25">
      <c r="A161" s="10">
        <f t="shared" si="2"/>
        <v>39961</v>
      </c>
      <c r="B161">
        <v>0</v>
      </c>
      <c r="C161">
        <v>118</v>
      </c>
      <c r="D161">
        <v>1928.4</v>
      </c>
      <c r="E161">
        <v>3276.3</v>
      </c>
      <c r="F161" s="19">
        <f t="shared" si="64"/>
        <v>1928.4</v>
      </c>
      <c r="G161" s="19">
        <f t="shared" si="65"/>
        <v>3394.3</v>
      </c>
      <c r="H161" s="24">
        <f t="shared" si="66"/>
        <v>-43.187107798367855</v>
      </c>
      <c r="I161">
        <v>0</v>
      </c>
    </row>
    <row r="162" spans="1:9" x14ac:dyDescent="0.25">
      <c r="A162" s="10">
        <f t="shared" si="2"/>
        <v>39968</v>
      </c>
      <c r="B162">
        <v>0</v>
      </c>
      <c r="C162">
        <v>355</v>
      </c>
      <c r="D162">
        <v>0</v>
      </c>
      <c r="E162">
        <v>63.4</v>
      </c>
      <c r="F162" s="19">
        <f t="shared" si="64"/>
        <v>0</v>
      </c>
      <c r="G162" s="19">
        <f t="shared" si="65"/>
        <v>418.4</v>
      </c>
      <c r="H162" s="24">
        <f t="shared" si="66"/>
        <v>-100</v>
      </c>
    </row>
    <row r="163" spans="1:9" x14ac:dyDescent="0.25">
      <c r="A163" s="10">
        <f t="shared" si="2"/>
        <v>39975</v>
      </c>
      <c r="B163">
        <v>55</v>
      </c>
      <c r="C163">
        <v>355</v>
      </c>
      <c r="D163">
        <v>0</v>
      </c>
      <c r="E163">
        <v>63.4</v>
      </c>
      <c r="F163" s="19">
        <f t="shared" si="64"/>
        <v>55</v>
      </c>
      <c r="G163" s="19">
        <f t="shared" si="65"/>
        <v>418.4</v>
      </c>
      <c r="H163" s="24">
        <f t="shared" si="66"/>
        <v>-86.854684512428307</v>
      </c>
    </row>
    <row r="164" spans="1:9" x14ac:dyDescent="0.25">
      <c r="A164" s="10">
        <f t="shared" si="2"/>
        <v>39982</v>
      </c>
      <c r="B164">
        <v>55</v>
      </c>
      <c r="C164">
        <v>355</v>
      </c>
      <c r="D164">
        <v>0</v>
      </c>
      <c r="E164">
        <v>125.9</v>
      </c>
      <c r="F164" s="19">
        <f t="shared" si="64"/>
        <v>55</v>
      </c>
      <c r="G164" s="19">
        <f t="shared" si="65"/>
        <v>480.9</v>
      </c>
      <c r="H164" s="24">
        <f t="shared" si="66"/>
        <v>-88.563110833853187</v>
      </c>
    </row>
    <row r="165" spans="1:9" x14ac:dyDescent="0.25">
      <c r="A165" s="10">
        <f t="shared" si="2"/>
        <v>39989</v>
      </c>
      <c r="B165">
        <v>55</v>
      </c>
      <c r="C165">
        <v>355</v>
      </c>
      <c r="D165">
        <v>0</v>
      </c>
      <c r="E165">
        <v>188.3</v>
      </c>
      <c r="F165" s="19">
        <f t="shared" si="64"/>
        <v>55</v>
      </c>
      <c r="G165" s="19">
        <f t="shared" si="65"/>
        <v>543.29999999999995</v>
      </c>
      <c r="H165" s="24">
        <f t="shared" si="66"/>
        <v>-89.876679550892689</v>
      </c>
    </row>
    <row r="166" spans="1:9" x14ac:dyDescent="0.25">
      <c r="A166" s="10">
        <f t="shared" si="2"/>
        <v>39996</v>
      </c>
      <c r="B166">
        <v>0</v>
      </c>
      <c r="C166">
        <v>295</v>
      </c>
      <c r="D166">
        <v>57.8</v>
      </c>
      <c r="E166">
        <v>283.60000000000002</v>
      </c>
      <c r="F166" s="19">
        <f t="shared" si="64"/>
        <v>57.8</v>
      </c>
      <c r="G166" s="19">
        <f t="shared" si="65"/>
        <v>578.6</v>
      </c>
      <c r="H166" s="24">
        <f t="shared" si="66"/>
        <v>-90.010369858278608</v>
      </c>
    </row>
    <row r="167" spans="1:9" x14ac:dyDescent="0.25">
      <c r="A167" s="10">
        <f t="shared" si="2"/>
        <v>40003</v>
      </c>
      <c r="B167">
        <v>0</v>
      </c>
      <c r="C167">
        <v>235</v>
      </c>
      <c r="D167">
        <v>57.8</v>
      </c>
      <c r="E167">
        <v>342.3</v>
      </c>
      <c r="F167" s="19">
        <f t="shared" si="64"/>
        <v>57.8</v>
      </c>
      <c r="G167" s="19">
        <f t="shared" si="65"/>
        <v>577.29999999999995</v>
      </c>
      <c r="H167" s="24">
        <f t="shared" si="66"/>
        <v>-89.987874588602111</v>
      </c>
    </row>
    <row r="168" spans="1:9" x14ac:dyDescent="0.25">
      <c r="A168" s="10">
        <f t="shared" si="2"/>
        <v>40010</v>
      </c>
      <c r="B168">
        <v>0</v>
      </c>
      <c r="C168">
        <v>102</v>
      </c>
      <c r="D168">
        <v>57.8</v>
      </c>
      <c r="E168">
        <v>590</v>
      </c>
      <c r="F168" s="19">
        <f t="shared" si="64"/>
        <v>57.8</v>
      </c>
      <c r="G168" s="19">
        <f t="shared" si="65"/>
        <v>692</v>
      </c>
      <c r="H168" s="24">
        <f t="shared" si="66"/>
        <v>-91.647398843930645</v>
      </c>
    </row>
    <row r="169" spans="1:9" x14ac:dyDescent="0.25">
      <c r="A169" s="10">
        <f t="shared" si="2"/>
        <v>40017</v>
      </c>
      <c r="B169">
        <v>55</v>
      </c>
      <c r="C169">
        <v>222.5</v>
      </c>
      <c r="D169">
        <v>57.8</v>
      </c>
      <c r="E169">
        <v>649.6</v>
      </c>
      <c r="F169" s="19">
        <f t="shared" si="64"/>
        <v>112.8</v>
      </c>
      <c r="G169" s="19">
        <f t="shared" si="65"/>
        <v>872.1</v>
      </c>
      <c r="H169" s="24">
        <f t="shared" si="66"/>
        <v>-87.065703474372199</v>
      </c>
    </row>
    <row r="170" spans="1:9" x14ac:dyDescent="0.25">
      <c r="A170" s="10">
        <f t="shared" si="2"/>
        <v>40024</v>
      </c>
      <c r="B170">
        <v>55</v>
      </c>
      <c r="C170">
        <v>180.5</v>
      </c>
      <c r="D170">
        <v>57.8</v>
      </c>
      <c r="E170">
        <v>689.4</v>
      </c>
      <c r="F170" s="19">
        <f t="shared" si="64"/>
        <v>112.8</v>
      </c>
      <c r="G170" s="19">
        <f t="shared" si="65"/>
        <v>869.9</v>
      </c>
      <c r="H170" s="24">
        <f t="shared" si="66"/>
        <v>-87.032992297965279</v>
      </c>
    </row>
    <row r="171" spans="1:9" x14ac:dyDescent="0.25">
      <c r="A171" s="10">
        <f t="shared" si="2"/>
        <v>40031</v>
      </c>
      <c r="B171">
        <v>121</v>
      </c>
      <c r="C171">
        <v>244</v>
      </c>
      <c r="D171">
        <v>57.8</v>
      </c>
      <c r="E171">
        <v>779.3</v>
      </c>
      <c r="F171" s="19">
        <f t="shared" si="64"/>
        <v>178.8</v>
      </c>
      <c r="G171" s="19">
        <f t="shared" si="65"/>
        <v>1023.3</v>
      </c>
      <c r="H171" s="24">
        <f t="shared" si="66"/>
        <v>-82.527118147170924</v>
      </c>
    </row>
    <row r="172" spans="1:9" x14ac:dyDescent="0.25">
      <c r="A172" s="10">
        <f t="shared" si="2"/>
        <v>40038</v>
      </c>
      <c r="B172">
        <v>121</v>
      </c>
      <c r="C172">
        <v>239</v>
      </c>
      <c r="D172">
        <v>57.8</v>
      </c>
      <c r="E172">
        <v>843.9</v>
      </c>
      <c r="F172" s="19">
        <f t="shared" si="64"/>
        <v>178.8</v>
      </c>
      <c r="G172" s="19">
        <f t="shared" si="65"/>
        <v>1082.9000000000001</v>
      </c>
      <c r="H172" s="24">
        <f t="shared" si="66"/>
        <v>-83.488780127435589</v>
      </c>
    </row>
    <row r="173" spans="1:9" x14ac:dyDescent="0.25">
      <c r="A173" s="10">
        <f t="shared" si="2"/>
        <v>40045</v>
      </c>
      <c r="B173">
        <v>181</v>
      </c>
      <c r="C173">
        <v>184</v>
      </c>
      <c r="D173">
        <v>57.8</v>
      </c>
      <c r="E173">
        <v>901.4</v>
      </c>
      <c r="F173" s="19">
        <f t="shared" si="64"/>
        <v>238.8</v>
      </c>
      <c r="G173" s="19">
        <f t="shared" si="65"/>
        <v>1085.4000000000001</v>
      </c>
      <c r="H173" s="24">
        <f t="shared" si="66"/>
        <v>-77.998894416804859</v>
      </c>
    </row>
    <row r="174" spans="1:9" x14ac:dyDescent="0.25">
      <c r="A174" s="10">
        <f t="shared" si="2"/>
        <v>40052</v>
      </c>
      <c r="B174">
        <v>170</v>
      </c>
      <c r="C174">
        <v>178.9</v>
      </c>
      <c r="D174">
        <v>117.9</v>
      </c>
      <c r="E174">
        <v>976.4</v>
      </c>
      <c r="F174" s="19">
        <f t="shared" si="64"/>
        <v>287.89999999999998</v>
      </c>
      <c r="G174" s="19">
        <f t="shared" si="65"/>
        <v>1155.3</v>
      </c>
      <c r="H174" s="24">
        <f t="shared" si="66"/>
        <v>-75.080065783779105</v>
      </c>
    </row>
    <row r="175" spans="1:9" x14ac:dyDescent="0.25">
      <c r="A175" s="10">
        <f t="shared" si="2"/>
        <v>40059</v>
      </c>
      <c r="B175">
        <v>230</v>
      </c>
      <c r="C175">
        <v>238.9</v>
      </c>
      <c r="D175">
        <v>117.9</v>
      </c>
      <c r="E175">
        <v>976.4</v>
      </c>
      <c r="F175" s="19">
        <f t="shared" si="64"/>
        <v>347.9</v>
      </c>
      <c r="G175" s="19">
        <f t="shared" si="65"/>
        <v>1215.3</v>
      </c>
      <c r="H175" s="24">
        <f t="shared" si="66"/>
        <v>-71.373323459228175</v>
      </c>
    </row>
    <row r="176" spans="1:9" x14ac:dyDescent="0.25">
      <c r="A176" s="10">
        <f t="shared" si="2"/>
        <v>40066</v>
      </c>
      <c r="B176">
        <v>175</v>
      </c>
      <c r="C176">
        <v>175</v>
      </c>
      <c r="D176">
        <v>175.6</v>
      </c>
      <c r="E176">
        <v>1040.3</v>
      </c>
      <c r="F176" s="19">
        <f t="shared" si="64"/>
        <v>350.6</v>
      </c>
      <c r="G176" s="19">
        <f t="shared" si="65"/>
        <v>1215.3</v>
      </c>
      <c r="H176" s="24">
        <f t="shared" si="66"/>
        <v>-71.15115609314573</v>
      </c>
    </row>
    <row r="177" spans="1:8" x14ac:dyDescent="0.25">
      <c r="A177" s="10">
        <f t="shared" si="2"/>
        <v>40073</v>
      </c>
      <c r="B177">
        <v>120</v>
      </c>
      <c r="C177">
        <v>115</v>
      </c>
      <c r="D177">
        <v>238.6</v>
      </c>
      <c r="E177">
        <v>1168.8</v>
      </c>
      <c r="F177" s="19">
        <f t="shared" si="64"/>
        <v>358.6</v>
      </c>
      <c r="G177" s="19">
        <f t="shared" si="65"/>
        <v>1283.8</v>
      </c>
      <c r="H177" s="24">
        <f t="shared" si="66"/>
        <v>-72.067300202523754</v>
      </c>
    </row>
    <row r="178" spans="1:8" x14ac:dyDescent="0.25">
      <c r="A178" s="10">
        <f t="shared" si="2"/>
        <v>40080</v>
      </c>
      <c r="B178">
        <v>120</v>
      </c>
      <c r="C178">
        <v>115</v>
      </c>
      <c r="D178">
        <v>301.60000000000002</v>
      </c>
      <c r="E178">
        <v>1168.8</v>
      </c>
      <c r="F178" s="19">
        <f t="shared" si="64"/>
        <v>421.6</v>
      </c>
      <c r="G178" s="19">
        <f t="shared" si="65"/>
        <v>1283.8</v>
      </c>
      <c r="H178" s="24">
        <f t="shared" si="66"/>
        <v>-67.159993768499774</v>
      </c>
    </row>
    <row r="179" spans="1:8" x14ac:dyDescent="0.25">
      <c r="A179" s="10">
        <f t="shared" si="2"/>
        <v>40087</v>
      </c>
      <c r="B179">
        <v>60</v>
      </c>
      <c r="C179">
        <v>60</v>
      </c>
      <c r="D179">
        <v>360.6</v>
      </c>
      <c r="E179">
        <v>1286.3</v>
      </c>
      <c r="F179" s="19">
        <f t="shared" si="64"/>
        <v>420.6</v>
      </c>
      <c r="G179" s="19">
        <f t="shared" si="65"/>
        <v>1346.3</v>
      </c>
      <c r="H179" s="24">
        <f t="shared" si="66"/>
        <v>-68.758820470920298</v>
      </c>
    </row>
    <row r="180" spans="1:8" x14ac:dyDescent="0.25">
      <c r="A180" s="10">
        <f t="shared" si="2"/>
        <v>40094</v>
      </c>
      <c r="B180">
        <v>60</v>
      </c>
      <c r="C180">
        <v>115</v>
      </c>
      <c r="D180">
        <v>360.6</v>
      </c>
      <c r="E180">
        <v>1286.3</v>
      </c>
      <c r="F180" s="19">
        <f t="shared" si="64"/>
        <v>420.6</v>
      </c>
      <c r="G180" s="19">
        <f t="shared" si="65"/>
        <v>1401.3</v>
      </c>
      <c r="H180" s="24">
        <f t="shared" si="66"/>
        <v>-69.985013915649745</v>
      </c>
    </row>
    <row r="181" spans="1:8" x14ac:dyDescent="0.25">
      <c r="A181" s="10">
        <f t="shared" si="2"/>
        <v>40101</v>
      </c>
      <c r="B181">
        <v>0</v>
      </c>
      <c r="C181">
        <v>175</v>
      </c>
      <c r="D181">
        <v>423.6</v>
      </c>
      <c r="E181">
        <v>1286.3</v>
      </c>
      <c r="F181" s="19">
        <f t="shared" si="64"/>
        <v>423.6</v>
      </c>
      <c r="G181" s="19">
        <f t="shared" si="65"/>
        <v>1461.3</v>
      </c>
      <c r="H181" s="24">
        <f t="shared" si="66"/>
        <v>-71.012112502566211</v>
      </c>
    </row>
    <row r="182" spans="1:8" x14ac:dyDescent="0.25">
      <c r="A182" s="10">
        <f t="shared" si="2"/>
        <v>40108</v>
      </c>
      <c r="B182">
        <v>0</v>
      </c>
      <c r="C182">
        <v>178</v>
      </c>
      <c r="D182">
        <v>423.6</v>
      </c>
      <c r="E182">
        <v>1351.8</v>
      </c>
      <c r="F182" s="19">
        <f t="shared" si="64"/>
        <v>423.6</v>
      </c>
      <c r="G182" s="19">
        <f t="shared" si="65"/>
        <v>1529.8</v>
      </c>
      <c r="H182" s="24">
        <f t="shared" si="66"/>
        <v>-72.31010589619558</v>
      </c>
    </row>
    <row r="183" spans="1:8" x14ac:dyDescent="0.25">
      <c r="A183" s="10">
        <f t="shared" si="2"/>
        <v>40115</v>
      </c>
      <c r="B183">
        <v>0</v>
      </c>
      <c r="C183">
        <v>178</v>
      </c>
      <c r="D183">
        <v>423.6</v>
      </c>
      <c r="E183">
        <v>1351.8</v>
      </c>
      <c r="F183" s="19">
        <f t="shared" si="64"/>
        <v>423.6</v>
      </c>
      <c r="G183" s="19">
        <f t="shared" si="65"/>
        <v>1529.8</v>
      </c>
      <c r="H183" s="24">
        <f t="shared" si="66"/>
        <v>-72.31010589619558</v>
      </c>
    </row>
    <row r="184" spans="1:8" x14ac:dyDescent="0.25">
      <c r="A184" s="10">
        <f t="shared" si="2"/>
        <v>40122</v>
      </c>
      <c r="B184">
        <v>0</v>
      </c>
      <c r="C184">
        <v>170</v>
      </c>
      <c r="D184">
        <v>455.6</v>
      </c>
      <c r="E184">
        <v>1481.5</v>
      </c>
      <c r="F184" s="19">
        <f t="shared" si="64"/>
        <v>455.6</v>
      </c>
      <c r="G184" s="19">
        <f t="shared" si="65"/>
        <v>1651.5</v>
      </c>
      <c r="H184" s="24">
        <f t="shared" si="66"/>
        <v>-72.412957917045105</v>
      </c>
    </row>
    <row r="185" spans="1:8" x14ac:dyDescent="0.25">
      <c r="A185" s="10">
        <f t="shared" si="2"/>
        <v>40129</v>
      </c>
      <c r="B185">
        <v>0</v>
      </c>
      <c r="C185">
        <v>170</v>
      </c>
      <c r="D185">
        <v>455.6</v>
      </c>
      <c r="E185">
        <v>1481.5</v>
      </c>
      <c r="F185" s="19">
        <f t="shared" si="64"/>
        <v>455.6</v>
      </c>
      <c r="G185" s="19">
        <f t="shared" si="65"/>
        <v>1651.5</v>
      </c>
      <c r="H185" s="24">
        <f t="shared" si="66"/>
        <v>-72.412957917045105</v>
      </c>
    </row>
    <row r="186" spans="1:8" x14ac:dyDescent="0.25">
      <c r="A186" s="10">
        <f t="shared" si="2"/>
        <v>40136</v>
      </c>
      <c r="B186">
        <v>0</v>
      </c>
      <c r="C186">
        <v>118.5</v>
      </c>
      <c r="D186">
        <v>455.6</v>
      </c>
      <c r="E186">
        <v>1544.5</v>
      </c>
      <c r="F186" s="19">
        <f t="shared" si="64"/>
        <v>455.6</v>
      </c>
      <c r="G186" s="19">
        <f t="shared" si="65"/>
        <v>1663</v>
      </c>
      <c r="H186" s="24">
        <f t="shared" si="66"/>
        <v>-72.603728202044508</v>
      </c>
    </row>
    <row r="187" spans="1:8" x14ac:dyDescent="0.25">
      <c r="A187" s="10">
        <f t="shared" si="2"/>
        <v>40143</v>
      </c>
      <c r="B187">
        <v>0</v>
      </c>
      <c r="C187">
        <v>118.5</v>
      </c>
      <c r="D187">
        <v>455.6</v>
      </c>
      <c r="E187">
        <v>1544.5</v>
      </c>
      <c r="F187" s="19">
        <f t="shared" si="64"/>
        <v>455.6</v>
      </c>
      <c r="G187" s="19">
        <f t="shared" si="65"/>
        <v>1663</v>
      </c>
      <c r="H187" s="24">
        <f t="shared" si="66"/>
        <v>-72.603728202044508</v>
      </c>
    </row>
    <row r="188" spans="1:8" x14ac:dyDescent="0.25">
      <c r="A188" s="10">
        <f t="shared" si="2"/>
        <v>40150</v>
      </c>
      <c r="B188">
        <v>0</v>
      </c>
      <c r="C188">
        <v>118.5</v>
      </c>
      <c r="D188">
        <v>455.6</v>
      </c>
      <c r="E188">
        <v>1544.5</v>
      </c>
      <c r="F188" s="19">
        <f t="shared" ref="F188:F219" si="67">+B188+D188</f>
        <v>455.6</v>
      </c>
      <c r="G188" s="19">
        <f t="shared" ref="G188:G219" si="68">+C188+E188</f>
        <v>1663</v>
      </c>
      <c r="H188" s="24">
        <f t="shared" si="66"/>
        <v>-72.603728202044508</v>
      </c>
    </row>
    <row r="189" spans="1:8" x14ac:dyDescent="0.25">
      <c r="A189" s="10">
        <f t="shared" si="2"/>
        <v>40157</v>
      </c>
      <c r="B189">
        <v>0</v>
      </c>
      <c r="C189">
        <v>110</v>
      </c>
      <c r="D189">
        <v>455.6</v>
      </c>
      <c r="E189">
        <v>1553.5</v>
      </c>
      <c r="F189" s="19">
        <f t="shared" si="67"/>
        <v>455.6</v>
      </c>
      <c r="G189" s="19">
        <f t="shared" si="68"/>
        <v>1663.5</v>
      </c>
      <c r="H189" s="24">
        <f t="shared" ref="H189:H220" si="69">+(F189/G189-1)*100</f>
        <v>-72.61196272918545</v>
      </c>
    </row>
    <row r="190" spans="1:8" x14ac:dyDescent="0.25">
      <c r="A190" s="10">
        <f t="shared" si="2"/>
        <v>40164</v>
      </c>
      <c r="B190">
        <v>0</v>
      </c>
      <c r="C190">
        <v>110</v>
      </c>
      <c r="D190">
        <v>455.6</v>
      </c>
      <c r="E190">
        <v>1611.2</v>
      </c>
      <c r="F190" s="19">
        <f t="shared" si="67"/>
        <v>455.6</v>
      </c>
      <c r="G190" s="19">
        <f t="shared" si="68"/>
        <v>1721.2</v>
      </c>
      <c r="H190" s="24">
        <f t="shared" si="69"/>
        <v>-73.530095282361145</v>
      </c>
    </row>
    <row r="191" spans="1:8" x14ac:dyDescent="0.25">
      <c r="A191" s="10">
        <f t="shared" si="2"/>
        <v>40171</v>
      </c>
      <c r="B191">
        <v>0</v>
      </c>
      <c r="C191">
        <v>170</v>
      </c>
      <c r="D191">
        <v>455.6</v>
      </c>
      <c r="E191">
        <v>1611.2</v>
      </c>
      <c r="F191" s="19">
        <f t="shared" si="67"/>
        <v>455.6</v>
      </c>
      <c r="G191" s="19">
        <f t="shared" si="68"/>
        <v>1781.2</v>
      </c>
      <c r="H191" s="24">
        <f t="shared" si="69"/>
        <v>-74.421738154053443</v>
      </c>
    </row>
    <row r="192" spans="1:8" x14ac:dyDescent="0.25">
      <c r="A192" s="10">
        <f t="shared" si="2"/>
        <v>40178</v>
      </c>
      <c r="B192">
        <v>0</v>
      </c>
      <c r="C192">
        <v>115</v>
      </c>
      <c r="D192">
        <v>455.6</v>
      </c>
      <c r="E192">
        <v>1670.3</v>
      </c>
      <c r="F192" s="19">
        <f t="shared" si="67"/>
        <v>455.6</v>
      </c>
      <c r="G192" s="19">
        <f t="shared" si="68"/>
        <v>1785.3</v>
      </c>
      <c r="H192" s="24">
        <f t="shared" si="69"/>
        <v>-74.480479471237331</v>
      </c>
    </row>
    <row r="193" spans="1:8" x14ac:dyDescent="0.25">
      <c r="A193" s="10">
        <f t="shared" si="2"/>
        <v>40185</v>
      </c>
      <c r="B193">
        <v>0</v>
      </c>
      <c r="C193">
        <v>55</v>
      </c>
      <c r="D193">
        <v>455.6</v>
      </c>
      <c r="E193">
        <v>1670.3</v>
      </c>
      <c r="F193" s="19">
        <f t="shared" si="67"/>
        <v>455.6</v>
      </c>
      <c r="G193" s="19">
        <f t="shared" si="68"/>
        <v>1725.3</v>
      </c>
      <c r="H193" s="24">
        <f t="shared" si="69"/>
        <v>-73.592998319132903</v>
      </c>
    </row>
    <row r="194" spans="1:8" x14ac:dyDescent="0.25">
      <c r="A194" s="10">
        <f t="shared" si="2"/>
        <v>40192</v>
      </c>
      <c r="B194">
        <v>0</v>
      </c>
      <c r="C194">
        <v>55</v>
      </c>
      <c r="D194">
        <v>455.6</v>
      </c>
      <c r="E194">
        <v>1670.3</v>
      </c>
      <c r="F194" s="19">
        <f t="shared" si="67"/>
        <v>455.6</v>
      </c>
      <c r="G194" s="19">
        <f t="shared" si="68"/>
        <v>1725.3</v>
      </c>
      <c r="H194" s="24">
        <f t="shared" si="69"/>
        <v>-73.592998319132903</v>
      </c>
    </row>
    <row r="195" spans="1:8" x14ac:dyDescent="0.25">
      <c r="A195" s="10">
        <f t="shared" si="2"/>
        <v>40199</v>
      </c>
      <c r="B195">
        <v>0</v>
      </c>
      <c r="C195">
        <v>55</v>
      </c>
      <c r="D195">
        <v>455.6</v>
      </c>
      <c r="E195">
        <v>1670.3</v>
      </c>
      <c r="F195" s="19">
        <f t="shared" si="67"/>
        <v>455.6</v>
      </c>
      <c r="G195" s="19">
        <f t="shared" si="68"/>
        <v>1725.3</v>
      </c>
      <c r="H195" s="24">
        <f t="shared" si="69"/>
        <v>-73.592998319132903</v>
      </c>
    </row>
    <row r="196" spans="1:8" x14ac:dyDescent="0.25">
      <c r="A196" s="10">
        <f t="shared" si="2"/>
        <v>40206</v>
      </c>
      <c r="B196">
        <v>0</v>
      </c>
      <c r="C196">
        <v>64</v>
      </c>
      <c r="D196">
        <v>455.6</v>
      </c>
      <c r="E196">
        <v>1670.3</v>
      </c>
      <c r="F196" s="19">
        <f t="shared" si="67"/>
        <v>455.6</v>
      </c>
      <c r="G196" s="19">
        <f t="shared" si="68"/>
        <v>1734.3</v>
      </c>
      <c r="H196" s="24">
        <f t="shared" si="69"/>
        <v>-73.730035172692141</v>
      </c>
    </row>
    <row r="197" spans="1:8" x14ac:dyDescent="0.25">
      <c r="A197" s="10">
        <f t="shared" si="2"/>
        <v>40213</v>
      </c>
      <c r="B197">
        <v>0</v>
      </c>
      <c r="C197">
        <v>179</v>
      </c>
      <c r="D197">
        <v>455.6</v>
      </c>
      <c r="E197">
        <v>1670.3</v>
      </c>
      <c r="F197" s="19">
        <f t="shared" si="67"/>
        <v>455.6</v>
      </c>
      <c r="G197" s="19">
        <f t="shared" si="68"/>
        <v>1849.3</v>
      </c>
      <c r="H197" s="24">
        <f t="shared" si="69"/>
        <v>-75.363651111231277</v>
      </c>
    </row>
    <row r="198" spans="1:8" x14ac:dyDescent="0.25">
      <c r="A198" s="10">
        <f t="shared" si="2"/>
        <v>40220</v>
      </c>
      <c r="B198">
        <v>0</v>
      </c>
      <c r="C198">
        <v>179</v>
      </c>
      <c r="D198">
        <v>455.6</v>
      </c>
      <c r="E198">
        <v>1670.3</v>
      </c>
      <c r="F198" s="19">
        <f t="shared" si="67"/>
        <v>455.6</v>
      </c>
      <c r="G198" s="19">
        <f t="shared" si="68"/>
        <v>1849.3</v>
      </c>
      <c r="H198" s="24">
        <f t="shared" si="69"/>
        <v>-75.363651111231277</v>
      </c>
    </row>
    <row r="199" spans="1:8" x14ac:dyDescent="0.25">
      <c r="A199" s="10">
        <f t="shared" si="2"/>
        <v>40227</v>
      </c>
      <c r="B199">
        <v>0</v>
      </c>
      <c r="C199">
        <v>179</v>
      </c>
      <c r="D199">
        <v>455.6</v>
      </c>
      <c r="E199">
        <v>1670.3</v>
      </c>
      <c r="F199" s="19">
        <f t="shared" si="67"/>
        <v>455.6</v>
      </c>
      <c r="G199" s="19">
        <f t="shared" si="68"/>
        <v>1849.3</v>
      </c>
      <c r="H199" s="24">
        <f t="shared" si="69"/>
        <v>-75.363651111231277</v>
      </c>
    </row>
    <row r="200" spans="1:8" x14ac:dyDescent="0.25">
      <c r="A200" s="10">
        <f t="shared" si="2"/>
        <v>40234</v>
      </c>
      <c r="B200">
        <v>0</v>
      </c>
      <c r="C200">
        <v>124</v>
      </c>
      <c r="D200">
        <v>455.6</v>
      </c>
      <c r="E200">
        <v>1729.3</v>
      </c>
      <c r="F200" s="19">
        <f t="shared" si="67"/>
        <v>455.6</v>
      </c>
      <c r="G200" s="19">
        <f t="shared" si="68"/>
        <v>1853.3</v>
      </c>
      <c r="H200" s="24">
        <f t="shared" si="69"/>
        <v>-75.416824043597913</v>
      </c>
    </row>
    <row r="201" spans="1:8" x14ac:dyDescent="0.25">
      <c r="A201" s="10">
        <f t="shared" si="2"/>
        <v>40241</v>
      </c>
      <c r="B201">
        <v>0</v>
      </c>
      <c r="C201">
        <v>124</v>
      </c>
      <c r="D201">
        <v>455.6</v>
      </c>
      <c r="E201">
        <v>1729.3</v>
      </c>
      <c r="F201" s="19">
        <f t="shared" si="67"/>
        <v>455.6</v>
      </c>
      <c r="G201" s="19">
        <f t="shared" si="68"/>
        <v>1853.3</v>
      </c>
      <c r="H201" s="24">
        <f t="shared" si="69"/>
        <v>-75.416824043597913</v>
      </c>
    </row>
    <row r="202" spans="1:8" x14ac:dyDescent="0.25">
      <c r="A202" s="10">
        <f t="shared" si="2"/>
        <v>40248</v>
      </c>
      <c r="B202">
        <v>0</v>
      </c>
      <c r="C202">
        <v>124</v>
      </c>
      <c r="D202">
        <v>455.6</v>
      </c>
      <c r="E202">
        <v>1729.3</v>
      </c>
      <c r="F202" s="19">
        <f t="shared" si="67"/>
        <v>455.6</v>
      </c>
      <c r="G202" s="19">
        <f t="shared" si="68"/>
        <v>1853.3</v>
      </c>
      <c r="H202" s="24">
        <f t="shared" si="69"/>
        <v>-75.416824043597913</v>
      </c>
    </row>
    <row r="203" spans="1:8" x14ac:dyDescent="0.25">
      <c r="A203" s="10">
        <f t="shared" si="2"/>
        <v>40255</v>
      </c>
      <c r="B203">
        <v>0</v>
      </c>
      <c r="C203">
        <v>55</v>
      </c>
      <c r="D203">
        <v>455.6</v>
      </c>
      <c r="E203">
        <v>1867.9</v>
      </c>
      <c r="F203" s="19">
        <f t="shared" si="67"/>
        <v>455.6</v>
      </c>
      <c r="G203" s="19">
        <f t="shared" si="68"/>
        <v>1922.9</v>
      </c>
      <c r="H203" s="24">
        <f t="shared" si="69"/>
        <v>-76.306620209059233</v>
      </c>
    </row>
    <row r="204" spans="1:8" x14ac:dyDescent="0.25">
      <c r="A204" s="10">
        <f t="shared" si="2"/>
        <v>40262</v>
      </c>
      <c r="B204">
        <v>0</v>
      </c>
      <c r="C204">
        <v>55</v>
      </c>
      <c r="D204">
        <v>455.6</v>
      </c>
      <c r="E204">
        <v>1867.9</v>
      </c>
      <c r="F204" s="19">
        <f t="shared" si="67"/>
        <v>455.6</v>
      </c>
      <c r="G204" s="19">
        <f t="shared" si="68"/>
        <v>1922.9</v>
      </c>
      <c r="H204" s="24">
        <f t="shared" si="69"/>
        <v>-76.306620209059233</v>
      </c>
    </row>
    <row r="205" spans="1:8" x14ac:dyDescent="0.25">
      <c r="A205" s="10">
        <f t="shared" si="2"/>
        <v>40269</v>
      </c>
      <c r="B205">
        <v>0</v>
      </c>
      <c r="C205">
        <v>0</v>
      </c>
      <c r="D205">
        <v>455.6</v>
      </c>
      <c r="E205">
        <v>1928.4</v>
      </c>
      <c r="F205" s="19">
        <f t="shared" si="67"/>
        <v>455.6</v>
      </c>
      <c r="G205" s="19">
        <f t="shared" si="68"/>
        <v>1928.4</v>
      </c>
      <c r="H205" s="24">
        <f t="shared" si="69"/>
        <v>-76.374196224849626</v>
      </c>
    </row>
    <row r="206" spans="1:8" x14ac:dyDescent="0.25">
      <c r="A206" s="10">
        <f t="shared" si="2"/>
        <v>40276</v>
      </c>
      <c r="B206">
        <v>0</v>
      </c>
      <c r="C206">
        <v>0</v>
      </c>
      <c r="D206">
        <v>455.6</v>
      </c>
      <c r="E206">
        <v>1928.4</v>
      </c>
      <c r="F206" s="19">
        <f t="shared" si="67"/>
        <v>455.6</v>
      </c>
      <c r="G206" s="19">
        <f t="shared" si="68"/>
        <v>1928.4</v>
      </c>
      <c r="H206" s="24">
        <f t="shared" si="69"/>
        <v>-76.374196224849626</v>
      </c>
    </row>
    <row r="207" spans="1:8" x14ac:dyDescent="0.25">
      <c r="A207" s="10">
        <f t="shared" si="2"/>
        <v>40283</v>
      </c>
      <c r="B207">
        <v>0</v>
      </c>
      <c r="C207">
        <v>0</v>
      </c>
      <c r="D207">
        <v>455.6</v>
      </c>
      <c r="E207">
        <v>1928.4</v>
      </c>
      <c r="F207" s="19">
        <f t="shared" si="67"/>
        <v>455.6</v>
      </c>
      <c r="G207" s="19">
        <f t="shared" si="68"/>
        <v>1928.4</v>
      </c>
      <c r="H207" s="24">
        <f t="shared" si="69"/>
        <v>-76.374196224849626</v>
      </c>
    </row>
    <row r="208" spans="1:8" x14ac:dyDescent="0.25">
      <c r="A208" s="10">
        <f t="shared" si="2"/>
        <v>40290</v>
      </c>
      <c r="B208">
        <v>0</v>
      </c>
      <c r="C208">
        <v>0</v>
      </c>
      <c r="D208">
        <v>455.6</v>
      </c>
      <c r="E208">
        <v>1928.4</v>
      </c>
      <c r="F208" s="19">
        <f t="shared" si="67"/>
        <v>455.6</v>
      </c>
      <c r="G208" s="19">
        <f t="shared" si="68"/>
        <v>1928.4</v>
      </c>
      <c r="H208" s="24">
        <f t="shared" si="69"/>
        <v>-76.374196224849626</v>
      </c>
    </row>
    <row r="209" spans="1:8" x14ac:dyDescent="0.25">
      <c r="A209" s="10">
        <f t="shared" si="2"/>
        <v>40297</v>
      </c>
      <c r="B209">
        <v>0</v>
      </c>
      <c r="C209">
        <v>0</v>
      </c>
      <c r="D209">
        <v>455.6</v>
      </c>
      <c r="E209">
        <v>1928.4</v>
      </c>
      <c r="F209" s="19">
        <f t="shared" si="67"/>
        <v>455.6</v>
      </c>
      <c r="G209" s="19">
        <f t="shared" si="68"/>
        <v>1928.4</v>
      </c>
      <c r="H209" s="24">
        <f t="shared" si="69"/>
        <v>-76.374196224849626</v>
      </c>
    </row>
    <row r="210" spans="1:8" x14ac:dyDescent="0.25">
      <c r="A210" s="10">
        <f t="shared" si="2"/>
        <v>40304</v>
      </c>
      <c r="B210">
        <v>0</v>
      </c>
      <c r="C210">
        <v>0</v>
      </c>
      <c r="D210">
        <v>455.6</v>
      </c>
      <c r="E210">
        <v>1928.4</v>
      </c>
      <c r="F210" s="19">
        <f t="shared" si="67"/>
        <v>455.6</v>
      </c>
      <c r="G210" s="19">
        <f t="shared" si="68"/>
        <v>1928.4</v>
      </c>
      <c r="H210" s="24">
        <f t="shared" si="69"/>
        <v>-76.374196224849626</v>
      </c>
    </row>
    <row r="211" spans="1:8" x14ac:dyDescent="0.25">
      <c r="A211" s="10">
        <f t="shared" si="2"/>
        <v>40311</v>
      </c>
      <c r="B211">
        <v>0</v>
      </c>
      <c r="C211">
        <v>0</v>
      </c>
      <c r="D211">
        <v>455.6</v>
      </c>
      <c r="E211">
        <v>1928.4</v>
      </c>
      <c r="F211" s="19">
        <f t="shared" si="67"/>
        <v>455.6</v>
      </c>
      <c r="G211" s="19">
        <f t="shared" si="68"/>
        <v>1928.4</v>
      </c>
      <c r="H211" s="24">
        <f t="shared" si="69"/>
        <v>-76.374196224849626</v>
      </c>
    </row>
    <row r="212" spans="1:8" x14ac:dyDescent="0.25">
      <c r="A212" s="10">
        <f t="shared" si="2"/>
        <v>40318</v>
      </c>
      <c r="B212">
        <v>0</v>
      </c>
      <c r="C212">
        <v>0</v>
      </c>
      <c r="D212">
        <v>455.6</v>
      </c>
      <c r="E212">
        <v>1928.4</v>
      </c>
      <c r="F212" s="19">
        <f t="shared" si="67"/>
        <v>455.6</v>
      </c>
      <c r="G212" s="19">
        <f t="shared" si="68"/>
        <v>1928.4</v>
      </c>
      <c r="H212" s="24">
        <f t="shared" si="69"/>
        <v>-76.374196224849626</v>
      </c>
    </row>
    <row r="213" spans="1:8" x14ac:dyDescent="0.25">
      <c r="A213" s="10">
        <f t="shared" si="2"/>
        <v>40325</v>
      </c>
      <c r="B213">
        <v>0</v>
      </c>
      <c r="C213">
        <v>0</v>
      </c>
      <c r="D213">
        <v>455.6</v>
      </c>
      <c r="E213">
        <v>1928.4</v>
      </c>
      <c r="F213" s="19">
        <f t="shared" si="67"/>
        <v>455.6</v>
      </c>
      <c r="G213" s="19">
        <f t="shared" si="68"/>
        <v>1928.4</v>
      </c>
      <c r="H213" s="24">
        <f t="shared" si="69"/>
        <v>-76.374196224849626</v>
      </c>
    </row>
    <row r="214" spans="1:8" x14ac:dyDescent="0.25">
      <c r="A214" s="10">
        <f t="shared" si="2"/>
        <v>40332</v>
      </c>
      <c r="F214" s="19">
        <f t="shared" si="67"/>
        <v>0</v>
      </c>
      <c r="G214" s="19">
        <f t="shared" si="68"/>
        <v>0</v>
      </c>
      <c r="H214" s="24" t="e">
        <f t="shared" si="69"/>
        <v>#DIV/0!</v>
      </c>
    </row>
    <row r="215" spans="1:8" x14ac:dyDescent="0.25">
      <c r="A215" s="10">
        <f t="shared" si="2"/>
        <v>40339</v>
      </c>
      <c r="B215">
        <v>0</v>
      </c>
      <c r="C215">
        <v>55</v>
      </c>
      <c r="D215">
        <v>0</v>
      </c>
      <c r="E215">
        <v>0</v>
      </c>
      <c r="F215" s="19">
        <f t="shared" si="67"/>
        <v>0</v>
      </c>
      <c r="G215" s="19">
        <f t="shared" si="68"/>
        <v>55</v>
      </c>
      <c r="H215" s="24">
        <f t="shared" si="69"/>
        <v>-100</v>
      </c>
    </row>
    <row r="216" spans="1:8" x14ac:dyDescent="0.25">
      <c r="A216" s="10">
        <f t="shared" si="2"/>
        <v>40346</v>
      </c>
      <c r="B216">
        <v>0</v>
      </c>
      <c r="C216">
        <v>55</v>
      </c>
      <c r="D216">
        <v>0</v>
      </c>
      <c r="E216">
        <v>0</v>
      </c>
      <c r="F216" s="19">
        <f t="shared" si="67"/>
        <v>0</v>
      </c>
      <c r="G216" s="19">
        <f t="shared" si="68"/>
        <v>55</v>
      </c>
      <c r="H216" s="24">
        <f t="shared" si="69"/>
        <v>-100</v>
      </c>
    </row>
    <row r="217" spans="1:8" x14ac:dyDescent="0.25">
      <c r="A217" s="10">
        <f t="shared" si="2"/>
        <v>40353</v>
      </c>
      <c r="B217">
        <v>0</v>
      </c>
      <c r="C217">
        <v>55</v>
      </c>
      <c r="D217">
        <v>0</v>
      </c>
      <c r="E217">
        <v>0</v>
      </c>
      <c r="F217" s="19">
        <f t="shared" si="67"/>
        <v>0</v>
      </c>
      <c r="G217" s="19">
        <f t="shared" si="68"/>
        <v>55</v>
      </c>
      <c r="H217" s="24">
        <f t="shared" si="69"/>
        <v>-100</v>
      </c>
    </row>
    <row r="218" spans="1:8" x14ac:dyDescent="0.25">
      <c r="A218" s="10">
        <f t="shared" si="2"/>
        <v>40360</v>
      </c>
      <c r="B218">
        <v>0</v>
      </c>
      <c r="C218">
        <v>0</v>
      </c>
      <c r="D218">
        <v>0</v>
      </c>
      <c r="E218">
        <v>57.8</v>
      </c>
      <c r="F218" s="19">
        <f t="shared" si="67"/>
        <v>0</v>
      </c>
      <c r="G218" s="19">
        <f t="shared" si="68"/>
        <v>57.8</v>
      </c>
      <c r="H218" s="24">
        <f t="shared" si="69"/>
        <v>-100</v>
      </c>
    </row>
    <row r="219" spans="1:8" x14ac:dyDescent="0.25">
      <c r="A219" s="10">
        <f t="shared" si="2"/>
        <v>40367</v>
      </c>
      <c r="B219">
        <v>0</v>
      </c>
      <c r="C219">
        <v>0</v>
      </c>
      <c r="D219">
        <v>0</v>
      </c>
      <c r="E219">
        <v>57.8</v>
      </c>
      <c r="F219" s="19">
        <f t="shared" si="67"/>
        <v>0</v>
      </c>
      <c r="G219" s="19">
        <f t="shared" si="68"/>
        <v>57.8</v>
      </c>
      <c r="H219" s="24">
        <f t="shared" si="69"/>
        <v>-100</v>
      </c>
    </row>
    <row r="220" spans="1:8" x14ac:dyDescent="0.25">
      <c r="A220" s="10">
        <f t="shared" si="2"/>
        <v>40374</v>
      </c>
      <c r="B220">
        <v>0</v>
      </c>
      <c r="C220">
        <v>0</v>
      </c>
      <c r="D220">
        <v>0</v>
      </c>
      <c r="E220">
        <v>57.8</v>
      </c>
      <c r="F220" s="19">
        <f t="shared" ref="F220:F251" si="70">+B220+D220</f>
        <v>0</v>
      </c>
      <c r="G220" s="19">
        <f t="shared" ref="G220:G251" si="71">+C220+E220</f>
        <v>57.8</v>
      </c>
      <c r="H220" s="24">
        <f t="shared" si="69"/>
        <v>-100</v>
      </c>
    </row>
    <row r="221" spans="1:8" x14ac:dyDescent="0.25">
      <c r="A221" s="10">
        <f t="shared" si="2"/>
        <v>40381</v>
      </c>
      <c r="B221">
        <v>75</v>
      </c>
      <c r="C221">
        <v>55</v>
      </c>
      <c r="D221">
        <v>20.2</v>
      </c>
      <c r="E221">
        <v>57.8</v>
      </c>
      <c r="F221" s="19">
        <f t="shared" si="70"/>
        <v>95.2</v>
      </c>
      <c r="G221" s="19">
        <f t="shared" si="71"/>
        <v>112.8</v>
      </c>
      <c r="H221" s="24">
        <f t="shared" ref="H221:H252" si="72">+(F221/G221-1)*100</f>
        <v>-15.602836879432624</v>
      </c>
    </row>
    <row r="222" spans="1:8" x14ac:dyDescent="0.25">
      <c r="A222" s="10">
        <f t="shared" si="2"/>
        <v>40388</v>
      </c>
      <c r="B222">
        <v>185</v>
      </c>
      <c r="C222">
        <v>55</v>
      </c>
      <c r="D222">
        <v>20.2</v>
      </c>
      <c r="E222">
        <v>57.8</v>
      </c>
      <c r="F222" s="19">
        <f t="shared" si="70"/>
        <v>205.2</v>
      </c>
      <c r="G222" s="19">
        <f t="shared" si="71"/>
        <v>112.8</v>
      </c>
      <c r="H222" s="24">
        <f t="shared" si="72"/>
        <v>81.914893617021264</v>
      </c>
    </row>
    <row r="223" spans="1:8" x14ac:dyDescent="0.25">
      <c r="A223" s="10">
        <f t="shared" si="2"/>
        <v>40395</v>
      </c>
      <c r="B223">
        <v>375</v>
      </c>
      <c r="C223">
        <v>121</v>
      </c>
      <c r="D223">
        <v>20.2</v>
      </c>
      <c r="E223">
        <v>57.8</v>
      </c>
      <c r="F223" s="19">
        <f t="shared" si="70"/>
        <v>395.2</v>
      </c>
      <c r="G223" s="19">
        <f t="shared" si="71"/>
        <v>178.8</v>
      </c>
      <c r="H223" s="24">
        <f t="shared" si="72"/>
        <v>121.02908277404919</v>
      </c>
    </row>
    <row r="224" spans="1:8" x14ac:dyDescent="0.25">
      <c r="A224" s="10">
        <f t="shared" si="2"/>
        <v>40402</v>
      </c>
      <c r="B224">
        <v>969</v>
      </c>
      <c r="C224">
        <v>121</v>
      </c>
      <c r="D224">
        <v>20.2</v>
      </c>
      <c r="E224">
        <v>57.8</v>
      </c>
      <c r="F224" s="19">
        <f t="shared" si="70"/>
        <v>989.2</v>
      </c>
      <c r="G224" s="19">
        <f t="shared" si="71"/>
        <v>178.8</v>
      </c>
      <c r="H224" s="24">
        <f t="shared" si="72"/>
        <v>453.24384787472036</v>
      </c>
    </row>
    <row r="225" spans="1:8" x14ac:dyDescent="0.25">
      <c r="A225" s="10">
        <f t="shared" si="2"/>
        <v>40409</v>
      </c>
      <c r="B225">
        <v>1047</v>
      </c>
      <c r="C225">
        <v>181</v>
      </c>
      <c r="D225">
        <v>78.099999999999994</v>
      </c>
      <c r="E225">
        <v>57.8</v>
      </c>
      <c r="F225" s="19">
        <f t="shared" si="70"/>
        <v>1125.0999999999999</v>
      </c>
      <c r="G225" s="19">
        <f t="shared" si="71"/>
        <v>238.8</v>
      </c>
      <c r="H225" s="24">
        <f t="shared" si="72"/>
        <v>371.14740368509206</v>
      </c>
    </row>
    <row r="226" spans="1:8" x14ac:dyDescent="0.25">
      <c r="A226" s="10">
        <f t="shared" si="2"/>
        <v>40416</v>
      </c>
      <c r="B226">
        <v>1047</v>
      </c>
      <c r="C226">
        <v>170</v>
      </c>
      <c r="D226">
        <v>161.4</v>
      </c>
      <c r="E226">
        <v>117.9</v>
      </c>
      <c r="F226" s="19">
        <f t="shared" si="70"/>
        <v>1208.4000000000001</v>
      </c>
      <c r="G226" s="19">
        <f t="shared" si="71"/>
        <v>287.89999999999998</v>
      </c>
      <c r="H226" s="24">
        <f t="shared" si="72"/>
        <v>319.72907259465097</v>
      </c>
    </row>
    <row r="227" spans="1:8" x14ac:dyDescent="0.25">
      <c r="A227" s="10">
        <f t="shared" si="2"/>
        <v>40423</v>
      </c>
      <c r="B227">
        <v>1012.6</v>
      </c>
      <c r="C227">
        <v>230</v>
      </c>
      <c r="D227">
        <v>311.60000000000002</v>
      </c>
      <c r="E227">
        <v>117.9</v>
      </c>
      <c r="F227" s="19">
        <f t="shared" si="70"/>
        <v>1324.2</v>
      </c>
      <c r="G227" s="19">
        <f t="shared" si="71"/>
        <v>347.9</v>
      </c>
      <c r="H227" s="24">
        <f t="shared" si="72"/>
        <v>280.62661684392071</v>
      </c>
    </row>
    <row r="228" spans="1:8" x14ac:dyDescent="0.25">
      <c r="A228" s="10">
        <f t="shared" si="2"/>
        <v>40430</v>
      </c>
      <c r="B228">
        <v>567.6</v>
      </c>
      <c r="C228">
        <v>175</v>
      </c>
      <c r="D228">
        <v>493</v>
      </c>
      <c r="E228">
        <v>175.6</v>
      </c>
      <c r="F228" s="19">
        <f t="shared" si="70"/>
        <v>1060.5999999999999</v>
      </c>
      <c r="G228" s="19">
        <f t="shared" si="71"/>
        <v>350.6</v>
      </c>
      <c r="H228" s="24">
        <f t="shared" si="72"/>
        <v>202.50998288648026</v>
      </c>
    </row>
    <row r="229" spans="1:8" x14ac:dyDescent="0.25">
      <c r="A229" s="10">
        <f t="shared" si="2"/>
        <v>40437</v>
      </c>
      <c r="B229">
        <v>722.6</v>
      </c>
      <c r="C229">
        <v>120</v>
      </c>
      <c r="D229">
        <v>626.4</v>
      </c>
      <c r="E229">
        <v>238.6</v>
      </c>
      <c r="F229" s="19">
        <f t="shared" si="70"/>
        <v>1349</v>
      </c>
      <c r="G229" s="19">
        <f t="shared" si="71"/>
        <v>358.6</v>
      </c>
      <c r="H229" s="24">
        <f t="shared" si="72"/>
        <v>276.18516452872279</v>
      </c>
    </row>
    <row r="230" spans="1:8" x14ac:dyDescent="0.25">
      <c r="A230" s="10">
        <f t="shared" si="2"/>
        <v>40444</v>
      </c>
      <c r="B230">
        <v>846.5</v>
      </c>
      <c r="C230">
        <v>120</v>
      </c>
      <c r="D230">
        <v>626.4</v>
      </c>
      <c r="E230">
        <v>301.60000000000002</v>
      </c>
      <c r="F230" s="19">
        <f t="shared" si="70"/>
        <v>1472.9</v>
      </c>
      <c r="G230" s="19">
        <f t="shared" si="71"/>
        <v>421.6</v>
      </c>
      <c r="H230" s="24">
        <f t="shared" si="72"/>
        <v>249.35958254269451</v>
      </c>
    </row>
    <row r="231" spans="1:8" x14ac:dyDescent="0.25">
      <c r="A231" s="10">
        <f t="shared" si="2"/>
        <v>40451</v>
      </c>
      <c r="B231">
        <v>840.5</v>
      </c>
      <c r="C231">
        <v>60</v>
      </c>
      <c r="D231">
        <v>780</v>
      </c>
      <c r="E231">
        <v>360.6</v>
      </c>
      <c r="F231" s="19">
        <f t="shared" si="70"/>
        <v>1620.5</v>
      </c>
      <c r="G231" s="19">
        <f t="shared" si="71"/>
        <v>420.6</v>
      </c>
      <c r="H231" s="24">
        <f t="shared" si="72"/>
        <v>285.28292914883497</v>
      </c>
    </row>
    <row r="232" spans="1:8" x14ac:dyDescent="0.25">
      <c r="A232" s="10">
        <f t="shared" si="2"/>
        <v>40458</v>
      </c>
      <c r="B232">
        <v>683.5</v>
      </c>
      <c r="C232">
        <v>60</v>
      </c>
      <c r="D232">
        <v>881.7</v>
      </c>
      <c r="E232">
        <v>360.6</v>
      </c>
      <c r="F232" s="19">
        <f t="shared" si="70"/>
        <v>1565.2</v>
      </c>
      <c r="G232" s="19">
        <f t="shared" si="71"/>
        <v>420.6</v>
      </c>
      <c r="H232" s="24">
        <f t="shared" si="72"/>
        <v>272.13504517356159</v>
      </c>
    </row>
    <row r="233" spans="1:8" x14ac:dyDescent="0.25">
      <c r="A233" s="10">
        <f t="shared" si="2"/>
        <v>40465</v>
      </c>
      <c r="B233">
        <v>701</v>
      </c>
      <c r="C233">
        <v>0</v>
      </c>
      <c r="D233">
        <v>938.2</v>
      </c>
      <c r="E233">
        <v>423.6</v>
      </c>
      <c r="F233" s="19">
        <f t="shared" si="70"/>
        <v>1639.2</v>
      </c>
      <c r="G233" s="19">
        <f t="shared" si="71"/>
        <v>423.6</v>
      </c>
      <c r="H233" s="24">
        <f t="shared" si="72"/>
        <v>286.96883852691212</v>
      </c>
    </row>
    <row r="234" spans="1:8" x14ac:dyDescent="0.25">
      <c r="A234" s="10">
        <f t="shared" si="2"/>
        <v>40472</v>
      </c>
      <c r="B234">
        <v>817.5</v>
      </c>
      <c r="C234">
        <v>0</v>
      </c>
      <c r="D234">
        <v>1061.9000000000001</v>
      </c>
      <c r="E234">
        <v>423.6</v>
      </c>
      <c r="F234" s="19">
        <f t="shared" si="70"/>
        <v>1879.4</v>
      </c>
      <c r="G234" s="19">
        <f t="shared" si="71"/>
        <v>423.6</v>
      </c>
      <c r="H234" s="24">
        <f t="shared" si="72"/>
        <v>343.67327667610954</v>
      </c>
    </row>
    <row r="235" spans="1:8" x14ac:dyDescent="0.25">
      <c r="A235" s="10">
        <f t="shared" si="2"/>
        <v>40479</v>
      </c>
      <c r="B235">
        <v>756</v>
      </c>
      <c r="C235">
        <v>0</v>
      </c>
      <c r="D235">
        <v>1119.7</v>
      </c>
      <c r="E235">
        <v>423.6</v>
      </c>
      <c r="F235" s="19">
        <f t="shared" si="70"/>
        <v>1875.7</v>
      </c>
      <c r="G235" s="19">
        <f t="shared" si="71"/>
        <v>423.6</v>
      </c>
      <c r="H235" s="24">
        <f t="shared" si="72"/>
        <v>342.79981114258737</v>
      </c>
    </row>
    <row r="236" spans="1:8" x14ac:dyDescent="0.25">
      <c r="A236" s="10">
        <f t="shared" si="2"/>
        <v>40486</v>
      </c>
      <c r="B236">
        <v>691.4</v>
      </c>
      <c r="C236">
        <v>0</v>
      </c>
      <c r="D236">
        <v>1177.4000000000001</v>
      </c>
      <c r="E236">
        <v>455.6</v>
      </c>
      <c r="F236" s="19">
        <f t="shared" si="70"/>
        <v>1868.8000000000002</v>
      </c>
      <c r="G236" s="19">
        <f t="shared" si="71"/>
        <v>455.6</v>
      </c>
      <c r="H236" s="24">
        <f t="shared" si="72"/>
        <v>310.18437225636524</v>
      </c>
    </row>
    <row r="237" spans="1:8" x14ac:dyDescent="0.25">
      <c r="A237" s="10">
        <f t="shared" si="2"/>
        <v>40493</v>
      </c>
      <c r="B237">
        <v>806.4</v>
      </c>
      <c r="C237">
        <v>0</v>
      </c>
      <c r="D237">
        <v>1177.4000000000001</v>
      </c>
      <c r="E237">
        <v>455.6</v>
      </c>
      <c r="F237" s="19">
        <f t="shared" si="70"/>
        <v>1983.8000000000002</v>
      </c>
      <c r="G237" s="19">
        <f t="shared" si="71"/>
        <v>455.6</v>
      </c>
      <c r="H237" s="24">
        <f t="shared" si="72"/>
        <v>335.42581211589112</v>
      </c>
    </row>
    <row r="238" spans="1:8" x14ac:dyDescent="0.25">
      <c r="A238" s="10">
        <f t="shared" si="2"/>
        <v>40500</v>
      </c>
      <c r="B238">
        <v>871.4</v>
      </c>
      <c r="C238">
        <v>0</v>
      </c>
      <c r="D238">
        <v>1293.5999999999999</v>
      </c>
      <c r="E238">
        <v>455.6</v>
      </c>
      <c r="F238" s="19">
        <f t="shared" si="70"/>
        <v>2165</v>
      </c>
      <c r="G238" s="19">
        <f t="shared" si="71"/>
        <v>455.6</v>
      </c>
      <c r="H238" s="24">
        <f t="shared" si="72"/>
        <v>375.19754170324848</v>
      </c>
    </row>
    <row r="239" spans="1:8" x14ac:dyDescent="0.25">
      <c r="A239" s="10">
        <f t="shared" si="2"/>
        <v>40507</v>
      </c>
      <c r="B239">
        <v>816.4</v>
      </c>
      <c r="C239">
        <v>0</v>
      </c>
      <c r="D239">
        <v>1405.9</v>
      </c>
      <c r="E239">
        <v>455.6</v>
      </c>
      <c r="F239" s="19">
        <f t="shared" si="70"/>
        <v>2222.3000000000002</v>
      </c>
      <c r="G239" s="19">
        <f t="shared" si="71"/>
        <v>455.6</v>
      </c>
      <c r="H239" s="24">
        <f t="shared" si="72"/>
        <v>387.77436347673398</v>
      </c>
    </row>
    <row r="240" spans="1:8" x14ac:dyDescent="0.25">
      <c r="A240" s="10">
        <f t="shared" si="2"/>
        <v>40514</v>
      </c>
      <c r="B240">
        <v>877.4</v>
      </c>
      <c r="C240">
        <v>0</v>
      </c>
      <c r="D240">
        <v>1467</v>
      </c>
      <c r="E240">
        <v>455.6</v>
      </c>
      <c r="F240" s="19">
        <f t="shared" si="70"/>
        <v>2344.4</v>
      </c>
      <c r="G240" s="19">
        <f t="shared" si="71"/>
        <v>455.6</v>
      </c>
      <c r="H240" s="24">
        <f t="shared" si="72"/>
        <v>414.57418788410888</v>
      </c>
    </row>
    <row r="241" spans="1:8" x14ac:dyDescent="0.25">
      <c r="A241" s="10">
        <f t="shared" si="2"/>
        <v>40521</v>
      </c>
      <c r="B241">
        <v>882.5</v>
      </c>
      <c r="C241">
        <v>0</v>
      </c>
      <c r="D241">
        <v>1518.3</v>
      </c>
      <c r="E241">
        <v>455.6</v>
      </c>
      <c r="F241" s="19">
        <f t="shared" si="70"/>
        <v>2400.8000000000002</v>
      </c>
      <c r="G241" s="19">
        <f t="shared" si="71"/>
        <v>455.6</v>
      </c>
      <c r="H241" s="24">
        <f t="shared" si="72"/>
        <v>426.95346795434591</v>
      </c>
    </row>
    <row r="242" spans="1:8" x14ac:dyDescent="0.25">
      <c r="A242" s="10">
        <f t="shared" si="2"/>
        <v>40528</v>
      </c>
      <c r="B242">
        <v>937.5</v>
      </c>
      <c r="C242">
        <v>0</v>
      </c>
      <c r="D242">
        <v>1633.8</v>
      </c>
      <c r="E242">
        <v>455.6</v>
      </c>
      <c r="F242" s="19">
        <f t="shared" si="70"/>
        <v>2571.3000000000002</v>
      </c>
      <c r="G242" s="19">
        <f t="shared" si="71"/>
        <v>455.6</v>
      </c>
      <c r="H242" s="24">
        <f t="shared" si="72"/>
        <v>464.3766461808604</v>
      </c>
    </row>
    <row r="243" spans="1:8" x14ac:dyDescent="0.25">
      <c r="A243" s="10">
        <f t="shared" si="2"/>
        <v>40535</v>
      </c>
      <c r="B243">
        <v>882.5</v>
      </c>
      <c r="C243">
        <v>0</v>
      </c>
      <c r="D243">
        <v>1682.6</v>
      </c>
      <c r="E243">
        <v>455.6</v>
      </c>
      <c r="F243" s="19">
        <f t="shared" si="70"/>
        <v>2565.1</v>
      </c>
      <c r="G243" s="19">
        <f t="shared" si="71"/>
        <v>455.6</v>
      </c>
      <c r="H243" s="24">
        <f t="shared" si="72"/>
        <v>463.01580333625986</v>
      </c>
    </row>
    <row r="244" spans="1:8" x14ac:dyDescent="0.25">
      <c r="A244" s="10">
        <f t="shared" si="2"/>
        <v>40542</v>
      </c>
      <c r="B244">
        <v>827.5</v>
      </c>
      <c r="C244">
        <v>0</v>
      </c>
      <c r="D244">
        <v>1740.3</v>
      </c>
      <c r="E244">
        <v>455.6</v>
      </c>
      <c r="F244" s="19">
        <f t="shared" si="70"/>
        <v>2567.8000000000002</v>
      </c>
      <c r="G244" s="19">
        <f t="shared" si="71"/>
        <v>455.6</v>
      </c>
      <c r="H244" s="24">
        <f t="shared" si="72"/>
        <v>463.60842844600529</v>
      </c>
    </row>
    <row r="245" spans="1:8" x14ac:dyDescent="0.25">
      <c r="A245" s="10">
        <f t="shared" si="2"/>
        <v>40549</v>
      </c>
      <c r="B245">
        <v>659.8</v>
      </c>
      <c r="C245">
        <v>0</v>
      </c>
      <c r="D245">
        <v>1972.3</v>
      </c>
      <c r="E245">
        <v>455.6</v>
      </c>
      <c r="F245" s="19">
        <f t="shared" si="70"/>
        <v>2632.1</v>
      </c>
      <c r="G245" s="19">
        <f t="shared" si="71"/>
        <v>455.6</v>
      </c>
      <c r="H245" s="24">
        <f t="shared" si="72"/>
        <v>477.72168568920097</v>
      </c>
    </row>
    <row r="246" spans="1:8" x14ac:dyDescent="0.25">
      <c r="A246" s="10">
        <f t="shared" si="2"/>
        <v>40556</v>
      </c>
      <c r="B246">
        <v>675.5</v>
      </c>
      <c r="C246">
        <v>0</v>
      </c>
      <c r="D246">
        <v>1972.3</v>
      </c>
      <c r="E246">
        <v>455.6</v>
      </c>
      <c r="F246" s="19">
        <f t="shared" si="70"/>
        <v>2647.8</v>
      </c>
      <c r="G246" s="19">
        <f t="shared" si="71"/>
        <v>455.6</v>
      </c>
      <c r="H246" s="24">
        <f t="shared" si="72"/>
        <v>481.16769095697987</v>
      </c>
    </row>
    <row r="247" spans="1:8" x14ac:dyDescent="0.25">
      <c r="A247" s="10">
        <f t="shared" si="2"/>
        <v>40563</v>
      </c>
      <c r="B247">
        <v>670.5</v>
      </c>
      <c r="C247">
        <v>0</v>
      </c>
      <c r="D247">
        <v>2087.4</v>
      </c>
      <c r="E247">
        <v>455.6</v>
      </c>
      <c r="F247" s="19">
        <f t="shared" si="70"/>
        <v>2757.9</v>
      </c>
      <c r="G247" s="19">
        <f t="shared" si="71"/>
        <v>455.6</v>
      </c>
      <c r="H247" s="24">
        <f t="shared" si="72"/>
        <v>505.3336259877085</v>
      </c>
    </row>
    <row r="248" spans="1:8" x14ac:dyDescent="0.25">
      <c r="A248" s="10">
        <f t="shared" si="2"/>
        <v>40570</v>
      </c>
      <c r="B248">
        <v>695.9</v>
      </c>
      <c r="C248">
        <v>0</v>
      </c>
      <c r="D248">
        <v>2202.1999999999998</v>
      </c>
      <c r="E248">
        <v>455.6</v>
      </c>
      <c r="F248" s="19">
        <f t="shared" si="70"/>
        <v>2898.1</v>
      </c>
      <c r="G248" s="19">
        <f t="shared" si="71"/>
        <v>455.6</v>
      </c>
      <c r="H248" s="24">
        <f t="shared" si="72"/>
        <v>536.10623353819142</v>
      </c>
    </row>
    <row r="249" spans="1:8" x14ac:dyDescent="0.25">
      <c r="A249" s="10">
        <f t="shared" si="2"/>
        <v>40577</v>
      </c>
      <c r="B249">
        <v>618.9</v>
      </c>
      <c r="C249">
        <v>0</v>
      </c>
      <c r="D249">
        <v>2297.1999999999998</v>
      </c>
      <c r="E249">
        <v>455.6</v>
      </c>
      <c r="F249" s="19">
        <f t="shared" si="70"/>
        <v>2916.1</v>
      </c>
      <c r="G249" s="19">
        <f t="shared" si="71"/>
        <v>455.6</v>
      </c>
      <c r="H249" s="24">
        <f t="shared" si="72"/>
        <v>540.05706760316059</v>
      </c>
    </row>
    <row r="250" spans="1:8" x14ac:dyDescent="0.25">
      <c r="A250" s="10">
        <f t="shared" si="2"/>
        <v>40584</v>
      </c>
      <c r="B250">
        <v>508.9</v>
      </c>
      <c r="C250">
        <v>0</v>
      </c>
      <c r="D250">
        <v>2438.6</v>
      </c>
      <c r="E250">
        <v>455.6</v>
      </c>
      <c r="F250" s="19">
        <f t="shared" si="70"/>
        <v>2947.5</v>
      </c>
      <c r="G250" s="19">
        <f t="shared" si="71"/>
        <v>455.6</v>
      </c>
      <c r="H250" s="24">
        <f t="shared" si="72"/>
        <v>546.94907813871816</v>
      </c>
    </row>
    <row r="251" spans="1:8" x14ac:dyDescent="0.25">
      <c r="A251" s="10">
        <f t="shared" si="2"/>
        <v>40591</v>
      </c>
      <c r="B251">
        <v>458.9</v>
      </c>
      <c r="C251">
        <v>0</v>
      </c>
      <c r="D251">
        <v>2783.8</v>
      </c>
      <c r="E251">
        <v>455.6</v>
      </c>
      <c r="F251" s="19">
        <f t="shared" si="70"/>
        <v>3242.7000000000003</v>
      </c>
      <c r="G251" s="19">
        <f t="shared" si="71"/>
        <v>455.6</v>
      </c>
      <c r="H251" s="24">
        <f t="shared" si="72"/>
        <v>611.7427568042142</v>
      </c>
    </row>
    <row r="252" spans="1:8" x14ac:dyDescent="0.25">
      <c r="A252" s="10">
        <f t="shared" si="2"/>
        <v>40598</v>
      </c>
      <c r="B252">
        <v>579.5</v>
      </c>
      <c r="C252">
        <v>0</v>
      </c>
      <c r="D252">
        <v>2839.2</v>
      </c>
      <c r="E252">
        <v>455.6</v>
      </c>
      <c r="F252" s="19">
        <f t="shared" ref="F252:F264" si="73">+B252+D252</f>
        <v>3418.7</v>
      </c>
      <c r="G252" s="19">
        <f t="shared" ref="G252:G264" si="74">+C252+E252</f>
        <v>455.6</v>
      </c>
      <c r="H252" s="24">
        <f t="shared" si="72"/>
        <v>650.37313432835811</v>
      </c>
    </row>
    <row r="253" spans="1:8" x14ac:dyDescent="0.25">
      <c r="A253" s="10">
        <f t="shared" ref="A253:A316" si="75">+A252+7</f>
        <v>40605</v>
      </c>
      <c r="B253">
        <v>639.5</v>
      </c>
      <c r="C253">
        <v>0</v>
      </c>
      <c r="D253">
        <v>2896.5</v>
      </c>
      <c r="E253">
        <v>455.6</v>
      </c>
      <c r="F253" s="19">
        <f t="shared" si="73"/>
        <v>3536</v>
      </c>
      <c r="G253" s="19">
        <f t="shared" si="74"/>
        <v>455.6</v>
      </c>
      <c r="H253" s="24">
        <f t="shared" ref="H253:H265" si="76">+(F253/G253-1)*100</f>
        <v>676.11940298507454</v>
      </c>
    </row>
    <row r="254" spans="1:8" x14ac:dyDescent="0.25">
      <c r="A254" s="10">
        <f t="shared" si="75"/>
        <v>40612</v>
      </c>
      <c r="B254">
        <v>535.5</v>
      </c>
      <c r="C254">
        <v>0</v>
      </c>
      <c r="D254">
        <v>3095.8</v>
      </c>
      <c r="E254">
        <v>455.6</v>
      </c>
      <c r="F254" s="19">
        <f t="shared" si="73"/>
        <v>3631.3</v>
      </c>
      <c r="G254" s="19">
        <f t="shared" si="74"/>
        <v>455.6</v>
      </c>
      <c r="H254" s="24">
        <f t="shared" si="76"/>
        <v>697.03687445127298</v>
      </c>
    </row>
    <row r="255" spans="1:8" x14ac:dyDescent="0.25">
      <c r="A255" s="10">
        <f t="shared" si="75"/>
        <v>40619</v>
      </c>
      <c r="B255">
        <v>594.5</v>
      </c>
      <c r="C255">
        <v>0</v>
      </c>
      <c r="D255">
        <v>3153.6</v>
      </c>
      <c r="E255">
        <v>455.6</v>
      </c>
      <c r="F255" s="19">
        <f t="shared" si="73"/>
        <v>3748.1</v>
      </c>
      <c r="G255" s="19">
        <f t="shared" si="74"/>
        <v>455.6</v>
      </c>
      <c r="H255" s="24">
        <f t="shared" si="76"/>
        <v>722.67339771729587</v>
      </c>
    </row>
    <row r="256" spans="1:8" x14ac:dyDescent="0.25">
      <c r="A256" s="10">
        <f t="shared" si="75"/>
        <v>40626</v>
      </c>
      <c r="B256">
        <v>586</v>
      </c>
      <c r="C256">
        <v>0</v>
      </c>
      <c r="D256">
        <v>3163</v>
      </c>
      <c r="E256">
        <v>455.6</v>
      </c>
      <c r="F256" s="19">
        <f t="shared" si="73"/>
        <v>3749</v>
      </c>
      <c r="G256" s="19">
        <f t="shared" si="74"/>
        <v>455.6</v>
      </c>
      <c r="H256" s="24">
        <f t="shared" si="76"/>
        <v>722.87093942054435</v>
      </c>
    </row>
    <row r="257" spans="1:8" x14ac:dyDescent="0.25">
      <c r="A257" s="10">
        <f t="shared" si="75"/>
        <v>40633</v>
      </c>
      <c r="B257">
        <v>542.6</v>
      </c>
      <c r="C257">
        <v>0</v>
      </c>
      <c r="D257">
        <v>3214.8</v>
      </c>
      <c r="E257">
        <v>455.6</v>
      </c>
      <c r="F257" s="19">
        <f t="shared" si="73"/>
        <v>3757.4</v>
      </c>
      <c r="G257" s="19">
        <f t="shared" si="74"/>
        <v>455.6</v>
      </c>
      <c r="H257" s="24">
        <f t="shared" si="76"/>
        <v>724.71466198419671</v>
      </c>
    </row>
    <row r="258" spans="1:8" x14ac:dyDescent="0.25">
      <c r="A258" s="10">
        <f t="shared" si="75"/>
        <v>40640</v>
      </c>
      <c r="B258">
        <v>601.5</v>
      </c>
      <c r="C258">
        <v>0</v>
      </c>
      <c r="D258">
        <v>3272.6</v>
      </c>
      <c r="E258">
        <v>455.6</v>
      </c>
      <c r="F258" s="19">
        <f t="shared" si="73"/>
        <v>3874.1</v>
      </c>
      <c r="G258" s="19">
        <f t="shared" si="74"/>
        <v>455.6</v>
      </c>
      <c r="H258" s="24">
        <f t="shared" si="76"/>
        <v>750.32923617208064</v>
      </c>
    </row>
    <row r="259" spans="1:8" x14ac:dyDescent="0.25">
      <c r="A259" s="10">
        <f t="shared" si="75"/>
        <v>40647</v>
      </c>
      <c r="B259">
        <v>533.79999999999995</v>
      </c>
      <c r="C259">
        <v>0</v>
      </c>
      <c r="D259">
        <v>3404.2</v>
      </c>
      <c r="E259">
        <v>455.6</v>
      </c>
      <c r="F259" s="19">
        <f t="shared" si="73"/>
        <v>3938</v>
      </c>
      <c r="G259" s="19">
        <f t="shared" si="74"/>
        <v>455.6</v>
      </c>
      <c r="H259" s="24">
        <f t="shared" si="76"/>
        <v>764.35469710272162</v>
      </c>
    </row>
    <row r="260" spans="1:8" x14ac:dyDescent="0.25">
      <c r="A260" s="10">
        <f t="shared" si="75"/>
        <v>40654</v>
      </c>
      <c r="B260">
        <v>414.8</v>
      </c>
      <c r="C260">
        <v>0</v>
      </c>
      <c r="D260">
        <v>3530</v>
      </c>
      <c r="E260">
        <v>455.6</v>
      </c>
      <c r="F260" s="19">
        <f t="shared" si="73"/>
        <v>3944.8</v>
      </c>
      <c r="G260" s="19">
        <f t="shared" si="74"/>
        <v>455.6</v>
      </c>
      <c r="H260" s="24">
        <f t="shared" si="76"/>
        <v>765.84723441615449</v>
      </c>
    </row>
    <row r="261" spans="1:8" x14ac:dyDescent="0.25">
      <c r="A261" s="10">
        <f t="shared" si="75"/>
        <v>40661</v>
      </c>
      <c r="B261">
        <v>294.8</v>
      </c>
      <c r="C261">
        <v>0</v>
      </c>
      <c r="D261">
        <v>3652.7</v>
      </c>
      <c r="E261">
        <v>455.6</v>
      </c>
      <c r="F261" s="19">
        <f t="shared" si="73"/>
        <v>3947.5</v>
      </c>
      <c r="G261" s="19">
        <f t="shared" si="74"/>
        <v>455.6</v>
      </c>
      <c r="H261" s="24">
        <f t="shared" si="76"/>
        <v>766.43985952589981</v>
      </c>
    </row>
    <row r="262" spans="1:8" x14ac:dyDescent="0.25">
      <c r="A262" s="10">
        <f t="shared" si="75"/>
        <v>40668</v>
      </c>
      <c r="B262">
        <v>174.9</v>
      </c>
      <c r="C262">
        <v>0</v>
      </c>
      <c r="D262">
        <v>3776.4</v>
      </c>
      <c r="E262">
        <v>455.6</v>
      </c>
      <c r="F262" s="19">
        <f t="shared" si="73"/>
        <v>3951.3</v>
      </c>
      <c r="G262" s="19">
        <f t="shared" si="74"/>
        <v>455.6</v>
      </c>
      <c r="H262" s="24">
        <f t="shared" si="76"/>
        <v>767.27392449517117</v>
      </c>
    </row>
    <row r="263" spans="1:8" x14ac:dyDescent="0.25">
      <c r="A263" s="10">
        <f t="shared" si="75"/>
        <v>40675</v>
      </c>
      <c r="B263">
        <v>108</v>
      </c>
      <c r="C263">
        <v>0</v>
      </c>
      <c r="D263">
        <v>3846.2</v>
      </c>
      <c r="E263">
        <v>455.6</v>
      </c>
      <c r="F263" s="19">
        <f t="shared" si="73"/>
        <v>3954.2</v>
      </c>
      <c r="G263" s="19">
        <f t="shared" si="74"/>
        <v>455.6</v>
      </c>
      <c r="H263" s="24">
        <f t="shared" si="76"/>
        <v>767.91044776119395</v>
      </c>
    </row>
    <row r="264" spans="1:8" x14ac:dyDescent="0.25">
      <c r="A264" s="10">
        <f t="shared" si="75"/>
        <v>40682</v>
      </c>
      <c r="B264">
        <v>0</v>
      </c>
      <c r="C264">
        <v>0</v>
      </c>
      <c r="D264">
        <v>4021.2</v>
      </c>
      <c r="E264">
        <v>455.6</v>
      </c>
      <c r="F264" s="19">
        <f t="shared" si="73"/>
        <v>4021.2</v>
      </c>
      <c r="G264" s="19">
        <f t="shared" si="74"/>
        <v>455.6</v>
      </c>
      <c r="H264" s="24">
        <f t="shared" si="76"/>
        <v>782.61633011413517</v>
      </c>
    </row>
    <row r="265" spans="1:8" x14ac:dyDescent="0.25">
      <c r="A265" s="10">
        <f t="shared" si="75"/>
        <v>40689</v>
      </c>
      <c r="B265">
        <v>0</v>
      </c>
      <c r="C265">
        <v>0</v>
      </c>
      <c r="D265">
        <v>4021.2</v>
      </c>
      <c r="E265">
        <v>455.6</v>
      </c>
      <c r="F265" s="19">
        <f t="shared" ref="F265:F274" si="77">+B265+D265</f>
        <v>4021.2</v>
      </c>
      <c r="G265" s="19">
        <f t="shared" ref="G265:G274" si="78">+C265+E265</f>
        <v>455.6</v>
      </c>
      <c r="H265" s="24">
        <f t="shared" si="76"/>
        <v>782.61633011413517</v>
      </c>
    </row>
    <row r="266" spans="1:8" x14ac:dyDescent="0.25">
      <c r="A266" s="10">
        <f t="shared" si="75"/>
        <v>40696</v>
      </c>
      <c r="B266" s="48" t="s">
        <v>193</v>
      </c>
      <c r="C266" s="48" t="s">
        <v>193</v>
      </c>
      <c r="D266" s="48" t="s">
        <v>193</v>
      </c>
      <c r="E266" s="48" t="s">
        <v>193</v>
      </c>
      <c r="F266" s="81" t="s">
        <v>194</v>
      </c>
      <c r="G266" s="19"/>
      <c r="H266" s="24"/>
    </row>
    <row r="267" spans="1:8" x14ac:dyDescent="0.25">
      <c r="A267" s="10">
        <f t="shared" si="75"/>
        <v>40703</v>
      </c>
      <c r="B267" s="48">
        <v>0</v>
      </c>
      <c r="C267" s="48">
        <v>0</v>
      </c>
      <c r="D267" s="48">
        <v>57.8</v>
      </c>
      <c r="E267" s="48">
        <v>0</v>
      </c>
      <c r="F267" s="19">
        <f t="shared" si="77"/>
        <v>57.8</v>
      </c>
      <c r="G267" s="19">
        <f t="shared" si="78"/>
        <v>0</v>
      </c>
      <c r="H267" s="24"/>
    </row>
    <row r="268" spans="1:8" x14ac:dyDescent="0.25">
      <c r="A268" s="10">
        <f t="shared" si="75"/>
        <v>40710</v>
      </c>
      <c r="B268" s="48">
        <v>60</v>
      </c>
      <c r="C268" s="48">
        <v>0</v>
      </c>
      <c r="D268" s="48">
        <v>57.8</v>
      </c>
      <c r="E268" s="48">
        <v>0</v>
      </c>
      <c r="F268" s="19">
        <f t="shared" si="77"/>
        <v>117.8</v>
      </c>
      <c r="G268" s="19">
        <f t="shared" si="78"/>
        <v>0</v>
      </c>
      <c r="H268" s="24"/>
    </row>
    <row r="269" spans="1:8" x14ac:dyDescent="0.25">
      <c r="A269" s="10">
        <f t="shared" si="75"/>
        <v>40717</v>
      </c>
      <c r="B269">
        <v>60</v>
      </c>
      <c r="C269" s="48">
        <v>0</v>
      </c>
      <c r="D269" s="48">
        <v>57.8</v>
      </c>
      <c r="E269" s="48">
        <v>0</v>
      </c>
      <c r="F269" s="19">
        <f t="shared" si="77"/>
        <v>117.8</v>
      </c>
      <c r="G269" s="19">
        <f t="shared" si="78"/>
        <v>0</v>
      </c>
      <c r="H269" s="24"/>
    </row>
    <row r="270" spans="1:8" x14ac:dyDescent="0.25">
      <c r="A270" s="10">
        <f t="shared" si="75"/>
        <v>40724</v>
      </c>
      <c r="B270">
        <v>60</v>
      </c>
      <c r="C270" s="48">
        <v>0</v>
      </c>
      <c r="D270" s="48">
        <v>57.8</v>
      </c>
      <c r="E270" s="48">
        <v>0</v>
      </c>
      <c r="F270" s="19">
        <f t="shared" si="77"/>
        <v>117.8</v>
      </c>
      <c r="G270" s="19">
        <f t="shared" si="78"/>
        <v>0</v>
      </c>
    </row>
    <row r="271" spans="1:8" x14ac:dyDescent="0.25">
      <c r="A271" s="10">
        <f t="shared" si="75"/>
        <v>40731</v>
      </c>
      <c r="B271">
        <v>60</v>
      </c>
      <c r="C271" s="48">
        <v>0</v>
      </c>
      <c r="D271" s="48">
        <v>57.8</v>
      </c>
      <c r="E271" s="48">
        <v>0</v>
      </c>
      <c r="F271" s="19">
        <f t="shared" si="77"/>
        <v>117.8</v>
      </c>
      <c r="G271" s="19">
        <f t="shared" si="78"/>
        <v>0</v>
      </c>
    </row>
    <row r="272" spans="1:8" x14ac:dyDescent="0.25">
      <c r="A272" s="10">
        <f t="shared" si="75"/>
        <v>40738</v>
      </c>
      <c r="B272">
        <v>60</v>
      </c>
      <c r="C272" s="48">
        <v>0</v>
      </c>
      <c r="D272" s="48">
        <v>57.8</v>
      </c>
      <c r="E272" s="48">
        <v>0</v>
      </c>
      <c r="F272" s="19">
        <f t="shared" si="77"/>
        <v>117.8</v>
      </c>
      <c r="G272" s="19">
        <f t="shared" si="78"/>
        <v>0</v>
      </c>
    </row>
    <row r="273" spans="1:8" x14ac:dyDescent="0.25">
      <c r="A273" s="10">
        <f t="shared" si="75"/>
        <v>40745</v>
      </c>
      <c r="B273">
        <v>0</v>
      </c>
      <c r="C273" s="48">
        <v>75</v>
      </c>
      <c r="D273" s="48">
        <v>120.7</v>
      </c>
      <c r="E273" s="48">
        <v>20.2</v>
      </c>
      <c r="F273" s="19">
        <f t="shared" si="77"/>
        <v>120.7</v>
      </c>
      <c r="G273" s="19">
        <f t="shared" si="78"/>
        <v>95.2</v>
      </c>
    </row>
    <row r="274" spans="1:8" x14ac:dyDescent="0.25">
      <c r="A274" s="10">
        <f t="shared" si="75"/>
        <v>40752</v>
      </c>
      <c r="B274">
        <v>0</v>
      </c>
      <c r="C274" s="48">
        <v>185</v>
      </c>
      <c r="D274" s="48">
        <v>120.7</v>
      </c>
      <c r="E274" s="48">
        <v>20.2</v>
      </c>
      <c r="F274" s="19">
        <f t="shared" si="77"/>
        <v>120.7</v>
      </c>
      <c r="G274" s="19">
        <f t="shared" si="78"/>
        <v>205.2</v>
      </c>
    </row>
    <row r="275" spans="1:8" x14ac:dyDescent="0.25">
      <c r="A275" s="10">
        <f t="shared" si="75"/>
        <v>40759</v>
      </c>
      <c r="B275">
        <v>0</v>
      </c>
      <c r="C275">
        <v>375</v>
      </c>
      <c r="D275">
        <v>183.7</v>
      </c>
      <c r="E275">
        <v>20.2</v>
      </c>
      <c r="F275" s="19">
        <f t="shared" ref="F275:F311" si="79">+B275+D275</f>
        <v>183.7</v>
      </c>
      <c r="G275" s="19">
        <f t="shared" ref="G275:G311" si="80">+C275+E275</f>
        <v>395.2</v>
      </c>
    </row>
    <row r="276" spans="1:8" x14ac:dyDescent="0.25">
      <c r="A276" s="10">
        <f t="shared" si="75"/>
        <v>40766</v>
      </c>
      <c r="B276">
        <v>0</v>
      </c>
      <c r="C276">
        <v>969</v>
      </c>
      <c r="D276">
        <v>183.7</v>
      </c>
      <c r="E276">
        <v>20.2</v>
      </c>
      <c r="F276" s="19">
        <f t="shared" si="79"/>
        <v>183.7</v>
      </c>
      <c r="G276" s="19">
        <f t="shared" si="80"/>
        <v>989.2</v>
      </c>
    </row>
    <row r="277" spans="1:8" x14ac:dyDescent="0.25">
      <c r="A277" s="10">
        <f t="shared" si="75"/>
        <v>40773</v>
      </c>
      <c r="B277">
        <v>0</v>
      </c>
      <c r="C277">
        <v>1047</v>
      </c>
      <c r="D277">
        <v>246.7</v>
      </c>
      <c r="E277">
        <v>78.099999999999994</v>
      </c>
      <c r="F277" s="19">
        <f t="shared" si="79"/>
        <v>246.7</v>
      </c>
      <c r="G277" s="19">
        <f t="shared" si="80"/>
        <v>1125.0999999999999</v>
      </c>
    </row>
    <row r="278" spans="1:8" x14ac:dyDescent="0.25">
      <c r="A278" s="10">
        <f t="shared" si="75"/>
        <v>40780</v>
      </c>
      <c r="B278">
        <v>0</v>
      </c>
      <c r="C278">
        <v>1047</v>
      </c>
      <c r="D278">
        <v>246.7</v>
      </c>
      <c r="E278">
        <v>161.4</v>
      </c>
      <c r="F278" s="19">
        <f t="shared" si="79"/>
        <v>246.7</v>
      </c>
      <c r="G278" s="19">
        <f t="shared" si="80"/>
        <v>1208.4000000000001</v>
      </c>
    </row>
    <row r="279" spans="1:8" x14ac:dyDescent="0.25">
      <c r="A279" s="10">
        <f t="shared" si="75"/>
        <v>40787</v>
      </c>
      <c r="B279">
        <v>0</v>
      </c>
      <c r="C279">
        <v>1012.6</v>
      </c>
      <c r="D279">
        <v>246.7</v>
      </c>
      <c r="E279">
        <v>311.60000000000002</v>
      </c>
      <c r="F279" s="19">
        <f t="shared" si="79"/>
        <v>246.7</v>
      </c>
      <c r="G279" s="19">
        <f t="shared" si="80"/>
        <v>1324.2</v>
      </c>
    </row>
    <row r="280" spans="1:8" x14ac:dyDescent="0.25">
      <c r="A280" s="10">
        <f t="shared" si="75"/>
        <v>40794</v>
      </c>
      <c r="B280">
        <v>0</v>
      </c>
      <c r="C280">
        <v>567.6</v>
      </c>
      <c r="D280">
        <v>246.7</v>
      </c>
      <c r="E280">
        <v>493</v>
      </c>
      <c r="F280" s="19">
        <f t="shared" si="79"/>
        <v>246.7</v>
      </c>
      <c r="G280" s="19">
        <f t="shared" si="80"/>
        <v>1060.5999999999999</v>
      </c>
    </row>
    <row r="281" spans="1:8" x14ac:dyDescent="0.25">
      <c r="A281" s="10">
        <f t="shared" si="75"/>
        <v>40801</v>
      </c>
      <c r="B281">
        <v>0</v>
      </c>
      <c r="C281">
        <v>722.6</v>
      </c>
      <c r="D281">
        <v>246.7</v>
      </c>
      <c r="E281">
        <v>626.4</v>
      </c>
      <c r="F281" s="19">
        <f t="shared" si="79"/>
        <v>246.7</v>
      </c>
      <c r="G281" s="19">
        <f t="shared" si="80"/>
        <v>1349</v>
      </c>
    </row>
    <row r="282" spans="1:8" x14ac:dyDescent="0.25">
      <c r="A282" s="10">
        <f t="shared" si="75"/>
        <v>40808</v>
      </c>
      <c r="B282">
        <v>0</v>
      </c>
      <c r="C282">
        <v>846.6</v>
      </c>
      <c r="D282">
        <v>246.7</v>
      </c>
      <c r="E282">
        <v>626.4</v>
      </c>
      <c r="F282" s="19">
        <f t="shared" si="79"/>
        <v>246.7</v>
      </c>
      <c r="G282" s="19">
        <f t="shared" si="80"/>
        <v>1473</v>
      </c>
      <c r="H282" s="80"/>
    </row>
    <row r="283" spans="1:8" x14ac:dyDescent="0.25">
      <c r="A283" s="10">
        <f t="shared" si="75"/>
        <v>40815</v>
      </c>
      <c r="B283">
        <v>0</v>
      </c>
      <c r="C283">
        <v>840.5</v>
      </c>
      <c r="D283">
        <v>246.7</v>
      </c>
      <c r="E283">
        <v>780</v>
      </c>
      <c r="F283" s="19">
        <f t="shared" si="79"/>
        <v>246.7</v>
      </c>
      <c r="G283" s="19">
        <f t="shared" si="80"/>
        <v>1620.5</v>
      </c>
      <c r="H283" s="80"/>
    </row>
    <row r="284" spans="1:8" x14ac:dyDescent="0.25">
      <c r="A284" s="10">
        <f t="shared" si="75"/>
        <v>40822</v>
      </c>
      <c r="B284">
        <v>0</v>
      </c>
      <c r="C284">
        <v>63.6</v>
      </c>
      <c r="D284">
        <v>246.7</v>
      </c>
      <c r="E284">
        <v>881.7</v>
      </c>
      <c r="F284" s="19">
        <f t="shared" si="79"/>
        <v>246.7</v>
      </c>
      <c r="G284" s="19">
        <f t="shared" si="80"/>
        <v>945.30000000000007</v>
      </c>
    </row>
    <row r="285" spans="1:8" x14ac:dyDescent="0.25">
      <c r="A285" s="10">
        <f t="shared" si="75"/>
        <v>40829</v>
      </c>
      <c r="B285">
        <v>0</v>
      </c>
      <c r="C285">
        <v>701.1</v>
      </c>
      <c r="D285">
        <v>246.7</v>
      </c>
      <c r="E285">
        <v>938.2</v>
      </c>
      <c r="F285" s="19">
        <f t="shared" si="79"/>
        <v>246.7</v>
      </c>
      <c r="G285" s="19">
        <f t="shared" si="80"/>
        <v>1639.3000000000002</v>
      </c>
    </row>
    <row r="286" spans="1:8" x14ac:dyDescent="0.25">
      <c r="A286" s="10">
        <f t="shared" si="75"/>
        <v>40836</v>
      </c>
      <c r="B286">
        <v>0</v>
      </c>
      <c r="C286">
        <v>817.6</v>
      </c>
      <c r="D286">
        <v>246.7</v>
      </c>
      <c r="E286">
        <v>1061.9000000000001</v>
      </c>
      <c r="F286" s="19">
        <f t="shared" si="79"/>
        <v>246.7</v>
      </c>
      <c r="G286" s="19">
        <f t="shared" si="80"/>
        <v>1879.5</v>
      </c>
    </row>
    <row r="287" spans="1:8" x14ac:dyDescent="0.25">
      <c r="A287" s="10">
        <f t="shared" si="75"/>
        <v>40843</v>
      </c>
      <c r="B287">
        <v>0</v>
      </c>
      <c r="C287">
        <v>756.1</v>
      </c>
      <c r="D287">
        <v>246.7</v>
      </c>
      <c r="E287">
        <v>1119.7</v>
      </c>
      <c r="F287" s="19">
        <f t="shared" si="79"/>
        <v>246.7</v>
      </c>
      <c r="G287" s="19">
        <f t="shared" si="80"/>
        <v>1875.8000000000002</v>
      </c>
    </row>
    <row r="288" spans="1:8" x14ac:dyDescent="0.25">
      <c r="A288" s="10">
        <f t="shared" si="75"/>
        <v>40850</v>
      </c>
      <c r="B288">
        <v>0</v>
      </c>
      <c r="C288">
        <v>691.4</v>
      </c>
      <c r="D288">
        <v>246.7</v>
      </c>
      <c r="E288">
        <v>1177.4000000000001</v>
      </c>
      <c r="F288" s="19">
        <f t="shared" si="79"/>
        <v>246.7</v>
      </c>
      <c r="G288" s="19">
        <f t="shared" si="80"/>
        <v>1868.8000000000002</v>
      </c>
    </row>
    <row r="289" spans="1:7" x14ac:dyDescent="0.25">
      <c r="A289" s="10">
        <f t="shared" si="75"/>
        <v>40857</v>
      </c>
      <c r="B289">
        <v>0</v>
      </c>
      <c r="C289">
        <v>806.4</v>
      </c>
      <c r="D289">
        <v>246.7</v>
      </c>
      <c r="E289">
        <v>1177.4000000000001</v>
      </c>
      <c r="F289" s="19">
        <f t="shared" si="79"/>
        <v>246.7</v>
      </c>
      <c r="G289" s="19">
        <f t="shared" si="80"/>
        <v>1983.8000000000002</v>
      </c>
    </row>
    <row r="290" spans="1:7" x14ac:dyDescent="0.25">
      <c r="A290" s="10">
        <f t="shared" si="75"/>
        <v>40864</v>
      </c>
      <c r="B290">
        <v>0</v>
      </c>
      <c r="C290">
        <v>871.4</v>
      </c>
      <c r="D290">
        <v>246.7</v>
      </c>
      <c r="E290">
        <v>1293.5999999999999</v>
      </c>
      <c r="F290" s="19">
        <f t="shared" si="79"/>
        <v>246.7</v>
      </c>
      <c r="G290" s="19">
        <f t="shared" si="80"/>
        <v>2165</v>
      </c>
    </row>
    <row r="291" spans="1:7" x14ac:dyDescent="0.25">
      <c r="A291" s="10">
        <f t="shared" si="75"/>
        <v>40871</v>
      </c>
      <c r="B291">
        <v>0</v>
      </c>
      <c r="C291">
        <v>816.4</v>
      </c>
      <c r="D291">
        <v>246.7</v>
      </c>
      <c r="E291">
        <v>1405.9</v>
      </c>
      <c r="F291" s="19">
        <f t="shared" si="79"/>
        <v>246.7</v>
      </c>
      <c r="G291" s="19">
        <f t="shared" si="80"/>
        <v>2222.3000000000002</v>
      </c>
    </row>
    <row r="292" spans="1:7" x14ac:dyDescent="0.25">
      <c r="A292" s="10">
        <f t="shared" si="75"/>
        <v>40878</v>
      </c>
      <c r="B292">
        <v>0</v>
      </c>
      <c r="C292">
        <v>877.4</v>
      </c>
      <c r="D292">
        <v>246.7</v>
      </c>
      <c r="E292">
        <v>1461.9</v>
      </c>
      <c r="F292" s="19">
        <f t="shared" si="79"/>
        <v>246.7</v>
      </c>
      <c r="G292" s="19">
        <f t="shared" si="80"/>
        <v>2339.3000000000002</v>
      </c>
    </row>
    <row r="293" spans="1:7" x14ac:dyDescent="0.25">
      <c r="A293" s="10">
        <f t="shared" si="75"/>
        <v>40885</v>
      </c>
      <c r="B293">
        <v>0</v>
      </c>
      <c r="C293">
        <v>882.5</v>
      </c>
      <c r="D293">
        <v>246.7</v>
      </c>
      <c r="E293">
        <v>1518.3</v>
      </c>
      <c r="F293" s="19">
        <f t="shared" si="79"/>
        <v>246.7</v>
      </c>
      <c r="G293" s="19">
        <f t="shared" si="80"/>
        <v>2400.8000000000002</v>
      </c>
    </row>
    <row r="294" spans="1:7" x14ac:dyDescent="0.25">
      <c r="A294" s="10">
        <f t="shared" si="75"/>
        <v>40892</v>
      </c>
      <c r="B294">
        <v>0</v>
      </c>
      <c r="C294">
        <v>937.5</v>
      </c>
      <c r="D294">
        <v>246.7</v>
      </c>
      <c r="E294">
        <v>1633.8</v>
      </c>
      <c r="F294" s="19">
        <f t="shared" si="79"/>
        <v>246.7</v>
      </c>
      <c r="G294" s="19">
        <f t="shared" si="80"/>
        <v>2571.3000000000002</v>
      </c>
    </row>
    <row r="295" spans="1:7" x14ac:dyDescent="0.25">
      <c r="A295" s="10">
        <f t="shared" si="75"/>
        <v>40899</v>
      </c>
      <c r="B295">
        <v>0</v>
      </c>
      <c r="C295">
        <v>882.5</v>
      </c>
      <c r="D295">
        <v>246.7</v>
      </c>
      <c r="E295">
        <v>1682.6</v>
      </c>
      <c r="F295" s="19">
        <f t="shared" si="79"/>
        <v>246.7</v>
      </c>
      <c r="G295" s="19">
        <f t="shared" si="80"/>
        <v>2565.1</v>
      </c>
    </row>
    <row r="296" spans="1:7" x14ac:dyDescent="0.25">
      <c r="A296" s="10">
        <f t="shared" si="75"/>
        <v>40906</v>
      </c>
      <c r="B296">
        <v>0</v>
      </c>
      <c r="C296">
        <v>827.5</v>
      </c>
      <c r="D296">
        <v>246.7</v>
      </c>
      <c r="E296">
        <v>1740.3</v>
      </c>
      <c r="F296" s="19">
        <f t="shared" si="79"/>
        <v>246.7</v>
      </c>
      <c r="G296" s="19">
        <f t="shared" si="80"/>
        <v>2567.8000000000002</v>
      </c>
    </row>
    <row r="297" spans="1:7" x14ac:dyDescent="0.25">
      <c r="A297" s="10">
        <f t="shared" si="75"/>
        <v>40913</v>
      </c>
      <c r="B297">
        <v>0</v>
      </c>
      <c r="C297">
        <v>659.8</v>
      </c>
      <c r="D297">
        <v>246.7</v>
      </c>
      <c r="E297">
        <v>1972.3</v>
      </c>
      <c r="F297" s="19">
        <f t="shared" si="79"/>
        <v>246.7</v>
      </c>
      <c r="G297" s="19">
        <f t="shared" si="80"/>
        <v>2632.1</v>
      </c>
    </row>
    <row r="298" spans="1:7" x14ac:dyDescent="0.25">
      <c r="A298" s="10">
        <f t="shared" si="75"/>
        <v>40920</v>
      </c>
      <c r="B298">
        <v>0</v>
      </c>
      <c r="C298">
        <v>675.5</v>
      </c>
      <c r="D298">
        <v>246.7</v>
      </c>
      <c r="E298">
        <v>1972.3</v>
      </c>
      <c r="F298" s="19">
        <f t="shared" si="79"/>
        <v>246.7</v>
      </c>
      <c r="G298" s="19">
        <f t="shared" si="80"/>
        <v>2647.8</v>
      </c>
    </row>
    <row r="299" spans="1:7" x14ac:dyDescent="0.25">
      <c r="A299" s="10">
        <f t="shared" si="75"/>
        <v>40927</v>
      </c>
      <c r="B299">
        <v>0</v>
      </c>
      <c r="C299">
        <v>670.5</v>
      </c>
      <c r="D299">
        <v>246.7</v>
      </c>
      <c r="E299">
        <v>2087.5</v>
      </c>
      <c r="F299" s="19">
        <f t="shared" si="79"/>
        <v>246.7</v>
      </c>
      <c r="G299" s="19">
        <f t="shared" si="80"/>
        <v>2758</v>
      </c>
    </row>
    <row r="300" spans="1:7" x14ac:dyDescent="0.25">
      <c r="A300" s="10">
        <f t="shared" si="75"/>
        <v>40934</v>
      </c>
      <c r="B300">
        <v>0</v>
      </c>
      <c r="C300">
        <v>695.9</v>
      </c>
      <c r="D300">
        <v>246.7</v>
      </c>
      <c r="E300">
        <v>2202.1999999999998</v>
      </c>
      <c r="F300" s="19">
        <f t="shared" si="79"/>
        <v>246.7</v>
      </c>
      <c r="G300" s="19">
        <f t="shared" si="80"/>
        <v>2898.1</v>
      </c>
    </row>
    <row r="301" spans="1:7" x14ac:dyDescent="0.25">
      <c r="A301" s="10">
        <f t="shared" si="75"/>
        <v>40941</v>
      </c>
      <c r="B301">
        <v>0</v>
      </c>
      <c r="C301">
        <v>618.9</v>
      </c>
      <c r="D301">
        <v>246.7</v>
      </c>
      <c r="E301">
        <v>2297.1999999999998</v>
      </c>
      <c r="F301" s="19">
        <f t="shared" si="79"/>
        <v>246.7</v>
      </c>
      <c r="G301" s="19">
        <f t="shared" si="80"/>
        <v>2916.1</v>
      </c>
    </row>
    <row r="302" spans="1:7" x14ac:dyDescent="0.25">
      <c r="A302" s="10">
        <f t="shared" si="75"/>
        <v>40948</v>
      </c>
      <c r="B302">
        <v>9</v>
      </c>
      <c r="C302">
        <v>508.9</v>
      </c>
      <c r="D302">
        <v>246.7</v>
      </c>
      <c r="E302">
        <v>2438.6</v>
      </c>
      <c r="F302" s="19">
        <f t="shared" si="79"/>
        <v>255.7</v>
      </c>
      <c r="G302" s="19">
        <f t="shared" si="80"/>
        <v>2947.5</v>
      </c>
    </row>
    <row r="303" spans="1:7" x14ac:dyDescent="0.25">
      <c r="A303" s="10">
        <f t="shared" si="75"/>
        <v>40955</v>
      </c>
      <c r="B303">
        <v>198</v>
      </c>
      <c r="C303">
        <v>458.9</v>
      </c>
      <c r="D303">
        <v>246.7</v>
      </c>
      <c r="E303">
        <v>2783.8</v>
      </c>
      <c r="F303" s="19">
        <f t="shared" si="79"/>
        <v>444.7</v>
      </c>
      <c r="G303" s="19">
        <f t="shared" si="80"/>
        <v>3242.7000000000003</v>
      </c>
    </row>
    <row r="304" spans="1:7" x14ac:dyDescent="0.25">
      <c r="A304" s="10">
        <f t="shared" si="75"/>
        <v>40962</v>
      </c>
      <c r="B304">
        <v>198</v>
      </c>
      <c r="C304">
        <v>579.5</v>
      </c>
      <c r="D304">
        <v>246.7</v>
      </c>
      <c r="E304">
        <v>2839.2</v>
      </c>
      <c r="F304" s="19">
        <f t="shared" si="79"/>
        <v>444.7</v>
      </c>
      <c r="G304" s="19">
        <f t="shared" si="80"/>
        <v>3418.7</v>
      </c>
    </row>
    <row r="305" spans="1:8" x14ac:dyDescent="0.25">
      <c r="A305" s="10">
        <f t="shared" si="75"/>
        <v>40969</v>
      </c>
      <c r="B305">
        <v>198</v>
      </c>
      <c r="C305">
        <v>639.5</v>
      </c>
      <c r="D305">
        <v>246.7</v>
      </c>
      <c r="E305">
        <v>2896.5</v>
      </c>
      <c r="F305" s="19">
        <f t="shared" si="79"/>
        <v>444.7</v>
      </c>
      <c r="G305" s="19">
        <f t="shared" si="80"/>
        <v>3536</v>
      </c>
    </row>
    <row r="306" spans="1:8" x14ac:dyDescent="0.25">
      <c r="A306" s="10">
        <f t="shared" si="75"/>
        <v>40976</v>
      </c>
      <c r="B306">
        <v>189</v>
      </c>
      <c r="C306">
        <v>535.5</v>
      </c>
      <c r="D306">
        <v>256.60000000000002</v>
      </c>
      <c r="E306">
        <v>3095.8</v>
      </c>
      <c r="F306" s="19">
        <f t="shared" si="79"/>
        <v>445.6</v>
      </c>
      <c r="G306" s="19">
        <f t="shared" si="80"/>
        <v>3631.3</v>
      </c>
    </row>
    <row r="307" spans="1:8" x14ac:dyDescent="0.25">
      <c r="A307" s="10">
        <f t="shared" si="75"/>
        <v>40983</v>
      </c>
      <c r="B307">
        <v>189</v>
      </c>
      <c r="C307">
        <v>594.5</v>
      </c>
      <c r="D307">
        <v>315.3</v>
      </c>
      <c r="E307">
        <v>3153.6</v>
      </c>
      <c r="F307" s="19">
        <f t="shared" si="79"/>
        <v>504.3</v>
      </c>
      <c r="G307" s="19">
        <f t="shared" si="80"/>
        <v>3748.1</v>
      </c>
    </row>
    <row r="308" spans="1:8" x14ac:dyDescent="0.25">
      <c r="A308" s="10">
        <f t="shared" si="75"/>
        <v>40990</v>
      </c>
      <c r="B308">
        <v>249</v>
      </c>
      <c r="C308">
        <v>586</v>
      </c>
      <c r="D308">
        <v>315.3</v>
      </c>
      <c r="E308">
        <v>3163</v>
      </c>
      <c r="F308" s="19">
        <f t="shared" si="79"/>
        <v>564.29999999999995</v>
      </c>
      <c r="G308" s="19">
        <f t="shared" si="80"/>
        <v>3749</v>
      </c>
    </row>
    <row r="309" spans="1:8" x14ac:dyDescent="0.25">
      <c r="A309" s="10">
        <f t="shared" si="75"/>
        <v>40997</v>
      </c>
      <c r="B309">
        <v>355</v>
      </c>
      <c r="C309">
        <v>542.6</v>
      </c>
      <c r="D309">
        <v>326.10000000000002</v>
      </c>
      <c r="E309">
        <v>3214.8</v>
      </c>
      <c r="F309" s="19">
        <f t="shared" si="79"/>
        <v>681.1</v>
      </c>
      <c r="G309" s="19">
        <f t="shared" si="80"/>
        <v>3757.4</v>
      </c>
    </row>
    <row r="310" spans="1:8" x14ac:dyDescent="0.25">
      <c r="A310" s="10">
        <f t="shared" si="75"/>
        <v>41004</v>
      </c>
      <c r="B310">
        <v>425</v>
      </c>
      <c r="C310">
        <v>601.6</v>
      </c>
      <c r="D310">
        <v>326.10000000000002</v>
      </c>
      <c r="E310">
        <v>3272.6</v>
      </c>
      <c r="F310" s="19">
        <f t="shared" si="79"/>
        <v>751.1</v>
      </c>
      <c r="G310" s="19">
        <f t="shared" si="80"/>
        <v>3874.2</v>
      </c>
    </row>
    <row r="311" spans="1:8" x14ac:dyDescent="0.25">
      <c r="A311" s="10">
        <f t="shared" si="75"/>
        <v>41011</v>
      </c>
      <c r="B311">
        <v>540</v>
      </c>
      <c r="C311">
        <v>533.79999999999995</v>
      </c>
      <c r="D311">
        <v>326.10000000000002</v>
      </c>
      <c r="E311">
        <v>3404.2</v>
      </c>
      <c r="F311" s="19">
        <f t="shared" si="79"/>
        <v>866.1</v>
      </c>
      <c r="G311" s="19">
        <f t="shared" si="80"/>
        <v>3938</v>
      </c>
    </row>
    <row r="312" spans="1:8" x14ac:dyDescent="0.25">
      <c r="A312" s="10">
        <f t="shared" si="75"/>
        <v>41018</v>
      </c>
      <c r="B312">
        <v>420</v>
      </c>
      <c r="C312">
        <v>414.8</v>
      </c>
      <c r="D312">
        <v>514.4</v>
      </c>
      <c r="E312">
        <v>3530</v>
      </c>
      <c r="F312" s="19">
        <f t="shared" ref="F312:F343" si="81">+B312+D312</f>
        <v>934.4</v>
      </c>
      <c r="G312" s="19">
        <f t="shared" ref="G312:G343" si="82">+C312+E312</f>
        <v>3944.8</v>
      </c>
    </row>
    <row r="313" spans="1:8" x14ac:dyDescent="0.25">
      <c r="A313" s="10">
        <f t="shared" si="75"/>
        <v>41025</v>
      </c>
      <c r="B313">
        <v>410</v>
      </c>
      <c r="C313">
        <v>294.8</v>
      </c>
      <c r="D313">
        <v>525.1</v>
      </c>
      <c r="E313">
        <v>3652.7</v>
      </c>
      <c r="F313" s="19">
        <f t="shared" si="81"/>
        <v>935.1</v>
      </c>
      <c r="G313" s="19">
        <f t="shared" si="82"/>
        <v>3947.5</v>
      </c>
    </row>
    <row r="314" spans="1:8" x14ac:dyDescent="0.25">
      <c r="A314" s="10">
        <f t="shared" si="75"/>
        <v>41032</v>
      </c>
      <c r="B314">
        <v>355.3</v>
      </c>
      <c r="C314">
        <v>174.9</v>
      </c>
      <c r="D314">
        <v>638.4</v>
      </c>
      <c r="E314">
        <v>3776.4</v>
      </c>
      <c r="F314" s="19">
        <f t="shared" si="81"/>
        <v>993.7</v>
      </c>
      <c r="G314" s="19">
        <f t="shared" si="82"/>
        <v>3951.3</v>
      </c>
    </row>
    <row r="315" spans="1:8" x14ac:dyDescent="0.25">
      <c r="A315" s="10">
        <f t="shared" si="75"/>
        <v>41039</v>
      </c>
      <c r="B315">
        <v>235.3</v>
      </c>
      <c r="C315">
        <v>108</v>
      </c>
      <c r="D315">
        <v>764.4</v>
      </c>
      <c r="E315">
        <v>3846.2</v>
      </c>
      <c r="F315" s="19">
        <f t="shared" si="81"/>
        <v>999.7</v>
      </c>
      <c r="G315" s="19">
        <f t="shared" si="82"/>
        <v>3954.2</v>
      </c>
    </row>
    <row r="316" spans="1:8" x14ac:dyDescent="0.25">
      <c r="A316" s="10">
        <f t="shared" si="75"/>
        <v>41046</v>
      </c>
      <c r="B316">
        <v>183.3</v>
      </c>
      <c r="C316">
        <v>0</v>
      </c>
      <c r="D316">
        <v>823.6</v>
      </c>
      <c r="E316">
        <v>3977.2</v>
      </c>
      <c r="F316" s="19">
        <f t="shared" si="81"/>
        <v>1006.9000000000001</v>
      </c>
      <c r="G316" s="19">
        <f t="shared" si="82"/>
        <v>3977.2</v>
      </c>
      <c r="H316" s="19">
        <v>52.5</v>
      </c>
    </row>
    <row r="317" spans="1:8" x14ac:dyDescent="0.25">
      <c r="A317" s="10">
        <f>+A316+7</f>
        <v>41053</v>
      </c>
      <c r="B317">
        <v>123.3</v>
      </c>
      <c r="C317">
        <v>0</v>
      </c>
      <c r="D317">
        <v>886.6</v>
      </c>
      <c r="E317">
        <v>4021.2</v>
      </c>
      <c r="F317" s="19">
        <f t="shared" si="81"/>
        <v>1009.9</v>
      </c>
      <c r="G317" s="19">
        <f t="shared" si="82"/>
        <v>4021.2</v>
      </c>
      <c r="H317" s="19">
        <v>52.5</v>
      </c>
    </row>
    <row r="318" spans="1:8" x14ac:dyDescent="0.25">
      <c r="A318" s="10">
        <f>+A317+7</f>
        <v>41060</v>
      </c>
      <c r="B318">
        <v>60.3</v>
      </c>
      <c r="C318">
        <v>0</v>
      </c>
      <c r="D318">
        <v>949.8</v>
      </c>
      <c r="E318">
        <v>4021.2</v>
      </c>
      <c r="F318" s="19">
        <f t="shared" si="81"/>
        <v>1010.0999999999999</v>
      </c>
      <c r="G318" s="19">
        <f t="shared" si="82"/>
        <v>4021.2</v>
      </c>
    </row>
    <row r="319" spans="1:8" x14ac:dyDescent="0.25">
      <c r="A319" s="10">
        <f>+A318+7</f>
        <v>41067</v>
      </c>
      <c r="B319">
        <v>112.8</v>
      </c>
      <c r="C319">
        <v>0</v>
      </c>
      <c r="D319">
        <v>0</v>
      </c>
      <c r="E319">
        <v>57.8</v>
      </c>
      <c r="F319" s="19">
        <f t="shared" si="81"/>
        <v>112.8</v>
      </c>
      <c r="G319" s="19">
        <f t="shared" si="82"/>
        <v>57.8</v>
      </c>
    </row>
    <row r="320" spans="1:8" x14ac:dyDescent="0.25">
      <c r="A320" s="10">
        <f>+A319+7</f>
        <v>41074</v>
      </c>
      <c r="B320">
        <v>62.5</v>
      </c>
      <c r="C320">
        <v>60</v>
      </c>
      <c r="D320">
        <v>63</v>
      </c>
      <c r="E320">
        <v>57.8</v>
      </c>
      <c r="F320" s="19">
        <f t="shared" si="81"/>
        <v>125.5</v>
      </c>
      <c r="G320" s="19">
        <f t="shared" si="82"/>
        <v>117.8</v>
      </c>
    </row>
    <row r="321" spans="1:7" x14ac:dyDescent="0.25">
      <c r="A321" s="10">
        <f>+A320+7</f>
        <v>41081</v>
      </c>
      <c r="B321">
        <v>62.5</v>
      </c>
      <c r="C321">
        <v>60</v>
      </c>
      <c r="D321">
        <v>63</v>
      </c>
      <c r="E321">
        <v>57.8</v>
      </c>
      <c r="F321" s="19">
        <f t="shared" si="81"/>
        <v>125.5</v>
      </c>
      <c r="G321" s="19">
        <f t="shared" si="82"/>
        <v>117.8</v>
      </c>
    </row>
    <row r="322" spans="1:7" x14ac:dyDescent="0.25">
      <c r="A322" s="10">
        <f t="shared" ref="A322:A385" si="83">+A321+7</f>
        <v>41088</v>
      </c>
      <c r="B322">
        <v>0</v>
      </c>
      <c r="C322">
        <v>60</v>
      </c>
      <c r="D322">
        <v>131</v>
      </c>
      <c r="E322">
        <v>57.8</v>
      </c>
      <c r="F322" s="19">
        <f t="shared" si="81"/>
        <v>131</v>
      </c>
      <c r="G322" s="19">
        <f t="shared" si="82"/>
        <v>117.8</v>
      </c>
    </row>
    <row r="323" spans="1:7" x14ac:dyDescent="0.25">
      <c r="A323" s="10">
        <f t="shared" si="83"/>
        <v>41095</v>
      </c>
      <c r="B323">
        <v>0</v>
      </c>
      <c r="C323">
        <v>60</v>
      </c>
      <c r="D323">
        <v>131</v>
      </c>
      <c r="E323">
        <v>57.8</v>
      </c>
      <c r="F323" s="19">
        <f t="shared" si="81"/>
        <v>131</v>
      </c>
      <c r="G323" s="19">
        <f t="shared" si="82"/>
        <v>117.8</v>
      </c>
    </row>
    <row r="324" spans="1:7" x14ac:dyDescent="0.25">
      <c r="A324" s="10">
        <f t="shared" si="83"/>
        <v>41102</v>
      </c>
      <c r="B324">
        <v>0</v>
      </c>
      <c r="C324">
        <v>60</v>
      </c>
      <c r="D324">
        <v>131</v>
      </c>
      <c r="E324">
        <v>57.8</v>
      </c>
      <c r="F324" s="19">
        <f t="shared" si="81"/>
        <v>131</v>
      </c>
      <c r="G324" s="19">
        <f t="shared" si="82"/>
        <v>117.8</v>
      </c>
    </row>
    <row r="325" spans="1:7" x14ac:dyDescent="0.25">
      <c r="A325" s="10">
        <f t="shared" si="83"/>
        <v>41109</v>
      </c>
      <c r="B325">
        <v>0</v>
      </c>
      <c r="C325">
        <v>0</v>
      </c>
      <c r="D325">
        <v>131</v>
      </c>
      <c r="E325">
        <v>120.7</v>
      </c>
      <c r="F325" s="19">
        <f t="shared" si="81"/>
        <v>131</v>
      </c>
      <c r="G325" s="19">
        <f t="shared" si="82"/>
        <v>120.7</v>
      </c>
    </row>
    <row r="326" spans="1:7" x14ac:dyDescent="0.25">
      <c r="A326" s="10">
        <f t="shared" si="83"/>
        <v>41116</v>
      </c>
      <c r="B326">
        <v>0</v>
      </c>
      <c r="C326">
        <v>0</v>
      </c>
      <c r="D326">
        <v>131</v>
      </c>
      <c r="E326">
        <v>120.7</v>
      </c>
      <c r="F326" s="19">
        <f t="shared" si="81"/>
        <v>131</v>
      </c>
      <c r="G326" s="19">
        <f t="shared" si="82"/>
        <v>120.7</v>
      </c>
    </row>
    <row r="327" spans="1:7" x14ac:dyDescent="0.25">
      <c r="A327" s="10">
        <f t="shared" si="83"/>
        <v>41123</v>
      </c>
      <c r="B327">
        <v>0</v>
      </c>
      <c r="C327">
        <v>0</v>
      </c>
      <c r="D327">
        <v>131</v>
      </c>
      <c r="E327">
        <v>183.7</v>
      </c>
      <c r="F327" s="19">
        <f t="shared" si="81"/>
        <v>131</v>
      </c>
      <c r="G327" s="19">
        <f t="shared" si="82"/>
        <v>183.7</v>
      </c>
    </row>
    <row r="328" spans="1:7" x14ac:dyDescent="0.25">
      <c r="A328" s="10">
        <f t="shared" si="83"/>
        <v>41130</v>
      </c>
      <c r="B328">
        <v>0</v>
      </c>
      <c r="C328">
        <v>0</v>
      </c>
      <c r="D328">
        <v>131</v>
      </c>
      <c r="E328">
        <v>183.7</v>
      </c>
      <c r="F328" s="19">
        <f t="shared" si="81"/>
        <v>131</v>
      </c>
      <c r="G328" s="19">
        <f t="shared" si="82"/>
        <v>183.7</v>
      </c>
    </row>
    <row r="329" spans="1:7" x14ac:dyDescent="0.25">
      <c r="A329" s="10">
        <f t="shared" si="83"/>
        <v>41137</v>
      </c>
      <c r="B329">
        <v>0</v>
      </c>
      <c r="C329">
        <v>0</v>
      </c>
      <c r="D329">
        <v>131</v>
      </c>
      <c r="E329">
        <v>246.7</v>
      </c>
      <c r="F329" s="19">
        <f t="shared" si="81"/>
        <v>131</v>
      </c>
      <c r="G329" s="19">
        <f t="shared" si="82"/>
        <v>246.7</v>
      </c>
    </row>
    <row r="330" spans="1:7" x14ac:dyDescent="0.25">
      <c r="A330" s="10">
        <f t="shared" si="83"/>
        <v>41144</v>
      </c>
      <c r="B330">
        <v>0</v>
      </c>
      <c r="C330">
        <v>0</v>
      </c>
      <c r="D330">
        <v>131</v>
      </c>
      <c r="E330">
        <v>246.7</v>
      </c>
      <c r="F330" s="19">
        <f t="shared" si="81"/>
        <v>131</v>
      </c>
      <c r="G330" s="19">
        <f t="shared" si="82"/>
        <v>246.7</v>
      </c>
    </row>
    <row r="331" spans="1:7" x14ac:dyDescent="0.25">
      <c r="A331" s="10">
        <f t="shared" si="83"/>
        <v>41151</v>
      </c>
      <c r="B331">
        <v>0</v>
      </c>
      <c r="C331">
        <v>0</v>
      </c>
      <c r="D331">
        <v>131</v>
      </c>
      <c r="E331">
        <v>246.7</v>
      </c>
      <c r="F331" s="19">
        <f t="shared" si="81"/>
        <v>131</v>
      </c>
      <c r="G331" s="19">
        <f t="shared" si="82"/>
        <v>246.7</v>
      </c>
    </row>
    <row r="332" spans="1:7" x14ac:dyDescent="0.25">
      <c r="A332" s="10">
        <f t="shared" si="83"/>
        <v>41158</v>
      </c>
      <c r="B332">
        <v>0</v>
      </c>
      <c r="C332">
        <v>0</v>
      </c>
      <c r="D332">
        <v>131</v>
      </c>
      <c r="E332">
        <v>246.7</v>
      </c>
      <c r="F332" s="19">
        <f t="shared" si="81"/>
        <v>131</v>
      </c>
      <c r="G332" s="19">
        <f t="shared" si="82"/>
        <v>246.7</v>
      </c>
    </row>
    <row r="333" spans="1:7" x14ac:dyDescent="0.25">
      <c r="A333" s="10">
        <f t="shared" si="83"/>
        <v>41165</v>
      </c>
      <c r="B333">
        <v>0</v>
      </c>
      <c r="C333">
        <v>0</v>
      </c>
      <c r="D333">
        <v>131</v>
      </c>
      <c r="E333">
        <v>246.7</v>
      </c>
      <c r="F333" s="19">
        <f t="shared" si="81"/>
        <v>131</v>
      </c>
      <c r="G333" s="19">
        <f t="shared" si="82"/>
        <v>246.7</v>
      </c>
    </row>
    <row r="334" spans="1:7" x14ac:dyDescent="0.25">
      <c r="A334" s="10">
        <f t="shared" si="83"/>
        <v>41172</v>
      </c>
      <c r="B334">
        <v>0</v>
      </c>
      <c r="C334">
        <v>0</v>
      </c>
      <c r="D334">
        <v>131</v>
      </c>
      <c r="E334">
        <v>246.7</v>
      </c>
      <c r="F334" s="19">
        <f t="shared" si="81"/>
        <v>131</v>
      </c>
      <c r="G334" s="19">
        <f t="shared" si="82"/>
        <v>246.7</v>
      </c>
    </row>
    <row r="335" spans="1:7" x14ac:dyDescent="0.25">
      <c r="A335" s="10">
        <f t="shared" si="83"/>
        <v>41179</v>
      </c>
      <c r="B335">
        <v>17</v>
      </c>
      <c r="C335">
        <v>0</v>
      </c>
      <c r="D335">
        <v>131</v>
      </c>
      <c r="E335">
        <v>246.7</v>
      </c>
      <c r="F335" s="19">
        <f t="shared" si="81"/>
        <v>148</v>
      </c>
      <c r="G335" s="19">
        <f t="shared" si="82"/>
        <v>246.7</v>
      </c>
    </row>
    <row r="336" spans="1:7" x14ac:dyDescent="0.25">
      <c r="A336" s="10">
        <f t="shared" si="83"/>
        <v>41186</v>
      </c>
      <c r="B336">
        <v>17</v>
      </c>
      <c r="C336">
        <v>0</v>
      </c>
      <c r="D336">
        <v>131</v>
      </c>
      <c r="E336">
        <v>246.7</v>
      </c>
      <c r="F336" s="19">
        <f t="shared" si="81"/>
        <v>148</v>
      </c>
      <c r="G336" s="19">
        <f t="shared" si="82"/>
        <v>246.7</v>
      </c>
    </row>
    <row r="337" spans="1:7" x14ac:dyDescent="0.25">
      <c r="A337" s="10">
        <f t="shared" si="83"/>
        <v>41193</v>
      </c>
      <c r="B337">
        <v>17</v>
      </c>
      <c r="C337">
        <v>0</v>
      </c>
      <c r="D337">
        <v>131</v>
      </c>
      <c r="E337">
        <v>246.7</v>
      </c>
      <c r="F337" s="19">
        <f t="shared" si="81"/>
        <v>148</v>
      </c>
      <c r="G337" s="19">
        <f t="shared" si="82"/>
        <v>246.7</v>
      </c>
    </row>
    <row r="338" spans="1:7" x14ac:dyDescent="0.25">
      <c r="A338" s="10">
        <f t="shared" si="83"/>
        <v>41200</v>
      </c>
      <c r="B338">
        <v>17</v>
      </c>
      <c r="C338">
        <v>0</v>
      </c>
      <c r="D338">
        <v>131</v>
      </c>
      <c r="E338">
        <v>246.7</v>
      </c>
      <c r="F338" s="19">
        <f t="shared" si="81"/>
        <v>148</v>
      </c>
      <c r="G338" s="19">
        <f t="shared" si="82"/>
        <v>246.7</v>
      </c>
    </row>
    <row r="339" spans="1:7" x14ac:dyDescent="0.25">
      <c r="A339" s="10">
        <f t="shared" si="83"/>
        <v>41207</v>
      </c>
      <c r="B339">
        <v>24</v>
      </c>
      <c r="C339">
        <v>0</v>
      </c>
      <c r="D339">
        <v>131</v>
      </c>
      <c r="E339">
        <v>246.7</v>
      </c>
      <c r="F339" s="19">
        <f t="shared" si="81"/>
        <v>155</v>
      </c>
      <c r="G339" s="19">
        <f t="shared" si="82"/>
        <v>246.7</v>
      </c>
    </row>
    <row r="340" spans="1:7" x14ac:dyDescent="0.25">
      <c r="A340" s="10">
        <f t="shared" si="83"/>
        <v>41214</v>
      </c>
      <c r="B340">
        <v>0</v>
      </c>
      <c r="C340">
        <v>0</v>
      </c>
      <c r="D340">
        <v>150.4</v>
      </c>
      <c r="E340">
        <v>246.7</v>
      </c>
      <c r="F340" s="19">
        <f t="shared" si="81"/>
        <v>150.4</v>
      </c>
      <c r="G340" s="19">
        <f t="shared" si="82"/>
        <v>246.7</v>
      </c>
    </row>
    <row r="341" spans="1:7" x14ac:dyDescent="0.25">
      <c r="A341" s="10">
        <f t="shared" si="83"/>
        <v>41221</v>
      </c>
      <c r="B341">
        <v>0</v>
      </c>
      <c r="C341">
        <v>0</v>
      </c>
      <c r="D341">
        <v>150.4</v>
      </c>
      <c r="E341">
        <v>246.7</v>
      </c>
      <c r="F341" s="19">
        <f t="shared" si="81"/>
        <v>150.4</v>
      </c>
      <c r="G341" s="19">
        <f t="shared" si="82"/>
        <v>246.7</v>
      </c>
    </row>
    <row r="342" spans="1:7" x14ac:dyDescent="0.25">
      <c r="A342" s="10">
        <f t="shared" si="83"/>
        <v>41228</v>
      </c>
      <c r="B342">
        <v>0</v>
      </c>
      <c r="C342">
        <v>0</v>
      </c>
      <c r="D342">
        <v>150.4</v>
      </c>
      <c r="E342">
        <v>246.7</v>
      </c>
      <c r="F342" s="19">
        <f t="shared" si="81"/>
        <v>150.4</v>
      </c>
      <c r="G342" s="19">
        <f t="shared" si="82"/>
        <v>246.7</v>
      </c>
    </row>
    <row r="343" spans="1:7" x14ac:dyDescent="0.25">
      <c r="A343" s="10">
        <f t="shared" si="83"/>
        <v>41235</v>
      </c>
      <c r="B343">
        <v>0</v>
      </c>
      <c r="C343">
        <v>0</v>
      </c>
      <c r="D343">
        <v>150.4</v>
      </c>
      <c r="E343">
        <v>246.7</v>
      </c>
      <c r="F343" s="19">
        <f t="shared" si="81"/>
        <v>150.4</v>
      </c>
      <c r="G343" s="19">
        <f t="shared" si="82"/>
        <v>246.7</v>
      </c>
    </row>
    <row r="344" spans="1:7" x14ac:dyDescent="0.25">
      <c r="A344" s="10">
        <f t="shared" si="83"/>
        <v>41242</v>
      </c>
      <c r="B344">
        <v>0</v>
      </c>
      <c r="C344">
        <v>0</v>
      </c>
      <c r="D344">
        <v>150.4</v>
      </c>
      <c r="E344">
        <v>246.7</v>
      </c>
      <c r="F344" s="19">
        <f t="shared" ref="F344:F373" si="84">+B344+D344</f>
        <v>150.4</v>
      </c>
      <c r="G344" s="19">
        <f t="shared" ref="G344:G373" si="85">+C344+E344</f>
        <v>246.7</v>
      </c>
    </row>
    <row r="345" spans="1:7" x14ac:dyDescent="0.25">
      <c r="A345" s="10">
        <f t="shared" si="83"/>
        <v>41249</v>
      </c>
      <c r="B345">
        <v>183</v>
      </c>
      <c r="C345">
        <v>0</v>
      </c>
      <c r="D345">
        <v>150.4</v>
      </c>
      <c r="E345">
        <v>246.7</v>
      </c>
      <c r="F345" s="19">
        <f t="shared" si="84"/>
        <v>333.4</v>
      </c>
      <c r="G345" s="19">
        <f t="shared" si="85"/>
        <v>246.7</v>
      </c>
    </row>
    <row r="346" spans="1:7" x14ac:dyDescent="0.25">
      <c r="A346" s="10">
        <f t="shared" si="83"/>
        <v>41256</v>
      </c>
      <c r="B346">
        <v>293</v>
      </c>
      <c r="C346">
        <v>0</v>
      </c>
      <c r="D346">
        <v>150.4</v>
      </c>
      <c r="E346">
        <v>246.7</v>
      </c>
      <c r="F346" s="19">
        <f t="shared" si="84"/>
        <v>443.4</v>
      </c>
      <c r="G346" s="19">
        <f t="shared" si="85"/>
        <v>246.7</v>
      </c>
    </row>
    <row r="347" spans="1:7" x14ac:dyDescent="0.25">
      <c r="A347" s="10">
        <f t="shared" si="83"/>
        <v>41263</v>
      </c>
      <c r="B347">
        <v>698</v>
      </c>
      <c r="C347">
        <v>0</v>
      </c>
      <c r="D347">
        <v>150.4</v>
      </c>
      <c r="E347">
        <v>246.7</v>
      </c>
      <c r="F347" s="19">
        <f t="shared" si="84"/>
        <v>848.4</v>
      </c>
      <c r="G347" s="19">
        <f t="shared" si="85"/>
        <v>246.7</v>
      </c>
    </row>
    <row r="348" spans="1:7" x14ac:dyDescent="0.25">
      <c r="A348" s="10">
        <f t="shared" si="83"/>
        <v>41270</v>
      </c>
      <c r="B348">
        <v>707</v>
      </c>
      <c r="C348">
        <v>0</v>
      </c>
      <c r="D348">
        <v>150.4</v>
      </c>
      <c r="E348">
        <v>246.7</v>
      </c>
      <c r="F348" s="19">
        <f t="shared" si="84"/>
        <v>857.4</v>
      </c>
      <c r="G348" s="19">
        <f t="shared" si="85"/>
        <v>246.7</v>
      </c>
    </row>
    <row r="349" spans="1:7" x14ac:dyDescent="0.25">
      <c r="A349" s="10">
        <f t="shared" si="83"/>
        <v>41277</v>
      </c>
      <c r="B349">
        <v>707</v>
      </c>
      <c r="C349">
        <v>0</v>
      </c>
      <c r="D349">
        <v>150.4</v>
      </c>
      <c r="E349">
        <v>246.7</v>
      </c>
      <c r="F349" s="19">
        <f t="shared" si="84"/>
        <v>857.4</v>
      </c>
      <c r="G349" s="19">
        <f t="shared" si="85"/>
        <v>246.7</v>
      </c>
    </row>
    <row r="350" spans="1:7" x14ac:dyDescent="0.25">
      <c r="A350" s="10">
        <f t="shared" si="83"/>
        <v>41284</v>
      </c>
      <c r="B350">
        <v>853</v>
      </c>
      <c r="C350">
        <v>0</v>
      </c>
      <c r="D350">
        <v>150.4</v>
      </c>
      <c r="E350">
        <v>246.7</v>
      </c>
      <c r="F350" s="19">
        <f t="shared" si="84"/>
        <v>1003.4</v>
      </c>
      <c r="G350" s="19">
        <f t="shared" si="85"/>
        <v>246.7</v>
      </c>
    </row>
    <row r="351" spans="1:7" x14ac:dyDescent="0.25">
      <c r="A351" s="10">
        <f t="shared" si="83"/>
        <v>41291</v>
      </c>
      <c r="B351">
        <v>920.2</v>
      </c>
      <c r="C351">
        <v>0</v>
      </c>
      <c r="D351">
        <v>150.4</v>
      </c>
      <c r="E351">
        <v>246.7</v>
      </c>
      <c r="F351" s="19">
        <f t="shared" si="84"/>
        <v>1070.6000000000001</v>
      </c>
      <c r="G351" s="19">
        <f t="shared" si="85"/>
        <v>246.7</v>
      </c>
    </row>
    <row r="352" spans="1:7" x14ac:dyDescent="0.25">
      <c r="A352" s="10">
        <f t="shared" si="83"/>
        <v>41298</v>
      </c>
      <c r="B352">
        <v>864.2</v>
      </c>
      <c r="C352">
        <v>0</v>
      </c>
      <c r="D352">
        <v>229.3</v>
      </c>
      <c r="E352">
        <v>246.7</v>
      </c>
      <c r="F352" s="19">
        <f t="shared" si="84"/>
        <v>1093.5</v>
      </c>
      <c r="G352" s="19">
        <f t="shared" si="85"/>
        <v>246.7</v>
      </c>
    </row>
    <row r="353" spans="1:7" x14ac:dyDescent="0.25">
      <c r="A353" s="10">
        <f t="shared" si="83"/>
        <v>41305</v>
      </c>
      <c r="B353">
        <v>754</v>
      </c>
      <c r="C353">
        <v>0</v>
      </c>
      <c r="D353">
        <v>364.1</v>
      </c>
      <c r="E353">
        <v>246.7</v>
      </c>
      <c r="F353" s="19">
        <f t="shared" si="84"/>
        <v>1118.0999999999999</v>
      </c>
      <c r="G353" s="19">
        <f t="shared" si="85"/>
        <v>246.7</v>
      </c>
    </row>
    <row r="354" spans="1:7" x14ac:dyDescent="0.25">
      <c r="A354" s="10">
        <f t="shared" si="83"/>
        <v>41312</v>
      </c>
      <c r="B354">
        <v>673</v>
      </c>
      <c r="C354">
        <v>9</v>
      </c>
      <c r="D354">
        <v>448.1</v>
      </c>
      <c r="E354">
        <v>246.7</v>
      </c>
      <c r="F354" s="19">
        <f t="shared" si="84"/>
        <v>1121.0999999999999</v>
      </c>
      <c r="G354" s="19">
        <f t="shared" si="85"/>
        <v>255.7</v>
      </c>
    </row>
    <row r="355" spans="1:7" x14ac:dyDescent="0.25">
      <c r="A355" s="10">
        <f t="shared" si="83"/>
        <v>41319</v>
      </c>
      <c r="B355">
        <v>563</v>
      </c>
      <c r="C355">
        <v>198</v>
      </c>
      <c r="D355">
        <v>568.9</v>
      </c>
      <c r="E355">
        <v>246.7</v>
      </c>
      <c r="F355" s="19">
        <f t="shared" si="84"/>
        <v>1131.9000000000001</v>
      </c>
      <c r="G355" s="19">
        <f t="shared" si="85"/>
        <v>444.7</v>
      </c>
    </row>
    <row r="356" spans="1:7" x14ac:dyDescent="0.25">
      <c r="A356" s="10">
        <f t="shared" si="83"/>
        <v>41326</v>
      </c>
      <c r="B356">
        <v>485.5</v>
      </c>
      <c r="C356">
        <v>198</v>
      </c>
      <c r="D356">
        <v>643.5</v>
      </c>
      <c r="E356">
        <v>246.7</v>
      </c>
      <c r="F356" s="19">
        <f t="shared" si="84"/>
        <v>1129</v>
      </c>
      <c r="G356" s="19">
        <f t="shared" si="85"/>
        <v>444.7</v>
      </c>
    </row>
    <row r="357" spans="1:7" x14ac:dyDescent="0.25">
      <c r="A357" s="10">
        <f t="shared" si="83"/>
        <v>41333</v>
      </c>
      <c r="B357">
        <v>409</v>
      </c>
      <c r="C357">
        <v>198</v>
      </c>
      <c r="D357">
        <v>836.5</v>
      </c>
      <c r="E357">
        <v>246.7</v>
      </c>
      <c r="F357" s="19">
        <f t="shared" si="84"/>
        <v>1245.5</v>
      </c>
      <c r="G357" s="19">
        <f t="shared" si="85"/>
        <v>444.7</v>
      </c>
    </row>
    <row r="358" spans="1:7" x14ac:dyDescent="0.25">
      <c r="A358" s="10">
        <f t="shared" si="83"/>
        <v>41340</v>
      </c>
      <c r="B358">
        <v>322</v>
      </c>
      <c r="C358">
        <v>189</v>
      </c>
      <c r="D358">
        <v>1026.9000000000001</v>
      </c>
      <c r="E358">
        <v>256.60000000000002</v>
      </c>
      <c r="F358" s="19">
        <f t="shared" si="84"/>
        <v>1348.9</v>
      </c>
      <c r="G358" s="19">
        <f t="shared" si="85"/>
        <v>445.6</v>
      </c>
    </row>
    <row r="359" spans="1:7" x14ac:dyDescent="0.25">
      <c r="A359" s="10">
        <f t="shared" si="83"/>
        <v>41347</v>
      </c>
      <c r="B359">
        <v>267</v>
      </c>
      <c r="C359">
        <v>189</v>
      </c>
      <c r="D359">
        <v>1094.9000000000001</v>
      </c>
      <c r="E359">
        <v>315.3</v>
      </c>
      <c r="F359" s="19">
        <f t="shared" si="84"/>
        <v>1361.9</v>
      </c>
      <c r="G359" s="19">
        <f t="shared" si="85"/>
        <v>504.3</v>
      </c>
    </row>
    <row r="360" spans="1:7" x14ac:dyDescent="0.25">
      <c r="A360" s="10">
        <f t="shared" si="83"/>
        <v>41354</v>
      </c>
      <c r="B360">
        <v>142</v>
      </c>
      <c r="C360">
        <v>249</v>
      </c>
      <c r="D360">
        <v>1226</v>
      </c>
      <c r="E360">
        <v>315.3</v>
      </c>
      <c r="F360" s="19">
        <f t="shared" si="84"/>
        <v>1368</v>
      </c>
      <c r="G360" s="19">
        <f t="shared" si="85"/>
        <v>564.29999999999995</v>
      </c>
    </row>
    <row r="361" spans="1:7" x14ac:dyDescent="0.25">
      <c r="A361" s="10">
        <f t="shared" si="83"/>
        <v>41361</v>
      </c>
      <c r="B361">
        <v>87</v>
      </c>
      <c r="C361">
        <v>355</v>
      </c>
      <c r="D361">
        <v>1388.6</v>
      </c>
      <c r="E361">
        <v>326.10000000000002</v>
      </c>
      <c r="F361" s="19">
        <f t="shared" si="84"/>
        <v>1475.6</v>
      </c>
      <c r="G361" s="19">
        <f t="shared" si="85"/>
        <v>681.1</v>
      </c>
    </row>
    <row r="362" spans="1:7" x14ac:dyDescent="0.25">
      <c r="A362" s="10">
        <f t="shared" si="83"/>
        <v>41368</v>
      </c>
      <c r="B362">
        <v>0</v>
      </c>
      <c r="C362">
        <v>425</v>
      </c>
      <c r="D362">
        <v>1487.3</v>
      </c>
      <c r="E362">
        <v>326.10000000000002</v>
      </c>
      <c r="F362" s="19">
        <f t="shared" si="84"/>
        <v>1487.3</v>
      </c>
      <c r="G362" s="19">
        <f t="shared" si="85"/>
        <v>751.1</v>
      </c>
    </row>
    <row r="363" spans="1:7" x14ac:dyDescent="0.25">
      <c r="A363" s="10">
        <f t="shared" si="83"/>
        <v>41375</v>
      </c>
      <c r="B363">
        <v>0</v>
      </c>
      <c r="C363">
        <v>540</v>
      </c>
      <c r="D363">
        <v>1487.3</v>
      </c>
      <c r="E363">
        <v>326.10000000000002</v>
      </c>
      <c r="F363" s="19">
        <f t="shared" si="84"/>
        <v>1487.3</v>
      </c>
      <c r="G363" s="19">
        <f t="shared" si="85"/>
        <v>866.1</v>
      </c>
    </row>
    <row r="364" spans="1:7" x14ac:dyDescent="0.25">
      <c r="A364" s="10">
        <f t="shared" si="83"/>
        <v>41382</v>
      </c>
      <c r="B364">
        <v>0</v>
      </c>
      <c r="C364">
        <v>420</v>
      </c>
      <c r="D364">
        <v>1550.3</v>
      </c>
      <c r="E364">
        <v>514.4</v>
      </c>
      <c r="F364" s="19">
        <f t="shared" si="84"/>
        <v>1550.3</v>
      </c>
      <c r="G364" s="19">
        <f t="shared" si="85"/>
        <v>934.4</v>
      </c>
    </row>
    <row r="365" spans="1:7" x14ac:dyDescent="0.25">
      <c r="A365" s="10">
        <f t="shared" si="83"/>
        <v>41389</v>
      </c>
      <c r="B365">
        <v>0</v>
      </c>
      <c r="C365">
        <v>410</v>
      </c>
      <c r="D365">
        <v>1615</v>
      </c>
      <c r="E365">
        <v>525.1</v>
      </c>
      <c r="F365" s="19">
        <f t="shared" si="84"/>
        <v>1615</v>
      </c>
      <c r="G365" s="19">
        <f t="shared" si="85"/>
        <v>935.1</v>
      </c>
    </row>
    <row r="366" spans="1:7" x14ac:dyDescent="0.25">
      <c r="A366" s="10">
        <f t="shared" si="83"/>
        <v>41396</v>
      </c>
      <c r="B366">
        <v>0</v>
      </c>
      <c r="C366">
        <v>355.3</v>
      </c>
      <c r="D366">
        <v>1615</v>
      </c>
      <c r="E366">
        <v>638.4</v>
      </c>
      <c r="F366" s="19">
        <f t="shared" si="84"/>
        <v>1615</v>
      </c>
      <c r="G366" s="19">
        <f t="shared" si="85"/>
        <v>993.7</v>
      </c>
    </row>
    <row r="367" spans="1:7" x14ac:dyDescent="0.25">
      <c r="A367" s="10">
        <f t="shared" si="83"/>
        <v>41403</v>
      </c>
      <c r="B367">
        <v>0</v>
      </c>
      <c r="C367">
        <v>235.3</v>
      </c>
      <c r="D367">
        <v>1678</v>
      </c>
      <c r="E367">
        <v>764.4</v>
      </c>
      <c r="F367" s="19">
        <f t="shared" si="84"/>
        <v>1678</v>
      </c>
      <c r="G367" s="19">
        <f t="shared" si="85"/>
        <v>999.7</v>
      </c>
    </row>
    <row r="368" spans="1:7" x14ac:dyDescent="0.25">
      <c r="A368" s="10">
        <f t="shared" si="83"/>
        <v>41410</v>
      </c>
      <c r="B368">
        <v>0</v>
      </c>
      <c r="C368">
        <v>183.3</v>
      </c>
      <c r="D368">
        <v>1678</v>
      </c>
      <c r="E368">
        <v>823.6</v>
      </c>
      <c r="F368" s="19">
        <f t="shared" si="84"/>
        <v>1678</v>
      </c>
      <c r="G368" s="19">
        <f t="shared" si="85"/>
        <v>1006.9000000000001</v>
      </c>
    </row>
    <row r="369" spans="1:7" x14ac:dyDescent="0.25">
      <c r="A369" s="10">
        <f t="shared" si="83"/>
        <v>41417</v>
      </c>
      <c r="B369">
        <v>0</v>
      </c>
      <c r="C369">
        <v>123.3</v>
      </c>
      <c r="D369">
        <v>1678</v>
      </c>
      <c r="E369">
        <v>886.6</v>
      </c>
      <c r="F369" s="19">
        <f t="shared" si="84"/>
        <v>1678</v>
      </c>
      <c r="G369" s="19">
        <f t="shared" si="85"/>
        <v>1009.9</v>
      </c>
    </row>
    <row r="370" spans="1:7" x14ac:dyDescent="0.25">
      <c r="A370" s="10">
        <f t="shared" si="83"/>
        <v>41424</v>
      </c>
      <c r="B370">
        <v>0</v>
      </c>
      <c r="C370">
        <v>60.3</v>
      </c>
      <c r="D370">
        <v>1678</v>
      </c>
      <c r="E370">
        <v>949.8</v>
      </c>
      <c r="F370" s="19">
        <f t="shared" si="84"/>
        <v>1678</v>
      </c>
      <c r="G370" s="19">
        <f t="shared" si="85"/>
        <v>1010.0999999999999</v>
      </c>
    </row>
    <row r="371" spans="1:7" x14ac:dyDescent="0.25">
      <c r="A371" s="10">
        <f t="shared" si="83"/>
        <v>41431</v>
      </c>
      <c r="B371">
        <v>0</v>
      </c>
      <c r="C371">
        <v>112.8</v>
      </c>
      <c r="D371">
        <v>0</v>
      </c>
      <c r="E371">
        <v>0</v>
      </c>
      <c r="F371" s="19">
        <f t="shared" si="84"/>
        <v>0</v>
      </c>
      <c r="G371" s="19">
        <f t="shared" si="85"/>
        <v>112.8</v>
      </c>
    </row>
    <row r="372" spans="1:7" x14ac:dyDescent="0.25">
      <c r="A372" s="10">
        <f t="shared" si="83"/>
        <v>41438</v>
      </c>
      <c r="B372">
        <v>0</v>
      </c>
      <c r="C372">
        <v>62.5</v>
      </c>
      <c r="D372">
        <v>0</v>
      </c>
      <c r="E372">
        <v>63</v>
      </c>
      <c r="F372" s="19">
        <f t="shared" si="84"/>
        <v>0</v>
      </c>
      <c r="G372" s="19">
        <f t="shared" si="85"/>
        <v>125.5</v>
      </c>
    </row>
    <row r="373" spans="1:7" x14ac:dyDescent="0.25">
      <c r="A373" s="10">
        <f t="shared" si="83"/>
        <v>41445</v>
      </c>
      <c r="B373">
        <v>0</v>
      </c>
      <c r="C373">
        <v>62.5</v>
      </c>
      <c r="D373">
        <v>58.1</v>
      </c>
      <c r="E373">
        <v>63</v>
      </c>
      <c r="F373" s="19">
        <f t="shared" si="84"/>
        <v>58.1</v>
      </c>
      <c r="G373" s="19">
        <f t="shared" si="85"/>
        <v>125.5</v>
      </c>
    </row>
    <row r="374" spans="1:7" x14ac:dyDescent="0.25">
      <c r="A374" s="10">
        <f t="shared" si="83"/>
        <v>41452</v>
      </c>
      <c r="B374">
        <v>0</v>
      </c>
      <c r="C374">
        <v>0</v>
      </c>
      <c r="D374">
        <v>58.1</v>
      </c>
      <c r="E374">
        <v>131</v>
      </c>
      <c r="F374" s="19">
        <f t="shared" ref="F374:G376" si="86">+B374+D374</f>
        <v>58.1</v>
      </c>
      <c r="G374" s="19">
        <f t="shared" si="86"/>
        <v>131</v>
      </c>
    </row>
    <row r="375" spans="1:7" x14ac:dyDescent="0.25">
      <c r="A375" s="10">
        <f t="shared" si="83"/>
        <v>41459</v>
      </c>
      <c r="B375">
        <v>0</v>
      </c>
      <c r="C375">
        <v>0</v>
      </c>
      <c r="D375">
        <v>58.1</v>
      </c>
      <c r="E375">
        <v>131</v>
      </c>
      <c r="F375" s="19">
        <f t="shared" si="86"/>
        <v>58.1</v>
      </c>
      <c r="G375" s="19">
        <f t="shared" si="86"/>
        <v>131</v>
      </c>
    </row>
    <row r="376" spans="1:7" x14ac:dyDescent="0.25">
      <c r="A376" s="10">
        <f t="shared" si="83"/>
        <v>41466</v>
      </c>
      <c r="B376">
        <v>0</v>
      </c>
      <c r="C376">
        <v>0</v>
      </c>
      <c r="D376">
        <v>58.1</v>
      </c>
      <c r="E376">
        <v>131</v>
      </c>
      <c r="F376" s="19">
        <f t="shared" si="86"/>
        <v>58.1</v>
      </c>
      <c r="G376" s="19">
        <f t="shared" si="86"/>
        <v>131</v>
      </c>
    </row>
    <row r="377" spans="1:7" x14ac:dyDescent="0.25">
      <c r="A377" s="10">
        <f t="shared" si="83"/>
        <v>41473</v>
      </c>
      <c r="B377">
        <v>0</v>
      </c>
      <c r="C377">
        <v>0</v>
      </c>
      <c r="D377">
        <v>58.1</v>
      </c>
      <c r="E377">
        <v>131</v>
      </c>
      <c r="F377" s="19">
        <f t="shared" ref="F377:G382" si="87">+B377+D377</f>
        <v>58.1</v>
      </c>
      <c r="G377" s="19">
        <f t="shared" si="87"/>
        <v>131</v>
      </c>
    </row>
    <row r="378" spans="1:7" x14ac:dyDescent="0.25">
      <c r="A378" s="10">
        <f t="shared" si="83"/>
        <v>41480</v>
      </c>
      <c r="B378">
        <v>0</v>
      </c>
      <c r="C378">
        <v>0</v>
      </c>
      <c r="D378">
        <v>58.1</v>
      </c>
      <c r="E378">
        <v>131</v>
      </c>
      <c r="F378" s="19">
        <f t="shared" si="87"/>
        <v>58.1</v>
      </c>
      <c r="G378" s="19">
        <f t="shared" si="87"/>
        <v>131</v>
      </c>
    </row>
    <row r="379" spans="1:7" x14ac:dyDescent="0.25">
      <c r="A379" s="10">
        <f t="shared" si="83"/>
        <v>41487</v>
      </c>
      <c r="B379">
        <v>0</v>
      </c>
      <c r="C379">
        <v>0</v>
      </c>
      <c r="D379">
        <v>58.1</v>
      </c>
      <c r="E379">
        <v>131</v>
      </c>
      <c r="F379" s="19">
        <f t="shared" si="87"/>
        <v>58.1</v>
      </c>
      <c r="G379" s="19">
        <f t="shared" si="87"/>
        <v>131</v>
      </c>
    </row>
    <row r="380" spans="1:7" x14ac:dyDescent="0.25">
      <c r="A380" s="10">
        <f t="shared" si="83"/>
        <v>41494</v>
      </c>
      <c r="B380">
        <v>0</v>
      </c>
      <c r="C380">
        <v>0</v>
      </c>
      <c r="D380">
        <v>58.1</v>
      </c>
      <c r="E380">
        <v>131</v>
      </c>
      <c r="F380" s="19">
        <f t="shared" si="87"/>
        <v>58.1</v>
      </c>
      <c r="G380" s="19">
        <f t="shared" si="87"/>
        <v>131</v>
      </c>
    </row>
    <row r="381" spans="1:7" x14ac:dyDescent="0.25">
      <c r="A381" s="10">
        <f t="shared" si="83"/>
        <v>41501</v>
      </c>
      <c r="B381">
        <v>0</v>
      </c>
      <c r="C381">
        <v>0</v>
      </c>
      <c r="D381">
        <v>58.1</v>
      </c>
      <c r="E381">
        <v>131</v>
      </c>
      <c r="F381" s="19">
        <f t="shared" si="87"/>
        <v>58.1</v>
      </c>
      <c r="G381" s="19">
        <f t="shared" si="87"/>
        <v>131</v>
      </c>
    </row>
    <row r="382" spans="1:7" x14ac:dyDescent="0.25">
      <c r="A382" s="10">
        <f t="shared" si="83"/>
        <v>41508</v>
      </c>
      <c r="B382">
        <v>0</v>
      </c>
      <c r="C382">
        <v>0</v>
      </c>
      <c r="D382">
        <v>58.1</v>
      </c>
      <c r="E382">
        <v>131</v>
      </c>
      <c r="F382" s="19">
        <f t="shared" si="87"/>
        <v>58.1</v>
      </c>
      <c r="G382" s="19">
        <f t="shared" si="87"/>
        <v>131</v>
      </c>
    </row>
    <row r="383" spans="1:7" x14ac:dyDescent="0.25">
      <c r="A383" s="10">
        <f t="shared" si="83"/>
        <v>41515</v>
      </c>
      <c r="B383">
        <v>0</v>
      </c>
      <c r="C383">
        <v>0</v>
      </c>
      <c r="D383">
        <v>58.1</v>
      </c>
      <c r="E383">
        <v>131</v>
      </c>
      <c r="F383" s="19">
        <f t="shared" ref="F383:G385" si="88">+B383+D383</f>
        <v>58.1</v>
      </c>
      <c r="G383" s="19">
        <f t="shared" si="88"/>
        <v>131</v>
      </c>
    </row>
    <row r="384" spans="1:7" x14ac:dyDescent="0.25">
      <c r="A384" s="10">
        <f t="shared" si="83"/>
        <v>41522</v>
      </c>
      <c r="B384">
        <v>0</v>
      </c>
      <c r="C384">
        <v>0</v>
      </c>
      <c r="D384">
        <v>58.1</v>
      </c>
      <c r="E384">
        <v>131</v>
      </c>
      <c r="F384" s="19">
        <f t="shared" si="88"/>
        <v>58.1</v>
      </c>
      <c r="G384" s="19">
        <f t="shared" si="88"/>
        <v>131</v>
      </c>
    </row>
    <row r="385" spans="1:10" x14ac:dyDescent="0.25">
      <c r="A385" s="10">
        <f t="shared" si="83"/>
        <v>41529</v>
      </c>
      <c r="B385">
        <v>0</v>
      </c>
      <c r="C385">
        <v>0</v>
      </c>
      <c r="D385">
        <v>58.1</v>
      </c>
      <c r="E385">
        <v>131</v>
      </c>
      <c r="F385" s="19">
        <f t="shared" si="88"/>
        <v>58.1</v>
      </c>
      <c r="G385" s="19">
        <f t="shared" si="88"/>
        <v>131</v>
      </c>
    </row>
    <row r="386" spans="1:10" x14ac:dyDescent="0.25">
      <c r="A386" s="10">
        <f t="shared" ref="A386:A417" si="89">+A385+7</f>
        <v>41536</v>
      </c>
      <c r="B386">
        <v>0</v>
      </c>
      <c r="C386">
        <v>0</v>
      </c>
      <c r="D386">
        <v>58.1</v>
      </c>
      <c r="E386">
        <v>131</v>
      </c>
      <c r="F386" s="19">
        <f t="shared" ref="F386:G388" si="90">+B386+D386</f>
        <v>58.1</v>
      </c>
      <c r="G386" s="19">
        <f t="shared" si="90"/>
        <v>131</v>
      </c>
    </row>
    <row r="387" spans="1:10" ht="15" x14ac:dyDescent="0.25">
      <c r="A387" s="10">
        <f t="shared" si="89"/>
        <v>41543</v>
      </c>
      <c r="B387">
        <v>0</v>
      </c>
      <c r="C387">
        <v>17</v>
      </c>
      <c r="D387">
        <v>58.1</v>
      </c>
      <c r="E387">
        <v>131</v>
      </c>
      <c r="F387" s="19">
        <f t="shared" si="90"/>
        <v>58.1</v>
      </c>
      <c r="G387" s="19">
        <f t="shared" si="90"/>
        <v>148</v>
      </c>
      <c r="I387" s="75"/>
    </row>
    <row r="388" spans="1:10" x14ac:dyDescent="0.25">
      <c r="A388" s="10">
        <f t="shared" si="89"/>
        <v>41550</v>
      </c>
      <c r="B388">
        <v>0</v>
      </c>
      <c r="C388">
        <v>17</v>
      </c>
      <c r="D388">
        <v>58.1</v>
      </c>
      <c r="E388">
        <v>131</v>
      </c>
      <c r="F388" s="19">
        <f t="shared" si="90"/>
        <v>58.1</v>
      </c>
      <c r="G388" s="19">
        <f t="shared" si="90"/>
        <v>148</v>
      </c>
    </row>
    <row r="389" spans="1:10" x14ac:dyDescent="0.25">
      <c r="A389" s="10">
        <f t="shared" si="89"/>
        <v>41557</v>
      </c>
    </row>
    <row r="390" spans="1:10" x14ac:dyDescent="0.25">
      <c r="A390" s="10">
        <f t="shared" si="89"/>
        <v>41564</v>
      </c>
    </row>
    <row r="391" spans="1:10" x14ac:dyDescent="0.25">
      <c r="A391" s="10">
        <f t="shared" si="89"/>
        <v>41571</v>
      </c>
      <c r="B391">
        <v>0</v>
      </c>
      <c r="C391">
        <v>24</v>
      </c>
      <c r="D391">
        <v>58.1</v>
      </c>
      <c r="E391">
        <v>131</v>
      </c>
      <c r="F391" s="19">
        <f t="shared" ref="F391:G393" si="91">+B391+D391</f>
        <v>58.1</v>
      </c>
      <c r="G391" s="19">
        <f t="shared" si="91"/>
        <v>155</v>
      </c>
    </row>
    <row r="392" spans="1:10" ht="15" x14ac:dyDescent="0.25">
      <c r="A392" s="10">
        <f t="shared" si="89"/>
        <v>41578</v>
      </c>
      <c r="B392">
        <v>0</v>
      </c>
      <c r="C392">
        <v>0</v>
      </c>
      <c r="D392">
        <v>58.1</v>
      </c>
      <c r="E392">
        <v>150.4</v>
      </c>
      <c r="F392" s="19">
        <f t="shared" si="91"/>
        <v>58.1</v>
      </c>
      <c r="G392" s="19">
        <f t="shared" si="91"/>
        <v>150.4</v>
      </c>
      <c r="J392" s="75"/>
    </row>
    <row r="393" spans="1:10" x14ac:dyDescent="0.25">
      <c r="A393" s="10">
        <f t="shared" si="89"/>
        <v>41585</v>
      </c>
      <c r="B393">
        <v>0</v>
      </c>
      <c r="C393">
        <v>0</v>
      </c>
      <c r="D393">
        <v>58.1</v>
      </c>
      <c r="E393">
        <v>150.4</v>
      </c>
      <c r="F393" s="19">
        <f t="shared" si="91"/>
        <v>58.1</v>
      </c>
      <c r="G393" s="19">
        <f t="shared" si="91"/>
        <v>150.4</v>
      </c>
    </row>
    <row r="394" spans="1:10" x14ac:dyDescent="0.25">
      <c r="A394" s="10">
        <f t="shared" si="89"/>
        <v>41592</v>
      </c>
      <c r="B394">
        <v>0</v>
      </c>
      <c r="C394">
        <v>0</v>
      </c>
      <c r="D394">
        <v>58.1</v>
      </c>
      <c r="E394">
        <v>150.4</v>
      </c>
      <c r="F394" s="19">
        <f>+B394+D394</f>
        <v>58.1</v>
      </c>
      <c r="G394" s="19">
        <f>+C394+E394</f>
        <v>150.4</v>
      </c>
    </row>
    <row r="395" spans="1:10" x14ac:dyDescent="0.25">
      <c r="A395" s="10">
        <f t="shared" si="89"/>
        <v>41599</v>
      </c>
      <c r="B395">
        <v>110</v>
      </c>
      <c r="C395">
        <v>0</v>
      </c>
      <c r="D395">
        <v>58.1</v>
      </c>
      <c r="E395">
        <v>150.4</v>
      </c>
      <c r="F395" s="19">
        <f>+B395+D395</f>
        <v>168.1</v>
      </c>
      <c r="G395" s="19">
        <f>+C395+E395</f>
        <v>150.4</v>
      </c>
    </row>
    <row r="396" spans="1:10" x14ac:dyDescent="0.25">
      <c r="A396" s="10">
        <f t="shared" si="89"/>
        <v>41606</v>
      </c>
    </row>
    <row r="397" spans="1:10" x14ac:dyDescent="0.25">
      <c r="A397" s="10">
        <f t="shared" si="89"/>
        <v>41613</v>
      </c>
    </row>
    <row r="398" spans="1:10" x14ac:dyDescent="0.25">
      <c r="A398" s="10">
        <f t="shared" si="89"/>
        <v>41620</v>
      </c>
    </row>
    <row r="399" spans="1:10" x14ac:dyDescent="0.25">
      <c r="A399" s="10">
        <f t="shared" si="89"/>
        <v>41627</v>
      </c>
    </row>
    <row r="400" spans="1:10" x14ac:dyDescent="0.25">
      <c r="A400" s="10">
        <f t="shared" si="89"/>
        <v>41634</v>
      </c>
    </row>
    <row r="401" spans="1:1" x14ac:dyDescent="0.25">
      <c r="A401" s="10">
        <f t="shared" si="89"/>
        <v>41641</v>
      </c>
    </row>
    <row r="402" spans="1:1" x14ac:dyDescent="0.25">
      <c r="A402" s="10">
        <f t="shared" si="89"/>
        <v>41648</v>
      </c>
    </row>
    <row r="403" spans="1:1" x14ac:dyDescent="0.25">
      <c r="A403" s="10">
        <f t="shared" si="89"/>
        <v>41655</v>
      </c>
    </row>
    <row r="404" spans="1:1" x14ac:dyDescent="0.25">
      <c r="A404" s="10">
        <f t="shared" si="89"/>
        <v>41662</v>
      </c>
    </row>
    <row r="405" spans="1:1" x14ac:dyDescent="0.25">
      <c r="A405" s="10">
        <f t="shared" si="89"/>
        <v>41669</v>
      </c>
    </row>
    <row r="406" spans="1:1" x14ac:dyDescent="0.25">
      <c r="A406" s="10">
        <f t="shared" si="89"/>
        <v>41676</v>
      </c>
    </row>
    <row r="407" spans="1:1" x14ac:dyDescent="0.25">
      <c r="A407" s="10">
        <f t="shared" si="89"/>
        <v>41683</v>
      </c>
    </row>
    <row r="408" spans="1:1" x14ac:dyDescent="0.25">
      <c r="A408" s="10">
        <f t="shared" si="89"/>
        <v>41690</v>
      </c>
    </row>
    <row r="409" spans="1:1" x14ac:dyDescent="0.25">
      <c r="A409" s="10">
        <f t="shared" si="89"/>
        <v>41697</v>
      </c>
    </row>
    <row r="410" spans="1:1" x14ac:dyDescent="0.25">
      <c r="A410" s="10">
        <f t="shared" si="89"/>
        <v>41704</v>
      </c>
    </row>
    <row r="411" spans="1:1" x14ac:dyDescent="0.25">
      <c r="A411" s="10">
        <f t="shared" si="89"/>
        <v>41711</v>
      </c>
    </row>
    <row r="412" spans="1:1" x14ac:dyDescent="0.25">
      <c r="A412" s="10">
        <f t="shared" si="89"/>
        <v>41718</v>
      </c>
    </row>
    <row r="413" spans="1:1" x14ac:dyDescent="0.25">
      <c r="A413" s="10">
        <f t="shared" si="89"/>
        <v>41725</v>
      </c>
    </row>
    <row r="414" spans="1:1" x14ac:dyDescent="0.25">
      <c r="A414" s="10">
        <f t="shared" si="89"/>
        <v>41732</v>
      </c>
    </row>
    <row r="415" spans="1:1" x14ac:dyDescent="0.25">
      <c r="A415" s="10">
        <f t="shared" si="89"/>
        <v>41739</v>
      </c>
    </row>
    <row r="416" spans="1:1" x14ac:dyDescent="0.25">
      <c r="A416" s="10">
        <f t="shared" si="89"/>
        <v>41746</v>
      </c>
    </row>
    <row r="417" spans="1:1" x14ac:dyDescent="0.25">
      <c r="A417" s="10">
        <f t="shared" si="89"/>
        <v>41753</v>
      </c>
    </row>
    <row r="65525" spans="1:1" x14ac:dyDescent="0.25">
      <c r="A65525" s="10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K65527"/>
  <sheetViews>
    <sheetView topLeftCell="A375" workbookViewId="0">
      <selection activeCell="D401" sqref="D401"/>
    </sheetView>
  </sheetViews>
  <sheetFormatPr defaultRowHeight="13.2" x14ac:dyDescent="0.25"/>
  <cols>
    <col min="1" max="1" width="12.33203125" customWidth="1"/>
  </cols>
  <sheetData>
    <row r="1" spans="1:9" x14ac:dyDescent="0.25"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9" x14ac:dyDescent="0.25">
      <c r="A2" t="s">
        <v>7</v>
      </c>
      <c r="B2" s="6">
        <v>2005</v>
      </c>
      <c r="C2" s="6">
        <v>2004</v>
      </c>
      <c r="D2" s="7">
        <v>2005</v>
      </c>
      <c r="E2" s="8">
        <v>2004</v>
      </c>
      <c r="F2" s="7">
        <v>2005</v>
      </c>
      <c r="G2" s="8">
        <v>2004</v>
      </c>
      <c r="H2" s="9" t="s">
        <v>8</v>
      </c>
      <c r="I2" s="19">
        <v>2006</v>
      </c>
    </row>
    <row r="3" spans="1:9" x14ac:dyDescent="0.25">
      <c r="A3" s="10">
        <v>38855</v>
      </c>
      <c r="B3">
        <v>0</v>
      </c>
      <c r="C3">
        <v>72.099999999999994</v>
      </c>
      <c r="D3">
        <v>373</v>
      </c>
      <c r="E3">
        <v>2015</v>
      </c>
      <c r="F3" s="11">
        <f>+B3+D3</f>
        <v>373</v>
      </c>
      <c r="G3" s="12">
        <f>+C3+E3</f>
        <v>2087.1</v>
      </c>
      <c r="H3" s="15">
        <f>+(F3/G3-1)*100</f>
        <v>-82.128312011882514</v>
      </c>
      <c r="I3">
        <v>0</v>
      </c>
    </row>
    <row r="4" spans="1:9" x14ac:dyDescent="0.25">
      <c r="A4" s="10">
        <f>Japan!A4</f>
        <v>38862</v>
      </c>
      <c r="B4">
        <v>0</v>
      </c>
      <c r="C4">
        <v>72</v>
      </c>
      <c r="D4">
        <v>373</v>
      </c>
      <c r="E4">
        <v>2015.1</v>
      </c>
      <c r="F4" s="11">
        <f>+B4+D4</f>
        <v>373</v>
      </c>
      <c r="G4" s="12">
        <f>+C4+E4</f>
        <v>2087.1</v>
      </c>
      <c r="H4" s="15">
        <f>+(F4/G4-1)*100</f>
        <v>-82.128312011882514</v>
      </c>
    </row>
    <row r="5" spans="1:9" x14ac:dyDescent="0.25">
      <c r="A5" s="23" t="s">
        <v>20</v>
      </c>
      <c r="B5" s="21" t="s">
        <v>4</v>
      </c>
      <c r="C5" s="21"/>
      <c r="D5" s="139" t="s">
        <v>5</v>
      </c>
      <c r="E5" s="139"/>
      <c r="F5" s="139" t="s">
        <v>6</v>
      </c>
      <c r="G5" s="139"/>
      <c r="H5" s="21"/>
    </row>
    <row r="6" spans="1:9" x14ac:dyDescent="0.25">
      <c r="B6" s="76" t="s">
        <v>32</v>
      </c>
      <c r="C6" s="76" t="s">
        <v>33</v>
      </c>
      <c r="D6" s="82" t="s">
        <v>32</v>
      </c>
      <c r="E6" s="83" t="s">
        <v>33</v>
      </c>
      <c r="F6" s="82" t="s">
        <v>195</v>
      </c>
      <c r="G6" s="83" t="s">
        <v>33</v>
      </c>
      <c r="H6" s="21" t="s">
        <v>8</v>
      </c>
    </row>
    <row r="7" spans="1:9" x14ac:dyDescent="0.25">
      <c r="A7" s="10">
        <f>+A4+7</f>
        <v>38869</v>
      </c>
      <c r="B7">
        <v>0</v>
      </c>
      <c r="C7">
        <v>157.5</v>
      </c>
      <c r="D7">
        <v>0</v>
      </c>
      <c r="E7">
        <v>0</v>
      </c>
      <c r="F7">
        <f t="shared" ref="F7:G9" si="0">+B7+D7</f>
        <v>0</v>
      </c>
      <c r="G7">
        <f t="shared" si="0"/>
        <v>157.5</v>
      </c>
      <c r="H7" s="14">
        <f t="shared" ref="H7:H12" si="1">+(F7/G7-1)*100</f>
        <v>-100</v>
      </c>
    </row>
    <row r="8" spans="1:9" x14ac:dyDescent="0.25">
      <c r="A8" s="10">
        <f t="shared" ref="A8:A215" si="2">+A7+7</f>
        <v>38876</v>
      </c>
      <c r="B8">
        <v>0</v>
      </c>
      <c r="C8">
        <v>157.5</v>
      </c>
      <c r="D8">
        <v>0</v>
      </c>
      <c r="E8">
        <v>0</v>
      </c>
      <c r="F8">
        <f t="shared" si="0"/>
        <v>0</v>
      </c>
      <c r="G8">
        <f t="shared" si="0"/>
        <v>157.5</v>
      </c>
      <c r="H8" s="14">
        <f t="shared" si="1"/>
        <v>-100</v>
      </c>
    </row>
    <row r="9" spans="1:9" x14ac:dyDescent="0.25">
      <c r="A9" s="10">
        <f t="shared" si="2"/>
        <v>38883</v>
      </c>
      <c r="B9">
        <v>0</v>
      </c>
      <c r="C9">
        <v>157.5</v>
      </c>
      <c r="D9">
        <v>0</v>
      </c>
      <c r="E9">
        <v>0</v>
      </c>
      <c r="F9">
        <f t="shared" si="0"/>
        <v>0</v>
      </c>
      <c r="G9">
        <f t="shared" si="0"/>
        <v>157.5</v>
      </c>
      <c r="H9" s="14">
        <f t="shared" si="1"/>
        <v>-100</v>
      </c>
    </row>
    <row r="10" spans="1:9" x14ac:dyDescent="0.25">
      <c r="A10" s="10">
        <f t="shared" si="2"/>
        <v>38890</v>
      </c>
      <c r="B10">
        <v>0</v>
      </c>
      <c r="C10">
        <v>157.5</v>
      </c>
      <c r="D10">
        <v>0</v>
      </c>
      <c r="E10">
        <v>0</v>
      </c>
      <c r="F10">
        <f t="shared" ref="F10:G12" si="3">+B10+D10</f>
        <v>0</v>
      </c>
      <c r="G10">
        <f t="shared" si="3"/>
        <v>157.5</v>
      </c>
      <c r="H10" s="14">
        <f t="shared" si="1"/>
        <v>-100</v>
      </c>
    </row>
    <row r="11" spans="1:9" x14ac:dyDescent="0.25">
      <c r="A11" s="10">
        <f t="shared" si="2"/>
        <v>38897</v>
      </c>
      <c r="B11">
        <v>0</v>
      </c>
      <c r="C11">
        <v>212.5</v>
      </c>
      <c r="D11">
        <v>0</v>
      </c>
      <c r="E11">
        <v>0</v>
      </c>
      <c r="F11" s="19">
        <f t="shared" si="3"/>
        <v>0</v>
      </c>
      <c r="G11" s="19">
        <f t="shared" si="3"/>
        <v>212.5</v>
      </c>
      <c r="H11" s="24">
        <f t="shared" si="1"/>
        <v>-100</v>
      </c>
    </row>
    <row r="12" spans="1:9" x14ac:dyDescent="0.25">
      <c r="A12" s="10">
        <f t="shared" si="2"/>
        <v>38904</v>
      </c>
      <c r="B12">
        <v>0</v>
      </c>
      <c r="C12">
        <v>267.5</v>
      </c>
      <c r="D12">
        <v>0</v>
      </c>
      <c r="E12">
        <v>0</v>
      </c>
      <c r="F12" s="19">
        <f t="shared" si="3"/>
        <v>0</v>
      </c>
      <c r="G12" s="19">
        <f t="shared" si="3"/>
        <v>267.5</v>
      </c>
      <c r="H12" s="24">
        <f t="shared" si="1"/>
        <v>-100</v>
      </c>
    </row>
    <row r="13" spans="1:9" x14ac:dyDescent="0.25">
      <c r="A13" s="10">
        <f t="shared" si="2"/>
        <v>38911</v>
      </c>
      <c r="B13">
        <v>0</v>
      </c>
      <c r="C13">
        <v>267.5</v>
      </c>
      <c r="D13">
        <v>0</v>
      </c>
      <c r="E13">
        <v>0</v>
      </c>
      <c r="F13" s="19">
        <f t="shared" ref="F13:G40" si="4">+B13+D13</f>
        <v>0</v>
      </c>
      <c r="G13" s="19">
        <f t="shared" si="4"/>
        <v>267.5</v>
      </c>
      <c r="H13" s="24">
        <f t="shared" ref="H13:H40" si="5">+(F13/G13-1)*100</f>
        <v>-100</v>
      </c>
    </row>
    <row r="14" spans="1:9" x14ac:dyDescent="0.25">
      <c r="A14" s="10">
        <f t="shared" si="2"/>
        <v>38918</v>
      </c>
      <c r="B14">
        <v>0</v>
      </c>
      <c r="C14">
        <v>267.5</v>
      </c>
      <c r="D14">
        <v>0</v>
      </c>
      <c r="E14">
        <v>0</v>
      </c>
      <c r="F14" s="19">
        <f t="shared" si="4"/>
        <v>0</v>
      </c>
      <c r="G14" s="19">
        <f t="shared" si="4"/>
        <v>267.5</v>
      </c>
      <c r="H14" s="24">
        <f t="shared" si="5"/>
        <v>-100</v>
      </c>
    </row>
    <row r="15" spans="1:9" x14ac:dyDescent="0.25">
      <c r="A15" s="10">
        <f t="shared" si="2"/>
        <v>38925</v>
      </c>
      <c r="B15">
        <v>0</v>
      </c>
      <c r="C15">
        <v>322.5</v>
      </c>
      <c r="D15">
        <v>0</v>
      </c>
      <c r="E15">
        <v>59.9</v>
      </c>
      <c r="F15" s="19">
        <f t="shared" si="4"/>
        <v>0</v>
      </c>
      <c r="G15" s="19">
        <f t="shared" si="4"/>
        <v>382.4</v>
      </c>
      <c r="H15" s="24">
        <f t="shared" si="5"/>
        <v>-100</v>
      </c>
    </row>
    <row r="16" spans="1:9" x14ac:dyDescent="0.25">
      <c r="A16" s="10">
        <f t="shared" si="2"/>
        <v>38932</v>
      </c>
      <c r="B16">
        <v>0</v>
      </c>
      <c r="C16">
        <v>377.5</v>
      </c>
      <c r="D16">
        <v>0</v>
      </c>
      <c r="E16">
        <v>599.9</v>
      </c>
      <c r="F16" s="19">
        <f t="shared" si="4"/>
        <v>0</v>
      </c>
      <c r="G16" s="19">
        <f t="shared" si="4"/>
        <v>977.4</v>
      </c>
      <c r="H16" s="24">
        <f t="shared" si="5"/>
        <v>-100</v>
      </c>
    </row>
    <row r="17" spans="1:9" x14ac:dyDescent="0.25">
      <c r="A17" s="10">
        <f t="shared" si="2"/>
        <v>38939</v>
      </c>
      <c r="B17">
        <v>0</v>
      </c>
      <c r="C17">
        <v>377.5</v>
      </c>
      <c r="D17">
        <v>0</v>
      </c>
      <c r="E17" s="23">
        <v>117.6</v>
      </c>
      <c r="F17" s="19">
        <f t="shared" si="4"/>
        <v>0</v>
      </c>
      <c r="G17" s="25">
        <f t="shared" si="4"/>
        <v>495.1</v>
      </c>
      <c r="H17" s="24">
        <f t="shared" si="5"/>
        <v>-100</v>
      </c>
      <c r="I17" t="s">
        <v>21</v>
      </c>
    </row>
    <row r="18" spans="1:9" x14ac:dyDescent="0.25">
      <c r="A18" s="10">
        <f t="shared" si="2"/>
        <v>38946</v>
      </c>
      <c r="B18">
        <v>0</v>
      </c>
      <c r="C18" s="26">
        <v>627.5</v>
      </c>
      <c r="D18">
        <v>0</v>
      </c>
      <c r="E18" s="26">
        <v>117.6</v>
      </c>
      <c r="F18" s="19">
        <f t="shared" si="4"/>
        <v>0</v>
      </c>
      <c r="G18" s="19">
        <f t="shared" si="4"/>
        <v>745.1</v>
      </c>
      <c r="H18" s="24">
        <f t="shared" si="5"/>
        <v>-100</v>
      </c>
      <c r="I18" s="26" t="s">
        <v>22</v>
      </c>
    </row>
    <row r="19" spans="1:9" x14ac:dyDescent="0.25">
      <c r="A19" s="10">
        <f t="shared" si="2"/>
        <v>38953</v>
      </c>
      <c r="B19">
        <v>0</v>
      </c>
      <c r="C19">
        <v>627.5</v>
      </c>
      <c r="D19">
        <v>0</v>
      </c>
      <c r="E19">
        <v>174.6</v>
      </c>
      <c r="F19" s="19">
        <f t="shared" si="4"/>
        <v>0</v>
      </c>
      <c r="G19" s="19">
        <f t="shared" si="4"/>
        <v>802.1</v>
      </c>
      <c r="H19" s="24">
        <f t="shared" si="5"/>
        <v>-100</v>
      </c>
    </row>
    <row r="20" spans="1:9" x14ac:dyDescent="0.25">
      <c r="A20" s="10">
        <f t="shared" si="2"/>
        <v>38960</v>
      </c>
      <c r="B20">
        <v>0</v>
      </c>
      <c r="C20">
        <v>627.5</v>
      </c>
      <c r="D20">
        <v>0</v>
      </c>
      <c r="E20">
        <v>174.6</v>
      </c>
      <c r="F20" s="19">
        <f t="shared" si="4"/>
        <v>0</v>
      </c>
      <c r="G20" s="19">
        <f t="shared" si="4"/>
        <v>802.1</v>
      </c>
      <c r="H20" s="24">
        <f t="shared" si="5"/>
        <v>-100</v>
      </c>
    </row>
    <row r="21" spans="1:9" x14ac:dyDescent="0.25">
      <c r="A21" s="10">
        <f t="shared" si="2"/>
        <v>38967</v>
      </c>
      <c r="B21">
        <v>0</v>
      </c>
      <c r="C21">
        <v>627.5</v>
      </c>
      <c r="D21">
        <v>0</v>
      </c>
      <c r="E21">
        <v>174.6</v>
      </c>
      <c r="F21" s="19">
        <f t="shared" si="4"/>
        <v>0</v>
      </c>
      <c r="G21" s="19">
        <f t="shared" si="4"/>
        <v>802.1</v>
      </c>
      <c r="H21" s="24">
        <f t="shared" si="5"/>
        <v>-100</v>
      </c>
    </row>
    <row r="22" spans="1:9" x14ac:dyDescent="0.25">
      <c r="A22" s="10">
        <f t="shared" si="2"/>
        <v>38974</v>
      </c>
      <c r="B22">
        <v>0</v>
      </c>
      <c r="C22">
        <v>520.1</v>
      </c>
      <c r="D22">
        <v>0</v>
      </c>
      <c r="E22">
        <v>282.60000000000002</v>
      </c>
      <c r="F22" s="19">
        <f t="shared" si="4"/>
        <v>0</v>
      </c>
      <c r="G22" s="19">
        <f t="shared" si="4"/>
        <v>802.7</v>
      </c>
      <c r="H22" s="24">
        <f t="shared" si="5"/>
        <v>-100</v>
      </c>
    </row>
    <row r="23" spans="1:9" x14ac:dyDescent="0.25">
      <c r="A23" s="10">
        <f t="shared" si="2"/>
        <v>38981</v>
      </c>
      <c r="B23">
        <v>0</v>
      </c>
      <c r="C23">
        <v>670.1</v>
      </c>
      <c r="D23">
        <v>0</v>
      </c>
      <c r="E23">
        <v>388.5</v>
      </c>
      <c r="F23" s="19">
        <f t="shared" si="4"/>
        <v>0</v>
      </c>
      <c r="G23" s="19">
        <f t="shared" si="4"/>
        <v>1058.5999999999999</v>
      </c>
      <c r="H23" s="24">
        <f t="shared" si="5"/>
        <v>-100</v>
      </c>
    </row>
    <row r="24" spans="1:9" x14ac:dyDescent="0.25">
      <c r="A24" s="10">
        <f t="shared" si="2"/>
        <v>38988</v>
      </c>
      <c r="B24">
        <v>0</v>
      </c>
      <c r="C24">
        <v>670.1</v>
      </c>
      <c r="D24">
        <v>0</v>
      </c>
      <c r="E24">
        <v>388.5</v>
      </c>
      <c r="F24" s="19">
        <f t="shared" si="4"/>
        <v>0</v>
      </c>
      <c r="G24" s="19">
        <f t="shared" si="4"/>
        <v>1058.5999999999999</v>
      </c>
      <c r="H24" s="24">
        <f t="shared" si="5"/>
        <v>-100</v>
      </c>
    </row>
    <row r="25" spans="1:9" x14ac:dyDescent="0.25">
      <c r="A25" s="10">
        <f t="shared" si="2"/>
        <v>38995</v>
      </c>
      <c r="B25">
        <v>300</v>
      </c>
      <c r="C25">
        <v>615.1</v>
      </c>
      <c r="D25">
        <v>0</v>
      </c>
      <c r="E25">
        <v>443.4</v>
      </c>
      <c r="F25" s="19">
        <f t="shared" si="4"/>
        <v>300</v>
      </c>
      <c r="G25" s="19">
        <f t="shared" si="4"/>
        <v>1058.5</v>
      </c>
      <c r="H25" s="24">
        <f t="shared" si="5"/>
        <v>-71.658006613131803</v>
      </c>
    </row>
    <row r="26" spans="1:9" x14ac:dyDescent="0.25">
      <c r="A26" s="10">
        <f t="shared" si="2"/>
        <v>39002</v>
      </c>
      <c r="B26">
        <v>300</v>
      </c>
      <c r="C26">
        <v>577.5</v>
      </c>
      <c r="D26">
        <v>0</v>
      </c>
      <c r="E26">
        <v>496</v>
      </c>
      <c r="F26" s="19">
        <f t="shared" si="4"/>
        <v>300</v>
      </c>
      <c r="G26" s="19">
        <f t="shared" si="4"/>
        <v>1073.5</v>
      </c>
      <c r="H26" s="24">
        <f t="shared" si="5"/>
        <v>-72.054028877503498</v>
      </c>
    </row>
    <row r="27" spans="1:9" x14ac:dyDescent="0.25">
      <c r="A27" s="10">
        <f t="shared" si="2"/>
        <v>39009</v>
      </c>
      <c r="B27">
        <v>300</v>
      </c>
      <c r="C27">
        <v>481.9</v>
      </c>
      <c r="D27">
        <v>0</v>
      </c>
      <c r="E27">
        <v>592.79999999999995</v>
      </c>
      <c r="F27" s="19">
        <f t="shared" si="4"/>
        <v>300</v>
      </c>
      <c r="G27" s="19">
        <f t="shared" si="4"/>
        <v>1074.6999999999998</v>
      </c>
      <c r="H27" s="24">
        <f t="shared" si="5"/>
        <v>-72.085233088303696</v>
      </c>
    </row>
    <row r="28" spans="1:9" x14ac:dyDescent="0.25">
      <c r="A28" s="10">
        <f t="shared" si="2"/>
        <v>39016</v>
      </c>
      <c r="B28">
        <v>700</v>
      </c>
      <c r="C28">
        <v>426.6</v>
      </c>
      <c r="D28">
        <v>0</v>
      </c>
      <c r="E28">
        <v>648</v>
      </c>
      <c r="F28" s="19">
        <f t="shared" si="4"/>
        <v>700</v>
      </c>
      <c r="G28" s="19">
        <f t="shared" si="4"/>
        <v>1074.5999999999999</v>
      </c>
      <c r="H28" s="24">
        <f t="shared" si="5"/>
        <v>-34.859482598176058</v>
      </c>
    </row>
    <row r="29" spans="1:9" x14ac:dyDescent="0.25">
      <c r="A29" s="10">
        <f t="shared" si="2"/>
        <v>39023</v>
      </c>
      <c r="B29">
        <v>700</v>
      </c>
      <c r="C29">
        <v>1226.5999999999999</v>
      </c>
      <c r="D29">
        <v>0</v>
      </c>
      <c r="E29">
        <v>648</v>
      </c>
      <c r="F29" s="19">
        <f t="shared" si="4"/>
        <v>700</v>
      </c>
      <c r="G29" s="19">
        <f t="shared" si="4"/>
        <v>1874.6</v>
      </c>
      <c r="H29" s="24">
        <f t="shared" si="5"/>
        <v>-62.658700522778197</v>
      </c>
    </row>
    <row r="30" spans="1:9" x14ac:dyDescent="0.25">
      <c r="A30" s="10">
        <f t="shared" si="2"/>
        <v>39030</v>
      </c>
      <c r="B30">
        <v>700</v>
      </c>
      <c r="C30">
        <v>1281.5999999999999</v>
      </c>
      <c r="D30">
        <v>0</v>
      </c>
      <c r="E30">
        <v>648</v>
      </c>
      <c r="F30" s="19">
        <f t="shared" si="4"/>
        <v>700</v>
      </c>
      <c r="G30" s="19">
        <f t="shared" si="4"/>
        <v>1929.6</v>
      </c>
      <c r="H30" s="24">
        <f t="shared" si="5"/>
        <v>-63.72305140961857</v>
      </c>
    </row>
    <row r="31" spans="1:9" x14ac:dyDescent="0.25">
      <c r="A31" s="10">
        <f t="shared" si="2"/>
        <v>39037</v>
      </c>
      <c r="B31">
        <v>700</v>
      </c>
      <c r="C31">
        <v>1230.5999999999999</v>
      </c>
      <c r="D31">
        <v>0</v>
      </c>
      <c r="E31">
        <v>699</v>
      </c>
      <c r="F31" s="19">
        <f t="shared" si="4"/>
        <v>700</v>
      </c>
      <c r="G31" s="19">
        <f t="shared" si="4"/>
        <v>1929.6</v>
      </c>
      <c r="H31" s="24">
        <f t="shared" si="5"/>
        <v>-63.72305140961857</v>
      </c>
    </row>
    <row r="32" spans="1:9" x14ac:dyDescent="0.25">
      <c r="A32" s="10">
        <f t="shared" si="2"/>
        <v>39044</v>
      </c>
      <c r="B32">
        <v>700</v>
      </c>
      <c r="C32">
        <v>1175.9000000000001</v>
      </c>
      <c r="D32">
        <v>0</v>
      </c>
      <c r="E32">
        <v>753.8</v>
      </c>
      <c r="F32" s="19">
        <f t="shared" si="4"/>
        <v>700</v>
      </c>
      <c r="G32" s="19">
        <f t="shared" si="4"/>
        <v>1929.7</v>
      </c>
      <c r="H32" s="24">
        <f t="shared" si="5"/>
        <v>-63.724931336477177</v>
      </c>
    </row>
    <row r="33" spans="1:8" x14ac:dyDescent="0.25">
      <c r="A33" s="10">
        <f t="shared" si="2"/>
        <v>39051</v>
      </c>
      <c r="B33">
        <v>700</v>
      </c>
      <c r="C33">
        <v>1265.9000000000001</v>
      </c>
      <c r="D33">
        <v>0</v>
      </c>
      <c r="E33">
        <v>865.8</v>
      </c>
      <c r="F33" s="19">
        <f t="shared" si="4"/>
        <v>700</v>
      </c>
      <c r="G33" s="19">
        <f t="shared" si="4"/>
        <v>2131.6999999999998</v>
      </c>
      <c r="H33" s="24">
        <f t="shared" si="5"/>
        <v>-67.16235868086504</v>
      </c>
    </row>
    <row r="34" spans="1:8" x14ac:dyDescent="0.25">
      <c r="A34" s="10">
        <f t="shared" si="2"/>
        <v>39058</v>
      </c>
      <c r="B34">
        <v>700</v>
      </c>
      <c r="C34">
        <v>1265.9000000000001</v>
      </c>
      <c r="D34">
        <v>0</v>
      </c>
      <c r="E34">
        <v>865.8</v>
      </c>
      <c r="F34" s="19">
        <f t="shared" si="4"/>
        <v>700</v>
      </c>
      <c r="G34" s="19">
        <f t="shared" si="4"/>
        <v>2131.6999999999998</v>
      </c>
      <c r="H34" s="24">
        <f t="shared" si="5"/>
        <v>-67.16235868086504</v>
      </c>
    </row>
    <row r="35" spans="1:8" x14ac:dyDescent="0.25">
      <c r="A35" s="10">
        <f t="shared" si="2"/>
        <v>39065</v>
      </c>
      <c r="B35">
        <v>648.5</v>
      </c>
      <c r="C35">
        <v>1265.9000000000001</v>
      </c>
      <c r="D35">
        <v>51.5</v>
      </c>
      <c r="E35">
        <v>865.8</v>
      </c>
      <c r="F35" s="19">
        <f t="shared" si="4"/>
        <v>700</v>
      </c>
      <c r="G35" s="19">
        <f t="shared" si="4"/>
        <v>2131.6999999999998</v>
      </c>
      <c r="H35" s="24">
        <f t="shared" si="5"/>
        <v>-67.16235868086504</v>
      </c>
    </row>
    <row r="36" spans="1:8" x14ac:dyDescent="0.25">
      <c r="A36" s="10">
        <f t="shared" si="2"/>
        <v>39072</v>
      </c>
      <c r="B36">
        <v>543.6</v>
      </c>
      <c r="C36">
        <v>1164.2</v>
      </c>
      <c r="D36">
        <v>161.4</v>
      </c>
      <c r="E36">
        <v>967.8</v>
      </c>
      <c r="F36" s="19">
        <f t="shared" si="4"/>
        <v>705</v>
      </c>
      <c r="G36" s="19">
        <f t="shared" si="4"/>
        <v>2132</v>
      </c>
      <c r="H36" s="24">
        <f t="shared" si="5"/>
        <v>-66.932457786116316</v>
      </c>
    </row>
    <row r="37" spans="1:8" x14ac:dyDescent="0.25">
      <c r="A37" s="10">
        <f t="shared" si="2"/>
        <v>39079</v>
      </c>
      <c r="B37">
        <v>391.1</v>
      </c>
      <c r="C37">
        <v>1164.2</v>
      </c>
      <c r="D37">
        <v>307</v>
      </c>
      <c r="E37">
        <v>967.8</v>
      </c>
      <c r="F37" s="19">
        <f t="shared" si="4"/>
        <v>698.1</v>
      </c>
      <c r="G37" s="19">
        <f t="shared" si="4"/>
        <v>2132</v>
      </c>
      <c r="H37" s="24">
        <f t="shared" si="5"/>
        <v>-67.256097560975618</v>
      </c>
    </row>
    <row r="38" spans="1:8" x14ac:dyDescent="0.25">
      <c r="A38" s="10">
        <f t="shared" si="2"/>
        <v>39086</v>
      </c>
      <c r="B38">
        <v>296</v>
      </c>
      <c r="C38">
        <v>957</v>
      </c>
      <c r="D38">
        <v>401.7</v>
      </c>
      <c r="E38">
        <v>1177.4000000000001</v>
      </c>
      <c r="F38" s="19">
        <f t="shared" si="4"/>
        <v>697.7</v>
      </c>
      <c r="G38" s="19">
        <f t="shared" si="4"/>
        <v>2134.4</v>
      </c>
      <c r="H38" s="24">
        <f t="shared" si="5"/>
        <v>-67.311656671664167</v>
      </c>
    </row>
    <row r="39" spans="1:8" x14ac:dyDescent="0.25">
      <c r="A39" s="10">
        <f t="shared" si="2"/>
        <v>39093</v>
      </c>
      <c r="B39">
        <v>354</v>
      </c>
      <c r="C39">
        <v>906.5</v>
      </c>
      <c r="D39">
        <v>443.7</v>
      </c>
      <c r="E39">
        <v>1227.9000000000001</v>
      </c>
      <c r="F39" s="19">
        <f t="shared" si="4"/>
        <v>797.7</v>
      </c>
      <c r="G39" s="19">
        <f t="shared" si="4"/>
        <v>2134.4</v>
      </c>
      <c r="H39" s="24">
        <f t="shared" si="5"/>
        <v>-62.626499250374813</v>
      </c>
    </row>
    <row r="40" spans="1:8" x14ac:dyDescent="0.25">
      <c r="A40" s="10">
        <f t="shared" si="2"/>
        <v>39100</v>
      </c>
      <c r="B40">
        <v>304</v>
      </c>
      <c r="C40">
        <v>855.3</v>
      </c>
      <c r="D40">
        <v>497.1</v>
      </c>
      <c r="E40">
        <v>1279.0999999999999</v>
      </c>
      <c r="F40" s="19">
        <f t="shared" si="4"/>
        <v>801.1</v>
      </c>
      <c r="G40" s="19">
        <f t="shared" si="4"/>
        <v>2134.3999999999996</v>
      </c>
      <c r="H40" s="24">
        <f t="shared" si="5"/>
        <v>-62.467203898050961</v>
      </c>
    </row>
    <row r="41" spans="1:8" x14ac:dyDescent="0.25">
      <c r="A41" s="10">
        <f t="shared" si="2"/>
        <v>39107</v>
      </c>
      <c r="B41">
        <v>255.2</v>
      </c>
      <c r="C41">
        <v>755.5</v>
      </c>
      <c r="D41">
        <v>551.1</v>
      </c>
      <c r="E41">
        <v>1375.3</v>
      </c>
      <c r="F41" s="19">
        <f t="shared" ref="F41:G43" si="6">+B41+D41</f>
        <v>806.3</v>
      </c>
      <c r="G41" s="19">
        <f t="shared" si="6"/>
        <v>2130.8000000000002</v>
      </c>
      <c r="H41" s="24">
        <f t="shared" ref="H41:H46" si="7">+(F41/G41-1)*100</f>
        <v>-62.159752205744326</v>
      </c>
    </row>
    <row r="42" spans="1:8" x14ac:dyDescent="0.25">
      <c r="A42" s="10">
        <f t="shared" si="2"/>
        <v>39114</v>
      </c>
      <c r="B42">
        <v>250</v>
      </c>
      <c r="C42">
        <v>655.8</v>
      </c>
      <c r="D42">
        <v>648.20000000000005</v>
      </c>
      <c r="E42">
        <v>1475</v>
      </c>
      <c r="F42" s="19">
        <f t="shared" si="6"/>
        <v>898.2</v>
      </c>
      <c r="G42" s="19">
        <f t="shared" si="6"/>
        <v>2130.8000000000002</v>
      </c>
      <c r="H42" s="24">
        <f t="shared" si="7"/>
        <v>-57.846818096489585</v>
      </c>
    </row>
    <row r="43" spans="1:8" x14ac:dyDescent="0.25">
      <c r="A43" s="10">
        <f t="shared" si="2"/>
        <v>39121</v>
      </c>
      <c r="B43">
        <v>250</v>
      </c>
      <c r="C43">
        <v>556.79999999999995</v>
      </c>
      <c r="D43">
        <v>648.20000000000005</v>
      </c>
      <c r="E43">
        <v>1574.3</v>
      </c>
      <c r="F43" s="19">
        <f t="shared" si="6"/>
        <v>898.2</v>
      </c>
      <c r="G43" s="19">
        <f t="shared" si="6"/>
        <v>2131.1</v>
      </c>
      <c r="H43" s="24">
        <f t="shared" si="7"/>
        <v>-57.852752099854534</v>
      </c>
    </row>
    <row r="44" spans="1:8" x14ac:dyDescent="0.25">
      <c r="A44" s="10">
        <f t="shared" si="2"/>
        <v>39128</v>
      </c>
      <c r="B44">
        <v>250</v>
      </c>
      <c r="C44">
        <v>506.1</v>
      </c>
      <c r="D44">
        <v>648.20000000000005</v>
      </c>
      <c r="E44">
        <v>1625</v>
      </c>
      <c r="F44" s="19">
        <f t="shared" ref="F44:G46" si="8">+B44+D44</f>
        <v>898.2</v>
      </c>
      <c r="G44" s="19">
        <f t="shared" si="8"/>
        <v>2131.1</v>
      </c>
      <c r="H44" s="24">
        <f t="shared" si="7"/>
        <v>-57.852752099854534</v>
      </c>
    </row>
    <row r="45" spans="1:8" x14ac:dyDescent="0.25">
      <c r="A45" s="10">
        <f t="shared" si="2"/>
        <v>39135</v>
      </c>
      <c r="B45">
        <v>250</v>
      </c>
      <c r="C45">
        <v>454.6</v>
      </c>
      <c r="D45">
        <v>648.20000000000005</v>
      </c>
      <c r="E45">
        <v>1676.5</v>
      </c>
      <c r="F45" s="19">
        <f t="shared" si="8"/>
        <v>898.2</v>
      </c>
      <c r="G45" s="19">
        <f t="shared" si="8"/>
        <v>2131.1</v>
      </c>
      <c r="H45" s="24">
        <f t="shared" si="7"/>
        <v>-57.852752099854534</v>
      </c>
    </row>
    <row r="46" spans="1:8" x14ac:dyDescent="0.25">
      <c r="A46" s="10">
        <f t="shared" si="2"/>
        <v>39142</v>
      </c>
      <c r="B46">
        <v>250</v>
      </c>
      <c r="C46">
        <v>299.60000000000002</v>
      </c>
      <c r="D46">
        <v>648.20000000000005</v>
      </c>
      <c r="E46">
        <v>1832.8</v>
      </c>
      <c r="F46" s="19">
        <f t="shared" si="8"/>
        <v>898.2</v>
      </c>
      <c r="G46" s="19">
        <f t="shared" si="8"/>
        <v>2132.4</v>
      </c>
      <c r="H46" s="24">
        <f t="shared" si="7"/>
        <v>-57.878446820483965</v>
      </c>
    </row>
    <row r="47" spans="1:8" x14ac:dyDescent="0.25">
      <c r="A47" s="10">
        <f t="shared" si="2"/>
        <v>39149</v>
      </c>
      <c r="B47">
        <v>250</v>
      </c>
      <c r="C47">
        <v>249.4</v>
      </c>
      <c r="D47">
        <v>648.20000000000005</v>
      </c>
      <c r="E47">
        <v>1883</v>
      </c>
      <c r="F47" s="19">
        <f t="shared" ref="F47:G49" si="9">+B47+D47</f>
        <v>898.2</v>
      </c>
      <c r="G47" s="19">
        <f t="shared" si="9"/>
        <v>2132.4</v>
      </c>
      <c r="H47" s="24">
        <f t="shared" ref="H47:H52" si="10">+(F47/G47-1)*100</f>
        <v>-57.878446820483965</v>
      </c>
    </row>
    <row r="48" spans="1:8" x14ac:dyDescent="0.25">
      <c r="A48" s="10">
        <f t="shared" si="2"/>
        <v>39156</v>
      </c>
      <c r="B48">
        <v>250</v>
      </c>
      <c r="C48">
        <v>146.9</v>
      </c>
      <c r="D48">
        <v>648.20000000000005</v>
      </c>
      <c r="E48">
        <v>1883</v>
      </c>
      <c r="F48" s="19">
        <f t="shared" si="9"/>
        <v>898.2</v>
      </c>
      <c r="G48" s="19">
        <f t="shared" si="9"/>
        <v>2029.9</v>
      </c>
      <c r="H48" s="24">
        <f t="shared" si="10"/>
        <v>-55.751514852948425</v>
      </c>
    </row>
    <row r="49" spans="1:9" x14ac:dyDescent="0.25">
      <c r="A49" s="10">
        <f t="shared" si="2"/>
        <v>39163</v>
      </c>
      <c r="B49">
        <v>200</v>
      </c>
      <c r="C49">
        <v>347.1</v>
      </c>
      <c r="D49">
        <v>698.6</v>
      </c>
      <c r="E49">
        <v>1932.8</v>
      </c>
      <c r="F49" s="19">
        <f t="shared" si="9"/>
        <v>898.6</v>
      </c>
      <c r="G49" s="19">
        <f t="shared" si="9"/>
        <v>2279.9</v>
      </c>
      <c r="H49" s="24">
        <f t="shared" si="10"/>
        <v>-60.585990613623395</v>
      </c>
    </row>
    <row r="50" spans="1:9" x14ac:dyDescent="0.25">
      <c r="A50" s="10">
        <f t="shared" si="2"/>
        <v>39170</v>
      </c>
      <c r="B50">
        <v>200</v>
      </c>
      <c r="C50">
        <v>447.1</v>
      </c>
      <c r="D50">
        <v>698.6</v>
      </c>
      <c r="E50">
        <v>1932.8</v>
      </c>
      <c r="F50" s="19">
        <f t="shared" ref="F50:G52" si="11">+B50+D50</f>
        <v>898.6</v>
      </c>
      <c r="G50" s="19">
        <f t="shared" si="11"/>
        <v>2379.9</v>
      </c>
      <c r="H50" s="24">
        <f t="shared" si="10"/>
        <v>-62.242111013067777</v>
      </c>
    </row>
    <row r="51" spans="1:9" x14ac:dyDescent="0.25">
      <c r="A51" s="10">
        <f t="shared" si="2"/>
        <v>39177</v>
      </c>
      <c r="B51">
        <v>200</v>
      </c>
      <c r="C51">
        <v>447.1</v>
      </c>
      <c r="D51">
        <v>698.6</v>
      </c>
      <c r="E51">
        <v>1932.8</v>
      </c>
      <c r="F51" s="19">
        <f t="shared" si="11"/>
        <v>898.6</v>
      </c>
      <c r="G51" s="19">
        <f t="shared" si="11"/>
        <v>2379.9</v>
      </c>
      <c r="H51" s="24">
        <f t="shared" si="10"/>
        <v>-62.242111013067777</v>
      </c>
    </row>
    <row r="52" spans="1:9" x14ac:dyDescent="0.25">
      <c r="A52" s="10">
        <f t="shared" si="2"/>
        <v>39184</v>
      </c>
      <c r="B52">
        <v>200</v>
      </c>
      <c r="C52">
        <v>393.9</v>
      </c>
      <c r="D52">
        <v>698.6</v>
      </c>
      <c r="E52">
        <v>1986.1</v>
      </c>
      <c r="F52" s="19">
        <f t="shared" si="11"/>
        <v>898.6</v>
      </c>
      <c r="G52" s="19">
        <f t="shared" si="11"/>
        <v>2380</v>
      </c>
      <c r="H52" s="24">
        <f t="shared" si="10"/>
        <v>-62.243697478991592</v>
      </c>
    </row>
    <row r="53" spans="1:9" x14ac:dyDescent="0.25">
      <c r="A53" s="10">
        <f t="shared" si="2"/>
        <v>39191</v>
      </c>
      <c r="B53">
        <v>200</v>
      </c>
      <c r="C53">
        <v>295.89999999999998</v>
      </c>
      <c r="D53">
        <v>698.6</v>
      </c>
      <c r="E53">
        <v>2084.6</v>
      </c>
      <c r="F53" s="19">
        <f t="shared" ref="F53:G55" si="12">+B53+D53</f>
        <v>898.6</v>
      </c>
      <c r="G53" s="19">
        <f t="shared" si="12"/>
        <v>2380.5</v>
      </c>
      <c r="H53" s="24">
        <f t="shared" ref="H53:H59" si="13">+(F53/G53-1)*100</f>
        <v>-62.251627809283761</v>
      </c>
    </row>
    <row r="54" spans="1:9" x14ac:dyDescent="0.25">
      <c r="A54" s="10">
        <f t="shared" si="2"/>
        <v>39198</v>
      </c>
      <c r="B54">
        <v>200</v>
      </c>
      <c r="C54">
        <v>299.39999999999998</v>
      </c>
      <c r="D54">
        <v>698.6</v>
      </c>
      <c r="E54">
        <v>2135.1999999999998</v>
      </c>
      <c r="F54" s="19">
        <f t="shared" si="12"/>
        <v>898.6</v>
      </c>
      <c r="G54" s="19">
        <f t="shared" si="12"/>
        <v>2434.6</v>
      </c>
      <c r="H54" s="24">
        <f t="shared" si="13"/>
        <v>-63.090446069169474</v>
      </c>
    </row>
    <row r="55" spans="1:9" x14ac:dyDescent="0.25">
      <c r="A55" s="10">
        <f t="shared" si="2"/>
        <v>39205</v>
      </c>
      <c r="B55">
        <v>200</v>
      </c>
      <c r="C55">
        <v>149.1</v>
      </c>
      <c r="D55">
        <v>698.6</v>
      </c>
      <c r="E55">
        <v>2185.4</v>
      </c>
      <c r="F55" s="19">
        <f t="shared" si="12"/>
        <v>898.6</v>
      </c>
      <c r="G55" s="19">
        <f t="shared" si="12"/>
        <v>2334.5</v>
      </c>
      <c r="H55" s="24">
        <f t="shared" si="13"/>
        <v>-61.50781751981151</v>
      </c>
    </row>
    <row r="56" spans="1:9" x14ac:dyDescent="0.25">
      <c r="A56" s="10">
        <f t="shared" si="2"/>
        <v>39212</v>
      </c>
      <c r="B56">
        <v>200</v>
      </c>
      <c r="C56">
        <v>149.1</v>
      </c>
      <c r="D56">
        <v>698.6</v>
      </c>
      <c r="E56">
        <v>2185.4</v>
      </c>
      <c r="F56" s="19">
        <f t="shared" ref="F56:G58" si="14">+B56+D56</f>
        <v>898.6</v>
      </c>
      <c r="G56" s="19">
        <f t="shared" si="14"/>
        <v>2334.5</v>
      </c>
      <c r="H56" s="24">
        <f t="shared" si="13"/>
        <v>-61.50781751981151</v>
      </c>
    </row>
    <row r="57" spans="1:9" x14ac:dyDescent="0.25">
      <c r="A57" s="10">
        <f t="shared" si="2"/>
        <v>39219</v>
      </c>
      <c r="B57">
        <v>200</v>
      </c>
      <c r="C57">
        <v>149.1</v>
      </c>
      <c r="D57">
        <v>698.6</v>
      </c>
      <c r="E57">
        <v>2185.4</v>
      </c>
      <c r="F57" s="19">
        <f t="shared" si="14"/>
        <v>898.6</v>
      </c>
      <c r="G57" s="19">
        <f t="shared" si="14"/>
        <v>2334.5</v>
      </c>
      <c r="H57" s="24">
        <f t="shared" si="13"/>
        <v>-61.50781751981151</v>
      </c>
      <c r="I57">
        <v>200</v>
      </c>
    </row>
    <row r="58" spans="1:9" x14ac:dyDescent="0.25">
      <c r="A58" s="10">
        <f t="shared" si="2"/>
        <v>39226</v>
      </c>
      <c r="B58">
        <v>100</v>
      </c>
      <c r="C58">
        <v>96.6</v>
      </c>
      <c r="D58">
        <v>747.4</v>
      </c>
      <c r="E58">
        <v>2237.9</v>
      </c>
      <c r="F58" s="19">
        <f t="shared" si="14"/>
        <v>847.4</v>
      </c>
      <c r="G58" s="19">
        <f t="shared" si="14"/>
        <v>2334.5</v>
      </c>
      <c r="H58" s="24">
        <f t="shared" si="13"/>
        <v>-63.701006639537368</v>
      </c>
      <c r="I58">
        <v>300</v>
      </c>
    </row>
    <row r="59" spans="1:9" x14ac:dyDescent="0.25">
      <c r="A59" s="10">
        <f t="shared" si="2"/>
        <v>39233</v>
      </c>
      <c r="B59">
        <f>+Data!F72</f>
        <v>30</v>
      </c>
      <c r="F59">
        <v>798.5</v>
      </c>
      <c r="G59">
        <v>2337.5</v>
      </c>
      <c r="H59" s="24">
        <f t="shared" si="13"/>
        <v>-65.839572192513373</v>
      </c>
    </row>
    <row r="60" spans="1:9" x14ac:dyDescent="0.25">
      <c r="A60" s="10">
        <f t="shared" si="2"/>
        <v>39240</v>
      </c>
      <c r="B60">
        <v>300</v>
      </c>
      <c r="C60">
        <v>0</v>
      </c>
      <c r="D60">
        <v>0</v>
      </c>
      <c r="E60">
        <v>0</v>
      </c>
      <c r="F60" s="19">
        <f t="shared" ref="F60:G62" si="15">+B60+D60</f>
        <v>300</v>
      </c>
      <c r="G60" s="19">
        <f t="shared" si="15"/>
        <v>0</v>
      </c>
      <c r="H60" s="24"/>
    </row>
    <row r="61" spans="1:9" x14ac:dyDescent="0.25">
      <c r="A61" s="10">
        <f t="shared" si="2"/>
        <v>39247</v>
      </c>
      <c r="B61">
        <v>300</v>
      </c>
      <c r="C61">
        <v>0</v>
      </c>
      <c r="D61">
        <v>0</v>
      </c>
      <c r="E61">
        <v>0</v>
      </c>
      <c r="F61" s="19">
        <f t="shared" si="15"/>
        <v>300</v>
      </c>
      <c r="G61" s="19">
        <f t="shared" si="15"/>
        <v>0</v>
      </c>
    </row>
    <row r="62" spans="1:9" x14ac:dyDescent="0.25">
      <c r="A62" s="10">
        <f t="shared" si="2"/>
        <v>39254</v>
      </c>
      <c r="B62">
        <v>300</v>
      </c>
      <c r="C62">
        <v>0</v>
      </c>
      <c r="D62">
        <v>0</v>
      </c>
      <c r="E62">
        <v>0</v>
      </c>
      <c r="F62" s="19">
        <f t="shared" si="15"/>
        <v>300</v>
      </c>
      <c r="G62" s="19">
        <f t="shared" si="15"/>
        <v>0</v>
      </c>
    </row>
    <row r="63" spans="1:9" x14ac:dyDescent="0.25">
      <c r="A63" s="10">
        <f t="shared" si="2"/>
        <v>39261</v>
      </c>
      <c r="B63">
        <v>300</v>
      </c>
      <c r="C63">
        <v>0</v>
      </c>
      <c r="D63">
        <v>0</v>
      </c>
      <c r="E63">
        <v>0</v>
      </c>
      <c r="F63" s="19">
        <f t="shared" ref="F63:G65" si="16">+B63+D63</f>
        <v>300</v>
      </c>
      <c r="G63" s="19">
        <f t="shared" si="16"/>
        <v>0</v>
      </c>
    </row>
    <row r="64" spans="1:9" x14ac:dyDescent="0.25">
      <c r="A64" s="10">
        <f t="shared" si="2"/>
        <v>39268</v>
      </c>
      <c r="B64">
        <v>400</v>
      </c>
      <c r="C64">
        <v>0</v>
      </c>
      <c r="D64">
        <v>0</v>
      </c>
      <c r="E64">
        <v>0</v>
      </c>
      <c r="F64" s="19">
        <f t="shared" si="16"/>
        <v>400</v>
      </c>
      <c r="G64" s="19">
        <f t="shared" si="16"/>
        <v>0</v>
      </c>
    </row>
    <row r="65" spans="1:7" x14ac:dyDescent="0.25">
      <c r="A65" s="10">
        <f t="shared" si="2"/>
        <v>39275</v>
      </c>
      <c r="B65">
        <v>345.2</v>
      </c>
      <c r="C65">
        <v>0</v>
      </c>
      <c r="D65">
        <v>54.8</v>
      </c>
      <c r="E65">
        <v>0</v>
      </c>
      <c r="F65" s="19">
        <f t="shared" si="16"/>
        <v>400</v>
      </c>
      <c r="G65" s="19">
        <f t="shared" si="16"/>
        <v>0</v>
      </c>
    </row>
    <row r="66" spans="1:7" x14ac:dyDescent="0.25">
      <c r="A66" s="10">
        <f t="shared" si="2"/>
        <v>39282</v>
      </c>
      <c r="B66">
        <v>345.2</v>
      </c>
      <c r="C66">
        <v>0</v>
      </c>
      <c r="D66">
        <v>54.8</v>
      </c>
      <c r="E66">
        <v>0</v>
      </c>
      <c r="F66" s="19">
        <f t="shared" ref="F66:G68" si="17">+B66+D66</f>
        <v>400</v>
      </c>
      <c r="G66" s="19">
        <f t="shared" si="17"/>
        <v>0</v>
      </c>
    </row>
    <row r="67" spans="1:7" x14ac:dyDescent="0.25">
      <c r="A67" s="10">
        <f t="shared" si="2"/>
        <v>39289</v>
      </c>
      <c r="B67">
        <v>545.20000000000005</v>
      </c>
      <c r="C67">
        <v>0</v>
      </c>
      <c r="D67">
        <v>54.8</v>
      </c>
      <c r="E67">
        <v>0</v>
      </c>
      <c r="F67" s="19">
        <f t="shared" si="17"/>
        <v>600</v>
      </c>
      <c r="G67" s="19">
        <f t="shared" si="17"/>
        <v>0</v>
      </c>
    </row>
    <row r="68" spans="1:7" x14ac:dyDescent="0.25">
      <c r="A68" s="10">
        <f t="shared" si="2"/>
        <v>39296</v>
      </c>
      <c r="B68">
        <v>500</v>
      </c>
      <c r="C68">
        <v>0</v>
      </c>
      <c r="D68">
        <v>103.6</v>
      </c>
      <c r="E68">
        <v>0</v>
      </c>
      <c r="F68" s="19">
        <f t="shared" si="17"/>
        <v>603.6</v>
      </c>
      <c r="G68" s="19">
        <f t="shared" si="17"/>
        <v>0</v>
      </c>
    </row>
    <row r="69" spans="1:7" x14ac:dyDescent="0.25">
      <c r="A69" s="10">
        <f t="shared" si="2"/>
        <v>39303</v>
      </c>
      <c r="B69">
        <v>500</v>
      </c>
      <c r="C69">
        <v>0</v>
      </c>
      <c r="D69">
        <v>103.6</v>
      </c>
      <c r="E69">
        <v>0</v>
      </c>
      <c r="F69" s="19">
        <f t="shared" ref="F69:G71" si="18">+B69+D69</f>
        <v>603.6</v>
      </c>
      <c r="G69" s="19">
        <f t="shared" si="18"/>
        <v>0</v>
      </c>
    </row>
    <row r="70" spans="1:7" x14ac:dyDescent="0.25">
      <c r="A70" s="10">
        <f t="shared" si="2"/>
        <v>39310</v>
      </c>
      <c r="B70">
        <v>402.6</v>
      </c>
      <c r="C70">
        <v>0</v>
      </c>
      <c r="D70">
        <v>201</v>
      </c>
      <c r="E70">
        <v>0</v>
      </c>
      <c r="F70" s="19">
        <f t="shared" si="18"/>
        <v>603.6</v>
      </c>
      <c r="G70" s="19">
        <f t="shared" si="18"/>
        <v>0</v>
      </c>
    </row>
    <row r="71" spans="1:7" x14ac:dyDescent="0.25">
      <c r="A71" s="10">
        <f t="shared" si="2"/>
        <v>39317</v>
      </c>
      <c r="B71">
        <v>352.6</v>
      </c>
      <c r="C71">
        <v>0</v>
      </c>
      <c r="D71">
        <v>251.3</v>
      </c>
      <c r="E71">
        <v>0</v>
      </c>
      <c r="F71" s="19">
        <f t="shared" si="18"/>
        <v>603.90000000000009</v>
      </c>
      <c r="G71" s="19">
        <f t="shared" si="18"/>
        <v>0</v>
      </c>
    </row>
    <row r="72" spans="1:7" x14ac:dyDescent="0.25">
      <c r="A72" s="10">
        <f t="shared" si="2"/>
        <v>39324</v>
      </c>
      <c r="B72">
        <v>352.6</v>
      </c>
      <c r="C72">
        <v>0</v>
      </c>
      <c r="D72">
        <v>251.3</v>
      </c>
      <c r="E72">
        <v>0</v>
      </c>
      <c r="F72" s="19">
        <f t="shared" ref="F72:G74" si="19">+B72+D72</f>
        <v>603.90000000000009</v>
      </c>
      <c r="G72" s="19">
        <f t="shared" si="19"/>
        <v>0</v>
      </c>
    </row>
    <row r="73" spans="1:7" x14ac:dyDescent="0.25">
      <c r="A73" s="36">
        <f t="shared" si="2"/>
        <v>39331</v>
      </c>
      <c r="B73">
        <v>552.6</v>
      </c>
      <c r="C73">
        <v>0</v>
      </c>
      <c r="D73">
        <v>251.3</v>
      </c>
      <c r="E73">
        <v>0</v>
      </c>
      <c r="F73" s="19">
        <f t="shared" si="19"/>
        <v>803.90000000000009</v>
      </c>
      <c r="G73" s="19">
        <f t="shared" si="19"/>
        <v>0</v>
      </c>
    </row>
    <row r="74" spans="1:7" x14ac:dyDescent="0.25">
      <c r="A74" s="10">
        <f t="shared" si="2"/>
        <v>39338</v>
      </c>
      <c r="B74">
        <v>552.6</v>
      </c>
      <c r="C74">
        <v>0</v>
      </c>
      <c r="D74">
        <v>251.3</v>
      </c>
      <c r="E74">
        <v>0</v>
      </c>
      <c r="F74" s="19">
        <f t="shared" si="19"/>
        <v>803.90000000000009</v>
      </c>
      <c r="G74" s="19">
        <f t="shared" si="19"/>
        <v>0</v>
      </c>
    </row>
    <row r="75" spans="1:7" x14ac:dyDescent="0.25">
      <c r="A75" s="10">
        <f t="shared" si="2"/>
        <v>39345</v>
      </c>
      <c r="B75">
        <v>1203.7</v>
      </c>
      <c r="C75">
        <v>0</v>
      </c>
      <c r="D75">
        <v>300.10000000000002</v>
      </c>
      <c r="E75">
        <v>0</v>
      </c>
      <c r="F75" s="19">
        <f t="shared" ref="F75:G77" si="20">+B75+D75</f>
        <v>1503.8000000000002</v>
      </c>
      <c r="G75" s="19">
        <f t="shared" si="20"/>
        <v>0</v>
      </c>
    </row>
    <row r="76" spans="1:7" x14ac:dyDescent="0.25">
      <c r="A76" s="10">
        <f t="shared" si="2"/>
        <v>39352</v>
      </c>
      <c r="B76">
        <v>1152.7</v>
      </c>
      <c r="C76">
        <v>0</v>
      </c>
      <c r="D76">
        <v>350.3</v>
      </c>
      <c r="E76">
        <v>0</v>
      </c>
      <c r="F76" s="19">
        <f t="shared" si="20"/>
        <v>1503</v>
      </c>
      <c r="G76" s="19">
        <f t="shared" si="20"/>
        <v>0</v>
      </c>
    </row>
    <row r="77" spans="1:7" x14ac:dyDescent="0.25">
      <c r="A77" s="10">
        <f t="shared" si="2"/>
        <v>39359</v>
      </c>
      <c r="B77">
        <v>1048.5</v>
      </c>
      <c r="C77">
        <v>300</v>
      </c>
      <c r="D77">
        <v>452.4</v>
      </c>
      <c r="E77">
        <v>0</v>
      </c>
      <c r="F77" s="19">
        <f t="shared" si="20"/>
        <v>1500.9</v>
      </c>
      <c r="G77" s="19">
        <f t="shared" si="20"/>
        <v>300</v>
      </c>
    </row>
    <row r="78" spans="1:7" x14ac:dyDescent="0.25">
      <c r="A78" s="10">
        <f t="shared" si="2"/>
        <v>39366</v>
      </c>
      <c r="B78">
        <v>1448.5</v>
      </c>
      <c r="C78">
        <v>300</v>
      </c>
      <c r="D78">
        <v>452.4</v>
      </c>
      <c r="E78">
        <v>0</v>
      </c>
      <c r="F78" s="19">
        <f t="shared" ref="F78:G80" si="21">+B78+D78</f>
        <v>1900.9</v>
      </c>
      <c r="G78" s="19">
        <f t="shared" si="21"/>
        <v>300</v>
      </c>
    </row>
    <row r="79" spans="1:7" x14ac:dyDescent="0.25">
      <c r="A79" s="10">
        <f t="shared" si="2"/>
        <v>39373</v>
      </c>
      <c r="B79">
        <v>1397.5</v>
      </c>
      <c r="C79">
        <v>300</v>
      </c>
      <c r="D79">
        <v>503.4</v>
      </c>
      <c r="E79">
        <v>0</v>
      </c>
      <c r="F79" s="19">
        <f t="shared" si="21"/>
        <v>1900.9</v>
      </c>
      <c r="G79" s="19">
        <f t="shared" si="21"/>
        <v>300</v>
      </c>
    </row>
    <row r="80" spans="1:7" x14ac:dyDescent="0.25">
      <c r="A80" s="10">
        <f t="shared" si="2"/>
        <v>39380</v>
      </c>
      <c r="B80">
        <v>1397.5</v>
      </c>
      <c r="C80">
        <v>700</v>
      </c>
      <c r="D80">
        <v>503.4</v>
      </c>
      <c r="E80">
        <v>0</v>
      </c>
      <c r="F80" s="19">
        <f t="shared" si="21"/>
        <v>1900.9</v>
      </c>
      <c r="G80" s="19">
        <f t="shared" si="21"/>
        <v>700</v>
      </c>
    </row>
    <row r="81" spans="1:8" x14ac:dyDescent="0.25">
      <c r="A81" s="10">
        <f t="shared" si="2"/>
        <v>39387</v>
      </c>
      <c r="B81">
        <v>1250.3</v>
      </c>
      <c r="C81">
        <v>700</v>
      </c>
      <c r="D81">
        <v>656.2</v>
      </c>
      <c r="E81">
        <v>0</v>
      </c>
      <c r="F81" s="19">
        <f t="shared" ref="F81:G83" si="22">+B81+D81</f>
        <v>1906.5</v>
      </c>
      <c r="G81" s="19">
        <f t="shared" si="22"/>
        <v>700</v>
      </c>
    </row>
    <row r="82" spans="1:8" x14ac:dyDescent="0.25">
      <c r="A82" s="10">
        <f t="shared" si="2"/>
        <v>39394</v>
      </c>
      <c r="B82">
        <v>1153.0999999999999</v>
      </c>
      <c r="C82">
        <v>700</v>
      </c>
      <c r="D82">
        <v>753.4</v>
      </c>
      <c r="E82">
        <v>0</v>
      </c>
      <c r="F82" s="19">
        <f t="shared" si="22"/>
        <v>1906.5</v>
      </c>
      <c r="G82" s="19">
        <f t="shared" si="22"/>
        <v>700</v>
      </c>
    </row>
    <row r="83" spans="1:8" x14ac:dyDescent="0.25">
      <c r="A83" s="10">
        <f t="shared" si="2"/>
        <v>39401</v>
      </c>
      <c r="B83">
        <v>1153.0999999999999</v>
      </c>
      <c r="C83">
        <v>700</v>
      </c>
      <c r="D83">
        <v>753.4</v>
      </c>
      <c r="E83">
        <v>0</v>
      </c>
      <c r="F83" s="19">
        <f t="shared" si="22"/>
        <v>1906.5</v>
      </c>
      <c r="G83" s="19">
        <f t="shared" si="22"/>
        <v>700</v>
      </c>
    </row>
    <row r="84" spans="1:8" x14ac:dyDescent="0.25">
      <c r="A84" s="10">
        <f t="shared" si="2"/>
        <v>39408</v>
      </c>
      <c r="B84">
        <v>1103.0999999999999</v>
      </c>
      <c r="C84">
        <v>700</v>
      </c>
      <c r="D84">
        <v>803.4</v>
      </c>
      <c r="E84">
        <v>0</v>
      </c>
      <c r="F84" s="19">
        <f t="shared" ref="F84:G86" si="23">+B84+D84</f>
        <v>1906.5</v>
      </c>
      <c r="G84" s="19">
        <f t="shared" si="23"/>
        <v>700</v>
      </c>
    </row>
    <row r="85" spans="1:8" x14ac:dyDescent="0.25">
      <c r="A85" s="10">
        <f t="shared" si="2"/>
        <v>39415</v>
      </c>
      <c r="B85">
        <v>1053.0999999999999</v>
      </c>
      <c r="C85">
        <v>700</v>
      </c>
      <c r="D85">
        <v>850.5</v>
      </c>
      <c r="E85">
        <v>0</v>
      </c>
      <c r="F85" s="19">
        <f t="shared" si="23"/>
        <v>1903.6</v>
      </c>
      <c r="G85" s="19">
        <f t="shared" si="23"/>
        <v>700</v>
      </c>
    </row>
    <row r="86" spans="1:8" x14ac:dyDescent="0.25">
      <c r="A86" s="10">
        <f t="shared" si="2"/>
        <v>39422</v>
      </c>
      <c r="B86">
        <v>1000.7</v>
      </c>
      <c r="C86">
        <v>700</v>
      </c>
      <c r="D86">
        <v>901</v>
      </c>
      <c r="E86">
        <v>0</v>
      </c>
      <c r="F86" s="19">
        <f t="shared" si="23"/>
        <v>1901.7</v>
      </c>
      <c r="G86" s="19">
        <f t="shared" si="23"/>
        <v>700</v>
      </c>
    </row>
    <row r="87" spans="1:8" x14ac:dyDescent="0.25">
      <c r="A87" s="10">
        <f t="shared" si="2"/>
        <v>39429</v>
      </c>
      <c r="B87">
        <v>945.7</v>
      </c>
      <c r="C87">
        <v>648.5</v>
      </c>
      <c r="D87">
        <v>956</v>
      </c>
      <c r="E87">
        <v>51.5</v>
      </c>
      <c r="F87" s="19">
        <f t="shared" ref="F87:G89" si="24">+B87+D87</f>
        <v>1901.7</v>
      </c>
      <c r="G87" s="19">
        <f t="shared" si="24"/>
        <v>700</v>
      </c>
    </row>
    <row r="88" spans="1:8" x14ac:dyDescent="0.25">
      <c r="A88" s="10">
        <f t="shared" si="2"/>
        <v>39436</v>
      </c>
      <c r="B88">
        <v>846.7</v>
      </c>
      <c r="C88">
        <v>543.6</v>
      </c>
      <c r="D88">
        <v>1055</v>
      </c>
      <c r="E88">
        <v>161.4</v>
      </c>
      <c r="F88" s="19">
        <f t="shared" si="24"/>
        <v>1901.7</v>
      </c>
      <c r="G88" s="19">
        <f t="shared" si="24"/>
        <v>705</v>
      </c>
    </row>
    <row r="89" spans="1:8" x14ac:dyDescent="0.25">
      <c r="A89" s="10">
        <f t="shared" si="2"/>
        <v>39443</v>
      </c>
      <c r="B89">
        <v>795.9</v>
      </c>
      <c r="C89">
        <v>391.1</v>
      </c>
      <c r="D89">
        <v>1105.8</v>
      </c>
      <c r="E89">
        <v>307</v>
      </c>
      <c r="F89" s="19">
        <f t="shared" si="24"/>
        <v>1901.6999999999998</v>
      </c>
      <c r="G89" s="19">
        <f t="shared" si="24"/>
        <v>698.1</v>
      </c>
    </row>
    <row r="90" spans="1:8" x14ac:dyDescent="0.25">
      <c r="A90" s="10">
        <f t="shared" si="2"/>
        <v>39450</v>
      </c>
      <c r="B90">
        <v>745.9</v>
      </c>
      <c r="C90">
        <v>296</v>
      </c>
      <c r="D90">
        <v>1155.8</v>
      </c>
      <c r="E90">
        <v>401.7</v>
      </c>
      <c r="F90" s="19">
        <f t="shared" ref="F90:G92" si="25">+B90+D90</f>
        <v>1901.6999999999998</v>
      </c>
      <c r="G90" s="19">
        <f t="shared" si="25"/>
        <v>697.7</v>
      </c>
    </row>
    <row r="91" spans="1:8" x14ac:dyDescent="0.25">
      <c r="A91" s="10">
        <f t="shared" si="2"/>
        <v>39457</v>
      </c>
      <c r="B91">
        <v>745.9</v>
      </c>
      <c r="C91">
        <v>354</v>
      </c>
      <c r="D91">
        <v>1155.8</v>
      </c>
      <c r="E91">
        <v>443.7</v>
      </c>
      <c r="F91" s="19">
        <f t="shared" si="25"/>
        <v>1901.6999999999998</v>
      </c>
      <c r="G91" s="19">
        <f t="shared" si="25"/>
        <v>797.7</v>
      </c>
    </row>
    <row r="92" spans="1:8" x14ac:dyDescent="0.25">
      <c r="A92" s="10">
        <f t="shared" si="2"/>
        <v>39464</v>
      </c>
      <c r="B92">
        <v>695.9</v>
      </c>
      <c r="C92">
        <v>304</v>
      </c>
      <c r="D92">
        <v>1205.8</v>
      </c>
      <c r="E92">
        <v>497.1</v>
      </c>
      <c r="F92" s="19">
        <f t="shared" si="25"/>
        <v>1901.6999999999998</v>
      </c>
      <c r="G92" s="19">
        <f t="shared" si="25"/>
        <v>801.1</v>
      </c>
      <c r="H92" s="24">
        <f t="shared" ref="H92:H97" si="26">+(F92/G92-1)*100</f>
        <v>137.38609412058418</v>
      </c>
    </row>
    <row r="93" spans="1:8" x14ac:dyDescent="0.25">
      <c r="A93" s="10">
        <f t="shared" si="2"/>
        <v>39471</v>
      </c>
      <c r="B93">
        <v>593.9</v>
      </c>
      <c r="C93">
        <v>255.2</v>
      </c>
      <c r="D93">
        <v>1307.8</v>
      </c>
      <c r="E93">
        <v>551.1</v>
      </c>
      <c r="F93" s="19">
        <f t="shared" ref="F93:G95" si="27">+B93+D93</f>
        <v>1901.6999999999998</v>
      </c>
      <c r="G93" s="19">
        <f t="shared" si="27"/>
        <v>806.3</v>
      </c>
      <c r="H93" s="24">
        <f t="shared" si="26"/>
        <v>135.8551407664641</v>
      </c>
    </row>
    <row r="94" spans="1:8" x14ac:dyDescent="0.25">
      <c r="A94" s="10">
        <f t="shared" si="2"/>
        <v>39478</v>
      </c>
      <c r="B94">
        <v>543.9</v>
      </c>
      <c r="C94">
        <v>250</v>
      </c>
      <c r="D94">
        <v>1357.8</v>
      </c>
      <c r="E94">
        <v>648.20000000000005</v>
      </c>
      <c r="F94" s="19">
        <f t="shared" si="27"/>
        <v>1901.6999999999998</v>
      </c>
      <c r="G94" s="19">
        <f t="shared" si="27"/>
        <v>898.2</v>
      </c>
      <c r="H94" s="24">
        <f t="shared" si="26"/>
        <v>111.72344689378755</v>
      </c>
    </row>
    <row r="95" spans="1:8" x14ac:dyDescent="0.25">
      <c r="A95" s="10">
        <f t="shared" si="2"/>
        <v>39485</v>
      </c>
      <c r="B95">
        <v>393.2</v>
      </c>
      <c r="C95">
        <v>250</v>
      </c>
      <c r="D95">
        <v>1509.8</v>
      </c>
      <c r="E95">
        <v>648.20000000000005</v>
      </c>
      <c r="F95" s="19">
        <f t="shared" si="27"/>
        <v>1903</v>
      </c>
      <c r="G95" s="19">
        <f t="shared" si="27"/>
        <v>898.2</v>
      </c>
      <c r="H95" s="24">
        <f t="shared" si="26"/>
        <v>111.86818080605656</v>
      </c>
    </row>
    <row r="96" spans="1:8" x14ac:dyDescent="0.25">
      <c r="A96" s="10">
        <f t="shared" si="2"/>
        <v>39492</v>
      </c>
      <c r="B96">
        <v>300</v>
      </c>
      <c r="C96">
        <v>250</v>
      </c>
      <c r="D96">
        <v>1605.5</v>
      </c>
      <c r="E96">
        <v>648.20000000000005</v>
      </c>
      <c r="F96" s="19">
        <f t="shared" ref="F96:G98" si="28">+B96+D96</f>
        <v>1905.5</v>
      </c>
      <c r="G96" s="19">
        <f t="shared" si="28"/>
        <v>898.2</v>
      </c>
      <c r="H96" s="24">
        <f t="shared" si="26"/>
        <v>112.14651525272768</v>
      </c>
    </row>
    <row r="97" spans="1:9" x14ac:dyDescent="0.25">
      <c r="A97" s="10">
        <f t="shared" si="2"/>
        <v>39499</v>
      </c>
      <c r="B97">
        <v>300</v>
      </c>
      <c r="C97">
        <v>250</v>
      </c>
      <c r="D97">
        <v>1605.5</v>
      </c>
      <c r="E97">
        <v>648.20000000000005</v>
      </c>
      <c r="F97" s="19">
        <f t="shared" si="28"/>
        <v>1905.5</v>
      </c>
      <c r="G97" s="19">
        <f t="shared" si="28"/>
        <v>898.2</v>
      </c>
      <c r="H97" s="24">
        <f t="shared" si="26"/>
        <v>112.14651525272768</v>
      </c>
    </row>
    <row r="98" spans="1:9" x14ac:dyDescent="0.25">
      <c r="A98" s="10">
        <f t="shared" si="2"/>
        <v>39506</v>
      </c>
      <c r="B98">
        <v>700</v>
      </c>
      <c r="C98">
        <v>250</v>
      </c>
      <c r="D98">
        <v>1605.5</v>
      </c>
      <c r="E98">
        <v>648.20000000000005</v>
      </c>
      <c r="F98" s="19">
        <f t="shared" si="28"/>
        <v>2305.5</v>
      </c>
      <c r="G98" s="19">
        <f t="shared" si="28"/>
        <v>898.2</v>
      </c>
      <c r="H98" s="24">
        <f t="shared" ref="H98:H103" si="29">+(F98/G98-1)*100</f>
        <v>156.68002672010687</v>
      </c>
    </row>
    <row r="99" spans="1:9" x14ac:dyDescent="0.25">
      <c r="A99" s="10">
        <f t="shared" si="2"/>
        <v>39513</v>
      </c>
      <c r="B99">
        <v>700</v>
      </c>
      <c r="C99">
        <v>250</v>
      </c>
      <c r="D99">
        <v>1605.5</v>
      </c>
      <c r="E99">
        <v>648.20000000000005</v>
      </c>
      <c r="F99" s="19">
        <f t="shared" ref="F99:G101" si="30">+B99+D99</f>
        <v>2305.5</v>
      </c>
      <c r="G99" s="19">
        <f t="shared" si="30"/>
        <v>898.2</v>
      </c>
      <c r="H99" s="24">
        <f t="shared" si="29"/>
        <v>156.68002672010687</v>
      </c>
    </row>
    <row r="100" spans="1:9" x14ac:dyDescent="0.25">
      <c r="A100" s="10">
        <f t="shared" si="2"/>
        <v>39520</v>
      </c>
      <c r="B100">
        <v>650</v>
      </c>
      <c r="C100">
        <v>250</v>
      </c>
      <c r="D100">
        <v>1656.9</v>
      </c>
      <c r="E100">
        <v>648.20000000000005</v>
      </c>
      <c r="F100" s="19">
        <f t="shared" si="30"/>
        <v>2306.9</v>
      </c>
      <c r="G100" s="19">
        <f t="shared" si="30"/>
        <v>898.2</v>
      </c>
      <c r="H100" s="24">
        <f t="shared" si="29"/>
        <v>156.8358940102427</v>
      </c>
    </row>
    <row r="101" spans="1:9" x14ac:dyDescent="0.25">
      <c r="A101" s="10">
        <f t="shared" si="2"/>
        <v>39527</v>
      </c>
      <c r="B101">
        <v>600</v>
      </c>
      <c r="C101">
        <v>200</v>
      </c>
      <c r="D101">
        <v>1711.9</v>
      </c>
      <c r="E101">
        <v>698.6</v>
      </c>
      <c r="F101" s="19">
        <f t="shared" si="30"/>
        <v>2311.9</v>
      </c>
      <c r="G101" s="19">
        <f t="shared" si="30"/>
        <v>898.6</v>
      </c>
      <c r="H101" s="24">
        <f t="shared" si="29"/>
        <v>157.27798798130425</v>
      </c>
    </row>
    <row r="102" spans="1:9" x14ac:dyDescent="0.25">
      <c r="A102" s="10">
        <f t="shared" si="2"/>
        <v>39534</v>
      </c>
      <c r="B102">
        <v>550</v>
      </c>
      <c r="C102">
        <v>200</v>
      </c>
      <c r="D102">
        <v>1761.7</v>
      </c>
      <c r="E102">
        <v>698.6</v>
      </c>
      <c r="F102" s="19">
        <f t="shared" ref="F102:G104" si="31">+B102+D102</f>
        <v>2311.6999999999998</v>
      </c>
      <c r="G102" s="19">
        <f t="shared" si="31"/>
        <v>898.6</v>
      </c>
      <c r="H102" s="24">
        <f t="shared" si="29"/>
        <v>157.25573113732469</v>
      </c>
    </row>
    <row r="103" spans="1:9" x14ac:dyDescent="0.25">
      <c r="A103" s="10">
        <f t="shared" si="2"/>
        <v>39541</v>
      </c>
      <c r="B103">
        <v>500</v>
      </c>
      <c r="C103">
        <v>200</v>
      </c>
      <c r="D103">
        <v>1812.2</v>
      </c>
      <c r="E103">
        <v>698.6</v>
      </c>
      <c r="F103" s="19">
        <f t="shared" si="31"/>
        <v>2312.1999999999998</v>
      </c>
      <c r="G103" s="19">
        <f t="shared" si="31"/>
        <v>898.6</v>
      </c>
      <c r="H103" s="24">
        <f t="shared" si="29"/>
        <v>157.31137324727351</v>
      </c>
    </row>
    <row r="104" spans="1:9" x14ac:dyDescent="0.25">
      <c r="A104" s="10">
        <f t="shared" si="2"/>
        <v>39548</v>
      </c>
      <c r="B104">
        <v>500</v>
      </c>
      <c r="C104">
        <v>200</v>
      </c>
      <c r="D104">
        <v>1812.2</v>
      </c>
      <c r="E104">
        <v>698.6</v>
      </c>
      <c r="F104" s="19">
        <f t="shared" si="31"/>
        <v>2312.1999999999998</v>
      </c>
      <c r="G104" s="19">
        <f t="shared" si="31"/>
        <v>898.6</v>
      </c>
      <c r="H104" s="24">
        <f t="shared" ref="H104:H109" si="32">+(F104/G104-1)*100</f>
        <v>157.31137324727351</v>
      </c>
    </row>
    <row r="105" spans="1:9" x14ac:dyDescent="0.25">
      <c r="A105" s="10">
        <f t="shared" si="2"/>
        <v>39555</v>
      </c>
      <c r="B105">
        <v>500</v>
      </c>
      <c r="C105">
        <v>200</v>
      </c>
      <c r="D105">
        <v>1812.2</v>
      </c>
      <c r="E105">
        <v>698.6</v>
      </c>
      <c r="F105" s="19">
        <f t="shared" ref="F105:G107" si="33">+B105+D105</f>
        <v>2312.1999999999998</v>
      </c>
      <c r="G105" s="19">
        <f t="shared" si="33"/>
        <v>898.6</v>
      </c>
      <c r="H105" s="24">
        <f t="shared" si="32"/>
        <v>157.31137324727351</v>
      </c>
    </row>
    <row r="106" spans="1:9" x14ac:dyDescent="0.25">
      <c r="A106" s="10">
        <f t="shared" si="2"/>
        <v>39562</v>
      </c>
      <c r="B106">
        <v>400</v>
      </c>
      <c r="C106">
        <v>200</v>
      </c>
      <c r="D106">
        <v>1912.7</v>
      </c>
      <c r="E106">
        <v>698.6</v>
      </c>
      <c r="F106" s="19">
        <f t="shared" si="33"/>
        <v>2312.6999999999998</v>
      </c>
      <c r="G106" s="19">
        <f t="shared" si="33"/>
        <v>898.6</v>
      </c>
      <c r="H106" s="24">
        <f t="shared" si="32"/>
        <v>157.36701535722233</v>
      </c>
    </row>
    <row r="107" spans="1:9" x14ac:dyDescent="0.25">
      <c r="A107" s="10">
        <f t="shared" si="2"/>
        <v>39569</v>
      </c>
      <c r="B107">
        <v>400</v>
      </c>
      <c r="C107">
        <v>200</v>
      </c>
      <c r="D107">
        <v>1912.7</v>
      </c>
      <c r="E107">
        <v>698.6</v>
      </c>
      <c r="F107" s="19">
        <f t="shared" si="33"/>
        <v>2312.6999999999998</v>
      </c>
      <c r="G107" s="19">
        <f t="shared" si="33"/>
        <v>898.6</v>
      </c>
      <c r="H107" s="24">
        <f t="shared" si="32"/>
        <v>157.36701535722233</v>
      </c>
      <c r="I107">
        <v>100</v>
      </c>
    </row>
    <row r="108" spans="1:9" x14ac:dyDescent="0.25">
      <c r="A108" s="10">
        <f t="shared" si="2"/>
        <v>39576</v>
      </c>
      <c r="B108">
        <v>400</v>
      </c>
      <c r="C108">
        <v>200</v>
      </c>
      <c r="D108">
        <v>1912.7</v>
      </c>
      <c r="E108">
        <v>698.6</v>
      </c>
      <c r="F108" s="19">
        <f t="shared" ref="F108:G110" si="34">+B108+D108</f>
        <v>2312.6999999999998</v>
      </c>
      <c r="G108" s="19">
        <f t="shared" si="34"/>
        <v>898.6</v>
      </c>
      <c r="H108" s="24">
        <f t="shared" si="32"/>
        <v>157.36701535722233</v>
      </c>
      <c r="I108">
        <v>400</v>
      </c>
    </row>
    <row r="109" spans="1:9" x14ac:dyDescent="0.25">
      <c r="A109" s="10">
        <f t="shared" si="2"/>
        <v>39583</v>
      </c>
      <c r="B109">
        <v>400</v>
      </c>
      <c r="C109">
        <v>200</v>
      </c>
      <c r="D109">
        <v>1912.7</v>
      </c>
      <c r="E109">
        <v>698.6</v>
      </c>
      <c r="F109" s="19">
        <f t="shared" si="34"/>
        <v>2312.6999999999998</v>
      </c>
      <c r="G109" s="19">
        <f t="shared" si="34"/>
        <v>898.6</v>
      </c>
      <c r="H109" s="24">
        <f t="shared" si="32"/>
        <v>157.36701535722233</v>
      </c>
      <c r="I109">
        <v>400</v>
      </c>
    </row>
    <row r="110" spans="1:9" x14ac:dyDescent="0.25">
      <c r="A110" s="10">
        <f t="shared" si="2"/>
        <v>39590</v>
      </c>
      <c r="B110">
        <v>200</v>
      </c>
      <c r="C110">
        <v>100</v>
      </c>
      <c r="D110">
        <v>1912.7</v>
      </c>
      <c r="E110">
        <v>747.4</v>
      </c>
      <c r="F110" s="19">
        <f t="shared" si="34"/>
        <v>2112.6999999999998</v>
      </c>
      <c r="G110" s="19">
        <f t="shared" si="34"/>
        <v>847.4</v>
      </c>
      <c r="H110" s="24">
        <f t="shared" ref="H110:H115" si="35">+(F110/G110-1)*100</f>
        <v>149.3155534576351</v>
      </c>
      <c r="I110">
        <v>1000</v>
      </c>
    </row>
    <row r="111" spans="1:9" x14ac:dyDescent="0.25">
      <c r="A111" s="10">
        <f t="shared" si="2"/>
        <v>39597</v>
      </c>
      <c r="B111">
        <v>200</v>
      </c>
      <c r="C111">
        <v>0</v>
      </c>
      <c r="D111">
        <v>1964.2</v>
      </c>
      <c r="E111">
        <v>798.5</v>
      </c>
      <c r="F111" s="19">
        <f t="shared" ref="F111:G113" si="36">+B111+D111</f>
        <v>2164.1999999999998</v>
      </c>
      <c r="G111" s="19">
        <f t="shared" si="36"/>
        <v>798.5</v>
      </c>
      <c r="H111" s="24">
        <f t="shared" si="35"/>
        <v>171.03318722604882</v>
      </c>
      <c r="I111">
        <v>948.5</v>
      </c>
    </row>
    <row r="112" spans="1:9" x14ac:dyDescent="0.25">
      <c r="A112" s="10">
        <f t="shared" si="2"/>
        <v>39604</v>
      </c>
      <c r="B112">
        <v>1098.5</v>
      </c>
      <c r="C112">
        <v>300</v>
      </c>
      <c r="D112">
        <v>47.8</v>
      </c>
      <c r="E112">
        <v>0</v>
      </c>
      <c r="F112" s="19">
        <f t="shared" si="36"/>
        <v>1146.3</v>
      </c>
      <c r="G112" s="19">
        <f t="shared" si="36"/>
        <v>300</v>
      </c>
      <c r="H112" s="24">
        <f t="shared" si="35"/>
        <v>282.09999999999997</v>
      </c>
    </row>
    <row r="113" spans="1:8" x14ac:dyDescent="0.25">
      <c r="A113" s="10">
        <f t="shared" si="2"/>
        <v>39611</v>
      </c>
      <c r="B113">
        <v>1098.5</v>
      </c>
      <c r="C113">
        <v>300</v>
      </c>
      <c r="D113">
        <v>47.8</v>
      </c>
      <c r="E113">
        <v>0</v>
      </c>
      <c r="F113" s="19">
        <f t="shared" si="36"/>
        <v>1146.3</v>
      </c>
      <c r="G113" s="19">
        <f t="shared" si="36"/>
        <v>300</v>
      </c>
      <c r="H113" s="24">
        <f t="shared" si="35"/>
        <v>282.09999999999997</v>
      </c>
    </row>
    <row r="114" spans="1:8" x14ac:dyDescent="0.25">
      <c r="A114" s="10">
        <f t="shared" si="2"/>
        <v>39618</v>
      </c>
      <c r="B114">
        <v>946.1</v>
      </c>
      <c r="C114">
        <v>300</v>
      </c>
      <c r="D114">
        <v>201.1</v>
      </c>
      <c r="E114">
        <v>0</v>
      </c>
      <c r="F114" s="19">
        <f t="shared" ref="F114:G116" si="37">+B114+D114</f>
        <v>1147.2</v>
      </c>
      <c r="G114" s="19">
        <f t="shared" si="37"/>
        <v>300</v>
      </c>
      <c r="H114" s="24">
        <f t="shared" si="35"/>
        <v>282.40000000000003</v>
      </c>
    </row>
    <row r="115" spans="1:8" x14ac:dyDescent="0.25">
      <c r="A115" s="10">
        <f t="shared" si="2"/>
        <v>39625</v>
      </c>
      <c r="B115">
        <v>896.1</v>
      </c>
      <c r="C115">
        <v>300</v>
      </c>
      <c r="D115">
        <v>251.8</v>
      </c>
      <c r="E115">
        <v>0</v>
      </c>
      <c r="F115" s="19">
        <f t="shared" si="37"/>
        <v>1147.9000000000001</v>
      </c>
      <c r="G115" s="19">
        <f t="shared" si="37"/>
        <v>300</v>
      </c>
      <c r="H115" s="24">
        <f t="shared" si="35"/>
        <v>282.63333333333338</v>
      </c>
    </row>
    <row r="116" spans="1:8" x14ac:dyDescent="0.25">
      <c r="A116" s="10">
        <f t="shared" si="2"/>
        <v>39632</v>
      </c>
      <c r="B116">
        <v>795.3</v>
      </c>
      <c r="C116">
        <v>400</v>
      </c>
      <c r="D116">
        <v>353.6</v>
      </c>
      <c r="E116">
        <v>0</v>
      </c>
      <c r="F116" s="19">
        <f t="shared" si="37"/>
        <v>1148.9000000000001</v>
      </c>
      <c r="G116" s="19">
        <f t="shared" si="37"/>
        <v>400</v>
      </c>
      <c r="H116" s="24">
        <f t="shared" ref="H116:H121" si="38">+(F116/G116-1)*100</f>
        <v>187.22500000000002</v>
      </c>
    </row>
    <row r="117" spans="1:8" x14ac:dyDescent="0.25">
      <c r="A117" s="10">
        <f t="shared" si="2"/>
        <v>39639</v>
      </c>
      <c r="B117">
        <v>744.3</v>
      </c>
      <c r="C117">
        <v>345.2</v>
      </c>
      <c r="D117">
        <v>404.7</v>
      </c>
      <c r="E117">
        <v>54.8</v>
      </c>
      <c r="F117" s="19">
        <f t="shared" ref="F117:G119" si="39">+B117+D117</f>
        <v>1149</v>
      </c>
      <c r="G117" s="19">
        <f t="shared" si="39"/>
        <v>400</v>
      </c>
      <c r="H117" s="24">
        <f t="shared" si="38"/>
        <v>187.25</v>
      </c>
    </row>
    <row r="118" spans="1:8" x14ac:dyDescent="0.25">
      <c r="A118" s="10">
        <f t="shared" si="2"/>
        <v>39646</v>
      </c>
      <c r="B118">
        <v>692.5</v>
      </c>
      <c r="C118">
        <v>345.2</v>
      </c>
      <c r="D118">
        <v>456.4</v>
      </c>
      <c r="E118">
        <v>54.8</v>
      </c>
      <c r="F118" s="19">
        <f t="shared" si="39"/>
        <v>1148.9000000000001</v>
      </c>
      <c r="G118" s="19">
        <f t="shared" si="39"/>
        <v>400</v>
      </c>
      <c r="H118" s="24">
        <f t="shared" si="38"/>
        <v>187.22500000000002</v>
      </c>
    </row>
    <row r="119" spans="1:8" x14ac:dyDescent="0.25">
      <c r="A119" s="10">
        <f t="shared" si="2"/>
        <v>39653</v>
      </c>
      <c r="B119">
        <v>592.70000000000005</v>
      </c>
      <c r="C119">
        <v>545.20000000000005</v>
      </c>
      <c r="D119">
        <v>556.29999999999995</v>
      </c>
      <c r="E119">
        <v>54.8</v>
      </c>
      <c r="F119" s="19">
        <f t="shared" si="39"/>
        <v>1149</v>
      </c>
      <c r="G119" s="19">
        <f t="shared" si="39"/>
        <v>600</v>
      </c>
      <c r="H119" s="24">
        <f t="shared" si="38"/>
        <v>91.5</v>
      </c>
    </row>
    <row r="120" spans="1:8" x14ac:dyDescent="0.25">
      <c r="A120" s="10">
        <f t="shared" si="2"/>
        <v>39660</v>
      </c>
      <c r="B120">
        <v>444.1</v>
      </c>
      <c r="C120">
        <v>500</v>
      </c>
      <c r="D120">
        <v>709.8</v>
      </c>
      <c r="E120">
        <v>103.6</v>
      </c>
      <c r="F120" s="19">
        <f t="shared" ref="F120:G122" si="40">+B120+D120</f>
        <v>1153.9000000000001</v>
      </c>
      <c r="G120" s="19">
        <f t="shared" si="40"/>
        <v>603.6</v>
      </c>
      <c r="H120" s="24">
        <f t="shared" si="38"/>
        <v>91.169648774022534</v>
      </c>
    </row>
    <row r="121" spans="1:8" x14ac:dyDescent="0.25">
      <c r="A121" s="10">
        <f t="shared" si="2"/>
        <v>39667</v>
      </c>
      <c r="B121">
        <v>350</v>
      </c>
      <c r="C121">
        <v>500</v>
      </c>
      <c r="D121">
        <v>814</v>
      </c>
      <c r="E121">
        <v>103.6</v>
      </c>
      <c r="F121" s="19">
        <f t="shared" si="40"/>
        <v>1164</v>
      </c>
      <c r="G121" s="19">
        <f t="shared" si="40"/>
        <v>603.6</v>
      </c>
      <c r="H121" s="24">
        <f t="shared" si="38"/>
        <v>92.842942345924456</v>
      </c>
    </row>
    <row r="122" spans="1:8" x14ac:dyDescent="0.25">
      <c r="A122" s="10">
        <f t="shared" si="2"/>
        <v>39674</v>
      </c>
      <c r="B122">
        <v>299.5</v>
      </c>
      <c r="C122">
        <v>402.6</v>
      </c>
      <c r="D122">
        <v>864.5</v>
      </c>
      <c r="E122">
        <v>201</v>
      </c>
      <c r="F122" s="19">
        <f t="shared" si="40"/>
        <v>1164</v>
      </c>
      <c r="G122" s="19">
        <f t="shared" si="40"/>
        <v>603.6</v>
      </c>
      <c r="H122" s="24">
        <f t="shared" ref="H122:H127" si="41">+(F122/G122-1)*100</f>
        <v>92.842942345924456</v>
      </c>
    </row>
    <row r="123" spans="1:8" x14ac:dyDescent="0.25">
      <c r="A123" s="10">
        <f t="shared" si="2"/>
        <v>39681</v>
      </c>
      <c r="B123">
        <v>250</v>
      </c>
      <c r="C123">
        <v>352.6</v>
      </c>
      <c r="D123">
        <v>915.1</v>
      </c>
      <c r="E123">
        <v>251.3</v>
      </c>
      <c r="F123" s="19">
        <f t="shared" ref="F123:G125" si="42">+B123+D123</f>
        <v>1165.0999999999999</v>
      </c>
      <c r="G123" s="19">
        <f t="shared" si="42"/>
        <v>603.90000000000009</v>
      </c>
      <c r="H123" s="24">
        <f t="shared" si="41"/>
        <v>92.929292929292885</v>
      </c>
    </row>
    <row r="124" spans="1:8" x14ac:dyDescent="0.25">
      <c r="A124" s="10">
        <f t="shared" si="2"/>
        <v>39688</v>
      </c>
      <c r="B124">
        <v>150</v>
      </c>
      <c r="C124">
        <v>352.6</v>
      </c>
      <c r="D124">
        <v>1015</v>
      </c>
      <c r="E124">
        <v>251.3</v>
      </c>
      <c r="F124" s="19">
        <f t="shared" si="42"/>
        <v>1165</v>
      </c>
      <c r="G124" s="19">
        <f t="shared" si="42"/>
        <v>603.90000000000009</v>
      </c>
      <c r="H124" s="24">
        <f t="shared" si="41"/>
        <v>92.912733896340427</v>
      </c>
    </row>
    <row r="125" spans="1:8" x14ac:dyDescent="0.25">
      <c r="A125" s="10">
        <f t="shared" si="2"/>
        <v>39695</v>
      </c>
      <c r="B125">
        <v>100</v>
      </c>
      <c r="C125">
        <v>552.6</v>
      </c>
      <c r="D125">
        <v>1065.5999999999999</v>
      </c>
      <c r="E125">
        <v>251.3</v>
      </c>
      <c r="F125" s="19">
        <f t="shared" si="42"/>
        <v>1165.5999999999999</v>
      </c>
      <c r="G125" s="19">
        <f t="shared" si="42"/>
        <v>803.90000000000009</v>
      </c>
      <c r="H125" s="24">
        <f t="shared" si="41"/>
        <v>44.993158353028953</v>
      </c>
    </row>
    <row r="126" spans="1:8" x14ac:dyDescent="0.25">
      <c r="A126" s="10">
        <f t="shared" si="2"/>
        <v>39702</v>
      </c>
      <c r="B126">
        <v>100</v>
      </c>
      <c r="C126">
        <v>552.6</v>
      </c>
      <c r="D126">
        <v>1065.5999999999999</v>
      </c>
      <c r="E126">
        <v>251.3</v>
      </c>
      <c r="F126" s="19">
        <f t="shared" ref="F126:G128" si="43">+B126+D126</f>
        <v>1165.5999999999999</v>
      </c>
      <c r="G126" s="19">
        <f t="shared" si="43"/>
        <v>803.90000000000009</v>
      </c>
      <c r="H126" s="24">
        <f t="shared" si="41"/>
        <v>44.993158353028953</v>
      </c>
    </row>
    <row r="127" spans="1:8" x14ac:dyDescent="0.25">
      <c r="A127" s="10">
        <f t="shared" si="2"/>
        <v>39709</v>
      </c>
      <c r="B127">
        <v>100</v>
      </c>
      <c r="C127">
        <v>1203.7</v>
      </c>
      <c r="D127">
        <v>1065.5999999999999</v>
      </c>
      <c r="E127">
        <v>300.10000000000002</v>
      </c>
      <c r="F127" s="19">
        <f t="shared" si="43"/>
        <v>1165.5999999999999</v>
      </c>
      <c r="G127" s="19">
        <f t="shared" si="43"/>
        <v>1503.8000000000002</v>
      </c>
      <c r="H127" s="24">
        <f t="shared" si="41"/>
        <v>-22.489692778295002</v>
      </c>
    </row>
    <row r="128" spans="1:8" x14ac:dyDescent="0.25">
      <c r="A128" s="10">
        <f t="shared" si="2"/>
        <v>39716</v>
      </c>
      <c r="B128">
        <v>100</v>
      </c>
      <c r="C128">
        <v>1203.7</v>
      </c>
      <c r="D128">
        <v>1065.5999999999999</v>
      </c>
      <c r="E128">
        <v>300.10000000000002</v>
      </c>
      <c r="F128" s="19">
        <f t="shared" si="43"/>
        <v>1165.5999999999999</v>
      </c>
      <c r="G128" s="19">
        <f t="shared" si="43"/>
        <v>1503.8000000000002</v>
      </c>
      <c r="H128" s="24">
        <f t="shared" ref="H128:H133" si="44">+(F128/G128-1)*100</f>
        <v>-22.489692778295002</v>
      </c>
    </row>
    <row r="129" spans="1:8" x14ac:dyDescent="0.25">
      <c r="A129" s="10">
        <f t="shared" si="2"/>
        <v>39723</v>
      </c>
      <c r="B129">
        <v>0</v>
      </c>
      <c r="C129">
        <v>1048.5</v>
      </c>
      <c r="D129">
        <v>1170.4000000000001</v>
      </c>
      <c r="E129">
        <v>452.4</v>
      </c>
      <c r="F129" s="19">
        <f t="shared" ref="F129:G131" si="45">+B129+D129</f>
        <v>1170.4000000000001</v>
      </c>
      <c r="G129" s="19">
        <f t="shared" si="45"/>
        <v>1500.9</v>
      </c>
      <c r="H129" s="24">
        <f t="shared" si="44"/>
        <v>-22.020121260576985</v>
      </c>
    </row>
    <row r="130" spans="1:8" x14ac:dyDescent="0.25">
      <c r="A130" s="10">
        <f t="shared" si="2"/>
        <v>39730</v>
      </c>
      <c r="B130">
        <v>35</v>
      </c>
      <c r="C130">
        <v>1448.5</v>
      </c>
      <c r="D130">
        <v>1170.4000000000001</v>
      </c>
      <c r="E130">
        <v>452.4</v>
      </c>
      <c r="F130" s="19">
        <f t="shared" si="45"/>
        <v>1205.4000000000001</v>
      </c>
      <c r="G130" s="19">
        <f t="shared" si="45"/>
        <v>1900.9</v>
      </c>
      <c r="H130" s="24">
        <f t="shared" si="44"/>
        <v>-36.587932032195269</v>
      </c>
    </row>
    <row r="131" spans="1:8" x14ac:dyDescent="0.25">
      <c r="A131" s="10">
        <f t="shared" si="2"/>
        <v>39737</v>
      </c>
      <c r="B131">
        <v>35</v>
      </c>
      <c r="C131">
        <v>1397.5</v>
      </c>
      <c r="D131">
        <v>1170.4000000000001</v>
      </c>
      <c r="E131">
        <v>503.4</v>
      </c>
      <c r="F131" s="19">
        <f t="shared" si="45"/>
        <v>1205.4000000000001</v>
      </c>
      <c r="G131" s="19">
        <f t="shared" si="45"/>
        <v>1900.9</v>
      </c>
      <c r="H131" s="24">
        <f t="shared" si="44"/>
        <v>-36.587932032195269</v>
      </c>
    </row>
    <row r="132" spans="1:8" x14ac:dyDescent="0.25">
      <c r="A132" s="10">
        <f t="shared" si="2"/>
        <v>39744</v>
      </c>
      <c r="B132">
        <v>0</v>
      </c>
      <c r="C132">
        <v>1397.5</v>
      </c>
      <c r="D132">
        <v>1205</v>
      </c>
      <c r="E132">
        <v>503.4</v>
      </c>
      <c r="F132" s="19">
        <f t="shared" ref="F132:G134" si="46">+B132+D132</f>
        <v>1205</v>
      </c>
      <c r="G132" s="19">
        <f t="shared" si="46"/>
        <v>1900.9</v>
      </c>
      <c r="H132" s="24">
        <f t="shared" si="44"/>
        <v>-36.60897469619654</v>
      </c>
    </row>
    <row r="133" spans="1:8" x14ac:dyDescent="0.25">
      <c r="A133" s="10">
        <f t="shared" si="2"/>
        <v>39751</v>
      </c>
      <c r="B133">
        <v>0</v>
      </c>
      <c r="C133">
        <v>1250.3</v>
      </c>
      <c r="D133">
        <v>1205</v>
      </c>
      <c r="E133">
        <v>656.2</v>
      </c>
      <c r="F133" s="19">
        <f t="shared" si="46"/>
        <v>1205</v>
      </c>
      <c r="G133" s="19">
        <f t="shared" si="46"/>
        <v>1906.5</v>
      </c>
      <c r="H133" s="24">
        <f t="shared" si="44"/>
        <v>-36.795174403356931</v>
      </c>
    </row>
    <row r="134" spans="1:8" x14ac:dyDescent="0.25">
      <c r="A134" s="10">
        <f t="shared" si="2"/>
        <v>39758</v>
      </c>
      <c r="B134">
        <v>0</v>
      </c>
      <c r="C134">
        <v>1153.0999999999999</v>
      </c>
      <c r="D134">
        <v>1205</v>
      </c>
      <c r="E134">
        <v>753.4</v>
      </c>
      <c r="F134" s="19">
        <f t="shared" si="46"/>
        <v>1205</v>
      </c>
      <c r="G134" s="19">
        <f t="shared" si="46"/>
        <v>1906.5</v>
      </c>
      <c r="H134" s="24">
        <f t="shared" ref="H134:H139" si="47">+(F134/G134-1)*100</f>
        <v>-36.795174403356931</v>
      </c>
    </row>
    <row r="135" spans="1:8" x14ac:dyDescent="0.25">
      <c r="A135" s="10">
        <f t="shared" si="2"/>
        <v>39765</v>
      </c>
      <c r="B135">
        <v>0</v>
      </c>
      <c r="C135">
        <v>1153.0999999999999</v>
      </c>
      <c r="D135">
        <v>1205</v>
      </c>
      <c r="E135">
        <v>753.4</v>
      </c>
      <c r="F135" s="19">
        <f t="shared" ref="F135:G137" si="48">+B135+D135</f>
        <v>1205</v>
      </c>
      <c r="G135" s="19">
        <f t="shared" si="48"/>
        <v>1906.5</v>
      </c>
      <c r="H135" s="24">
        <f t="shared" si="47"/>
        <v>-36.795174403356931</v>
      </c>
    </row>
    <row r="136" spans="1:8" x14ac:dyDescent="0.25">
      <c r="A136" s="10">
        <f t="shared" si="2"/>
        <v>39772</v>
      </c>
      <c r="B136">
        <v>0</v>
      </c>
      <c r="C136">
        <v>1103.0999999999999</v>
      </c>
      <c r="D136">
        <v>1205</v>
      </c>
      <c r="E136">
        <v>803.4</v>
      </c>
      <c r="F136" s="19">
        <f t="shared" si="48"/>
        <v>1205</v>
      </c>
      <c r="G136" s="19">
        <f t="shared" si="48"/>
        <v>1906.5</v>
      </c>
      <c r="H136" s="24">
        <f t="shared" si="47"/>
        <v>-36.795174403356931</v>
      </c>
    </row>
    <row r="137" spans="1:8" x14ac:dyDescent="0.25">
      <c r="A137" s="10">
        <f t="shared" si="2"/>
        <v>39779</v>
      </c>
      <c r="B137">
        <v>0</v>
      </c>
      <c r="C137">
        <v>1053.0999999999999</v>
      </c>
      <c r="D137">
        <v>1205</v>
      </c>
      <c r="E137">
        <v>850.5</v>
      </c>
      <c r="F137" s="19">
        <f t="shared" si="48"/>
        <v>1205</v>
      </c>
      <c r="G137" s="19">
        <f t="shared" si="48"/>
        <v>1903.6</v>
      </c>
      <c r="H137" s="24">
        <f t="shared" si="47"/>
        <v>-36.698886320655596</v>
      </c>
    </row>
    <row r="138" spans="1:8" x14ac:dyDescent="0.25">
      <c r="A138" s="10">
        <f t="shared" si="2"/>
        <v>39786</v>
      </c>
      <c r="B138">
        <v>0</v>
      </c>
      <c r="C138">
        <v>1000.7</v>
      </c>
      <c r="D138">
        <v>1205</v>
      </c>
      <c r="E138">
        <v>901</v>
      </c>
      <c r="F138" s="19">
        <f t="shared" ref="F138:G140" si="49">+B138+D138</f>
        <v>1205</v>
      </c>
      <c r="G138" s="19">
        <f t="shared" si="49"/>
        <v>1901.7</v>
      </c>
      <c r="H138" s="24">
        <f t="shared" si="47"/>
        <v>-36.635641794184146</v>
      </c>
    </row>
    <row r="139" spans="1:8" x14ac:dyDescent="0.25">
      <c r="A139" s="10">
        <f t="shared" si="2"/>
        <v>39793</v>
      </c>
      <c r="B139">
        <v>0</v>
      </c>
      <c r="C139">
        <v>945.7</v>
      </c>
      <c r="D139">
        <v>1205</v>
      </c>
      <c r="E139">
        <v>956</v>
      </c>
      <c r="F139" s="19">
        <f t="shared" si="49"/>
        <v>1205</v>
      </c>
      <c r="G139" s="19">
        <f t="shared" si="49"/>
        <v>1901.7</v>
      </c>
      <c r="H139" s="24">
        <f t="shared" si="47"/>
        <v>-36.635641794184146</v>
      </c>
    </row>
    <row r="140" spans="1:8" x14ac:dyDescent="0.25">
      <c r="A140" s="10">
        <f t="shared" si="2"/>
        <v>39800</v>
      </c>
      <c r="B140">
        <v>0</v>
      </c>
      <c r="C140">
        <v>846.7</v>
      </c>
      <c r="D140">
        <v>1205</v>
      </c>
      <c r="E140">
        <v>1055</v>
      </c>
      <c r="F140" s="19">
        <f t="shared" si="49"/>
        <v>1205</v>
      </c>
      <c r="G140" s="19">
        <f t="shared" si="49"/>
        <v>1901.7</v>
      </c>
      <c r="H140" s="24">
        <f t="shared" ref="H140:H145" si="50">+(F140/G140-1)*100</f>
        <v>-36.635641794184146</v>
      </c>
    </row>
    <row r="141" spans="1:8" x14ac:dyDescent="0.25">
      <c r="A141" s="10">
        <f t="shared" si="2"/>
        <v>39807</v>
      </c>
      <c r="B141">
        <v>0</v>
      </c>
      <c r="C141">
        <v>795.9</v>
      </c>
      <c r="D141">
        <v>1205</v>
      </c>
      <c r="E141">
        <v>1105.8</v>
      </c>
      <c r="F141" s="19">
        <f t="shared" ref="F141:G143" si="51">+B141+D141</f>
        <v>1205</v>
      </c>
      <c r="G141" s="19">
        <f t="shared" si="51"/>
        <v>1901.6999999999998</v>
      </c>
      <c r="H141" s="24">
        <f t="shared" si="50"/>
        <v>-36.635641794184146</v>
      </c>
    </row>
    <row r="142" spans="1:8" x14ac:dyDescent="0.25">
      <c r="A142" s="10">
        <f t="shared" si="2"/>
        <v>39814</v>
      </c>
      <c r="B142">
        <v>0</v>
      </c>
      <c r="C142">
        <v>745.9</v>
      </c>
      <c r="D142">
        <v>1205</v>
      </c>
      <c r="E142">
        <v>1155.8</v>
      </c>
      <c r="F142" s="19">
        <f t="shared" si="51"/>
        <v>1205</v>
      </c>
      <c r="G142" s="19">
        <f t="shared" si="51"/>
        <v>1901.6999999999998</v>
      </c>
      <c r="H142" s="24">
        <f t="shared" si="50"/>
        <v>-36.635641794184146</v>
      </c>
    </row>
    <row r="143" spans="1:8" x14ac:dyDescent="0.25">
      <c r="A143" s="10">
        <f t="shared" si="2"/>
        <v>39821</v>
      </c>
      <c r="B143">
        <v>0</v>
      </c>
      <c r="C143">
        <v>745.9</v>
      </c>
      <c r="D143">
        <v>1205</v>
      </c>
      <c r="E143">
        <v>1155.8</v>
      </c>
      <c r="F143" s="19">
        <f t="shared" si="51"/>
        <v>1205</v>
      </c>
      <c r="G143" s="19">
        <f t="shared" si="51"/>
        <v>1901.6999999999998</v>
      </c>
      <c r="H143" s="24">
        <f t="shared" si="50"/>
        <v>-36.635641794184146</v>
      </c>
    </row>
    <row r="144" spans="1:8" x14ac:dyDescent="0.25">
      <c r="A144" s="10">
        <f t="shared" si="2"/>
        <v>39828</v>
      </c>
      <c r="B144">
        <v>0</v>
      </c>
      <c r="C144">
        <v>695.9</v>
      </c>
      <c r="D144">
        <v>1205</v>
      </c>
      <c r="E144">
        <v>1205.8</v>
      </c>
      <c r="F144" s="19">
        <f t="shared" ref="F144:G146" si="52">+B144+D144</f>
        <v>1205</v>
      </c>
      <c r="G144" s="19">
        <f t="shared" si="52"/>
        <v>1901.6999999999998</v>
      </c>
      <c r="H144" s="24">
        <f t="shared" si="50"/>
        <v>-36.635641794184146</v>
      </c>
    </row>
    <row r="145" spans="1:8" x14ac:dyDescent="0.25">
      <c r="A145" s="10">
        <f t="shared" si="2"/>
        <v>39835</v>
      </c>
      <c r="B145">
        <v>0</v>
      </c>
      <c r="C145">
        <v>593.9</v>
      </c>
      <c r="D145">
        <v>1205</v>
      </c>
      <c r="E145">
        <v>1307.8</v>
      </c>
      <c r="F145" s="19">
        <f t="shared" si="52"/>
        <v>1205</v>
      </c>
      <c r="G145" s="19">
        <f t="shared" si="52"/>
        <v>1901.6999999999998</v>
      </c>
      <c r="H145" s="24">
        <f t="shared" si="50"/>
        <v>-36.635641794184146</v>
      </c>
    </row>
    <row r="146" spans="1:8" x14ac:dyDescent="0.25">
      <c r="A146" s="10">
        <f t="shared" si="2"/>
        <v>39842</v>
      </c>
      <c r="B146">
        <v>0</v>
      </c>
      <c r="C146">
        <v>543.9</v>
      </c>
      <c r="D146">
        <v>1205</v>
      </c>
      <c r="E146">
        <v>1357.8</v>
      </c>
      <c r="F146" s="19">
        <f t="shared" si="52"/>
        <v>1205</v>
      </c>
      <c r="G146" s="19">
        <f t="shared" si="52"/>
        <v>1901.6999999999998</v>
      </c>
      <c r="H146" s="24">
        <f t="shared" ref="H146:H151" si="53">+(F146/G146-1)*100</f>
        <v>-36.635641794184146</v>
      </c>
    </row>
    <row r="147" spans="1:8" x14ac:dyDescent="0.25">
      <c r="A147" s="10">
        <f t="shared" si="2"/>
        <v>39849</v>
      </c>
      <c r="B147">
        <v>0</v>
      </c>
      <c r="C147">
        <v>393.2</v>
      </c>
      <c r="D147">
        <v>1205</v>
      </c>
      <c r="E147">
        <v>1509.8</v>
      </c>
      <c r="F147" s="19">
        <f t="shared" ref="F147:G149" si="54">+B147+D147</f>
        <v>1205</v>
      </c>
      <c r="G147" s="19">
        <f t="shared" si="54"/>
        <v>1903</v>
      </c>
      <c r="H147" s="24">
        <f t="shared" si="53"/>
        <v>-36.678928008407773</v>
      </c>
    </row>
    <row r="148" spans="1:8" x14ac:dyDescent="0.25">
      <c r="A148" s="10">
        <f t="shared" si="2"/>
        <v>39856</v>
      </c>
      <c r="B148">
        <v>0</v>
      </c>
      <c r="C148">
        <v>300</v>
      </c>
      <c r="D148">
        <v>1205</v>
      </c>
      <c r="E148">
        <v>1605.5</v>
      </c>
      <c r="F148" s="19">
        <f t="shared" si="54"/>
        <v>1205</v>
      </c>
      <c r="G148" s="19">
        <f t="shared" si="54"/>
        <v>1905.5</v>
      </c>
      <c r="H148" s="24">
        <f t="shared" si="53"/>
        <v>-36.762004723169774</v>
      </c>
    </row>
    <row r="149" spans="1:8" x14ac:dyDescent="0.25">
      <c r="A149" s="10">
        <f t="shared" si="2"/>
        <v>39863</v>
      </c>
      <c r="B149">
        <v>0</v>
      </c>
      <c r="C149">
        <v>300</v>
      </c>
      <c r="D149">
        <v>1205</v>
      </c>
      <c r="E149">
        <v>1605.5</v>
      </c>
      <c r="F149" s="19">
        <f t="shared" si="54"/>
        <v>1205</v>
      </c>
      <c r="G149" s="19">
        <f t="shared" si="54"/>
        <v>1905.5</v>
      </c>
      <c r="H149" s="24">
        <f t="shared" si="53"/>
        <v>-36.762004723169774</v>
      </c>
    </row>
    <row r="150" spans="1:8" x14ac:dyDescent="0.25">
      <c r="A150" s="10">
        <f t="shared" si="2"/>
        <v>39870</v>
      </c>
      <c r="B150">
        <v>0</v>
      </c>
      <c r="C150">
        <v>700</v>
      </c>
      <c r="D150">
        <v>1205</v>
      </c>
      <c r="E150">
        <v>1605.5</v>
      </c>
      <c r="F150" s="19">
        <f t="shared" ref="F150:G152" si="55">+B150+D150</f>
        <v>1205</v>
      </c>
      <c r="G150" s="19">
        <f t="shared" si="55"/>
        <v>2305.5</v>
      </c>
      <c r="H150" s="24">
        <f t="shared" si="53"/>
        <v>-47.733680329646496</v>
      </c>
    </row>
    <row r="151" spans="1:8" x14ac:dyDescent="0.25">
      <c r="A151" s="10">
        <f t="shared" si="2"/>
        <v>39877</v>
      </c>
      <c r="B151">
        <v>0</v>
      </c>
      <c r="C151">
        <v>700</v>
      </c>
      <c r="D151">
        <v>1205</v>
      </c>
      <c r="E151">
        <v>1605.5</v>
      </c>
      <c r="F151" s="19">
        <f t="shared" si="55"/>
        <v>1205</v>
      </c>
      <c r="G151" s="19">
        <f t="shared" si="55"/>
        <v>2305.5</v>
      </c>
      <c r="H151" s="24">
        <f t="shared" si="53"/>
        <v>-47.733680329646496</v>
      </c>
    </row>
    <row r="152" spans="1:8" x14ac:dyDescent="0.25">
      <c r="A152" s="10">
        <f t="shared" si="2"/>
        <v>39884</v>
      </c>
      <c r="B152">
        <v>0</v>
      </c>
      <c r="C152">
        <v>650</v>
      </c>
      <c r="D152">
        <v>1205</v>
      </c>
      <c r="E152">
        <v>1656.9</v>
      </c>
      <c r="F152" s="19">
        <f t="shared" si="55"/>
        <v>1205</v>
      </c>
      <c r="G152" s="19">
        <f t="shared" si="55"/>
        <v>2306.9</v>
      </c>
      <c r="H152" s="24">
        <f t="shared" ref="H152:H157" si="56">+(F152/G152-1)*100</f>
        <v>-47.765399453812471</v>
      </c>
    </row>
    <row r="153" spans="1:8" x14ac:dyDescent="0.25">
      <c r="A153" s="10">
        <f t="shared" si="2"/>
        <v>39891</v>
      </c>
      <c r="B153">
        <v>0</v>
      </c>
      <c r="C153">
        <v>600</v>
      </c>
      <c r="D153">
        <v>1205</v>
      </c>
      <c r="E153">
        <v>1711.9</v>
      </c>
      <c r="F153" s="19">
        <f t="shared" ref="F153:G157" si="57">+B153+D153</f>
        <v>1205</v>
      </c>
      <c r="G153" s="19">
        <f t="shared" si="57"/>
        <v>2311.9</v>
      </c>
      <c r="H153" s="24">
        <f t="shared" si="56"/>
        <v>-47.878368441541596</v>
      </c>
    </row>
    <row r="154" spans="1:8" x14ac:dyDescent="0.25">
      <c r="A154" s="10">
        <f t="shared" si="2"/>
        <v>39898</v>
      </c>
      <c r="B154">
        <v>0</v>
      </c>
      <c r="C154">
        <v>550</v>
      </c>
      <c r="D154">
        <v>1205</v>
      </c>
      <c r="E154">
        <v>1761.7</v>
      </c>
      <c r="F154" s="19">
        <f t="shared" si="57"/>
        <v>1205</v>
      </c>
      <c r="G154" s="19">
        <f t="shared" si="57"/>
        <v>2311.6999999999998</v>
      </c>
      <c r="H154" s="24">
        <f t="shared" si="56"/>
        <v>-47.873859064757532</v>
      </c>
    </row>
    <row r="155" spans="1:8" x14ac:dyDescent="0.25">
      <c r="A155" s="10">
        <f t="shared" si="2"/>
        <v>39905</v>
      </c>
      <c r="B155">
        <v>0</v>
      </c>
      <c r="C155">
        <v>500</v>
      </c>
      <c r="D155">
        <v>1205</v>
      </c>
      <c r="E155">
        <v>1812.2</v>
      </c>
      <c r="F155" s="19">
        <f t="shared" si="57"/>
        <v>1205</v>
      </c>
      <c r="G155" s="19">
        <f t="shared" si="57"/>
        <v>2312.1999999999998</v>
      </c>
      <c r="H155" s="24">
        <f t="shared" si="56"/>
        <v>-47.885131044027332</v>
      </c>
    </row>
    <row r="156" spans="1:8" x14ac:dyDescent="0.25">
      <c r="A156" s="10">
        <f t="shared" si="2"/>
        <v>39912</v>
      </c>
      <c r="B156">
        <v>0</v>
      </c>
      <c r="C156">
        <v>500</v>
      </c>
      <c r="D156">
        <v>1205</v>
      </c>
      <c r="E156">
        <v>1812.2</v>
      </c>
      <c r="F156" s="19">
        <f t="shared" si="57"/>
        <v>1205</v>
      </c>
      <c r="G156" s="19">
        <f t="shared" si="57"/>
        <v>2312.1999999999998</v>
      </c>
      <c r="H156" s="24">
        <f t="shared" si="56"/>
        <v>-47.885131044027332</v>
      </c>
    </row>
    <row r="157" spans="1:8" x14ac:dyDescent="0.25">
      <c r="A157" s="10">
        <f t="shared" si="2"/>
        <v>39919</v>
      </c>
      <c r="B157">
        <v>0</v>
      </c>
      <c r="C157">
        <v>500</v>
      </c>
      <c r="D157">
        <v>1205</v>
      </c>
      <c r="E157">
        <v>1812.2</v>
      </c>
      <c r="F157" s="19">
        <f t="shared" si="57"/>
        <v>1205</v>
      </c>
      <c r="G157" s="19">
        <f t="shared" si="57"/>
        <v>2312.1999999999998</v>
      </c>
      <c r="H157" s="24">
        <f t="shared" si="56"/>
        <v>-47.885131044027332</v>
      </c>
    </row>
    <row r="158" spans="1:8" x14ac:dyDescent="0.25">
      <c r="A158" s="10">
        <f t="shared" si="2"/>
        <v>39926</v>
      </c>
      <c r="B158">
        <v>0</v>
      </c>
      <c r="C158">
        <v>400</v>
      </c>
      <c r="D158">
        <v>1205</v>
      </c>
      <c r="E158">
        <v>1912.7</v>
      </c>
      <c r="F158" s="19">
        <f t="shared" ref="F158:F189" si="58">+B158+D158</f>
        <v>1205</v>
      </c>
      <c r="G158" s="19">
        <f t="shared" ref="G158:G189" si="59">+C158+E158</f>
        <v>2312.6999999999998</v>
      </c>
      <c r="H158" s="24">
        <f t="shared" ref="H158:H189" si="60">+(F158/G158-1)*100</f>
        <v>-47.896398149349238</v>
      </c>
    </row>
    <row r="159" spans="1:8" x14ac:dyDescent="0.25">
      <c r="A159" s="10">
        <f t="shared" si="2"/>
        <v>39933</v>
      </c>
      <c r="B159">
        <v>0</v>
      </c>
      <c r="C159">
        <v>400</v>
      </c>
      <c r="D159">
        <v>1205</v>
      </c>
      <c r="E159">
        <v>1912.7</v>
      </c>
      <c r="F159" s="19">
        <f t="shared" si="58"/>
        <v>1205</v>
      </c>
      <c r="G159" s="19">
        <f t="shared" si="59"/>
        <v>2312.6999999999998</v>
      </c>
      <c r="H159" s="24">
        <f t="shared" si="60"/>
        <v>-47.896398149349238</v>
      </c>
    </row>
    <row r="160" spans="1:8" x14ac:dyDescent="0.25">
      <c r="A160" s="10">
        <f t="shared" si="2"/>
        <v>39940</v>
      </c>
      <c r="B160">
        <v>0</v>
      </c>
      <c r="C160">
        <v>400</v>
      </c>
      <c r="D160">
        <v>1205</v>
      </c>
      <c r="E160">
        <v>1912.7</v>
      </c>
      <c r="F160" s="19">
        <f t="shared" si="58"/>
        <v>1205</v>
      </c>
      <c r="G160" s="19">
        <f t="shared" si="59"/>
        <v>2312.6999999999998</v>
      </c>
      <c r="H160" s="24">
        <f t="shared" si="60"/>
        <v>-47.896398149349238</v>
      </c>
    </row>
    <row r="161" spans="1:8" x14ac:dyDescent="0.25">
      <c r="A161" s="10">
        <f t="shared" si="2"/>
        <v>39947</v>
      </c>
      <c r="B161">
        <v>0</v>
      </c>
      <c r="C161">
        <v>400</v>
      </c>
      <c r="D161">
        <v>1205</v>
      </c>
      <c r="E161">
        <v>1912.7</v>
      </c>
      <c r="F161" s="19">
        <f t="shared" si="58"/>
        <v>1205</v>
      </c>
      <c r="G161" s="19">
        <f t="shared" si="59"/>
        <v>2312.6999999999998</v>
      </c>
      <c r="H161" s="24">
        <f t="shared" si="60"/>
        <v>-47.896398149349238</v>
      </c>
    </row>
    <row r="162" spans="1:8" x14ac:dyDescent="0.25">
      <c r="A162" s="10">
        <f t="shared" si="2"/>
        <v>39954</v>
      </c>
      <c r="B162">
        <v>0</v>
      </c>
      <c r="C162">
        <v>200</v>
      </c>
      <c r="D162">
        <v>1205</v>
      </c>
      <c r="E162">
        <v>1912.7</v>
      </c>
      <c r="F162" s="19">
        <f t="shared" si="58"/>
        <v>1205</v>
      </c>
      <c r="G162" s="19">
        <f t="shared" si="59"/>
        <v>2112.6999999999998</v>
      </c>
      <c r="H162" s="24">
        <f t="shared" si="60"/>
        <v>-42.963979741562916</v>
      </c>
    </row>
    <row r="163" spans="1:8" x14ac:dyDescent="0.25">
      <c r="A163" s="10">
        <f t="shared" si="2"/>
        <v>39961</v>
      </c>
      <c r="B163">
        <v>0</v>
      </c>
      <c r="C163">
        <v>200</v>
      </c>
      <c r="D163">
        <v>1205</v>
      </c>
      <c r="E163">
        <v>1964.2</v>
      </c>
      <c r="F163" s="19">
        <f t="shared" si="58"/>
        <v>1205</v>
      </c>
      <c r="G163" s="19">
        <f t="shared" si="59"/>
        <v>2164.1999999999998</v>
      </c>
      <c r="H163" s="24">
        <f t="shared" si="60"/>
        <v>-44.321227243323158</v>
      </c>
    </row>
    <row r="164" spans="1:8" x14ac:dyDescent="0.25">
      <c r="A164" s="10">
        <f t="shared" si="2"/>
        <v>39968</v>
      </c>
      <c r="B164">
        <v>0</v>
      </c>
      <c r="C164">
        <v>1098.5</v>
      </c>
      <c r="D164">
        <v>0</v>
      </c>
      <c r="E164">
        <v>47.8</v>
      </c>
      <c r="F164" s="19">
        <f t="shared" si="58"/>
        <v>0</v>
      </c>
      <c r="G164" s="19">
        <f t="shared" si="59"/>
        <v>1146.3</v>
      </c>
      <c r="H164" s="24">
        <f t="shared" si="60"/>
        <v>-100</v>
      </c>
    </row>
    <row r="165" spans="1:8" x14ac:dyDescent="0.25">
      <c r="A165" s="10">
        <f t="shared" si="2"/>
        <v>39975</v>
      </c>
      <c r="B165">
        <v>0</v>
      </c>
      <c r="C165">
        <v>997.8</v>
      </c>
      <c r="D165">
        <v>0</v>
      </c>
      <c r="E165">
        <v>149.5</v>
      </c>
      <c r="F165" s="19">
        <f t="shared" si="58"/>
        <v>0</v>
      </c>
      <c r="G165" s="19">
        <f t="shared" si="59"/>
        <v>1147.3</v>
      </c>
      <c r="H165" s="24">
        <f t="shared" si="60"/>
        <v>-100</v>
      </c>
    </row>
    <row r="166" spans="1:8" x14ac:dyDescent="0.25">
      <c r="A166" s="10">
        <f t="shared" si="2"/>
        <v>39982</v>
      </c>
      <c r="B166">
        <v>0</v>
      </c>
      <c r="C166">
        <v>946.1</v>
      </c>
      <c r="D166">
        <v>0</v>
      </c>
      <c r="E166">
        <v>201.1</v>
      </c>
      <c r="F166" s="19">
        <f t="shared" si="58"/>
        <v>0</v>
      </c>
      <c r="G166" s="19">
        <f t="shared" si="59"/>
        <v>1147.2</v>
      </c>
      <c r="H166" s="24">
        <f t="shared" si="60"/>
        <v>-100</v>
      </c>
    </row>
    <row r="167" spans="1:8" x14ac:dyDescent="0.25">
      <c r="A167" s="10">
        <f t="shared" si="2"/>
        <v>39989</v>
      </c>
      <c r="B167">
        <v>0</v>
      </c>
      <c r="C167">
        <v>896.1</v>
      </c>
      <c r="D167">
        <v>0</v>
      </c>
      <c r="E167">
        <v>251.8</v>
      </c>
      <c r="F167" s="19">
        <f t="shared" si="58"/>
        <v>0</v>
      </c>
      <c r="G167" s="19">
        <f t="shared" si="59"/>
        <v>1147.9000000000001</v>
      </c>
      <c r="H167" s="24">
        <f t="shared" si="60"/>
        <v>-100</v>
      </c>
    </row>
    <row r="168" spans="1:8" x14ac:dyDescent="0.25">
      <c r="A168" s="10">
        <f t="shared" si="2"/>
        <v>39996</v>
      </c>
      <c r="B168">
        <v>0</v>
      </c>
      <c r="C168">
        <v>795.3</v>
      </c>
      <c r="D168">
        <v>0</v>
      </c>
      <c r="E168">
        <v>353.6</v>
      </c>
      <c r="F168" s="19">
        <f t="shared" si="58"/>
        <v>0</v>
      </c>
      <c r="G168" s="19">
        <f t="shared" si="59"/>
        <v>1148.9000000000001</v>
      </c>
      <c r="H168" s="24">
        <f t="shared" si="60"/>
        <v>-100</v>
      </c>
    </row>
    <row r="169" spans="1:8" x14ac:dyDescent="0.25">
      <c r="A169" s="10">
        <f t="shared" si="2"/>
        <v>40003</v>
      </c>
      <c r="B169">
        <v>0</v>
      </c>
      <c r="C169">
        <v>744.3</v>
      </c>
      <c r="D169">
        <v>0</v>
      </c>
      <c r="E169">
        <v>404.7</v>
      </c>
      <c r="F169" s="19">
        <f t="shared" si="58"/>
        <v>0</v>
      </c>
      <c r="G169" s="19">
        <f t="shared" si="59"/>
        <v>1149</v>
      </c>
      <c r="H169" s="24">
        <f t="shared" si="60"/>
        <v>-100</v>
      </c>
    </row>
    <row r="170" spans="1:8" x14ac:dyDescent="0.25">
      <c r="A170" s="10">
        <f t="shared" si="2"/>
        <v>40010</v>
      </c>
      <c r="B170">
        <v>0</v>
      </c>
      <c r="C170">
        <v>692.5</v>
      </c>
      <c r="D170">
        <v>0</v>
      </c>
      <c r="E170">
        <v>456.4</v>
      </c>
      <c r="F170" s="19">
        <f t="shared" si="58"/>
        <v>0</v>
      </c>
      <c r="G170" s="19">
        <f t="shared" si="59"/>
        <v>1148.9000000000001</v>
      </c>
      <c r="H170" s="24">
        <f t="shared" si="60"/>
        <v>-100</v>
      </c>
    </row>
    <row r="171" spans="1:8" x14ac:dyDescent="0.25">
      <c r="A171" s="10">
        <f t="shared" si="2"/>
        <v>40017</v>
      </c>
      <c r="B171">
        <v>0</v>
      </c>
      <c r="C171">
        <v>592.70000000000005</v>
      </c>
      <c r="D171">
        <v>0</v>
      </c>
      <c r="E171">
        <v>556.29999999999995</v>
      </c>
      <c r="F171" s="19">
        <f t="shared" si="58"/>
        <v>0</v>
      </c>
      <c r="G171" s="19">
        <f t="shared" si="59"/>
        <v>1149</v>
      </c>
      <c r="H171" s="24">
        <f t="shared" si="60"/>
        <v>-100</v>
      </c>
    </row>
    <row r="172" spans="1:8" x14ac:dyDescent="0.25">
      <c r="A172" s="10">
        <f t="shared" si="2"/>
        <v>40024</v>
      </c>
      <c r="B172">
        <v>0</v>
      </c>
      <c r="C172">
        <v>444.1</v>
      </c>
      <c r="D172">
        <v>0</v>
      </c>
      <c r="E172">
        <v>709.8</v>
      </c>
      <c r="F172" s="19">
        <f t="shared" si="58"/>
        <v>0</v>
      </c>
      <c r="G172" s="19">
        <f t="shared" si="59"/>
        <v>1153.9000000000001</v>
      </c>
      <c r="H172" s="24">
        <f t="shared" si="60"/>
        <v>-100</v>
      </c>
    </row>
    <row r="173" spans="1:8" x14ac:dyDescent="0.25">
      <c r="A173" s="10">
        <f t="shared" si="2"/>
        <v>40031</v>
      </c>
      <c r="B173">
        <v>0</v>
      </c>
      <c r="C173">
        <v>350</v>
      </c>
      <c r="D173">
        <v>0</v>
      </c>
      <c r="E173">
        <v>814</v>
      </c>
      <c r="F173" s="19">
        <f t="shared" si="58"/>
        <v>0</v>
      </c>
      <c r="G173" s="19">
        <f t="shared" si="59"/>
        <v>1164</v>
      </c>
      <c r="H173" s="24">
        <f t="shared" si="60"/>
        <v>-100</v>
      </c>
    </row>
    <row r="174" spans="1:8" x14ac:dyDescent="0.25">
      <c r="A174" s="10">
        <f t="shared" si="2"/>
        <v>40038</v>
      </c>
      <c r="B174">
        <v>0</v>
      </c>
      <c r="C174">
        <v>299.5</v>
      </c>
      <c r="D174">
        <v>0</v>
      </c>
      <c r="E174">
        <v>864.5</v>
      </c>
      <c r="F174" s="19">
        <f t="shared" si="58"/>
        <v>0</v>
      </c>
      <c r="G174" s="19">
        <f t="shared" si="59"/>
        <v>1164</v>
      </c>
      <c r="H174" s="24">
        <f t="shared" si="60"/>
        <v>-100</v>
      </c>
    </row>
    <row r="175" spans="1:8" x14ac:dyDescent="0.25">
      <c r="A175" s="10">
        <f t="shared" si="2"/>
        <v>40045</v>
      </c>
      <c r="B175">
        <v>0</v>
      </c>
      <c r="C175">
        <v>250</v>
      </c>
      <c r="D175">
        <v>0</v>
      </c>
      <c r="E175">
        <v>915.1</v>
      </c>
      <c r="F175" s="19">
        <f t="shared" si="58"/>
        <v>0</v>
      </c>
      <c r="G175" s="19">
        <f t="shared" si="59"/>
        <v>1165.0999999999999</v>
      </c>
      <c r="H175" s="24">
        <f t="shared" si="60"/>
        <v>-100</v>
      </c>
    </row>
    <row r="176" spans="1:8" x14ac:dyDescent="0.25">
      <c r="A176" s="10">
        <f t="shared" si="2"/>
        <v>40052</v>
      </c>
      <c r="B176">
        <v>0</v>
      </c>
      <c r="C176">
        <v>150</v>
      </c>
      <c r="D176">
        <v>0</v>
      </c>
      <c r="E176">
        <v>1015</v>
      </c>
      <c r="F176" s="19">
        <f t="shared" si="58"/>
        <v>0</v>
      </c>
      <c r="G176" s="19">
        <f t="shared" si="59"/>
        <v>1165</v>
      </c>
      <c r="H176" s="24">
        <f t="shared" si="60"/>
        <v>-100</v>
      </c>
    </row>
    <row r="177" spans="1:8" x14ac:dyDescent="0.25">
      <c r="A177" s="10">
        <f t="shared" si="2"/>
        <v>40059</v>
      </c>
      <c r="B177">
        <v>0</v>
      </c>
      <c r="C177">
        <v>100</v>
      </c>
      <c r="D177">
        <v>0</v>
      </c>
      <c r="E177">
        <v>1065.5999999999999</v>
      </c>
      <c r="F177" s="19">
        <f t="shared" si="58"/>
        <v>0</v>
      </c>
      <c r="G177" s="19">
        <f t="shared" si="59"/>
        <v>1165.5999999999999</v>
      </c>
      <c r="H177" s="24">
        <f t="shared" si="60"/>
        <v>-100</v>
      </c>
    </row>
    <row r="178" spans="1:8" x14ac:dyDescent="0.25">
      <c r="A178" s="10">
        <f t="shared" si="2"/>
        <v>40066</v>
      </c>
      <c r="B178">
        <v>0</v>
      </c>
      <c r="C178">
        <v>100</v>
      </c>
      <c r="D178">
        <v>0</v>
      </c>
      <c r="E178">
        <v>1065.5999999999999</v>
      </c>
      <c r="F178" s="19">
        <f t="shared" si="58"/>
        <v>0</v>
      </c>
      <c r="G178" s="19">
        <f t="shared" si="59"/>
        <v>1165.5999999999999</v>
      </c>
      <c r="H178" s="24">
        <f t="shared" si="60"/>
        <v>-100</v>
      </c>
    </row>
    <row r="179" spans="1:8" x14ac:dyDescent="0.25">
      <c r="A179" s="10">
        <f t="shared" si="2"/>
        <v>40073</v>
      </c>
      <c r="B179">
        <v>0</v>
      </c>
      <c r="C179">
        <v>100</v>
      </c>
      <c r="D179">
        <v>0</v>
      </c>
      <c r="E179">
        <v>1065.5999999999999</v>
      </c>
      <c r="F179" s="19">
        <f t="shared" si="58"/>
        <v>0</v>
      </c>
      <c r="G179" s="19">
        <f t="shared" si="59"/>
        <v>1165.5999999999999</v>
      </c>
      <c r="H179" s="24">
        <f t="shared" si="60"/>
        <v>-100</v>
      </c>
    </row>
    <row r="180" spans="1:8" x14ac:dyDescent="0.25">
      <c r="A180" s="10">
        <f t="shared" si="2"/>
        <v>40080</v>
      </c>
      <c r="B180">
        <v>0</v>
      </c>
      <c r="C180">
        <v>50</v>
      </c>
      <c r="D180">
        <v>0</v>
      </c>
      <c r="E180">
        <v>1118.7</v>
      </c>
      <c r="F180" s="19">
        <f t="shared" si="58"/>
        <v>0</v>
      </c>
      <c r="G180" s="19">
        <f t="shared" si="59"/>
        <v>1168.7</v>
      </c>
      <c r="H180" s="24">
        <f t="shared" si="60"/>
        <v>-100</v>
      </c>
    </row>
    <row r="181" spans="1:8" x14ac:dyDescent="0.25">
      <c r="A181" s="10">
        <f t="shared" si="2"/>
        <v>40087</v>
      </c>
      <c r="B181">
        <v>0</v>
      </c>
      <c r="C181">
        <v>0</v>
      </c>
      <c r="D181">
        <v>0</v>
      </c>
      <c r="E181">
        <v>1170.4000000000001</v>
      </c>
      <c r="F181" s="19">
        <f t="shared" si="58"/>
        <v>0</v>
      </c>
      <c r="G181" s="19">
        <f t="shared" si="59"/>
        <v>1170.4000000000001</v>
      </c>
      <c r="H181" s="24">
        <f t="shared" si="60"/>
        <v>-100</v>
      </c>
    </row>
    <row r="182" spans="1:8" x14ac:dyDescent="0.25">
      <c r="A182" s="10">
        <f t="shared" si="2"/>
        <v>40094</v>
      </c>
      <c r="B182">
        <v>0</v>
      </c>
      <c r="C182">
        <v>35</v>
      </c>
      <c r="D182">
        <v>0</v>
      </c>
      <c r="E182">
        <v>1170.4000000000001</v>
      </c>
      <c r="F182" s="19">
        <f t="shared" si="58"/>
        <v>0</v>
      </c>
      <c r="G182" s="19">
        <f t="shared" si="59"/>
        <v>1205.4000000000001</v>
      </c>
      <c r="H182" s="24">
        <f t="shared" si="60"/>
        <v>-100</v>
      </c>
    </row>
    <row r="183" spans="1:8" x14ac:dyDescent="0.25">
      <c r="A183" s="10">
        <f t="shared" si="2"/>
        <v>40101</v>
      </c>
      <c r="B183">
        <v>200</v>
      </c>
      <c r="C183">
        <v>35</v>
      </c>
      <c r="D183">
        <v>0</v>
      </c>
      <c r="E183">
        <v>1170.4000000000001</v>
      </c>
      <c r="F183" s="19">
        <f t="shared" si="58"/>
        <v>200</v>
      </c>
      <c r="G183" s="19">
        <f t="shared" si="59"/>
        <v>1205.4000000000001</v>
      </c>
      <c r="H183" s="24">
        <f t="shared" si="60"/>
        <v>-83.407997345279568</v>
      </c>
    </row>
    <row r="184" spans="1:8" x14ac:dyDescent="0.25">
      <c r="A184" s="10">
        <f t="shared" si="2"/>
        <v>40108</v>
      </c>
      <c r="B184">
        <v>200</v>
      </c>
      <c r="C184">
        <v>0</v>
      </c>
      <c r="D184">
        <v>0</v>
      </c>
      <c r="E184">
        <v>1205</v>
      </c>
      <c r="F184" s="19">
        <f t="shared" si="58"/>
        <v>200</v>
      </c>
      <c r="G184" s="19">
        <f t="shared" si="59"/>
        <v>1205</v>
      </c>
      <c r="H184" s="24">
        <f t="shared" si="60"/>
        <v>-83.402489626556019</v>
      </c>
    </row>
    <row r="185" spans="1:8" x14ac:dyDescent="0.25">
      <c r="A185" s="10">
        <f t="shared" si="2"/>
        <v>40115</v>
      </c>
      <c r="B185">
        <v>200</v>
      </c>
      <c r="C185">
        <v>0</v>
      </c>
      <c r="D185">
        <v>0</v>
      </c>
      <c r="E185">
        <v>1205</v>
      </c>
      <c r="F185" s="19">
        <f t="shared" si="58"/>
        <v>200</v>
      </c>
      <c r="G185" s="19">
        <f t="shared" si="59"/>
        <v>1205</v>
      </c>
      <c r="H185" s="24">
        <f t="shared" si="60"/>
        <v>-83.402489626556019</v>
      </c>
    </row>
    <row r="186" spans="1:8" x14ac:dyDescent="0.25">
      <c r="A186" s="10">
        <f t="shared" si="2"/>
        <v>40122</v>
      </c>
      <c r="B186">
        <v>200</v>
      </c>
      <c r="C186">
        <v>0</v>
      </c>
      <c r="D186">
        <v>0</v>
      </c>
      <c r="E186">
        <v>1205</v>
      </c>
      <c r="F186" s="19">
        <f t="shared" si="58"/>
        <v>200</v>
      </c>
      <c r="G186" s="19">
        <f t="shared" si="59"/>
        <v>1205</v>
      </c>
      <c r="H186" s="24">
        <f t="shared" si="60"/>
        <v>-83.402489626556019</v>
      </c>
    </row>
    <row r="187" spans="1:8" x14ac:dyDescent="0.25">
      <c r="A187" s="10">
        <f t="shared" si="2"/>
        <v>40129</v>
      </c>
      <c r="B187">
        <v>200</v>
      </c>
      <c r="C187">
        <v>0</v>
      </c>
      <c r="D187">
        <v>0</v>
      </c>
      <c r="E187">
        <v>1205</v>
      </c>
      <c r="F187" s="19">
        <f t="shared" si="58"/>
        <v>200</v>
      </c>
      <c r="G187" s="19">
        <f t="shared" si="59"/>
        <v>1205</v>
      </c>
      <c r="H187" s="24">
        <f t="shared" si="60"/>
        <v>-83.402489626556019</v>
      </c>
    </row>
    <row r="188" spans="1:8" x14ac:dyDescent="0.25">
      <c r="A188" s="10">
        <f t="shared" si="2"/>
        <v>40136</v>
      </c>
      <c r="B188">
        <v>200</v>
      </c>
      <c r="C188">
        <v>0</v>
      </c>
      <c r="D188">
        <v>0</v>
      </c>
      <c r="E188">
        <v>1205</v>
      </c>
      <c r="F188" s="19">
        <f t="shared" si="58"/>
        <v>200</v>
      </c>
      <c r="G188" s="19">
        <f t="shared" si="59"/>
        <v>1205</v>
      </c>
      <c r="H188" s="24">
        <f t="shared" si="60"/>
        <v>-83.402489626556019</v>
      </c>
    </row>
    <row r="189" spans="1:8" x14ac:dyDescent="0.25">
      <c r="A189" s="10">
        <f t="shared" si="2"/>
        <v>40143</v>
      </c>
      <c r="B189">
        <v>300</v>
      </c>
      <c r="C189">
        <v>0</v>
      </c>
      <c r="D189">
        <v>0</v>
      </c>
      <c r="E189">
        <v>1205</v>
      </c>
      <c r="F189" s="19">
        <f t="shared" si="58"/>
        <v>300</v>
      </c>
      <c r="G189" s="19">
        <f t="shared" si="59"/>
        <v>1205</v>
      </c>
      <c r="H189" s="24">
        <f t="shared" si="60"/>
        <v>-75.103734439834028</v>
      </c>
    </row>
    <row r="190" spans="1:8" x14ac:dyDescent="0.25">
      <c r="A190" s="10">
        <f t="shared" si="2"/>
        <v>40150</v>
      </c>
      <c r="B190">
        <v>300</v>
      </c>
      <c r="C190">
        <v>0</v>
      </c>
      <c r="D190">
        <v>0</v>
      </c>
      <c r="E190">
        <v>1205</v>
      </c>
      <c r="F190" s="19">
        <f t="shared" ref="F190:F215" si="61">+B190+D190</f>
        <v>300</v>
      </c>
      <c r="G190" s="19">
        <f t="shared" ref="G190:G215" si="62">+C190+E190</f>
        <v>1205</v>
      </c>
      <c r="H190" s="24">
        <f t="shared" ref="H190:H215" si="63">+(F190/G190-1)*100</f>
        <v>-75.103734439834028</v>
      </c>
    </row>
    <row r="191" spans="1:8" x14ac:dyDescent="0.25">
      <c r="A191" s="10">
        <f t="shared" si="2"/>
        <v>40157</v>
      </c>
      <c r="B191">
        <v>300</v>
      </c>
      <c r="C191">
        <v>0</v>
      </c>
      <c r="D191">
        <v>0</v>
      </c>
      <c r="E191">
        <v>1205</v>
      </c>
      <c r="F191" s="19">
        <f t="shared" si="61"/>
        <v>300</v>
      </c>
      <c r="G191" s="19">
        <f t="shared" si="62"/>
        <v>1205</v>
      </c>
      <c r="H191" s="24">
        <f t="shared" si="63"/>
        <v>-75.103734439834028</v>
      </c>
    </row>
    <row r="192" spans="1:8" x14ac:dyDescent="0.25">
      <c r="A192" s="10">
        <f t="shared" si="2"/>
        <v>40164</v>
      </c>
      <c r="B192">
        <v>300</v>
      </c>
      <c r="C192">
        <v>0</v>
      </c>
      <c r="D192">
        <v>0</v>
      </c>
      <c r="E192">
        <v>1205</v>
      </c>
      <c r="F192" s="19">
        <f t="shared" si="61"/>
        <v>300</v>
      </c>
      <c r="G192" s="19">
        <f t="shared" si="62"/>
        <v>1205</v>
      </c>
      <c r="H192" s="24">
        <f t="shared" si="63"/>
        <v>-75.103734439834028</v>
      </c>
    </row>
    <row r="193" spans="1:8" x14ac:dyDescent="0.25">
      <c r="A193" s="10">
        <f t="shared" si="2"/>
        <v>40171</v>
      </c>
      <c r="B193">
        <v>300</v>
      </c>
      <c r="C193">
        <v>0</v>
      </c>
      <c r="D193">
        <v>0</v>
      </c>
      <c r="E193">
        <v>1205</v>
      </c>
      <c r="F193" s="19">
        <f t="shared" si="61"/>
        <v>300</v>
      </c>
      <c r="G193" s="19">
        <f t="shared" si="62"/>
        <v>1205</v>
      </c>
      <c r="H193" s="24">
        <f t="shared" si="63"/>
        <v>-75.103734439834028</v>
      </c>
    </row>
    <row r="194" spans="1:8" x14ac:dyDescent="0.25">
      <c r="A194" s="10">
        <f t="shared" si="2"/>
        <v>40178</v>
      </c>
      <c r="B194">
        <v>300</v>
      </c>
      <c r="C194">
        <v>0</v>
      </c>
      <c r="D194">
        <v>0</v>
      </c>
      <c r="E194">
        <v>1205</v>
      </c>
      <c r="F194" s="19">
        <f t="shared" si="61"/>
        <v>300</v>
      </c>
      <c r="G194" s="19">
        <f t="shared" si="62"/>
        <v>1205</v>
      </c>
      <c r="H194" s="24">
        <f t="shared" si="63"/>
        <v>-75.103734439834028</v>
      </c>
    </row>
    <row r="195" spans="1:8" x14ac:dyDescent="0.25">
      <c r="A195" s="10">
        <f t="shared" si="2"/>
        <v>40185</v>
      </c>
      <c r="B195">
        <v>300</v>
      </c>
      <c r="C195">
        <v>0</v>
      </c>
      <c r="D195">
        <v>0</v>
      </c>
      <c r="E195">
        <v>1205</v>
      </c>
      <c r="F195" s="19">
        <f t="shared" si="61"/>
        <v>300</v>
      </c>
      <c r="G195" s="19">
        <f t="shared" si="62"/>
        <v>1205</v>
      </c>
      <c r="H195" s="24">
        <f t="shared" si="63"/>
        <v>-75.103734439834028</v>
      </c>
    </row>
    <row r="196" spans="1:8" x14ac:dyDescent="0.25">
      <c r="A196" s="10">
        <f t="shared" si="2"/>
        <v>40192</v>
      </c>
      <c r="B196">
        <v>300</v>
      </c>
      <c r="C196">
        <v>0</v>
      </c>
      <c r="D196">
        <v>0</v>
      </c>
      <c r="E196">
        <v>1205</v>
      </c>
      <c r="F196" s="19">
        <f t="shared" si="61"/>
        <v>300</v>
      </c>
      <c r="G196" s="19">
        <f t="shared" si="62"/>
        <v>1205</v>
      </c>
      <c r="H196" s="24">
        <f t="shared" si="63"/>
        <v>-75.103734439834028</v>
      </c>
    </row>
    <row r="197" spans="1:8" x14ac:dyDescent="0.25">
      <c r="A197" s="10">
        <f t="shared" si="2"/>
        <v>40199</v>
      </c>
      <c r="B197">
        <v>247.5</v>
      </c>
      <c r="C197">
        <v>0</v>
      </c>
      <c r="D197">
        <v>52.5</v>
      </c>
      <c r="E197">
        <v>1205</v>
      </c>
      <c r="F197" s="19">
        <f t="shared" si="61"/>
        <v>300</v>
      </c>
      <c r="G197" s="19">
        <f t="shared" si="62"/>
        <v>1205</v>
      </c>
      <c r="H197" s="24">
        <f t="shared" si="63"/>
        <v>-75.103734439834028</v>
      </c>
    </row>
    <row r="198" spans="1:8" x14ac:dyDescent="0.25">
      <c r="A198" s="10">
        <f t="shared" si="2"/>
        <v>40206</v>
      </c>
      <c r="B198">
        <v>247.5</v>
      </c>
      <c r="C198">
        <v>0</v>
      </c>
      <c r="D198">
        <v>52.5</v>
      </c>
      <c r="E198">
        <v>1205</v>
      </c>
      <c r="F198" s="19">
        <f t="shared" si="61"/>
        <v>300</v>
      </c>
      <c r="G198" s="19">
        <f t="shared" si="62"/>
        <v>1205</v>
      </c>
      <c r="H198" s="24">
        <f t="shared" si="63"/>
        <v>-75.103734439834028</v>
      </c>
    </row>
    <row r="199" spans="1:8" x14ac:dyDescent="0.25">
      <c r="A199" s="10">
        <f t="shared" si="2"/>
        <v>40213</v>
      </c>
      <c r="B199">
        <v>200</v>
      </c>
      <c r="C199">
        <v>0</v>
      </c>
      <c r="D199">
        <v>103.8</v>
      </c>
      <c r="E199">
        <v>1205</v>
      </c>
      <c r="F199" s="19">
        <f t="shared" si="61"/>
        <v>303.8</v>
      </c>
      <c r="G199" s="19">
        <f t="shared" si="62"/>
        <v>1205</v>
      </c>
      <c r="H199" s="24">
        <f t="shared" si="63"/>
        <v>-74.788381742738579</v>
      </c>
    </row>
    <row r="200" spans="1:8" x14ac:dyDescent="0.25">
      <c r="A200" s="10">
        <f t="shared" si="2"/>
        <v>40220</v>
      </c>
      <c r="B200">
        <v>200</v>
      </c>
      <c r="C200">
        <v>0</v>
      </c>
      <c r="D200">
        <v>103.8</v>
      </c>
      <c r="E200">
        <v>1205</v>
      </c>
      <c r="F200" s="19">
        <f t="shared" si="61"/>
        <v>303.8</v>
      </c>
      <c r="G200" s="19">
        <f t="shared" si="62"/>
        <v>1205</v>
      </c>
      <c r="H200" s="24">
        <f t="shared" si="63"/>
        <v>-74.788381742738579</v>
      </c>
    </row>
    <row r="201" spans="1:8" x14ac:dyDescent="0.25">
      <c r="A201" s="10">
        <f t="shared" si="2"/>
        <v>40227</v>
      </c>
      <c r="B201">
        <v>150</v>
      </c>
      <c r="C201">
        <v>0</v>
      </c>
      <c r="D201">
        <v>155.1</v>
      </c>
      <c r="E201">
        <v>1205</v>
      </c>
      <c r="F201" s="19">
        <f t="shared" si="61"/>
        <v>305.10000000000002</v>
      </c>
      <c r="G201" s="19">
        <f t="shared" si="62"/>
        <v>1205</v>
      </c>
      <c r="H201" s="24">
        <f t="shared" si="63"/>
        <v>-74.680497925311201</v>
      </c>
    </row>
    <row r="202" spans="1:8" x14ac:dyDescent="0.25">
      <c r="A202" s="10">
        <f t="shared" si="2"/>
        <v>40234</v>
      </c>
      <c r="B202">
        <v>150</v>
      </c>
      <c r="C202">
        <v>0</v>
      </c>
      <c r="D202">
        <v>155.1</v>
      </c>
      <c r="E202">
        <v>1205</v>
      </c>
      <c r="F202" s="19">
        <f t="shared" si="61"/>
        <v>305.10000000000002</v>
      </c>
      <c r="G202" s="19">
        <f t="shared" si="62"/>
        <v>1205</v>
      </c>
      <c r="H202" s="24">
        <f t="shared" si="63"/>
        <v>-74.680497925311201</v>
      </c>
    </row>
    <row r="203" spans="1:8" x14ac:dyDescent="0.25">
      <c r="A203" s="10">
        <f t="shared" si="2"/>
        <v>40241</v>
      </c>
      <c r="B203">
        <v>100</v>
      </c>
      <c r="C203">
        <v>0</v>
      </c>
      <c r="D203">
        <v>205.3</v>
      </c>
      <c r="E203">
        <v>1205</v>
      </c>
      <c r="F203" s="19">
        <f t="shared" si="61"/>
        <v>305.3</v>
      </c>
      <c r="G203" s="19">
        <f t="shared" si="62"/>
        <v>1205</v>
      </c>
      <c r="H203" s="24">
        <f t="shared" si="63"/>
        <v>-74.663900414937757</v>
      </c>
    </row>
    <row r="204" spans="1:8" x14ac:dyDescent="0.25">
      <c r="A204" s="10">
        <f t="shared" si="2"/>
        <v>40248</v>
      </c>
      <c r="B204">
        <v>100</v>
      </c>
      <c r="C204">
        <v>0</v>
      </c>
      <c r="D204">
        <v>205.3</v>
      </c>
      <c r="E204">
        <v>1205</v>
      </c>
      <c r="F204" s="19">
        <f t="shared" si="61"/>
        <v>305.3</v>
      </c>
      <c r="G204" s="19">
        <f t="shared" si="62"/>
        <v>1205</v>
      </c>
      <c r="H204" s="24">
        <f t="shared" si="63"/>
        <v>-74.663900414937757</v>
      </c>
    </row>
    <row r="205" spans="1:8" x14ac:dyDescent="0.25">
      <c r="A205" s="10">
        <f t="shared" si="2"/>
        <v>40255</v>
      </c>
      <c r="B205">
        <v>100</v>
      </c>
      <c r="C205">
        <v>0</v>
      </c>
      <c r="D205">
        <v>205.3</v>
      </c>
      <c r="E205">
        <v>1205</v>
      </c>
      <c r="F205" s="19">
        <f t="shared" si="61"/>
        <v>305.3</v>
      </c>
      <c r="G205" s="19">
        <f t="shared" si="62"/>
        <v>1205</v>
      </c>
      <c r="H205" s="24">
        <f t="shared" si="63"/>
        <v>-74.663900414937757</v>
      </c>
    </row>
    <row r="206" spans="1:8" x14ac:dyDescent="0.25">
      <c r="A206" s="10">
        <f t="shared" si="2"/>
        <v>40262</v>
      </c>
      <c r="B206">
        <v>50</v>
      </c>
      <c r="C206">
        <v>0</v>
      </c>
      <c r="D206">
        <v>256.5</v>
      </c>
      <c r="E206">
        <v>1205</v>
      </c>
      <c r="F206" s="19">
        <f t="shared" si="61"/>
        <v>306.5</v>
      </c>
      <c r="G206" s="19">
        <f t="shared" si="62"/>
        <v>1205</v>
      </c>
      <c r="H206" s="24">
        <f t="shared" si="63"/>
        <v>-74.564315352697093</v>
      </c>
    </row>
    <row r="207" spans="1:8" x14ac:dyDescent="0.25">
      <c r="A207" s="10">
        <f t="shared" si="2"/>
        <v>40269</v>
      </c>
      <c r="B207">
        <v>0</v>
      </c>
      <c r="C207">
        <v>0</v>
      </c>
      <c r="D207">
        <v>306.7</v>
      </c>
      <c r="E207">
        <v>1205</v>
      </c>
      <c r="F207" s="19">
        <f t="shared" si="61"/>
        <v>306.7</v>
      </c>
      <c r="G207" s="19">
        <f t="shared" si="62"/>
        <v>1205</v>
      </c>
      <c r="H207" s="24">
        <f t="shared" si="63"/>
        <v>-74.547717842323664</v>
      </c>
    </row>
    <row r="208" spans="1:8" x14ac:dyDescent="0.25">
      <c r="A208" s="10">
        <f t="shared" si="2"/>
        <v>40276</v>
      </c>
      <c r="B208">
        <v>0</v>
      </c>
      <c r="C208">
        <v>0</v>
      </c>
      <c r="D208">
        <v>306.7</v>
      </c>
      <c r="E208">
        <v>1205</v>
      </c>
      <c r="F208" s="19">
        <f t="shared" si="61"/>
        <v>306.7</v>
      </c>
      <c r="G208" s="19">
        <f t="shared" si="62"/>
        <v>1205</v>
      </c>
      <c r="H208" s="24">
        <f t="shared" si="63"/>
        <v>-74.547717842323664</v>
      </c>
    </row>
    <row r="209" spans="1:8" x14ac:dyDescent="0.25">
      <c r="A209" s="10">
        <f t="shared" si="2"/>
        <v>40283</v>
      </c>
      <c r="B209">
        <v>0</v>
      </c>
      <c r="C209">
        <v>0</v>
      </c>
      <c r="D209">
        <v>306.7</v>
      </c>
      <c r="E209">
        <v>1205</v>
      </c>
      <c r="F209" s="19">
        <f t="shared" si="61"/>
        <v>306.7</v>
      </c>
      <c r="G209" s="19">
        <f t="shared" si="62"/>
        <v>1205</v>
      </c>
      <c r="H209" s="24">
        <f t="shared" si="63"/>
        <v>-74.547717842323664</v>
      </c>
    </row>
    <row r="210" spans="1:8" x14ac:dyDescent="0.25">
      <c r="A210" s="10">
        <f t="shared" si="2"/>
        <v>40290</v>
      </c>
      <c r="B210">
        <v>0</v>
      </c>
      <c r="C210">
        <v>0</v>
      </c>
      <c r="D210">
        <v>306.7</v>
      </c>
      <c r="E210">
        <v>1205</v>
      </c>
      <c r="F210" s="19">
        <f t="shared" si="61"/>
        <v>306.7</v>
      </c>
      <c r="G210" s="19">
        <f t="shared" si="62"/>
        <v>1205</v>
      </c>
      <c r="H210" s="24">
        <f t="shared" si="63"/>
        <v>-74.547717842323664</v>
      </c>
    </row>
    <row r="211" spans="1:8" x14ac:dyDescent="0.25">
      <c r="A211" s="10">
        <f t="shared" si="2"/>
        <v>40297</v>
      </c>
      <c r="B211">
        <v>0</v>
      </c>
      <c r="C211">
        <v>0</v>
      </c>
      <c r="D211">
        <v>306.7</v>
      </c>
      <c r="E211">
        <v>1205</v>
      </c>
      <c r="F211" s="19">
        <f t="shared" si="61"/>
        <v>306.7</v>
      </c>
      <c r="G211" s="19">
        <f t="shared" si="62"/>
        <v>1205</v>
      </c>
      <c r="H211" s="24">
        <f t="shared" si="63"/>
        <v>-74.547717842323664</v>
      </c>
    </row>
    <row r="212" spans="1:8" x14ac:dyDescent="0.25">
      <c r="A212" s="10">
        <f t="shared" si="2"/>
        <v>40304</v>
      </c>
      <c r="B212">
        <v>0</v>
      </c>
      <c r="C212">
        <v>0</v>
      </c>
      <c r="D212">
        <v>306.7</v>
      </c>
      <c r="E212">
        <v>1205</v>
      </c>
      <c r="F212" s="19">
        <f t="shared" si="61"/>
        <v>306.7</v>
      </c>
      <c r="G212" s="19">
        <f t="shared" si="62"/>
        <v>1205</v>
      </c>
      <c r="H212" s="24">
        <f t="shared" si="63"/>
        <v>-74.547717842323664</v>
      </c>
    </row>
    <row r="213" spans="1:8" x14ac:dyDescent="0.25">
      <c r="A213" s="10">
        <f t="shared" si="2"/>
        <v>40311</v>
      </c>
      <c r="B213">
        <v>0</v>
      </c>
      <c r="C213">
        <v>0</v>
      </c>
      <c r="D213">
        <v>306.7</v>
      </c>
      <c r="E213">
        <v>1205</v>
      </c>
      <c r="F213" s="19">
        <f t="shared" si="61"/>
        <v>306.7</v>
      </c>
      <c r="G213" s="19">
        <f t="shared" si="62"/>
        <v>1205</v>
      </c>
      <c r="H213" s="24">
        <f t="shared" si="63"/>
        <v>-74.547717842323664</v>
      </c>
    </row>
    <row r="214" spans="1:8" x14ac:dyDescent="0.25">
      <c r="A214" s="10">
        <f t="shared" si="2"/>
        <v>40318</v>
      </c>
      <c r="B214">
        <v>0</v>
      </c>
      <c r="C214">
        <v>0</v>
      </c>
      <c r="D214">
        <v>306.7</v>
      </c>
      <c r="E214">
        <v>1205</v>
      </c>
      <c r="F214" s="19">
        <f t="shared" si="61"/>
        <v>306.7</v>
      </c>
      <c r="G214" s="19">
        <f t="shared" si="62"/>
        <v>1205</v>
      </c>
      <c r="H214" s="24">
        <f t="shared" si="63"/>
        <v>-74.547717842323664</v>
      </c>
    </row>
    <row r="215" spans="1:8" x14ac:dyDescent="0.25">
      <c r="A215" s="10">
        <f t="shared" si="2"/>
        <v>40325</v>
      </c>
      <c r="B215">
        <v>0</v>
      </c>
      <c r="C215">
        <v>0</v>
      </c>
      <c r="D215">
        <v>306.7</v>
      </c>
      <c r="E215">
        <v>1205</v>
      </c>
      <c r="F215" s="19">
        <f t="shared" si="61"/>
        <v>306.7</v>
      </c>
      <c r="G215" s="19">
        <f t="shared" si="62"/>
        <v>1205</v>
      </c>
      <c r="H215" s="24">
        <f t="shared" si="63"/>
        <v>-74.547717842323664</v>
      </c>
    </row>
    <row r="216" spans="1:8" x14ac:dyDescent="0.25">
      <c r="A216" s="43" t="s">
        <v>173</v>
      </c>
    </row>
    <row r="217" spans="1:8" x14ac:dyDescent="0.25">
      <c r="A217" s="10">
        <f>+A215+7</f>
        <v>40332</v>
      </c>
      <c r="B217">
        <v>94</v>
      </c>
      <c r="C217">
        <v>55.3</v>
      </c>
      <c r="D217">
        <v>0</v>
      </c>
      <c r="E217">
        <v>0</v>
      </c>
      <c r="F217" s="19">
        <f t="shared" ref="F217:F248" si="64">+B217+D217</f>
        <v>94</v>
      </c>
      <c r="G217" s="19">
        <f t="shared" ref="G217:G248" si="65">+C217+E217</f>
        <v>55.3</v>
      </c>
      <c r="H217" s="24">
        <f t="shared" ref="H217:H248" si="66">+(F217/G217-1)*100</f>
        <v>69.98191681735986</v>
      </c>
    </row>
    <row r="218" spans="1:8" x14ac:dyDescent="0.25">
      <c r="A218" s="10">
        <f t="shared" ref="A218:A281" si="67">+A217+7</f>
        <v>40339</v>
      </c>
      <c r="B218">
        <v>78.5</v>
      </c>
      <c r="C218">
        <v>50.3</v>
      </c>
      <c r="D218">
        <v>27</v>
      </c>
      <c r="E218">
        <v>18.600000000000001</v>
      </c>
      <c r="F218" s="19">
        <f t="shared" si="64"/>
        <v>105.5</v>
      </c>
      <c r="G218" s="19">
        <f t="shared" si="65"/>
        <v>68.900000000000006</v>
      </c>
      <c r="H218" s="24">
        <f t="shared" si="66"/>
        <v>53.120464441219141</v>
      </c>
    </row>
    <row r="219" spans="1:8" x14ac:dyDescent="0.25">
      <c r="A219" s="10">
        <f t="shared" si="67"/>
        <v>40346</v>
      </c>
      <c r="B219">
        <v>78.900000000000006</v>
      </c>
      <c r="C219">
        <v>50.3</v>
      </c>
      <c r="D219">
        <v>27</v>
      </c>
      <c r="E219">
        <v>18.600000000000001</v>
      </c>
      <c r="F219" s="19">
        <f t="shared" si="64"/>
        <v>105.9</v>
      </c>
      <c r="G219" s="19">
        <f t="shared" si="65"/>
        <v>68.900000000000006</v>
      </c>
      <c r="H219" s="24">
        <f t="shared" si="66"/>
        <v>53.701015965166896</v>
      </c>
    </row>
    <row r="220" spans="1:8" x14ac:dyDescent="0.25">
      <c r="A220" s="10">
        <f t="shared" si="67"/>
        <v>40353</v>
      </c>
      <c r="B220">
        <v>73</v>
      </c>
      <c r="C220">
        <v>50.3</v>
      </c>
      <c r="D220">
        <v>38.9</v>
      </c>
      <c r="E220">
        <v>18.600000000000001</v>
      </c>
      <c r="F220" s="19">
        <f t="shared" si="64"/>
        <v>111.9</v>
      </c>
      <c r="G220" s="19">
        <f t="shared" si="65"/>
        <v>68.900000000000006</v>
      </c>
      <c r="H220" s="24">
        <f t="shared" si="66"/>
        <v>62.409288824383168</v>
      </c>
    </row>
    <row r="221" spans="1:8" x14ac:dyDescent="0.25">
      <c r="A221" s="10">
        <f t="shared" si="67"/>
        <v>40360</v>
      </c>
      <c r="B221">
        <v>101.5</v>
      </c>
      <c r="C221">
        <v>89.8</v>
      </c>
      <c r="D221">
        <v>38.9</v>
      </c>
      <c r="E221">
        <v>34.6</v>
      </c>
      <c r="F221" s="19">
        <f t="shared" si="64"/>
        <v>140.4</v>
      </c>
      <c r="G221" s="19">
        <f t="shared" si="65"/>
        <v>124.4</v>
      </c>
      <c r="H221" s="24">
        <f t="shared" si="66"/>
        <v>12.861736334405149</v>
      </c>
    </row>
    <row r="222" spans="1:8" x14ac:dyDescent="0.25">
      <c r="A222" s="10">
        <f t="shared" si="67"/>
        <v>40367</v>
      </c>
      <c r="B222">
        <v>101.5</v>
      </c>
      <c r="C222">
        <v>89.8</v>
      </c>
      <c r="D222">
        <v>38.9</v>
      </c>
      <c r="E222">
        <v>34.6</v>
      </c>
      <c r="F222" s="19">
        <f t="shared" si="64"/>
        <v>140.4</v>
      </c>
      <c r="G222" s="19">
        <f t="shared" si="65"/>
        <v>124.4</v>
      </c>
      <c r="H222" s="24">
        <f t="shared" si="66"/>
        <v>12.861736334405149</v>
      </c>
    </row>
    <row r="223" spans="1:8" x14ac:dyDescent="0.25">
      <c r="A223" s="10">
        <f t="shared" si="67"/>
        <v>40374</v>
      </c>
      <c r="B223">
        <v>106.7</v>
      </c>
      <c r="C223">
        <v>98.8</v>
      </c>
      <c r="D223">
        <v>38.9</v>
      </c>
      <c r="E223">
        <v>34.6</v>
      </c>
      <c r="F223" s="19">
        <f t="shared" si="64"/>
        <v>145.6</v>
      </c>
      <c r="G223" s="19">
        <f t="shared" si="65"/>
        <v>133.4</v>
      </c>
      <c r="H223" s="24">
        <f t="shared" si="66"/>
        <v>9.14542728635681</v>
      </c>
    </row>
    <row r="224" spans="1:8" x14ac:dyDescent="0.25">
      <c r="A224" s="10">
        <f t="shared" si="67"/>
        <v>40381</v>
      </c>
      <c r="B224">
        <v>132.69999999999999</v>
      </c>
      <c r="C224">
        <v>90.8</v>
      </c>
      <c r="D224">
        <v>38.9</v>
      </c>
      <c r="E224">
        <v>46.6</v>
      </c>
      <c r="F224" s="19">
        <f t="shared" si="64"/>
        <v>171.6</v>
      </c>
      <c r="G224" s="19">
        <f t="shared" si="65"/>
        <v>137.4</v>
      </c>
      <c r="H224" s="24">
        <f t="shared" si="66"/>
        <v>24.890829694323124</v>
      </c>
    </row>
    <row r="225" spans="1:8" x14ac:dyDescent="0.25">
      <c r="A225" s="10">
        <f t="shared" si="67"/>
        <v>40388</v>
      </c>
      <c r="B225">
        <v>126.7</v>
      </c>
      <c r="C225">
        <v>112.9</v>
      </c>
      <c r="D225">
        <v>44.9</v>
      </c>
      <c r="E225">
        <v>58.1</v>
      </c>
      <c r="F225" s="19">
        <f t="shared" si="64"/>
        <v>171.6</v>
      </c>
      <c r="G225" s="19">
        <f t="shared" si="65"/>
        <v>171</v>
      </c>
      <c r="H225" s="24">
        <f t="shared" si="66"/>
        <v>0.35087719298245723</v>
      </c>
    </row>
    <row r="226" spans="1:8" x14ac:dyDescent="0.25">
      <c r="A226" s="10">
        <f t="shared" si="67"/>
        <v>40395</v>
      </c>
      <c r="B226">
        <v>126.7</v>
      </c>
      <c r="C226">
        <v>112.9</v>
      </c>
      <c r="D226">
        <v>44.9</v>
      </c>
      <c r="E226">
        <v>58.1</v>
      </c>
      <c r="F226" s="19">
        <f t="shared" si="64"/>
        <v>171.6</v>
      </c>
      <c r="G226" s="19">
        <f t="shared" si="65"/>
        <v>171</v>
      </c>
      <c r="H226" s="24">
        <f t="shared" si="66"/>
        <v>0.35087719298245723</v>
      </c>
    </row>
    <row r="227" spans="1:8" x14ac:dyDescent="0.25">
      <c r="A227" s="10">
        <f t="shared" si="67"/>
        <v>40402</v>
      </c>
      <c r="B227">
        <v>107</v>
      </c>
      <c r="C227">
        <v>109.9</v>
      </c>
      <c r="D227">
        <v>65.3</v>
      </c>
      <c r="E227">
        <v>74.3</v>
      </c>
      <c r="F227" s="19">
        <f t="shared" si="64"/>
        <v>172.3</v>
      </c>
      <c r="G227" s="19">
        <f t="shared" si="65"/>
        <v>184.2</v>
      </c>
      <c r="H227" s="24">
        <f t="shared" si="66"/>
        <v>-6.4603691639522172</v>
      </c>
    </row>
    <row r="228" spans="1:8" x14ac:dyDescent="0.25">
      <c r="A228" s="10">
        <f t="shared" si="67"/>
        <v>40409</v>
      </c>
      <c r="B228">
        <v>155</v>
      </c>
      <c r="C228">
        <v>96.6</v>
      </c>
      <c r="D228">
        <v>65.3</v>
      </c>
      <c r="E228">
        <v>88.3</v>
      </c>
      <c r="F228" s="19">
        <f t="shared" si="64"/>
        <v>220.3</v>
      </c>
      <c r="G228" s="19">
        <f t="shared" si="65"/>
        <v>184.89999999999998</v>
      </c>
      <c r="H228" s="24">
        <f t="shared" si="66"/>
        <v>19.145484045429974</v>
      </c>
    </row>
    <row r="229" spans="1:8" x14ac:dyDescent="0.25">
      <c r="A229" s="10">
        <f t="shared" si="67"/>
        <v>40416</v>
      </c>
      <c r="B229">
        <v>170.9</v>
      </c>
      <c r="C229">
        <v>96.6</v>
      </c>
      <c r="D229">
        <v>65.3</v>
      </c>
      <c r="E229">
        <v>88.3</v>
      </c>
      <c r="F229" s="19">
        <f t="shared" si="64"/>
        <v>236.2</v>
      </c>
      <c r="G229" s="19">
        <f t="shared" si="65"/>
        <v>184.89999999999998</v>
      </c>
      <c r="H229" s="24">
        <f t="shared" si="66"/>
        <v>27.744726879394264</v>
      </c>
    </row>
    <row r="230" spans="1:8" x14ac:dyDescent="0.25">
      <c r="A230" s="10">
        <f t="shared" si="67"/>
        <v>40423</v>
      </c>
      <c r="B230">
        <v>158.9</v>
      </c>
      <c r="C230">
        <v>93.1</v>
      </c>
      <c r="D230">
        <v>77.3</v>
      </c>
      <c r="E230">
        <v>103.7</v>
      </c>
      <c r="F230" s="19">
        <f t="shared" si="64"/>
        <v>236.2</v>
      </c>
      <c r="G230" s="19">
        <f t="shared" si="65"/>
        <v>196.8</v>
      </c>
      <c r="H230" s="24">
        <f t="shared" si="66"/>
        <v>20.02032520325201</v>
      </c>
    </row>
    <row r="231" spans="1:8" x14ac:dyDescent="0.25">
      <c r="A231" s="10">
        <f t="shared" si="67"/>
        <v>40430</v>
      </c>
      <c r="B231">
        <v>159.9</v>
      </c>
      <c r="C231">
        <v>65.099999999999994</v>
      </c>
      <c r="D231">
        <v>77.3</v>
      </c>
      <c r="E231">
        <v>149.6</v>
      </c>
      <c r="F231" s="19">
        <f t="shared" si="64"/>
        <v>237.2</v>
      </c>
      <c r="G231" s="19">
        <f t="shared" si="65"/>
        <v>214.7</v>
      </c>
      <c r="H231" s="24">
        <f t="shared" si="66"/>
        <v>10.479739170936186</v>
      </c>
    </row>
    <row r="232" spans="1:8" x14ac:dyDescent="0.25">
      <c r="A232" s="10">
        <f t="shared" si="67"/>
        <v>40437</v>
      </c>
      <c r="B232">
        <v>159.9</v>
      </c>
      <c r="C232">
        <v>67.599999999999994</v>
      </c>
      <c r="D232">
        <v>77.3</v>
      </c>
      <c r="E232">
        <v>149.6</v>
      </c>
      <c r="F232" s="19">
        <f t="shared" si="64"/>
        <v>237.2</v>
      </c>
      <c r="G232" s="19">
        <f t="shared" si="65"/>
        <v>217.2</v>
      </c>
      <c r="H232" s="24">
        <f t="shared" si="66"/>
        <v>9.2081031307550631</v>
      </c>
    </row>
    <row r="233" spans="1:8" x14ac:dyDescent="0.25">
      <c r="A233" s="10">
        <f t="shared" si="67"/>
        <v>40444</v>
      </c>
      <c r="B233">
        <v>170.9</v>
      </c>
      <c r="C233">
        <v>110.1</v>
      </c>
      <c r="D233">
        <v>77.3</v>
      </c>
      <c r="E233">
        <v>149.6</v>
      </c>
      <c r="F233" s="19">
        <f t="shared" si="64"/>
        <v>248.2</v>
      </c>
      <c r="G233" s="19">
        <f t="shared" si="65"/>
        <v>259.7</v>
      </c>
      <c r="H233" s="24">
        <f t="shared" si="66"/>
        <v>-4.428186368887177</v>
      </c>
    </row>
    <row r="234" spans="1:8" x14ac:dyDescent="0.25">
      <c r="A234" s="10">
        <f t="shared" si="67"/>
        <v>40451</v>
      </c>
      <c r="B234">
        <v>146.9</v>
      </c>
      <c r="C234">
        <v>110.1</v>
      </c>
      <c r="D234">
        <v>105.4</v>
      </c>
      <c r="E234">
        <v>149.6</v>
      </c>
      <c r="F234" s="19">
        <f t="shared" si="64"/>
        <v>252.3</v>
      </c>
      <c r="G234" s="19">
        <f t="shared" si="65"/>
        <v>259.7</v>
      </c>
      <c r="H234" s="24">
        <f t="shared" si="66"/>
        <v>-2.8494416634578301</v>
      </c>
    </row>
    <row r="235" spans="1:8" x14ac:dyDescent="0.25">
      <c r="A235" s="10">
        <f t="shared" si="67"/>
        <v>40458</v>
      </c>
      <c r="B235">
        <v>166.9</v>
      </c>
      <c r="C235">
        <v>93.1</v>
      </c>
      <c r="D235">
        <v>105.4</v>
      </c>
      <c r="E235">
        <v>179.3</v>
      </c>
      <c r="F235" s="19">
        <f t="shared" si="64"/>
        <v>272.3</v>
      </c>
      <c r="G235" s="19">
        <f t="shared" si="65"/>
        <v>272.39999999999998</v>
      </c>
      <c r="H235" s="24">
        <f t="shared" si="66"/>
        <v>-3.6710719530086422E-2</v>
      </c>
    </row>
    <row r="236" spans="1:8" x14ac:dyDescent="0.25">
      <c r="A236" s="10">
        <f t="shared" si="67"/>
        <v>40465</v>
      </c>
      <c r="B236">
        <v>143.19999999999999</v>
      </c>
      <c r="C236">
        <v>93.1</v>
      </c>
      <c r="D236">
        <v>125.4</v>
      </c>
      <c r="E236">
        <v>179.3</v>
      </c>
      <c r="F236" s="19">
        <f t="shared" si="64"/>
        <v>268.60000000000002</v>
      </c>
      <c r="G236" s="19">
        <f t="shared" si="65"/>
        <v>272.39999999999998</v>
      </c>
      <c r="H236" s="24">
        <f t="shared" si="66"/>
        <v>-1.3950073421438947</v>
      </c>
    </row>
    <row r="237" spans="1:8" x14ac:dyDescent="0.25">
      <c r="A237" s="10">
        <f t="shared" si="67"/>
        <v>40472</v>
      </c>
      <c r="B237">
        <v>157.5</v>
      </c>
      <c r="C237">
        <v>78</v>
      </c>
      <c r="D237">
        <v>125.4</v>
      </c>
      <c r="E237">
        <v>216.1</v>
      </c>
      <c r="F237" s="19">
        <f t="shared" si="64"/>
        <v>282.89999999999998</v>
      </c>
      <c r="G237" s="19">
        <f t="shared" si="65"/>
        <v>294.10000000000002</v>
      </c>
      <c r="H237" s="24">
        <f t="shared" si="66"/>
        <v>-3.8082284937096422</v>
      </c>
    </row>
    <row r="238" spans="1:8" x14ac:dyDescent="0.25">
      <c r="A238" s="10">
        <f t="shared" si="67"/>
        <v>40479</v>
      </c>
      <c r="B238">
        <v>170.5</v>
      </c>
      <c r="C238">
        <v>71.400000000000006</v>
      </c>
      <c r="D238">
        <v>125.4</v>
      </c>
      <c r="E238">
        <v>222.3</v>
      </c>
      <c r="F238" s="19">
        <f t="shared" si="64"/>
        <v>295.89999999999998</v>
      </c>
      <c r="G238" s="19">
        <f t="shared" si="65"/>
        <v>293.70000000000005</v>
      </c>
      <c r="H238" s="24">
        <f t="shared" si="66"/>
        <v>0.74906367041196464</v>
      </c>
    </row>
    <row r="239" spans="1:8" x14ac:dyDescent="0.25">
      <c r="A239" s="10">
        <f t="shared" si="67"/>
        <v>40486</v>
      </c>
      <c r="B239">
        <v>187.5</v>
      </c>
      <c r="C239">
        <v>92.4</v>
      </c>
      <c r="D239">
        <v>143.4</v>
      </c>
      <c r="E239">
        <v>222.3</v>
      </c>
      <c r="F239" s="19">
        <f t="shared" si="64"/>
        <v>330.9</v>
      </c>
      <c r="G239" s="19">
        <f t="shared" si="65"/>
        <v>314.70000000000005</v>
      </c>
      <c r="H239" s="24">
        <f t="shared" si="66"/>
        <v>5.1477597712106471</v>
      </c>
    </row>
    <row r="240" spans="1:8" x14ac:dyDescent="0.25">
      <c r="A240" s="10">
        <f t="shared" si="67"/>
        <v>40493</v>
      </c>
      <c r="B240">
        <v>154.5</v>
      </c>
      <c r="C240">
        <v>104.4</v>
      </c>
      <c r="D240">
        <v>170.4</v>
      </c>
      <c r="E240">
        <v>222.3</v>
      </c>
      <c r="F240" s="19">
        <f t="shared" si="64"/>
        <v>324.89999999999998</v>
      </c>
      <c r="G240" s="19">
        <f t="shared" si="65"/>
        <v>326.70000000000005</v>
      </c>
      <c r="H240" s="24">
        <f t="shared" si="66"/>
        <v>-0.55096418732784036</v>
      </c>
    </row>
    <row r="241" spans="1:9" x14ac:dyDescent="0.25">
      <c r="A241" s="10">
        <f t="shared" si="67"/>
        <v>40500</v>
      </c>
      <c r="B241">
        <v>189.5</v>
      </c>
      <c r="C241">
        <v>122.4</v>
      </c>
      <c r="D241">
        <v>170.4</v>
      </c>
      <c r="E241">
        <v>222.3</v>
      </c>
      <c r="F241" s="19">
        <f t="shared" si="64"/>
        <v>359.9</v>
      </c>
      <c r="G241" s="19">
        <f t="shared" si="65"/>
        <v>344.70000000000005</v>
      </c>
      <c r="H241" s="24">
        <f t="shared" si="66"/>
        <v>4.409631563678551</v>
      </c>
    </row>
    <row r="242" spans="1:9" x14ac:dyDescent="0.25">
      <c r="A242" s="10">
        <f t="shared" si="67"/>
        <v>40507</v>
      </c>
      <c r="B242">
        <v>226.1</v>
      </c>
      <c r="C242">
        <v>104.4</v>
      </c>
      <c r="D242">
        <v>176.4</v>
      </c>
      <c r="E242">
        <v>241.1</v>
      </c>
      <c r="F242" s="19">
        <f t="shared" si="64"/>
        <v>402.5</v>
      </c>
      <c r="G242" s="19">
        <f t="shared" si="65"/>
        <v>345.5</v>
      </c>
      <c r="H242" s="24">
        <f t="shared" si="66"/>
        <v>16.497829232995652</v>
      </c>
    </row>
    <row r="243" spans="1:9" x14ac:dyDescent="0.25">
      <c r="A243" s="10">
        <f t="shared" si="67"/>
        <v>40514</v>
      </c>
      <c r="B243">
        <v>208.6</v>
      </c>
      <c r="C243">
        <v>102.2</v>
      </c>
      <c r="D243">
        <v>193.6</v>
      </c>
      <c r="E243">
        <v>260.2</v>
      </c>
      <c r="F243" s="19">
        <f t="shared" si="64"/>
        <v>402.2</v>
      </c>
      <c r="G243" s="19">
        <f t="shared" si="65"/>
        <v>362.4</v>
      </c>
      <c r="H243" s="24">
        <f t="shared" si="66"/>
        <v>10.982339955849895</v>
      </c>
    </row>
    <row r="244" spans="1:9" x14ac:dyDescent="0.25">
      <c r="A244" s="10">
        <f t="shared" si="67"/>
        <v>40521</v>
      </c>
      <c r="B244">
        <v>245.6</v>
      </c>
      <c r="C244">
        <v>119.2</v>
      </c>
      <c r="D244">
        <v>208.6</v>
      </c>
      <c r="E244">
        <v>260.2</v>
      </c>
      <c r="F244" s="19">
        <f t="shared" si="64"/>
        <v>454.2</v>
      </c>
      <c r="G244" s="19">
        <f t="shared" si="65"/>
        <v>379.4</v>
      </c>
      <c r="H244" s="24">
        <f t="shared" si="66"/>
        <v>19.71534001054296</v>
      </c>
    </row>
    <row r="245" spans="1:9" x14ac:dyDescent="0.25">
      <c r="A245" s="10">
        <f t="shared" si="67"/>
        <v>40528</v>
      </c>
      <c r="B245">
        <v>225.9</v>
      </c>
      <c r="C245">
        <v>121.2</v>
      </c>
      <c r="D245">
        <v>228.5</v>
      </c>
      <c r="E245">
        <v>260.2</v>
      </c>
      <c r="F245" s="19">
        <f t="shared" si="64"/>
        <v>454.4</v>
      </c>
      <c r="G245" s="19">
        <f t="shared" si="65"/>
        <v>381.4</v>
      </c>
      <c r="H245" s="24">
        <f t="shared" si="66"/>
        <v>19.140010487676975</v>
      </c>
    </row>
    <row r="246" spans="1:9" x14ac:dyDescent="0.25">
      <c r="A246" s="10">
        <f t="shared" si="67"/>
        <v>40535</v>
      </c>
      <c r="B246">
        <v>239.9</v>
      </c>
      <c r="C246">
        <v>142.19999999999999</v>
      </c>
      <c r="D246">
        <v>248.2</v>
      </c>
      <c r="E246">
        <v>278</v>
      </c>
      <c r="F246" s="19">
        <f t="shared" si="64"/>
        <v>488.1</v>
      </c>
      <c r="G246" s="19">
        <f t="shared" si="65"/>
        <v>420.2</v>
      </c>
      <c r="H246" s="24">
        <f t="shared" si="66"/>
        <v>16.158971918134224</v>
      </c>
    </row>
    <row r="247" spans="1:9" x14ac:dyDescent="0.25">
      <c r="A247" s="10">
        <f t="shared" si="67"/>
        <v>40542</v>
      </c>
      <c r="B247">
        <v>239.9</v>
      </c>
      <c r="C247">
        <v>135.5</v>
      </c>
      <c r="D247">
        <v>248.2</v>
      </c>
      <c r="E247">
        <v>284.2</v>
      </c>
      <c r="F247" s="19">
        <f t="shared" si="64"/>
        <v>488.1</v>
      </c>
      <c r="G247" s="19">
        <f t="shared" si="65"/>
        <v>419.7</v>
      </c>
      <c r="H247" s="24">
        <f t="shared" si="66"/>
        <v>16.297355253752688</v>
      </c>
    </row>
    <row r="248" spans="1:9" x14ac:dyDescent="0.25">
      <c r="A248" s="10">
        <f t="shared" si="67"/>
        <v>40549</v>
      </c>
      <c r="B248">
        <v>227.3</v>
      </c>
      <c r="C248">
        <v>135.5</v>
      </c>
      <c r="D248">
        <v>260.8</v>
      </c>
      <c r="E248">
        <v>284.2</v>
      </c>
      <c r="F248" s="19">
        <f t="shared" si="64"/>
        <v>488.1</v>
      </c>
      <c r="G248" s="19">
        <f t="shared" si="65"/>
        <v>419.7</v>
      </c>
      <c r="H248" s="24">
        <f t="shared" si="66"/>
        <v>16.297355253752688</v>
      </c>
    </row>
    <row r="249" spans="1:9" x14ac:dyDescent="0.25">
      <c r="A249" s="10">
        <f t="shared" si="67"/>
        <v>40556</v>
      </c>
      <c r="B249">
        <v>264.3</v>
      </c>
      <c r="C249">
        <v>156</v>
      </c>
      <c r="D249">
        <v>271.8</v>
      </c>
      <c r="E249">
        <v>310.7</v>
      </c>
      <c r="F249" s="19">
        <f t="shared" ref="F249:F268" si="68">+B249+D249</f>
        <v>536.1</v>
      </c>
      <c r="G249" s="19">
        <f t="shared" ref="G249:G268" si="69">+C249+E249</f>
        <v>466.7</v>
      </c>
      <c r="H249" s="24">
        <f t="shared" ref="H249:H268" si="70">+(F249/G249-1)*100</f>
        <v>14.870366402399826</v>
      </c>
    </row>
    <row r="250" spans="1:9" x14ac:dyDescent="0.25">
      <c r="A250" s="10">
        <f t="shared" si="67"/>
        <v>40563</v>
      </c>
      <c r="B250">
        <v>287.89999999999998</v>
      </c>
      <c r="C250">
        <v>161.5</v>
      </c>
      <c r="D250">
        <v>297.3</v>
      </c>
      <c r="E250">
        <v>323.3</v>
      </c>
      <c r="F250" s="19">
        <f t="shared" si="68"/>
        <v>585.20000000000005</v>
      </c>
      <c r="G250" s="19">
        <f t="shared" si="69"/>
        <v>484.8</v>
      </c>
      <c r="H250" s="24">
        <f t="shared" si="70"/>
        <v>20.709570957095714</v>
      </c>
      <c r="I250">
        <v>8.5</v>
      </c>
    </row>
    <row r="251" spans="1:9" x14ac:dyDescent="0.25">
      <c r="A251" s="10">
        <f t="shared" si="67"/>
        <v>40570</v>
      </c>
      <c r="B251">
        <v>294.2</v>
      </c>
      <c r="C251">
        <v>117</v>
      </c>
      <c r="D251">
        <v>297.3</v>
      </c>
      <c r="E251">
        <v>371.6</v>
      </c>
      <c r="F251" s="19">
        <f t="shared" si="68"/>
        <v>591.5</v>
      </c>
      <c r="G251" s="19">
        <f t="shared" si="69"/>
        <v>488.6</v>
      </c>
      <c r="H251" s="24">
        <f t="shared" si="70"/>
        <v>21.060171919770767</v>
      </c>
      <c r="I251">
        <v>8.5</v>
      </c>
    </row>
    <row r="252" spans="1:9" x14ac:dyDescent="0.25">
      <c r="A252" s="10">
        <f t="shared" si="67"/>
        <v>40577</v>
      </c>
      <c r="B252">
        <v>270.7</v>
      </c>
      <c r="C252">
        <v>135</v>
      </c>
      <c r="D252">
        <v>323.60000000000002</v>
      </c>
      <c r="E252">
        <v>371.6</v>
      </c>
      <c r="F252" s="19">
        <f t="shared" si="68"/>
        <v>594.29999999999995</v>
      </c>
      <c r="G252" s="19">
        <f t="shared" si="69"/>
        <v>506.6</v>
      </c>
      <c r="H252" s="24">
        <f t="shared" si="70"/>
        <v>17.311488353730731</v>
      </c>
      <c r="I252">
        <v>8.5</v>
      </c>
    </row>
    <row r="253" spans="1:9" x14ac:dyDescent="0.25">
      <c r="A253" s="10">
        <f t="shared" si="67"/>
        <v>40584</v>
      </c>
      <c r="B253">
        <v>286.89999999999998</v>
      </c>
      <c r="C253">
        <v>124</v>
      </c>
      <c r="D253">
        <v>323.60000000000002</v>
      </c>
      <c r="E253">
        <v>382.4</v>
      </c>
      <c r="F253" s="19">
        <f t="shared" si="68"/>
        <v>610.5</v>
      </c>
      <c r="G253" s="19">
        <f t="shared" si="69"/>
        <v>506.4</v>
      </c>
      <c r="H253" s="24">
        <f t="shared" si="70"/>
        <v>20.556872037914697</v>
      </c>
      <c r="I253">
        <v>23.5</v>
      </c>
    </row>
    <row r="254" spans="1:9" x14ac:dyDescent="0.25">
      <c r="A254" s="10">
        <f t="shared" si="67"/>
        <v>40591</v>
      </c>
      <c r="B254">
        <v>284.3</v>
      </c>
      <c r="C254">
        <v>137.80000000000001</v>
      </c>
      <c r="D254">
        <v>333.3</v>
      </c>
      <c r="E254">
        <v>382.4</v>
      </c>
      <c r="F254" s="19">
        <f t="shared" si="68"/>
        <v>617.6</v>
      </c>
      <c r="G254" s="19">
        <f t="shared" si="69"/>
        <v>520.20000000000005</v>
      </c>
      <c r="H254" s="24">
        <f t="shared" si="70"/>
        <v>18.723567858515942</v>
      </c>
      <c r="I254">
        <v>23.5</v>
      </c>
    </row>
    <row r="255" spans="1:9" x14ac:dyDescent="0.25">
      <c r="A255" s="10">
        <f t="shared" si="67"/>
        <v>40598</v>
      </c>
      <c r="B255">
        <v>232</v>
      </c>
      <c r="C255">
        <v>164.3</v>
      </c>
      <c r="D255">
        <v>391</v>
      </c>
      <c r="E255">
        <v>382.4</v>
      </c>
      <c r="F255" s="19">
        <f t="shared" si="68"/>
        <v>623</v>
      </c>
      <c r="G255" s="19">
        <f t="shared" si="69"/>
        <v>546.70000000000005</v>
      </c>
      <c r="H255" s="24">
        <f t="shared" si="70"/>
        <v>13.956466069142115</v>
      </c>
      <c r="I255">
        <v>23.5</v>
      </c>
    </row>
    <row r="256" spans="1:9" x14ac:dyDescent="0.25">
      <c r="A256" s="10">
        <f t="shared" si="67"/>
        <v>40605</v>
      </c>
      <c r="B256">
        <v>232</v>
      </c>
      <c r="C256">
        <v>209.4</v>
      </c>
      <c r="D256">
        <v>391</v>
      </c>
      <c r="E256">
        <v>382.4</v>
      </c>
      <c r="F256" s="19">
        <f t="shared" si="68"/>
        <v>623</v>
      </c>
      <c r="G256" s="19">
        <f t="shared" si="69"/>
        <v>591.79999999999995</v>
      </c>
      <c r="H256" s="24">
        <f t="shared" si="70"/>
        <v>5.2720513687056547</v>
      </c>
      <c r="I256">
        <v>23.5</v>
      </c>
    </row>
    <row r="257" spans="1:9" x14ac:dyDescent="0.25">
      <c r="A257" s="10">
        <f t="shared" si="67"/>
        <v>40612</v>
      </c>
      <c r="B257">
        <v>232</v>
      </c>
      <c r="C257">
        <v>221.5</v>
      </c>
      <c r="D257">
        <v>391</v>
      </c>
      <c r="E257">
        <v>397.8</v>
      </c>
      <c r="F257" s="19">
        <f t="shared" si="68"/>
        <v>623</v>
      </c>
      <c r="G257" s="19">
        <f t="shared" si="69"/>
        <v>619.29999999999995</v>
      </c>
      <c r="H257" s="24">
        <f t="shared" si="70"/>
        <v>0.59744873243985364</v>
      </c>
      <c r="I257">
        <v>23.5</v>
      </c>
    </row>
    <row r="258" spans="1:9" x14ac:dyDescent="0.25">
      <c r="A258" s="10">
        <f t="shared" si="67"/>
        <v>40619</v>
      </c>
      <c r="B258">
        <v>199</v>
      </c>
      <c r="C258">
        <v>234.3</v>
      </c>
      <c r="D258">
        <v>424.3</v>
      </c>
      <c r="E258">
        <v>420.1</v>
      </c>
      <c r="F258" s="19">
        <f t="shared" si="68"/>
        <v>623.29999999999995</v>
      </c>
      <c r="G258" s="19">
        <f t="shared" si="69"/>
        <v>654.40000000000009</v>
      </c>
      <c r="H258" s="24">
        <f t="shared" si="70"/>
        <v>-4.7524449877750836</v>
      </c>
      <c r="I258">
        <v>23.5</v>
      </c>
    </row>
    <row r="259" spans="1:9" x14ac:dyDescent="0.25">
      <c r="A259" s="10">
        <f t="shared" si="67"/>
        <v>40626</v>
      </c>
      <c r="B259">
        <v>119</v>
      </c>
      <c r="C259">
        <v>249.3</v>
      </c>
      <c r="D259">
        <v>466.9</v>
      </c>
      <c r="E259">
        <v>420.1</v>
      </c>
      <c r="F259" s="19">
        <f t="shared" si="68"/>
        <v>585.9</v>
      </c>
      <c r="G259" s="19">
        <f t="shared" si="69"/>
        <v>669.40000000000009</v>
      </c>
      <c r="H259" s="24">
        <f t="shared" si="70"/>
        <v>-12.473857185539305</v>
      </c>
      <c r="I259">
        <v>40</v>
      </c>
    </row>
    <row r="260" spans="1:9" x14ac:dyDescent="0.25">
      <c r="A260" s="10">
        <f t="shared" si="67"/>
        <v>40633</v>
      </c>
      <c r="B260">
        <v>122</v>
      </c>
      <c r="C260">
        <v>241.3</v>
      </c>
      <c r="D260">
        <v>466.9</v>
      </c>
      <c r="E260">
        <v>436.1</v>
      </c>
      <c r="F260" s="19">
        <f t="shared" si="68"/>
        <v>588.9</v>
      </c>
      <c r="G260" s="19">
        <f t="shared" si="69"/>
        <v>677.40000000000009</v>
      </c>
      <c r="H260" s="24">
        <f t="shared" si="70"/>
        <v>-13.064658990256884</v>
      </c>
      <c r="I260">
        <v>66</v>
      </c>
    </row>
    <row r="261" spans="1:9" x14ac:dyDescent="0.25">
      <c r="A261" s="10">
        <f t="shared" si="67"/>
        <v>40640</v>
      </c>
      <c r="B261">
        <v>82.8</v>
      </c>
      <c r="C261">
        <v>163.80000000000001</v>
      </c>
      <c r="D261">
        <v>515.5</v>
      </c>
      <c r="E261">
        <v>516.5</v>
      </c>
      <c r="F261" s="19">
        <f t="shared" si="68"/>
        <v>598.29999999999995</v>
      </c>
      <c r="G261" s="19">
        <f t="shared" si="69"/>
        <v>680.3</v>
      </c>
      <c r="H261" s="24">
        <f t="shared" si="70"/>
        <v>-12.053505806261944</v>
      </c>
      <c r="I261">
        <v>66</v>
      </c>
    </row>
    <row r="262" spans="1:9" x14ac:dyDescent="0.25">
      <c r="A262" s="10">
        <f t="shared" si="67"/>
        <v>40647</v>
      </c>
      <c r="B262">
        <v>115.8</v>
      </c>
      <c r="C262">
        <v>163.80000000000001</v>
      </c>
      <c r="D262">
        <v>515.5</v>
      </c>
      <c r="E262">
        <v>516.5</v>
      </c>
      <c r="F262" s="19">
        <f t="shared" si="68"/>
        <v>631.29999999999995</v>
      </c>
      <c r="G262" s="19">
        <f t="shared" si="69"/>
        <v>680.3</v>
      </c>
      <c r="H262" s="24">
        <f t="shared" si="70"/>
        <v>-7.2027046891077422</v>
      </c>
      <c r="I262">
        <v>66</v>
      </c>
    </row>
    <row r="263" spans="1:9" x14ac:dyDescent="0.25">
      <c r="A263" s="10">
        <f t="shared" si="67"/>
        <v>40654</v>
      </c>
      <c r="B263">
        <v>149.80000000000001</v>
      </c>
      <c r="C263">
        <v>165.4</v>
      </c>
      <c r="D263">
        <v>515.5</v>
      </c>
      <c r="E263">
        <v>540.9</v>
      </c>
      <c r="F263" s="19">
        <f t="shared" si="68"/>
        <v>665.3</v>
      </c>
      <c r="G263" s="19">
        <f t="shared" si="69"/>
        <v>706.3</v>
      </c>
      <c r="H263" s="24">
        <f t="shared" si="70"/>
        <v>-5.804898768228794</v>
      </c>
      <c r="I263">
        <v>66</v>
      </c>
    </row>
    <row r="264" spans="1:9" x14ac:dyDescent="0.25">
      <c r="A264" s="10">
        <f t="shared" si="67"/>
        <v>40661</v>
      </c>
      <c r="B264">
        <v>94.3</v>
      </c>
      <c r="C264">
        <v>162.30000000000001</v>
      </c>
      <c r="D264">
        <v>537.5</v>
      </c>
      <c r="E264">
        <v>555.20000000000005</v>
      </c>
      <c r="F264" s="19">
        <f t="shared" si="68"/>
        <v>631.79999999999995</v>
      </c>
      <c r="G264" s="19">
        <f t="shared" si="69"/>
        <v>717.5</v>
      </c>
      <c r="H264" s="24">
        <f t="shared" si="70"/>
        <v>-11.944250871080142</v>
      </c>
      <c r="I264">
        <v>78.5</v>
      </c>
    </row>
    <row r="265" spans="1:9" x14ac:dyDescent="0.25">
      <c r="A265" s="10">
        <f t="shared" si="67"/>
        <v>40668</v>
      </c>
      <c r="B265">
        <v>110.2</v>
      </c>
      <c r="C265">
        <v>145.80000000000001</v>
      </c>
      <c r="D265">
        <v>537.5</v>
      </c>
      <c r="E265">
        <v>588.9</v>
      </c>
      <c r="F265" s="19">
        <f t="shared" si="68"/>
        <v>647.70000000000005</v>
      </c>
      <c r="G265" s="19">
        <f t="shared" si="69"/>
        <v>734.7</v>
      </c>
      <c r="H265" s="24">
        <f t="shared" si="70"/>
        <v>-11.841567986933443</v>
      </c>
      <c r="I265">
        <v>85.7</v>
      </c>
    </row>
    <row r="266" spans="1:9" x14ac:dyDescent="0.25">
      <c r="A266" s="10">
        <f t="shared" si="67"/>
        <v>40675</v>
      </c>
      <c r="B266">
        <v>50</v>
      </c>
      <c r="C266">
        <v>65.3</v>
      </c>
      <c r="D266">
        <v>605.70000000000005</v>
      </c>
      <c r="E266">
        <v>628.5</v>
      </c>
      <c r="F266" s="19">
        <f t="shared" si="68"/>
        <v>655.7</v>
      </c>
      <c r="G266" s="19">
        <f t="shared" si="69"/>
        <v>693.8</v>
      </c>
      <c r="H266" s="24">
        <f t="shared" si="70"/>
        <v>-5.4914961083885716</v>
      </c>
      <c r="I266">
        <v>85.7</v>
      </c>
    </row>
    <row r="267" spans="1:9" x14ac:dyDescent="0.25">
      <c r="A267" s="10">
        <f t="shared" si="67"/>
        <v>40682</v>
      </c>
      <c r="B267">
        <v>34.1</v>
      </c>
      <c r="C267">
        <v>96.8</v>
      </c>
      <c r="D267">
        <v>605.70000000000005</v>
      </c>
      <c r="E267">
        <v>642.5</v>
      </c>
      <c r="F267" s="19">
        <f t="shared" si="68"/>
        <v>639.80000000000007</v>
      </c>
      <c r="G267" s="19">
        <f t="shared" si="69"/>
        <v>739.3</v>
      </c>
      <c r="H267" s="24">
        <f t="shared" si="70"/>
        <v>-13.45867712701202</v>
      </c>
      <c r="I267">
        <v>126.2</v>
      </c>
    </row>
    <row r="268" spans="1:9" x14ac:dyDescent="0.25">
      <c r="A268" s="10">
        <f t="shared" si="67"/>
        <v>40689</v>
      </c>
      <c r="B268">
        <v>24.1</v>
      </c>
      <c r="C268">
        <v>76</v>
      </c>
      <c r="D268">
        <v>615.70000000000005</v>
      </c>
      <c r="E268">
        <v>642.5</v>
      </c>
      <c r="F268" s="19">
        <f t="shared" si="68"/>
        <v>639.80000000000007</v>
      </c>
      <c r="G268" s="19">
        <f t="shared" si="69"/>
        <v>718.5</v>
      </c>
      <c r="H268" s="24">
        <f t="shared" si="70"/>
        <v>-10.953375086986771</v>
      </c>
      <c r="I268">
        <v>126.2</v>
      </c>
    </row>
    <row r="269" spans="1:9" x14ac:dyDescent="0.25">
      <c r="A269" s="10">
        <f t="shared" si="67"/>
        <v>40696</v>
      </c>
      <c r="B269">
        <v>130.80000000000001</v>
      </c>
      <c r="C269">
        <v>94</v>
      </c>
      <c r="D269">
        <v>21.5</v>
      </c>
      <c r="E269">
        <v>0</v>
      </c>
      <c r="F269" s="19">
        <f t="shared" ref="F269:F277" si="71">+B269+D269</f>
        <v>152.30000000000001</v>
      </c>
      <c r="G269" s="19">
        <f t="shared" ref="G269:G277" si="72">+C269+E269</f>
        <v>94</v>
      </c>
      <c r="H269" s="24">
        <f t="shared" ref="H269:H277" si="73">+(F269/G269-1)*100</f>
        <v>62.021276595744702</v>
      </c>
    </row>
    <row r="270" spans="1:9" x14ac:dyDescent="0.25">
      <c r="A270" s="10">
        <f t="shared" si="67"/>
        <v>40703</v>
      </c>
      <c r="B270">
        <v>145.80000000000001</v>
      </c>
      <c r="C270">
        <v>78.5</v>
      </c>
      <c r="D270">
        <v>21.5</v>
      </c>
      <c r="E270">
        <v>27</v>
      </c>
      <c r="F270" s="19">
        <f t="shared" si="71"/>
        <v>167.3</v>
      </c>
      <c r="G270" s="19">
        <f t="shared" si="72"/>
        <v>105.5</v>
      </c>
      <c r="H270" s="24">
        <f t="shared" si="73"/>
        <v>58.578199052132703</v>
      </c>
    </row>
    <row r="271" spans="1:9" x14ac:dyDescent="0.25">
      <c r="A271" s="10">
        <f t="shared" si="67"/>
        <v>40710</v>
      </c>
      <c r="B271">
        <v>138</v>
      </c>
      <c r="C271">
        <v>78.900000000000006</v>
      </c>
      <c r="D271">
        <v>21.5</v>
      </c>
      <c r="E271">
        <v>27</v>
      </c>
      <c r="F271" s="19">
        <f t="shared" si="71"/>
        <v>159.5</v>
      </c>
      <c r="G271" s="19">
        <f t="shared" si="72"/>
        <v>105.9</v>
      </c>
      <c r="H271" s="24">
        <f t="shared" si="73"/>
        <v>50.613786591123699</v>
      </c>
    </row>
    <row r="272" spans="1:9" x14ac:dyDescent="0.25">
      <c r="A272" s="10">
        <f t="shared" si="67"/>
        <v>40717</v>
      </c>
      <c r="B272">
        <v>117</v>
      </c>
      <c r="C272">
        <v>73</v>
      </c>
      <c r="D272">
        <v>27.7</v>
      </c>
      <c r="E272">
        <v>38.9</v>
      </c>
      <c r="F272" s="19">
        <f t="shared" si="71"/>
        <v>144.69999999999999</v>
      </c>
      <c r="G272" s="19">
        <f t="shared" si="72"/>
        <v>111.9</v>
      </c>
      <c r="H272" s="24">
        <f t="shared" si="73"/>
        <v>29.311885612153699</v>
      </c>
    </row>
    <row r="273" spans="1:8" x14ac:dyDescent="0.25">
      <c r="A273" s="10">
        <f t="shared" si="67"/>
        <v>40724</v>
      </c>
      <c r="B273">
        <v>113.7</v>
      </c>
      <c r="C273">
        <v>101.5</v>
      </c>
      <c r="D273">
        <v>27.7</v>
      </c>
      <c r="E273">
        <v>38.9</v>
      </c>
      <c r="F273" s="19">
        <f t="shared" si="71"/>
        <v>141.4</v>
      </c>
      <c r="G273" s="19">
        <f t="shared" si="72"/>
        <v>140.4</v>
      </c>
      <c r="H273" s="24">
        <f t="shared" si="73"/>
        <v>0.71225071225071712</v>
      </c>
    </row>
    <row r="274" spans="1:8" x14ac:dyDescent="0.25">
      <c r="A274" s="10">
        <f t="shared" si="67"/>
        <v>40731</v>
      </c>
      <c r="B274">
        <v>106</v>
      </c>
      <c r="C274">
        <v>101.5</v>
      </c>
      <c r="D274">
        <v>41.4</v>
      </c>
      <c r="E274">
        <v>38.9</v>
      </c>
      <c r="F274" s="19">
        <f t="shared" si="71"/>
        <v>147.4</v>
      </c>
      <c r="G274" s="19">
        <f t="shared" si="72"/>
        <v>140.4</v>
      </c>
      <c r="H274" s="24">
        <f t="shared" si="73"/>
        <v>4.9857549857549754</v>
      </c>
    </row>
    <row r="275" spans="1:8" x14ac:dyDescent="0.25">
      <c r="A275" s="10">
        <f t="shared" si="67"/>
        <v>40738</v>
      </c>
      <c r="B275">
        <v>81</v>
      </c>
      <c r="C275">
        <v>106.7</v>
      </c>
      <c r="D275">
        <v>64.8</v>
      </c>
      <c r="E275">
        <v>38.9</v>
      </c>
      <c r="F275" s="19">
        <f t="shared" si="71"/>
        <v>145.80000000000001</v>
      </c>
      <c r="G275" s="19">
        <f t="shared" si="72"/>
        <v>145.6</v>
      </c>
      <c r="H275" s="24">
        <f t="shared" si="73"/>
        <v>0.13736263736265908</v>
      </c>
    </row>
    <row r="276" spans="1:8" x14ac:dyDescent="0.25">
      <c r="A276" s="10">
        <f t="shared" si="67"/>
        <v>40745</v>
      </c>
      <c r="B276">
        <v>59.3</v>
      </c>
      <c r="C276">
        <v>132.69999999999999</v>
      </c>
      <c r="D276">
        <v>107.4</v>
      </c>
      <c r="E276">
        <v>38.9</v>
      </c>
      <c r="F276" s="19">
        <f t="shared" si="71"/>
        <v>166.7</v>
      </c>
      <c r="G276" s="19">
        <f t="shared" si="72"/>
        <v>171.6</v>
      </c>
      <c r="H276" s="24">
        <f t="shared" si="73"/>
        <v>-2.8554778554778615</v>
      </c>
    </row>
    <row r="277" spans="1:8" x14ac:dyDescent="0.25">
      <c r="A277" s="10">
        <f t="shared" si="67"/>
        <v>40752</v>
      </c>
      <c r="B277">
        <v>67.3</v>
      </c>
      <c r="C277">
        <v>126.7</v>
      </c>
      <c r="D277">
        <v>107.4</v>
      </c>
      <c r="E277">
        <v>44.9</v>
      </c>
      <c r="F277" s="19">
        <f t="shared" si="71"/>
        <v>174.7</v>
      </c>
      <c r="G277" s="19">
        <f t="shared" si="72"/>
        <v>171.6</v>
      </c>
      <c r="H277" s="24">
        <f t="shared" si="73"/>
        <v>1.8065268065267981</v>
      </c>
    </row>
    <row r="278" spans="1:8" x14ac:dyDescent="0.25">
      <c r="A278" s="10">
        <f t="shared" si="67"/>
        <v>40759</v>
      </c>
      <c r="B278">
        <v>73.599999999999994</v>
      </c>
      <c r="C278">
        <v>126.7</v>
      </c>
      <c r="D278">
        <v>107.4</v>
      </c>
      <c r="E278">
        <v>44.9</v>
      </c>
      <c r="F278" s="19">
        <f t="shared" ref="F278:G296" si="74">+B278+D278</f>
        <v>181</v>
      </c>
      <c r="G278" s="19">
        <f t="shared" si="74"/>
        <v>171.6</v>
      </c>
      <c r="H278" s="24">
        <f t="shared" ref="H278:H296" si="75">+(F278/G278-1)*100</f>
        <v>5.4778554778554867</v>
      </c>
    </row>
    <row r="279" spans="1:8" x14ac:dyDescent="0.25">
      <c r="A279" s="10">
        <f t="shared" si="67"/>
        <v>40766</v>
      </c>
      <c r="B279">
        <v>106.9</v>
      </c>
      <c r="C279">
        <v>107</v>
      </c>
      <c r="D279">
        <v>107.4</v>
      </c>
      <c r="E279">
        <v>65.400000000000006</v>
      </c>
      <c r="F279" s="19">
        <f t="shared" si="74"/>
        <v>214.3</v>
      </c>
      <c r="G279" s="19">
        <f t="shared" si="74"/>
        <v>172.4</v>
      </c>
      <c r="H279" s="24">
        <f t="shared" si="75"/>
        <v>24.303944315545255</v>
      </c>
    </row>
    <row r="280" spans="1:8" x14ac:dyDescent="0.25">
      <c r="A280" s="10">
        <f t="shared" si="67"/>
        <v>40773</v>
      </c>
      <c r="B280">
        <v>126.9</v>
      </c>
      <c r="C280">
        <v>155</v>
      </c>
      <c r="D280">
        <v>107.4</v>
      </c>
      <c r="E280">
        <v>65.400000000000006</v>
      </c>
      <c r="F280" s="19">
        <f t="shared" si="74"/>
        <v>234.3</v>
      </c>
      <c r="G280" s="19">
        <f t="shared" si="74"/>
        <v>220.4</v>
      </c>
      <c r="H280" s="24">
        <f t="shared" si="75"/>
        <v>6.3067150635208735</v>
      </c>
    </row>
    <row r="281" spans="1:8" x14ac:dyDescent="0.25">
      <c r="A281" s="10">
        <f t="shared" si="67"/>
        <v>40780</v>
      </c>
      <c r="B281">
        <v>131.9</v>
      </c>
      <c r="C281">
        <v>170.9</v>
      </c>
      <c r="D281">
        <v>107.4</v>
      </c>
      <c r="E281">
        <v>65.3</v>
      </c>
      <c r="F281" s="19">
        <f t="shared" si="74"/>
        <v>239.3</v>
      </c>
      <c r="G281" s="19">
        <f t="shared" si="74"/>
        <v>236.2</v>
      </c>
      <c r="H281" s="24">
        <f t="shared" si="75"/>
        <v>1.3124470787468256</v>
      </c>
    </row>
    <row r="282" spans="1:8" x14ac:dyDescent="0.25">
      <c r="A282" s="10">
        <f t="shared" ref="A282:A345" si="76">+A281+7</f>
        <v>40787</v>
      </c>
      <c r="B282">
        <v>119.9</v>
      </c>
      <c r="C282">
        <v>158.9</v>
      </c>
      <c r="D282">
        <v>119.4</v>
      </c>
      <c r="E282">
        <v>77.400000000000006</v>
      </c>
      <c r="F282" s="19">
        <f t="shared" si="74"/>
        <v>239.3</v>
      </c>
      <c r="G282" s="19">
        <f t="shared" si="74"/>
        <v>236.3</v>
      </c>
      <c r="H282" s="24">
        <f t="shared" si="75"/>
        <v>1.2695725772323252</v>
      </c>
    </row>
    <row r="283" spans="1:8" x14ac:dyDescent="0.25">
      <c r="A283" s="10">
        <f t="shared" si="76"/>
        <v>40794</v>
      </c>
      <c r="B283">
        <v>139.9</v>
      </c>
      <c r="C283">
        <v>159.9</v>
      </c>
      <c r="D283">
        <v>125.6</v>
      </c>
      <c r="E283">
        <v>77.400000000000006</v>
      </c>
      <c r="F283" s="19">
        <f t="shared" si="74"/>
        <v>265.5</v>
      </c>
      <c r="G283" s="19">
        <f t="shared" si="74"/>
        <v>237.3</v>
      </c>
      <c r="H283" s="24">
        <f t="shared" si="75"/>
        <v>11.883691529709228</v>
      </c>
    </row>
    <row r="284" spans="1:8" x14ac:dyDescent="0.25">
      <c r="A284" s="10">
        <f t="shared" si="76"/>
        <v>40801</v>
      </c>
      <c r="B284">
        <v>127.9</v>
      </c>
      <c r="C284">
        <v>159.9</v>
      </c>
      <c r="D284">
        <v>168.1</v>
      </c>
      <c r="E284">
        <v>77.400000000000006</v>
      </c>
      <c r="F284" s="19">
        <f t="shared" si="74"/>
        <v>296</v>
      </c>
      <c r="G284" s="19">
        <f t="shared" si="74"/>
        <v>237.3</v>
      </c>
      <c r="H284" s="24">
        <f t="shared" si="75"/>
        <v>24.736620311841541</v>
      </c>
    </row>
    <row r="285" spans="1:8" x14ac:dyDescent="0.25">
      <c r="A285" s="10">
        <f t="shared" si="76"/>
        <v>40808</v>
      </c>
      <c r="B285" s="48">
        <v>103.9</v>
      </c>
      <c r="C285" s="48">
        <v>170.9</v>
      </c>
      <c r="D285" s="48">
        <v>187.9</v>
      </c>
      <c r="E285" s="48">
        <v>77.400000000000006</v>
      </c>
      <c r="F285" s="86">
        <f t="shared" si="74"/>
        <v>291.8</v>
      </c>
      <c r="G285" s="86">
        <f t="shared" si="74"/>
        <v>248.3</v>
      </c>
      <c r="H285" s="24">
        <f t="shared" si="75"/>
        <v>17.519130084575107</v>
      </c>
    </row>
    <row r="286" spans="1:8" x14ac:dyDescent="0.25">
      <c r="A286" s="10">
        <f t="shared" si="76"/>
        <v>40815</v>
      </c>
      <c r="B286" s="48">
        <v>110.8</v>
      </c>
      <c r="C286" s="48">
        <v>146.9</v>
      </c>
      <c r="D286" s="48">
        <v>205.9</v>
      </c>
      <c r="E286" s="48">
        <v>105.4</v>
      </c>
      <c r="F286" s="86">
        <f t="shared" si="74"/>
        <v>316.7</v>
      </c>
      <c r="G286" s="86">
        <f t="shared" si="74"/>
        <v>252.3</v>
      </c>
      <c r="H286" s="24">
        <f t="shared" si="75"/>
        <v>25.525168450257631</v>
      </c>
    </row>
    <row r="287" spans="1:8" x14ac:dyDescent="0.25">
      <c r="A287" s="10">
        <f t="shared" si="76"/>
        <v>40822</v>
      </c>
      <c r="B287" s="48">
        <v>110.8</v>
      </c>
      <c r="C287" s="48">
        <v>166.9</v>
      </c>
      <c r="D287" s="48">
        <v>205.9</v>
      </c>
      <c r="E287" s="48">
        <v>105.4</v>
      </c>
      <c r="F287" s="86">
        <f t="shared" si="74"/>
        <v>316.7</v>
      </c>
      <c r="G287" s="86">
        <f t="shared" si="74"/>
        <v>272.3</v>
      </c>
      <c r="H287" s="24">
        <f t="shared" si="75"/>
        <v>16.305545354388528</v>
      </c>
    </row>
    <row r="288" spans="1:8" x14ac:dyDescent="0.25">
      <c r="A288" s="10">
        <f t="shared" si="76"/>
        <v>40829</v>
      </c>
      <c r="B288" s="48">
        <v>110.8</v>
      </c>
      <c r="C288" s="48">
        <v>143.19999999999999</v>
      </c>
      <c r="D288" s="48">
        <v>217.8</v>
      </c>
      <c r="E288" s="48">
        <v>125.4</v>
      </c>
      <c r="F288" s="86">
        <f t="shared" si="74"/>
        <v>328.6</v>
      </c>
      <c r="G288" s="86">
        <f t="shared" si="74"/>
        <v>268.60000000000002</v>
      </c>
      <c r="H288" s="24">
        <f t="shared" si="75"/>
        <v>22.338049143708115</v>
      </c>
    </row>
    <row r="289" spans="1:8" x14ac:dyDescent="0.25">
      <c r="A289" s="10">
        <f t="shared" si="76"/>
        <v>40836</v>
      </c>
      <c r="B289" s="48">
        <v>134.9</v>
      </c>
      <c r="C289" s="48">
        <v>157.5</v>
      </c>
      <c r="D289" s="48">
        <v>217.8</v>
      </c>
      <c r="E289" s="48">
        <v>125.4</v>
      </c>
      <c r="F289" s="86">
        <f t="shared" si="74"/>
        <v>352.70000000000005</v>
      </c>
      <c r="G289" s="86">
        <f t="shared" si="74"/>
        <v>282.89999999999998</v>
      </c>
      <c r="H289" s="24">
        <f t="shared" si="75"/>
        <v>24.673029338989071</v>
      </c>
    </row>
    <row r="290" spans="1:8" x14ac:dyDescent="0.25">
      <c r="A290" s="10">
        <f t="shared" si="76"/>
        <v>40843</v>
      </c>
      <c r="B290" s="48">
        <v>128.6</v>
      </c>
      <c r="C290" s="48">
        <v>170.5</v>
      </c>
      <c r="D290" s="48">
        <v>224.5</v>
      </c>
      <c r="E290" s="48">
        <v>125.4</v>
      </c>
      <c r="F290" s="86">
        <f t="shared" si="74"/>
        <v>353.1</v>
      </c>
      <c r="G290" s="86">
        <f t="shared" si="74"/>
        <v>295.89999999999998</v>
      </c>
      <c r="H290" s="24">
        <f t="shared" si="75"/>
        <v>19.330855018587378</v>
      </c>
    </row>
    <row r="291" spans="1:8" x14ac:dyDescent="0.25">
      <c r="A291" s="10">
        <f t="shared" si="76"/>
        <v>40850</v>
      </c>
      <c r="B291" s="48">
        <v>128.6</v>
      </c>
      <c r="C291" s="48">
        <v>187.5</v>
      </c>
      <c r="D291" s="48">
        <v>224.5</v>
      </c>
      <c r="E291" s="48">
        <v>143.4</v>
      </c>
      <c r="F291" s="86">
        <f t="shared" si="74"/>
        <v>353.1</v>
      </c>
      <c r="G291" s="86">
        <f t="shared" si="74"/>
        <v>330.9</v>
      </c>
      <c r="H291" s="24">
        <f t="shared" si="75"/>
        <v>6.708975521305538</v>
      </c>
    </row>
    <row r="292" spans="1:8" x14ac:dyDescent="0.25">
      <c r="A292" s="10">
        <f t="shared" si="76"/>
        <v>40857</v>
      </c>
      <c r="B292" s="48">
        <v>124.4</v>
      </c>
      <c r="C292" s="48">
        <v>154.5</v>
      </c>
      <c r="D292" s="48">
        <v>266.2</v>
      </c>
      <c r="E292" s="48">
        <v>170.4</v>
      </c>
      <c r="F292" s="86">
        <f t="shared" si="74"/>
        <v>390.6</v>
      </c>
      <c r="G292" s="86">
        <f t="shared" si="74"/>
        <v>324.89999999999998</v>
      </c>
      <c r="H292" s="24">
        <f t="shared" si="75"/>
        <v>20.221606648199455</v>
      </c>
    </row>
    <row r="293" spans="1:8" x14ac:dyDescent="0.25">
      <c r="A293" s="10">
        <f t="shared" si="76"/>
        <v>40864</v>
      </c>
      <c r="B293" s="48">
        <v>124.4</v>
      </c>
      <c r="C293" s="48">
        <v>189.5</v>
      </c>
      <c r="D293" s="48">
        <v>26.2</v>
      </c>
      <c r="E293" s="48">
        <v>170.4</v>
      </c>
      <c r="F293" s="86">
        <f t="shared" si="74"/>
        <v>150.6</v>
      </c>
      <c r="G293" s="86">
        <f t="shared" si="74"/>
        <v>359.9</v>
      </c>
      <c r="H293" s="24">
        <f t="shared" si="75"/>
        <v>-58.155043067518754</v>
      </c>
    </row>
    <row r="294" spans="1:8" x14ac:dyDescent="0.25">
      <c r="A294" s="10">
        <f t="shared" si="76"/>
        <v>40871</v>
      </c>
      <c r="B294" s="48">
        <v>137.1</v>
      </c>
      <c r="C294" s="48">
        <v>226.1</v>
      </c>
      <c r="D294" s="48">
        <v>279.10000000000002</v>
      </c>
      <c r="E294" s="48">
        <v>176.4</v>
      </c>
      <c r="F294" s="86">
        <f t="shared" si="74"/>
        <v>416.20000000000005</v>
      </c>
      <c r="G294" s="86">
        <f t="shared" si="74"/>
        <v>402.5</v>
      </c>
      <c r="H294" s="24">
        <f t="shared" si="75"/>
        <v>3.4037267080745393</v>
      </c>
    </row>
    <row r="295" spans="1:8" x14ac:dyDescent="0.25">
      <c r="A295" s="10">
        <f t="shared" si="76"/>
        <v>40878</v>
      </c>
      <c r="B295" s="48">
        <v>125.1</v>
      </c>
      <c r="C295" s="48">
        <v>208.6</v>
      </c>
      <c r="D295" s="48">
        <v>290.3</v>
      </c>
      <c r="E295" s="48">
        <v>193.6</v>
      </c>
      <c r="F295" s="86">
        <f t="shared" si="74"/>
        <v>415.4</v>
      </c>
      <c r="G295" s="86">
        <f t="shared" si="74"/>
        <v>402.2</v>
      </c>
      <c r="H295" s="24">
        <f t="shared" si="75"/>
        <v>3.281949278965679</v>
      </c>
    </row>
    <row r="296" spans="1:8" x14ac:dyDescent="0.25">
      <c r="A296" s="10">
        <f t="shared" si="76"/>
        <v>40885</v>
      </c>
      <c r="B296" s="48">
        <v>130.1</v>
      </c>
      <c r="C296" s="48">
        <v>245.6</v>
      </c>
      <c r="D296" s="48">
        <v>301.3</v>
      </c>
      <c r="E296" s="48">
        <v>208.6</v>
      </c>
      <c r="F296" s="86">
        <f t="shared" si="74"/>
        <v>431.4</v>
      </c>
      <c r="G296" s="86">
        <f t="shared" si="74"/>
        <v>454.2</v>
      </c>
      <c r="H296" s="24">
        <f t="shared" si="75"/>
        <v>-5.0198150594451763</v>
      </c>
    </row>
    <row r="297" spans="1:8" x14ac:dyDescent="0.25">
      <c r="A297" s="10">
        <f t="shared" si="76"/>
        <v>40892</v>
      </c>
      <c r="B297">
        <v>157.1</v>
      </c>
      <c r="C297">
        <v>225.9</v>
      </c>
      <c r="D297">
        <v>301.3</v>
      </c>
      <c r="E297">
        <v>228.5</v>
      </c>
      <c r="F297" s="86">
        <f t="shared" ref="F297:G299" si="77">+B297+D297</f>
        <v>458.4</v>
      </c>
      <c r="G297" s="86">
        <f t="shared" si="77"/>
        <v>454.4</v>
      </c>
      <c r="H297" s="24">
        <f t="shared" ref="H297:H302" si="78">+(F297/G297-1)*100</f>
        <v>0.88028169014084945</v>
      </c>
    </row>
    <row r="298" spans="1:8" x14ac:dyDescent="0.25">
      <c r="A298" s="10">
        <f t="shared" si="76"/>
        <v>40899</v>
      </c>
      <c r="B298" s="48">
        <v>185.9</v>
      </c>
      <c r="C298" s="48">
        <v>239.9</v>
      </c>
      <c r="D298" s="48">
        <v>301.3</v>
      </c>
      <c r="E298" s="48">
        <v>248.2</v>
      </c>
      <c r="F298" s="86">
        <f t="shared" si="77"/>
        <v>487.20000000000005</v>
      </c>
      <c r="G298" s="86">
        <f t="shared" si="77"/>
        <v>488.1</v>
      </c>
      <c r="H298" s="24">
        <f t="shared" si="78"/>
        <v>-0.18438844499077955</v>
      </c>
    </row>
    <row r="299" spans="1:8" x14ac:dyDescent="0.25">
      <c r="A299" s="10">
        <f t="shared" si="76"/>
        <v>40906</v>
      </c>
      <c r="B299" s="48">
        <v>178.4</v>
      </c>
      <c r="C299" s="48">
        <v>239.9</v>
      </c>
      <c r="D299" s="48">
        <v>301.3</v>
      </c>
      <c r="E299" s="48">
        <v>248.2</v>
      </c>
      <c r="F299" s="86">
        <f t="shared" si="77"/>
        <v>479.70000000000005</v>
      </c>
      <c r="G299" s="86">
        <f t="shared" si="77"/>
        <v>488.1</v>
      </c>
      <c r="H299" s="24">
        <f t="shared" si="78"/>
        <v>-1.7209588199139425</v>
      </c>
    </row>
    <row r="300" spans="1:8" x14ac:dyDescent="0.25">
      <c r="A300" s="10">
        <f t="shared" si="76"/>
        <v>40913</v>
      </c>
      <c r="B300">
        <v>179.4</v>
      </c>
      <c r="C300">
        <v>227.3</v>
      </c>
      <c r="D300">
        <v>301.3</v>
      </c>
      <c r="E300">
        <v>260.8</v>
      </c>
      <c r="F300" s="86">
        <f t="shared" ref="F300:G306" si="79">+B300+D300</f>
        <v>480.70000000000005</v>
      </c>
      <c r="G300" s="86">
        <f t="shared" si="79"/>
        <v>488.1</v>
      </c>
      <c r="H300" s="24">
        <f t="shared" si="78"/>
        <v>-1.5160827699241874</v>
      </c>
    </row>
    <row r="301" spans="1:8" x14ac:dyDescent="0.25">
      <c r="A301" s="10">
        <f t="shared" si="76"/>
        <v>40920</v>
      </c>
      <c r="B301">
        <v>153.6</v>
      </c>
      <c r="C301">
        <v>264.3</v>
      </c>
      <c r="D301">
        <v>327.10000000000002</v>
      </c>
      <c r="E301">
        <v>271.8</v>
      </c>
      <c r="F301" s="86">
        <f t="shared" si="79"/>
        <v>480.70000000000005</v>
      </c>
      <c r="G301" s="86">
        <f t="shared" si="79"/>
        <v>536.1</v>
      </c>
      <c r="H301" s="24">
        <f t="shared" si="78"/>
        <v>-10.333892930423428</v>
      </c>
    </row>
    <row r="302" spans="1:8" x14ac:dyDescent="0.25">
      <c r="A302" s="10">
        <f t="shared" si="76"/>
        <v>40927</v>
      </c>
      <c r="B302">
        <v>153.6</v>
      </c>
      <c r="C302">
        <v>287.89999999999998</v>
      </c>
      <c r="D302">
        <v>327.10000000000002</v>
      </c>
      <c r="E302">
        <v>297.3</v>
      </c>
      <c r="F302" s="86">
        <f t="shared" si="79"/>
        <v>480.70000000000005</v>
      </c>
      <c r="G302" s="86">
        <f t="shared" si="79"/>
        <v>585.20000000000005</v>
      </c>
      <c r="H302" s="24">
        <f t="shared" si="78"/>
        <v>-17.857142857142861</v>
      </c>
    </row>
    <row r="303" spans="1:8" x14ac:dyDescent="0.25">
      <c r="A303" s="10">
        <f t="shared" si="76"/>
        <v>40934</v>
      </c>
      <c r="B303">
        <v>153.6</v>
      </c>
      <c r="C303">
        <v>294.2</v>
      </c>
      <c r="D303">
        <v>343.5</v>
      </c>
      <c r="E303">
        <v>297.3</v>
      </c>
      <c r="F303" s="86">
        <f t="shared" si="79"/>
        <v>497.1</v>
      </c>
      <c r="G303" s="86">
        <f t="shared" si="79"/>
        <v>591.5</v>
      </c>
      <c r="H303" s="24">
        <f t="shared" ref="H303:H334" si="80">+(F303/G303-1)*100</f>
        <v>-15.95942519019442</v>
      </c>
    </row>
    <row r="304" spans="1:8" x14ac:dyDescent="0.25">
      <c r="A304" s="10">
        <f t="shared" si="76"/>
        <v>40941</v>
      </c>
      <c r="B304">
        <v>155.6</v>
      </c>
      <c r="C304">
        <v>270.7</v>
      </c>
      <c r="D304">
        <v>374.3</v>
      </c>
      <c r="E304">
        <v>323.60000000000002</v>
      </c>
      <c r="F304" s="86">
        <f t="shared" si="79"/>
        <v>529.9</v>
      </c>
      <c r="G304" s="86">
        <f t="shared" si="79"/>
        <v>594.29999999999995</v>
      </c>
      <c r="H304" s="24">
        <f t="shared" si="80"/>
        <v>-10.83627797408716</v>
      </c>
    </row>
    <row r="305" spans="1:9" x14ac:dyDescent="0.25">
      <c r="A305" s="10">
        <f t="shared" si="76"/>
        <v>40948</v>
      </c>
      <c r="B305">
        <v>159.6</v>
      </c>
      <c r="C305">
        <v>286.89999999999998</v>
      </c>
      <c r="D305">
        <v>374.3</v>
      </c>
      <c r="E305">
        <v>323.60000000000002</v>
      </c>
      <c r="F305" s="86">
        <f t="shared" si="79"/>
        <v>533.9</v>
      </c>
      <c r="G305" s="86">
        <f t="shared" si="79"/>
        <v>610.5</v>
      </c>
      <c r="H305" s="24">
        <f t="shared" si="80"/>
        <v>-12.547092547092554</v>
      </c>
    </row>
    <row r="306" spans="1:9" x14ac:dyDescent="0.25">
      <c r="A306" s="10">
        <f t="shared" si="76"/>
        <v>40955</v>
      </c>
      <c r="B306">
        <v>165.9</v>
      </c>
      <c r="C306">
        <v>284.3</v>
      </c>
      <c r="D306">
        <v>374.3</v>
      </c>
      <c r="E306">
        <v>333.3</v>
      </c>
      <c r="F306" s="86">
        <f t="shared" si="79"/>
        <v>540.20000000000005</v>
      </c>
      <c r="G306" s="86">
        <f t="shared" si="79"/>
        <v>617.6</v>
      </c>
      <c r="H306" s="24">
        <f t="shared" si="80"/>
        <v>-12.532383419689118</v>
      </c>
    </row>
    <row r="307" spans="1:9" x14ac:dyDescent="0.25">
      <c r="A307" s="10">
        <f t="shared" si="76"/>
        <v>40962</v>
      </c>
      <c r="B307">
        <v>165.9</v>
      </c>
      <c r="C307">
        <v>232</v>
      </c>
      <c r="D307">
        <v>374.3</v>
      </c>
      <c r="E307">
        <v>391</v>
      </c>
      <c r="F307" s="86">
        <f t="shared" ref="F307:F326" si="81">+B307+D307</f>
        <v>540.20000000000005</v>
      </c>
      <c r="G307" s="86">
        <f t="shared" ref="G307:G338" si="82">+C307+E307</f>
        <v>623</v>
      </c>
      <c r="H307" s="24">
        <f t="shared" si="80"/>
        <v>-13.290529695024066</v>
      </c>
    </row>
    <row r="308" spans="1:9" x14ac:dyDescent="0.25">
      <c r="A308" s="10">
        <f t="shared" si="76"/>
        <v>40969</v>
      </c>
      <c r="B308">
        <v>163.4</v>
      </c>
      <c r="C308">
        <v>232</v>
      </c>
      <c r="D308">
        <v>401.8</v>
      </c>
      <c r="E308">
        <v>391</v>
      </c>
      <c r="F308" s="86">
        <f t="shared" si="81"/>
        <v>565.20000000000005</v>
      </c>
      <c r="G308" s="86">
        <f t="shared" si="82"/>
        <v>623</v>
      </c>
      <c r="H308" s="24">
        <f t="shared" si="80"/>
        <v>-9.2776886035312973</v>
      </c>
    </row>
    <row r="309" spans="1:9" x14ac:dyDescent="0.25">
      <c r="A309" s="10">
        <f t="shared" si="76"/>
        <v>40976</v>
      </c>
      <c r="B309">
        <v>138.30000000000001</v>
      </c>
      <c r="C309">
        <v>232</v>
      </c>
      <c r="D309">
        <v>444.8</v>
      </c>
      <c r="E309">
        <v>391</v>
      </c>
      <c r="F309" s="86">
        <f t="shared" si="81"/>
        <v>583.1</v>
      </c>
      <c r="G309" s="86">
        <f t="shared" si="82"/>
        <v>623</v>
      </c>
      <c r="H309" s="24">
        <f t="shared" si="80"/>
        <v>-6.4044943820224631</v>
      </c>
    </row>
    <row r="310" spans="1:9" x14ac:dyDescent="0.25">
      <c r="A310" s="10">
        <f t="shared" si="76"/>
        <v>40983</v>
      </c>
      <c r="B310">
        <v>138.30000000000001</v>
      </c>
      <c r="C310">
        <v>199</v>
      </c>
      <c r="D310">
        <v>459.8</v>
      </c>
      <c r="E310">
        <v>424.3</v>
      </c>
      <c r="F310" s="86">
        <f t="shared" si="81"/>
        <v>598.1</v>
      </c>
      <c r="G310" s="86">
        <f t="shared" si="82"/>
        <v>623.29999999999995</v>
      </c>
      <c r="H310" s="24">
        <f t="shared" si="80"/>
        <v>-4.0429969517086324</v>
      </c>
    </row>
    <row r="311" spans="1:9" x14ac:dyDescent="0.25">
      <c r="A311" s="10">
        <f t="shared" si="76"/>
        <v>40990</v>
      </c>
      <c r="B311">
        <v>120.5</v>
      </c>
      <c r="C311">
        <v>119</v>
      </c>
      <c r="D311">
        <v>480.7</v>
      </c>
      <c r="E311">
        <v>466.9</v>
      </c>
      <c r="F311" s="86">
        <f t="shared" si="81"/>
        <v>601.20000000000005</v>
      </c>
      <c r="G311" s="86">
        <f t="shared" si="82"/>
        <v>585.9</v>
      </c>
      <c r="H311" s="24">
        <f t="shared" si="80"/>
        <v>2.611367127496167</v>
      </c>
    </row>
    <row r="312" spans="1:9" x14ac:dyDescent="0.25">
      <c r="A312" s="10">
        <f t="shared" si="76"/>
        <v>40997</v>
      </c>
      <c r="B312">
        <v>135.80000000000001</v>
      </c>
      <c r="C312">
        <v>122</v>
      </c>
      <c r="D312">
        <v>507.3</v>
      </c>
      <c r="E312">
        <v>466.9</v>
      </c>
      <c r="F312" s="86">
        <f t="shared" si="81"/>
        <v>643.1</v>
      </c>
      <c r="G312" s="86">
        <f t="shared" si="82"/>
        <v>588.9</v>
      </c>
      <c r="H312" s="24">
        <f t="shared" si="80"/>
        <v>9.2035999320767559</v>
      </c>
    </row>
    <row r="313" spans="1:9" x14ac:dyDescent="0.25">
      <c r="A313" s="10">
        <f t="shared" si="76"/>
        <v>41004</v>
      </c>
      <c r="B313">
        <v>140.80000000000001</v>
      </c>
      <c r="C313">
        <v>82.8</v>
      </c>
      <c r="D313">
        <v>507.3</v>
      </c>
      <c r="E313">
        <v>515.5</v>
      </c>
      <c r="F313" s="86">
        <f t="shared" si="81"/>
        <v>648.1</v>
      </c>
      <c r="G313" s="86">
        <f t="shared" si="82"/>
        <v>598.29999999999995</v>
      </c>
      <c r="H313" s="24">
        <f t="shared" si="80"/>
        <v>8.3235834865452283</v>
      </c>
    </row>
    <row r="314" spans="1:9" x14ac:dyDescent="0.25">
      <c r="A314" s="10">
        <f t="shared" si="76"/>
        <v>41011</v>
      </c>
      <c r="B314">
        <v>115.8</v>
      </c>
      <c r="C314">
        <v>115.8</v>
      </c>
      <c r="D314">
        <v>533.4</v>
      </c>
      <c r="E314">
        <v>515.5</v>
      </c>
      <c r="F314" s="86">
        <f t="shared" si="81"/>
        <v>649.19999999999993</v>
      </c>
      <c r="G314" s="86">
        <f t="shared" si="82"/>
        <v>631.29999999999995</v>
      </c>
      <c r="H314" s="24">
        <f t="shared" si="80"/>
        <v>2.8354189767147098</v>
      </c>
    </row>
    <row r="315" spans="1:9" x14ac:dyDescent="0.25">
      <c r="A315" s="10">
        <f t="shared" si="76"/>
        <v>41018</v>
      </c>
      <c r="B315">
        <v>115.8</v>
      </c>
      <c r="C315">
        <v>149.80000000000001</v>
      </c>
      <c r="D315">
        <v>533.4</v>
      </c>
      <c r="E315">
        <v>515.5</v>
      </c>
      <c r="F315" s="86">
        <f t="shared" si="81"/>
        <v>649.19999999999993</v>
      </c>
      <c r="G315" s="86">
        <f t="shared" si="82"/>
        <v>665.3</v>
      </c>
      <c r="H315" s="24">
        <f t="shared" si="80"/>
        <v>-2.4199609198857663</v>
      </c>
    </row>
    <row r="316" spans="1:9" x14ac:dyDescent="0.25">
      <c r="A316" s="10">
        <f t="shared" si="76"/>
        <v>41025</v>
      </c>
      <c r="B316">
        <v>98.8</v>
      </c>
      <c r="C316">
        <v>94.3</v>
      </c>
      <c r="D316">
        <v>553.4</v>
      </c>
      <c r="E316">
        <v>537.5</v>
      </c>
      <c r="F316" s="86">
        <f t="shared" si="81"/>
        <v>652.19999999999993</v>
      </c>
      <c r="G316" s="86">
        <f t="shared" si="82"/>
        <v>631.79999999999995</v>
      </c>
      <c r="H316" s="24">
        <f t="shared" si="80"/>
        <v>3.228869895536568</v>
      </c>
    </row>
    <row r="317" spans="1:9" x14ac:dyDescent="0.25">
      <c r="A317" s="10">
        <f t="shared" si="76"/>
        <v>41032</v>
      </c>
      <c r="B317">
        <v>98.8</v>
      </c>
      <c r="C317">
        <v>110.2</v>
      </c>
      <c r="D317">
        <v>553.4</v>
      </c>
      <c r="E317">
        <v>537.5</v>
      </c>
      <c r="F317" s="86">
        <f t="shared" si="81"/>
        <v>652.19999999999993</v>
      </c>
      <c r="G317" s="86">
        <f t="shared" si="82"/>
        <v>647.70000000000005</v>
      </c>
      <c r="H317" s="24">
        <f t="shared" si="80"/>
        <v>0.69476609541452294</v>
      </c>
    </row>
    <row r="318" spans="1:9" x14ac:dyDescent="0.25">
      <c r="A318" s="10">
        <f t="shared" si="76"/>
        <v>41039</v>
      </c>
      <c r="B318">
        <v>88.1</v>
      </c>
      <c r="C318">
        <v>50</v>
      </c>
      <c r="D318">
        <v>571.1</v>
      </c>
      <c r="E318">
        <v>605.70000000000005</v>
      </c>
      <c r="F318" s="86">
        <f t="shared" si="81"/>
        <v>659.2</v>
      </c>
      <c r="G318" s="86">
        <f t="shared" si="82"/>
        <v>655.7</v>
      </c>
      <c r="H318" s="24">
        <f t="shared" si="80"/>
        <v>0.53378069238980697</v>
      </c>
    </row>
    <row r="319" spans="1:9" x14ac:dyDescent="0.25">
      <c r="A319" s="10">
        <f t="shared" si="76"/>
        <v>41046</v>
      </c>
      <c r="B319">
        <v>88.1</v>
      </c>
      <c r="C319">
        <v>34.1</v>
      </c>
      <c r="D319">
        <v>571.1</v>
      </c>
      <c r="E319">
        <v>605.70000000000005</v>
      </c>
      <c r="F319" s="86">
        <f t="shared" si="81"/>
        <v>659.2</v>
      </c>
      <c r="G319" s="86">
        <f t="shared" si="82"/>
        <v>639.80000000000007</v>
      </c>
      <c r="H319" s="24">
        <f t="shared" si="80"/>
        <v>3.0321975617380481</v>
      </c>
      <c r="I319" s="24">
        <v>78.599999999999994</v>
      </c>
    </row>
    <row r="320" spans="1:9" x14ac:dyDescent="0.25">
      <c r="A320" s="10">
        <f t="shared" si="76"/>
        <v>41053</v>
      </c>
      <c r="B320">
        <v>86.8</v>
      </c>
      <c r="C320">
        <v>24.1</v>
      </c>
      <c r="D320">
        <v>571.1</v>
      </c>
      <c r="E320">
        <v>615.70000000000005</v>
      </c>
      <c r="F320" s="86">
        <f t="shared" si="81"/>
        <v>657.9</v>
      </c>
      <c r="G320" s="86">
        <f t="shared" si="82"/>
        <v>639.80000000000007</v>
      </c>
      <c r="H320" s="24">
        <f t="shared" si="80"/>
        <v>2.8290090653328992</v>
      </c>
      <c r="I320" s="24">
        <v>123.6</v>
      </c>
    </row>
    <row r="321" spans="1:8" x14ac:dyDescent="0.25">
      <c r="A321" s="10">
        <f t="shared" si="76"/>
        <v>41060</v>
      </c>
      <c r="B321">
        <v>63.8</v>
      </c>
      <c r="C321">
        <v>24.1</v>
      </c>
      <c r="D321">
        <v>593.5</v>
      </c>
      <c r="E321">
        <v>615.70000000000005</v>
      </c>
      <c r="F321" s="86">
        <f t="shared" si="81"/>
        <v>657.3</v>
      </c>
      <c r="G321" s="86">
        <f t="shared" si="82"/>
        <v>639.80000000000007</v>
      </c>
      <c r="H321" s="24">
        <f t="shared" si="80"/>
        <v>2.7352297592997621</v>
      </c>
    </row>
    <row r="322" spans="1:8" x14ac:dyDescent="0.25">
      <c r="A322" s="10">
        <f t="shared" si="76"/>
        <v>41067</v>
      </c>
      <c r="B322">
        <v>209.4</v>
      </c>
      <c r="C322">
        <v>145.80000000000001</v>
      </c>
      <c r="D322">
        <v>15.5</v>
      </c>
      <c r="E322">
        <v>21.5</v>
      </c>
      <c r="F322" s="86">
        <f t="shared" si="81"/>
        <v>224.9</v>
      </c>
      <c r="G322" s="86">
        <f t="shared" si="82"/>
        <v>167.3</v>
      </c>
      <c r="H322" s="24">
        <f t="shared" si="80"/>
        <v>34.429169157202622</v>
      </c>
    </row>
    <row r="323" spans="1:8" x14ac:dyDescent="0.25">
      <c r="A323" s="10">
        <f t="shared" si="76"/>
        <v>41074</v>
      </c>
      <c r="B323">
        <v>216.4</v>
      </c>
      <c r="C323">
        <v>138</v>
      </c>
      <c r="D323">
        <v>15.5</v>
      </c>
      <c r="E323">
        <v>21.5</v>
      </c>
      <c r="F323" s="86">
        <f t="shared" si="81"/>
        <v>231.9</v>
      </c>
      <c r="G323" s="86">
        <f t="shared" si="82"/>
        <v>159.5</v>
      </c>
      <c r="H323" s="24">
        <f t="shared" si="80"/>
        <v>45.391849529780572</v>
      </c>
    </row>
    <row r="324" spans="1:8" x14ac:dyDescent="0.25">
      <c r="A324" s="10">
        <f t="shared" si="76"/>
        <v>41081</v>
      </c>
      <c r="B324">
        <v>183.6</v>
      </c>
      <c r="C324">
        <v>117</v>
      </c>
      <c r="D324">
        <v>67.7</v>
      </c>
      <c r="E324">
        <v>27.7</v>
      </c>
      <c r="F324" s="86">
        <f t="shared" si="81"/>
        <v>251.3</v>
      </c>
      <c r="G324" s="86">
        <f t="shared" si="82"/>
        <v>144.69999999999999</v>
      </c>
      <c r="H324" s="24">
        <f t="shared" si="80"/>
        <v>73.669661368348343</v>
      </c>
    </row>
    <row r="325" spans="1:8" x14ac:dyDescent="0.25">
      <c r="A325" s="10">
        <f t="shared" si="76"/>
        <v>41088</v>
      </c>
      <c r="B325">
        <v>178.4</v>
      </c>
      <c r="C325">
        <v>113.7</v>
      </c>
      <c r="D325">
        <v>78.400000000000006</v>
      </c>
      <c r="E325">
        <v>27.7</v>
      </c>
      <c r="F325" s="86">
        <f t="shared" si="81"/>
        <v>256.8</v>
      </c>
      <c r="G325" s="86">
        <f t="shared" si="82"/>
        <v>141.4</v>
      </c>
      <c r="H325" s="24">
        <f t="shared" si="80"/>
        <v>81.612446958981621</v>
      </c>
    </row>
    <row r="326" spans="1:8" x14ac:dyDescent="0.25">
      <c r="A326" s="10">
        <f t="shared" si="76"/>
        <v>41095</v>
      </c>
      <c r="B326">
        <v>178.4</v>
      </c>
      <c r="C326">
        <v>106</v>
      </c>
      <c r="D326">
        <v>78.400000000000006</v>
      </c>
      <c r="E326">
        <v>41.4</v>
      </c>
      <c r="F326" s="86">
        <f t="shared" si="81"/>
        <v>256.8</v>
      </c>
      <c r="G326" s="86">
        <f t="shared" si="82"/>
        <v>147.4</v>
      </c>
      <c r="H326" s="24">
        <f t="shared" si="80"/>
        <v>74.219810040705568</v>
      </c>
    </row>
    <row r="327" spans="1:8" x14ac:dyDescent="0.25">
      <c r="A327" s="10">
        <f t="shared" si="76"/>
        <v>41102</v>
      </c>
      <c r="B327">
        <v>209.4</v>
      </c>
      <c r="C327">
        <v>81</v>
      </c>
      <c r="D327">
        <v>78.400000000000006</v>
      </c>
      <c r="E327">
        <v>64.8</v>
      </c>
      <c r="F327" s="86">
        <f t="shared" ref="F327:F353" si="83">+B327+D327</f>
        <v>287.8</v>
      </c>
      <c r="G327" s="86">
        <f t="shared" si="82"/>
        <v>145.80000000000001</v>
      </c>
      <c r="H327" s="24">
        <f t="shared" si="80"/>
        <v>97.393689986282567</v>
      </c>
    </row>
    <row r="328" spans="1:8" x14ac:dyDescent="0.25">
      <c r="A328" s="10">
        <f t="shared" si="76"/>
        <v>41109</v>
      </c>
      <c r="B328">
        <v>213.6</v>
      </c>
      <c r="C328">
        <v>59.3</v>
      </c>
      <c r="D328">
        <v>100.4</v>
      </c>
      <c r="E328">
        <v>107.4</v>
      </c>
      <c r="F328" s="86">
        <f t="shared" si="83"/>
        <v>314</v>
      </c>
      <c r="G328" s="86">
        <f t="shared" si="82"/>
        <v>166.7</v>
      </c>
      <c r="H328" s="24">
        <f t="shared" si="80"/>
        <v>88.362327534493119</v>
      </c>
    </row>
    <row r="329" spans="1:8" x14ac:dyDescent="0.25">
      <c r="A329" s="10">
        <f t="shared" si="76"/>
        <v>41116</v>
      </c>
      <c r="B329">
        <v>205.3</v>
      </c>
      <c r="C329">
        <v>67.3</v>
      </c>
      <c r="D329">
        <v>116.1</v>
      </c>
      <c r="E329">
        <v>107.4</v>
      </c>
      <c r="F329" s="86">
        <f t="shared" si="83"/>
        <v>321.39999999999998</v>
      </c>
      <c r="G329" s="86">
        <f t="shared" si="82"/>
        <v>174.7</v>
      </c>
      <c r="H329" s="24">
        <f t="shared" si="80"/>
        <v>83.972524327418441</v>
      </c>
    </row>
    <row r="330" spans="1:8" x14ac:dyDescent="0.25">
      <c r="A330" s="10">
        <f t="shared" si="76"/>
        <v>41123</v>
      </c>
      <c r="B330">
        <v>195.3</v>
      </c>
      <c r="C330">
        <v>73.599999999999994</v>
      </c>
      <c r="D330">
        <v>125.7</v>
      </c>
      <c r="E330">
        <v>107.4</v>
      </c>
      <c r="F330" s="86">
        <f t="shared" si="83"/>
        <v>321</v>
      </c>
      <c r="G330" s="86">
        <f t="shared" si="82"/>
        <v>181</v>
      </c>
      <c r="H330" s="24">
        <f t="shared" si="80"/>
        <v>77.348066298342545</v>
      </c>
    </row>
    <row r="331" spans="1:8" x14ac:dyDescent="0.25">
      <c r="A331" s="10">
        <f t="shared" si="76"/>
        <v>41130</v>
      </c>
      <c r="B331">
        <v>211.3</v>
      </c>
      <c r="C331">
        <v>106.9</v>
      </c>
      <c r="D331">
        <v>125.7</v>
      </c>
      <c r="E331">
        <v>107.4</v>
      </c>
      <c r="F331" s="86">
        <f t="shared" si="83"/>
        <v>337</v>
      </c>
      <c r="G331" s="86">
        <f t="shared" si="82"/>
        <v>214.3</v>
      </c>
      <c r="H331" s="24">
        <f t="shared" si="80"/>
        <v>57.256182921138588</v>
      </c>
    </row>
    <row r="332" spans="1:8" x14ac:dyDescent="0.25">
      <c r="A332" s="10">
        <f t="shared" si="76"/>
        <v>41137</v>
      </c>
      <c r="B332">
        <v>219.7</v>
      </c>
      <c r="C332">
        <v>126.9</v>
      </c>
      <c r="D332">
        <v>132.6</v>
      </c>
      <c r="E332">
        <v>107.4</v>
      </c>
      <c r="F332" s="86">
        <f t="shared" si="83"/>
        <v>352.29999999999995</v>
      </c>
      <c r="G332" s="86">
        <f t="shared" si="82"/>
        <v>234.3</v>
      </c>
      <c r="H332" s="24">
        <f t="shared" si="80"/>
        <v>50.362782757148935</v>
      </c>
    </row>
    <row r="333" spans="1:8" x14ac:dyDescent="0.25">
      <c r="A333" s="10">
        <f t="shared" si="76"/>
        <v>41144</v>
      </c>
      <c r="B333">
        <v>229</v>
      </c>
      <c r="C333">
        <v>131.9</v>
      </c>
      <c r="D333">
        <v>132.6</v>
      </c>
      <c r="E333">
        <v>107.4</v>
      </c>
      <c r="F333" s="86">
        <f t="shared" si="83"/>
        <v>361.6</v>
      </c>
      <c r="G333" s="86">
        <f t="shared" si="82"/>
        <v>239.3</v>
      </c>
      <c r="H333" s="24">
        <f t="shared" si="80"/>
        <v>51.107396573338917</v>
      </c>
    </row>
    <row r="334" spans="1:8" x14ac:dyDescent="0.25">
      <c r="A334" s="10">
        <f t="shared" si="76"/>
        <v>41151</v>
      </c>
      <c r="B334">
        <v>229</v>
      </c>
      <c r="C334">
        <v>119.9</v>
      </c>
      <c r="D334">
        <v>132.6</v>
      </c>
      <c r="E334">
        <v>119.4</v>
      </c>
      <c r="F334" s="86">
        <f t="shared" si="83"/>
        <v>361.6</v>
      </c>
      <c r="G334" s="86">
        <f t="shared" si="82"/>
        <v>239.3</v>
      </c>
      <c r="H334" s="24">
        <f t="shared" si="80"/>
        <v>51.107396573338917</v>
      </c>
    </row>
    <row r="335" spans="1:8" x14ac:dyDescent="0.25">
      <c r="A335" s="10">
        <f t="shared" si="76"/>
        <v>41158</v>
      </c>
      <c r="B335">
        <v>218</v>
      </c>
      <c r="C335">
        <v>119.9</v>
      </c>
      <c r="D335">
        <v>143.6</v>
      </c>
      <c r="E335">
        <v>119.4</v>
      </c>
      <c r="F335" s="86">
        <f t="shared" si="83"/>
        <v>361.6</v>
      </c>
      <c r="G335" s="86">
        <f t="shared" si="82"/>
        <v>239.3</v>
      </c>
      <c r="H335" s="24">
        <f t="shared" ref="H335:H366" si="84">+(F335/G335-1)*100</f>
        <v>51.107396573338917</v>
      </c>
    </row>
    <row r="336" spans="1:8" x14ac:dyDescent="0.25">
      <c r="A336" s="10">
        <f t="shared" si="76"/>
        <v>41165</v>
      </c>
      <c r="B336">
        <v>236</v>
      </c>
      <c r="C336">
        <v>127.9</v>
      </c>
      <c r="D336">
        <v>159.6</v>
      </c>
      <c r="E336">
        <v>168.1</v>
      </c>
      <c r="F336" s="86">
        <f t="shared" si="83"/>
        <v>395.6</v>
      </c>
      <c r="G336" s="86">
        <f t="shared" si="82"/>
        <v>296</v>
      </c>
      <c r="H336" s="24">
        <f t="shared" si="84"/>
        <v>33.648648648648646</v>
      </c>
    </row>
    <row r="337" spans="1:8" x14ac:dyDescent="0.25">
      <c r="A337" s="10">
        <f t="shared" si="76"/>
        <v>41172</v>
      </c>
      <c r="B337">
        <v>193.8</v>
      </c>
      <c r="C337">
        <v>103.9</v>
      </c>
      <c r="D337">
        <v>208.2</v>
      </c>
      <c r="E337">
        <v>187.9</v>
      </c>
      <c r="F337" s="86">
        <f t="shared" si="83"/>
        <v>402</v>
      </c>
      <c r="G337" s="86">
        <f t="shared" si="82"/>
        <v>291.8</v>
      </c>
      <c r="H337" s="24">
        <f t="shared" si="84"/>
        <v>37.765592871830009</v>
      </c>
    </row>
    <row r="338" spans="1:8" x14ac:dyDescent="0.25">
      <c r="A338" s="10">
        <f t="shared" si="76"/>
        <v>41179</v>
      </c>
      <c r="B338">
        <v>183.3</v>
      </c>
      <c r="C338">
        <v>110.8</v>
      </c>
      <c r="D338">
        <v>223.2</v>
      </c>
      <c r="E338">
        <v>205.9</v>
      </c>
      <c r="F338" s="86">
        <f t="shared" si="83"/>
        <v>406.5</v>
      </c>
      <c r="G338" s="86">
        <f t="shared" si="82"/>
        <v>316.7</v>
      </c>
      <c r="H338" s="24">
        <f t="shared" si="84"/>
        <v>28.3549100094727</v>
      </c>
    </row>
    <row r="339" spans="1:8" x14ac:dyDescent="0.25">
      <c r="A339" s="10">
        <f t="shared" si="76"/>
        <v>41186</v>
      </c>
      <c r="B339">
        <v>120.1</v>
      </c>
      <c r="C339">
        <v>110.8</v>
      </c>
      <c r="D339">
        <v>285.60000000000002</v>
      </c>
      <c r="E339">
        <v>205.9</v>
      </c>
      <c r="F339" s="86">
        <f t="shared" si="83"/>
        <v>405.70000000000005</v>
      </c>
      <c r="G339" s="86">
        <f t="shared" ref="G339:G370" si="85">+C339+E339</f>
        <v>316.7</v>
      </c>
      <c r="H339" s="24">
        <f t="shared" si="84"/>
        <v>28.102305020524177</v>
      </c>
    </row>
    <row r="340" spans="1:8" x14ac:dyDescent="0.25">
      <c r="A340" s="10">
        <f t="shared" si="76"/>
        <v>41193</v>
      </c>
      <c r="B340">
        <v>150.1</v>
      </c>
      <c r="C340">
        <v>110.8</v>
      </c>
      <c r="D340">
        <v>285.60000000000002</v>
      </c>
      <c r="E340">
        <v>217.8</v>
      </c>
      <c r="F340" s="86">
        <f t="shared" si="83"/>
        <v>435.70000000000005</v>
      </c>
      <c r="G340" s="86">
        <f t="shared" si="85"/>
        <v>328.6</v>
      </c>
      <c r="H340" s="24">
        <f t="shared" si="84"/>
        <v>32.592818015824719</v>
      </c>
    </row>
    <row r="341" spans="1:8" x14ac:dyDescent="0.25">
      <c r="A341" s="10">
        <f t="shared" si="76"/>
        <v>41200</v>
      </c>
      <c r="B341">
        <v>180.1</v>
      </c>
      <c r="C341">
        <v>134.9</v>
      </c>
      <c r="D341">
        <v>285.60000000000002</v>
      </c>
      <c r="E341">
        <v>217.8</v>
      </c>
      <c r="F341" s="86">
        <f t="shared" si="83"/>
        <v>465.70000000000005</v>
      </c>
      <c r="G341" s="86">
        <f t="shared" si="85"/>
        <v>352.70000000000005</v>
      </c>
      <c r="H341" s="24">
        <f t="shared" si="84"/>
        <v>32.038559682449666</v>
      </c>
    </row>
    <row r="342" spans="1:8" x14ac:dyDescent="0.25">
      <c r="A342" s="10">
        <f t="shared" si="76"/>
        <v>41207</v>
      </c>
      <c r="B342">
        <v>174.1</v>
      </c>
      <c r="C342">
        <v>128.6</v>
      </c>
      <c r="D342">
        <v>295.60000000000002</v>
      </c>
      <c r="E342">
        <v>224.5</v>
      </c>
      <c r="F342" s="86">
        <f t="shared" si="83"/>
        <v>469.70000000000005</v>
      </c>
      <c r="G342" s="86">
        <f t="shared" si="85"/>
        <v>353.1</v>
      </c>
      <c r="H342" s="24">
        <f t="shared" si="84"/>
        <v>33.021806853582561</v>
      </c>
    </row>
    <row r="343" spans="1:8" x14ac:dyDescent="0.25">
      <c r="A343" s="10">
        <f t="shared" si="76"/>
        <v>41214</v>
      </c>
      <c r="B343">
        <v>160.6</v>
      </c>
      <c r="C343">
        <v>128.6</v>
      </c>
      <c r="D343">
        <v>317.60000000000002</v>
      </c>
      <c r="E343">
        <v>224.5</v>
      </c>
      <c r="F343" s="86">
        <f t="shared" si="83"/>
        <v>478.20000000000005</v>
      </c>
      <c r="G343" s="86">
        <f t="shared" si="85"/>
        <v>353.1</v>
      </c>
      <c r="H343" s="24">
        <f t="shared" si="84"/>
        <v>35.429056924384028</v>
      </c>
    </row>
    <row r="344" spans="1:8" x14ac:dyDescent="0.25">
      <c r="A344" s="10">
        <f t="shared" si="76"/>
        <v>41221</v>
      </c>
      <c r="B344">
        <v>160.6</v>
      </c>
      <c r="C344">
        <v>124.4</v>
      </c>
      <c r="D344">
        <v>317.60000000000002</v>
      </c>
      <c r="E344">
        <v>266.2</v>
      </c>
      <c r="F344" s="86">
        <f t="shared" si="83"/>
        <v>478.20000000000005</v>
      </c>
      <c r="G344" s="86">
        <f t="shared" si="85"/>
        <v>390.6</v>
      </c>
      <c r="H344" s="24">
        <f t="shared" si="84"/>
        <v>22.427035330261134</v>
      </c>
    </row>
    <row r="345" spans="1:8" x14ac:dyDescent="0.25">
      <c r="A345" s="10">
        <f t="shared" si="76"/>
        <v>41228</v>
      </c>
      <c r="B345">
        <v>154.30000000000001</v>
      </c>
      <c r="C345">
        <v>124.4</v>
      </c>
      <c r="D345">
        <v>324.3</v>
      </c>
      <c r="E345">
        <v>266.2</v>
      </c>
      <c r="F345" s="86">
        <f t="shared" si="83"/>
        <v>478.6</v>
      </c>
      <c r="G345" s="86">
        <f t="shared" si="85"/>
        <v>390.6</v>
      </c>
      <c r="H345" s="24">
        <f t="shared" si="84"/>
        <v>22.529441884280587</v>
      </c>
    </row>
    <row r="346" spans="1:8" x14ac:dyDescent="0.25">
      <c r="A346" s="10">
        <f t="shared" ref="A346:A410" si="86">+A345+7</f>
        <v>41235</v>
      </c>
      <c r="B346">
        <v>166.3</v>
      </c>
      <c r="C346">
        <v>137.1</v>
      </c>
      <c r="D346">
        <v>324.3</v>
      </c>
      <c r="E346">
        <v>279.10000000000002</v>
      </c>
      <c r="F346" s="86">
        <f t="shared" si="83"/>
        <v>490.6</v>
      </c>
      <c r="G346" s="86">
        <f t="shared" si="85"/>
        <v>416.20000000000005</v>
      </c>
      <c r="H346" s="24">
        <f t="shared" si="84"/>
        <v>17.876021143680919</v>
      </c>
    </row>
    <row r="347" spans="1:8" x14ac:dyDescent="0.25">
      <c r="A347" s="10">
        <f t="shared" si="86"/>
        <v>41242</v>
      </c>
      <c r="B347">
        <v>171.8</v>
      </c>
      <c r="C347">
        <v>125.1</v>
      </c>
      <c r="D347">
        <v>334.3</v>
      </c>
      <c r="E347">
        <v>290.3</v>
      </c>
      <c r="F347" s="86">
        <f t="shared" si="83"/>
        <v>506.1</v>
      </c>
      <c r="G347" s="86">
        <f t="shared" si="85"/>
        <v>415.4</v>
      </c>
      <c r="H347" s="24">
        <f t="shared" si="84"/>
        <v>21.834376504573918</v>
      </c>
    </row>
    <row r="348" spans="1:8" x14ac:dyDescent="0.25">
      <c r="A348" s="10">
        <f t="shared" si="86"/>
        <v>41249</v>
      </c>
      <c r="B348">
        <v>155.80000000000001</v>
      </c>
      <c r="C348">
        <v>130.1</v>
      </c>
      <c r="D348">
        <v>349.1</v>
      </c>
      <c r="E348">
        <v>301.3</v>
      </c>
      <c r="F348" s="86">
        <f t="shared" si="83"/>
        <v>504.90000000000003</v>
      </c>
      <c r="G348" s="86">
        <f t="shared" si="85"/>
        <v>431.4</v>
      </c>
      <c r="H348" s="24">
        <f t="shared" si="84"/>
        <v>17.03755215577192</v>
      </c>
    </row>
    <row r="349" spans="1:8" x14ac:dyDescent="0.25">
      <c r="A349" s="10">
        <f t="shared" si="86"/>
        <v>41256</v>
      </c>
      <c r="B349">
        <v>164.3</v>
      </c>
      <c r="C349">
        <v>157.1</v>
      </c>
      <c r="D349">
        <v>367.6</v>
      </c>
      <c r="E349">
        <v>301.3</v>
      </c>
      <c r="F349" s="86">
        <f t="shared" si="83"/>
        <v>531.90000000000009</v>
      </c>
      <c r="G349" s="86">
        <f t="shared" si="85"/>
        <v>458.4</v>
      </c>
      <c r="H349" s="24">
        <f t="shared" si="84"/>
        <v>16.034031413612592</v>
      </c>
    </row>
    <row r="350" spans="1:8" x14ac:dyDescent="0.25">
      <c r="A350" s="10">
        <f t="shared" si="86"/>
        <v>41263</v>
      </c>
      <c r="B350">
        <v>134.30000000000001</v>
      </c>
      <c r="C350">
        <v>185.9</v>
      </c>
      <c r="D350">
        <v>397.8</v>
      </c>
      <c r="E350">
        <v>301.3</v>
      </c>
      <c r="F350" s="86">
        <f t="shared" si="83"/>
        <v>532.1</v>
      </c>
      <c r="G350" s="86">
        <f t="shared" si="85"/>
        <v>487.20000000000005</v>
      </c>
      <c r="H350" s="24">
        <f t="shared" si="84"/>
        <v>9.215927750410513</v>
      </c>
    </row>
    <row r="351" spans="1:8" x14ac:dyDescent="0.25">
      <c r="A351" s="10">
        <f t="shared" si="86"/>
        <v>41270</v>
      </c>
      <c r="B351">
        <v>134.80000000000001</v>
      </c>
      <c r="C351">
        <v>178.4</v>
      </c>
      <c r="D351">
        <v>397.8</v>
      </c>
      <c r="E351">
        <v>301.3</v>
      </c>
      <c r="F351" s="86">
        <f t="shared" si="83"/>
        <v>532.6</v>
      </c>
      <c r="G351" s="86">
        <f t="shared" si="85"/>
        <v>479.70000000000005</v>
      </c>
      <c r="H351" s="24">
        <f t="shared" si="84"/>
        <v>11.027725661872001</v>
      </c>
    </row>
    <row r="352" spans="1:8" x14ac:dyDescent="0.25">
      <c r="A352" s="10">
        <f t="shared" si="86"/>
        <v>41277</v>
      </c>
      <c r="B352">
        <v>134.80000000000001</v>
      </c>
      <c r="C352">
        <v>179.4</v>
      </c>
      <c r="D352">
        <v>397.8</v>
      </c>
      <c r="E352">
        <v>301.3</v>
      </c>
      <c r="F352" s="86">
        <f t="shared" si="83"/>
        <v>532.6</v>
      </c>
      <c r="G352" s="86">
        <f t="shared" si="85"/>
        <v>480.70000000000005</v>
      </c>
      <c r="H352" s="24">
        <f t="shared" si="84"/>
        <v>10.796754732681491</v>
      </c>
    </row>
    <row r="353" spans="1:9" x14ac:dyDescent="0.25">
      <c r="A353" s="10">
        <f t="shared" si="86"/>
        <v>41284</v>
      </c>
      <c r="B353">
        <v>100.8</v>
      </c>
      <c r="C353">
        <v>153.6</v>
      </c>
      <c r="D353">
        <v>431.6</v>
      </c>
      <c r="E353">
        <v>327.10000000000002</v>
      </c>
      <c r="F353" s="86">
        <f t="shared" si="83"/>
        <v>532.4</v>
      </c>
      <c r="G353" s="86">
        <f t="shared" si="85"/>
        <v>480.70000000000005</v>
      </c>
      <c r="H353" s="24">
        <f t="shared" si="84"/>
        <v>10.75514874141874</v>
      </c>
    </row>
    <row r="354" spans="1:9" x14ac:dyDescent="0.25">
      <c r="A354" s="10">
        <f t="shared" si="86"/>
        <v>41291</v>
      </c>
      <c r="B354">
        <v>100.8</v>
      </c>
      <c r="C354">
        <v>153.6</v>
      </c>
      <c r="D354">
        <v>431.6</v>
      </c>
      <c r="E354">
        <v>327.10000000000002</v>
      </c>
      <c r="F354" s="86">
        <f t="shared" ref="F354:F359" si="87">+B354+D354</f>
        <v>532.4</v>
      </c>
      <c r="G354" s="86">
        <f t="shared" si="85"/>
        <v>480.70000000000005</v>
      </c>
      <c r="H354" s="24">
        <f t="shared" si="84"/>
        <v>10.75514874141874</v>
      </c>
    </row>
    <row r="355" spans="1:9" x14ac:dyDescent="0.25">
      <c r="A355" s="10">
        <f t="shared" si="86"/>
        <v>41298</v>
      </c>
      <c r="B355">
        <v>84.8</v>
      </c>
      <c r="C355">
        <v>153.6</v>
      </c>
      <c r="D355">
        <v>447.6</v>
      </c>
      <c r="E355">
        <v>343.5</v>
      </c>
      <c r="F355" s="86">
        <f t="shared" si="87"/>
        <v>532.4</v>
      </c>
      <c r="G355" s="86">
        <f t="shared" si="85"/>
        <v>497.1</v>
      </c>
      <c r="H355" s="24">
        <f t="shared" si="84"/>
        <v>7.1011868839267578</v>
      </c>
    </row>
    <row r="356" spans="1:9" x14ac:dyDescent="0.25">
      <c r="A356" s="10">
        <f t="shared" si="86"/>
        <v>41305</v>
      </c>
      <c r="B356">
        <v>84.8</v>
      </c>
      <c r="C356">
        <v>155.6</v>
      </c>
      <c r="D356">
        <v>447.6</v>
      </c>
      <c r="E356">
        <v>374.3</v>
      </c>
      <c r="F356" s="86">
        <f t="shared" si="87"/>
        <v>532.4</v>
      </c>
      <c r="G356" s="86">
        <f t="shared" si="85"/>
        <v>529.9</v>
      </c>
      <c r="H356" s="24">
        <f t="shared" si="84"/>
        <v>0.47178712964710545</v>
      </c>
    </row>
    <row r="357" spans="1:9" x14ac:dyDescent="0.25">
      <c r="A357" s="10">
        <f t="shared" si="86"/>
        <v>41312</v>
      </c>
      <c r="B357">
        <v>74.8</v>
      </c>
      <c r="C357">
        <v>159.6</v>
      </c>
      <c r="D357">
        <v>468.7</v>
      </c>
      <c r="E357">
        <v>374.3</v>
      </c>
      <c r="F357" s="86">
        <f t="shared" si="87"/>
        <v>543.5</v>
      </c>
      <c r="G357" s="86">
        <f t="shared" si="85"/>
        <v>533.9</v>
      </c>
      <c r="H357" s="24">
        <f t="shared" si="84"/>
        <v>1.7980895298745025</v>
      </c>
    </row>
    <row r="358" spans="1:9" x14ac:dyDescent="0.25">
      <c r="A358" s="10">
        <f t="shared" si="86"/>
        <v>41319</v>
      </c>
      <c r="B358">
        <v>89.8</v>
      </c>
      <c r="C358">
        <v>165.9</v>
      </c>
      <c r="D358">
        <v>468.7</v>
      </c>
      <c r="E358">
        <v>374.3</v>
      </c>
      <c r="F358" s="86">
        <f t="shared" si="87"/>
        <v>558.5</v>
      </c>
      <c r="G358" s="86">
        <f t="shared" si="85"/>
        <v>540.20000000000005</v>
      </c>
      <c r="H358" s="24">
        <f t="shared" si="84"/>
        <v>3.3876342095520151</v>
      </c>
    </row>
    <row r="359" spans="1:9" x14ac:dyDescent="0.25">
      <c r="A359" s="10">
        <f t="shared" si="86"/>
        <v>41326</v>
      </c>
      <c r="B359">
        <v>96.1</v>
      </c>
      <c r="C359">
        <v>165.9</v>
      </c>
      <c r="D359">
        <v>472.7</v>
      </c>
      <c r="E359">
        <v>374.3</v>
      </c>
      <c r="F359" s="86">
        <f t="shared" si="87"/>
        <v>568.79999999999995</v>
      </c>
      <c r="G359" s="86">
        <f t="shared" si="85"/>
        <v>540.20000000000005</v>
      </c>
      <c r="H359" s="24">
        <f t="shared" si="84"/>
        <v>5.2943354313217172</v>
      </c>
    </row>
    <row r="360" spans="1:9" x14ac:dyDescent="0.25">
      <c r="A360" s="10">
        <f t="shared" si="86"/>
        <v>41333</v>
      </c>
      <c r="B360">
        <v>85</v>
      </c>
      <c r="C360">
        <v>163.4</v>
      </c>
      <c r="D360">
        <v>486.7</v>
      </c>
      <c r="E360">
        <v>401.8</v>
      </c>
      <c r="F360" s="86">
        <f t="shared" ref="F360:F376" si="88">+B360+D360</f>
        <v>571.70000000000005</v>
      </c>
      <c r="G360" s="86">
        <f t="shared" si="85"/>
        <v>565.20000000000005</v>
      </c>
      <c r="H360" s="24">
        <f t="shared" si="84"/>
        <v>1.1500353857041734</v>
      </c>
    </row>
    <row r="361" spans="1:9" x14ac:dyDescent="0.25">
      <c r="A361" s="10">
        <f t="shared" si="86"/>
        <v>41340</v>
      </c>
      <c r="B361">
        <v>100</v>
      </c>
      <c r="C361">
        <v>138.30000000000001</v>
      </c>
      <c r="D361">
        <v>486.7</v>
      </c>
      <c r="E361">
        <v>444.8</v>
      </c>
      <c r="F361" s="86">
        <f t="shared" si="88"/>
        <v>586.70000000000005</v>
      </c>
      <c r="G361" s="86">
        <f t="shared" si="85"/>
        <v>583.1</v>
      </c>
      <c r="H361" s="24">
        <f t="shared" si="84"/>
        <v>0.61738981306809215</v>
      </c>
    </row>
    <row r="362" spans="1:9" x14ac:dyDescent="0.25">
      <c r="A362" s="10">
        <f t="shared" si="86"/>
        <v>41347</v>
      </c>
      <c r="B362">
        <v>111.7</v>
      </c>
      <c r="C362">
        <v>138.30000000000001</v>
      </c>
      <c r="D362">
        <v>486.7</v>
      </c>
      <c r="E362">
        <v>459.8</v>
      </c>
      <c r="F362" s="86">
        <f t="shared" si="88"/>
        <v>598.4</v>
      </c>
      <c r="G362" s="86">
        <f t="shared" si="85"/>
        <v>598.1</v>
      </c>
      <c r="H362" s="24">
        <f t="shared" si="84"/>
        <v>5.0158836314984079E-2</v>
      </c>
    </row>
    <row r="363" spans="1:9" x14ac:dyDescent="0.25">
      <c r="A363" s="10">
        <f t="shared" si="86"/>
        <v>41354</v>
      </c>
      <c r="B363">
        <v>111.7</v>
      </c>
      <c r="C363">
        <v>120.5</v>
      </c>
      <c r="D363">
        <v>486.7</v>
      </c>
      <c r="E363">
        <v>480.7</v>
      </c>
      <c r="F363" s="86">
        <f t="shared" si="88"/>
        <v>598.4</v>
      </c>
      <c r="G363" s="86">
        <f t="shared" si="85"/>
        <v>601.20000000000005</v>
      </c>
      <c r="H363" s="24">
        <f t="shared" si="84"/>
        <v>-0.46573519627413074</v>
      </c>
    </row>
    <row r="364" spans="1:9" x14ac:dyDescent="0.25">
      <c r="A364" s="10">
        <f t="shared" si="86"/>
        <v>41361</v>
      </c>
      <c r="B364">
        <v>113.7</v>
      </c>
      <c r="C364">
        <v>135.80000000000001</v>
      </c>
      <c r="D364">
        <v>501.7</v>
      </c>
      <c r="E364">
        <v>507.3</v>
      </c>
      <c r="F364" s="86">
        <f t="shared" si="88"/>
        <v>615.4</v>
      </c>
      <c r="G364" s="86">
        <f t="shared" si="85"/>
        <v>643.1</v>
      </c>
      <c r="H364" s="24">
        <f t="shared" si="84"/>
        <v>-4.3072617011351344</v>
      </c>
    </row>
    <row r="365" spans="1:9" x14ac:dyDescent="0.25">
      <c r="A365" s="10">
        <f t="shared" si="86"/>
        <v>41368</v>
      </c>
      <c r="B365">
        <v>106.7</v>
      </c>
      <c r="C365">
        <v>140.80000000000001</v>
      </c>
      <c r="D365">
        <v>516.29999999999995</v>
      </c>
      <c r="E365">
        <v>507.3</v>
      </c>
      <c r="F365" s="86">
        <f t="shared" si="88"/>
        <v>623</v>
      </c>
      <c r="G365" s="86">
        <f t="shared" si="85"/>
        <v>648.1</v>
      </c>
      <c r="H365" s="24">
        <f t="shared" si="84"/>
        <v>-3.8728591266779855</v>
      </c>
    </row>
    <row r="366" spans="1:9" x14ac:dyDescent="0.25">
      <c r="A366" s="10">
        <f t="shared" si="86"/>
        <v>41375</v>
      </c>
      <c r="B366">
        <v>115.5</v>
      </c>
      <c r="C366">
        <v>115.8</v>
      </c>
      <c r="D366">
        <v>516.29999999999995</v>
      </c>
      <c r="E366">
        <v>533.4</v>
      </c>
      <c r="F366" s="86">
        <f t="shared" si="88"/>
        <v>631.79999999999995</v>
      </c>
      <c r="G366" s="86">
        <f t="shared" si="85"/>
        <v>649.19999999999993</v>
      </c>
      <c r="H366" s="24">
        <f t="shared" si="84"/>
        <v>-2.6802218114602594</v>
      </c>
      <c r="I366">
        <v>27.2</v>
      </c>
    </row>
    <row r="367" spans="1:9" x14ac:dyDescent="0.25">
      <c r="A367" s="10">
        <f t="shared" si="86"/>
        <v>41382</v>
      </c>
      <c r="B367">
        <v>116.5</v>
      </c>
      <c r="C367">
        <v>115.8</v>
      </c>
      <c r="D367">
        <v>516.29999999999995</v>
      </c>
      <c r="E367">
        <v>533.4</v>
      </c>
      <c r="F367" s="86">
        <f t="shared" si="88"/>
        <v>632.79999999999995</v>
      </c>
      <c r="G367" s="86">
        <f t="shared" si="85"/>
        <v>649.19999999999993</v>
      </c>
      <c r="H367" s="24">
        <f t="shared" ref="H367:H376" si="89">+(F367/G367-1)*100</f>
        <v>-2.5261860751694343</v>
      </c>
      <c r="I367">
        <v>27.2</v>
      </c>
    </row>
    <row r="368" spans="1:9" x14ac:dyDescent="0.25">
      <c r="A368" s="10">
        <f t="shared" si="86"/>
        <v>41389</v>
      </c>
      <c r="B368">
        <v>116.5</v>
      </c>
      <c r="C368">
        <v>98.8</v>
      </c>
      <c r="D368">
        <v>516.29999999999995</v>
      </c>
      <c r="E368">
        <v>553.4</v>
      </c>
      <c r="F368" s="86">
        <f t="shared" si="88"/>
        <v>632.79999999999995</v>
      </c>
      <c r="G368" s="86">
        <f t="shared" si="85"/>
        <v>652.19999999999993</v>
      </c>
      <c r="H368" s="24">
        <f t="shared" si="89"/>
        <v>-2.9745476847592767</v>
      </c>
      <c r="I368">
        <v>54.4</v>
      </c>
    </row>
    <row r="369" spans="1:9" x14ac:dyDescent="0.25">
      <c r="A369" s="10">
        <f t="shared" si="86"/>
        <v>41396</v>
      </c>
      <c r="B369">
        <v>96.5</v>
      </c>
      <c r="C369">
        <v>98.8</v>
      </c>
      <c r="D369">
        <v>536.29999999999995</v>
      </c>
      <c r="E369">
        <v>553.4</v>
      </c>
      <c r="F369" s="86">
        <f t="shared" si="88"/>
        <v>632.79999999999995</v>
      </c>
      <c r="G369" s="86">
        <f t="shared" si="85"/>
        <v>652.19999999999993</v>
      </c>
      <c r="H369" s="24">
        <f t="shared" si="89"/>
        <v>-2.9745476847592767</v>
      </c>
      <c r="I369">
        <v>60.4</v>
      </c>
    </row>
    <row r="370" spans="1:9" x14ac:dyDescent="0.25">
      <c r="A370" s="10">
        <f t="shared" si="86"/>
        <v>41403</v>
      </c>
      <c r="B370">
        <v>81.5</v>
      </c>
      <c r="C370">
        <v>88.1</v>
      </c>
      <c r="D370">
        <v>550.79999999999995</v>
      </c>
      <c r="E370">
        <v>571.1</v>
      </c>
      <c r="F370" s="86">
        <f t="shared" si="88"/>
        <v>632.29999999999995</v>
      </c>
      <c r="G370" s="86">
        <f t="shared" si="85"/>
        <v>659.2</v>
      </c>
      <c r="H370" s="24">
        <f t="shared" si="89"/>
        <v>-4.080703883495163</v>
      </c>
      <c r="I370">
        <v>72.400000000000006</v>
      </c>
    </row>
    <row r="371" spans="1:9" x14ac:dyDescent="0.25">
      <c r="A371" s="10">
        <f t="shared" si="86"/>
        <v>41410</v>
      </c>
      <c r="B371">
        <v>95.5</v>
      </c>
      <c r="C371">
        <v>88.1</v>
      </c>
      <c r="D371">
        <v>565.29999999999995</v>
      </c>
      <c r="E371">
        <v>571.1</v>
      </c>
      <c r="F371" s="86">
        <f t="shared" si="88"/>
        <v>660.8</v>
      </c>
      <c r="G371" s="86">
        <f t="shared" ref="G371:G376" si="90">+C371+E371</f>
        <v>659.2</v>
      </c>
      <c r="H371" s="24">
        <f t="shared" si="89"/>
        <v>0.24271844660193054</v>
      </c>
      <c r="I371">
        <v>138.9</v>
      </c>
    </row>
    <row r="372" spans="1:9" x14ac:dyDescent="0.25">
      <c r="A372" s="10">
        <f t="shared" si="86"/>
        <v>41417</v>
      </c>
      <c r="B372">
        <v>39.200000000000003</v>
      </c>
      <c r="C372">
        <v>86.8</v>
      </c>
      <c r="D372">
        <v>615.9</v>
      </c>
      <c r="E372">
        <v>571.1</v>
      </c>
      <c r="F372" s="86">
        <f t="shared" si="88"/>
        <v>655.1</v>
      </c>
      <c r="G372" s="86">
        <f t="shared" si="90"/>
        <v>657.9</v>
      </c>
      <c r="H372" s="24">
        <f t="shared" si="89"/>
        <v>-0.42559659522722892</v>
      </c>
      <c r="I372">
        <v>137.4</v>
      </c>
    </row>
    <row r="373" spans="1:9" x14ac:dyDescent="0.25">
      <c r="A373" s="10">
        <f t="shared" si="86"/>
        <v>41424</v>
      </c>
      <c r="B373">
        <v>24.2</v>
      </c>
      <c r="C373">
        <v>63.8</v>
      </c>
      <c r="D373">
        <v>631.4</v>
      </c>
      <c r="E373">
        <v>593.5</v>
      </c>
      <c r="F373" s="86">
        <f t="shared" si="88"/>
        <v>655.6</v>
      </c>
      <c r="G373" s="86">
        <f t="shared" si="90"/>
        <v>657.3</v>
      </c>
      <c r="H373" s="24">
        <f t="shared" si="89"/>
        <v>-0.2586338049596737</v>
      </c>
      <c r="I373">
        <v>144.6</v>
      </c>
    </row>
    <row r="374" spans="1:9" x14ac:dyDescent="0.25">
      <c r="A374" s="10">
        <f t="shared" si="86"/>
        <v>41431</v>
      </c>
      <c r="B374">
        <v>176</v>
      </c>
      <c r="C374">
        <v>209.4</v>
      </c>
      <c r="D374">
        <v>0</v>
      </c>
      <c r="E374">
        <v>15.5</v>
      </c>
      <c r="F374" s="86">
        <f t="shared" si="88"/>
        <v>176</v>
      </c>
      <c r="G374" s="86">
        <f t="shared" si="90"/>
        <v>224.9</v>
      </c>
      <c r="H374" s="24">
        <f t="shared" si="89"/>
        <v>-21.742996887505562</v>
      </c>
    </row>
    <row r="375" spans="1:9" x14ac:dyDescent="0.25">
      <c r="A375" s="10">
        <f t="shared" si="86"/>
        <v>41438</v>
      </c>
      <c r="B375">
        <v>176</v>
      </c>
      <c r="C375">
        <v>216.4</v>
      </c>
      <c r="D375">
        <v>0</v>
      </c>
      <c r="E375">
        <v>15.5</v>
      </c>
      <c r="F375" s="86">
        <f t="shared" si="88"/>
        <v>176</v>
      </c>
      <c r="G375" s="86">
        <f t="shared" si="90"/>
        <v>231.9</v>
      </c>
      <c r="H375" s="24">
        <f t="shared" si="89"/>
        <v>-24.105217766278574</v>
      </c>
    </row>
    <row r="376" spans="1:9" x14ac:dyDescent="0.25">
      <c r="A376" s="10">
        <f t="shared" si="86"/>
        <v>41445</v>
      </c>
      <c r="B376">
        <v>183.1</v>
      </c>
      <c r="C376">
        <v>183.6</v>
      </c>
      <c r="D376">
        <v>0</v>
      </c>
      <c r="E376">
        <v>67.7</v>
      </c>
      <c r="F376" s="86">
        <f t="shared" si="88"/>
        <v>183.1</v>
      </c>
      <c r="G376" s="86">
        <f t="shared" si="90"/>
        <v>251.3</v>
      </c>
      <c r="H376" s="24">
        <f t="shared" si="89"/>
        <v>-27.138877835256668</v>
      </c>
    </row>
    <row r="377" spans="1:9" x14ac:dyDescent="0.25">
      <c r="A377" s="10">
        <f t="shared" si="86"/>
        <v>41452</v>
      </c>
      <c r="B377">
        <v>176.6</v>
      </c>
      <c r="C377">
        <v>178.4</v>
      </c>
      <c r="D377">
        <v>7.2</v>
      </c>
      <c r="E377">
        <v>78.400000000000006</v>
      </c>
      <c r="F377" s="86">
        <f t="shared" ref="F377:G379" si="91">+B377+D377</f>
        <v>183.79999999999998</v>
      </c>
      <c r="G377" s="86">
        <f t="shared" si="91"/>
        <v>256.8</v>
      </c>
      <c r="H377" s="24">
        <f t="shared" ref="H377:H382" si="92">+(F377/G377-1)*100</f>
        <v>-28.42679127725858</v>
      </c>
    </row>
    <row r="378" spans="1:9" x14ac:dyDescent="0.25">
      <c r="A378" s="10">
        <f t="shared" si="86"/>
        <v>41459</v>
      </c>
      <c r="B378">
        <v>182.9</v>
      </c>
      <c r="C378">
        <v>178.4</v>
      </c>
      <c r="D378">
        <v>7.2</v>
      </c>
      <c r="E378">
        <v>78.400000000000006</v>
      </c>
      <c r="F378" s="86">
        <f t="shared" si="91"/>
        <v>190.1</v>
      </c>
      <c r="G378" s="86">
        <f t="shared" si="91"/>
        <v>256.8</v>
      </c>
      <c r="H378" s="24">
        <f t="shared" si="92"/>
        <v>-25.973520249221195</v>
      </c>
    </row>
    <row r="379" spans="1:9" x14ac:dyDescent="0.25">
      <c r="A379" s="10">
        <f t="shared" si="86"/>
        <v>41466</v>
      </c>
      <c r="B379">
        <v>204.8</v>
      </c>
      <c r="C379">
        <v>209.4</v>
      </c>
      <c r="D379">
        <v>21.1</v>
      </c>
      <c r="E379">
        <v>78.400000000000006</v>
      </c>
      <c r="F379" s="86">
        <f t="shared" si="91"/>
        <v>225.9</v>
      </c>
      <c r="G379" s="86">
        <f t="shared" si="91"/>
        <v>287.8</v>
      </c>
      <c r="H379" s="24">
        <f t="shared" si="92"/>
        <v>-21.507991660875614</v>
      </c>
    </row>
    <row r="380" spans="1:9" x14ac:dyDescent="0.25">
      <c r="A380" s="10">
        <f t="shared" si="86"/>
        <v>41473</v>
      </c>
      <c r="B380">
        <v>206.8</v>
      </c>
      <c r="C380">
        <v>213.6</v>
      </c>
      <c r="D380">
        <v>30.6</v>
      </c>
      <c r="E380">
        <v>100.4</v>
      </c>
      <c r="F380" s="86">
        <f t="shared" ref="F380:F391" si="93">+B380+D380</f>
        <v>237.4</v>
      </c>
      <c r="G380" s="86">
        <f t="shared" ref="G380:G391" si="94">+C380+E380</f>
        <v>314</v>
      </c>
      <c r="H380" s="24">
        <f t="shared" si="92"/>
        <v>-24.39490445859872</v>
      </c>
    </row>
    <row r="381" spans="1:9" x14ac:dyDescent="0.25">
      <c r="A381" s="10">
        <f t="shared" si="86"/>
        <v>41480</v>
      </c>
      <c r="B381">
        <v>215.3</v>
      </c>
      <c r="C381">
        <v>205.3</v>
      </c>
      <c r="D381">
        <v>37</v>
      </c>
      <c r="E381">
        <v>116.1</v>
      </c>
      <c r="F381" s="86">
        <f t="shared" si="93"/>
        <v>252.3</v>
      </c>
      <c r="G381" s="86">
        <f t="shared" si="94"/>
        <v>321.39999999999998</v>
      </c>
      <c r="H381" s="24">
        <f t="shared" si="92"/>
        <v>-21.499688861232102</v>
      </c>
    </row>
    <row r="382" spans="1:9" x14ac:dyDescent="0.25">
      <c r="A382" s="10">
        <f t="shared" si="86"/>
        <v>41487</v>
      </c>
      <c r="B382">
        <v>199.3</v>
      </c>
      <c r="C382">
        <v>195.3</v>
      </c>
      <c r="D382">
        <v>52.5</v>
      </c>
      <c r="E382">
        <v>125.7</v>
      </c>
      <c r="F382" s="86">
        <f t="shared" si="93"/>
        <v>251.8</v>
      </c>
      <c r="G382" s="86">
        <f t="shared" si="94"/>
        <v>321</v>
      </c>
      <c r="H382" s="24">
        <f t="shared" si="92"/>
        <v>-21.557632398753888</v>
      </c>
    </row>
    <row r="383" spans="1:9" x14ac:dyDescent="0.25">
      <c r="A383" s="10">
        <f t="shared" si="86"/>
        <v>41494</v>
      </c>
      <c r="B383">
        <v>204.3</v>
      </c>
      <c r="C383">
        <v>211.3</v>
      </c>
      <c r="D383">
        <v>67.5</v>
      </c>
      <c r="E383">
        <v>125.7</v>
      </c>
      <c r="F383" s="86">
        <f t="shared" si="93"/>
        <v>271.8</v>
      </c>
      <c r="G383" s="86">
        <f t="shared" si="94"/>
        <v>337</v>
      </c>
      <c r="H383" s="24">
        <f t="shared" ref="H383:H391" si="95">+(F383/G383-1)*100</f>
        <v>-19.347181008902069</v>
      </c>
    </row>
    <row r="384" spans="1:9" x14ac:dyDescent="0.25">
      <c r="A384" s="10">
        <f t="shared" si="86"/>
        <v>41501</v>
      </c>
      <c r="B384">
        <v>204.3</v>
      </c>
      <c r="C384">
        <v>219.7</v>
      </c>
      <c r="D384">
        <v>67.5</v>
      </c>
      <c r="E384">
        <v>132.6</v>
      </c>
      <c r="F384" s="86">
        <f t="shared" si="93"/>
        <v>271.8</v>
      </c>
      <c r="G384" s="86">
        <f t="shared" si="94"/>
        <v>352.29999999999995</v>
      </c>
      <c r="H384" s="24">
        <f t="shared" si="95"/>
        <v>-22.849843883054199</v>
      </c>
    </row>
    <row r="385" spans="1:11" x14ac:dyDescent="0.25">
      <c r="A385" s="10">
        <f t="shared" si="86"/>
        <v>41508</v>
      </c>
      <c r="B385">
        <v>204.3</v>
      </c>
      <c r="C385">
        <v>229</v>
      </c>
      <c r="D385">
        <v>67.5</v>
      </c>
      <c r="E385">
        <v>132.6</v>
      </c>
      <c r="F385" s="86">
        <f t="shared" si="93"/>
        <v>271.8</v>
      </c>
      <c r="G385" s="86">
        <f t="shared" si="94"/>
        <v>361.6</v>
      </c>
      <c r="H385" s="24">
        <f t="shared" si="95"/>
        <v>-24.834070796460182</v>
      </c>
    </row>
    <row r="386" spans="1:11" x14ac:dyDescent="0.25">
      <c r="A386" s="10">
        <f t="shared" si="86"/>
        <v>41515</v>
      </c>
      <c r="B386">
        <v>197.1</v>
      </c>
      <c r="C386">
        <v>229</v>
      </c>
      <c r="D386">
        <v>74.5</v>
      </c>
      <c r="E386">
        <v>132.6</v>
      </c>
      <c r="F386" s="86">
        <f t="shared" si="93"/>
        <v>271.60000000000002</v>
      </c>
      <c r="G386" s="86">
        <f t="shared" si="94"/>
        <v>361.6</v>
      </c>
      <c r="H386" s="24">
        <f t="shared" si="95"/>
        <v>-24.889380530973447</v>
      </c>
    </row>
    <row r="387" spans="1:11" x14ac:dyDescent="0.25">
      <c r="A387" s="10">
        <f t="shared" si="86"/>
        <v>41522</v>
      </c>
      <c r="B387">
        <v>184.1</v>
      </c>
      <c r="C387">
        <v>218</v>
      </c>
      <c r="D387">
        <v>87.5</v>
      </c>
      <c r="E387">
        <v>143.6</v>
      </c>
      <c r="F387" s="86">
        <f t="shared" si="93"/>
        <v>271.60000000000002</v>
      </c>
      <c r="G387" s="86">
        <f t="shared" si="94"/>
        <v>361.6</v>
      </c>
      <c r="H387" s="24">
        <f t="shared" si="95"/>
        <v>-24.889380530973447</v>
      </c>
    </row>
    <row r="388" spans="1:11" x14ac:dyDescent="0.25">
      <c r="A388" s="10">
        <f t="shared" si="86"/>
        <v>41529</v>
      </c>
      <c r="B388">
        <v>231.3</v>
      </c>
      <c r="C388">
        <v>236</v>
      </c>
      <c r="D388">
        <v>102</v>
      </c>
      <c r="E388">
        <v>159.6</v>
      </c>
      <c r="F388" s="86">
        <f t="shared" si="93"/>
        <v>333.3</v>
      </c>
      <c r="G388" s="86">
        <f t="shared" si="94"/>
        <v>395.6</v>
      </c>
      <c r="H388" s="24">
        <f t="shared" si="95"/>
        <v>-15.748230535894848</v>
      </c>
    </row>
    <row r="389" spans="1:11" x14ac:dyDescent="0.25">
      <c r="A389" s="10">
        <f t="shared" si="86"/>
        <v>41536</v>
      </c>
      <c r="B389">
        <v>229.6</v>
      </c>
      <c r="C389">
        <v>193.8</v>
      </c>
      <c r="D389">
        <v>134</v>
      </c>
      <c r="E389">
        <v>208.2</v>
      </c>
      <c r="F389" s="86">
        <f t="shared" si="93"/>
        <v>363.6</v>
      </c>
      <c r="G389" s="86">
        <f t="shared" si="94"/>
        <v>402</v>
      </c>
      <c r="H389" s="24">
        <f t="shared" si="95"/>
        <v>-9.5522388059701484</v>
      </c>
    </row>
    <row r="390" spans="1:11" ht="15" x14ac:dyDescent="0.25">
      <c r="A390" s="10">
        <f t="shared" si="86"/>
        <v>41543</v>
      </c>
      <c r="B390">
        <v>229.6</v>
      </c>
      <c r="C390">
        <v>183.3</v>
      </c>
      <c r="D390">
        <v>134</v>
      </c>
      <c r="E390">
        <v>223.2</v>
      </c>
      <c r="F390" s="86">
        <f t="shared" si="93"/>
        <v>363.6</v>
      </c>
      <c r="G390" s="86">
        <f t="shared" si="94"/>
        <v>406.5</v>
      </c>
      <c r="H390" s="24">
        <f t="shared" si="95"/>
        <v>-10.55350553505534</v>
      </c>
      <c r="K390" s="75"/>
    </row>
    <row r="391" spans="1:11" x14ac:dyDescent="0.25">
      <c r="A391" s="10">
        <f t="shared" si="86"/>
        <v>41550</v>
      </c>
      <c r="B391">
        <v>260.39999999999998</v>
      </c>
      <c r="C391">
        <v>120.1</v>
      </c>
      <c r="D391">
        <v>134</v>
      </c>
      <c r="E391">
        <v>285.60000000000002</v>
      </c>
      <c r="F391" s="86">
        <f t="shared" si="93"/>
        <v>394.4</v>
      </c>
      <c r="G391" s="86">
        <f t="shared" si="94"/>
        <v>405.70000000000005</v>
      </c>
      <c r="H391" s="24">
        <f t="shared" si="95"/>
        <v>-2.7853093418782504</v>
      </c>
    </row>
    <row r="392" spans="1:11" x14ac:dyDescent="0.25">
      <c r="A392" s="10">
        <f t="shared" si="86"/>
        <v>41557</v>
      </c>
    </row>
    <row r="393" spans="1:11" x14ac:dyDescent="0.25">
      <c r="A393" s="10">
        <f t="shared" si="86"/>
        <v>41564</v>
      </c>
    </row>
    <row r="394" spans="1:11" x14ac:dyDescent="0.25">
      <c r="A394" s="10">
        <f t="shared" si="86"/>
        <v>41571</v>
      </c>
      <c r="B394">
        <v>211.2</v>
      </c>
      <c r="C394">
        <v>174.1</v>
      </c>
      <c r="D394">
        <v>186.6</v>
      </c>
      <c r="E394">
        <v>295.60000000000002</v>
      </c>
      <c r="F394" s="86">
        <f t="shared" ref="F394:G396" si="96">+B394+D394</f>
        <v>397.79999999999995</v>
      </c>
      <c r="G394" s="86">
        <f t="shared" si="96"/>
        <v>469.70000000000005</v>
      </c>
      <c r="H394" s="24">
        <f>+(F394/G394-1)*100</f>
        <v>-15.307643176495656</v>
      </c>
    </row>
    <row r="395" spans="1:11" x14ac:dyDescent="0.25">
      <c r="A395" s="10">
        <f t="shared" si="86"/>
        <v>41578</v>
      </c>
      <c r="B395">
        <v>170.3</v>
      </c>
      <c r="C395">
        <v>160.6</v>
      </c>
      <c r="D395">
        <v>229.9</v>
      </c>
      <c r="E395">
        <v>317.60000000000002</v>
      </c>
      <c r="F395" s="86">
        <f t="shared" si="96"/>
        <v>400.20000000000005</v>
      </c>
      <c r="G395" s="86">
        <f t="shared" si="96"/>
        <v>478.20000000000005</v>
      </c>
      <c r="H395" s="24">
        <f>+(F395/G395-1)*100</f>
        <v>-16.311166875784188</v>
      </c>
    </row>
    <row r="396" spans="1:11" ht="15" x14ac:dyDescent="0.25">
      <c r="A396" s="10">
        <f t="shared" si="86"/>
        <v>41585</v>
      </c>
      <c r="B396">
        <v>146.19999999999999</v>
      </c>
      <c r="C396">
        <v>160.6</v>
      </c>
      <c r="D396">
        <v>260.60000000000002</v>
      </c>
      <c r="E396">
        <v>317.60000000000002</v>
      </c>
      <c r="F396" s="86">
        <f t="shared" si="96"/>
        <v>406.8</v>
      </c>
      <c r="G396" s="86">
        <f t="shared" si="96"/>
        <v>478.20000000000005</v>
      </c>
      <c r="H396" s="24">
        <f>+(F396/G396-1)*100</f>
        <v>-14.930991217063994</v>
      </c>
      <c r="K396" s="75"/>
    </row>
    <row r="397" spans="1:11" x14ac:dyDescent="0.25">
      <c r="A397" s="10">
        <f t="shared" si="86"/>
        <v>41592</v>
      </c>
      <c r="B397">
        <v>139.5</v>
      </c>
      <c r="C397">
        <v>154.30000000000001</v>
      </c>
      <c r="D397">
        <v>267.89999999999998</v>
      </c>
      <c r="E397">
        <v>324.3</v>
      </c>
      <c r="F397" s="86">
        <f>+B397+D397</f>
        <v>407.4</v>
      </c>
      <c r="G397" s="86">
        <f>+C397+E397</f>
        <v>478.6</v>
      </c>
      <c r="H397" s="24">
        <f>+(F397/G397-1)*100</f>
        <v>-14.876723777684919</v>
      </c>
    </row>
    <row r="398" spans="1:11" x14ac:dyDescent="0.25">
      <c r="A398" s="10">
        <f t="shared" si="86"/>
        <v>41599</v>
      </c>
      <c r="B398" s="17">
        <v>126</v>
      </c>
      <c r="C398">
        <v>166.3</v>
      </c>
      <c r="D398">
        <v>281.8</v>
      </c>
      <c r="E398">
        <v>324.3</v>
      </c>
      <c r="F398" s="86">
        <f>+B398+D398</f>
        <v>407.8</v>
      </c>
      <c r="G398" s="86">
        <f>+C398+E398</f>
        <v>490.6</v>
      </c>
      <c r="H398" s="24">
        <f>+(F398/G398-1)*100</f>
        <v>-16.877293110476966</v>
      </c>
    </row>
    <row r="399" spans="1:11" x14ac:dyDescent="0.25">
      <c r="A399" s="10">
        <f t="shared" si="86"/>
        <v>41606</v>
      </c>
    </row>
    <row r="400" spans="1:11" x14ac:dyDescent="0.25">
      <c r="A400" s="10">
        <f t="shared" si="86"/>
        <v>41613</v>
      </c>
    </row>
    <row r="401" spans="1:1" x14ac:dyDescent="0.25">
      <c r="A401" s="10">
        <f t="shared" si="86"/>
        <v>41620</v>
      </c>
    </row>
    <row r="402" spans="1:1" x14ac:dyDescent="0.25">
      <c r="A402" s="10">
        <f t="shared" si="86"/>
        <v>41627</v>
      </c>
    </row>
    <row r="403" spans="1:1" x14ac:dyDescent="0.25">
      <c r="A403" s="10">
        <f t="shared" si="86"/>
        <v>41634</v>
      </c>
    </row>
    <row r="404" spans="1:1" x14ac:dyDescent="0.25">
      <c r="A404" s="10">
        <f t="shared" si="86"/>
        <v>41641</v>
      </c>
    </row>
    <row r="405" spans="1:1" x14ac:dyDescent="0.25">
      <c r="A405" s="10">
        <f t="shared" si="86"/>
        <v>41648</v>
      </c>
    </row>
    <row r="406" spans="1:1" x14ac:dyDescent="0.25">
      <c r="A406" s="10">
        <f t="shared" si="86"/>
        <v>41655</v>
      </c>
    </row>
    <row r="407" spans="1:1" x14ac:dyDescent="0.25">
      <c r="A407" s="10">
        <f t="shared" si="86"/>
        <v>41662</v>
      </c>
    </row>
    <row r="408" spans="1:1" x14ac:dyDescent="0.25">
      <c r="A408" s="10">
        <f t="shared" si="86"/>
        <v>41669</v>
      </c>
    </row>
    <row r="409" spans="1:1" x14ac:dyDescent="0.25">
      <c r="A409" s="10">
        <f t="shared" si="86"/>
        <v>41676</v>
      </c>
    </row>
    <row r="410" spans="1:1" x14ac:dyDescent="0.25">
      <c r="A410" s="10">
        <f t="shared" si="86"/>
        <v>41683</v>
      </c>
    </row>
    <row r="411" spans="1:1" x14ac:dyDescent="0.25">
      <c r="A411" s="10">
        <f t="shared" ref="A411:A418" si="97">+A410+7</f>
        <v>41690</v>
      </c>
    </row>
    <row r="412" spans="1:1" x14ac:dyDescent="0.25">
      <c r="A412" s="10">
        <f t="shared" si="97"/>
        <v>41697</v>
      </c>
    </row>
    <row r="413" spans="1:1" x14ac:dyDescent="0.25">
      <c r="A413" s="10">
        <f t="shared" si="97"/>
        <v>41704</v>
      </c>
    </row>
    <row r="414" spans="1:1" x14ac:dyDescent="0.25">
      <c r="A414" s="10">
        <f t="shared" si="97"/>
        <v>41711</v>
      </c>
    </row>
    <row r="415" spans="1:1" x14ac:dyDescent="0.25">
      <c r="A415" s="10">
        <f t="shared" si="97"/>
        <v>41718</v>
      </c>
    </row>
    <row r="416" spans="1:1" x14ac:dyDescent="0.25">
      <c r="A416" s="10">
        <f t="shared" si="97"/>
        <v>41725</v>
      </c>
    </row>
    <row r="417" spans="1:1" x14ac:dyDescent="0.25">
      <c r="A417" s="10">
        <f t="shared" si="97"/>
        <v>41732</v>
      </c>
    </row>
    <row r="418" spans="1:1" x14ac:dyDescent="0.25">
      <c r="A418" s="10">
        <f t="shared" si="97"/>
        <v>41739</v>
      </c>
    </row>
    <row r="65527" spans="1:1" x14ac:dyDescent="0.25">
      <c r="A65527" s="10"/>
    </row>
  </sheetData>
  <mergeCells count="4">
    <mergeCell ref="D1:E1"/>
    <mergeCell ref="F1:G1"/>
    <mergeCell ref="D5:E5"/>
    <mergeCell ref="F5:G5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52"/>
  <sheetViews>
    <sheetView topLeftCell="A3" workbookViewId="0">
      <selection activeCell="E29" sqref="E29"/>
    </sheetView>
  </sheetViews>
  <sheetFormatPr defaultRowHeight="13.2" x14ac:dyDescent="0.25"/>
  <cols>
    <col min="1" max="1" width="10" customWidth="1"/>
  </cols>
  <sheetData>
    <row r="1" spans="1:8" x14ac:dyDescent="0.25">
      <c r="A1" s="43" t="s">
        <v>53</v>
      </c>
      <c r="B1" t="s">
        <v>4</v>
      </c>
      <c r="D1" s="135" t="s">
        <v>5</v>
      </c>
      <c r="E1" s="136"/>
      <c r="F1" s="135" t="s">
        <v>6</v>
      </c>
      <c r="G1" s="136"/>
    </row>
    <row r="2" spans="1:8" x14ac:dyDescent="0.25">
      <c r="A2" t="s">
        <v>16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</row>
    <row r="3" spans="1:8" x14ac:dyDescent="0.25">
      <c r="A3" s="10">
        <v>41417</v>
      </c>
      <c r="B3" s="54">
        <v>58.4</v>
      </c>
      <c r="C3" s="54">
        <v>55.8</v>
      </c>
      <c r="D3" s="54">
        <v>740.4</v>
      </c>
      <c r="E3" s="54">
        <v>534.29999999999995</v>
      </c>
      <c r="F3">
        <f t="shared" ref="F3:G5" si="0">+B3+D3</f>
        <v>798.8</v>
      </c>
      <c r="G3">
        <f t="shared" si="0"/>
        <v>590.09999999999991</v>
      </c>
      <c r="H3" s="54">
        <v>1443.2</v>
      </c>
    </row>
    <row r="4" spans="1:8" x14ac:dyDescent="0.25">
      <c r="A4" s="10">
        <f>+A3+7</f>
        <v>41424</v>
      </c>
      <c r="B4">
        <v>57</v>
      </c>
      <c r="C4">
        <v>55.8</v>
      </c>
      <c r="D4">
        <v>741.8</v>
      </c>
      <c r="E4">
        <v>534.29999999999995</v>
      </c>
      <c r="F4">
        <f t="shared" si="0"/>
        <v>798.8</v>
      </c>
      <c r="G4">
        <f t="shared" si="0"/>
        <v>590.09999999999991</v>
      </c>
      <c r="H4" s="54">
        <v>1464</v>
      </c>
    </row>
    <row r="5" spans="1:8" x14ac:dyDescent="0.25">
      <c r="A5" s="10">
        <f>+A4+7</f>
        <v>41431</v>
      </c>
      <c r="B5">
        <v>1465.3</v>
      </c>
      <c r="C5">
        <v>167</v>
      </c>
      <c r="D5">
        <v>57.8</v>
      </c>
      <c r="E5">
        <v>57.8</v>
      </c>
      <c r="F5">
        <f t="shared" si="0"/>
        <v>1523.1</v>
      </c>
      <c r="G5">
        <f t="shared" si="0"/>
        <v>224.8</v>
      </c>
    </row>
    <row r="6" spans="1:8" x14ac:dyDescent="0.25">
      <c r="A6" s="10">
        <f>+A5+7</f>
        <v>41438</v>
      </c>
      <c r="B6">
        <v>1498.3</v>
      </c>
      <c r="C6">
        <v>281.5</v>
      </c>
      <c r="D6">
        <v>115.6</v>
      </c>
      <c r="E6">
        <v>57.8</v>
      </c>
      <c r="F6">
        <f t="shared" ref="F6:G8" si="1">+B6+D6</f>
        <v>1613.8999999999999</v>
      </c>
      <c r="G6">
        <f t="shared" si="1"/>
        <v>339.3</v>
      </c>
    </row>
    <row r="7" spans="1:8" x14ac:dyDescent="0.25">
      <c r="A7" s="10">
        <f t="shared" ref="A7:A52" si="2">+A6+7</f>
        <v>41445</v>
      </c>
      <c r="B7">
        <v>1473.8</v>
      </c>
      <c r="C7">
        <v>280</v>
      </c>
      <c r="D7">
        <v>115.6</v>
      </c>
      <c r="E7">
        <v>59.2</v>
      </c>
      <c r="F7" s="19">
        <f t="shared" si="1"/>
        <v>1589.3999999999999</v>
      </c>
      <c r="G7" s="19">
        <f t="shared" si="1"/>
        <v>339.2</v>
      </c>
    </row>
    <row r="8" spans="1:8" x14ac:dyDescent="0.25">
      <c r="A8" s="10">
        <f t="shared" si="2"/>
        <v>41452</v>
      </c>
      <c r="B8">
        <v>1480.1</v>
      </c>
      <c r="C8">
        <v>277.5</v>
      </c>
      <c r="D8">
        <v>348.6</v>
      </c>
      <c r="E8">
        <v>61.8</v>
      </c>
      <c r="F8" s="19">
        <f t="shared" si="1"/>
        <v>1828.6999999999998</v>
      </c>
      <c r="G8" s="19">
        <f t="shared" si="1"/>
        <v>339.3</v>
      </c>
    </row>
    <row r="9" spans="1:8" x14ac:dyDescent="0.25">
      <c r="A9" s="10">
        <f t="shared" si="2"/>
        <v>41459</v>
      </c>
      <c r="B9">
        <v>2329</v>
      </c>
      <c r="C9">
        <v>274.3</v>
      </c>
      <c r="D9">
        <v>523.4</v>
      </c>
      <c r="E9">
        <v>64.900000000000006</v>
      </c>
      <c r="F9" s="19">
        <f t="shared" ref="F9:G11" si="3">+B9+D9</f>
        <v>2852.4</v>
      </c>
      <c r="G9" s="19">
        <f t="shared" si="3"/>
        <v>339.20000000000005</v>
      </c>
    </row>
    <row r="10" spans="1:8" x14ac:dyDescent="0.25">
      <c r="A10" s="10">
        <f t="shared" si="2"/>
        <v>41466</v>
      </c>
      <c r="B10">
        <v>2741</v>
      </c>
      <c r="C10">
        <v>273.5</v>
      </c>
      <c r="D10">
        <v>531.4</v>
      </c>
      <c r="E10">
        <v>65.8</v>
      </c>
      <c r="F10" s="19">
        <f t="shared" si="3"/>
        <v>3272.4</v>
      </c>
      <c r="G10" s="19">
        <f t="shared" si="3"/>
        <v>339.3</v>
      </c>
    </row>
    <row r="11" spans="1:8" x14ac:dyDescent="0.25">
      <c r="A11" s="10">
        <f t="shared" si="2"/>
        <v>41473</v>
      </c>
      <c r="B11">
        <v>2847.1</v>
      </c>
      <c r="C11">
        <v>272</v>
      </c>
      <c r="D11">
        <v>603.20000000000005</v>
      </c>
      <c r="E11">
        <v>67.2</v>
      </c>
      <c r="F11" s="19">
        <f t="shared" si="3"/>
        <v>3450.3</v>
      </c>
      <c r="G11" s="19">
        <f t="shared" si="3"/>
        <v>339.2</v>
      </c>
    </row>
    <row r="12" spans="1:8" x14ac:dyDescent="0.25">
      <c r="A12" s="10">
        <f t="shared" si="2"/>
        <v>41480</v>
      </c>
      <c r="B12">
        <v>2790.7</v>
      </c>
      <c r="C12">
        <v>213.6</v>
      </c>
      <c r="D12">
        <v>789.4</v>
      </c>
      <c r="E12">
        <v>127.6</v>
      </c>
      <c r="F12" s="19">
        <f t="shared" ref="F12:F22" si="4">+B12+D12</f>
        <v>3580.1</v>
      </c>
      <c r="G12" s="19">
        <f t="shared" ref="G12:G22" si="5">+C12+E12</f>
        <v>341.2</v>
      </c>
    </row>
    <row r="13" spans="1:8" x14ac:dyDescent="0.25">
      <c r="A13" s="10">
        <f t="shared" si="2"/>
        <v>41487</v>
      </c>
      <c r="B13">
        <v>2671.2</v>
      </c>
      <c r="C13">
        <v>211.3</v>
      </c>
      <c r="D13">
        <v>969.7</v>
      </c>
      <c r="E13">
        <v>129.9</v>
      </c>
      <c r="F13" s="19">
        <f t="shared" si="4"/>
        <v>3640.8999999999996</v>
      </c>
      <c r="G13" s="19">
        <f t="shared" si="5"/>
        <v>341.20000000000005</v>
      </c>
    </row>
    <row r="14" spans="1:8" x14ac:dyDescent="0.25">
      <c r="A14" s="10">
        <f t="shared" si="2"/>
        <v>41494</v>
      </c>
      <c r="B14">
        <v>2602.1</v>
      </c>
      <c r="C14">
        <v>169.6</v>
      </c>
      <c r="D14">
        <v>1099.8</v>
      </c>
      <c r="E14">
        <v>173.6</v>
      </c>
      <c r="F14" s="19">
        <f t="shared" si="4"/>
        <v>3701.8999999999996</v>
      </c>
      <c r="G14" s="19">
        <f t="shared" si="5"/>
        <v>343.2</v>
      </c>
    </row>
    <row r="15" spans="1:8" x14ac:dyDescent="0.25">
      <c r="A15" s="10">
        <f t="shared" si="2"/>
        <v>41501</v>
      </c>
      <c r="B15">
        <v>2413.8000000000002</v>
      </c>
      <c r="C15">
        <v>167.6</v>
      </c>
      <c r="D15">
        <v>1340.4</v>
      </c>
      <c r="E15">
        <v>175.5</v>
      </c>
      <c r="F15" s="19">
        <f t="shared" si="4"/>
        <v>3754.2000000000003</v>
      </c>
      <c r="G15" s="19">
        <f t="shared" si="5"/>
        <v>343.1</v>
      </c>
    </row>
    <row r="16" spans="1:8" x14ac:dyDescent="0.25">
      <c r="A16" s="10">
        <f t="shared" si="2"/>
        <v>41508</v>
      </c>
      <c r="B16">
        <v>2221.4</v>
      </c>
      <c r="C16">
        <v>167.2</v>
      </c>
      <c r="D16">
        <v>1534.7</v>
      </c>
      <c r="E16">
        <v>176</v>
      </c>
      <c r="F16" s="19">
        <f t="shared" si="4"/>
        <v>3756.1000000000004</v>
      </c>
      <c r="G16" s="19">
        <f t="shared" si="5"/>
        <v>343.2</v>
      </c>
    </row>
    <row r="17" spans="1:10" x14ac:dyDescent="0.25">
      <c r="A17" s="10">
        <f t="shared" si="2"/>
        <v>41515</v>
      </c>
      <c r="B17">
        <v>2041.8</v>
      </c>
      <c r="C17">
        <v>111.2</v>
      </c>
      <c r="D17">
        <v>1720.6</v>
      </c>
      <c r="E17">
        <v>234.6</v>
      </c>
      <c r="F17" s="19">
        <f t="shared" si="4"/>
        <v>3762.3999999999996</v>
      </c>
      <c r="G17" s="19">
        <f t="shared" si="5"/>
        <v>345.8</v>
      </c>
    </row>
    <row r="18" spans="1:10" x14ac:dyDescent="0.25">
      <c r="A18" s="10">
        <f t="shared" si="2"/>
        <v>41522</v>
      </c>
      <c r="B18">
        <v>1746.4</v>
      </c>
      <c r="C18">
        <v>55.2</v>
      </c>
      <c r="D18">
        <v>2021.3</v>
      </c>
      <c r="E18">
        <v>348.4</v>
      </c>
      <c r="F18" s="19">
        <f t="shared" si="4"/>
        <v>3767.7</v>
      </c>
      <c r="G18" s="19">
        <f t="shared" si="5"/>
        <v>403.59999999999997</v>
      </c>
    </row>
    <row r="19" spans="1:10" x14ac:dyDescent="0.25">
      <c r="A19" s="10">
        <f t="shared" si="2"/>
        <v>41529</v>
      </c>
      <c r="B19">
        <v>1334.2</v>
      </c>
      <c r="C19">
        <v>2.2000000000000002</v>
      </c>
      <c r="D19">
        <v>2428</v>
      </c>
      <c r="E19">
        <v>406.1</v>
      </c>
      <c r="F19" s="19">
        <f t="shared" si="4"/>
        <v>3762.2</v>
      </c>
      <c r="G19" s="19">
        <f t="shared" si="5"/>
        <v>408.3</v>
      </c>
    </row>
    <row r="20" spans="1:10" x14ac:dyDescent="0.25">
      <c r="A20" s="10">
        <f t="shared" si="2"/>
        <v>41536</v>
      </c>
      <c r="B20">
        <v>1267.0999999999999</v>
      </c>
      <c r="C20">
        <v>2</v>
      </c>
      <c r="D20">
        <v>2666.6</v>
      </c>
      <c r="E20">
        <v>406.2</v>
      </c>
      <c r="F20" s="19">
        <f t="shared" si="4"/>
        <v>3933.7</v>
      </c>
      <c r="G20" s="19">
        <f t="shared" si="5"/>
        <v>408.2</v>
      </c>
    </row>
    <row r="21" spans="1:10" ht="15" x14ac:dyDescent="0.25">
      <c r="A21" s="10">
        <f t="shared" si="2"/>
        <v>41543</v>
      </c>
      <c r="B21">
        <v>1084</v>
      </c>
      <c r="C21">
        <v>2</v>
      </c>
      <c r="D21">
        <v>2848</v>
      </c>
      <c r="E21">
        <v>406.2</v>
      </c>
      <c r="F21" s="19">
        <f t="shared" si="4"/>
        <v>3932</v>
      </c>
      <c r="G21" s="19">
        <f t="shared" si="5"/>
        <v>408.2</v>
      </c>
      <c r="J21" s="75"/>
    </row>
    <row r="22" spans="1:10" x14ac:dyDescent="0.25">
      <c r="A22" s="10">
        <f t="shared" si="2"/>
        <v>41550</v>
      </c>
      <c r="B22">
        <v>962.1</v>
      </c>
      <c r="C22">
        <v>3</v>
      </c>
      <c r="D22">
        <v>3018.1</v>
      </c>
      <c r="E22">
        <v>406.2</v>
      </c>
      <c r="F22" s="19">
        <f t="shared" si="4"/>
        <v>3980.2</v>
      </c>
      <c r="G22" s="19">
        <f t="shared" si="5"/>
        <v>409.2</v>
      </c>
    </row>
    <row r="23" spans="1:10" x14ac:dyDescent="0.25">
      <c r="A23" s="10">
        <f t="shared" si="2"/>
        <v>41557</v>
      </c>
    </row>
    <row r="24" spans="1:10" x14ac:dyDescent="0.25">
      <c r="A24" s="10">
        <f t="shared" si="2"/>
        <v>41564</v>
      </c>
    </row>
    <row r="25" spans="1:10" x14ac:dyDescent="0.25">
      <c r="A25" s="10">
        <f t="shared" si="2"/>
        <v>41571</v>
      </c>
      <c r="B25">
        <v>596.70000000000005</v>
      </c>
      <c r="C25">
        <v>2.7</v>
      </c>
      <c r="D25">
        <v>3427.9</v>
      </c>
      <c r="E25">
        <v>407.1</v>
      </c>
      <c r="F25" s="19">
        <f t="shared" ref="F25:G27" si="6">+B25+D25</f>
        <v>4024.6000000000004</v>
      </c>
      <c r="G25" s="19">
        <f t="shared" si="6"/>
        <v>409.8</v>
      </c>
    </row>
    <row r="26" spans="1:10" x14ac:dyDescent="0.25">
      <c r="A26" s="10">
        <f t="shared" si="2"/>
        <v>41578</v>
      </c>
      <c r="B26">
        <v>599.29999999999995</v>
      </c>
      <c r="C26">
        <v>2</v>
      </c>
      <c r="D26">
        <v>3428.3</v>
      </c>
      <c r="E26">
        <v>407.8</v>
      </c>
      <c r="F26" s="19">
        <f t="shared" si="6"/>
        <v>4027.6000000000004</v>
      </c>
      <c r="G26" s="19">
        <f t="shared" si="6"/>
        <v>409.8</v>
      </c>
    </row>
    <row r="27" spans="1:10" ht="15" x14ac:dyDescent="0.25">
      <c r="A27" s="10">
        <f t="shared" si="2"/>
        <v>41585</v>
      </c>
      <c r="B27">
        <v>539.29999999999995</v>
      </c>
      <c r="C27">
        <v>0.8</v>
      </c>
      <c r="D27">
        <v>3487.1</v>
      </c>
      <c r="E27">
        <v>409</v>
      </c>
      <c r="F27" s="19">
        <f t="shared" si="6"/>
        <v>4026.3999999999996</v>
      </c>
      <c r="G27" s="19">
        <f t="shared" si="6"/>
        <v>409.8</v>
      </c>
      <c r="J27" s="75"/>
    </row>
    <row r="28" spans="1:10" x14ac:dyDescent="0.25">
      <c r="A28" s="10">
        <f t="shared" si="2"/>
        <v>41592</v>
      </c>
      <c r="B28">
        <v>479.3</v>
      </c>
      <c r="C28">
        <v>0.4</v>
      </c>
      <c r="D28">
        <v>4546.2</v>
      </c>
      <c r="E28">
        <v>409.5</v>
      </c>
      <c r="F28" s="19">
        <f>+B28+D28</f>
        <v>5025.5</v>
      </c>
      <c r="G28" s="19">
        <f>+C28+E28</f>
        <v>409.9</v>
      </c>
    </row>
    <row r="29" spans="1:10" x14ac:dyDescent="0.25">
      <c r="A29" s="10">
        <f t="shared" si="2"/>
        <v>41599</v>
      </c>
      <c r="B29">
        <v>478.4</v>
      </c>
      <c r="C29">
        <v>55.4</v>
      </c>
      <c r="D29">
        <v>3606.8</v>
      </c>
      <c r="E29">
        <v>409.5</v>
      </c>
      <c r="F29" s="19">
        <f>+B29+D29</f>
        <v>4085.2000000000003</v>
      </c>
      <c r="G29" s="19">
        <f>+C29+E29</f>
        <v>464.9</v>
      </c>
    </row>
    <row r="30" spans="1:10" x14ac:dyDescent="0.25">
      <c r="A30" s="10">
        <f t="shared" si="2"/>
        <v>41606</v>
      </c>
    </row>
    <row r="31" spans="1:10" x14ac:dyDescent="0.25">
      <c r="A31" s="10">
        <f t="shared" si="2"/>
        <v>41613</v>
      </c>
    </row>
    <row r="32" spans="1:10" x14ac:dyDescent="0.25">
      <c r="A32" s="10">
        <f t="shared" si="2"/>
        <v>41620</v>
      </c>
    </row>
    <row r="33" spans="1:1" x14ac:dyDescent="0.25">
      <c r="A33" s="10">
        <f t="shared" si="2"/>
        <v>41627</v>
      </c>
    </row>
    <row r="34" spans="1:1" x14ac:dyDescent="0.25">
      <c r="A34" s="10">
        <f t="shared" si="2"/>
        <v>41634</v>
      </c>
    </row>
    <row r="35" spans="1:1" x14ac:dyDescent="0.25">
      <c r="A35" s="10">
        <f t="shared" si="2"/>
        <v>41641</v>
      </c>
    </row>
    <row r="36" spans="1:1" x14ac:dyDescent="0.25">
      <c r="A36" s="10">
        <f t="shared" si="2"/>
        <v>41648</v>
      </c>
    </row>
    <row r="37" spans="1:1" x14ac:dyDescent="0.25">
      <c r="A37" s="10">
        <f t="shared" si="2"/>
        <v>41655</v>
      </c>
    </row>
    <row r="38" spans="1:1" x14ac:dyDescent="0.25">
      <c r="A38" s="10">
        <f t="shared" si="2"/>
        <v>41662</v>
      </c>
    </row>
    <row r="39" spans="1:1" x14ac:dyDescent="0.25">
      <c r="A39" s="10">
        <f t="shared" si="2"/>
        <v>41669</v>
      </c>
    </row>
    <row r="40" spans="1:1" x14ac:dyDescent="0.25">
      <c r="A40" s="10">
        <f t="shared" si="2"/>
        <v>41676</v>
      </c>
    </row>
    <row r="41" spans="1:1" x14ac:dyDescent="0.25">
      <c r="A41" s="10">
        <f t="shared" si="2"/>
        <v>41683</v>
      </c>
    </row>
    <row r="42" spans="1:1" x14ac:dyDescent="0.25">
      <c r="A42" s="10">
        <f t="shared" si="2"/>
        <v>41690</v>
      </c>
    </row>
    <row r="43" spans="1:1" x14ac:dyDescent="0.25">
      <c r="A43" s="10">
        <f t="shared" si="2"/>
        <v>41697</v>
      </c>
    </row>
    <row r="44" spans="1:1" x14ac:dyDescent="0.25">
      <c r="A44" s="10">
        <f t="shared" si="2"/>
        <v>41704</v>
      </c>
    </row>
    <row r="45" spans="1:1" x14ac:dyDescent="0.25">
      <c r="A45" s="10">
        <f t="shared" si="2"/>
        <v>41711</v>
      </c>
    </row>
    <row r="46" spans="1:1" x14ac:dyDescent="0.25">
      <c r="A46" s="10">
        <f t="shared" si="2"/>
        <v>41718</v>
      </c>
    </row>
    <row r="47" spans="1:1" x14ac:dyDescent="0.25">
      <c r="A47" s="10">
        <f t="shared" si="2"/>
        <v>41725</v>
      </c>
    </row>
    <row r="48" spans="1:1" x14ac:dyDescent="0.25">
      <c r="A48" s="10">
        <f t="shared" si="2"/>
        <v>41732</v>
      </c>
    </row>
    <row r="49" spans="1:1" x14ac:dyDescent="0.25">
      <c r="A49" s="10">
        <f t="shared" si="2"/>
        <v>41739</v>
      </c>
    </row>
    <row r="50" spans="1:1" x14ac:dyDescent="0.25">
      <c r="A50" s="10">
        <f t="shared" si="2"/>
        <v>41746</v>
      </c>
    </row>
    <row r="51" spans="1:1" x14ac:dyDescent="0.25">
      <c r="A51" s="10">
        <f t="shared" si="2"/>
        <v>41753</v>
      </c>
    </row>
    <row r="52" spans="1:1" x14ac:dyDescent="0.25">
      <c r="A52" s="10">
        <f t="shared" si="2"/>
        <v>41760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L65525"/>
  <sheetViews>
    <sheetView topLeftCell="A376" workbookViewId="0">
      <selection activeCell="I395" sqref="I395"/>
    </sheetView>
  </sheetViews>
  <sheetFormatPr defaultRowHeight="13.2" x14ac:dyDescent="0.25"/>
  <cols>
    <col min="2" max="2" width="11" customWidth="1"/>
  </cols>
  <sheetData>
    <row r="1" spans="1:9" x14ac:dyDescent="0.25">
      <c r="C1" t="s">
        <v>4</v>
      </c>
      <c r="E1" s="135" t="s">
        <v>5</v>
      </c>
      <c r="F1" s="136"/>
      <c r="G1" s="135" t="s">
        <v>6</v>
      </c>
      <c r="H1" s="136"/>
      <c r="I1" s="5"/>
    </row>
    <row r="2" spans="1:9" x14ac:dyDescent="0.25">
      <c r="B2" t="s">
        <v>12</v>
      </c>
      <c r="C2" s="6">
        <v>2005</v>
      </c>
      <c r="D2" s="6">
        <v>2004</v>
      </c>
      <c r="E2" s="7">
        <v>2005</v>
      </c>
      <c r="F2" s="8">
        <v>2004</v>
      </c>
      <c r="G2" s="7">
        <v>2005</v>
      </c>
      <c r="H2" s="8">
        <v>2004</v>
      </c>
      <c r="I2" s="9" t="s">
        <v>8</v>
      </c>
    </row>
    <row r="3" spans="1:9" x14ac:dyDescent="0.25">
      <c r="C3" s="21" t="s">
        <v>4</v>
      </c>
      <c r="D3" s="21"/>
      <c r="E3" s="139" t="s">
        <v>5</v>
      </c>
      <c r="F3" s="139"/>
      <c r="G3" s="139" t="s">
        <v>6</v>
      </c>
      <c r="H3" s="139"/>
      <c r="I3" s="21"/>
    </row>
    <row r="4" spans="1:9" x14ac:dyDescent="0.25">
      <c r="C4" s="76" t="s">
        <v>32</v>
      </c>
      <c r="D4" s="76" t="s">
        <v>33</v>
      </c>
      <c r="E4" s="82" t="s">
        <v>32</v>
      </c>
      <c r="F4" s="83" t="s">
        <v>33</v>
      </c>
      <c r="G4" s="82" t="s">
        <v>195</v>
      </c>
      <c r="H4" s="83" t="s">
        <v>33</v>
      </c>
      <c r="I4" s="21" t="s">
        <v>8</v>
      </c>
    </row>
    <row r="5" spans="1:9" x14ac:dyDescent="0.25">
      <c r="A5" s="48" t="s">
        <v>111</v>
      </c>
      <c r="B5" s="10">
        <f>+Peru!B3</f>
        <v>38869</v>
      </c>
      <c r="C5">
        <v>66</v>
      </c>
      <c r="D5">
        <v>73</v>
      </c>
      <c r="E5">
        <v>0</v>
      </c>
      <c r="F5">
        <v>6.2</v>
      </c>
      <c r="G5">
        <f t="shared" ref="G5:H7" si="0">+C5+E5</f>
        <v>66</v>
      </c>
      <c r="H5">
        <f t="shared" si="0"/>
        <v>79.2</v>
      </c>
      <c r="I5" s="14">
        <f t="shared" ref="I5:I34" si="1">+(G5/H5-1)*100</f>
        <v>-16.666666666666675</v>
      </c>
    </row>
    <row r="6" spans="1:9" x14ac:dyDescent="0.25">
      <c r="B6" s="10">
        <f t="shared" ref="B6:B252" si="2">+B5+7</f>
        <v>38876</v>
      </c>
      <c r="C6">
        <v>106</v>
      </c>
      <c r="D6">
        <v>79</v>
      </c>
      <c r="E6">
        <v>0</v>
      </c>
      <c r="F6">
        <v>28.2</v>
      </c>
      <c r="G6">
        <f t="shared" si="0"/>
        <v>106</v>
      </c>
      <c r="H6">
        <f t="shared" si="0"/>
        <v>107.2</v>
      </c>
      <c r="I6" s="14">
        <f t="shared" si="1"/>
        <v>-1.1194029850746245</v>
      </c>
    </row>
    <row r="7" spans="1:9" x14ac:dyDescent="0.25">
      <c r="B7" s="10">
        <f t="shared" si="2"/>
        <v>38883</v>
      </c>
      <c r="C7">
        <v>121</v>
      </c>
      <c r="D7">
        <v>77</v>
      </c>
      <c r="E7">
        <v>0</v>
      </c>
      <c r="F7">
        <v>69.599999999999994</v>
      </c>
      <c r="G7">
        <f t="shared" si="0"/>
        <v>121</v>
      </c>
      <c r="H7">
        <f t="shared" si="0"/>
        <v>146.6</v>
      </c>
      <c r="I7" s="14">
        <f t="shared" si="1"/>
        <v>-17.46248294679399</v>
      </c>
    </row>
    <row r="8" spans="1:9" x14ac:dyDescent="0.25">
      <c r="B8" s="10">
        <f t="shared" si="2"/>
        <v>38890</v>
      </c>
      <c r="C8">
        <v>138.80000000000001</v>
      </c>
      <c r="D8">
        <v>85</v>
      </c>
      <c r="E8">
        <v>17.899999999999999</v>
      </c>
      <c r="F8">
        <v>88.8</v>
      </c>
      <c r="G8">
        <f t="shared" ref="G8:H34" si="3">+C8+E8</f>
        <v>156.70000000000002</v>
      </c>
      <c r="H8">
        <f t="shared" si="3"/>
        <v>173.8</v>
      </c>
      <c r="I8" s="14">
        <f t="shared" si="1"/>
        <v>-9.838895281933258</v>
      </c>
    </row>
    <row r="9" spans="1:9" x14ac:dyDescent="0.25">
      <c r="B9" s="10">
        <f t="shared" si="2"/>
        <v>38897</v>
      </c>
      <c r="C9">
        <v>138.80000000000001</v>
      </c>
      <c r="D9">
        <v>85</v>
      </c>
      <c r="E9">
        <v>17.899999999999999</v>
      </c>
      <c r="F9">
        <v>110.4</v>
      </c>
      <c r="G9" s="19">
        <f t="shared" si="3"/>
        <v>156.70000000000002</v>
      </c>
      <c r="H9" s="19">
        <f t="shared" si="3"/>
        <v>195.4</v>
      </c>
      <c r="I9" s="24">
        <f t="shared" si="1"/>
        <v>-19.80552712384851</v>
      </c>
    </row>
    <row r="10" spans="1:9" x14ac:dyDescent="0.25">
      <c r="B10" s="10">
        <f t="shared" si="2"/>
        <v>38904</v>
      </c>
      <c r="C10">
        <v>118.8</v>
      </c>
      <c r="D10">
        <v>79</v>
      </c>
      <c r="E10">
        <v>59.7</v>
      </c>
      <c r="F10">
        <v>117</v>
      </c>
      <c r="G10" s="19">
        <f t="shared" si="3"/>
        <v>178.5</v>
      </c>
      <c r="H10" s="19">
        <f t="shared" si="3"/>
        <v>196</v>
      </c>
      <c r="I10" s="24">
        <f t="shared" si="1"/>
        <v>-8.9285714285714306</v>
      </c>
    </row>
    <row r="11" spans="1:9" x14ac:dyDescent="0.25">
      <c r="B11" s="10">
        <f t="shared" si="2"/>
        <v>38911</v>
      </c>
      <c r="C11">
        <v>121</v>
      </c>
      <c r="D11">
        <v>61</v>
      </c>
      <c r="E11">
        <v>65.900000000000006</v>
      </c>
      <c r="F11">
        <v>135</v>
      </c>
      <c r="G11" s="19">
        <f t="shared" si="3"/>
        <v>186.9</v>
      </c>
      <c r="H11" s="19">
        <f t="shared" si="3"/>
        <v>196</v>
      </c>
      <c r="I11" s="24">
        <f t="shared" si="1"/>
        <v>-4.642857142857137</v>
      </c>
    </row>
    <row r="12" spans="1:9" x14ac:dyDescent="0.25">
      <c r="B12" s="10">
        <f t="shared" si="2"/>
        <v>38918</v>
      </c>
      <c r="C12">
        <v>84.5</v>
      </c>
      <c r="D12">
        <v>71.5</v>
      </c>
      <c r="E12">
        <v>150</v>
      </c>
      <c r="F12">
        <v>135</v>
      </c>
      <c r="G12" s="19">
        <f t="shared" si="3"/>
        <v>234.5</v>
      </c>
      <c r="H12" s="19">
        <f t="shared" si="3"/>
        <v>206.5</v>
      </c>
      <c r="I12" s="24">
        <f t="shared" si="1"/>
        <v>13.559322033898313</v>
      </c>
    </row>
    <row r="13" spans="1:9" x14ac:dyDescent="0.25">
      <c r="B13" s="10">
        <f t="shared" si="2"/>
        <v>38925</v>
      </c>
      <c r="C13">
        <v>84.5</v>
      </c>
      <c r="D13">
        <v>76.5</v>
      </c>
      <c r="E13">
        <v>163.6</v>
      </c>
      <c r="F13">
        <v>135</v>
      </c>
      <c r="G13" s="19">
        <f t="shared" si="3"/>
        <v>248.1</v>
      </c>
      <c r="H13" s="19">
        <f t="shared" si="3"/>
        <v>211.5</v>
      </c>
      <c r="I13" s="24">
        <f t="shared" si="1"/>
        <v>17.304964539007095</v>
      </c>
    </row>
    <row r="14" spans="1:9" x14ac:dyDescent="0.25">
      <c r="B14" s="10">
        <f t="shared" si="2"/>
        <v>38932</v>
      </c>
      <c r="C14">
        <v>61.4</v>
      </c>
      <c r="D14">
        <v>74.5</v>
      </c>
      <c r="E14">
        <v>211.4</v>
      </c>
      <c r="F14">
        <v>182.9</v>
      </c>
      <c r="G14" s="19">
        <f t="shared" si="3"/>
        <v>272.8</v>
      </c>
      <c r="H14" s="19">
        <f t="shared" si="3"/>
        <v>257.39999999999998</v>
      </c>
      <c r="I14" s="24">
        <f t="shared" si="1"/>
        <v>5.9829059829060061</v>
      </c>
    </row>
    <row r="15" spans="1:9" x14ac:dyDescent="0.25">
      <c r="B15" s="10">
        <f t="shared" si="2"/>
        <v>38939</v>
      </c>
      <c r="C15">
        <v>35</v>
      </c>
      <c r="D15">
        <v>47.5</v>
      </c>
      <c r="E15">
        <v>235.2</v>
      </c>
      <c r="F15">
        <v>217.2</v>
      </c>
      <c r="G15" s="19">
        <f t="shared" si="3"/>
        <v>270.2</v>
      </c>
      <c r="H15" s="19">
        <f t="shared" si="3"/>
        <v>264.7</v>
      </c>
      <c r="I15" s="24">
        <f t="shared" si="1"/>
        <v>2.0778239516433761</v>
      </c>
    </row>
    <row r="16" spans="1:9" x14ac:dyDescent="0.25">
      <c r="B16" s="10">
        <f t="shared" si="2"/>
        <v>38946</v>
      </c>
      <c r="C16">
        <v>17</v>
      </c>
      <c r="D16">
        <v>63</v>
      </c>
      <c r="E16">
        <v>253.9</v>
      </c>
      <c r="F16">
        <v>217.2</v>
      </c>
      <c r="G16" s="19">
        <f t="shared" si="3"/>
        <v>270.89999999999998</v>
      </c>
      <c r="H16" s="19">
        <f t="shared" si="3"/>
        <v>280.2</v>
      </c>
      <c r="I16" s="24">
        <f t="shared" si="1"/>
        <v>-3.3190578158458273</v>
      </c>
    </row>
    <row r="17" spans="2:11" x14ac:dyDescent="0.25">
      <c r="B17" s="10">
        <f t="shared" si="2"/>
        <v>38953</v>
      </c>
      <c r="C17">
        <v>26.5</v>
      </c>
      <c r="D17">
        <v>102.8</v>
      </c>
      <c r="E17">
        <v>257.89999999999998</v>
      </c>
      <c r="F17">
        <v>217.2</v>
      </c>
      <c r="G17" s="19">
        <f t="shared" si="3"/>
        <v>284.39999999999998</v>
      </c>
      <c r="H17" s="19">
        <f t="shared" si="3"/>
        <v>320</v>
      </c>
      <c r="I17" s="24">
        <f t="shared" si="1"/>
        <v>-11.125000000000007</v>
      </c>
    </row>
    <row r="18" spans="2:11" x14ac:dyDescent="0.25">
      <c r="B18" s="10">
        <f t="shared" si="2"/>
        <v>38960</v>
      </c>
      <c r="C18">
        <v>26.5</v>
      </c>
      <c r="D18">
        <v>102.8</v>
      </c>
      <c r="E18">
        <v>274.2</v>
      </c>
      <c r="F18">
        <v>217.2</v>
      </c>
      <c r="G18" s="19">
        <f t="shared" si="3"/>
        <v>300.7</v>
      </c>
      <c r="H18" s="19">
        <f t="shared" si="3"/>
        <v>320</v>
      </c>
      <c r="I18" s="24">
        <f t="shared" si="1"/>
        <v>-6.0312499999999991</v>
      </c>
    </row>
    <row r="19" spans="2:11" x14ac:dyDescent="0.25">
      <c r="B19" s="10">
        <f t="shared" si="2"/>
        <v>38967</v>
      </c>
      <c r="C19">
        <v>19.5</v>
      </c>
      <c r="D19">
        <v>102.8</v>
      </c>
      <c r="E19">
        <v>285.89999999999998</v>
      </c>
      <c r="F19">
        <v>244.2</v>
      </c>
      <c r="G19" s="19">
        <f t="shared" si="3"/>
        <v>305.39999999999998</v>
      </c>
      <c r="H19" s="19">
        <f t="shared" si="3"/>
        <v>347</v>
      </c>
      <c r="I19" s="24">
        <f t="shared" si="1"/>
        <v>-11.988472622478398</v>
      </c>
    </row>
    <row r="20" spans="2:11" x14ac:dyDescent="0.25">
      <c r="B20" s="10">
        <f t="shared" si="2"/>
        <v>38974</v>
      </c>
      <c r="C20">
        <v>19.5</v>
      </c>
      <c r="D20">
        <v>107.8</v>
      </c>
      <c r="E20">
        <v>285.89999999999998</v>
      </c>
      <c r="F20">
        <v>271.2</v>
      </c>
      <c r="G20" s="19">
        <f t="shared" si="3"/>
        <v>305.39999999999998</v>
      </c>
      <c r="H20" s="19">
        <f t="shared" si="3"/>
        <v>379</v>
      </c>
      <c r="I20" s="24">
        <f t="shared" si="1"/>
        <v>-19.419525065963061</v>
      </c>
    </row>
    <row r="21" spans="2:11" x14ac:dyDescent="0.25">
      <c r="B21" s="10">
        <f t="shared" si="2"/>
        <v>38981</v>
      </c>
      <c r="C21">
        <v>19.5</v>
      </c>
      <c r="D21">
        <v>81.5</v>
      </c>
      <c r="E21">
        <v>285.89999999999998</v>
      </c>
      <c r="F21">
        <v>297.10000000000002</v>
      </c>
      <c r="G21" s="19">
        <f t="shared" si="3"/>
        <v>305.39999999999998</v>
      </c>
      <c r="H21" s="19">
        <f t="shared" si="3"/>
        <v>378.6</v>
      </c>
      <c r="I21" s="24">
        <f t="shared" si="1"/>
        <v>-19.33438985736926</v>
      </c>
    </row>
    <row r="22" spans="2:11" x14ac:dyDescent="0.25">
      <c r="B22" s="10">
        <f t="shared" si="2"/>
        <v>38988</v>
      </c>
      <c r="C22">
        <v>8</v>
      </c>
      <c r="D22">
        <v>81.5</v>
      </c>
      <c r="E22">
        <v>300.39999999999998</v>
      </c>
      <c r="F22">
        <v>297.10000000000002</v>
      </c>
      <c r="G22" s="19">
        <f t="shared" si="3"/>
        <v>308.39999999999998</v>
      </c>
      <c r="H22" s="19">
        <f t="shared" si="3"/>
        <v>378.6</v>
      </c>
      <c r="I22" s="24">
        <f t="shared" si="1"/>
        <v>-18.541996830427898</v>
      </c>
    </row>
    <row r="23" spans="2:11" x14ac:dyDescent="0.25">
      <c r="B23" s="10">
        <f t="shared" si="2"/>
        <v>38995</v>
      </c>
      <c r="C23">
        <v>6.6</v>
      </c>
      <c r="D23">
        <v>32.5</v>
      </c>
      <c r="E23">
        <v>320.10000000000002</v>
      </c>
      <c r="F23">
        <v>383.9</v>
      </c>
      <c r="G23" s="19">
        <f t="shared" si="3"/>
        <v>326.70000000000005</v>
      </c>
      <c r="H23" s="19">
        <f t="shared" si="3"/>
        <v>416.4</v>
      </c>
      <c r="I23" s="24">
        <f t="shared" si="1"/>
        <v>-21.541786743515836</v>
      </c>
      <c r="K23">
        <v>7</v>
      </c>
    </row>
    <row r="24" spans="2:11" x14ac:dyDescent="0.25">
      <c r="B24" s="10">
        <f t="shared" si="2"/>
        <v>39002</v>
      </c>
      <c r="C24">
        <v>6.6</v>
      </c>
      <c r="D24">
        <v>0</v>
      </c>
      <c r="E24">
        <v>342.7</v>
      </c>
      <c r="F24">
        <v>416.4</v>
      </c>
      <c r="G24" s="19">
        <f t="shared" si="3"/>
        <v>349.3</v>
      </c>
      <c r="H24" s="19">
        <f t="shared" si="3"/>
        <v>416.4</v>
      </c>
      <c r="I24" s="24">
        <f t="shared" si="1"/>
        <v>-16.114313160422668</v>
      </c>
    </row>
    <row r="25" spans="2:11" x14ac:dyDescent="0.25">
      <c r="B25" s="10">
        <f t="shared" si="2"/>
        <v>39009</v>
      </c>
      <c r="C25">
        <v>0</v>
      </c>
      <c r="D25">
        <v>6</v>
      </c>
      <c r="E25">
        <v>340.9</v>
      </c>
      <c r="F25">
        <v>416.4</v>
      </c>
      <c r="G25" s="19">
        <f t="shared" si="3"/>
        <v>340.9</v>
      </c>
      <c r="H25" s="19">
        <f t="shared" si="3"/>
        <v>422.4</v>
      </c>
      <c r="I25" s="24">
        <f t="shared" si="1"/>
        <v>-19.294507575757581</v>
      </c>
    </row>
    <row r="26" spans="2:11" x14ac:dyDescent="0.25">
      <c r="B26" s="10">
        <f t="shared" si="2"/>
        <v>39016</v>
      </c>
      <c r="C26">
        <v>28.5</v>
      </c>
      <c r="D26">
        <v>28.3</v>
      </c>
      <c r="E26">
        <v>356.2</v>
      </c>
      <c r="F26">
        <v>457.4</v>
      </c>
      <c r="G26" s="19">
        <f t="shared" si="3"/>
        <v>384.7</v>
      </c>
      <c r="H26" s="19">
        <f t="shared" si="3"/>
        <v>485.7</v>
      </c>
      <c r="I26" s="24">
        <f t="shared" si="1"/>
        <v>-20.794729256742851</v>
      </c>
    </row>
    <row r="27" spans="2:11" x14ac:dyDescent="0.25">
      <c r="B27" s="10">
        <f t="shared" si="2"/>
        <v>39023</v>
      </c>
      <c r="C27">
        <v>67.3</v>
      </c>
      <c r="D27">
        <v>53</v>
      </c>
      <c r="E27">
        <v>356.2</v>
      </c>
      <c r="F27">
        <v>480.2</v>
      </c>
      <c r="G27" s="19">
        <f t="shared" si="3"/>
        <v>423.5</v>
      </c>
      <c r="H27" s="19">
        <f t="shared" si="3"/>
        <v>533.20000000000005</v>
      </c>
      <c r="I27" s="24">
        <f t="shared" si="1"/>
        <v>-20.573893473368354</v>
      </c>
    </row>
    <row r="28" spans="2:11" x14ac:dyDescent="0.25">
      <c r="B28" s="10">
        <f t="shared" si="2"/>
        <v>39030</v>
      </c>
      <c r="C28">
        <v>87.3</v>
      </c>
      <c r="D28">
        <v>111.7</v>
      </c>
      <c r="E28">
        <v>356.2</v>
      </c>
      <c r="F28">
        <v>480.2</v>
      </c>
      <c r="G28" s="19">
        <f t="shared" si="3"/>
        <v>443.5</v>
      </c>
      <c r="H28" s="19">
        <f t="shared" si="3"/>
        <v>591.9</v>
      </c>
      <c r="I28" s="24">
        <f t="shared" si="1"/>
        <v>-25.071802669369823</v>
      </c>
    </row>
    <row r="29" spans="2:11" x14ac:dyDescent="0.25">
      <c r="B29" s="10">
        <f t="shared" si="2"/>
        <v>39037</v>
      </c>
      <c r="C29">
        <v>93.3</v>
      </c>
      <c r="D29">
        <v>154.1</v>
      </c>
      <c r="E29">
        <v>356.2</v>
      </c>
      <c r="F29">
        <v>480.2</v>
      </c>
      <c r="G29" s="19">
        <f t="shared" si="3"/>
        <v>449.5</v>
      </c>
      <c r="H29" s="19">
        <f t="shared" si="3"/>
        <v>634.29999999999995</v>
      </c>
      <c r="I29" s="24">
        <f t="shared" si="1"/>
        <v>-29.134478953176725</v>
      </c>
    </row>
    <row r="30" spans="2:11" x14ac:dyDescent="0.25">
      <c r="B30" s="10">
        <f t="shared" si="2"/>
        <v>39044</v>
      </c>
      <c r="C30">
        <v>84.8</v>
      </c>
      <c r="D30">
        <v>164.1</v>
      </c>
      <c r="E30">
        <v>376.6</v>
      </c>
      <c r="F30">
        <v>485.4</v>
      </c>
      <c r="G30" s="19">
        <f t="shared" si="3"/>
        <v>461.40000000000003</v>
      </c>
      <c r="H30" s="19">
        <f t="shared" si="3"/>
        <v>649.5</v>
      </c>
      <c r="I30" s="24">
        <f t="shared" si="1"/>
        <v>-28.960739030023085</v>
      </c>
    </row>
    <row r="31" spans="2:11" x14ac:dyDescent="0.25">
      <c r="B31" s="10">
        <f t="shared" si="2"/>
        <v>39051</v>
      </c>
      <c r="C31">
        <v>106</v>
      </c>
      <c r="D31">
        <v>155.80000000000001</v>
      </c>
      <c r="E31">
        <v>401</v>
      </c>
      <c r="F31">
        <v>496.8</v>
      </c>
      <c r="G31" s="19">
        <f t="shared" si="3"/>
        <v>507</v>
      </c>
      <c r="H31" s="19">
        <f t="shared" si="3"/>
        <v>652.6</v>
      </c>
      <c r="I31" s="24">
        <f t="shared" si="1"/>
        <v>-22.310756972111555</v>
      </c>
    </row>
    <row r="32" spans="2:11" x14ac:dyDescent="0.25">
      <c r="B32" s="10">
        <f t="shared" si="2"/>
        <v>39058</v>
      </c>
      <c r="C32">
        <v>106</v>
      </c>
      <c r="D32">
        <v>119.8</v>
      </c>
      <c r="E32">
        <v>401</v>
      </c>
      <c r="F32">
        <v>560.79999999999995</v>
      </c>
      <c r="G32" s="19">
        <f t="shared" si="3"/>
        <v>507</v>
      </c>
      <c r="H32" s="19">
        <f t="shared" si="3"/>
        <v>680.59999999999991</v>
      </c>
      <c r="I32" s="24">
        <f t="shared" si="1"/>
        <v>-25.506905671466342</v>
      </c>
    </row>
    <row r="33" spans="2:9" x14ac:dyDescent="0.25">
      <c r="B33" s="10">
        <f t="shared" si="2"/>
        <v>39065</v>
      </c>
      <c r="C33">
        <v>106.4</v>
      </c>
      <c r="D33">
        <v>166.1</v>
      </c>
      <c r="E33">
        <v>421.4</v>
      </c>
      <c r="F33">
        <v>560.79999999999995</v>
      </c>
      <c r="G33" s="19">
        <f t="shared" si="3"/>
        <v>527.79999999999995</v>
      </c>
      <c r="H33" s="19">
        <f t="shared" si="3"/>
        <v>726.9</v>
      </c>
      <c r="I33" s="24">
        <f t="shared" si="1"/>
        <v>-27.390287522355205</v>
      </c>
    </row>
    <row r="34" spans="2:9" x14ac:dyDescent="0.25">
      <c r="B34" s="10">
        <f t="shared" si="2"/>
        <v>39072</v>
      </c>
      <c r="C34">
        <v>92.8</v>
      </c>
      <c r="D34">
        <v>144.1</v>
      </c>
      <c r="E34">
        <v>427.4</v>
      </c>
      <c r="F34">
        <v>607.6</v>
      </c>
      <c r="G34" s="19">
        <f t="shared" si="3"/>
        <v>520.19999999999993</v>
      </c>
      <c r="H34" s="19">
        <f t="shared" si="3"/>
        <v>751.7</v>
      </c>
      <c r="I34" s="24">
        <f t="shared" si="1"/>
        <v>-30.796860449647479</v>
      </c>
    </row>
    <row r="35" spans="2:9" x14ac:dyDescent="0.25">
      <c r="B35" s="10">
        <f t="shared" si="2"/>
        <v>39079</v>
      </c>
      <c r="C35">
        <v>92.8</v>
      </c>
      <c r="D35">
        <v>144.1</v>
      </c>
      <c r="E35">
        <v>427.4</v>
      </c>
      <c r="F35">
        <v>607.6</v>
      </c>
      <c r="G35" s="19">
        <f t="shared" ref="G35:H39" si="4">+C35+E35</f>
        <v>520.19999999999993</v>
      </c>
      <c r="H35" s="19">
        <f t="shared" si="4"/>
        <v>751.7</v>
      </c>
      <c r="I35" s="24">
        <f t="shared" ref="I35:I40" si="5">+(G35/H35-1)*100</f>
        <v>-30.796860449647479</v>
      </c>
    </row>
    <row r="36" spans="2:9" x14ac:dyDescent="0.25">
      <c r="B36" s="10">
        <f t="shared" si="2"/>
        <v>39086</v>
      </c>
      <c r="C36">
        <v>52.4</v>
      </c>
      <c r="D36">
        <v>158.30000000000001</v>
      </c>
      <c r="E36">
        <v>471.1</v>
      </c>
      <c r="F36">
        <v>607.6</v>
      </c>
      <c r="G36" s="19">
        <f t="shared" si="4"/>
        <v>523.5</v>
      </c>
      <c r="H36" s="19">
        <f t="shared" si="4"/>
        <v>765.90000000000009</v>
      </c>
      <c r="I36" s="24">
        <f t="shared" si="5"/>
        <v>-31.649040344692526</v>
      </c>
    </row>
    <row r="37" spans="2:9" x14ac:dyDescent="0.25">
      <c r="B37" s="10">
        <f t="shared" si="2"/>
        <v>39093</v>
      </c>
      <c r="C37">
        <v>20.399999999999999</v>
      </c>
      <c r="D37">
        <v>179.9</v>
      </c>
      <c r="E37">
        <v>499.4</v>
      </c>
      <c r="F37">
        <v>633.4</v>
      </c>
      <c r="G37" s="19">
        <f t="shared" si="4"/>
        <v>519.79999999999995</v>
      </c>
      <c r="H37" s="19">
        <f t="shared" si="4"/>
        <v>813.3</v>
      </c>
      <c r="I37" s="24">
        <f t="shared" si="5"/>
        <v>-36.087544571498832</v>
      </c>
    </row>
    <row r="38" spans="2:9" x14ac:dyDescent="0.25">
      <c r="B38" s="10">
        <f t="shared" si="2"/>
        <v>39100</v>
      </c>
      <c r="C38">
        <v>0</v>
      </c>
      <c r="D38">
        <v>177.9</v>
      </c>
      <c r="E38">
        <v>518.6</v>
      </c>
      <c r="F38">
        <v>633.4</v>
      </c>
      <c r="G38" s="19">
        <f t="shared" si="4"/>
        <v>518.6</v>
      </c>
      <c r="H38" s="19">
        <f t="shared" si="4"/>
        <v>811.3</v>
      </c>
      <c r="I38" s="24">
        <f t="shared" si="5"/>
        <v>-36.077899667200782</v>
      </c>
    </row>
    <row r="39" spans="2:9" x14ac:dyDescent="0.25">
      <c r="B39" s="10">
        <f t="shared" si="2"/>
        <v>39107</v>
      </c>
      <c r="C39">
        <v>10</v>
      </c>
      <c r="D39">
        <v>141.19999999999999</v>
      </c>
      <c r="E39">
        <v>518.6</v>
      </c>
      <c r="F39">
        <v>669.4</v>
      </c>
      <c r="G39" s="19">
        <f t="shared" si="4"/>
        <v>528.6</v>
      </c>
      <c r="H39" s="19">
        <f t="shared" si="4"/>
        <v>810.59999999999991</v>
      </c>
      <c r="I39" s="24">
        <f t="shared" si="5"/>
        <v>-34.789045151739437</v>
      </c>
    </row>
    <row r="40" spans="2:9" x14ac:dyDescent="0.25">
      <c r="B40" s="10">
        <f t="shared" si="2"/>
        <v>39114</v>
      </c>
      <c r="C40">
        <v>79</v>
      </c>
      <c r="D40">
        <v>117.8</v>
      </c>
      <c r="E40">
        <v>518.6</v>
      </c>
      <c r="F40">
        <v>723.8</v>
      </c>
      <c r="G40" s="19">
        <f t="shared" ref="G40:H42" si="6">+C40+E40</f>
        <v>597.6</v>
      </c>
      <c r="H40" s="19">
        <f t="shared" si="6"/>
        <v>841.59999999999991</v>
      </c>
      <c r="I40" s="24">
        <f t="shared" si="5"/>
        <v>-28.992395437262342</v>
      </c>
    </row>
    <row r="41" spans="2:9" x14ac:dyDescent="0.25">
      <c r="B41" s="10">
        <f t="shared" si="2"/>
        <v>39121</v>
      </c>
      <c r="C41">
        <v>127.7</v>
      </c>
      <c r="D41">
        <v>123.6</v>
      </c>
      <c r="E41">
        <v>518.6</v>
      </c>
      <c r="F41">
        <v>744.6</v>
      </c>
      <c r="G41" s="19">
        <f t="shared" si="6"/>
        <v>646.30000000000007</v>
      </c>
      <c r="H41" s="19">
        <f t="shared" si="6"/>
        <v>868.2</v>
      </c>
      <c r="I41" s="24">
        <f t="shared" ref="I41:I46" si="7">+(G41/H41-1)*100</f>
        <v>-25.558627044459804</v>
      </c>
    </row>
    <row r="42" spans="2:9" x14ac:dyDescent="0.25">
      <c r="B42" s="10">
        <f t="shared" si="2"/>
        <v>39128</v>
      </c>
      <c r="C42">
        <v>127.7</v>
      </c>
      <c r="D42">
        <v>143.6</v>
      </c>
      <c r="E42">
        <v>518.6</v>
      </c>
      <c r="F42">
        <v>761.1</v>
      </c>
      <c r="G42" s="19">
        <f t="shared" si="6"/>
        <v>646.30000000000007</v>
      </c>
      <c r="H42" s="19">
        <f t="shared" si="6"/>
        <v>904.7</v>
      </c>
      <c r="I42" s="24">
        <f t="shared" si="7"/>
        <v>-28.561954238974241</v>
      </c>
    </row>
    <row r="43" spans="2:9" x14ac:dyDescent="0.25">
      <c r="B43" s="10">
        <f t="shared" si="2"/>
        <v>39135</v>
      </c>
      <c r="C43">
        <v>127.7</v>
      </c>
      <c r="D43">
        <v>126.9</v>
      </c>
      <c r="E43">
        <v>518.6</v>
      </c>
      <c r="F43">
        <v>780.7</v>
      </c>
      <c r="G43" s="19">
        <f t="shared" ref="G43:H45" si="8">+C43+E43</f>
        <v>646.30000000000007</v>
      </c>
      <c r="H43" s="19">
        <f t="shared" si="8"/>
        <v>907.6</v>
      </c>
      <c r="I43" s="24">
        <f t="shared" si="7"/>
        <v>-28.790215954164822</v>
      </c>
    </row>
    <row r="44" spans="2:9" x14ac:dyDescent="0.25">
      <c r="B44" s="10">
        <f t="shared" si="2"/>
        <v>39142</v>
      </c>
      <c r="C44">
        <v>127.7</v>
      </c>
      <c r="D44">
        <v>126.9</v>
      </c>
      <c r="E44">
        <v>518.6</v>
      </c>
      <c r="F44">
        <v>780.7</v>
      </c>
      <c r="G44" s="19">
        <f t="shared" si="8"/>
        <v>646.30000000000007</v>
      </c>
      <c r="H44" s="19">
        <f t="shared" si="8"/>
        <v>907.6</v>
      </c>
      <c r="I44" s="24">
        <f t="shared" si="7"/>
        <v>-28.790215954164822</v>
      </c>
    </row>
    <row r="45" spans="2:9" x14ac:dyDescent="0.25">
      <c r="B45" s="10">
        <f t="shared" si="2"/>
        <v>39149</v>
      </c>
      <c r="C45">
        <v>138.69999999999999</v>
      </c>
      <c r="D45">
        <v>89.4</v>
      </c>
      <c r="E45">
        <v>541.70000000000005</v>
      </c>
      <c r="F45">
        <v>833.8</v>
      </c>
      <c r="G45" s="19">
        <f t="shared" si="8"/>
        <v>680.40000000000009</v>
      </c>
      <c r="H45" s="19">
        <f t="shared" si="8"/>
        <v>923.19999999999993</v>
      </c>
      <c r="I45" s="24">
        <f t="shared" si="7"/>
        <v>-26.299826689774687</v>
      </c>
    </row>
    <row r="46" spans="2:9" x14ac:dyDescent="0.25">
      <c r="B46" s="10">
        <f t="shared" si="2"/>
        <v>39156</v>
      </c>
      <c r="C46">
        <v>118.7</v>
      </c>
      <c r="D46">
        <v>71.5</v>
      </c>
      <c r="E46">
        <v>561.70000000000005</v>
      </c>
      <c r="F46">
        <v>882.1</v>
      </c>
      <c r="G46" s="19">
        <f t="shared" ref="G46:H48" si="9">+C46+E46</f>
        <v>680.40000000000009</v>
      </c>
      <c r="H46" s="19">
        <f t="shared" si="9"/>
        <v>953.6</v>
      </c>
      <c r="I46" s="24">
        <f t="shared" si="7"/>
        <v>-28.649328859060397</v>
      </c>
    </row>
    <row r="47" spans="2:9" x14ac:dyDescent="0.25">
      <c r="B47" s="10">
        <f t="shared" si="2"/>
        <v>39163</v>
      </c>
      <c r="C47">
        <v>106.7</v>
      </c>
      <c r="D47">
        <v>71.5</v>
      </c>
      <c r="E47">
        <v>593.5</v>
      </c>
      <c r="F47">
        <v>882.1</v>
      </c>
      <c r="G47" s="19">
        <f t="shared" si="9"/>
        <v>700.2</v>
      </c>
      <c r="H47" s="19">
        <f t="shared" si="9"/>
        <v>953.6</v>
      </c>
      <c r="I47" s="24">
        <f t="shared" ref="I47:I52" si="10">+(G47/H47-1)*100</f>
        <v>-26.572986577181201</v>
      </c>
    </row>
    <row r="48" spans="2:9" x14ac:dyDescent="0.25">
      <c r="B48" s="10">
        <f t="shared" si="2"/>
        <v>39170</v>
      </c>
      <c r="C48">
        <v>88.7</v>
      </c>
      <c r="D48">
        <v>71.5</v>
      </c>
      <c r="E48">
        <v>611.29999999999995</v>
      </c>
      <c r="F48">
        <v>882.1</v>
      </c>
      <c r="G48" s="19">
        <f t="shared" si="9"/>
        <v>700</v>
      </c>
      <c r="H48" s="19">
        <f t="shared" si="9"/>
        <v>953.6</v>
      </c>
      <c r="I48" s="24">
        <f t="shared" si="10"/>
        <v>-26.593959731543627</v>
      </c>
    </row>
    <row r="49" spans="2:10" x14ac:dyDescent="0.25">
      <c r="B49" s="10">
        <f t="shared" si="2"/>
        <v>39177</v>
      </c>
      <c r="C49">
        <v>86.1</v>
      </c>
      <c r="D49">
        <v>82.5</v>
      </c>
      <c r="E49">
        <v>611.29999999999995</v>
      </c>
      <c r="F49">
        <v>882.1</v>
      </c>
      <c r="G49" s="19">
        <f t="shared" ref="G49:H51" si="11">+C49+E49</f>
        <v>697.4</v>
      </c>
      <c r="H49" s="19">
        <f t="shared" si="11"/>
        <v>964.6</v>
      </c>
      <c r="I49" s="24">
        <f t="shared" si="10"/>
        <v>-27.700601285506956</v>
      </c>
    </row>
    <row r="50" spans="2:10" x14ac:dyDescent="0.25">
      <c r="B50" s="10">
        <f t="shared" si="2"/>
        <v>39184</v>
      </c>
      <c r="C50">
        <v>86.1</v>
      </c>
      <c r="D50">
        <v>91.5</v>
      </c>
      <c r="E50">
        <v>611.29999999999995</v>
      </c>
      <c r="F50">
        <v>907.8</v>
      </c>
      <c r="G50" s="19">
        <f t="shared" si="11"/>
        <v>697.4</v>
      </c>
      <c r="H50" s="19">
        <f t="shared" si="11"/>
        <v>999.3</v>
      </c>
      <c r="I50" s="24">
        <f t="shared" si="10"/>
        <v>-30.211147803462424</v>
      </c>
    </row>
    <row r="51" spans="2:10" x14ac:dyDescent="0.25">
      <c r="B51" s="10">
        <f t="shared" si="2"/>
        <v>39191</v>
      </c>
      <c r="C51">
        <v>52.3</v>
      </c>
      <c r="D51">
        <v>62</v>
      </c>
      <c r="E51">
        <v>646.5</v>
      </c>
      <c r="F51">
        <v>935.7</v>
      </c>
      <c r="G51" s="19">
        <f t="shared" si="11"/>
        <v>698.8</v>
      </c>
      <c r="H51" s="19">
        <f t="shared" si="11"/>
        <v>997.7</v>
      </c>
      <c r="I51" s="24">
        <f t="shared" si="10"/>
        <v>-29.95890548261001</v>
      </c>
    </row>
    <row r="52" spans="2:10" x14ac:dyDescent="0.25">
      <c r="B52" s="10">
        <f t="shared" si="2"/>
        <v>39198</v>
      </c>
      <c r="C52">
        <v>26</v>
      </c>
      <c r="D52">
        <v>93</v>
      </c>
      <c r="E52">
        <v>676.2</v>
      </c>
      <c r="F52">
        <v>935.7</v>
      </c>
      <c r="G52" s="19">
        <f t="shared" ref="G52:H54" si="12">+C52+E52</f>
        <v>702.2</v>
      </c>
      <c r="H52" s="19">
        <f t="shared" si="12"/>
        <v>1028.7</v>
      </c>
      <c r="I52" s="24">
        <f t="shared" si="10"/>
        <v>-31.739088169534359</v>
      </c>
    </row>
    <row r="53" spans="2:10" x14ac:dyDescent="0.25">
      <c r="B53" s="10">
        <f t="shared" si="2"/>
        <v>39205</v>
      </c>
      <c r="C53">
        <v>35</v>
      </c>
      <c r="D53">
        <v>96</v>
      </c>
      <c r="E53">
        <v>676.2</v>
      </c>
      <c r="F53">
        <v>971.7</v>
      </c>
      <c r="G53" s="19">
        <f t="shared" si="12"/>
        <v>711.2</v>
      </c>
      <c r="H53" s="19">
        <f t="shared" si="12"/>
        <v>1067.7</v>
      </c>
      <c r="I53" s="24">
        <f t="shared" ref="I53:I59" si="13">+(G53/H53-1)*100</f>
        <v>-33.389528893884048</v>
      </c>
      <c r="J53">
        <v>30.5</v>
      </c>
    </row>
    <row r="54" spans="2:10" x14ac:dyDescent="0.25">
      <c r="B54" s="10">
        <f t="shared" si="2"/>
        <v>39212</v>
      </c>
      <c r="C54">
        <v>9</v>
      </c>
      <c r="D54">
        <v>82</v>
      </c>
      <c r="E54">
        <v>704.8</v>
      </c>
      <c r="F54">
        <v>1002.4</v>
      </c>
      <c r="G54" s="19">
        <f t="shared" si="12"/>
        <v>713.8</v>
      </c>
      <c r="H54" s="19">
        <f t="shared" si="12"/>
        <v>1084.4000000000001</v>
      </c>
      <c r="I54" s="24">
        <f t="shared" si="13"/>
        <v>-34.17558096643306</v>
      </c>
      <c r="J54">
        <v>51</v>
      </c>
    </row>
    <row r="55" spans="2:10" x14ac:dyDescent="0.25">
      <c r="B55" s="10">
        <f t="shared" si="2"/>
        <v>39219</v>
      </c>
      <c r="C55">
        <v>0</v>
      </c>
      <c r="D55">
        <v>53</v>
      </c>
      <c r="E55">
        <v>704.8</v>
      </c>
      <c r="F55">
        <v>1032.8</v>
      </c>
      <c r="G55" s="19">
        <f>+C55+E55</f>
        <v>704.8</v>
      </c>
      <c r="H55" s="19">
        <f>+D55+F55</f>
        <v>1085.8</v>
      </c>
      <c r="I55" s="24">
        <f t="shared" si="13"/>
        <v>-35.089335052495862</v>
      </c>
      <c r="J55">
        <v>60</v>
      </c>
    </row>
    <row r="56" spans="2:10" x14ac:dyDescent="0.25">
      <c r="B56" s="10">
        <f t="shared" si="2"/>
        <v>39226</v>
      </c>
      <c r="C56">
        <v>0</v>
      </c>
      <c r="D56">
        <v>22</v>
      </c>
      <c r="E56">
        <v>704.8</v>
      </c>
      <c r="F56">
        <v>1064.4000000000001</v>
      </c>
      <c r="G56" s="19">
        <f>+C56+E56</f>
        <v>704.8</v>
      </c>
      <c r="H56" s="19">
        <f>+D56+F56</f>
        <v>1086.4000000000001</v>
      </c>
      <c r="I56" s="24">
        <f t="shared" si="13"/>
        <v>-35.125184094256269</v>
      </c>
      <c r="J56">
        <v>60</v>
      </c>
    </row>
    <row r="57" spans="2:10" x14ac:dyDescent="0.25">
      <c r="B57" s="10">
        <f t="shared" si="2"/>
        <v>39233</v>
      </c>
      <c r="C57">
        <f>+Data!F132</f>
        <v>0</v>
      </c>
      <c r="G57">
        <v>704.8</v>
      </c>
      <c r="H57">
        <v>1085.3</v>
      </c>
      <c r="I57" s="24">
        <f t="shared" si="13"/>
        <v>-35.059430572192021</v>
      </c>
    </row>
    <row r="58" spans="2:10" x14ac:dyDescent="0.25">
      <c r="B58" s="10">
        <f t="shared" si="2"/>
        <v>39240</v>
      </c>
      <c r="C58">
        <v>70.7</v>
      </c>
      <c r="D58">
        <v>106</v>
      </c>
      <c r="E58">
        <v>35.6</v>
      </c>
      <c r="F58">
        <v>0</v>
      </c>
      <c r="G58" s="19">
        <f t="shared" ref="G58:H60" si="14">+C58+E58</f>
        <v>106.30000000000001</v>
      </c>
      <c r="H58" s="19">
        <f t="shared" si="14"/>
        <v>106</v>
      </c>
      <c r="I58" s="24">
        <f t="shared" si="13"/>
        <v>0.28301886792454489</v>
      </c>
    </row>
    <row r="59" spans="2:10" x14ac:dyDescent="0.25">
      <c r="B59" s="10">
        <f t="shared" si="2"/>
        <v>39247</v>
      </c>
      <c r="C59">
        <v>61.7</v>
      </c>
      <c r="D59">
        <v>121</v>
      </c>
      <c r="E59">
        <v>65.8</v>
      </c>
      <c r="F59">
        <v>0</v>
      </c>
      <c r="G59" s="19">
        <f t="shared" si="14"/>
        <v>127.5</v>
      </c>
      <c r="H59" s="19">
        <f t="shared" si="14"/>
        <v>121</v>
      </c>
      <c r="I59" s="24">
        <f t="shared" si="13"/>
        <v>5.3719008264462742</v>
      </c>
    </row>
    <row r="60" spans="2:10" x14ac:dyDescent="0.25">
      <c r="B60" s="10">
        <f t="shared" si="2"/>
        <v>39254</v>
      </c>
      <c r="C60">
        <v>61</v>
      </c>
      <c r="D60">
        <v>138.80000000000001</v>
      </c>
      <c r="E60">
        <v>65.8</v>
      </c>
      <c r="F60">
        <v>17.899999999999999</v>
      </c>
      <c r="G60" s="19">
        <f t="shared" si="14"/>
        <v>126.8</v>
      </c>
      <c r="H60" s="19">
        <f t="shared" si="14"/>
        <v>156.70000000000002</v>
      </c>
      <c r="I60" s="24">
        <f t="shared" ref="I60:I65" si="15">+(G60/H60-1)*100</f>
        <v>-19.081046585832816</v>
      </c>
    </row>
    <row r="61" spans="2:10" x14ac:dyDescent="0.25">
      <c r="B61" s="10">
        <f t="shared" si="2"/>
        <v>39261</v>
      </c>
      <c r="C61">
        <v>43</v>
      </c>
      <c r="D61">
        <v>138.80000000000001</v>
      </c>
      <c r="E61">
        <v>85.6</v>
      </c>
      <c r="F61">
        <v>17.899999999999999</v>
      </c>
      <c r="G61" s="19">
        <f t="shared" ref="G61:H63" si="16">+C61+E61</f>
        <v>128.6</v>
      </c>
      <c r="H61" s="19">
        <f t="shared" si="16"/>
        <v>156.70000000000002</v>
      </c>
      <c r="I61" s="24">
        <f t="shared" si="15"/>
        <v>-17.932354818123819</v>
      </c>
    </row>
    <row r="62" spans="2:10" x14ac:dyDescent="0.25">
      <c r="B62" s="10">
        <f t="shared" si="2"/>
        <v>39268</v>
      </c>
      <c r="C62">
        <v>49.3</v>
      </c>
      <c r="D62">
        <v>118.8</v>
      </c>
      <c r="E62">
        <v>85.6</v>
      </c>
      <c r="F62">
        <v>59.7</v>
      </c>
      <c r="G62" s="19">
        <f t="shared" si="16"/>
        <v>134.89999999999998</v>
      </c>
      <c r="H62" s="19">
        <f t="shared" si="16"/>
        <v>178.5</v>
      </c>
      <c r="I62" s="24">
        <f t="shared" si="15"/>
        <v>-24.425770308123262</v>
      </c>
    </row>
    <row r="63" spans="2:10" x14ac:dyDescent="0.25">
      <c r="B63" s="10">
        <f t="shared" si="2"/>
        <v>39275</v>
      </c>
      <c r="C63">
        <v>78.3</v>
      </c>
      <c r="D63">
        <v>121</v>
      </c>
      <c r="E63">
        <v>85.6</v>
      </c>
      <c r="F63">
        <v>65.900000000000006</v>
      </c>
      <c r="G63" s="19">
        <f t="shared" si="16"/>
        <v>163.89999999999998</v>
      </c>
      <c r="H63" s="19">
        <f t="shared" si="16"/>
        <v>186.9</v>
      </c>
      <c r="I63" s="24">
        <f t="shared" si="15"/>
        <v>-12.306046013911198</v>
      </c>
    </row>
    <row r="64" spans="2:10" x14ac:dyDescent="0.25">
      <c r="B64" s="10">
        <f t="shared" si="2"/>
        <v>39282</v>
      </c>
      <c r="C64">
        <v>55.8</v>
      </c>
      <c r="D64">
        <v>84.5</v>
      </c>
      <c r="E64">
        <v>112.5</v>
      </c>
      <c r="F64">
        <v>150</v>
      </c>
      <c r="G64" s="19">
        <f t="shared" ref="G64:H66" si="17">+C64+E64</f>
        <v>168.3</v>
      </c>
      <c r="H64" s="19">
        <f t="shared" si="17"/>
        <v>234.5</v>
      </c>
      <c r="I64" s="24">
        <f t="shared" si="15"/>
        <v>-28.230277185501063</v>
      </c>
    </row>
    <row r="65" spans="2:9" x14ac:dyDescent="0.25">
      <c r="B65" s="10">
        <f t="shared" si="2"/>
        <v>39289</v>
      </c>
      <c r="C65">
        <v>118.3</v>
      </c>
      <c r="D65">
        <v>84.5</v>
      </c>
      <c r="E65">
        <v>112.5</v>
      </c>
      <c r="F65">
        <v>163.6</v>
      </c>
      <c r="G65" s="19">
        <f t="shared" si="17"/>
        <v>230.8</v>
      </c>
      <c r="H65" s="19">
        <f t="shared" si="17"/>
        <v>248.1</v>
      </c>
      <c r="I65" s="24">
        <f t="shared" si="15"/>
        <v>-6.9729947601773423</v>
      </c>
    </row>
    <row r="66" spans="2:9" x14ac:dyDescent="0.25">
      <c r="B66" s="10">
        <f t="shared" si="2"/>
        <v>39296</v>
      </c>
      <c r="C66">
        <v>117.3</v>
      </c>
      <c r="D66">
        <v>61.4</v>
      </c>
      <c r="E66">
        <v>135.30000000000001</v>
      </c>
      <c r="F66">
        <v>211.4</v>
      </c>
      <c r="G66" s="19">
        <f t="shared" si="17"/>
        <v>252.60000000000002</v>
      </c>
      <c r="H66" s="19">
        <f t="shared" si="17"/>
        <v>272.8</v>
      </c>
      <c r="I66" s="24">
        <f t="shared" ref="I66:I71" si="18">+(G66/H66-1)*100</f>
        <v>-7.4046920821114304</v>
      </c>
    </row>
    <row r="67" spans="2:9" x14ac:dyDescent="0.25">
      <c r="B67" s="10">
        <f t="shared" si="2"/>
        <v>39303</v>
      </c>
      <c r="C67">
        <v>204.3</v>
      </c>
      <c r="D67">
        <v>35</v>
      </c>
      <c r="E67">
        <v>135.30000000000001</v>
      </c>
      <c r="F67">
        <v>235.2</v>
      </c>
      <c r="G67" s="19">
        <f t="shared" ref="G67:H69" si="19">+C67+E67</f>
        <v>339.6</v>
      </c>
      <c r="H67" s="19">
        <f t="shared" si="19"/>
        <v>270.2</v>
      </c>
      <c r="I67" s="24">
        <f t="shared" si="18"/>
        <v>25.684678016284245</v>
      </c>
    </row>
    <row r="68" spans="2:9" x14ac:dyDescent="0.25">
      <c r="B68" s="10">
        <f t="shared" si="2"/>
        <v>39310</v>
      </c>
      <c r="C68">
        <v>194.8</v>
      </c>
      <c r="D68">
        <v>17</v>
      </c>
      <c r="E68">
        <v>144.80000000000001</v>
      </c>
      <c r="F68">
        <v>253.9</v>
      </c>
      <c r="G68" s="19">
        <f t="shared" si="19"/>
        <v>339.6</v>
      </c>
      <c r="H68" s="19">
        <f t="shared" si="19"/>
        <v>270.89999999999998</v>
      </c>
      <c r="I68" s="24">
        <f t="shared" si="18"/>
        <v>25.359911406423063</v>
      </c>
    </row>
    <row r="69" spans="2:9" x14ac:dyDescent="0.25">
      <c r="B69" s="10">
        <f t="shared" si="2"/>
        <v>39317</v>
      </c>
      <c r="C69">
        <v>188.5</v>
      </c>
      <c r="D69">
        <v>26.5</v>
      </c>
      <c r="E69">
        <v>160.6</v>
      </c>
      <c r="F69">
        <v>257.89999999999998</v>
      </c>
      <c r="G69" s="19">
        <f t="shared" si="19"/>
        <v>349.1</v>
      </c>
      <c r="H69" s="19">
        <f t="shared" si="19"/>
        <v>284.39999999999998</v>
      </c>
      <c r="I69" s="24">
        <f t="shared" si="18"/>
        <v>22.749648382559794</v>
      </c>
    </row>
    <row r="70" spans="2:9" x14ac:dyDescent="0.25">
      <c r="B70" s="10">
        <f t="shared" si="2"/>
        <v>39324</v>
      </c>
      <c r="C70">
        <v>137.5</v>
      </c>
      <c r="D70">
        <v>26.5</v>
      </c>
      <c r="E70">
        <v>214.2</v>
      </c>
      <c r="F70">
        <v>274.2</v>
      </c>
      <c r="G70" s="19">
        <f t="shared" ref="G70:H72" si="20">+C70+E70</f>
        <v>351.7</v>
      </c>
      <c r="H70" s="19">
        <f t="shared" si="20"/>
        <v>300.7</v>
      </c>
      <c r="I70" s="24">
        <f t="shared" si="18"/>
        <v>16.960425673428659</v>
      </c>
    </row>
    <row r="71" spans="2:9" x14ac:dyDescent="0.25">
      <c r="B71" s="10">
        <f t="shared" si="2"/>
        <v>39331</v>
      </c>
      <c r="C71">
        <v>186.6</v>
      </c>
      <c r="D71">
        <v>59.1</v>
      </c>
      <c r="E71">
        <v>190.6</v>
      </c>
      <c r="F71">
        <v>140.4</v>
      </c>
      <c r="G71" s="19">
        <f t="shared" si="20"/>
        <v>377.2</v>
      </c>
      <c r="H71" s="19">
        <f t="shared" si="20"/>
        <v>199.5</v>
      </c>
      <c r="I71" s="24">
        <f t="shared" si="18"/>
        <v>89.072681704260631</v>
      </c>
    </row>
    <row r="72" spans="2:9" x14ac:dyDescent="0.25">
      <c r="B72" s="10">
        <f t="shared" si="2"/>
        <v>39338</v>
      </c>
      <c r="C72">
        <v>127.5</v>
      </c>
      <c r="D72">
        <v>19.5</v>
      </c>
      <c r="E72">
        <v>276.89999999999998</v>
      </c>
      <c r="F72">
        <v>285.89999999999998</v>
      </c>
      <c r="G72" s="19">
        <f t="shared" si="20"/>
        <v>404.4</v>
      </c>
      <c r="H72" s="19">
        <f t="shared" si="20"/>
        <v>305.39999999999998</v>
      </c>
      <c r="I72" s="24">
        <f t="shared" ref="I72:I77" si="21">+(G72/H72-1)*100</f>
        <v>32.416502946954814</v>
      </c>
    </row>
    <row r="73" spans="2:9" x14ac:dyDescent="0.25">
      <c r="B73" s="10">
        <f t="shared" si="2"/>
        <v>39345</v>
      </c>
      <c r="C73">
        <v>156.5</v>
      </c>
      <c r="D73">
        <v>19.5</v>
      </c>
      <c r="E73">
        <v>296.5</v>
      </c>
      <c r="F73">
        <v>285.89999999999998</v>
      </c>
      <c r="G73" s="19">
        <f t="shared" ref="G73:H75" si="22">+C73+E73</f>
        <v>453</v>
      </c>
      <c r="H73" s="19">
        <f t="shared" si="22"/>
        <v>305.39999999999998</v>
      </c>
      <c r="I73" s="24">
        <f t="shared" si="21"/>
        <v>48.330058939096276</v>
      </c>
    </row>
    <row r="74" spans="2:9" x14ac:dyDescent="0.25">
      <c r="B74" s="10">
        <f t="shared" si="2"/>
        <v>39352</v>
      </c>
      <c r="C74">
        <v>130.5</v>
      </c>
      <c r="D74">
        <v>8</v>
      </c>
      <c r="E74">
        <v>324.8</v>
      </c>
      <c r="F74">
        <v>300.39999999999998</v>
      </c>
      <c r="G74" s="19">
        <f t="shared" si="22"/>
        <v>455.3</v>
      </c>
      <c r="H74" s="19">
        <f t="shared" si="22"/>
        <v>308.39999999999998</v>
      </c>
      <c r="I74" s="24">
        <f t="shared" si="21"/>
        <v>47.63294422827498</v>
      </c>
    </row>
    <row r="75" spans="2:9" x14ac:dyDescent="0.25">
      <c r="B75" s="10">
        <f t="shared" si="2"/>
        <v>39359</v>
      </c>
      <c r="C75">
        <v>108.5</v>
      </c>
      <c r="D75">
        <v>6.6</v>
      </c>
      <c r="E75">
        <v>347.2</v>
      </c>
      <c r="F75">
        <v>312.10000000000002</v>
      </c>
      <c r="G75" s="19">
        <f t="shared" si="22"/>
        <v>455.7</v>
      </c>
      <c r="H75" s="19">
        <f t="shared" si="22"/>
        <v>318.70000000000005</v>
      </c>
      <c r="I75" s="24">
        <f t="shared" si="21"/>
        <v>42.987135236899874</v>
      </c>
    </row>
    <row r="76" spans="2:9" x14ac:dyDescent="0.25">
      <c r="B76" s="10">
        <f t="shared" si="2"/>
        <v>39366</v>
      </c>
      <c r="C76">
        <v>116</v>
      </c>
      <c r="D76">
        <v>6.6</v>
      </c>
      <c r="E76">
        <v>369.7</v>
      </c>
      <c r="F76">
        <v>334.7</v>
      </c>
      <c r="G76" s="19">
        <f t="shared" ref="G76:H78" si="23">+C76+E76</f>
        <v>485.7</v>
      </c>
      <c r="H76" s="19">
        <f t="shared" si="23"/>
        <v>341.3</v>
      </c>
      <c r="I76" s="24">
        <f t="shared" si="21"/>
        <v>42.308819220627015</v>
      </c>
    </row>
    <row r="77" spans="2:9" x14ac:dyDescent="0.25">
      <c r="B77" s="10">
        <f t="shared" si="2"/>
        <v>39373</v>
      </c>
      <c r="C77">
        <v>113.4</v>
      </c>
      <c r="D77">
        <v>0</v>
      </c>
      <c r="E77">
        <v>377.2</v>
      </c>
      <c r="F77">
        <v>340.9</v>
      </c>
      <c r="G77" s="19">
        <f t="shared" si="23"/>
        <v>490.6</v>
      </c>
      <c r="H77" s="19">
        <f t="shared" si="23"/>
        <v>340.9</v>
      </c>
      <c r="I77" s="24">
        <f t="shared" si="21"/>
        <v>43.913171017893823</v>
      </c>
    </row>
    <row r="78" spans="2:9" x14ac:dyDescent="0.25">
      <c r="B78" s="10">
        <f t="shared" si="2"/>
        <v>39380</v>
      </c>
      <c r="C78">
        <v>97.9</v>
      </c>
      <c r="D78">
        <v>28.5</v>
      </c>
      <c r="E78">
        <v>392.6</v>
      </c>
      <c r="F78">
        <v>356.2</v>
      </c>
      <c r="G78" s="19">
        <f t="shared" si="23"/>
        <v>490.5</v>
      </c>
      <c r="H78" s="19">
        <f t="shared" si="23"/>
        <v>384.7</v>
      </c>
      <c r="I78" s="24">
        <f t="shared" ref="I78:I83" si="24">+(G78/H78-1)*100</f>
        <v>27.501949571094354</v>
      </c>
    </row>
    <row r="79" spans="2:9" x14ac:dyDescent="0.25">
      <c r="B79" s="10">
        <f t="shared" si="2"/>
        <v>39387</v>
      </c>
      <c r="C79">
        <v>147.19999999999999</v>
      </c>
      <c r="D79">
        <v>67.3</v>
      </c>
      <c r="E79">
        <v>392.6</v>
      </c>
      <c r="F79">
        <v>356.2</v>
      </c>
      <c r="G79" s="19">
        <f t="shared" ref="G79:H81" si="25">+C79+E79</f>
        <v>539.79999999999995</v>
      </c>
      <c r="H79" s="19">
        <f t="shared" si="25"/>
        <v>423.5</v>
      </c>
      <c r="I79" s="24">
        <f t="shared" si="24"/>
        <v>27.461629279811085</v>
      </c>
    </row>
    <row r="80" spans="2:9" x14ac:dyDescent="0.25">
      <c r="B80" s="10">
        <f t="shared" si="2"/>
        <v>39394</v>
      </c>
      <c r="C80">
        <v>171.2</v>
      </c>
      <c r="D80">
        <v>87.3</v>
      </c>
      <c r="E80">
        <v>392.6</v>
      </c>
      <c r="F80">
        <v>356.2</v>
      </c>
      <c r="G80" s="19">
        <f t="shared" si="25"/>
        <v>563.79999999999995</v>
      </c>
      <c r="H80" s="19">
        <f t="shared" si="25"/>
        <v>443.5</v>
      </c>
      <c r="I80" s="24">
        <f t="shared" si="24"/>
        <v>27.125140924464475</v>
      </c>
    </row>
    <row r="81" spans="2:9" x14ac:dyDescent="0.25">
      <c r="B81" s="10">
        <f t="shared" si="2"/>
        <v>39401</v>
      </c>
      <c r="C81">
        <v>122.3</v>
      </c>
      <c r="D81">
        <v>93.3</v>
      </c>
      <c r="E81">
        <v>455.1</v>
      </c>
      <c r="F81">
        <v>356.2</v>
      </c>
      <c r="G81" s="19">
        <f t="shared" si="25"/>
        <v>577.4</v>
      </c>
      <c r="H81" s="19">
        <f t="shared" si="25"/>
        <v>449.5</v>
      </c>
      <c r="I81" s="24">
        <f t="shared" si="24"/>
        <v>28.453837597330356</v>
      </c>
    </row>
    <row r="82" spans="2:9" x14ac:dyDescent="0.25">
      <c r="B82" s="10">
        <f t="shared" si="2"/>
        <v>39408</v>
      </c>
      <c r="C82">
        <v>139.80000000000001</v>
      </c>
      <c r="D82">
        <v>84.8</v>
      </c>
      <c r="E82">
        <v>455.1</v>
      </c>
      <c r="F82">
        <v>376.6</v>
      </c>
      <c r="G82" s="19">
        <f t="shared" ref="G82:H84" si="26">+C82+E82</f>
        <v>594.90000000000009</v>
      </c>
      <c r="H82" s="19">
        <f t="shared" si="26"/>
        <v>461.40000000000003</v>
      </c>
      <c r="I82" s="24">
        <f t="shared" si="24"/>
        <v>28.933680104031211</v>
      </c>
    </row>
    <row r="83" spans="2:9" x14ac:dyDescent="0.25">
      <c r="B83" s="10">
        <f t="shared" si="2"/>
        <v>39415</v>
      </c>
      <c r="C83">
        <v>82.8</v>
      </c>
      <c r="D83">
        <v>106</v>
      </c>
      <c r="E83">
        <v>522.29999999999995</v>
      </c>
      <c r="F83">
        <v>401</v>
      </c>
      <c r="G83" s="19">
        <f t="shared" si="26"/>
        <v>605.09999999999991</v>
      </c>
      <c r="H83" s="19">
        <f t="shared" si="26"/>
        <v>507</v>
      </c>
      <c r="I83" s="24">
        <f t="shared" si="24"/>
        <v>19.349112426035475</v>
      </c>
    </row>
    <row r="84" spans="2:9" x14ac:dyDescent="0.25">
      <c r="B84" s="10">
        <f t="shared" si="2"/>
        <v>39422</v>
      </c>
      <c r="C84">
        <v>125.8</v>
      </c>
      <c r="D84">
        <v>106</v>
      </c>
      <c r="E84">
        <v>522.29999999999995</v>
      </c>
      <c r="F84">
        <v>401</v>
      </c>
      <c r="G84" s="19">
        <f t="shared" si="26"/>
        <v>648.09999999999991</v>
      </c>
      <c r="H84" s="19">
        <f t="shared" si="26"/>
        <v>507</v>
      </c>
      <c r="I84" s="24">
        <f t="shared" ref="I84:I89" si="27">+(G84/H84-1)*100</f>
        <v>27.830374753451647</v>
      </c>
    </row>
    <row r="85" spans="2:9" x14ac:dyDescent="0.25">
      <c r="B85" s="10">
        <f t="shared" si="2"/>
        <v>39429</v>
      </c>
      <c r="C85">
        <v>167.9</v>
      </c>
      <c r="D85">
        <v>106.4</v>
      </c>
      <c r="E85">
        <v>522.29999999999995</v>
      </c>
      <c r="F85">
        <v>421.4</v>
      </c>
      <c r="G85" s="19">
        <f t="shared" ref="G85:H87" si="28">+C85+E85</f>
        <v>690.19999999999993</v>
      </c>
      <c r="H85" s="19">
        <f t="shared" si="28"/>
        <v>527.79999999999995</v>
      </c>
      <c r="I85" s="24">
        <f t="shared" si="27"/>
        <v>30.76923076923077</v>
      </c>
    </row>
    <row r="86" spans="2:9" x14ac:dyDescent="0.25">
      <c r="B86" s="10">
        <f t="shared" si="2"/>
        <v>39436</v>
      </c>
      <c r="C86">
        <v>220.9</v>
      </c>
      <c r="D86">
        <v>92.8</v>
      </c>
      <c r="E86">
        <v>522.29999999999995</v>
      </c>
      <c r="F86">
        <v>427.4</v>
      </c>
      <c r="G86" s="19">
        <f t="shared" si="28"/>
        <v>743.19999999999993</v>
      </c>
      <c r="H86" s="19">
        <f t="shared" si="28"/>
        <v>520.19999999999993</v>
      </c>
      <c r="I86" s="24">
        <f t="shared" si="27"/>
        <v>42.868127643214152</v>
      </c>
    </row>
    <row r="87" spans="2:9" x14ac:dyDescent="0.25">
      <c r="B87" s="10">
        <f t="shared" si="2"/>
        <v>39443</v>
      </c>
      <c r="C87">
        <v>220.9</v>
      </c>
      <c r="D87">
        <v>92.8</v>
      </c>
      <c r="E87">
        <v>522.29999999999995</v>
      </c>
      <c r="F87">
        <v>427.4</v>
      </c>
      <c r="G87" s="19">
        <f t="shared" si="28"/>
        <v>743.19999999999993</v>
      </c>
      <c r="H87" s="19">
        <f t="shared" si="28"/>
        <v>520.19999999999993</v>
      </c>
      <c r="I87" s="24">
        <f t="shared" si="27"/>
        <v>42.868127643214152</v>
      </c>
    </row>
    <row r="88" spans="2:9" x14ac:dyDescent="0.25">
      <c r="B88" s="10">
        <f t="shared" si="2"/>
        <v>39450</v>
      </c>
      <c r="C88">
        <v>196.6</v>
      </c>
      <c r="D88">
        <v>52.4</v>
      </c>
      <c r="E88">
        <v>547.1</v>
      </c>
      <c r="F88">
        <v>471.1</v>
      </c>
      <c r="G88" s="19">
        <f t="shared" ref="G88:H90" si="29">+C88+E88</f>
        <v>743.7</v>
      </c>
      <c r="H88" s="19">
        <f t="shared" si="29"/>
        <v>523.5</v>
      </c>
      <c r="I88" s="24">
        <f t="shared" si="27"/>
        <v>42.063037249283688</v>
      </c>
    </row>
    <row r="89" spans="2:9" x14ac:dyDescent="0.25">
      <c r="B89" s="10">
        <f t="shared" si="2"/>
        <v>39457</v>
      </c>
      <c r="C89">
        <v>190.1</v>
      </c>
      <c r="D89">
        <v>20.399999999999999</v>
      </c>
      <c r="E89">
        <v>558.6</v>
      </c>
      <c r="F89">
        <v>499.4</v>
      </c>
      <c r="G89" s="19">
        <f t="shared" si="29"/>
        <v>748.7</v>
      </c>
      <c r="H89" s="19">
        <f t="shared" si="29"/>
        <v>519.79999999999995</v>
      </c>
      <c r="I89" s="24">
        <f t="shared" si="27"/>
        <v>44.03616775682957</v>
      </c>
    </row>
    <row r="90" spans="2:9" x14ac:dyDescent="0.25">
      <c r="B90" s="10">
        <f t="shared" si="2"/>
        <v>39464</v>
      </c>
      <c r="C90">
        <v>209</v>
      </c>
      <c r="D90">
        <v>0</v>
      </c>
      <c r="E90">
        <v>593.1</v>
      </c>
      <c r="F90">
        <v>518.6</v>
      </c>
      <c r="G90" s="19">
        <f t="shared" si="29"/>
        <v>802.1</v>
      </c>
      <c r="H90" s="19">
        <f t="shared" si="29"/>
        <v>518.6</v>
      </c>
      <c r="I90" s="24">
        <f t="shared" ref="I90:I95" si="30">+(G90/H90-1)*100</f>
        <v>54.666409564211335</v>
      </c>
    </row>
    <row r="91" spans="2:9" x14ac:dyDescent="0.25">
      <c r="B91" s="10">
        <f t="shared" si="2"/>
        <v>39471</v>
      </c>
      <c r="C91">
        <v>203</v>
      </c>
      <c r="D91">
        <v>10</v>
      </c>
      <c r="E91">
        <v>599</v>
      </c>
      <c r="F91">
        <v>518.6</v>
      </c>
      <c r="G91" s="19">
        <f t="shared" ref="G91:H93" si="31">+C91+E91</f>
        <v>802</v>
      </c>
      <c r="H91" s="19">
        <f t="shared" si="31"/>
        <v>528.6</v>
      </c>
      <c r="I91" s="24">
        <f t="shared" si="30"/>
        <v>51.721528566023458</v>
      </c>
    </row>
    <row r="92" spans="2:9" x14ac:dyDescent="0.25">
      <c r="B92" s="10">
        <f t="shared" si="2"/>
        <v>39478</v>
      </c>
      <c r="C92">
        <v>175</v>
      </c>
      <c r="D92">
        <v>79</v>
      </c>
      <c r="E92">
        <v>665</v>
      </c>
      <c r="F92">
        <v>518.6</v>
      </c>
      <c r="G92" s="19">
        <f t="shared" si="31"/>
        <v>840</v>
      </c>
      <c r="H92" s="19">
        <f t="shared" si="31"/>
        <v>597.6</v>
      </c>
      <c r="I92" s="24">
        <f t="shared" si="30"/>
        <v>40.562248995983929</v>
      </c>
    </row>
    <row r="93" spans="2:9" x14ac:dyDescent="0.25">
      <c r="B93" s="10">
        <f t="shared" si="2"/>
        <v>39485</v>
      </c>
      <c r="C93">
        <v>161.80000000000001</v>
      </c>
      <c r="D93">
        <v>172.9</v>
      </c>
      <c r="E93">
        <v>640.79999999999995</v>
      </c>
      <c r="F93">
        <v>342.7</v>
      </c>
      <c r="G93" s="19">
        <f t="shared" si="31"/>
        <v>802.59999999999991</v>
      </c>
      <c r="H93" s="19">
        <f t="shared" si="31"/>
        <v>515.6</v>
      </c>
      <c r="I93" s="24">
        <f t="shared" si="30"/>
        <v>55.663304887509682</v>
      </c>
    </row>
    <row r="94" spans="2:9" x14ac:dyDescent="0.25">
      <c r="B94" s="10">
        <f t="shared" si="2"/>
        <v>39492</v>
      </c>
      <c r="C94">
        <v>135</v>
      </c>
      <c r="D94">
        <v>127.7</v>
      </c>
      <c r="E94">
        <v>724.4</v>
      </c>
      <c r="F94">
        <v>518.6</v>
      </c>
      <c r="G94" s="19">
        <f t="shared" ref="G94:H96" si="32">+C94+E94</f>
        <v>859.4</v>
      </c>
      <c r="H94" s="19">
        <f t="shared" si="32"/>
        <v>646.30000000000007</v>
      </c>
      <c r="I94" s="24">
        <f t="shared" si="30"/>
        <v>32.972303883645338</v>
      </c>
    </row>
    <row r="95" spans="2:9" x14ac:dyDescent="0.25">
      <c r="B95" s="10">
        <f t="shared" si="2"/>
        <v>39499</v>
      </c>
      <c r="C95">
        <v>127.5</v>
      </c>
      <c r="D95">
        <v>127.7</v>
      </c>
      <c r="E95">
        <v>744.2</v>
      </c>
      <c r="F95">
        <v>518.6</v>
      </c>
      <c r="G95" s="19">
        <f t="shared" si="32"/>
        <v>871.7</v>
      </c>
      <c r="H95" s="19">
        <f t="shared" si="32"/>
        <v>646.30000000000007</v>
      </c>
      <c r="I95" s="24">
        <f t="shared" si="30"/>
        <v>34.87544483985765</v>
      </c>
    </row>
    <row r="96" spans="2:9" x14ac:dyDescent="0.25">
      <c r="B96" s="10">
        <f t="shared" si="2"/>
        <v>39506</v>
      </c>
      <c r="C96">
        <v>143</v>
      </c>
      <c r="D96">
        <v>127.7</v>
      </c>
      <c r="E96">
        <v>744.2</v>
      </c>
      <c r="F96">
        <v>518.6</v>
      </c>
      <c r="G96" s="19">
        <f t="shared" si="32"/>
        <v>887.2</v>
      </c>
      <c r="H96" s="19">
        <f t="shared" si="32"/>
        <v>646.30000000000007</v>
      </c>
      <c r="I96" s="24">
        <f t="shared" ref="I96:I101" si="33">+(G96/H96-1)*100</f>
        <v>37.273711898499151</v>
      </c>
    </row>
    <row r="97" spans="2:10" x14ac:dyDescent="0.25">
      <c r="B97" s="10">
        <f t="shared" si="2"/>
        <v>39513</v>
      </c>
      <c r="C97">
        <v>158.30000000000001</v>
      </c>
      <c r="D97">
        <v>138.69999999999999</v>
      </c>
      <c r="E97">
        <v>779.7</v>
      </c>
      <c r="F97">
        <v>541.70000000000005</v>
      </c>
      <c r="G97" s="19">
        <f t="shared" ref="G97:H99" si="34">+C97+E97</f>
        <v>938</v>
      </c>
      <c r="H97" s="19">
        <f t="shared" si="34"/>
        <v>680.40000000000009</v>
      </c>
      <c r="I97" s="24">
        <f t="shared" si="33"/>
        <v>37.860082304526735</v>
      </c>
    </row>
    <row r="98" spans="2:10" x14ac:dyDescent="0.25">
      <c r="B98" s="10">
        <f t="shared" si="2"/>
        <v>39520</v>
      </c>
      <c r="C98">
        <v>143.9</v>
      </c>
      <c r="D98">
        <v>118.7</v>
      </c>
      <c r="E98">
        <v>802.3</v>
      </c>
      <c r="F98">
        <v>561.70000000000005</v>
      </c>
      <c r="G98" s="19">
        <f t="shared" si="34"/>
        <v>946.19999999999993</v>
      </c>
      <c r="H98" s="19">
        <f t="shared" si="34"/>
        <v>680.40000000000009</v>
      </c>
      <c r="I98" s="24">
        <f t="shared" si="33"/>
        <v>39.065255731922363</v>
      </c>
    </row>
    <row r="99" spans="2:10" x14ac:dyDescent="0.25">
      <c r="B99" s="10">
        <f t="shared" si="2"/>
        <v>39527</v>
      </c>
      <c r="C99">
        <v>123.8</v>
      </c>
      <c r="D99">
        <v>106.7</v>
      </c>
      <c r="E99">
        <v>820.5</v>
      </c>
      <c r="F99">
        <v>593.5</v>
      </c>
      <c r="G99" s="19">
        <f t="shared" si="34"/>
        <v>944.3</v>
      </c>
      <c r="H99" s="19">
        <f t="shared" si="34"/>
        <v>700.2</v>
      </c>
      <c r="I99" s="24">
        <f t="shared" si="33"/>
        <v>34.861468151956565</v>
      </c>
    </row>
    <row r="100" spans="2:10" x14ac:dyDescent="0.25">
      <c r="B100" s="10">
        <f t="shared" si="2"/>
        <v>39534</v>
      </c>
      <c r="C100">
        <v>95.3</v>
      </c>
      <c r="D100">
        <v>88.7</v>
      </c>
      <c r="E100">
        <v>849.6</v>
      </c>
      <c r="F100">
        <v>611.29999999999995</v>
      </c>
      <c r="G100" s="19">
        <f t="shared" ref="G100:H102" si="35">+C100+E100</f>
        <v>944.9</v>
      </c>
      <c r="H100" s="19">
        <f t="shared" si="35"/>
        <v>700</v>
      </c>
      <c r="I100" s="24">
        <f t="shared" si="33"/>
        <v>34.985714285714288</v>
      </c>
    </row>
    <row r="101" spans="2:10" x14ac:dyDescent="0.25">
      <c r="B101" s="10">
        <f t="shared" si="2"/>
        <v>39541</v>
      </c>
      <c r="C101">
        <v>102.8</v>
      </c>
      <c r="D101">
        <v>86.1</v>
      </c>
      <c r="E101">
        <v>866.3</v>
      </c>
      <c r="F101">
        <v>611.29999999999995</v>
      </c>
      <c r="G101" s="19">
        <f t="shared" si="35"/>
        <v>969.09999999999991</v>
      </c>
      <c r="H101" s="19">
        <f t="shared" si="35"/>
        <v>697.4</v>
      </c>
      <c r="I101" s="24">
        <f t="shared" si="33"/>
        <v>38.958990536277604</v>
      </c>
    </row>
    <row r="102" spans="2:10" x14ac:dyDescent="0.25">
      <c r="B102" s="10">
        <f t="shared" si="2"/>
        <v>39548</v>
      </c>
      <c r="C102">
        <v>105.1</v>
      </c>
      <c r="D102">
        <v>86.1</v>
      </c>
      <c r="E102">
        <v>872.6</v>
      </c>
      <c r="F102">
        <v>611.29999999999995</v>
      </c>
      <c r="G102" s="19">
        <f t="shared" si="35"/>
        <v>977.7</v>
      </c>
      <c r="H102" s="19">
        <f t="shared" si="35"/>
        <v>697.4</v>
      </c>
      <c r="I102" s="24">
        <f t="shared" ref="I102:I107" si="36">+(G102/H102-1)*100</f>
        <v>40.192142242615446</v>
      </c>
    </row>
    <row r="103" spans="2:10" x14ac:dyDescent="0.25">
      <c r="B103" s="10">
        <f t="shared" si="2"/>
        <v>39555</v>
      </c>
      <c r="C103">
        <v>88.3</v>
      </c>
      <c r="D103">
        <v>52.3</v>
      </c>
      <c r="E103">
        <v>923.3</v>
      </c>
      <c r="F103">
        <v>646.5</v>
      </c>
      <c r="G103" s="19">
        <f t="shared" ref="G103:H105" si="37">+C103+E103</f>
        <v>1011.5999999999999</v>
      </c>
      <c r="H103" s="19">
        <f t="shared" si="37"/>
        <v>698.8</v>
      </c>
      <c r="I103" s="24">
        <f t="shared" si="36"/>
        <v>44.762449914138514</v>
      </c>
    </row>
    <row r="104" spans="2:10" x14ac:dyDescent="0.25">
      <c r="B104" s="10">
        <f t="shared" si="2"/>
        <v>39562</v>
      </c>
      <c r="C104">
        <v>56.3</v>
      </c>
      <c r="D104">
        <v>26</v>
      </c>
      <c r="E104">
        <v>949.3</v>
      </c>
      <c r="F104">
        <v>676.2</v>
      </c>
      <c r="G104" s="19">
        <f t="shared" si="37"/>
        <v>1005.5999999999999</v>
      </c>
      <c r="H104" s="19">
        <f t="shared" si="37"/>
        <v>702.2</v>
      </c>
      <c r="I104" s="24">
        <f t="shared" si="36"/>
        <v>43.207063514668164</v>
      </c>
    </row>
    <row r="105" spans="2:10" x14ac:dyDescent="0.25">
      <c r="B105" s="10">
        <f t="shared" si="2"/>
        <v>39569</v>
      </c>
      <c r="C105">
        <v>51.3</v>
      </c>
      <c r="D105">
        <v>35</v>
      </c>
      <c r="E105">
        <v>949.3</v>
      </c>
      <c r="F105">
        <v>676.2</v>
      </c>
      <c r="G105" s="19">
        <f t="shared" si="37"/>
        <v>1000.5999999999999</v>
      </c>
      <c r="H105" s="19">
        <f t="shared" si="37"/>
        <v>711.2</v>
      </c>
      <c r="I105" s="24">
        <f t="shared" si="36"/>
        <v>40.691788526434181</v>
      </c>
      <c r="J105">
        <v>26</v>
      </c>
    </row>
    <row r="106" spans="2:10" x14ac:dyDescent="0.25">
      <c r="B106" s="10">
        <f t="shared" si="2"/>
        <v>39576</v>
      </c>
      <c r="C106">
        <v>57.8</v>
      </c>
      <c r="D106">
        <v>9</v>
      </c>
      <c r="E106">
        <v>955.5</v>
      </c>
      <c r="F106">
        <v>704.8</v>
      </c>
      <c r="G106" s="19">
        <f t="shared" ref="G106:H108" si="38">+C106+E106</f>
        <v>1013.3</v>
      </c>
      <c r="H106" s="19">
        <f t="shared" si="38"/>
        <v>713.8</v>
      </c>
      <c r="I106" s="24">
        <f t="shared" si="36"/>
        <v>41.958531801625099</v>
      </c>
      <c r="J106">
        <v>26</v>
      </c>
    </row>
    <row r="107" spans="2:10" x14ac:dyDescent="0.25">
      <c r="B107" s="10">
        <f t="shared" si="2"/>
        <v>39583</v>
      </c>
      <c r="C107">
        <v>57.8</v>
      </c>
      <c r="D107">
        <v>0</v>
      </c>
      <c r="E107">
        <v>955.5</v>
      </c>
      <c r="F107">
        <v>704.8</v>
      </c>
      <c r="G107" s="19">
        <f t="shared" si="38"/>
        <v>1013.3</v>
      </c>
      <c r="H107" s="19">
        <f t="shared" si="38"/>
        <v>704.8</v>
      </c>
      <c r="I107" s="24">
        <f t="shared" si="36"/>
        <v>43.771282633371179</v>
      </c>
    </row>
    <row r="108" spans="2:10" x14ac:dyDescent="0.25">
      <c r="B108" s="10">
        <f t="shared" si="2"/>
        <v>39590</v>
      </c>
      <c r="C108">
        <v>51.8</v>
      </c>
      <c r="D108">
        <v>0</v>
      </c>
      <c r="E108">
        <v>961.5</v>
      </c>
      <c r="F108">
        <v>704.8</v>
      </c>
      <c r="G108" s="19">
        <f t="shared" si="38"/>
        <v>1013.3</v>
      </c>
      <c r="H108" s="19">
        <f t="shared" si="38"/>
        <v>704.8</v>
      </c>
      <c r="I108" s="24">
        <f t="shared" ref="I108:I113" si="39">+(G108/H108-1)*100</f>
        <v>43.771282633371179</v>
      </c>
      <c r="J108">
        <v>30</v>
      </c>
    </row>
    <row r="109" spans="2:10" x14ac:dyDescent="0.25">
      <c r="B109" s="10">
        <f t="shared" si="2"/>
        <v>39597</v>
      </c>
      <c r="C109">
        <v>50.5</v>
      </c>
      <c r="D109">
        <v>0</v>
      </c>
      <c r="E109">
        <v>961.5</v>
      </c>
      <c r="F109">
        <v>704.8</v>
      </c>
      <c r="G109" s="19">
        <f t="shared" ref="G109:H111" si="40">+C109+E109</f>
        <v>1012</v>
      </c>
      <c r="H109" s="19">
        <f t="shared" si="40"/>
        <v>704.8</v>
      </c>
      <c r="I109" s="24">
        <f t="shared" si="39"/>
        <v>43.586833144154369</v>
      </c>
      <c r="J109">
        <v>62</v>
      </c>
    </row>
    <row r="110" spans="2:10" x14ac:dyDescent="0.25">
      <c r="B110" s="10">
        <f t="shared" si="2"/>
        <v>39604</v>
      </c>
      <c r="C110">
        <v>64.8</v>
      </c>
      <c r="D110">
        <v>70.7</v>
      </c>
      <c r="E110">
        <v>19.100000000000001</v>
      </c>
      <c r="F110">
        <v>35.6</v>
      </c>
      <c r="G110" s="19">
        <f t="shared" si="40"/>
        <v>83.9</v>
      </c>
      <c r="H110" s="19">
        <f t="shared" si="40"/>
        <v>106.30000000000001</v>
      </c>
      <c r="I110" s="24">
        <f t="shared" si="39"/>
        <v>-21.072436500470371</v>
      </c>
    </row>
    <row r="111" spans="2:10" x14ac:dyDescent="0.25">
      <c r="B111" s="10">
        <f t="shared" si="2"/>
        <v>39611</v>
      </c>
      <c r="C111">
        <v>64.8</v>
      </c>
      <c r="D111">
        <v>70.7</v>
      </c>
      <c r="E111">
        <v>19.100000000000001</v>
      </c>
      <c r="F111">
        <v>35.6</v>
      </c>
      <c r="G111" s="19">
        <f t="shared" si="40"/>
        <v>83.9</v>
      </c>
      <c r="H111" s="19">
        <f t="shared" si="40"/>
        <v>106.30000000000001</v>
      </c>
      <c r="I111" s="24">
        <f t="shared" si="39"/>
        <v>-21.072436500470371</v>
      </c>
    </row>
    <row r="112" spans="2:10" x14ac:dyDescent="0.25">
      <c r="B112" s="10">
        <f t="shared" si="2"/>
        <v>39618</v>
      </c>
      <c r="C112">
        <v>64.8</v>
      </c>
      <c r="D112">
        <v>61</v>
      </c>
      <c r="E112">
        <v>19.100000000000001</v>
      </c>
      <c r="F112">
        <v>65.8</v>
      </c>
      <c r="G112" s="19">
        <f t="shared" ref="G112:H114" si="41">+C112+E112</f>
        <v>83.9</v>
      </c>
      <c r="H112" s="19">
        <f t="shared" si="41"/>
        <v>126.8</v>
      </c>
      <c r="I112" s="24">
        <f t="shared" si="39"/>
        <v>-33.832807570977906</v>
      </c>
    </row>
    <row r="113" spans="2:9" x14ac:dyDescent="0.25">
      <c r="B113" s="10">
        <f t="shared" si="2"/>
        <v>39625</v>
      </c>
      <c r="C113">
        <v>63.5</v>
      </c>
      <c r="D113">
        <v>43</v>
      </c>
      <c r="E113">
        <v>19.100000000000001</v>
      </c>
      <c r="F113">
        <v>85.6</v>
      </c>
      <c r="G113" s="19">
        <f t="shared" si="41"/>
        <v>82.6</v>
      </c>
      <c r="H113" s="19">
        <f t="shared" si="41"/>
        <v>128.6</v>
      </c>
      <c r="I113" s="24">
        <f t="shared" si="39"/>
        <v>-35.769828926905134</v>
      </c>
    </row>
    <row r="114" spans="2:9" x14ac:dyDescent="0.25">
      <c r="B114" s="10">
        <f t="shared" si="2"/>
        <v>39632</v>
      </c>
      <c r="C114">
        <v>84.8</v>
      </c>
      <c r="D114">
        <v>49.3</v>
      </c>
      <c r="E114">
        <v>19.100000000000001</v>
      </c>
      <c r="F114">
        <v>85.6</v>
      </c>
      <c r="G114" s="19">
        <f t="shared" si="41"/>
        <v>103.9</v>
      </c>
      <c r="H114" s="19">
        <f t="shared" si="41"/>
        <v>134.89999999999998</v>
      </c>
      <c r="I114" s="24">
        <f t="shared" ref="I114:I119" si="42">+(G114/H114-1)*100</f>
        <v>-22.979985174203101</v>
      </c>
    </row>
    <row r="115" spans="2:9" x14ac:dyDescent="0.25">
      <c r="B115" s="10">
        <f t="shared" si="2"/>
        <v>39639</v>
      </c>
      <c r="C115">
        <v>97.8</v>
      </c>
      <c r="D115">
        <v>78.3</v>
      </c>
      <c r="E115">
        <v>44.3</v>
      </c>
      <c r="F115">
        <v>85.6</v>
      </c>
      <c r="G115" s="19">
        <f t="shared" ref="G115:H117" si="43">+C115+E115</f>
        <v>142.1</v>
      </c>
      <c r="H115" s="19">
        <f t="shared" si="43"/>
        <v>163.89999999999998</v>
      </c>
      <c r="I115" s="24">
        <f t="shared" si="42"/>
        <v>-13.300793166564972</v>
      </c>
    </row>
    <row r="116" spans="2:9" x14ac:dyDescent="0.25">
      <c r="B116" s="10">
        <f t="shared" si="2"/>
        <v>39646</v>
      </c>
      <c r="C116">
        <v>91.8</v>
      </c>
      <c r="D116">
        <v>55.8</v>
      </c>
      <c r="E116">
        <v>50.6</v>
      </c>
      <c r="F116">
        <v>112.5</v>
      </c>
      <c r="G116" s="19">
        <f t="shared" si="43"/>
        <v>142.4</v>
      </c>
      <c r="H116" s="19">
        <f t="shared" si="43"/>
        <v>168.3</v>
      </c>
      <c r="I116" s="24">
        <f t="shared" si="42"/>
        <v>-15.38918597742127</v>
      </c>
    </row>
    <row r="117" spans="2:9" x14ac:dyDescent="0.25">
      <c r="B117" s="10">
        <f t="shared" si="2"/>
        <v>39653</v>
      </c>
      <c r="C117">
        <v>106.8</v>
      </c>
      <c r="D117">
        <v>118.3</v>
      </c>
      <c r="E117">
        <v>55.8</v>
      </c>
      <c r="F117">
        <v>112.5</v>
      </c>
      <c r="G117" s="19">
        <f t="shared" si="43"/>
        <v>162.6</v>
      </c>
      <c r="H117" s="19">
        <f t="shared" si="43"/>
        <v>230.8</v>
      </c>
      <c r="I117" s="24">
        <f t="shared" si="42"/>
        <v>-29.549393414211444</v>
      </c>
    </row>
    <row r="118" spans="2:9" x14ac:dyDescent="0.25">
      <c r="B118" s="10">
        <f t="shared" si="2"/>
        <v>39660</v>
      </c>
      <c r="C118">
        <v>103.5</v>
      </c>
      <c r="D118">
        <v>117.3</v>
      </c>
      <c r="E118">
        <v>62.1</v>
      </c>
      <c r="F118">
        <v>135.30000000000001</v>
      </c>
      <c r="G118" s="19">
        <f t="shared" ref="G118:H120" si="44">+C118+E118</f>
        <v>165.6</v>
      </c>
      <c r="H118" s="19">
        <f t="shared" si="44"/>
        <v>252.60000000000002</v>
      </c>
      <c r="I118" s="24">
        <f t="shared" si="42"/>
        <v>-34.441805225653212</v>
      </c>
    </row>
    <row r="119" spans="2:9" x14ac:dyDescent="0.25">
      <c r="B119" s="10">
        <f t="shared" si="2"/>
        <v>39667</v>
      </c>
      <c r="C119">
        <v>118.5</v>
      </c>
      <c r="D119">
        <v>204.3</v>
      </c>
      <c r="E119">
        <v>80.599999999999994</v>
      </c>
      <c r="F119">
        <v>135.30000000000001</v>
      </c>
      <c r="G119" s="19">
        <f t="shared" si="44"/>
        <v>199.1</v>
      </c>
      <c r="H119" s="19">
        <f t="shared" si="44"/>
        <v>339.6</v>
      </c>
      <c r="I119" s="24">
        <f t="shared" si="42"/>
        <v>-41.372202591283866</v>
      </c>
    </row>
    <row r="120" spans="2:9" x14ac:dyDescent="0.25">
      <c r="B120" s="10">
        <f t="shared" si="2"/>
        <v>39674</v>
      </c>
      <c r="C120">
        <v>133.5</v>
      </c>
      <c r="D120">
        <v>194.8</v>
      </c>
      <c r="E120">
        <v>80.599999999999994</v>
      </c>
      <c r="F120">
        <v>144.80000000000001</v>
      </c>
      <c r="G120" s="19">
        <f t="shared" si="44"/>
        <v>214.1</v>
      </c>
      <c r="H120" s="19">
        <f t="shared" si="44"/>
        <v>339.6</v>
      </c>
      <c r="I120" s="24">
        <f t="shared" ref="I120:I125" si="45">+(G120/H120-1)*100</f>
        <v>-36.955241460541821</v>
      </c>
    </row>
    <row r="121" spans="2:9" x14ac:dyDescent="0.25">
      <c r="B121" s="10">
        <f t="shared" si="2"/>
        <v>39681</v>
      </c>
      <c r="C121">
        <v>140</v>
      </c>
      <c r="D121">
        <v>188.5</v>
      </c>
      <c r="E121">
        <v>86.1</v>
      </c>
      <c r="F121">
        <v>160.6</v>
      </c>
      <c r="G121" s="19">
        <f t="shared" ref="G121:H123" si="46">+C121+E121</f>
        <v>226.1</v>
      </c>
      <c r="H121" s="19">
        <f t="shared" si="46"/>
        <v>349.1</v>
      </c>
      <c r="I121" s="24">
        <f t="shared" si="45"/>
        <v>-35.233457462045273</v>
      </c>
    </row>
    <row r="122" spans="2:9" x14ac:dyDescent="0.25">
      <c r="B122" s="10">
        <f t="shared" si="2"/>
        <v>39688</v>
      </c>
      <c r="C122">
        <v>108.5</v>
      </c>
      <c r="D122">
        <v>137.5</v>
      </c>
      <c r="E122">
        <v>123.6</v>
      </c>
      <c r="F122">
        <v>214.2</v>
      </c>
      <c r="G122" s="19">
        <f t="shared" si="46"/>
        <v>232.1</v>
      </c>
      <c r="H122" s="19">
        <f t="shared" si="46"/>
        <v>351.7</v>
      </c>
      <c r="I122" s="24">
        <f t="shared" si="45"/>
        <v>-34.006255331248227</v>
      </c>
    </row>
    <row r="123" spans="2:9" x14ac:dyDescent="0.25">
      <c r="B123" s="10">
        <f t="shared" si="2"/>
        <v>39695</v>
      </c>
      <c r="C123">
        <v>121</v>
      </c>
      <c r="D123">
        <v>147.5</v>
      </c>
      <c r="E123">
        <v>129.4</v>
      </c>
      <c r="F123">
        <v>241</v>
      </c>
      <c r="G123" s="19">
        <f t="shared" si="46"/>
        <v>250.4</v>
      </c>
      <c r="H123" s="19">
        <f t="shared" si="46"/>
        <v>388.5</v>
      </c>
      <c r="I123" s="24">
        <f t="shared" si="45"/>
        <v>-35.546975546975546</v>
      </c>
    </row>
    <row r="124" spans="2:9" x14ac:dyDescent="0.25">
      <c r="B124" s="10">
        <f t="shared" si="2"/>
        <v>39702</v>
      </c>
      <c r="C124">
        <v>147</v>
      </c>
      <c r="D124">
        <v>127.5</v>
      </c>
      <c r="E124">
        <v>143.19999999999999</v>
      </c>
      <c r="F124">
        <v>263</v>
      </c>
      <c r="G124" s="19">
        <f t="shared" ref="G124:H126" si="47">+C124+E124</f>
        <v>290.2</v>
      </c>
      <c r="H124" s="19">
        <f t="shared" si="47"/>
        <v>390.5</v>
      </c>
      <c r="I124" s="24">
        <f t="shared" si="45"/>
        <v>-25.685019206145967</v>
      </c>
    </row>
    <row r="125" spans="2:9" x14ac:dyDescent="0.25">
      <c r="B125" s="10">
        <f t="shared" si="2"/>
        <v>39709</v>
      </c>
      <c r="C125">
        <v>111</v>
      </c>
      <c r="D125">
        <v>156.5</v>
      </c>
      <c r="E125">
        <v>162.1</v>
      </c>
      <c r="F125">
        <v>282.60000000000002</v>
      </c>
      <c r="G125" s="19">
        <f t="shared" si="47"/>
        <v>273.10000000000002</v>
      </c>
      <c r="H125" s="19">
        <f t="shared" si="47"/>
        <v>439.1</v>
      </c>
      <c r="I125" s="24">
        <f t="shared" si="45"/>
        <v>-37.804600318833984</v>
      </c>
    </row>
    <row r="126" spans="2:9" x14ac:dyDescent="0.25">
      <c r="B126" s="10">
        <f t="shared" si="2"/>
        <v>39716</v>
      </c>
      <c r="C126">
        <v>120</v>
      </c>
      <c r="D126">
        <v>130.5</v>
      </c>
      <c r="E126">
        <v>162.1</v>
      </c>
      <c r="F126">
        <v>310.89999999999998</v>
      </c>
      <c r="G126" s="19">
        <f t="shared" si="47"/>
        <v>282.10000000000002</v>
      </c>
      <c r="H126" s="19">
        <f t="shared" si="47"/>
        <v>441.4</v>
      </c>
      <c r="I126" s="24">
        <f t="shared" ref="I126:I131" si="48">+(G126/H126-1)*100</f>
        <v>-36.089714544630716</v>
      </c>
    </row>
    <row r="127" spans="2:9" x14ac:dyDescent="0.25">
      <c r="B127" s="10">
        <f t="shared" si="2"/>
        <v>39723</v>
      </c>
      <c r="C127">
        <v>125.1</v>
      </c>
      <c r="D127">
        <v>108.5</v>
      </c>
      <c r="E127">
        <v>187.4</v>
      </c>
      <c r="F127">
        <v>333.3</v>
      </c>
      <c r="G127" s="19">
        <f t="shared" ref="G127:H129" si="49">+C127+E127</f>
        <v>312.5</v>
      </c>
      <c r="H127" s="19">
        <f t="shared" si="49"/>
        <v>441.8</v>
      </c>
      <c r="I127" s="24">
        <f t="shared" si="48"/>
        <v>-29.266636487098239</v>
      </c>
    </row>
    <row r="128" spans="2:9" x14ac:dyDescent="0.25">
      <c r="B128" s="10">
        <f t="shared" si="2"/>
        <v>39730</v>
      </c>
      <c r="C128">
        <v>137.1</v>
      </c>
      <c r="D128">
        <v>116</v>
      </c>
      <c r="E128">
        <v>203.9</v>
      </c>
      <c r="F128">
        <v>355.8</v>
      </c>
      <c r="G128" s="19">
        <f t="shared" si="49"/>
        <v>341</v>
      </c>
      <c r="H128" s="19">
        <f t="shared" si="49"/>
        <v>471.8</v>
      </c>
      <c r="I128" s="24">
        <f t="shared" si="48"/>
        <v>-27.72361169987283</v>
      </c>
    </row>
    <row r="129" spans="2:9" x14ac:dyDescent="0.25">
      <c r="B129" s="10">
        <f t="shared" si="2"/>
        <v>39737</v>
      </c>
      <c r="C129">
        <v>90.1</v>
      </c>
      <c r="D129">
        <v>113.4</v>
      </c>
      <c r="E129">
        <v>250.3</v>
      </c>
      <c r="F129">
        <v>377.2</v>
      </c>
      <c r="G129" s="19">
        <f t="shared" si="49"/>
        <v>340.4</v>
      </c>
      <c r="H129" s="19">
        <f t="shared" si="49"/>
        <v>490.6</v>
      </c>
      <c r="I129" s="24">
        <f t="shared" si="48"/>
        <v>-30.615572768039144</v>
      </c>
    </row>
    <row r="130" spans="2:9" x14ac:dyDescent="0.25">
      <c r="B130" s="10">
        <f t="shared" si="2"/>
        <v>39744</v>
      </c>
      <c r="C130">
        <v>110.1</v>
      </c>
      <c r="D130">
        <v>97.9</v>
      </c>
      <c r="E130">
        <v>250.3</v>
      </c>
      <c r="F130">
        <v>392.6</v>
      </c>
      <c r="G130" s="19">
        <f t="shared" ref="G130:H132" si="50">+C130+E130</f>
        <v>360.4</v>
      </c>
      <c r="H130" s="19">
        <f t="shared" si="50"/>
        <v>490.5</v>
      </c>
      <c r="I130" s="24">
        <f t="shared" si="48"/>
        <v>-26.523955147808365</v>
      </c>
    </row>
    <row r="131" spans="2:9" x14ac:dyDescent="0.25">
      <c r="B131" s="10">
        <f t="shared" si="2"/>
        <v>39751</v>
      </c>
      <c r="C131">
        <v>120.1</v>
      </c>
      <c r="D131">
        <v>147.19999999999999</v>
      </c>
      <c r="E131">
        <v>250.3</v>
      </c>
      <c r="F131">
        <v>392.6</v>
      </c>
      <c r="G131" s="19">
        <f t="shared" si="50"/>
        <v>370.4</v>
      </c>
      <c r="H131" s="19">
        <f t="shared" si="50"/>
        <v>539.79999999999995</v>
      </c>
      <c r="I131" s="24">
        <f t="shared" si="48"/>
        <v>-31.381993330863278</v>
      </c>
    </row>
    <row r="132" spans="2:9" x14ac:dyDescent="0.25">
      <c r="B132" s="10">
        <f t="shared" si="2"/>
        <v>39758</v>
      </c>
      <c r="C132">
        <v>104.6</v>
      </c>
      <c r="D132">
        <v>171.2</v>
      </c>
      <c r="E132">
        <v>275.89999999999998</v>
      </c>
      <c r="F132">
        <v>392.6</v>
      </c>
      <c r="G132" s="19">
        <f t="shared" si="50"/>
        <v>380.5</v>
      </c>
      <c r="H132" s="19">
        <f t="shared" si="50"/>
        <v>563.79999999999995</v>
      </c>
      <c r="I132" s="24">
        <f t="shared" ref="I132:I137" si="51">+(G132/H132-1)*100</f>
        <v>-32.511528910961331</v>
      </c>
    </row>
    <row r="133" spans="2:9" x14ac:dyDescent="0.25">
      <c r="B133" s="10">
        <f t="shared" si="2"/>
        <v>39765</v>
      </c>
      <c r="C133">
        <v>116.1</v>
      </c>
      <c r="D133">
        <v>122.3</v>
      </c>
      <c r="E133">
        <v>275.89999999999998</v>
      </c>
      <c r="F133">
        <v>455.1</v>
      </c>
      <c r="G133" s="19">
        <f t="shared" ref="G133:H135" si="52">+C133+E133</f>
        <v>392</v>
      </c>
      <c r="H133" s="19">
        <f t="shared" si="52"/>
        <v>577.4</v>
      </c>
      <c r="I133" s="24">
        <f t="shared" si="51"/>
        <v>-32.109456182888806</v>
      </c>
    </row>
    <row r="134" spans="2:9" x14ac:dyDescent="0.25">
      <c r="B134" s="10">
        <f t="shared" si="2"/>
        <v>39772</v>
      </c>
      <c r="C134">
        <v>103.3</v>
      </c>
      <c r="D134">
        <v>139.80000000000001</v>
      </c>
      <c r="E134">
        <v>295.7</v>
      </c>
      <c r="F134">
        <v>455.1</v>
      </c>
      <c r="G134" s="19">
        <f t="shared" si="52"/>
        <v>399</v>
      </c>
      <c r="H134" s="19">
        <f t="shared" si="52"/>
        <v>594.90000000000009</v>
      </c>
      <c r="I134" s="24">
        <f t="shared" si="51"/>
        <v>-32.929904185577421</v>
      </c>
    </row>
    <row r="135" spans="2:9" x14ac:dyDescent="0.25">
      <c r="B135" s="10">
        <f t="shared" si="2"/>
        <v>39779</v>
      </c>
      <c r="C135">
        <v>83.8</v>
      </c>
      <c r="D135">
        <v>82.8</v>
      </c>
      <c r="E135">
        <v>322.10000000000002</v>
      </c>
      <c r="F135">
        <v>522.29999999999995</v>
      </c>
      <c r="G135" s="19">
        <f t="shared" si="52"/>
        <v>405.90000000000003</v>
      </c>
      <c r="H135" s="19">
        <f t="shared" si="52"/>
        <v>605.09999999999991</v>
      </c>
      <c r="I135" s="24">
        <f t="shared" si="51"/>
        <v>-32.920178482895366</v>
      </c>
    </row>
    <row r="136" spans="2:9" x14ac:dyDescent="0.25">
      <c r="B136" s="10">
        <f t="shared" si="2"/>
        <v>39786</v>
      </c>
      <c r="C136">
        <v>73.5</v>
      </c>
      <c r="D136">
        <v>125.8</v>
      </c>
      <c r="E136">
        <v>328.4</v>
      </c>
      <c r="F136">
        <v>522.29999999999995</v>
      </c>
      <c r="G136" s="19">
        <f t="shared" ref="G136:H138" si="53">+C136+E136</f>
        <v>401.9</v>
      </c>
      <c r="H136" s="19">
        <f t="shared" si="53"/>
        <v>648.09999999999991</v>
      </c>
      <c r="I136" s="24">
        <f t="shared" si="51"/>
        <v>-37.987964820243782</v>
      </c>
    </row>
    <row r="137" spans="2:9" x14ac:dyDescent="0.25">
      <c r="B137" s="10">
        <f t="shared" si="2"/>
        <v>39793</v>
      </c>
      <c r="C137">
        <v>52.2</v>
      </c>
      <c r="D137">
        <v>167.9</v>
      </c>
      <c r="E137">
        <v>344.4</v>
      </c>
      <c r="F137">
        <v>522.29999999999995</v>
      </c>
      <c r="G137" s="19">
        <f t="shared" si="53"/>
        <v>396.59999999999997</v>
      </c>
      <c r="H137" s="19">
        <f t="shared" si="53"/>
        <v>690.19999999999993</v>
      </c>
      <c r="I137" s="24">
        <f t="shared" si="51"/>
        <v>-42.538394668212106</v>
      </c>
    </row>
    <row r="138" spans="2:9" x14ac:dyDescent="0.25">
      <c r="B138" s="10">
        <f t="shared" si="2"/>
        <v>39800</v>
      </c>
      <c r="C138">
        <v>44.2</v>
      </c>
      <c r="D138">
        <v>220.9</v>
      </c>
      <c r="E138">
        <v>355.5</v>
      </c>
      <c r="F138">
        <v>522.29999999999995</v>
      </c>
      <c r="G138" s="19">
        <f t="shared" si="53"/>
        <v>399.7</v>
      </c>
      <c r="H138" s="19">
        <f t="shared" si="53"/>
        <v>743.19999999999993</v>
      </c>
      <c r="I138" s="24">
        <f t="shared" ref="I138:I143" si="54">+(G138/H138-1)*100</f>
        <v>-46.219052744886966</v>
      </c>
    </row>
    <row r="139" spans="2:9" x14ac:dyDescent="0.25">
      <c r="B139" s="10">
        <f t="shared" si="2"/>
        <v>39807</v>
      </c>
      <c r="C139">
        <v>49.2</v>
      </c>
      <c r="D139">
        <v>220.9</v>
      </c>
      <c r="E139">
        <v>355.5</v>
      </c>
      <c r="F139">
        <v>522.29999999999995</v>
      </c>
      <c r="G139" s="19">
        <f t="shared" ref="G139:H141" si="55">+C139+E139</f>
        <v>404.7</v>
      </c>
      <c r="H139" s="19">
        <f t="shared" si="55"/>
        <v>743.19999999999993</v>
      </c>
      <c r="I139" s="24">
        <f t="shared" si="54"/>
        <v>-45.546286329386433</v>
      </c>
    </row>
    <row r="140" spans="2:9" x14ac:dyDescent="0.25">
      <c r="B140" s="10">
        <f t="shared" si="2"/>
        <v>39814</v>
      </c>
      <c r="C140">
        <v>49.2</v>
      </c>
      <c r="D140">
        <v>196.6</v>
      </c>
      <c r="E140">
        <v>355.5</v>
      </c>
      <c r="F140">
        <v>547.1</v>
      </c>
      <c r="G140" s="19">
        <f t="shared" si="55"/>
        <v>404.7</v>
      </c>
      <c r="H140" s="19">
        <f t="shared" si="55"/>
        <v>743.7</v>
      </c>
      <c r="I140" s="24">
        <f t="shared" si="54"/>
        <v>-45.582896329164988</v>
      </c>
    </row>
    <row r="141" spans="2:9" x14ac:dyDescent="0.25">
      <c r="B141" s="10">
        <f t="shared" si="2"/>
        <v>39821</v>
      </c>
      <c r="C141">
        <v>64.2</v>
      </c>
      <c r="D141">
        <v>190.1</v>
      </c>
      <c r="E141">
        <v>355.5</v>
      </c>
      <c r="F141">
        <v>558.6</v>
      </c>
      <c r="G141" s="19">
        <f t="shared" si="55"/>
        <v>419.7</v>
      </c>
      <c r="H141" s="19">
        <f t="shared" si="55"/>
        <v>748.7</v>
      </c>
      <c r="I141" s="24">
        <f t="shared" si="54"/>
        <v>-43.94283424602645</v>
      </c>
    </row>
    <row r="142" spans="2:9" x14ac:dyDescent="0.25">
      <c r="B142" s="10">
        <f t="shared" si="2"/>
        <v>39828</v>
      </c>
      <c r="C142">
        <v>64.2</v>
      </c>
      <c r="D142">
        <v>209</v>
      </c>
      <c r="E142">
        <v>355.5</v>
      </c>
      <c r="F142">
        <v>593.1</v>
      </c>
      <c r="G142" s="19">
        <f t="shared" ref="G142:H144" si="56">+C142+E142</f>
        <v>419.7</v>
      </c>
      <c r="H142" s="19">
        <f t="shared" si="56"/>
        <v>802.1</v>
      </c>
      <c r="I142" s="24">
        <f t="shared" si="54"/>
        <v>-47.674853509537463</v>
      </c>
    </row>
    <row r="143" spans="2:9" x14ac:dyDescent="0.25">
      <c r="B143" s="10">
        <f t="shared" si="2"/>
        <v>39835</v>
      </c>
      <c r="C143">
        <v>57.5</v>
      </c>
      <c r="D143">
        <v>203</v>
      </c>
      <c r="E143">
        <v>361.6</v>
      </c>
      <c r="F143">
        <v>599</v>
      </c>
      <c r="G143" s="19">
        <f t="shared" si="56"/>
        <v>419.1</v>
      </c>
      <c r="H143" s="19">
        <f t="shared" si="56"/>
        <v>802</v>
      </c>
      <c r="I143" s="24">
        <f t="shared" si="54"/>
        <v>-47.743142144638405</v>
      </c>
    </row>
    <row r="144" spans="2:9" x14ac:dyDescent="0.25">
      <c r="B144" s="10">
        <f t="shared" si="2"/>
        <v>39842</v>
      </c>
      <c r="C144">
        <v>46.8</v>
      </c>
      <c r="D144">
        <v>175</v>
      </c>
      <c r="E144">
        <v>370.6</v>
      </c>
      <c r="F144">
        <v>665</v>
      </c>
      <c r="G144" s="19">
        <f t="shared" si="56"/>
        <v>417.40000000000003</v>
      </c>
      <c r="H144" s="19">
        <f t="shared" si="56"/>
        <v>840</v>
      </c>
      <c r="I144" s="24">
        <f t="shared" ref="I144:I149" si="57">+(G144/H144-1)*100</f>
        <v>-50.309523809523803</v>
      </c>
    </row>
    <row r="145" spans="2:10" x14ac:dyDescent="0.25">
      <c r="B145" s="10">
        <f t="shared" si="2"/>
        <v>39849</v>
      </c>
      <c r="C145">
        <v>35.799999999999997</v>
      </c>
      <c r="D145">
        <v>155.5</v>
      </c>
      <c r="E145">
        <v>382.4</v>
      </c>
      <c r="F145">
        <v>687.7</v>
      </c>
      <c r="G145" s="19">
        <f t="shared" ref="G145:H147" si="58">+C145+E145</f>
        <v>418.2</v>
      </c>
      <c r="H145" s="19">
        <f t="shared" si="58"/>
        <v>843.2</v>
      </c>
      <c r="I145" s="24">
        <f t="shared" si="57"/>
        <v>-50.403225806451623</v>
      </c>
    </row>
    <row r="146" spans="2:10" x14ac:dyDescent="0.25">
      <c r="B146" s="10">
        <f t="shared" si="2"/>
        <v>39856</v>
      </c>
      <c r="C146">
        <v>81.8</v>
      </c>
      <c r="D146">
        <v>135</v>
      </c>
      <c r="E146">
        <v>388.6</v>
      </c>
      <c r="F146">
        <v>724.4</v>
      </c>
      <c r="G146" s="19">
        <f t="shared" si="58"/>
        <v>470.40000000000003</v>
      </c>
      <c r="H146" s="19">
        <f t="shared" si="58"/>
        <v>859.4</v>
      </c>
      <c r="I146" s="24">
        <f t="shared" si="57"/>
        <v>-45.26413777053758</v>
      </c>
    </row>
    <row r="147" spans="2:10" x14ac:dyDescent="0.25">
      <c r="B147" s="10">
        <f t="shared" si="2"/>
        <v>39863</v>
      </c>
      <c r="C147">
        <v>58.3</v>
      </c>
      <c r="D147">
        <v>127.5</v>
      </c>
      <c r="E147">
        <v>413.5</v>
      </c>
      <c r="F147">
        <v>744.2</v>
      </c>
      <c r="G147" s="19">
        <f t="shared" si="58"/>
        <v>471.8</v>
      </c>
      <c r="H147" s="19">
        <f t="shared" si="58"/>
        <v>871.7</v>
      </c>
      <c r="I147" s="24">
        <f t="shared" si="57"/>
        <v>-45.875874727543888</v>
      </c>
    </row>
    <row r="148" spans="2:10" x14ac:dyDescent="0.25">
      <c r="B148" s="10">
        <f t="shared" si="2"/>
        <v>39870</v>
      </c>
      <c r="C148">
        <v>78.3</v>
      </c>
      <c r="D148">
        <v>143</v>
      </c>
      <c r="E148">
        <v>413.5</v>
      </c>
      <c r="F148">
        <v>744.2</v>
      </c>
      <c r="G148" s="19">
        <f t="shared" ref="G148:H150" si="59">+C148+E148</f>
        <v>491.8</v>
      </c>
      <c r="H148" s="19">
        <f t="shared" si="59"/>
        <v>887.2</v>
      </c>
      <c r="I148" s="24">
        <f t="shared" si="57"/>
        <v>-44.567177637511271</v>
      </c>
    </row>
    <row r="149" spans="2:10" x14ac:dyDescent="0.25">
      <c r="B149" s="10">
        <f t="shared" si="2"/>
        <v>39877</v>
      </c>
      <c r="C149">
        <v>69</v>
      </c>
      <c r="D149">
        <v>158.30000000000001</v>
      </c>
      <c r="E149">
        <v>419.8</v>
      </c>
      <c r="F149">
        <v>779.7</v>
      </c>
      <c r="G149" s="19">
        <f t="shared" si="59"/>
        <v>488.8</v>
      </c>
      <c r="H149" s="19">
        <f t="shared" si="59"/>
        <v>938</v>
      </c>
      <c r="I149" s="24">
        <f t="shared" si="57"/>
        <v>-47.889125799573563</v>
      </c>
    </row>
    <row r="150" spans="2:10" x14ac:dyDescent="0.25">
      <c r="B150" s="10">
        <f t="shared" si="2"/>
        <v>39884</v>
      </c>
      <c r="C150">
        <v>71</v>
      </c>
      <c r="D150">
        <v>143.9</v>
      </c>
      <c r="E150">
        <v>419.8</v>
      </c>
      <c r="F150">
        <v>802.3</v>
      </c>
      <c r="G150" s="19">
        <f t="shared" si="59"/>
        <v>490.8</v>
      </c>
      <c r="H150" s="19">
        <f t="shared" si="59"/>
        <v>946.19999999999993</v>
      </c>
      <c r="I150" s="24">
        <f t="shared" ref="I150:I155" si="60">+(G150/H150-1)*100</f>
        <v>-48.129359543436898</v>
      </c>
    </row>
    <row r="151" spans="2:10" x14ac:dyDescent="0.25">
      <c r="B151" s="10">
        <f t="shared" si="2"/>
        <v>39891</v>
      </c>
      <c r="C151">
        <v>101.5</v>
      </c>
      <c r="D151">
        <v>123.8</v>
      </c>
      <c r="E151">
        <v>419.8</v>
      </c>
      <c r="F151">
        <v>820.5</v>
      </c>
      <c r="G151" s="19">
        <f t="shared" ref="G151:H155" si="61">+C151+E151</f>
        <v>521.29999999999995</v>
      </c>
      <c r="H151" s="19">
        <f t="shared" si="61"/>
        <v>944.3</v>
      </c>
      <c r="I151" s="24">
        <f t="shared" si="60"/>
        <v>-44.79508630731759</v>
      </c>
    </row>
    <row r="152" spans="2:10" x14ac:dyDescent="0.25">
      <c r="B152" s="10">
        <f t="shared" si="2"/>
        <v>39898</v>
      </c>
      <c r="C152">
        <v>65.5</v>
      </c>
      <c r="D152">
        <v>95.3</v>
      </c>
      <c r="E152">
        <v>470.1</v>
      </c>
      <c r="F152">
        <v>849.6</v>
      </c>
      <c r="G152" s="19">
        <f t="shared" si="61"/>
        <v>535.6</v>
      </c>
      <c r="H152" s="19">
        <f t="shared" si="61"/>
        <v>944.9</v>
      </c>
      <c r="I152" s="24">
        <f t="shared" si="60"/>
        <v>-43.316753095565666</v>
      </c>
    </row>
    <row r="153" spans="2:10" x14ac:dyDescent="0.25">
      <c r="B153" s="10">
        <f t="shared" si="2"/>
        <v>39905</v>
      </c>
      <c r="C153">
        <v>45.5</v>
      </c>
      <c r="D153">
        <v>102.8</v>
      </c>
      <c r="E153">
        <v>491.5</v>
      </c>
      <c r="F153">
        <v>866.3</v>
      </c>
      <c r="G153" s="19">
        <f t="shared" si="61"/>
        <v>537</v>
      </c>
      <c r="H153" s="19">
        <f t="shared" si="61"/>
        <v>969.09999999999991</v>
      </c>
      <c r="I153" s="24">
        <f t="shared" si="60"/>
        <v>-44.587761840883289</v>
      </c>
    </row>
    <row r="154" spans="2:10" x14ac:dyDescent="0.25">
      <c r="B154" s="10">
        <f t="shared" si="2"/>
        <v>39912</v>
      </c>
      <c r="C154">
        <v>57.5</v>
      </c>
      <c r="D154">
        <v>105.1</v>
      </c>
      <c r="E154">
        <v>491.5</v>
      </c>
      <c r="F154">
        <v>872.6</v>
      </c>
      <c r="G154" s="19">
        <f t="shared" si="61"/>
        <v>549</v>
      </c>
      <c r="H154" s="19">
        <f t="shared" si="61"/>
        <v>977.7</v>
      </c>
      <c r="I154" s="24">
        <f t="shared" si="60"/>
        <v>-43.847806075483277</v>
      </c>
    </row>
    <row r="155" spans="2:10" x14ac:dyDescent="0.25">
      <c r="B155" s="10">
        <f t="shared" si="2"/>
        <v>39919</v>
      </c>
      <c r="C155">
        <v>76.5</v>
      </c>
      <c r="D155">
        <v>88.3</v>
      </c>
      <c r="E155">
        <v>491.5</v>
      </c>
      <c r="F155">
        <v>923.3</v>
      </c>
      <c r="G155" s="19">
        <f t="shared" si="61"/>
        <v>568</v>
      </c>
      <c r="H155" s="19">
        <f t="shared" si="61"/>
        <v>1011.5999999999999</v>
      </c>
      <c r="I155" s="24">
        <f t="shared" si="60"/>
        <v>-43.851324634242786</v>
      </c>
    </row>
    <row r="156" spans="2:10" x14ac:dyDescent="0.25">
      <c r="B156" s="10">
        <f t="shared" si="2"/>
        <v>39926</v>
      </c>
      <c r="C156">
        <v>76.5</v>
      </c>
      <c r="D156">
        <v>56.3</v>
      </c>
      <c r="E156">
        <v>491.5</v>
      </c>
      <c r="F156">
        <v>949.3</v>
      </c>
      <c r="G156" s="19">
        <f t="shared" ref="G156:G187" si="62">+C156+E156</f>
        <v>568</v>
      </c>
      <c r="H156" s="19">
        <f t="shared" ref="H156:H187" si="63">+D156+F156</f>
        <v>1005.5999999999999</v>
      </c>
      <c r="I156" s="24">
        <f t="shared" ref="I156:I187" si="64">+(G156/H156-1)*100</f>
        <v>-43.51630867143993</v>
      </c>
    </row>
    <row r="157" spans="2:10" x14ac:dyDescent="0.25">
      <c r="B157" s="10">
        <f t="shared" si="2"/>
        <v>39933</v>
      </c>
      <c r="C157">
        <v>33.9</v>
      </c>
      <c r="D157">
        <v>51.3</v>
      </c>
      <c r="E157">
        <v>534.4</v>
      </c>
      <c r="F157">
        <v>949.3</v>
      </c>
      <c r="G157" s="19">
        <f t="shared" si="62"/>
        <v>568.29999999999995</v>
      </c>
      <c r="H157" s="19">
        <f t="shared" si="63"/>
        <v>1000.5999999999999</v>
      </c>
      <c r="I157" s="24">
        <f t="shared" si="64"/>
        <v>-43.204077553467926</v>
      </c>
      <c r="J157">
        <v>20</v>
      </c>
    </row>
    <row r="158" spans="2:10" x14ac:dyDescent="0.25">
      <c r="B158" s="10">
        <f t="shared" si="2"/>
        <v>39940</v>
      </c>
      <c r="C158">
        <v>16.2</v>
      </c>
      <c r="D158">
        <v>57.8</v>
      </c>
      <c r="E158">
        <v>556.79999999999995</v>
      </c>
      <c r="F158">
        <v>955.5</v>
      </c>
      <c r="G158" s="19">
        <f t="shared" si="62"/>
        <v>573</v>
      </c>
      <c r="H158" s="19">
        <f t="shared" si="63"/>
        <v>1013.3</v>
      </c>
      <c r="I158" s="24">
        <f t="shared" si="64"/>
        <v>-43.452087239711837</v>
      </c>
      <c r="J158">
        <v>20</v>
      </c>
    </row>
    <row r="159" spans="2:10" x14ac:dyDescent="0.25">
      <c r="B159" s="10">
        <f t="shared" si="2"/>
        <v>39947</v>
      </c>
      <c r="C159">
        <v>6</v>
      </c>
      <c r="D159">
        <v>57.8</v>
      </c>
      <c r="E159">
        <v>567.5</v>
      </c>
      <c r="F159">
        <v>955.5</v>
      </c>
      <c r="G159" s="19">
        <f t="shared" si="62"/>
        <v>573.5</v>
      </c>
      <c r="H159" s="19">
        <f t="shared" si="63"/>
        <v>1013.3</v>
      </c>
      <c r="I159" s="24">
        <f t="shared" si="64"/>
        <v>-43.402743511299711</v>
      </c>
      <c r="J159">
        <v>39</v>
      </c>
    </row>
    <row r="160" spans="2:10" x14ac:dyDescent="0.25">
      <c r="B160" s="10">
        <f t="shared" si="2"/>
        <v>39954</v>
      </c>
      <c r="C160">
        <v>6</v>
      </c>
      <c r="D160">
        <v>51.8</v>
      </c>
      <c r="E160">
        <v>567.5</v>
      </c>
      <c r="F160">
        <v>961.5</v>
      </c>
      <c r="G160" s="19">
        <f t="shared" si="62"/>
        <v>573.5</v>
      </c>
      <c r="H160" s="19">
        <f t="shared" si="63"/>
        <v>1013.3</v>
      </c>
      <c r="I160" s="24">
        <f t="shared" si="64"/>
        <v>-43.402743511299711</v>
      </c>
      <c r="J160">
        <v>39</v>
      </c>
    </row>
    <row r="161" spans="1:10" x14ac:dyDescent="0.25">
      <c r="A161" s="48" t="s">
        <v>19</v>
      </c>
      <c r="B161" s="53">
        <f t="shared" si="2"/>
        <v>39961</v>
      </c>
      <c r="C161" s="54">
        <v>6</v>
      </c>
      <c r="D161" s="54">
        <v>50.5</v>
      </c>
      <c r="E161" s="54">
        <v>567.5</v>
      </c>
      <c r="F161" s="54">
        <v>961.5</v>
      </c>
      <c r="G161" s="55">
        <f t="shared" si="62"/>
        <v>573.5</v>
      </c>
      <c r="H161" s="55">
        <f t="shared" si="63"/>
        <v>1012</v>
      </c>
      <c r="I161" s="56">
        <f t="shared" si="64"/>
        <v>-43.330039525691703</v>
      </c>
      <c r="J161" s="54">
        <v>39</v>
      </c>
    </row>
    <row r="162" spans="1:10" x14ac:dyDescent="0.25">
      <c r="A162" s="57" t="s">
        <v>111</v>
      </c>
      <c r="B162" s="58">
        <f t="shared" si="2"/>
        <v>39968</v>
      </c>
      <c r="C162" s="59">
        <v>153.19999999999999</v>
      </c>
      <c r="D162" s="59">
        <v>68.400000000000006</v>
      </c>
      <c r="E162" s="59">
        <v>0</v>
      </c>
      <c r="F162" s="59">
        <v>0</v>
      </c>
      <c r="G162" s="61">
        <f t="shared" si="62"/>
        <v>153.19999999999999</v>
      </c>
      <c r="H162" s="61">
        <f t="shared" si="63"/>
        <v>68.400000000000006</v>
      </c>
      <c r="I162" s="62">
        <f t="shared" si="64"/>
        <v>123.97660818713447</v>
      </c>
    </row>
    <row r="163" spans="1:10" x14ac:dyDescent="0.25">
      <c r="A163" s="66" t="s">
        <v>111</v>
      </c>
      <c r="B163" s="10">
        <f t="shared" si="2"/>
        <v>39975</v>
      </c>
      <c r="C163">
        <v>155.19999999999999</v>
      </c>
      <c r="D163">
        <v>91.3</v>
      </c>
      <c r="E163">
        <v>4</v>
      </c>
      <c r="F163">
        <v>0</v>
      </c>
      <c r="G163" s="19">
        <f t="shared" si="62"/>
        <v>159.19999999999999</v>
      </c>
      <c r="H163" s="19">
        <f t="shared" si="63"/>
        <v>91.3</v>
      </c>
      <c r="I163" s="24">
        <f t="shared" si="64"/>
        <v>74.370208105147853</v>
      </c>
    </row>
    <row r="164" spans="1:10" x14ac:dyDescent="0.25">
      <c r="A164" s="66" t="s">
        <v>111</v>
      </c>
      <c r="B164" s="10">
        <f t="shared" si="2"/>
        <v>39982</v>
      </c>
      <c r="C164">
        <v>155.19999999999999</v>
      </c>
      <c r="D164">
        <v>95.5</v>
      </c>
      <c r="E164">
        <v>4</v>
      </c>
      <c r="F164">
        <v>0</v>
      </c>
      <c r="G164" s="19">
        <f t="shared" si="62"/>
        <v>159.19999999999999</v>
      </c>
      <c r="H164" s="19">
        <f t="shared" si="63"/>
        <v>95.5</v>
      </c>
      <c r="I164" s="24">
        <f t="shared" si="64"/>
        <v>66.701570680628251</v>
      </c>
    </row>
    <row r="165" spans="1:10" x14ac:dyDescent="0.25">
      <c r="A165" s="66" t="s">
        <v>111</v>
      </c>
      <c r="B165" s="10">
        <f t="shared" si="2"/>
        <v>39989</v>
      </c>
      <c r="C165">
        <v>110</v>
      </c>
      <c r="D165">
        <v>104.6</v>
      </c>
      <c r="E165">
        <v>33.1</v>
      </c>
      <c r="F165">
        <v>17.899999999999999</v>
      </c>
      <c r="G165" s="19">
        <f t="shared" si="62"/>
        <v>143.1</v>
      </c>
      <c r="H165" s="19">
        <f t="shared" si="63"/>
        <v>122.5</v>
      </c>
      <c r="I165" s="24">
        <f t="shared" si="64"/>
        <v>16.816326530612248</v>
      </c>
    </row>
    <row r="166" spans="1:10" x14ac:dyDescent="0.25">
      <c r="A166" s="66" t="s">
        <v>111</v>
      </c>
      <c r="B166" s="10">
        <f t="shared" si="2"/>
        <v>39996</v>
      </c>
      <c r="C166">
        <v>110</v>
      </c>
      <c r="D166">
        <v>180</v>
      </c>
      <c r="E166">
        <v>33.1</v>
      </c>
      <c r="F166">
        <v>17.899999999999999</v>
      </c>
      <c r="G166" s="19">
        <f t="shared" si="62"/>
        <v>143.1</v>
      </c>
      <c r="H166" s="19">
        <f t="shared" si="63"/>
        <v>197.9</v>
      </c>
      <c r="I166" s="24">
        <f t="shared" si="64"/>
        <v>-27.690752905507843</v>
      </c>
    </row>
    <row r="167" spans="1:10" x14ac:dyDescent="0.25">
      <c r="A167" s="66" t="s">
        <v>111</v>
      </c>
      <c r="B167" s="10">
        <f t="shared" si="2"/>
        <v>40003</v>
      </c>
      <c r="C167">
        <v>102</v>
      </c>
      <c r="D167">
        <v>174.9</v>
      </c>
      <c r="E167">
        <v>46</v>
      </c>
      <c r="F167">
        <v>35.5</v>
      </c>
      <c r="G167" s="19">
        <f t="shared" si="62"/>
        <v>148</v>
      </c>
      <c r="H167" s="19">
        <f t="shared" si="63"/>
        <v>210.4</v>
      </c>
      <c r="I167" s="24">
        <f t="shared" si="64"/>
        <v>-29.657794676806081</v>
      </c>
    </row>
    <row r="168" spans="1:10" x14ac:dyDescent="0.25">
      <c r="A168" s="66" t="s">
        <v>111</v>
      </c>
      <c r="B168" s="10">
        <f t="shared" si="2"/>
        <v>40010</v>
      </c>
      <c r="C168">
        <v>113</v>
      </c>
      <c r="D168">
        <v>185.9</v>
      </c>
      <c r="E168">
        <v>66.099999999999994</v>
      </c>
      <c r="F168">
        <v>75.8</v>
      </c>
      <c r="G168" s="19">
        <f t="shared" si="62"/>
        <v>179.1</v>
      </c>
      <c r="H168" s="19">
        <f t="shared" si="63"/>
        <v>261.7</v>
      </c>
      <c r="I168" s="24">
        <f t="shared" si="64"/>
        <v>-31.562858234619796</v>
      </c>
    </row>
    <row r="169" spans="1:10" x14ac:dyDescent="0.25">
      <c r="A169" s="66" t="s">
        <v>111</v>
      </c>
      <c r="B169" s="10">
        <f t="shared" si="2"/>
        <v>40017</v>
      </c>
      <c r="C169">
        <v>103</v>
      </c>
      <c r="D169">
        <v>186.3</v>
      </c>
      <c r="E169">
        <v>86.9</v>
      </c>
      <c r="F169">
        <v>114.4</v>
      </c>
      <c r="G169" s="19">
        <f t="shared" si="62"/>
        <v>189.9</v>
      </c>
      <c r="H169" s="19">
        <f t="shared" si="63"/>
        <v>300.70000000000005</v>
      </c>
      <c r="I169" s="24">
        <f t="shared" si="64"/>
        <v>-36.84735616893915</v>
      </c>
    </row>
    <row r="170" spans="1:10" x14ac:dyDescent="0.25">
      <c r="A170" s="66" t="s">
        <v>111</v>
      </c>
      <c r="B170" s="10">
        <f t="shared" si="2"/>
        <v>40024</v>
      </c>
      <c r="C170">
        <v>149.5</v>
      </c>
      <c r="D170">
        <v>180.3</v>
      </c>
      <c r="E170">
        <v>93.2</v>
      </c>
      <c r="F170">
        <v>123.4</v>
      </c>
      <c r="G170" s="19">
        <f t="shared" si="62"/>
        <v>242.7</v>
      </c>
      <c r="H170" s="19">
        <f t="shared" si="63"/>
        <v>303.70000000000005</v>
      </c>
      <c r="I170" s="24">
        <f t="shared" si="64"/>
        <v>-20.085610800131725</v>
      </c>
    </row>
    <row r="171" spans="1:10" x14ac:dyDescent="0.25">
      <c r="A171" s="66" t="s">
        <v>111</v>
      </c>
      <c r="B171" s="10">
        <f t="shared" si="2"/>
        <v>40031</v>
      </c>
      <c r="C171">
        <v>158.5</v>
      </c>
      <c r="D171">
        <v>179.8</v>
      </c>
      <c r="E171">
        <v>93.2</v>
      </c>
      <c r="F171">
        <v>129.6</v>
      </c>
      <c r="G171" s="19">
        <f t="shared" si="62"/>
        <v>251.7</v>
      </c>
      <c r="H171" s="19">
        <f t="shared" si="63"/>
        <v>309.39999999999998</v>
      </c>
      <c r="I171" s="24">
        <f t="shared" si="64"/>
        <v>-18.648998060762768</v>
      </c>
    </row>
    <row r="172" spans="1:10" x14ac:dyDescent="0.25">
      <c r="A172" s="66" t="s">
        <v>111</v>
      </c>
      <c r="B172" s="10">
        <f t="shared" si="2"/>
        <v>40038</v>
      </c>
      <c r="C172">
        <v>164.5</v>
      </c>
      <c r="D172">
        <v>178.8</v>
      </c>
      <c r="E172">
        <v>93.2</v>
      </c>
      <c r="F172">
        <v>135.6</v>
      </c>
      <c r="G172" s="19">
        <f t="shared" si="62"/>
        <v>257.7</v>
      </c>
      <c r="H172" s="19">
        <f t="shared" si="63"/>
        <v>314.39999999999998</v>
      </c>
      <c r="I172" s="24">
        <f t="shared" si="64"/>
        <v>-18.034351145038162</v>
      </c>
    </row>
    <row r="173" spans="1:10" x14ac:dyDescent="0.25">
      <c r="A173" s="66" t="s">
        <v>111</v>
      </c>
      <c r="B173" s="10">
        <f t="shared" si="2"/>
        <v>40045</v>
      </c>
      <c r="C173">
        <v>167</v>
      </c>
      <c r="D173">
        <v>204.8</v>
      </c>
      <c r="E173">
        <v>105.8</v>
      </c>
      <c r="F173">
        <v>184.9</v>
      </c>
      <c r="G173" s="19">
        <f t="shared" si="62"/>
        <v>272.8</v>
      </c>
      <c r="H173" s="19">
        <f t="shared" si="63"/>
        <v>389.70000000000005</v>
      </c>
      <c r="I173" s="24">
        <f t="shared" si="64"/>
        <v>-29.997433923530924</v>
      </c>
    </row>
    <row r="174" spans="1:10" x14ac:dyDescent="0.25">
      <c r="A174" s="66" t="s">
        <v>111</v>
      </c>
      <c r="B174" s="10">
        <f t="shared" si="2"/>
        <v>40052</v>
      </c>
      <c r="C174">
        <v>144.6</v>
      </c>
      <c r="D174">
        <v>186.3</v>
      </c>
      <c r="E174">
        <v>132.4</v>
      </c>
      <c r="F174">
        <v>205.8</v>
      </c>
      <c r="G174" s="19">
        <f t="shared" si="62"/>
        <v>277</v>
      </c>
      <c r="H174" s="19">
        <f t="shared" si="63"/>
        <v>392.1</v>
      </c>
      <c r="I174" s="24">
        <f t="shared" si="64"/>
        <v>-29.354756439683761</v>
      </c>
      <c r="J174">
        <v>11</v>
      </c>
    </row>
    <row r="175" spans="1:10" x14ac:dyDescent="0.25">
      <c r="A175" s="66" t="s">
        <v>111</v>
      </c>
      <c r="B175" s="10">
        <f t="shared" si="2"/>
        <v>40059</v>
      </c>
      <c r="C175">
        <v>123.1</v>
      </c>
      <c r="D175">
        <v>213.5</v>
      </c>
      <c r="E175">
        <v>166.4</v>
      </c>
      <c r="F175">
        <v>217.4</v>
      </c>
      <c r="G175" s="19">
        <f t="shared" si="62"/>
        <v>289.5</v>
      </c>
      <c r="H175" s="19">
        <f t="shared" si="63"/>
        <v>430.9</v>
      </c>
      <c r="I175" s="24">
        <f t="shared" si="64"/>
        <v>-32.815038291947083</v>
      </c>
    </row>
    <row r="176" spans="1:10" x14ac:dyDescent="0.25">
      <c r="A176" s="66" t="s">
        <v>111</v>
      </c>
      <c r="B176" s="10">
        <f t="shared" si="2"/>
        <v>40066</v>
      </c>
      <c r="C176">
        <v>130.69999999999999</v>
      </c>
      <c r="D176">
        <v>197</v>
      </c>
      <c r="E176">
        <v>166.4</v>
      </c>
      <c r="F176">
        <v>262.3</v>
      </c>
      <c r="G176" s="19">
        <f t="shared" si="62"/>
        <v>297.10000000000002</v>
      </c>
      <c r="H176" s="19">
        <f t="shared" si="63"/>
        <v>459.3</v>
      </c>
      <c r="I176" s="24">
        <f t="shared" si="64"/>
        <v>-35.314609187894618</v>
      </c>
    </row>
    <row r="177" spans="1:9" x14ac:dyDescent="0.25">
      <c r="A177" s="66" t="s">
        <v>111</v>
      </c>
      <c r="B177" s="10">
        <f t="shared" si="2"/>
        <v>40073</v>
      </c>
      <c r="C177">
        <v>168.3</v>
      </c>
      <c r="D177">
        <v>195.1</v>
      </c>
      <c r="E177">
        <v>166.4</v>
      </c>
      <c r="F177">
        <v>266.7</v>
      </c>
      <c r="G177" s="19">
        <f t="shared" si="62"/>
        <v>334.70000000000005</v>
      </c>
      <c r="H177" s="19">
        <f t="shared" si="63"/>
        <v>461.79999999999995</v>
      </c>
      <c r="I177" s="24">
        <f t="shared" si="64"/>
        <v>-27.522737115634456</v>
      </c>
    </row>
    <row r="178" spans="1:9" x14ac:dyDescent="0.25">
      <c r="A178" s="66" t="s">
        <v>111</v>
      </c>
      <c r="B178" s="10">
        <f t="shared" si="2"/>
        <v>40080</v>
      </c>
      <c r="C178">
        <v>135.19999999999999</v>
      </c>
      <c r="D178">
        <v>202.1</v>
      </c>
      <c r="E178">
        <v>214.4</v>
      </c>
      <c r="F178">
        <v>283.89999999999998</v>
      </c>
      <c r="G178" s="19">
        <f t="shared" si="62"/>
        <v>349.6</v>
      </c>
      <c r="H178" s="19">
        <f t="shared" si="63"/>
        <v>486</v>
      </c>
      <c r="I178" s="24">
        <f t="shared" si="64"/>
        <v>-28.065843621399168</v>
      </c>
    </row>
    <row r="179" spans="1:9" x14ac:dyDescent="0.25">
      <c r="A179" s="66" t="s">
        <v>111</v>
      </c>
      <c r="B179" s="10">
        <f t="shared" si="2"/>
        <v>40087</v>
      </c>
      <c r="C179">
        <v>117</v>
      </c>
      <c r="D179">
        <v>199.3</v>
      </c>
      <c r="E179">
        <v>236.1</v>
      </c>
      <c r="F179">
        <v>301.3</v>
      </c>
      <c r="G179" s="19">
        <f t="shared" si="62"/>
        <v>353.1</v>
      </c>
      <c r="H179" s="19">
        <f t="shared" si="63"/>
        <v>500.6</v>
      </c>
      <c r="I179" s="24">
        <f t="shared" si="64"/>
        <v>-29.464642429085096</v>
      </c>
    </row>
    <row r="180" spans="1:9" x14ac:dyDescent="0.25">
      <c r="A180" s="66" t="s">
        <v>111</v>
      </c>
      <c r="B180" s="10">
        <f t="shared" si="2"/>
        <v>40094</v>
      </c>
      <c r="C180">
        <v>117.6</v>
      </c>
      <c r="D180">
        <v>188.8</v>
      </c>
      <c r="E180">
        <v>261.7</v>
      </c>
      <c r="F180">
        <v>325.5</v>
      </c>
      <c r="G180" s="19">
        <f t="shared" si="62"/>
        <v>379.29999999999995</v>
      </c>
      <c r="H180" s="19">
        <f t="shared" si="63"/>
        <v>514.29999999999995</v>
      </c>
      <c r="I180" s="24">
        <f t="shared" si="64"/>
        <v>-26.249270853587404</v>
      </c>
    </row>
    <row r="181" spans="1:9" x14ac:dyDescent="0.25">
      <c r="A181" s="66" t="s">
        <v>111</v>
      </c>
      <c r="B181" s="10">
        <f t="shared" si="2"/>
        <v>40101</v>
      </c>
      <c r="C181">
        <v>96.6</v>
      </c>
      <c r="D181">
        <v>175.8</v>
      </c>
      <c r="E181">
        <v>280.89999999999998</v>
      </c>
      <c r="F181">
        <v>338.4</v>
      </c>
      <c r="G181" s="19">
        <f t="shared" si="62"/>
        <v>377.5</v>
      </c>
      <c r="H181" s="19">
        <f t="shared" si="63"/>
        <v>514.20000000000005</v>
      </c>
      <c r="I181" s="24">
        <f t="shared" si="64"/>
        <v>-26.584986386620002</v>
      </c>
    </row>
    <row r="182" spans="1:9" x14ac:dyDescent="0.25">
      <c r="A182" s="66" t="s">
        <v>111</v>
      </c>
      <c r="B182" s="10">
        <f t="shared" si="2"/>
        <v>40108</v>
      </c>
      <c r="C182">
        <v>85.1</v>
      </c>
      <c r="D182">
        <v>148.80000000000001</v>
      </c>
      <c r="E182">
        <v>292.39999999999998</v>
      </c>
      <c r="F182">
        <v>369.6</v>
      </c>
      <c r="G182" s="19">
        <f t="shared" si="62"/>
        <v>377.5</v>
      </c>
      <c r="H182" s="19">
        <f t="shared" si="63"/>
        <v>518.40000000000009</v>
      </c>
      <c r="I182" s="24">
        <f t="shared" si="64"/>
        <v>-27.179783950617299</v>
      </c>
    </row>
    <row r="183" spans="1:9" x14ac:dyDescent="0.25">
      <c r="A183" s="66" t="s">
        <v>111</v>
      </c>
      <c r="B183" s="10">
        <f t="shared" si="2"/>
        <v>40115</v>
      </c>
      <c r="C183">
        <v>81.599999999999994</v>
      </c>
      <c r="D183">
        <v>146.80000000000001</v>
      </c>
      <c r="E183">
        <v>313.39999999999998</v>
      </c>
      <c r="F183">
        <v>373</v>
      </c>
      <c r="G183" s="19">
        <f t="shared" si="62"/>
        <v>395</v>
      </c>
      <c r="H183" s="19">
        <f t="shared" si="63"/>
        <v>519.79999999999995</v>
      </c>
      <c r="I183" s="24">
        <f t="shared" si="64"/>
        <v>-24.009234320892649</v>
      </c>
    </row>
    <row r="184" spans="1:9" x14ac:dyDescent="0.25">
      <c r="A184" s="66" t="s">
        <v>111</v>
      </c>
      <c r="B184" s="10">
        <f t="shared" si="2"/>
        <v>40122</v>
      </c>
      <c r="C184">
        <v>85.3</v>
      </c>
      <c r="D184">
        <v>146</v>
      </c>
      <c r="E184">
        <v>313.39999999999998</v>
      </c>
      <c r="F184">
        <v>382.9</v>
      </c>
      <c r="G184" s="19">
        <f t="shared" si="62"/>
        <v>398.7</v>
      </c>
      <c r="H184" s="19">
        <f t="shared" si="63"/>
        <v>528.9</v>
      </c>
      <c r="I184" s="24">
        <f t="shared" si="64"/>
        <v>-24.617129892229151</v>
      </c>
    </row>
    <row r="185" spans="1:9" x14ac:dyDescent="0.25">
      <c r="A185" s="66" t="s">
        <v>111</v>
      </c>
      <c r="B185" s="10">
        <f t="shared" si="2"/>
        <v>40129</v>
      </c>
      <c r="C185">
        <v>90.8</v>
      </c>
      <c r="D185">
        <v>146</v>
      </c>
      <c r="E185">
        <v>328.9</v>
      </c>
      <c r="F185">
        <v>382.9</v>
      </c>
      <c r="G185" s="19">
        <f t="shared" si="62"/>
        <v>419.7</v>
      </c>
      <c r="H185" s="19">
        <f t="shared" si="63"/>
        <v>528.9</v>
      </c>
      <c r="I185" s="24">
        <f t="shared" si="64"/>
        <v>-20.646625070901869</v>
      </c>
    </row>
    <row r="186" spans="1:9" x14ac:dyDescent="0.25">
      <c r="A186" s="66" t="s">
        <v>111</v>
      </c>
      <c r="B186" s="10">
        <f t="shared" si="2"/>
        <v>40136</v>
      </c>
      <c r="C186">
        <v>68.400000000000006</v>
      </c>
      <c r="D186">
        <v>96.2</v>
      </c>
      <c r="E186">
        <v>351.1</v>
      </c>
      <c r="F186">
        <v>432.4</v>
      </c>
      <c r="G186" s="19">
        <f t="shared" si="62"/>
        <v>419.5</v>
      </c>
      <c r="H186" s="19">
        <f t="shared" si="63"/>
        <v>528.6</v>
      </c>
      <c r="I186" s="24">
        <f t="shared" si="64"/>
        <v>-20.639424895951574</v>
      </c>
    </row>
    <row r="187" spans="1:9" x14ac:dyDescent="0.25">
      <c r="A187" s="66" t="s">
        <v>111</v>
      </c>
      <c r="B187" s="10">
        <f t="shared" si="2"/>
        <v>40143</v>
      </c>
      <c r="C187">
        <v>68.400000000000006</v>
      </c>
      <c r="D187">
        <v>97.6</v>
      </c>
      <c r="E187">
        <v>351.1</v>
      </c>
      <c r="F187">
        <v>432.4</v>
      </c>
      <c r="G187" s="19">
        <f t="shared" si="62"/>
        <v>419.5</v>
      </c>
      <c r="H187" s="19">
        <f t="shared" si="63"/>
        <v>530</v>
      </c>
      <c r="I187" s="24">
        <f t="shared" si="64"/>
        <v>-20.849056603773587</v>
      </c>
    </row>
    <row r="188" spans="1:9" x14ac:dyDescent="0.25">
      <c r="A188" s="66" t="s">
        <v>111</v>
      </c>
      <c r="B188" s="10">
        <f t="shared" si="2"/>
        <v>40150</v>
      </c>
      <c r="C188">
        <v>75.7</v>
      </c>
      <c r="D188">
        <v>152.6</v>
      </c>
      <c r="E188">
        <v>351.1</v>
      </c>
      <c r="F188">
        <v>448.9</v>
      </c>
      <c r="G188" s="19">
        <f t="shared" ref="G188:G219" si="65">+C188+E188</f>
        <v>426.8</v>
      </c>
      <c r="H188" s="19">
        <f t="shared" ref="H188:H219" si="66">+D188+F188</f>
        <v>601.5</v>
      </c>
      <c r="I188" s="24">
        <f t="shared" ref="I188:I219" si="67">+(G188/H188-1)*100</f>
        <v>-29.04405652535328</v>
      </c>
    </row>
    <row r="189" spans="1:9" x14ac:dyDescent="0.25">
      <c r="A189" s="66" t="s">
        <v>111</v>
      </c>
      <c r="B189" s="10">
        <f t="shared" si="2"/>
        <v>40157</v>
      </c>
      <c r="C189">
        <v>76.7</v>
      </c>
      <c r="D189">
        <v>152.6</v>
      </c>
      <c r="E189">
        <v>351.1</v>
      </c>
      <c r="F189">
        <v>487.4</v>
      </c>
      <c r="G189" s="19">
        <f t="shared" si="65"/>
        <v>427.8</v>
      </c>
      <c r="H189" s="19">
        <f t="shared" si="66"/>
        <v>640</v>
      </c>
      <c r="I189" s="24">
        <f t="shared" si="67"/>
        <v>-33.15625</v>
      </c>
    </row>
    <row r="190" spans="1:9" x14ac:dyDescent="0.25">
      <c r="A190" s="66" t="s">
        <v>111</v>
      </c>
      <c r="B190" s="10">
        <f t="shared" si="2"/>
        <v>40164</v>
      </c>
      <c r="C190">
        <v>53.7</v>
      </c>
      <c r="D190">
        <v>151.19999999999999</v>
      </c>
      <c r="E190">
        <v>392.8</v>
      </c>
      <c r="F190">
        <v>502.8</v>
      </c>
      <c r="G190" s="19">
        <f t="shared" si="65"/>
        <v>446.5</v>
      </c>
      <c r="H190" s="19">
        <f t="shared" si="66"/>
        <v>654</v>
      </c>
      <c r="I190" s="24">
        <f t="shared" si="67"/>
        <v>-31.727828746177366</v>
      </c>
    </row>
    <row r="191" spans="1:9" x14ac:dyDescent="0.25">
      <c r="A191" s="66" t="s">
        <v>111</v>
      </c>
      <c r="B191" s="10">
        <f t="shared" si="2"/>
        <v>40171</v>
      </c>
      <c r="C191">
        <v>55.8</v>
      </c>
      <c r="D191">
        <v>151.19999999999999</v>
      </c>
      <c r="E191">
        <v>392.8</v>
      </c>
      <c r="F191">
        <v>502.8</v>
      </c>
      <c r="G191" s="19">
        <f t="shared" si="65"/>
        <v>448.6</v>
      </c>
      <c r="H191" s="19">
        <f t="shared" si="66"/>
        <v>654</v>
      </c>
      <c r="I191" s="24">
        <f t="shared" si="67"/>
        <v>-31.406727828746174</v>
      </c>
    </row>
    <row r="192" spans="1:9" x14ac:dyDescent="0.25">
      <c r="A192" s="66" t="s">
        <v>111</v>
      </c>
      <c r="B192" s="10">
        <f t="shared" si="2"/>
        <v>40178</v>
      </c>
      <c r="C192">
        <v>55.8</v>
      </c>
      <c r="D192">
        <v>151.19999999999999</v>
      </c>
      <c r="E192">
        <v>392.8</v>
      </c>
      <c r="F192">
        <v>502.8</v>
      </c>
      <c r="G192" s="19">
        <f t="shared" si="65"/>
        <v>448.6</v>
      </c>
      <c r="H192" s="19">
        <f t="shared" si="66"/>
        <v>654</v>
      </c>
      <c r="I192" s="24">
        <f t="shared" si="67"/>
        <v>-31.406727828746174</v>
      </c>
    </row>
    <row r="193" spans="1:10" x14ac:dyDescent="0.25">
      <c r="A193" s="66" t="s">
        <v>111</v>
      </c>
      <c r="B193" s="10">
        <f t="shared" si="2"/>
        <v>40185</v>
      </c>
      <c r="C193">
        <v>41.5</v>
      </c>
      <c r="D193">
        <v>133.19999999999999</v>
      </c>
      <c r="E193">
        <v>392.8</v>
      </c>
      <c r="F193">
        <v>519.29999999999995</v>
      </c>
      <c r="G193" s="19">
        <f t="shared" si="65"/>
        <v>434.3</v>
      </c>
      <c r="H193" s="19">
        <f t="shared" si="66"/>
        <v>652.5</v>
      </c>
      <c r="I193" s="24">
        <f t="shared" si="67"/>
        <v>-33.440613026819918</v>
      </c>
    </row>
    <row r="194" spans="1:10" x14ac:dyDescent="0.25">
      <c r="A194" s="66" t="s">
        <v>111</v>
      </c>
      <c r="B194" s="10">
        <f t="shared" si="2"/>
        <v>40192</v>
      </c>
      <c r="C194">
        <v>51.5</v>
      </c>
      <c r="D194">
        <v>127.2</v>
      </c>
      <c r="E194">
        <v>392.8</v>
      </c>
      <c r="F194">
        <v>525.9</v>
      </c>
      <c r="G194" s="19">
        <f t="shared" si="65"/>
        <v>444.3</v>
      </c>
      <c r="H194" s="19">
        <f t="shared" si="66"/>
        <v>653.1</v>
      </c>
      <c r="I194" s="24">
        <f t="shared" si="67"/>
        <v>-31.970601745521364</v>
      </c>
    </row>
    <row r="195" spans="1:10" x14ac:dyDescent="0.25">
      <c r="A195" s="66" t="s">
        <v>111</v>
      </c>
      <c r="B195" s="10">
        <f t="shared" si="2"/>
        <v>40199</v>
      </c>
      <c r="C195">
        <v>66.3</v>
      </c>
      <c r="D195">
        <v>122.2</v>
      </c>
      <c r="E195">
        <v>392.8</v>
      </c>
      <c r="F195">
        <v>545.4</v>
      </c>
      <c r="G195" s="19">
        <f t="shared" si="65"/>
        <v>459.1</v>
      </c>
      <c r="H195" s="19">
        <f t="shared" si="66"/>
        <v>667.6</v>
      </c>
      <c r="I195" s="24">
        <f t="shared" si="67"/>
        <v>-31.231276213301374</v>
      </c>
    </row>
    <row r="196" spans="1:10" x14ac:dyDescent="0.25">
      <c r="A196" s="66" t="s">
        <v>111</v>
      </c>
      <c r="B196" s="10">
        <f t="shared" si="2"/>
        <v>40206</v>
      </c>
      <c r="C196">
        <v>65.599999999999994</v>
      </c>
      <c r="D196">
        <v>152.9</v>
      </c>
      <c r="E196">
        <v>402.5</v>
      </c>
      <c r="F196">
        <v>545.4</v>
      </c>
      <c r="G196" s="19">
        <f t="shared" si="65"/>
        <v>468.1</v>
      </c>
      <c r="H196" s="19">
        <f t="shared" si="66"/>
        <v>698.3</v>
      </c>
      <c r="I196" s="24">
        <f t="shared" si="67"/>
        <v>-32.96577402262637</v>
      </c>
      <c r="J196">
        <v>3</v>
      </c>
    </row>
    <row r="197" spans="1:10" x14ac:dyDescent="0.25">
      <c r="A197" s="66" t="s">
        <v>111</v>
      </c>
      <c r="B197" s="10">
        <f t="shared" si="2"/>
        <v>40213</v>
      </c>
      <c r="C197">
        <v>65.599999999999994</v>
      </c>
      <c r="D197">
        <v>152.9</v>
      </c>
      <c r="E197">
        <v>402.5</v>
      </c>
      <c r="F197">
        <v>545.4</v>
      </c>
      <c r="G197" s="19">
        <f t="shared" si="65"/>
        <v>468.1</v>
      </c>
      <c r="H197" s="19">
        <f t="shared" si="66"/>
        <v>698.3</v>
      </c>
      <c r="I197" s="24">
        <f t="shared" si="67"/>
        <v>-32.96577402262637</v>
      </c>
    </row>
    <row r="198" spans="1:10" x14ac:dyDescent="0.25">
      <c r="A198" s="66" t="s">
        <v>111</v>
      </c>
      <c r="B198" s="10">
        <f t="shared" si="2"/>
        <v>40220</v>
      </c>
      <c r="C198">
        <v>88.6</v>
      </c>
      <c r="D198">
        <v>151.9</v>
      </c>
      <c r="E198">
        <v>430.3</v>
      </c>
      <c r="F198">
        <v>569.4</v>
      </c>
      <c r="G198" s="19">
        <f t="shared" si="65"/>
        <v>518.9</v>
      </c>
      <c r="H198" s="19">
        <f t="shared" si="66"/>
        <v>721.3</v>
      </c>
      <c r="I198" s="24">
        <f t="shared" si="67"/>
        <v>-28.060446416192985</v>
      </c>
      <c r="J198">
        <v>7.5</v>
      </c>
    </row>
    <row r="199" spans="1:10" x14ac:dyDescent="0.25">
      <c r="A199" s="66" t="s">
        <v>111</v>
      </c>
      <c r="B199" s="10">
        <f t="shared" si="2"/>
        <v>40227</v>
      </c>
      <c r="C199">
        <v>88.6</v>
      </c>
      <c r="D199">
        <v>148.9</v>
      </c>
      <c r="E199">
        <v>430.3</v>
      </c>
      <c r="F199">
        <v>578.5</v>
      </c>
      <c r="G199" s="19">
        <f t="shared" si="65"/>
        <v>518.9</v>
      </c>
      <c r="H199" s="19">
        <f t="shared" si="66"/>
        <v>727.4</v>
      </c>
      <c r="I199" s="24">
        <f t="shared" si="67"/>
        <v>-28.663733846576854</v>
      </c>
      <c r="J199">
        <v>7.5</v>
      </c>
    </row>
    <row r="200" spans="1:10" x14ac:dyDescent="0.25">
      <c r="A200" s="66" t="s">
        <v>111</v>
      </c>
      <c r="B200" s="10">
        <f t="shared" si="2"/>
        <v>40234</v>
      </c>
      <c r="C200">
        <v>69.900000000000006</v>
      </c>
      <c r="D200">
        <v>150.9</v>
      </c>
      <c r="E200">
        <v>441.6</v>
      </c>
      <c r="F200">
        <v>578.5</v>
      </c>
      <c r="G200" s="19">
        <f t="shared" si="65"/>
        <v>511.5</v>
      </c>
      <c r="H200" s="19">
        <f t="shared" si="66"/>
        <v>729.4</v>
      </c>
      <c r="I200" s="24">
        <f t="shared" si="67"/>
        <v>-29.873868933369895</v>
      </c>
      <c r="J200">
        <v>7.5</v>
      </c>
    </row>
    <row r="201" spans="1:10" x14ac:dyDescent="0.25">
      <c r="A201" s="66" t="s">
        <v>111</v>
      </c>
      <c r="B201" s="10">
        <f t="shared" si="2"/>
        <v>40241</v>
      </c>
      <c r="C201">
        <v>52.9</v>
      </c>
      <c r="D201">
        <v>127.8</v>
      </c>
      <c r="E201">
        <v>458.1</v>
      </c>
      <c r="F201">
        <v>612.29999999999995</v>
      </c>
      <c r="G201" s="19">
        <f t="shared" si="65"/>
        <v>511</v>
      </c>
      <c r="H201" s="19">
        <f t="shared" si="66"/>
        <v>740.09999999999991</v>
      </c>
      <c r="I201" s="24">
        <f t="shared" si="67"/>
        <v>-30.955276314011616</v>
      </c>
      <c r="J201">
        <v>7.5</v>
      </c>
    </row>
    <row r="202" spans="1:10" x14ac:dyDescent="0.25">
      <c r="A202" s="66" t="s">
        <v>111</v>
      </c>
      <c r="B202" s="10">
        <f t="shared" si="2"/>
        <v>40248</v>
      </c>
      <c r="C202">
        <v>53</v>
      </c>
      <c r="D202">
        <v>133.30000000000001</v>
      </c>
      <c r="E202">
        <v>458.1</v>
      </c>
      <c r="F202">
        <v>612.29999999999995</v>
      </c>
      <c r="G202" s="19">
        <f t="shared" si="65"/>
        <v>511.1</v>
      </c>
      <c r="H202" s="19">
        <f t="shared" si="66"/>
        <v>745.59999999999991</v>
      </c>
      <c r="I202" s="24">
        <f t="shared" si="67"/>
        <v>-31.451180257510714</v>
      </c>
    </row>
    <row r="203" spans="1:10" x14ac:dyDescent="0.25">
      <c r="A203" s="66" t="s">
        <v>111</v>
      </c>
      <c r="B203" s="10">
        <f t="shared" si="2"/>
        <v>40255</v>
      </c>
      <c r="C203">
        <v>77.099999999999994</v>
      </c>
      <c r="D203">
        <v>138.80000000000001</v>
      </c>
      <c r="E203">
        <v>462.4</v>
      </c>
      <c r="F203">
        <v>623.29999999999995</v>
      </c>
      <c r="G203" s="19">
        <f t="shared" si="65"/>
        <v>539.5</v>
      </c>
      <c r="H203" s="19">
        <f t="shared" si="66"/>
        <v>762.09999999999991</v>
      </c>
      <c r="I203" s="24">
        <f t="shared" si="67"/>
        <v>-29.208765253903678</v>
      </c>
    </row>
    <row r="204" spans="1:10" x14ac:dyDescent="0.25">
      <c r="A204" s="66" t="s">
        <v>111</v>
      </c>
      <c r="B204" s="10">
        <f t="shared" si="2"/>
        <v>40262</v>
      </c>
      <c r="C204">
        <v>37.1</v>
      </c>
      <c r="D204">
        <v>143.80000000000001</v>
      </c>
      <c r="E204">
        <v>483.2</v>
      </c>
      <c r="F204">
        <v>629.29999999999995</v>
      </c>
      <c r="G204" s="19">
        <f t="shared" si="65"/>
        <v>520.29999999999995</v>
      </c>
      <c r="H204" s="19">
        <f t="shared" si="66"/>
        <v>773.09999999999991</v>
      </c>
      <c r="I204" s="24">
        <f t="shared" si="67"/>
        <v>-32.699521407321171</v>
      </c>
      <c r="J204">
        <v>29.5</v>
      </c>
    </row>
    <row r="205" spans="1:10" x14ac:dyDescent="0.25">
      <c r="A205" s="66" t="s">
        <v>111</v>
      </c>
      <c r="B205" s="10">
        <f t="shared" si="2"/>
        <v>40269</v>
      </c>
      <c r="C205">
        <v>25.9</v>
      </c>
      <c r="D205">
        <v>96.3</v>
      </c>
      <c r="E205">
        <v>495.4</v>
      </c>
      <c r="F205">
        <v>674.3</v>
      </c>
      <c r="G205" s="19">
        <f t="shared" si="65"/>
        <v>521.29999999999995</v>
      </c>
      <c r="H205" s="19">
        <f t="shared" si="66"/>
        <v>770.59999999999991</v>
      </c>
      <c r="I205" s="24">
        <f t="shared" si="67"/>
        <v>-32.351414482221642</v>
      </c>
      <c r="J205">
        <v>29.5</v>
      </c>
    </row>
    <row r="206" spans="1:10" x14ac:dyDescent="0.25">
      <c r="A206" s="66" t="s">
        <v>111</v>
      </c>
      <c r="B206" s="10">
        <f t="shared" si="2"/>
        <v>40276</v>
      </c>
      <c r="C206">
        <v>25.9</v>
      </c>
      <c r="D206">
        <v>96.3</v>
      </c>
      <c r="E206">
        <v>495.4</v>
      </c>
      <c r="F206">
        <v>674.3</v>
      </c>
      <c r="G206" s="19">
        <f t="shared" si="65"/>
        <v>521.29999999999995</v>
      </c>
      <c r="H206" s="19">
        <f t="shared" si="66"/>
        <v>770.59999999999991</v>
      </c>
      <c r="I206" s="24">
        <f t="shared" si="67"/>
        <v>-32.351414482221642</v>
      </c>
      <c r="J206">
        <v>39.1</v>
      </c>
    </row>
    <row r="207" spans="1:10" x14ac:dyDescent="0.25">
      <c r="A207" s="66" t="s">
        <v>111</v>
      </c>
      <c r="B207" s="10">
        <f t="shared" si="2"/>
        <v>40283</v>
      </c>
      <c r="C207">
        <v>48.2</v>
      </c>
      <c r="D207">
        <v>93.8</v>
      </c>
      <c r="E207">
        <v>495.4</v>
      </c>
      <c r="F207">
        <v>682</v>
      </c>
      <c r="G207" s="19">
        <f t="shared" si="65"/>
        <v>543.6</v>
      </c>
      <c r="H207" s="19">
        <f t="shared" si="66"/>
        <v>775.8</v>
      </c>
      <c r="I207" s="24">
        <f t="shared" si="67"/>
        <v>-29.930394431554518</v>
      </c>
      <c r="J207">
        <v>59.5</v>
      </c>
    </row>
    <row r="208" spans="1:10" x14ac:dyDescent="0.25">
      <c r="A208" s="66" t="s">
        <v>111</v>
      </c>
      <c r="B208" s="10">
        <f t="shared" si="2"/>
        <v>40290</v>
      </c>
      <c r="C208">
        <v>39.9</v>
      </c>
      <c r="D208">
        <v>88.9</v>
      </c>
      <c r="E208">
        <v>500.8</v>
      </c>
      <c r="F208">
        <v>692</v>
      </c>
      <c r="G208" s="19">
        <f t="shared" si="65"/>
        <v>540.70000000000005</v>
      </c>
      <c r="H208" s="19">
        <f t="shared" si="66"/>
        <v>780.9</v>
      </c>
      <c r="I208" s="24">
        <f t="shared" si="67"/>
        <v>-30.759380202330632</v>
      </c>
    </row>
    <row r="209" spans="1:10" x14ac:dyDescent="0.25">
      <c r="A209" s="66" t="s">
        <v>111</v>
      </c>
      <c r="B209" s="10">
        <f t="shared" si="2"/>
        <v>40297</v>
      </c>
      <c r="C209">
        <v>25.8</v>
      </c>
      <c r="D209">
        <v>89.9</v>
      </c>
      <c r="E209">
        <v>520.70000000000005</v>
      </c>
      <c r="F209">
        <v>692</v>
      </c>
      <c r="G209" s="19">
        <f t="shared" si="65"/>
        <v>546.5</v>
      </c>
      <c r="H209" s="19">
        <f t="shared" si="66"/>
        <v>781.9</v>
      </c>
      <c r="I209" s="24">
        <f t="shared" si="67"/>
        <v>-30.106151681800743</v>
      </c>
      <c r="J209">
        <v>75.099999999999994</v>
      </c>
    </row>
    <row r="210" spans="1:10" x14ac:dyDescent="0.25">
      <c r="A210" s="66" t="s">
        <v>111</v>
      </c>
      <c r="B210" s="10">
        <f t="shared" si="2"/>
        <v>40304</v>
      </c>
      <c r="C210">
        <v>25.8</v>
      </c>
      <c r="D210">
        <v>63.7</v>
      </c>
      <c r="E210">
        <v>520.70000000000005</v>
      </c>
      <c r="F210">
        <v>720.4</v>
      </c>
      <c r="G210" s="19">
        <f t="shared" si="65"/>
        <v>546.5</v>
      </c>
      <c r="H210" s="19">
        <f t="shared" si="66"/>
        <v>784.1</v>
      </c>
      <c r="I210" s="24">
        <f t="shared" si="67"/>
        <v>-30.302257365132</v>
      </c>
      <c r="J210">
        <v>107.2</v>
      </c>
    </row>
    <row r="211" spans="1:10" x14ac:dyDescent="0.25">
      <c r="A211" s="66" t="s">
        <v>111</v>
      </c>
      <c r="B211" s="10">
        <f t="shared" si="2"/>
        <v>40311</v>
      </c>
      <c r="C211">
        <v>6.5</v>
      </c>
      <c r="D211">
        <v>68.7</v>
      </c>
      <c r="E211">
        <v>533.9</v>
      </c>
      <c r="F211">
        <v>720.4</v>
      </c>
      <c r="G211" s="19">
        <f t="shared" si="65"/>
        <v>540.4</v>
      </c>
      <c r="H211" s="19">
        <f t="shared" si="66"/>
        <v>789.1</v>
      </c>
      <c r="I211" s="24">
        <f t="shared" si="67"/>
        <v>-31.516918007857054</v>
      </c>
      <c r="J211">
        <v>111.5</v>
      </c>
    </row>
    <row r="212" spans="1:10" x14ac:dyDescent="0.25">
      <c r="A212" s="66" t="s">
        <v>111</v>
      </c>
      <c r="B212" s="10">
        <f t="shared" si="2"/>
        <v>40318</v>
      </c>
      <c r="C212">
        <v>13.5</v>
      </c>
      <c r="D212">
        <v>68.7</v>
      </c>
      <c r="E212">
        <v>550.4</v>
      </c>
      <c r="F212">
        <v>720.4</v>
      </c>
      <c r="G212" s="19">
        <f t="shared" si="65"/>
        <v>563.9</v>
      </c>
      <c r="H212" s="19">
        <f t="shared" si="66"/>
        <v>789.1</v>
      </c>
      <c r="I212" s="24">
        <f t="shared" si="67"/>
        <v>-28.538841718413387</v>
      </c>
      <c r="J212">
        <v>118.7</v>
      </c>
    </row>
    <row r="213" spans="1:10" x14ac:dyDescent="0.25">
      <c r="A213" s="66" t="s">
        <v>111</v>
      </c>
      <c r="B213" s="10">
        <f t="shared" si="2"/>
        <v>40325</v>
      </c>
      <c r="C213">
        <v>0</v>
      </c>
      <c r="D213">
        <v>50.7</v>
      </c>
      <c r="E213">
        <v>575.4</v>
      </c>
      <c r="F213">
        <v>737.8</v>
      </c>
      <c r="G213" s="19">
        <f t="shared" si="65"/>
        <v>575.4</v>
      </c>
      <c r="H213" s="19">
        <f t="shared" si="66"/>
        <v>788.5</v>
      </c>
      <c r="I213" s="24">
        <f t="shared" si="67"/>
        <v>-27.025998731769185</v>
      </c>
      <c r="J213">
        <v>116.5</v>
      </c>
    </row>
    <row r="214" spans="1:10" x14ac:dyDescent="0.25">
      <c r="A214" s="66" t="s">
        <v>111</v>
      </c>
      <c r="B214" s="10">
        <f t="shared" si="2"/>
        <v>40332</v>
      </c>
      <c r="C214">
        <v>139.4</v>
      </c>
      <c r="D214">
        <v>153.19999999999999</v>
      </c>
      <c r="E214">
        <v>0</v>
      </c>
      <c r="F214">
        <v>0</v>
      </c>
      <c r="G214" s="19">
        <f t="shared" si="65"/>
        <v>139.4</v>
      </c>
      <c r="H214" s="19">
        <f t="shared" si="66"/>
        <v>153.19999999999999</v>
      </c>
      <c r="I214" s="24">
        <f t="shared" si="67"/>
        <v>-9.0078328981723192</v>
      </c>
    </row>
    <row r="215" spans="1:10" x14ac:dyDescent="0.25">
      <c r="A215" s="66" t="s">
        <v>111</v>
      </c>
      <c r="B215" s="10">
        <f t="shared" si="2"/>
        <v>40339</v>
      </c>
      <c r="C215">
        <v>125.5</v>
      </c>
      <c r="D215">
        <v>155.19999999999999</v>
      </c>
      <c r="E215">
        <v>19.3</v>
      </c>
      <c r="F215">
        <v>4</v>
      </c>
      <c r="G215" s="19">
        <f t="shared" si="65"/>
        <v>144.80000000000001</v>
      </c>
      <c r="H215" s="19">
        <f t="shared" si="66"/>
        <v>159.19999999999999</v>
      </c>
      <c r="I215" s="24">
        <f t="shared" si="67"/>
        <v>-9.0452261306532495</v>
      </c>
    </row>
    <row r="216" spans="1:10" x14ac:dyDescent="0.25">
      <c r="A216" s="66" t="s">
        <v>111</v>
      </c>
      <c r="B216" s="10">
        <f t="shared" si="2"/>
        <v>40346</v>
      </c>
      <c r="C216">
        <v>140.9</v>
      </c>
      <c r="D216">
        <v>155.19999999999999</v>
      </c>
      <c r="E216">
        <v>27.2</v>
      </c>
      <c r="F216">
        <v>4</v>
      </c>
      <c r="G216" s="19">
        <f t="shared" si="65"/>
        <v>168.1</v>
      </c>
      <c r="H216" s="19">
        <f t="shared" si="66"/>
        <v>159.19999999999999</v>
      </c>
      <c r="I216" s="24">
        <f t="shared" si="67"/>
        <v>5.5904522613065444</v>
      </c>
    </row>
    <row r="217" spans="1:10" x14ac:dyDescent="0.25">
      <c r="A217" s="66" t="s">
        <v>111</v>
      </c>
      <c r="B217" s="10">
        <f t="shared" si="2"/>
        <v>40353</v>
      </c>
      <c r="C217">
        <v>125.4</v>
      </c>
      <c r="D217">
        <v>110</v>
      </c>
      <c r="E217">
        <v>78.599999999999994</v>
      </c>
      <c r="F217">
        <v>33.1</v>
      </c>
      <c r="G217" s="19">
        <f t="shared" si="65"/>
        <v>204</v>
      </c>
      <c r="H217" s="19">
        <f t="shared" si="66"/>
        <v>143.1</v>
      </c>
      <c r="I217" s="24">
        <f t="shared" si="67"/>
        <v>42.55765199161425</v>
      </c>
    </row>
    <row r="218" spans="1:10" x14ac:dyDescent="0.25">
      <c r="A218" s="66" t="s">
        <v>111</v>
      </c>
      <c r="B218" s="10">
        <f t="shared" si="2"/>
        <v>40360</v>
      </c>
      <c r="C218">
        <v>123.1</v>
      </c>
      <c r="D218">
        <v>110</v>
      </c>
      <c r="E218">
        <v>84.7</v>
      </c>
      <c r="F218">
        <v>33.1</v>
      </c>
      <c r="G218" s="19">
        <f t="shared" si="65"/>
        <v>207.8</v>
      </c>
      <c r="H218" s="19">
        <f t="shared" si="66"/>
        <v>143.1</v>
      </c>
      <c r="I218" s="24">
        <f t="shared" si="67"/>
        <v>45.213137665967864</v>
      </c>
    </row>
    <row r="219" spans="1:10" x14ac:dyDescent="0.25">
      <c r="A219" s="66" t="s">
        <v>111</v>
      </c>
      <c r="B219" s="10">
        <f t="shared" si="2"/>
        <v>40367</v>
      </c>
      <c r="C219">
        <v>130.1</v>
      </c>
      <c r="D219">
        <v>102</v>
      </c>
      <c r="E219">
        <v>84.7</v>
      </c>
      <c r="F219">
        <v>46</v>
      </c>
      <c r="G219" s="19">
        <f t="shared" si="65"/>
        <v>214.8</v>
      </c>
      <c r="H219" s="19">
        <f t="shared" si="66"/>
        <v>148</v>
      </c>
      <c r="I219" s="24">
        <f t="shared" si="67"/>
        <v>45.135135135135144</v>
      </c>
    </row>
    <row r="220" spans="1:10" x14ac:dyDescent="0.25">
      <c r="A220" s="66" t="s">
        <v>111</v>
      </c>
      <c r="B220" s="10">
        <f t="shared" si="2"/>
        <v>40374</v>
      </c>
      <c r="C220">
        <v>151.4</v>
      </c>
      <c r="D220">
        <v>113</v>
      </c>
      <c r="E220">
        <v>112.1</v>
      </c>
      <c r="F220">
        <v>66.099999999999994</v>
      </c>
      <c r="G220" s="19">
        <f t="shared" ref="G220:G251" si="68">+C220+E220</f>
        <v>263.5</v>
      </c>
      <c r="H220" s="19">
        <f t="shared" ref="H220:H251" si="69">+D220+F220</f>
        <v>179.1</v>
      </c>
      <c r="I220" s="24">
        <f t="shared" ref="I220:I251" si="70">+(G220/H220-1)*100</f>
        <v>47.124511446119485</v>
      </c>
    </row>
    <row r="221" spans="1:10" x14ac:dyDescent="0.25">
      <c r="A221" s="66" t="s">
        <v>111</v>
      </c>
      <c r="B221" s="10">
        <f t="shared" si="2"/>
        <v>40381</v>
      </c>
      <c r="C221">
        <v>160.6</v>
      </c>
      <c r="D221">
        <v>103</v>
      </c>
      <c r="E221">
        <v>137.69999999999999</v>
      </c>
      <c r="F221">
        <v>86.9</v>
      </c>
      <c r="G221" s="19">
        <f t="shared" si="68"/>
        <v>298.29999999999995</v>
      </c>
      <c r="H221" s="19">
        <f t="shared" si="69"/>
        <v>189.9</v>
      </c>
      <c r="I221" s="24">
        <f t="shared" si="70"/>
        <v>57.082675092153742</v>
      </c>
    </row>
    <row r="222" spans="1:10" x14ac:dyDescent="0.25">
      <c r="A222" s="66" t="s">
        <v>111</v>
      </c>
      <c r="B222" s="10">
        <f t="shared" si="2"/>
        <v>40388</v>
      </c>
      <c r="C222">
        <v>151.1</v>
      </c>
      <c r="D222">
        <v>149.5</v>
      </c>
      <c r="E222">
        <v>166.6</v>
      </c>
      <c r="F222">
        <v>93.2</v>
      </c>
      <c r="G222" s="19">
        <f t="shared" si="68"/>
        <v>317.7</v>
      </c>
      <c r="H222" s="19">
        <f t="shared" si="69"/>
        <v>242.7</v>
      </c>
      <c r="I222" s="24">
        <f t="shared" si="70"/>
        <v>30.902348578491967</v>
      </c>
    </row>
    <row r="223" spans="1:10" x14ac:dyDescent="0.25">
      <c r="A223" s="66" t="s">
        <v>111</v>
      </c>
      <c r="B223" s="10">
        <f t="shared" si="2"/>
        <v>40395</v>
      </c>
      <c r="C223">
        <v>156.4</v>
      </c>
      <c r="D223">
        <v>158.5</v>
      </c>
      <c r="E223">
        <v>166.6</v>
      </c>
      <c r="F223">
        <v>93.2</v>
      </c>
      <c r="G223" s="19">
        <f t="shared" si="68"/>
        <v>323</v>
      </c>
      <c r="H223" s="19">
        <f t="shared" si="69"/>
        <v>251.7</v>
      </c>
      <c r="I223" s="24">
        <f t="shared" si="70"/>
        <v>28.327373857767178</v>
      </c>
    </row>
    <row r="224" spans="1:10" x14ac:dyDescent="0.25">
      <c r="A224" s="66" t="s">
        <v>111</v>
      </c>
      <c r="B224" s="10">
        <f t="shared" si="2"/>
        <v>40402</v>
      </c>
      <c r="C224">
        <v>121.8</v>
      </c>
      <c r="D224">
        <v>164.5</v>
      </c>
      <c r="E224">
        <v>208.4</v>
      </c>
      <c r="F224">
        <v>93.2</v>
      </c>
      <c r="G224" s="19">
        <f t="shared" si="68"/>
        <v>330.2</v>
      </c>
      <c r="H224" s="19">
        <f t="shared" si="69"/>
        <v>257.7</v>
      </c>
      <c r="I224" s="24">
        <f t="shared" si="70"/>
        <v>28.13348855258053</v>
      </c>
    </row>
    <row r="225" spans="1:9" x14ac:dyDescent="0.25">
      <c r="A225" s="66" t="s">
        <v>111</v>
      </c>
      <c r="B225" s="10">
        <f t="shared" si="2"/>
        <v>40409</v>
      </c>
      <c r="C225">
        <v>130.30000000000001</v>
      </c>
      <c r="D225">
        <v>167</v>
      </c>
      <c r="E225">
        <v>208.4</v>
      </c>
      <c r="F225">
        <v>105.8</v>
      </c>
      <c r="G225" s="19">
        <f t="shared" si="68"/>
        <v>338.70000000000005</v>
      </c>
      <c r="H225" s="19">
        <f t="shared" si="69"/>
        <v>272.8</v>
      </c>
      <c r="I225" s="24">
        <f t="shared" si="70"/>
        <v>24.156891495601187</v>
      </c>
    </row>
    <row r="226" spans="1:9" x14ac:dyDescent="0.25">
      <c r="A226" s="66" t="s">
        <v>111</v>
      </c>
      <c r="B226" s="10">
        <f t="shared" si="2"/>
        <v>40416</v>
      </c>
      <c r="C226">
        <v>155.30000000000001</v>
      </c>
      <c r="D226">
        <v>144.6</v>
      </c>
      <c r="E226">
        <v>208.4</v>
      </c>
      <c r="F226">
        <v>132.4</v>
      </c>
      <c r="G226" s="19">
        <f t="shared" si="68"/>
        <v>363.70000000000005</v>
      </c>
      <c r="H226" s="19">
        <f t="shared" si="69"/>
        <v>277</v>
      </c>
      <c r="I226" s="24">
        <f t="shared" si="70"/>
        <v>31.299638989169697</v>
      </c>
    </row>
    <row r="227" spans="1:9" x14ac:dyDescent="0.25">
      <c r="A227" s="66" t="s">
        <v>111</v>
      </c>
      <c r="B227" s="10">
        <f t="shared" si="2"/>
        <v>40423</v>
      </c>
      <c r="C227">
        <v>139.19999999999999</v>
      </c>
      <c r="D227">
        <v>123.1</v>
      </c>
      <c r="E227">
        <v>219.9</v>
      </c>
      <c r="F227">
        <v>166.4</v>
      </c>
      <c r="G227" s="19">
        <f t="shared" si="68"/>
        <v>359.1</v>
      </c>
      <c r="H227" s="19">
        <f t="shared" si="69"/>
        <v>289.5</v>
      </c>
      <c r="I227" s="24">
        <f t="shared" si="70"/>
        <v>24.04145077720208</v>
      </c>
    </row>
    <row r="228" spans="1:9" x14ac:dyDescent="0.25">
      <c r="A228" s="66" t="s">
        <v>111</v>
      </c>
      <c r="B228" s="10">
        <f t="shared" si="2"/>
        <v>40430</v>
      </c>
      <c r="C228">
        <v>102.4</v>
      </c>
      <c r="D228">
        <v>130.69999999999999</v>
      </c>
      <c r="E228">
        <v>256.39999999999998</v>
      </c>
      <c r="F228">
        <v>166.4</v>
      </c>
      <c r="G228" s="19">
        <f t="shared" si="68"/>
        <v>358.79999999999995</v>
      </c>
      <c r="H228" s="19">
        <f t="shared" si="69"/>
        <v>297.10000000000002</v>
      </c>
      <c r="I228" s="24">
        <f t="shared" si="70"/>
        <v>20.767418377650593</v>
      </c>
    </row>
    <row r="229" spans="1:9" x14ac:dyDescent="0.25">
      <c r="A229" s="66" t="s">
        <v>111</v>
      </c>
      <c r="B229" s="10">
        <f t="shared" si="2"/>
        <v>40437</v>
      </c>
      <c r="C229">
        <v>101.7</v>
      </c>
      <c r="D229">
        <v>168.3</v>
      </c>
      <c r="E229">
        <v>283.7</v>
      </c>
      <c r="F229">
        <v>166.4</v>
      </c>
      <c r="G229" s="19">
        <f t="shared" si="68"/>
        <v>385.4</v>
      </c>
      <c r="H229" s="19">
        <f t="shared" si="69"/>
        <v>334.70000000000005</v>
      </c>
      <c r="I229" s="24">
        <f t="shared" si="70"/>
        <v>15.147893636091991</v>
      </c>
    </row>
    <row r="230" spans="1:9" x14ac:dyDescent="0.25">
      <c r="A230" s="66" t="s">
        <v>111</v>
      </c>
      <c r="B230" s="10">
        <f t="shared" si="2"/>
        <v>40444</v>
      </c>
      <c r="C230">
        <v>102.2</v>
      </c>
      <c r="D230">
        <v>135.19999999999999</v>
      </c>
      <c r="E230">
        <v>283.7</v>
      </c>
      <c r="F230">
        <v>214.4</v>
      </c>
      <c r="G230" s="19">
        <f t="shared" si="68"/>
        <v>385.9</v>
      </c>
      <c r="H230" s="19">
        <f t="shared" si="69"/>
        <v>349.6</v>
      </c>
      <c r="I230" s="24">
        <f t="shared" si="70"/>
        <v>10.383295194508001</v>
      </c>
    </row>
    <row r="231" spans="1:9" x14ac:dyDescent="0.25">
      <c r="A231" s="66" t="s">
        <v>111</v>
      </c>
      <c r="B231" s="10">
        <f t="shared" si="2"/>
        <v>40451</v>
      </c>
      <c r="C231">
        <v>85.4</v>
      </c>
      <c r="D231">
        <v>117</v>
      </c>
      <c r="E231">
        <v>304.39999999999998</v>
      </c>
      <c r="F231">
        <v>236.1</v>
      </c>
      <c r="G231" s="19">
        <f t="shared" si="68"/>
        <v>389.79999999999995</v>
      </c>
      <c r="H231" s="19">
        <f t="shared" si="69"/>
        <v>353.1</v>
      </c>
      <c r="I231" s="24">
        <f t="shared" si="70"/>
        <v>10.393656188048684</v>
      </c>
    </row>
    <row r="232" spans="1:9" x14ac:dyDescent="0.25">
      <c r="A232" s="66" t="s">
        <v>111</v>
      </c>
      <c r="B232" s="10">
        <f t="shared" si="2"/>
        <v>40458</v>
      </c>
      <c r="C232">
        <v>103.6</v>
      </c>
      <c r="D232">
        <v>117.6</v>
      </c>
      <c r="E232">
        <v>304.39999999999998</v>
      </c>
      <c r="F232">
        <v>261.7</v>
      </c>
      <c r="G232" s="19">
        <f t="shared" si="68"/>
        <v>408</v>
      </c>
      <c r="H232" s="19">
        <f t="shared" si="69"/>
        <v>379.29999999999995</v>
      </c>
      <c r="I232" s="24">
        <f t="shared" si="70"/>
        <v>7.5665699973635814</v>
      </c>
    </row>
    <row r="233" spans="1:9" x14ac:dyDescent="0.25">
      <c r="A233" s="66" t="s">
        <v>111</v>
      </c>
      <c r="B233" s="10">
        <f t="shared" si="2"/>
        <v>40465</v>
      </c>
      <c r="C233">
        <v>103.6</v>
      </c>
      <c r="D233">
        <v>96.6</v>
      </c>
      <c r="E233">
        <v>321</v>
      </c>
      <c r="F233">
        <v>280.89999999999998</v>
      </c>
      <c r="G233" s="19">
        <f t="shared" si="68"/>
        <v>424.6</v>
      </c>
      <c r="H233" s="19">
        <f t="shared" si="69"/>
        <v>377.5</v>
      </c>
      <c r="I233" s="24">
        <f t="shared" si="70"/>
        <v>12.476821192052977</v>
      </c>
    </row>
    <row r="234" spans="1:9" x14ac:dyDescent="0.25">
      <c r="A234" s="66" t="s">
        <v>111</v>
      </c>
      <c r="B234" s="10">
        <f t="shared" si="2"/>
        <v>40472</v>
      </c>
      <c r="C234">
        <v>111.1</v>
      </c>
      <c r="D234">
        <v>85.1</v>
      </c>
      <c r="E234">
        <v>326.5</v>
      </c>
      <c r="F234">
        <v>292.39999999999998</v>
      </c>
      <c r="G234" s="19">
        <f t="shared" si="68"/>
        <v>437.6</v>
      </c>
      <c r="H234" s="19">
        <f t="shared" si="69"/>
        <v>377.5</v>
      </c>
      <c r="I234" s="24">
        <f t="shared" si="70"/>
        <v>15.920529801324502</v>
      </c>
    </row>
    <row r="235" spans="1:9" x14ac:dyDescent="0.25">
      <c r="A235" s="66" t="s">
        <v>111</v>
      </c>
      <c r="B235" s="10">
        <f t="shared" si="2"/>
        <v>40479</v>
      </c>
      <c r="C235">
        <v>96.1</v>
      </c>
      <c r="D235">
        <v>81.599999999999994</v>
      </c>
      <c r="E235">
        <v>342.3</v>
      </c>
      <c r="F235">
        <v>313.39999999999998</v>
      </c>
      <c r="G235" s="19">
        <f t="shared" si="68"/>
        <v>438.4</v>
      </c>
      <c r="H235" s="19">
        <f t="shared" si="69"/>
        <v>395</v>
      </c>
      <c r="I235" s="24">
        <f t="shared" si="70"/>
        <v>10.987341772151904</v>
      </c>
    </row>
    <row r="236" spans="1:9" x14ac:dyDescent="0.25">
      <c r="A236" s="66" t="s">
        <v>111</v>
      </c>
      <c r="B236" s="10">
        <f t="shared" si="2"/>
        <v>40486</v>
      </c>
      <c r="C236">
        <v>96.1</v>
      </c>
      <c r="D236">
        <v>85.3</v>
      </c>
      <c r="E236">
        <v>342.3</v>
      </c>
      <c r="F236">
        <v>313.39999999999998</v>
      </c>
      <c r="G236" s="19">
        <f t="shared" si="68"/>
        <v>438.4</v>
      </c>
      <c r="H236" s="19">
        <f t="shared" si="69"/>
        <v>398.7</v>
      </c>
      <c r="I236" s="24">
        <f t="shared" si="70"/>
        <v>9.9573614246300401</v>
      </c>
    </row>
    <row r="237" spans="1:9" x14ac:dyDescent="0.25">
      <c r="A237" s="66" t="s">
        <v>111</v>
      </c>
      <c r="B237" s="10">
        <f t="shared" si="2"/>
        <v>40493</v>
      </c>
      <c r="C237">
        <v>72.099999999999994</v>
      </c>
      <c r="D237">
        <v>90.8</v>
      </c>
      <c r="E237">
        <v>366.7</v>
      </c>
      <c r="F237">
        <v>328.9</v>
      </c>
      <c r="G237" s="19">
        <f t="shared" si="68"/>
        <v>438.79999999999995</v>
      </c>
      <c r="H237" s="19">
        <f t="shared" si="69"/>
        <v>419.7</v>
      </c>
      <c r="I237" s="24">
        <f t="shared" si="70"/>
        <v>4.5508696688110417</v>
      </c>
    </row>
    <row r="238" spans="1:9" x14ac:dyDescent="0.25">
      <c r="A238" s="66" t="s">
        <v>111</v>
      </c>
      <c r="B238" s="10">
        <f t="shared" si="2"/>
        <v>40500</v>
      </c>
      <c r="C238">
        <v>113.1</v>
      </c>
      <c r="D238">
        <v>68.400000000000006</v>
      </c>
      <c r="E238">
        <v>366.7</v>
      </c>
      <c r="F238">
        <v>351.1</v>
      </c>
      <c r="G238" s="19">
        <f t="shared" si="68"/>
        <v>479.79999999999995</v>
      </c>
      <c r="H238" s="19">
        <f t="shared" si="69"/>
        <v>419.5</v>
      </c>
      <c r="I238" s="24">
        <f t="shared" si="70"/>
        <v>14.37425506555423</v>
      </c>
    </row>
    <row r="239" spans="1:9" x14ac:dyDescent="0.25">
      <c r="A239" s="66" t="s">
        <v>111</v>
      </c>
      <c r="B239" s="10">
        <f t="shared" si="2"/>
        <v>40507</v>
      </c>
      <c r="C239">
        <v>130.6</v>
      </c>
      <c r="D239">
        <v>68.400000000000006</v>
      </c>
      <c r="E239">
        <v>366.7</v>
      </c>
      <c r="F239">
        <v>351.1</v>
      </c>
      <c r="G239" s="19">
        <f t="shared" si="68"/>
        <v>497.29999999999995</v>
      </c>
      <c r="H239" s="19">
        <f t="shared" si="69"/>
        <v>419.5</v>
      </c>
      <c r="I239" s="24">
        <f t="shared" si="70"/>
        <v>18.545887961859343</v>
      </c>
    </row>
    <row r="240" spans="1:9" x14ac:dyDescent="0.25">
      <c r="A240" s="66" t="s">
        <v>111</v>
      </c>
      <c r="B240" s="10">
        <f t="shared" si="2"/>
        <v>40514</v>
      </c>
      <c r="C240">
        <v>144.6</v>
      </c>
      <c r="D240">
        <v>75.7</v>
      </c>
      <c r="E240">
        <v>377.1</v>
      </c>
      <c r="F240">
        <v>351.1</v>
      </c>
      <c r="G240" s="19">
        <f t="shared" si="68"/>
        <v>521.70000000000005</v>
      </c>
      <c r="H240" s="19">
        <f t="shared" si="69"/>
        <v>426.8</v>
      </c>
      <c r="I240" s="24">
        <f t="shared" si="70"/>
        <v>22.23523898781632</v>
      </c>
    </row>
    <row r="241" spans="1:10" x14ac:dyDescent="0.25">
      <c r="A241" s="66" t="s">
        <v>111</v>
      </c>
      <c r="B241" s="10">
        <f t="shared" si="2"/>
        <v>40521</v>
      </c>
      <c r="C241">
        <v>128.30000000000001</v>
      </c>
      <c r="D241">
        <v>76.7</v>
      </c>
      <c r="E241">
        <v>436.1</v>
      </c>
      <c r="F241">
        <v>351.1</v>
      </c>
      <c r="G241" s="19">
        <f t="shared" si="68"/>
        <v>564.40000000000009</v>
      </c>
      <c r="H241" s="19">
        <f t="shared" si="69"/>
        <v>427.8</v>
      </c>
      <c r="I241" s="24">
        <f t="shared" si="70"/>
        <v>31.930808789153819</v>
      </c>
    </row>
    <row r="242" spans="1:10" x14ac:dyDescent="0.25">
      <c r="A242" s="66" t="s">
        <v>111</v>
      </c>
      <c r="B242" s="10">
        <f t="shared" si="2"/>
        <v>40528</v>
      </c>
      <c r="C242">
        <v>148.6</v>
      </c>
      <c r="D242">
        <v>53.7</v>
      </c>
      <c r="E242">
        <v>446</v>
      </c>
      <c r="F242">
        <v>392.8</v>
      </c>
      <c r="G242" s="19">
        <f t="shared" si="68"/>
        <v>594.6</v>
      </c>
      <c r="H242" s="19">
        <f t="shared" si="69"/>
        <v>446.5</v>
      </c>
      <c r="I242" s="24">
        <f t="shared" si="70"/>
        <v>33.169092945128774</v>
      </c>
    </row>
    <row r="243" spans="1:10" x14ac:dyDescent="0.25">
      <c r="A243" s="66" t="s">
        <v>111</v>
      </c>
      <c r="B243" s="10">
        <f t="shared" si="2"/>
        <v>40535</v>
      </c>
      <c r="C243">
        <v>124.2</v>
      </c>
      <c r="D243">
        <v>55.8</v>
      </c>
      <c r="E243">
        <v>468.9</v>
      </c>
      <c r="F243">
        <v>392.8</v>
      </c>
      <c r="G243" s="19">
        <f t="shared" si="68"/>
        <v>593.1</v>
      </c>
      <c r="H243" s="19">
        <f t="shared" si="69"/>
        <v>448.6</v>
      </c>
      <c r="I243" s="24">
        <f t="shared" si="70"/>
        <v>32.211324119482839</v>
      </c>
    </row>
    <row r="244" spans="1:10" x14ac:dyDescent="0.25">
      <c r="A244" s="66" t="s">
        <v>111</v>
      </c>
      <c r="B244" s="10">
        <f t="shared" si="2"/>
        <v>40542</v>
      </c>
      <c r="C244">
        <v>124.2</v>
      </c>
      <c r="D244">
        <v>55.8</v>
      </c>
      <c r="E244">
        <v>468.9</v>
      </c>
      <c r="F244">
        <v>392.8</v>
      </c>
      <c r="G244" s="19">
        <f t="shared" si="68"/>
        <v>593.1</v>
      </c>
      <c r="H244" s="19">
        <f t="shared" si="69"/>
        <v>448.6</v>
      </c>
      <c r="I244" s="24">
        <f t="shared" si="70"/>
        <v>32.211324119482839</v>
      </c>
    </row>
    <row r="245" spans="1:10" x14ac:dyDescent="0.25">
      <c r="A245" s="66" t="s">
        <v>111</v>
      </c>
      <c r="B245" s="10">
        <f t="shared" si="2"/>
        <v>40549</v>
      </c>
      <c r="C245">
        <v>124.2</v>
      </c>
      <c r="D245">
        <v>41.5</v>
      </c>
      <c r="E245">
        <v>468.9</v>
      </c>
      <c r="F245">
        <v>392.8</v>
      </c>
      <c r="G245" s="19">
        <f t="shared" si="68"/>
        <v>593.1</v>
      </c>
      <c r="H245" s="19">
        <f t="shared" si="69"/>
        <v>434.3</v>
      </c>
      <c r="I245" s="24">
        <f t="shared" si="70"/>
        <v>36.564586691227262</v>
      </c>
    </row>
    <row r="246" spans="1:10" x14ac:dyDescent="0.25">
      <c r="A246" s="66" t="s">
        <v>111</v>
      </c>
      <c r="B246" s="10">
        <f t="shared" si="2"/>
        <v>40556</v>
      </c>
      <c r="C246">
        <v>124.2</v>
      </c>
      <c r="D246">
        <v>51.5</v>
      </c>
      <c r="E246">
        <v>468.9</v>
      </c>
      <c r="F246">
        <v>392.8</v>
      </c>
      <c r="G246" s="19">
        <f t="shared" si="68"/>
        <v>593.1</v>
      </c>
      <c r="H246" s="19">
        <f t="shared" si="69"/>
        <v>444.3</v>
      </c>
      <c r="I246" s="24">
        <f t="shared" si="70"/>
        <v>33.490884537474685</v>
      </c>
    </row>
    <row r="247" spans="1:10" x14ac:dyDescent="0.25">
      <c r="A247" s="66" t="s">
        <v>111</v>
      </c>
      <c r="B247" s="10">
        <f t="shared" si="2"/>
        <v>40563</v>
      </c>
      <c r="C247">
        <v>103.8</v>
      </c>
      <c r="D247">
        <v>66.3</v>
      </c>
      <c r="E247">
        <v>519.70000000000005</v>
      </c>
      <c r="F247">
        <v>392.8</v>
      </c>
      <c r="G247" s="19">
        <f t="shared" si="68"/>
        <v>623.5</v>
      </c>
      <c r="H247" s="19">
        <f t="shared" si="69"/>
        <v>459.1</v>
      </c>
      <c r="I247" s="24">
        <f t="shared" si="70"/>
        <v>35.809191897190139</v>
      </c>
    </row>
    <row r="248" spans="1:10" x14ac:dyDescent="0.25">
      <c r="A248" s="66" t="s">
        <v>111</v>
      </c>
      <c r="B248" s="10">
        <f t="shared" si="2"/>
        <v>40570</v>
      </c>
      <c r="C248">
        <v>92.8</v>
      </c>
      <c r="D248">
        <v>65.599999999999994</v>
      </c>
      <c r="E248">
        <v>530.20000000000005</v>
      </c>
      <c r="F248">
        <v>402.5</v>
      </c>
      <c r="G248" s="19">
        <f t="shared" si="68"/>
        <v>623</v>
      </c>
      <c r="H248" s="19">
        <f t="shared" si="69"/>
        <v>468.1</v>
      </c>
      <c r="I248" s="24">
        <f t="shared" si="70"/>
        <v>33.091219824823746</v>
      </c>
    </row>
    <row r="249" spans="1:10" x14ac:dyDescent="0.25">
      <c r="A249" s="66" t="s">
        <v>111</v>
      </c>
      <c r="B249" s="10">
        <f t="shared" si="2"/>
        <v>40577</v>
      </c>
      <c r="C249">
        <v>100.3</v>
      </c>
      <c r="D249">
        <v>102.6</v>
      </c>
      <c r="E249">
        <v>530.20000000000005</v>
      </c>
      <c r="F249">
        <v>411.9</v>
      </c>
      <c r="G249" s="19">
        <f t="shared" si="68"/>
        <v>630.5</v>
      </c>
      <c r="H249" s="19">
        <f t="shared" si="69"/>
        <v>514.5</v>
      </c>
      <c r="I249" s="24">
        <f t="shared" si="70"/>
        <v>22.546161321671534</v>
      </c>
    </row>
    <row r="250" spans="1:10" x14ac:dyDescent="0.25">
      <c r="A250" s="66" t="s">
        <v>111</v>
      </c>
      <c r="B250" s="10">
        <f t="shared" si="2"/>
        <v>40584</v>
      </c>
      <c r="C250">
        <v>98.3</v>
      </c>
      <c r="D250">
        <v>88.6</v>
      </c>
      <c r="E250">
        <v>538</v>
      </c>
      <c r="F250">
        <v>430.3</v>
      </c>
      <c r="G250" s="19">
        <f t="shared" si="68"/>
        <v>636.29999999999995</v>
      </c>
      <c r="H250" s="19">
        <f t="shared" si="69"/>
        <v>518.9</v>
      </c>
      <c r="I250" s="24">
        <f t="shared" si="70"/>
        <v>22.624783195220655</v>
      </c>
    </row>
    <row r="251" spans="1:10" x14ac:dyDescent="0.25">
      <c r="A251" s="66" t="s">
        <v>111</v>
      </c>
      <c r="B251" s="10">
        <f t="shared" si="2"/>
        <v>40591</v>
      </c>
      <c r="C251">
        <v>123.8</v>
      </c>
      <c r="D251">
        <v>88.6</v>
      </c>
      <c r="E251">
        <v>546.1</v>
      </c>
      <c r="F251">
        <v>430.3</v>
      </c>
      <c r="G251" s="19">
        <f t="shared" si="68"/>
        <v>669.9</v>
      </c>
      <c r="H251" s="19">
        <f t="shared" si="69"/>
        <v>518.9</v>
      </c>
      <c r="I251" s="24">
        <f t="shared" si="70"/>
        <v>29.100019271535938</v>
      </c>
    </row>
    <row r="252" spans="1:10" x14ac:dyDescent="0.25">
      <c r="B252" s="10">
        <f t="shared" si="2"/>
        <v>40598</v>
      </c>
      <c r="C252">
        <v>160.1</v>
      </c>
      <c r="D252">
        <v>69.900000000000006</v>
      </c>
      <c r="E252">
        <v>546.1</v>
      </c>
      <c r="F252">
        <v>441.6</v>
      </c>
      <c r="G252" s="19">
        <f t="shared" ref="G252:G265" si="71">+C252+E252</f>
        <v>706.2</v>
      </c>
      <c r="H252" s="19">
        <f t="shared" ref="H252:H265" si="72">+D252+F252</f>
        <v>511.5</v>
      </c>
      <c r="I252" s="24">
        <f t="shared" ref="I252:I265" si="73">+(G252/H252-1)*100</f>
        <v>38.064516129032278</v>
      </c>
    </row>
    <row r="253" spans="1:10" x14ac:dyDescent="0.25">
      <c r="B253" s="10">
        <f t="shared" ref="B253:B316" si="74">+B252+7</f>
        <v>40605</v>
      </c>
      <c r="C253">
        <v>153.80000000000001</v>
      </c>
      <c r="D253">
        <v>52.9</v>
      </c>
      <c r="E253">
        <v>546.1</v>
      </c>
      <c r="F253">
        <v>458.1</v>
      </c>
      <c r="G253" s="19">
        <f t="shared" si="71"/>
        <v>699.90000000000009</v>
      </c>
      <c r="H253" s="19">
        <f t="shared" si="72"/>
        <v>511</v>
      </c>
      <c r="I253" s="24">
        <f t="shared" si="73"/>
        <v>36.966731898238756</v>
      </c>
    </row>
    <row r="254" spans="1:10" x14ac:dyDescent="0.25">
      <c r="B254" s="10">
        <f t="shared" si="74"/>
        <v>40612</v>
      </c>
      <c r="C254">
        <v>188.9</v>
      </c>
      <c r="D254">
        <v>53</v>
      </c>
      <c r="E254">
        <v>546.1</v>
      </c>
      <c r="F254">
        <v>458.1</v>
      </c>
      <c r="G254" s="19">
        <f t="shared" si="71"/>
        <v>735</v>
      </c>
      <c r="H254" s="19">
        <f t="shared" si="72"/>
        <v>511.1</v>
      </c>
      <c r="I254" s="24">
        <f t="shared" si="73"/>
        <v>43.807474075523366</v>
      </c>
    </row>
    <row r="255" spans="1:10" x14ac:dyDescent="0.25">
      <c r="B255" s="10">
        <f t="shared" si="74"/>
        <v>40619</v>
      </c>
      <c r="C255">
        <v>221.7</v>
      </c>
      <c r="D255">
        <v>77.099999999999994</v>
      </c>
      <c r="E255">
        <v>571.70000000000005</v>
      </c>
      <c r="F255">
        <v>462.4</v>
      </c>
      <c r="G255" s="19">
        <f t="shared" si="71"/>
        <v>793.40000000000009</v>
      </c>
      <c r="H255" s="19">
        <f t="shared" si="72"/>
        <v>539.5</v>
      </c>
      <c r="I255" s="24">
        <f t="shared" si="73"/>
        <v>47.062094531974076</v>
      </c>
    </row>
    <row r="256" spans="1:10" x14ac:dyDescent="0.25">
      <c r="B256" s="10">
        <f t="shared" si="74"/>
        <v>40626</v>
      </c>
      <c r="C256">
        <v>196.7</v>
      </c>
      <c r="D256">
        <v>37.1</v>
      </c>
      <c r="E256">
        <v>607.6</v>
      </c>
      <c r="F256">
        <v>483.2</v>
      </c>
      <c r="G256" s="19">
        <f t="shared" si="71"/>
        <v>804.3</v>
      </c>
      <c r="H256" s="19">
        <f t="shared" si="72"/>
        <v>520.29999999999995</v>
      </c>
      <c r="I256" s="24">
        <f t="shared" si="73"/>
        <v>54.583893907361137</v>
      </c>
      <c r="J256">
        <v>38</v>
      </c>
    </row>
    <row r="257" spans="2:10" x14ac:dyDescent="0.25">
      <c r="B257" s="10">
        <f t="shared" si="74"/>
        <v>40633</v>
      </c>
      <c r="C257">
        <v>171.9</v>
      </c>
      <c r="D257">
        <v>25.9</v>
      </c>
      <c r="E257">
        <v>607.6</v>
      </c>
      <c r="F257">
        <v>495.4</v>
      </c>
      <c r="G257" s="19">
        <f t="shared" si="71"/>
        <v>779.5</v>
      </c>
      <c r="H257" s="19">
        <f t="shared" si="72"/>
        <v>521.29999999999995</v>
      </c>
      <c r="I257" s="24">
        <f t="shared" si="73"/>
        <v>49.530021101093439</v>
      </c>
    </row>
    <row r="258" spans="2:10" x14ac:dyDescent="0.25">
      <c r="B258" s="10">
        <f t="shared" si="74"/>
        <v>40640</v>
      </c>
      <c r="C258">
        <v>158.4</v>
      </c>
      <c r="D258">
        <v>25.9</v>
      </c>
      <c r="E258">
        <v>634.6</v>
      </c>
      <c r="F258">
        <v>495.4</v>
      </c>
      <c r="G258" s="19">
        <f t="shared" si="71"/>
        <v>793</v>
      </c>
      <c r="H258" s="19">
        <f t="shared" si="72"/>
        <v>521.29999999999995</v>
      </c>
      <c r="I258" s="24">
        <f t="shared" si="73"/>
        <v>52.119700748129681</v>
      </c>
      <c r="J258">
        <v>92.9</v>
      </c>
    </row>
    <row r="259" spans="2:10" x14ac:dyDescent="0.25">
      <c r="B259" s="10">
        <f t="shared" si="74"/>
        <v>40647</v>
      </c>
      <c r="C259">
        <v>168.6</v>
      </c>
      <c r="D259">
        <v>48.2</v>
      </c>
      <c r="E259">
        <v>651.20000000000005</v>
      </c>
      <c r="F259">
        <v>495.4</v>
      </c>
      <c r="G259" s="19">
        <f t="shared" si="71"/>
        <v>819.80000000000007</v>
      </c>
      <c r="H259" s="19">
        <f t="shared" si="72"/>
        <v>543.6</v>
      </c>
      <c r="I259" s="24">
        <f t="shared" si="73"/>
        <v>50.809418690213406</v>
      </c>
    </row>
    <row r="260" spans="2:10" x14ac:dyDescent="0.25">
      <c r="B260" s="10">
        <f t="shared" si="74"/>
        <v>40654</v>
      </c>
      <c r="C260">
        <v>168.6</v>
      </c>
      <c r="D260">
        <v>39.9</v>
      </c>
      <c r="E260">
        <v>651.20000000000005</v>
      </c>
      <c r="F260">
        <v>500.8</v>
      </c>
      <c r="G260" s="19">
        <f t="shared" si="71"/>
        <v>819.80000000000007</v>
      </c>
      <c r="H260" s="19">
        <f t="shared" si="72"/>
        <v>540.70000000000005</v>
      </c>
      <c r="I260" s="24">
        <f t="shared" si="73"/>
        <v>51.618272609580188</v>
      </c>
    </row>
    <row r="261" spans="2:10" x14ac:dyDescent="0.25">
      <c r="B261" s="10">
        <f t="shared" si="74"/>
        <v>40661</v>
      </c>
      <c r="C261">
        <v>165.5</v>
      </c>
      <c r="D261">
        <v>25.8</v>
      </c>
      <c r="E261">
        <v>651.20000000000005</v>
      </c>
      <c r="F261">
        <v>520.70000000000005</v>
      </c>
      <c r="G261" s="19">
        <f t="shared" si="71"/>
        <v>816.7</v>
      </c>
      <c r="H261" s="19">
        <f t="shared" si="72"/>
        <v>546.5</v>
      </c>
      <c r="I261" s="24">
        <f t="shared" si="73"/>
        <v>49.441903019213186</v>
      </c>
      <c r="J261">
        <v>138.4</v>
      </c>
    </row>
    <row r="262" spans="2:10" x14ac:dyDescent="0.25">
      <c r="B262" s="10">
        <f t="shared" si="74"/>
        <v>40668</v>
      </c>
      <c r="C262">
        <v>188</v>
      </c>
      <c r="D262">
        <v>25.8</v>
      </c>
      <c r="E262">
        <v>687.9</v>
      </c>
      <c r="F262">
        <v>520.70000000000005</v>
      </c>
      <c r="G262" s="19">
        <f t="shared" si="71"/>
        <v>875.9</v>
      </c>
      <c r="H262" s="19">
        <f t="shared" si="72"/>
        <v>546.5</v>
      </c>
      <c r="I262" s="24">
        <f t="shared" si="73"/>
        <v>60.274473924977116</v>
      </c>
      <c r="J262">
        <v>150.19999999999999</v>
      </c>
    </row>
    <row r="263" spans="2:10" x14ac:dyDescent="0.25">
      <c r="B263" s="10">
        <f t="shared" si="74"/>
        <v>40675</v>
      </c>
      <c r="C263">
        <v>133.80000000000001</v>
      </c>
      <c r="D263">
        <v>6.5</v>
      </c>
      <c r="E263">
        <v>713.4</v>
      </c>
      <c r="F263">
        <v>533.9</v>
      </c>
      <c r="G263" s="19">
        <f t="shared" si="71"/>
        <v>847.2</v>
      </c>
      <c r="H263" s="19">
        <f t="shared" si="72"/>
        <v>540.4</v>
      </c>
      <c r="I263" s="24">
        <f t="shared" si="73"/>
        <v>56.772760917838653</v>
      </c>
      <c r="J263">
        <v>191.2</v>
      </c>
    </row>
    <row r="264" spans="2:10" x14ac:dyDescent="0.25">
      <c r="B264" s="10">
        <f t="shared" si="74"/>
        <v>40682</v>
      </c>
      <c r="C264">
        <v>121.3</v>
      </c>
      <c r="D264">
        <v>13.5</v>
      </c>
      <c r="E264">
        <v>713.4</v>
      </c>
      <c r="F264">
        <v>550.4</v>
      </c>
      <c r="G264" s="19">
        <f t="shared" si="71"/>
        <v>834.69999999999993</v>
      </c>
      <c r="H264" s="19">
        <f t="shared" si="72"/>
        <v>563.9</v>
      </c>
      <c r="I264" s="24">
        <f t="shared" si="73"/>
        <v>48.022699060117048</v>
      </c>
      <c r="J264">
        <v>205.9</v>
      </c>
    </row>
    <row r="265" spans="2:10" x14ac:dyDescent="0.25">
      <c r="B265" s="10">
        <f t="shared" si="74"/>
        <v>40689</v>
      </c>
      <c r="C265">
        <v>16.8</v>
      </c>
      <c r="D265">
        <v>0</v>
      </c>
      <c r="E265">
        <v>749.7</v>
      </c>
      <c r="F265">
        <v>575.4</v>
      </c>
      <c r="G265" s="19">
        <f t="shared" si="71"/>
        <v>766.5</v>
      </c>
      <c r="H265" s="19">
        <f t="shared" si="72"/>
        <v>575.4</v>
      </c>
      <c r="I265" s="24">
        <f t="shared" si="73"/>
        <v>33.211678832116796</v>
      </c>
      <c r="J265">
        <v>205.9</v>
      </c>
    </row>
    <row r="266" spans="2:10" x14ac:dyDescent="0.25">
      <c r="B266" s="10">
        <f t="shared" si="74"/>
        <v>40696</v>
      </c>
      <c r="C266">
        <v>216.6</v>
      </c>
      <c r="D266">
        <v>139.4</v>
      </c>
      <c r="E266">
        <v>0</v>
      </c>
      <c r="F266">
        <v>0</v>
      </c>
      <c r="G266" s="19">
        <f t="shared" ref="G266:G274" si="75">+C266+E266</f>
        <v>216.6</v>
      </c>
      <c r="H266" s="19">
        <f t="shared" ref="H266:H274" si="76">+D266+F266</f>
        <v>139.4</v>
      </c>
      <c r="I266" s="24">
        <f t="shared" ref="I266:I274" si="77">+(G266/H266-1)*100</f>
        <v>55.380200860832133</v>
      </c>
    </row>
    <row r="267" spans="2:10" x14ac:dyDescent="0.25">
      <c r="B267" s="10">
        <f t="shared" si="74"/>
        <v>40703</v>
      </c>
      <c r="C267">
        <v>206.1</v>
      </c>
      <c r="D267">
        <v>125.5</v>
      </c>
      <c r="E267">
        <v>11.7</v>
      </c>
      <c r="F267">
        <v>19.3</v>
      </c>
      <c r="G267" s="19">
        <f t="shared" si="75"/>
        <v>217.79999999999998</v>
      </c>
      <c r="H267" s="19">
        <f t="shared" si="76"/>
        <v>144.80000000000001</v>
      </c>
      <c r="I267" s="24">
        <f t="shared" si="77"/>
        <v>50.41436464088396</v>
      </c>
    </row>
    <row r="268" spans="2:10" x14ac:dyDescent="0.25">
      <c r="B268" s="10">
        <f t="shared" si="74"/>
        <v>40710</v>
      </c>
      <c r="C268">
        <v>219.4</v>
      </c>
      <c r="D268">
        <v>140.9</v>
      </c>
      <c r="E268">
        <v>11.7</v>
      </c>
      <c r="F268">
        <v>27.2</v>
      </c>
      <c r="G268" s="19">
        <f t="shared" si="75"/>
        <v>231.1</v>
      </c>
      <c r="H268" s="19">
        <f t="shared" si="76"/>
        <v>168.1</v>
      </c>
      <c r="I268" s="24">
        <f t="shared" si="77"/>
        <v>37.477691850089222</v>
      </c>
    </row>
    <row r="269" spans="2:10" x14ac:dyDescent="0.25">
      <c r="B269" s="10">
        <f t="shared" si="74"/>
        <v>40717</v>
      </c>
      <c r="C269">
        <v>226.5</v>
      </c>
      <c r="D269">
        <v>125.4</v>
      </c>
      <c r="E269">
        <v>22.4</v>
      </c>
      <c r="F269">
        <v>78.599999999999994</v>
      </c>
      <c r="G269" s="19">
        <f t="shared" si="75"/>
        <v>248.9</v>
      </c>
      <c r="H269" s="19">
        <f t="shared" si="76"/>
        <v>204</v>
      </c>
      <c r="I269" s="24">
        <f t="shared" si="77"/>
        <v>22.00980392156864</v>
      </c>
    </row>
    <row r="270" spans="2:10" x14ac:dyDescent="0.25">
      <c r="B270" s="10">
        <f t="shared" si="74"/>
        <v>40724</v>
      </c>
      <c r="C270">
        <v>206.4</v>
      </c>
      <c r="D270">
        <v>123.1</v>
      </c>
      <c r="E270">
        <v>75</v>
      </c>
      <c r="F270">
        <v>84.7</v>
      </c>
      <c r="G270" s="19">
        <f t="shared" si="75"/>
        <v>281.39999999999998</v>
      </c>
      <c r="H270" s="19">
        <f t="shared" si="76"/>
        <v>207.8</v>
      </c>
      <c r="I270" s="24">
        <f t="shared" si="77"/>
        <v>35.418671799807491</v>
      </c>
    </row>
    <row r="271" spans="2:10" x14ac:dyDescent="0.25">
      <c r="B271" s="10">
        <f t="shared" si="74"/>
        <v>40731</v>
      </c>
      <c r="C271">
        <v>139.1</v>
      </c>
      <c r="D271">
        <v>130.1</v>
      </c>
      <c r="E271">
        <v>124.4</v>
      </c>
      <c r="F271">
        <v>84.7</v>
      </c>
      <c r="G271" s="19">
        <f t="shared" si="75"/>
        <v>263.5</v>
      </c>
      <c r="H271" s="19">
        <f t="shared" si="76"/>
        <v>214.8</v>
      </c>
      <c r="I271" s="24">
        <f t="shared" si="77"/>
        <v>22.67225325884543</v>
      </c>
    </row>
    <row r="272" spans="2:10" x14ac:dyDescent="0.25">
      <c r="B272" s="10">
        <f t="shared" si="74"/>
        <v>40738</v>
      </c>
      <c r="C272">
        <v>141.4</v>
      </c>
      <c r="D272">
        <v>151.4</v>
      </c>
      <c r="E272">
        <v>124.4</v>
      </c>
      <c r="F272">
        <v>112.1</v>
      </c>
      <c r="G272" s="19">
        <f t="shared" si="75"/>
        <v>265.8</v>
      </c>
      <c r="H272" s="19">
        <f t="shared" si="76"/>
        <v>263.5</v>
      </c>
      <c r="I272" s="24">
        <f t="shared" si="77"/>
        <v>0.87286527514232048</v>
      </c>
    </row>
    <row r="273" spans="2:10" x14ac:dyDescent="0.25">
      <c r="B273" s="10">
        <f t="shared" si="74"/>
        <v>40745</v>
      </c>
      <c r="C273">
        <v>130</v>
      </c>
      <c r="D273">
        <v>160.6</v>
      </c>
      <c r="E273">
        <v>137.19999999999999</v>
      </c>
      <c r="F273">
        <v>137.69999999999999</v>
      </c>
      <c r="G273" s="19">
        <f t="shared" si="75"/>
        <v>267.2</v>
      </c>
      <c r="H273" s="19">
        <f t="shared" si="76"/>
        <v>298.29999999999995</v>
      </c>
      <c r="I273" s="24">
        <f t="shared" si="77"/>
        <v>-10.425745893395899</v>
      </c>
    </row>
    <row r="274" spans="2:10" x14ac:dyDescent="0.25">
      <c r="B274" s="10">
        <f t="shared" si="74"/>
        <v>40752</v>
      </c>
      <c r="C274">
        <v>128.69999999999999</v>
      </c>
      <c r="D274">
        <v>151.1</v>
      </c>
      <c r="E274">
        <v>137.19999999999999</v>
      </c>
      <c r="F274">
        <v>166.6</v>
      </c>
      <c r="G274" s="19">
        <f t="shared" si="75"/>
        <v>265.89999999999998</v>
      </c>
      <c r="H274" s="19">
        <f t="shared" si="76"/>
        <v>317.7</v>
      </c>
      <c r="I274" s="24">
        <f t="shared" si="77"/>
        <v>-16.304689959080896</v>
      </c>
    </row>
    <row r="275" spans="2:10" x14ac:dyDescent="0.25">
      <c r="B275" s="10">
        <f t="shared" si="74"/>
        <v>40759</v>
      </c>
      <c r="C275">
        <v>75.5</v>
      </c>
      <c r="D275">
        <v>156.4</v>
      </c>
      <c r="E275">
        <v>191.2</v>
      </c>
      <c r="F275">
        <v>166.6</v>
      </c>
      <c r="G275" s="19">
        <f t="shared" ref="G275:G315" si="78">+C275+E275</f>
        <v>266.7</v>
      </c>
      <c r="H275" s="19">
        <f t="shared" ref="H275:H315" si="79">+D275+F275</f>
        <v>323</v>
      </c>
      <c r="I275" s="24">
        <f t="shared" ref="I275:I315" si="80">+(G275/H275-1)*100</f>
        <v>-17.430340557275549</v>
      </c>
    </row>
    <row r="276" spans="2:10" x14ac:dyDescent="0.25">
      <c r="B276" s="10">
        <f t="shared" si="74"/>
        <v>40766</v>
      </c>
      <c r="C276">
        <v>76.2</v>
      </c>
      <c r="D276">
        <v>121.8</v>
      </c>
      <c r="E276">
        <v>191.2</v>
      </c>
      <c r="F276">
        <v>208.4</v>
      </c>
      <c r="G276" s="19">
        <f t="shared" si="78"/>
        <v>267.39999999999998</v>
      </c>
      <c r="H276" s="19">
        <f t="shared" si="79"/>
        <v>330.2</v>
      </c>
      <c r="I276" s="24">
        <f t="shared" si="80"/>
        <v>-19.018776499091462</v>
      </c>
    </row>
    <row r="277" spans="2:10" x14ac:dyDescent="0.25">
      <c r="B277" s="10">
        <f t="shared" si="74"/>
        <v>40773</v>
      </c>
      <c r="C277">
        <v>75.8</v>
      </c>
      <c r="D277">
        <v>130.30000000000001</v>
      </c>
      <c r="E277">
        <v>206.5</v>
      </c>
      <c r="F277">
        <v>208.4</v>
      </c>
      <c r="G277" s="19">
        <f t="shared" si="78"/>
        <v>282.3</v>
      </c>
      <c r="H277" s="19">
        <f t="shared" si="79"/>
        <v>338.70000000000005</v>
      </c>
      <c r="I277" s="24">
        <f t="shared" si="80"/>
        <v>-16.651904340124013</v>
      </c>
    </row>
    <row r="278" spans="2:10" x14ac:dyDescent="0.25">
      <c r="B278" s="10">
        <f t="shared" si="74"/>
        <v>40780</v>
      </c>
      <c r="C278">
        <v>65.8</v>
      </c>
      <c r="D278">
        <v>155.30000000000001</v>
      </c>
      <c r="E278">
        <v>228.1</v>
      </c>
      <c r="F278">
        <v>208.4</v>
      </c>
      <c r="G278" s="19">
        <f t="shared" si="78"/>
        <v>293.89999999999998</v>
      </c>
      <c r="H278" s="19">
        <f t="shared" si="79"/>
        <v>363.70000000000005</v>
      </c>
      <c r="I278" s="24">
        <f t="shared" si="80"/>
        <v>-19.191641462744037</v>
      </c>
    </row>
    <row r="279" spans="2:10" x14ac:dyDescent="0.25">
      <c r="B279" s="10">
        <f t="shared" si="74"/>
        <v>40787</v>
      </c>
      <c r="C279">
        <v>28.4</v>
      </c>
      <c r="D279">
        <v>139.19999999999999</v>
      </c>
      <c r="E279">
        <v>255.2</v>
      </c>
      <c r="F279">
        <v>220</v>
      </c>
      <c r="G279" s="19">
        <f t="shared" si="78"/>
        <v>283.59999999999997</v>
      </c>
      <c r="H279" s="19">
        <f t="shared" si="79"/>
        <v>359.2</v>
      </c>
      <c r="I279" s="24">
        <f t="shared" si="80"/>
        <v>-21.046770601336306</v>
      </c>
    </row>
    <row r="280" spans="2:10" x14ac:dyDescent="0.25">
      <c r="B280" s="10">
        <f t="shared" si="74"/>
        <v>40794</v>
      </c>
      <c r="C280">
        <v>30.9</v>
      </c>
      <c r="D280">
        <v>102.4</v>
      </c>
      <c r="E280">
        <v>255.2</v>
      </c>
      <c r="F280">
        <v>256.39999999999998</v>
      </c>
      <c r="G280" s="19">
        <f t="shared" si="78"/>
        <v>286.09999999999997</v>
      </c>
      <c r="H280" s="19">
        <f t="shared" si="79"/>
        <v>358.79999999999995</v>
      </c>
      <c r="I280" s="24">
        <f t="shared" si="80"/>
        <v>-20.261984392419173</v>
      </c>
    </row>
    <row r="281" spans="2:10" x14ac:dyDescent="0.25">
      <c r="B281" s="10">
        <f t="shared" si="74"/>
        <v>40801</v>
      </c>
      <c r="C281">
        <v>31</v>
      </c>
      <c r="D281">
        <v>101.7</v>
      </c>
      <c r="E281">
        <v>255.2</v>
      </c>
      <c r="F281">
        <v>283.7</v>
      </c>
      <c r="G281" s="19">
        <f t="shared" si="78"/>
        <v>286.2</v>
      </c>
      <c r="H281" s="19">
        <f t="shared" si="79"/>
        <v>385.4</v>
      </c>
      <c r="I281" s="24">
        <f t="shared" si="80"/>
        <v>-25.739491437467564</v>
      </c>
    </row>
    <row r="282" spans="2:10" x14ac:dyDescent="0.25">
      <c r="B282" s="10">
        <f t="shared" si="74"/>
        <v>40808</v>
      </c>
      <c r="C282">
        <v>28.5</v>
      </c>
      <c r="D282">
        <v>102.2</v>
      </c>
      <c r="E282">
        <v>281</v>
      </c>
      <c r="F282">
        <v>283.7</v>
      </c>
      <c r="G282" s="19">
        <f t="shared" si="78"/>
        <v>309.5</v>
      </c>
      <c r="H282" s="19">
        <f t="shared" si="79"/>
        <v>385.9</v>
      </c>
      <c r="I282" s="24">
        <f t="shared" si="80"/>
        <v>-19.797875097175432</v>
      </c>
      <c r="J282" s="80"/>
    </row>
    <row r="283" spans="2:10" x14ac:dyDescent="0.25">
      <c r="B283" s="10">
        <f t="shared" si="74"/>
        <v>40815</v>
      </c>
      <c r="C283">
        <v>37.5</v>
      </c>
      <c r="D283">
        <v>85.4</v>
      </c>
      <c r="E283">
        <v>296.5</v>
      </c>
      <c r="F283">
        <v>304.39999999999998</v>
      </c>
      <c r="G283" s="19">
        <f t="shared" si="78"/>
        <v>334</v>
      </c>
      <c r="H283" s="19">
        <f t="shared" si="79"/>
        <v>389.79999999999995</v>
      </c>
      <c r="I283" s="24">
        <f t="shared" si="80"/>
        <v>-14.315033350436114</v>
      </c>
    </row>
    <row r="284" spans="2:10" x14ac:dyDescent="0.25">
      <c r="B284" s="10">
        <f t="shared" si="74"/>
        <v>40822</v>
      </c>
      <c r="C284">
        <v>65.2</v>
      </c>
      <c r="D284">
        <v>103.6</v>
      </c>
      <c r="E284">
        <v>296.5</v>
      </c>
      <c r="F284">
        <v>304.39999999999998</v>
      </c>
      <c r="G284" s="19">
        <f t="shared" si="78"/>
        <v>361.7</v>
      </c>
      <c r="H284" s="19">
        <f t="shared" si="79"/>
        <v>408</v>
      </c>
      <c r="I284" s="24">
        <f t="shared" si="80"/>
        <v>-11.348039215686278</v>
      </c>
      <c r="J284" s="80"/>
    </row>
    <row r="285" spans="2:10" x14ac:dyDescent="0.25">
      <c r="B285" s="10">
        <f t="shared" si="74"/>
        <v>40829</v>
      </c>
      <c r="C285">
        <v>68.099999999999994</v>
      </c>
      <c r="D285">
        <v>103.6</v>
      </c>
      <c r="E285">
        <v>296.5</v>
      </c>
      <c r="F285">
        <v>321.10000000000002</v>
      </c>
      <c r="G285" s="19">
        <f t="shared" si="78"/>
        <v>364.6</v>
      </c>
      <c r="H285" s="19">
        <f t="shared" si="79"/>
        <v>424.70000000000005</v>
      </c>
      <c r="I285" s="24">
        <f t="shared" si="80"/>
        <v>-14.151165528608434</v>
      </c>
    </row>
    <row r="286" spans="2:10" x14ac:dyDescent="0.25">
      <c r="B286" s="10">
        <f t="shared" si="74"/>
        <v>40836</v>
      </c>
      <c r="C286">
        <v>64.3</v>
      </c>
      <c r="D286">
        <v>111.1</v>
      </c>
      <c r="E286">
        <v>300.60000000000002</v>
      </c>
      <c r="F286">
        <v>326.60000000000002</v>
      </c>
      <c r="G286" s="19">
        <f t="shared" si="78"/>
        <v>364.90000000000003</v>
      </c>
      <c r="H286" s="19">
        <f t="shared" si="79"/>
        <v>437.70000000000005</v>
      </c>
      <c r="I286" s="24">
        <f t="shared" si="80"/>
        <v>-16.632396618688606</v>
      </c>
    </row>
    <row r="287" spans="2:10" x14ac:dyDescent="0.25">
      <c r="B287" s="10">
        <f t="shared" si="74"/>
        <v>40843</v>
      </c>
      <c r="C287">
        <v>64.3</v>
      </c>
      <c r="D287">
        <v>96.1</v>
      </c>
      <c r="E287">
        <v>300.60000000000002</v>
      </c>
      <c r="F287">
        <v>342.3</v>
      </c>
      <c r="G287" s="19">
        <f t="shared" si="78"/>
        <v>364.90000000000003</v>
      </c>
      <c r="H287" s="19">
        <f t="shared" si="79"/>
        <v>438.4</v>
      </c>
      <c r="I287" s="24">
        <f t="shared" si="80"/>
        <v>-16.765510948905092</v>
      </c>
    </row>
    <row r="288" spans="2:10" x14ac:dyDescent="0.25">
      <c r="B288" s="10">
        <f t="shared" si="74"/>
        <v>40850</v>
      </c>
      <c r="C288">
        <v>67.3</v>
      </c>
      <c r="D288">
        <v>96.1</v>
      </c>
      <c r="E288">
        <v>300.60000000000002</v>
      </c>
      <c r="F288">
        <v>342.3</v>
      </c>
      <c r="G288" s="19">
        <f t="shared" si="78"/>
        <v>367.90000000000003</v>
      </c>
      <c r="H288" s="19">
        <f t="shared" si="79"/>
        <v>438.4</v>
      </c>
      <c r="I288" s="24">
        <f t="shared" si="80"/>
        <v>-16.081204379562031</v>
      </c>
    </row>
    <row r="289" spans="2:10" x14ac:dyDescent="0.25">
      <c r="B289" s="10">
        <f t="shared" si="74"/>
        <v>40857</v>
      </c>
      <c r="C289" s="17">
        <v>102</v>
      </c>
      <c r="D289" s="17">
        <v>72.099999999999994</v>
      </c>
      <c r="E289" s="17">
        <v>300.60000000000002</v>
      </c>
      <c r="F289" s="17">
        <v>366.7</v>
      </c>
      <c r="G289" s="19">
        <f t="shared" si="78"/>
        <v>402.6</v>
      </c>
      <c r="H289" s="19">
        <f t="shared" si="79"/>
        <v>438.79999999999995</v>
      </c>
      <c r="I289" s="24">
        <f t="shared" si="80"/>
        <v>-8.2497721057429256</v>
      </c>
    </row>
    <row r="290" spans="2:10" x14ac:dyDescent="0.25">
      <c r="B290" s="10">
        <f t="shared" si="74"/>
        <v>40864</v>
      </c>
      <c r="C290">
        <v>102.3</v>
      </c>
      <c r="D290">
        <v>113.1</v>
      </c>
      <c r="E290">
        <v>300.60000000000002</v>
      </c>
      <c r="F290">
        <v>366.7</v>
      </c>
      <c r="G290" s="19">
        <f t="shared" si="78"/>
        <v>402.90000000000003</v>
      </c>
      <c r="H290" s="19">
        <f t="shared" si="79"/>
        <v>479.79999999999995</v>
      </c>
      <c r="I290" s="24">
        <f t="shared" si="80"/>
        <v>-16.027511463109612</v>
      </c>
    </row>
    <row r="291" spans="2:10" x14ac:dyDescent="0.25">
      <c r="B291" s="10">
        <f t="shared" si="74"/>
        <v>40871</v>
      </c>
      <c r="C291">
        <v>72.3</v>
      </c>
      <c r="D291">
        <v>130.6</v>
      </c>
      <c r="E291">
        <v>333.6</v>
      </c>
      <c r="F291">
        <v>366.7</v>
      </c>
      <c r="G291" s="19">
        <f t="shared" si="78"/>
        <v>405.90000000000003</v>
      </c>
      <c r="H291" s="19">
        <f t="shared" si="79"/>
        <v>497.29999999999995</v>
      </c>
      <c r="I291" s="24">
        <f t="shared" si="80"/>
        <v>-18.379247938869881</v>
      </c>
    </row>
    <row r="292" spans="2:10" x14ac:dyDescent="0.25">
      <c r="B292" s="10">
        <f t="shared" si="74"/>
        <v>40878</v>
      </c>
      <c r="C292">
        <v>62.3</v>
      </c>
      <c r="D292">
        <v>144.6</v>
      </c>
      <c r="E292">
        <v>357.8</v>
      </c>
      <c r="F292">
        <v>377.1</v>
      </c>
      <c r="G292" s="19">
        <f t="shared" si="78"/>
        <v>420.1</v>
      </c>
      <c r="H292" s="19">
        <f t="shared" si="79"/>
        <v>521.70000000000005</v>
      </c>
      <c r="I292" s="24">
        <f t="shared" si="80"/>
        <v>-19.474793942879053</v>
      </c>
    </row>
    <row r="293" spans="2:10" x14ac:dyDescent="0.25">
      <c r="B293" s="10">
        <f t="shared" si="74"/>
        <v>40885</v>
      </c>
      <c r="C293">
        <v>69.3</v>
      </c>
      <c r="D293">
        <v>128.30000000000001</v>
      </c>
      <c r="E293">
        <v>357.8</v>
      </c>
      <c r="F293">
        <v>436.1</v>
      </c>
      <c r="G293" s="19">
        <f t="shared" si="78"/>
        <v>427.1</v>
      </c>
      <c r="H293" s="19">
        <f t="shared" si="79"/>
        <v>564.40000000000009</v>
      </c>
      <c r="I293" s="24">
        <f t="shared" si="80"/>
        <v>-24.326718639262946</v>
      </c>
    </row>
    <row r="294" spans="2:10" x14ac:dyDescent="0.25">
      <c r="B294" s="10">
        <f t="shared" si="74"/>
        <v>40892</v>
      </c>
      <c r="C294">
        <v>72.3</v>
      </c>
      <c r="D294">
        <v>148.6</v>
      </c>
      <c r="E294">
        <v>357.8</v>
      </c>
      <c r="F294">
        <v>446</v>
      </c>
      <c r="G294" s="19">
        <f t="shared" si="78"/>
        <v>430.1</v>
      </c>
      <c r="H294" s="19">
        <f t="shared" si="79"/>
        <v>594.6</v>
      </c>
      <c r="I294" s="24">
        <f t="shared" si="80"/>
        <v>-27.665657584931047</v>
      </c>
    </row>
    <row r="295" spans="2:10" x14ac:dyDescent="0.25">
      <c r="B295" s="10">
        <f t="shared" si="74"/>
        <v>40899</v>
      </c>
      <c r="C295">
        <v>76.7</v>
      </c>
      <c r="D295">
        <v>124.2</v>
      </c>
      <c r="E295">
        <v>357.8</v>
      </c>
      <c r="F295">
        <v>468.9</v>
      </c>
      <c r="G295" s="19">
        <f t="shared" si="78"/>
        <v>434.5</v>
      </c>
      <c r="H295" s="19">
        <f t="shared" si="79"/>
        <v>593.1</v>
      </c>
      <c r="I295" s="24">
        <f t="shared" si="80"/>
        <v>-26.740853144495023</v>
      </c>
    </row>
    <row r="296" spans="2:10" x14ac:dyDescent="0.25">
      <c r="B296" s="10">
        <f t="shared" si="74"/>
        <v>40906</v>
      </c>
      <c r="C296">
        <v>60.7</v>
      </c>
      <c r="D296">
        <v>124.2</v>
      </c>
      <c r="E296">
        <v>357.8</v>
      </c>
      <c r="F296">
        <v>468.9</v>
      </c>
      <c r="G296" s="19">
        <f t="shared" si="78"/>
        <v>418.5</v>
      </c>
      <c r="H296" s="19">
        <f t="shared" si="79"/>
        <v>593.1</v>
      </c>
      <c r="I296" s="24">
        <f t="shared" si="80"/>
        <v>-29.438543247344462</v>
      </c>
    </row>
    <row r="297" spans="2:10" x14ac:dyDescent="0.25">
      <c r="B297" s="10">
        <f t="shared" si="74"/>
        <v>40913</v>
      </c>
      <c r="C297">
        <v>60.7</v>
      </c>
      <c r="D297">
        <v>124.2</v>
      </c>
      <c r="E297">
        <v>363.3</v>
      </c>
      <c r="F297">
        <v>468.9</v>
      </c>
      <c r="G297" s="19">
        <f t="shared" si="78"/>
        <v>424</v>
      </c>
      <c r="H297" s="19">
        <f t="shared" si="79"/>
        <v>593.1</v>
      </c>
      <c r="I297" s="24">
        <f t="shared" si="80"/>
        <v>-28.511212274489971</v>
      </c>
    </row>
    <row r="298" spans="2:10" x14ac:dyDescent="0.25">
      <c r="B298" s="10">
        <f t="shared" si="74"/>
        <v>40920</v>
      </c>
      <c r="C298">
        <v>60.7</v>
      </c>
      <c r="D298">
        <v>124.2</v>
      </c>
      <c r="E298">
        <v>363.3</v>
      </c>
      <c r="F298">
        <v>468.9</v>
      </c>
      <c r="G298" s="19">
        <f t="shared" si="78"/>
        <v>424</v>
      </c>
      <c r="H298" s="19">
        <f t="shared" si="79"/>
        <v>593.1</v>
      </c>
      <c r="I298" s="24">
        <f t="shared" si="80"/>
        <v>-28.511212274489971</v>
      </c>
      <c r="J298">
        <v>16.8</v>
      </c>
    </row>
    <row r="299" spans="2:10" x14ac:dyDescent="0.25">
      <c r="B299" s="10">
        <f t="shared" si="74"/>
        <v>40927</v>
      </c>
      <c r="C299">
        <v>56.7</v>
      </c>
      <c r="D299">
        <v>103.8</v>
      </c>
      <c r="E299">
        <v>363.3</v>
      </c>
      <c r="F299">
        <v>519.70000000000005</v>
      </c>
      <c r="G299" s="19">
        <f t="shared" si="78"/>
        <v>420</v>
      </c>
      <c r="H299" s="19">
        <f t="shared" si="79"/>
        <v>623.5</v>
      </c>
      <c r="I299" s="24">
        <f t="shared" si="80"/>
        <v>-32.638331996792303</v>
      </c>
      <c r="J299">
        <v>16.8</v>
      </c>
    </row>
    <row r="300" spans="2:10" x14ac:dyDescent="0.25">
      <c r="B300" s="10">
        <f t="shared" si="74"/>
        <v>40934</v>
      </c>
      <c r="C300">
        <v>35.5</v>
      </c>
      <c r="D300">
        <v>92.8</v>
      </c>
      <c r="E300">
        <v>385.1</v>
      </c>
      <c r="F300">
        <v>530.20000000000005</v>
      </c>
      <c r="G300" s="19">
        <f t="shared" si="78"/>
        <v>420.6</v>
      </c>
      <c r="H300" s="19">
        <f t="shared" si="79"/>
        <v>623</v>
      </c>
      <c r="I300" s="24">
        <f t="shared" si="80"/>
        <v>-32.487961476725516</v>
      </c>
      <c r="J300">
        <v>16.8</v>
      </c>
    </row>
    <row r="301" spans="2:10" x14ac:dyDescent="0.25">
      <c r="B301" s="10">
        <f t="shared" si="74"/>
        <v>40941</v>
      </c>
      <c r="C301">
        <v>35.5</v>
      </c>
      <c r="D301">
        <v>100.3</v>
      </c>
      <c r="E301">
        <v>385.1</v>
      </c>
      <c r="F301">
        <v>530.20000000000005</v>
      </c>
      <c r="G301" s="19">
        <f t="shared" si="78"/>
        <v>420.6</v>
      </c>
      <c r="H301" s="19">
        <f t="shared" si="79"/>
        <v>630.5</v>
      </c>
      <c r="I301" s="24">
        <f t="shared" si="80"/>
        <v>-33.291038858049163</v>
      </c>
      <c r="J301">
        <v>16.8</v>
      </c>
    </row>
    <row r="302" spans="2:10" x14ac:dyDescent="0.25">
      <c r="B302" s="10">
        <f t="shared" si="74"/>
        <v>40948</v>
      </c>
      <c r="C302">
        <v>26.9</v>
      </c>
      <c r="D302">
        <v>98.3</v>
      </c>
      <c r="E302">
        <v>397.1</v>
      </c>
      <c r="F302">
        <v>538</v>
      </c>
      <c r="G302" s="19">
        <f t="shared" si="78"/>
        <v>424</v>
      </c>
      <c r="H302" s="19">
        <f t="shared" si="79"/>
        <v>636.29999999999995</v>
      </c>
      <c r="I302" s="24">
        <f t="shared" si="80"/>
        <v>-33.364765047933368</v>
      </c>
      <c r="J302">
        <v>16.8</v>
      </c>
    </row>
    <row r="303" spans="2:10" x14ac:dyDescent="0.25">
      <c r="B303" s="10">
        <f t="shared" si="74"/>
        <v>40955</v>
      </c>
      <c r="C303">
        <v>24.4</v>
      </c>
      <c r="D303">
        <v>123.8</v>
      </c>
      <c r="E303">
        <v>398.7</v>
      </c>
      <c r="F303">
        <v>546.1</v>
      </c>
      <c r="G303" s="19">
        <f t="shared" si="78"/>
        <v>423.09999999999997</v>
      </c>
      <c r="H303" s="19">
        <f t="shared" si="79"/>
        <v>669.9</v>
      </c>
      <c r="I303" s="24">
        <f t="shared" si="80"/>
        <v>-36.841319599940292</v>
      </c>
      <c r="J303">
        <v>19.8</v>
      </c>
    </row>
    <row r="304" spans="2:10" x14ac:dyDescent="0.25">
      <c r="B304" s="10">
        <f t="shared" si="74"/>
        <v>40962</v>
      </c>
      <c r="C304">
        <v>38.4</v>
      </c>
      <c r="D304">
        <v>160.1</v>
      </c>
      <c r="E304">
        <v>405.1</v>
      </c>
      <c r="F304">
        <v>546.1</v>
      </c>
      <c r="G304" s="19">
        <f t="shared" si="78"/>
        <v>443.5</v>
      </c>
      <c r="H304" s="19">
        <f t="shared" si="79"/>
        <v>706.2</v>
      </c>
      <c r="I304" s="24">
        <f t="shared" si="80"/>
        <v>-37.199093741149824</v>
      </c>
      <c r="J304">
        <v>39.799999999999997</v>
      </c>
    </row>
    <row r="305" spans="2:10" x14ac:dyDescent="0.25">
      <c r="B305" s="10">
        <f t="shared" si="74"/>
        <v>40969</v>
      </c>
      <c r="C305">
        <v>39.4</v>
      </c>
      <c r="D305">
        <v>153.80000000000001</v>
      </c>
      <c r="E305">
        <v>405.1</v>
      </c>
      <c r="F305">
        <v>546.1</v>
      </c>
      <c r="G305" s="19">
        <f t="shared" si="78"/>
        <v>444.5</v>
      </c>
      <c r="H305" s="19">
        <f t="shared" si="79"/>
        <v>699.90000000000009</v>
      </c>
      <c r="I305" s="24">
        <f t="shared" si="80"/>
        <v>-36.490927275325056</v>
      </c>
      <c r="J305">
        <v>39.799999999999997</v>
      </c>
    </row>
    <row r="306" spans="2:10" x14ac:dyDescent="0.25">
      <c r="B306" s="10">
        <f t="shared" si="74"/>
        <v>40976</v>
      </c>
      <c r="C306">
        <v>39.4</v>
      </c>
      <c r="D306">
        <v>188.9</v>
      </c>
      <c r="E306">
        <v>408.4</v>
      </c>
      <c r="F306">
        <v>546.1</v>
      </c>
      <c r="G306" s="19">
        <f t="shared" si="78"/>
        <v>447.79999999999995</v>
      </c>
      <c r="H306" s="19">
        <f t="shared" si="79"/>
        <v>735</v>
      </c>
      <c r="I306" s="24">
        <f t="shared" si="80"/>
        <v>-39.074829931972801</v>
      </c>
      <c r="J306">
        <v>39.799999999999997</v>
      </c>
    </row>
    <row r="307" spans="2:10" x14ac:dyDescent="0.25">
      <c r="B307" s="10">
        <f t="shared" si="74"/>
        <v>40983</v>
      </c>
      <c r="C307">
        <v>39.4</v>
      </c>
      <c r="D307">
        <v>221.7</v>
      </c>
      <c r="E307">
        <v>408.4</v>
      </c>
      <c r="F307">
        <v>571.70000000000005</v>
      </c>
      <c r="G307" s="19">
        <f t="shared" si="78"/>
        <v>447.79999999999995</v>
      </c>
      <c r="H307" s="19">
        <f t="shared" si="79"/>
        <v>793.40000000000009</v>
      </c>
      <c r="I307" s="24">
        <f t="shared" si="80"/>
        <v>-43.559364759263943</v>
      </c>
      <c r="J307">
        <v>39.799999999999997</v>
      </c>
    </row>
    <row r="308" spans="2:10" x14ac:dyDescent="0.25">
      <c r="B308" s="10">
        <f t="shared" si="74"/>
        <v>40990</v>
      </c>
      <c r="C308">
        <v>39.4</v>
      </c>
      <c r="D308">
        <v>196.7</v>
      </c>
      <c r="E308">
        <v>408.4</v>
      </c>
      <c r="F308">
        <v>607.6</v>
      </c>
      <c r="G308" s="19">
        <f t="shared" si="78"/>
        <v>447.79999999999995</v>
      </c>
      <c r="H308" s="19">
        <f t="shared" si="79"/>
        <v>804.3</v>
      </c>
      <c r="I308" s="24">
        <f t="shared" si="80"/>
        <v>-44.324257117990804</v>
      </c>
      <c r="J308">
        <v>39.799999999999997</v>
      </c>
    </row>
    <row r="309" spans="2:10" x14ac:dyDescent="0.25">
      <c r="B309" s="10">
        <f t="shared" si="74"/>
        <v>40997</v>
      </c>
      <c r="C309">
        <v>40.1</v>
      </c>
      <c r="D309">
        <v>171.9</v>
      </c>
      <c r="E309">
        <v>408.4</v>
      </c>
      <c r="F309">
        <v>607.6</v>
      </c>
      <c r="G309" s="19">
        <f t="shared" si="78"/>
        <v>448.5</v>
      </c>
      <c r="H309" s="19">
        <f t="shared" si="79"/>
        <v>779.5</v>
      </c>
      <c r="I309" s="24">
        <f t="shared" si="80"/>
        <v>-42.463117382937774</v>
      </c>
      <c r="J309">
        <v>40.799999999999997</v>
      </c>
    </row>
    <row r="310" spans="2:10" x14ac:dyDescent="0.25">
      <c r="B310" s="10">
        <f t="shared" si="74"/>
        <v>41004</v>
      </c>
      <c r="C310">
        <v>40.1</v>
      </c>
      <c r="D310">
        <v>158.4</v>
      </c>
      <c r="E310">
        <v>408.4</v>
      </c>
      <c r="F310">
        <v>634.6</v>
      </c>
      <c r="G310" s="19">
        <f t="shared" si="78"/>
        <v>448.5</v>
      </c>
      <c r="H310" s="19">
        <f t="shared" si="79"/>
        <v>793</v>
      </c>
      <c r="I310" s="24">
        <f t="shared" si="80"/>
        <v>-43.442622950819676</v>
      </c>
      <c r="J310">
        <v>40.799999999999997</v>
      </c>
    </row>
    <row r="311" spans="2:10" x14ac:dyDescent="0.25">
      <c r="B311" s="10">
        <f t="shared" si="74"/>
        <v>41011</v>
      </c>
      <c r="C311">
        <v>22.2</v>
      </c>
      <c r="D311">
        <v>168.6</v>
      </c>
      <c r="E311">
        <v>424.6</v>
      </c>
      <c r="F311">
        <v>651.20000000000005</v>
      </c>
      <c r="G311" s="19">
        <f t="shared" si="78"/>
        <v>446.8</v>
      </c>
      <c r="H311" s="19">
        <f t="shared" si="79"/>
        <v>819.80000000000007</v>
      </c>
      <c r="I311" s="24">
        <f t="shared" si="80"/>
        <v>-45.498902171261292</v>
      </c>
      <c r="J311">
        <v>40.799999999999997</v>
      </c>
    </row>
    <row r="312" spans="2:10" x14ac:dyDescent="0.25">
      <c r="B312" s="10">
        <f t="shared" si="74"/>
        <v>41018</v>
      </c>
      <c r="C312">
        <v>22.2</v>
      </c>
      <c r="D312">
        <v>168.6</v>
      </c>
      <c r="E312">
        <v>424.6</v>
      </c>
      <c r="F312">
        <v>651.20000000000005</v>
      </c>
      <c r="G312" s="19">
        <f t="shared" si="78"/>
        <v>446.8</v>
      </c>
      <c r="H312" s="19">
        <f t="shared" si="79"/>
        <v>819.80000000000007</v>
      </c>
      <c r="I312" s="24">
        <f t="shared" si="80"/>
        <v>-45.498902171261292</v>
      </c>
      <c r="J312">
        <v>40.799999999999997</v>
      </c>
    </row>
    <row r="313" spans="2:10" x14ac:dyDescent="0.25">
      <c r="B313" s="10">
        <f t="shared" si="74"/>
        <v>41025</v>
      </c>
      <c r="C313">
        <v>22.2</v>
      </c>
      <c r="D313">
        <v>165.5</v>
      </c>
      <c r="E313">
        <v>424.6</v>
      </c>
      <c r="F313">
        <v>651.20000000000005</v>
      </c>
      <c r="G313" s="19">
        <f t="shared" si="78"/>
        <v>446.8</v>
      </c>
      <c r="H313" s="19">
        <f t="shared" si="79"/>
        <v>816.7</v>
      </c>
      <c r="I313" s="24">
        <f t="shared" si="80"/>
        <v>-45.292028896779726</v>
      </c>
      <c r="J313">
        <v>40.799999999999997</v>
      </c>
    </row>
    <row r="314" spans="2:10" x14ac:dyDescent="0.25">
      <c r="B314" s="10">
        <f t="shared" si="74"/>
        <v>41032</v>
      </c>
      <c r="C314">
        <v>22.2</v>
      </c>
      <c r="D314">
        <v>188</v>
      </c>
      <c r="E314">
        <v>424.6</v>
      </c>
      <c r="F314">
        <v>687.9</v>
      </c>
      <c r="G314" s="19">
        <f t="shared" si="78"/>
        <v>446.8</v>
      </c>
      <c r="H314" s="19">
        <f t="shared" si="79"/>
        <v>875.9</v>
      </c>
      <c r="I314" s="24">
        <f t="shared" si="80"/>
        <v>-48.989610686151387</v>
      </c>
      <c r="J314">
        <v>41.7</v>
      </c>
    </row>
    <row r="315" spans="2:10" x14ac:dyDescent="0.25">
      <c r="B315" s="10">
        <f t="shared" si="74"/>
        <v>41039</v>
      </c>
      <c r="C315">
        <v>28.2</v>
      </c>
      <c r="D315">
        <v>133.80000000000001</v>
      </c>
      <c r="E315">
        <v>426.8</v>
      </c>
      <c r="F315">
        <v>713.4</v>
      </c>
      <c r="G315" s="19">
        <f t="shared" si="78"/>
        <v>455</v>
      </c>
      <c r="H315" s="19">
        <f t="shared" si="79"/>
        <v>847.2</v>
      </c>
      <c r="I315" s="24">
        <f t="shared" si="80"/>
        <v>-46.293673276676117</v>
      </c>
      <c r="J315">
        <v>64</v>
      </c>
    </row>
    <row r="316" spans="2:10" x14ac:dyDescent="0.25">
      <c r="B316" s="10">
        <f t="shared" si="74"/>
        <v>41046</v>
      </c>
      <c r="C316">
        <v>28.2</v>
      </c>
      <c r="D316">
        <v>121.3</v>
      </c>
      <c r="E316">
        <v>426.8</v>
      </c>
      <c r="F316">
        <v>713.4</v>
      </c>
      <c r="G316" s="19">
        <f t="shared" ref="G316:G347" si="81">+C316+E316</f>
        <v>455</v>
      </c>
      <c r="H316" s="19">
        <f t="shared" ref="H316:H347" si="82">+D316+F316</f>
        <v>834.69999999999993</v>
      </c>
      <c r="I316" s="24">
        <f t="shared" ref="I316:I347" si="83">+(G316/H316-1)*100</f>
        <v>-45.489397388283216</v>
      </c>
      <c r="J316">
        <v>87.8</v>
      </c>
    </row>
    <row r="317" spans="2:10" x14ac:dyDescent="0.25">
      <c r="B317" s="10">
        <f t="shared" ref="B317:B380" si="84">+B316+7</f>
        <v>41053</v>
      </c>
      <c r="C317">
        <v>10</v>
      </c>
      <c r="D317">
        <v>16.8</v>
      </c>
      <c r="E317">
        <v>446.2</v>
      </c>
      <c r="F317">
        <v>749.7</v>
      </c>
      <c r="G317" s="19">
        <f t="shared" si="81"/>
        <v>456.2</v>
      </c>
      <c r="H317" s="19">
        <f t="shared" si="82"/>
        <v>766.5</v>
      </c>
      <c r="I317" s="24">
        <f t="shared" si="83"/>
        <v>-40.482713633398568</v>
      </c>
      <c r="J317">
        <v>101.4</v>
      </c>
    </row>
    <row r="318" spans="2:10" x14ac:dyDescent="0.25">
      <c r="B318" s="10">
        <f t="shared" si="84"/>
        <v>41060</v>
      </c>
      <c r="C318">
        <v>10</v>
      </c>
      <c r="D318">
        <v>16.8</v>
      </c>
      <c r="E318">
        <v>446.2</v>
      </c>
      <c r="F318">
        <v>782.7</v>
      </c>
      <c r="G318" s="19">
        <f t="shared" si="81"/>
        <v>456.2</v>
      </c>
      <c r="H318" s="19">
        <f t="shared" si="82"/>
        <v>799.5</v>
      </c>
      <c r="I318" s="24">
        <f t="shared" si="83"/>
        <v>-42.939337085678552</v>
      </c>
    </row>
    <row r="319" spans="2:10" x14ac:dyDescent="0.25">
      <c r="B319" s="10">
        <f t="shared" si="84"/>
        <v>41067</v>
      </c>
      <c r="C319">
        <v>91.6</v>
      </c>
      <c r="D319">
        <v>206.1</v>
      </c>
      <c r="E319">
        <v>33.200000000000003</v>
      </c>
      <c r="F319">
        <v>11.7</v>
      </c>
      <c r="G319" s="19">
        <f t="shared" si="81"/>
        <v>124.8</v>
      </c>
      <c r="H319" s="19">
        <f t="shared" si="82"/>
        <v>217.79999999999998</v>
      </c>
      <c r="I319" s="24">
        <f t="shared" si="83"/>
        <v>-42.699724517906333</v>
      </c>
    </row>
    <row r="320" spans="2:10" x14ac:dyDescent="0.25">
      <c r="B320" s="10">
        <f t="shared" si="84"/>
        <v>41074</v>
      </c>
      <c r="C320">
        <v>81.599999999999994</v>
      </c>
      <c r="D320">
        <v>219.4</v>
      </c>
      <c r="E320">
        <v>42.7</v>
      </c>
      <c r="F320">
        <v>11.7</v>
      </c>
      <c r="G320" s="19">
        <f t="shared" si="81"/>
        <v>124.3</v>
      </c>
      <c r="H320" s="19">
        <f t="shared" si="82"/>
        <v>231.1</v>
      </c>
      <c r="I320" s="24">
        <f t="shared" si="83"/>
        <v>-46.213760276936391</v>
      </c>
    </row>
    <row r="321" spans="2:9" x14ac:dyDescent="0.25">
      <c r="B321" s="10">
        <f t="shared" si="84"/>
        <v>41081</v>
      </c>
      <c r="C321">
        <v>83</v>
      </c>
      <c r="D321">
        <v>226.5</v>
      </c>
      <c r="E321">
        <v>42.7</v>
      </c>
      <c r="F321">
        <v>22.4</v>
      </c>
      <c r="G321" s="19">
        <f t="shared" si="81"/>
        <v>125.7</v>
      </c>
      <c r="H321" s="19">
        <f t="shared" si="82"/>
        <v>248.9</v>
      </c>
      <c r="I321" s="24">
        <f t="shared" si="83"/>
        <v>-49.497790277219764</v>
      </c>
    </row>
    <row r="322" spans="2:9" x14ac:dyDescent="0.25">
      <c r="B322" s="10">
        <f t="shared" si="84"/>
        <v>41088</v>
      </c>
      <c r="C322">
        <v>89</v>
      </c>
      <c r="D322">
        <v>206.4</v>
      </c>
      <c r="E322">
        <v>42.7</v>
      </c>
      <c r="F322">
        <v>75</v>
      </c>
      <c r="G322" s="19">
        <f t="shared" si="81"/>
        <v>131.69999999999999</v>
      </c>
      <c r="H322" s="19">
        <f t="shared" si="82"/>
        <v>281.39999999999998</v>
      </c>
      <c r="I322" s="24">
        <f t="shared" si="83"/>
        <v>-53.198294243070364</v>
      </c>
    </row>
    <row r="323" spans="2:9" x14ac:dyDescent="0.25">
      <c r="B323" s="10">
        <f t="shared" si="84"/>
        <v>41095</v>
      </c>
      <c r="C323">
        <v>110.8</v>
      </c>
      <c r="D323">
        <v>139.1</v>
      </c>
      <c r="E323">
        <v>42.7</v>
      </c>
      <c r="F323">
        <v>124.4</v>
      </c>
      <c r="G323" s="19">
        <f t="shared" si="81"/>
        <v>153.5</v>
      </c>
      <c r="H323" s="19">
        <f t="shared" si="82"/>
        <v>263.5</v>
      </c>
      <c r="I323" s="24">
        <f t="shared" si="83"/>
        <v>-41.745730550284634</v>
      </c>
    </row>
    <row r="324" spans="2:9" x14ac:dyDescent="0.25">
      <c r="B324" s="10">
        <f t="shared" si="84"/>
        <v>41102</v>
      </c>
      <c r="C324">
        <v>112.1</v>
      </c>
      <c r="D324">
        <v>141.4</v>
      </c>
      <c r="E324">
        <v>42.7</v>
      </c>
      <c r="F324">
        <v>124.4</v>
      </c>
      <c r="G324" s="19">
        <f t="shared" si="81"/>
        <v>154.80000000000001</v>
      </c>
      <c r="H324" s="19">
        <f t="shared" si="82"/>
        <v>265.8</v>
      </c>
      <c r="I324" s="24">
        <f t="shared" si="83"/>
        <v>-41.760722347629795</v>
      </c>
    </row>
    <row r="325" spans="2:9" x14ac:dyDescent="0.25">
      <c r="B325" s="10">
        <f t="shared" si="84"/>
        <v>41109</v>
      </c>
      <c r="C325">
        <v>147.9</v>
      </c>
      <c r="D325">
        <v>130</v>
      </c>
      <c r="E325">
        <v>42.7</v>
      </c>
      <c r="F325">
        <v>137.19999999999999</v>
      </c>
      <c r="G325" s="19">
        <f t="shared" si="81"/>
        <v>190.60000000000002</v>
      </c>
      <c r="H325" s="19">
        <f t="shared" si="82"/>
        <v>267.2</v>
      </c>
      <c r="I325" s="24">
        <f t="shared" si="83"/>
        <v>-28.667664670658667</v>
      </c>
    </row>
    <row r="326" spans="2:9" x14ac:dyDescent="0.25">
      <c r="B326" s="10">
        <f t="shared" si="84"/>
        <v>41116</v>
      </c>
      <c r="C326">
        <v>110.4</v>
      </c>
      <c r="D326">
        <v>128.69999999999999</v>
      </c>
      <c r="E326">
        <v>83.9</v>
      </c>
      <c r="F326">
        <v>137.19999999999999</v>
      </c>
      <c r="G326" s="19">
        <f t="shared" si="81"/>
        <v>194.3</v>
      </c>
      <c r="H326" s="19">
        <f t="shared" si="82"/>
        <v>265.89999999999998</v>
      </c>
      <c r="I326" s="24">
        <f t="shared" si="83"/>
        <v>-26.927416321925524</v>
      </c>
    </row>
    <row r="327" spans="2:9" x14ac:dyDescent="0.25">
      <c r="B327" s="10">
        <f t="shared" si="84"/>
        <v>41123</v>
      </c>
      <c r="C327">
        <v>110.2</v>
      </c>
      <c r="D327">
        <v>75.5</v>
      </c>
      <c r="E327">
        <v>92.7</v>
      </c>
      <c r="F327">
        <v>191.2</v>
      </c>
      <c r="G327" s="19">
        <f t="shared" si="81"/>
        <v>202.9</v>
      </c>
      <c r="H327" s="19">
        <f t="shared" si="82"/>
        <v>266.7</v>
      </c>
      <c r="I327" s="24">
        <f t="shared" si="83"/>
        <v>-23.922009748781392</v>
      </c>
    </row>
    <row r="328" spans="2:9" x14ac:dyDescent="0.25">
      <c r="B328" s="10">
        <f t="shared" si="84"/>
        <v>41130</v>
      </c>
      <c r="C328">
        <v>110.2</v>
      </c>
      <c r="D328">
        <v>76.2</v>
      </c>
      <c r="E328">
        <v>92.7</v>
      </c>
      <c r="F328">
        <v>191.2</v>
      </c>
      <c r="G328" s="19">
        <f t="shared" si="81"/>
        <v>202.9</v>
      </c>
      <c r="H328" s="19">
        <f t="shared" si="82"/>
        <v>267.39999999999998</v>
      </c>
      <c r="I328" s="24">
        <f t="shared" si="83"/>
        <v>-24.121166791323855</v>
      </c>
    </row>
    <row r="329" spans="2:9" x14ac:dyDescent="0.25">
      <c r="B329" s="10">
        <f t="shared" si="84"/>
        <v>41137</v>
      </c>
      <c r="C329">
        <v>116</v>
      </c>
      <c r="D329">
        <v>75.8</v>
      </c>
      <c r="E329">
        <v>129.80000000000001</v>
      </c>
      <c r="F329">
        <v>206.5</v>
      </c>
      <c r="G329" s="19">
        <f t="shared" si="81"/>
        <v>245.8</v>
      </c>
      <c r="H329" s="19">
        <f t="shared" si="82"/>
        <v>282.3</v>
      </c>
      <c r="I329" s="24">
        <f t="shared" si="83"/>
        <v>-12.929507616011337</v>
      </c>
    </row>
    <row r="330" spans="2:9" x14ac:dyDescent="0.25">
      <c r="B330" s="10">
        <f t="shared" si="84"/>
        <v>41144</v>
      </c>
      <c r="C330">
        <v>137.9</v>
      </c>
      <c r="D330">
        <v>65.8</v>
      </c>
      <c r="E330">
        <v>129.80000000000001</v>
      </c>
      <c r="F330">
        <v>228.1</v>
      </c>
      <c r="G330" s="19">
        <f t="shared" si="81"/>
        <v>267.70000000000005</v>
      </c>
      <c r="H330" s="19">
        <f t="shared" si="82"/>
        <v>293.89999999999998</v>
      </c>
      <c r="I330" s="24">
        <f t="shared" si="83"/>
        <v>-8.9145968016331896</v>
      </c>
    </row>
    <row r="331" spans="2:9" x14ac:dyDescent="0.25">
      <c r="B331" s="10">
        <f t="shared" si="84"/>
        <v>41151</v>
      </c>
      <c r="C331">
        <v>114.6</v>
      </c>
      <c r="D331">
        <v>28.4</v>
      </c>
      <c r="E331">
        <v>159.80000000000001</v>
      </c>
      <c r="F331">
        <v>255.2</v>
      </c>
      <c r="G331" s="19">
        <f t="shared" si="81"/>
        <v>274.39999999999998</v>
      </c>
      <c r="H331" s="19">
        <f t="shared" si="82"/>
        <v>283.59999999999997</v>
      </c>
      <c r="I331" s="24">
        <f t="shared" si="83"/>
        <v>-3.2440056417489371</v>
      </c>
    </row>
    <row r="332" spans="2:9" x14ac:dyDescent="0.25">
      <c r="B332" s="10">
        <f t="shared" si="84"/>
        <v>41158</v>
      </c>
      <c r="C332">
        <v>140</v>
      </c>
      <c r="D332">
        <v>28.4</v>
      </c>
      <c r="E332">
        <v>165.7</v>
      </c>
      <c r="F332">
        <v>255.2</v>
      </c>
      <c r="G332" s="19">
        <f t="shared" si="81"/>
        <v>305.7</v>
      </c>
      <c r="H332" s="19">
        <f t="shared" si="82"/>
        <v>283.59999999999997</v>
      </c>
      <c r="I332" s="24">
        <f t="shared" si="83"/>
        <v>7.7926657263751808</v>
      </c>
    </row>
    <row r="333" spans="2:9" x14ac:dyDescent="0.25">
      <c r="B333" s="10">
        <f t="shared" si="84"/>
        <v>41165</v>
      </c>
      <c r="C333">
        <v>141.30000000000001</v>
      </c>
      <c r="D333">
        <v>31</v>
      </c>
      <c r="E333">
        <v>165.7</v>
      </c>
      <c r="F333">
        <v>255.2</v>
      </c>
      <c r="G333" s="19">
        <f t="shared" si="81"/>
        <v>307</v>
      </c>
      <c r="H333" s="19">
        <f t="shared" si="82"/>
        <v>286.2</v>
      </c>
      <c r="I333" s="24">
        <f t="shared" si="83"/>
        <v>7.267645003494061</v>
      </c>
    </row>
    <row r="334" spans="2:9" x14ac:dyDescent="0.25">
      <c r="B334" s="10">
        <f t="shared" si="84"/>
        <v>41172</v>
      </c>
      <c r="C334">
        <v>151.80000000000001</v>
      </c>
      <c r="D334">
        <v>28.5</v>
      </c>
      <c r="E334">
        <v>165.7</v>
      </c>
      <c r="F334">
        <v>281</v>
      </c>
      <c r="G334" s="19">
        <f t="shared" si="81"/>
        <v>317.5</v>
      </c>
      <c r="H334" s="19">
        <f t="shared" si="82"/>
        <v>309.5</v>
      </c>
      <c r="I334" s="24">
        <f t="shared" si="83"/>
        <v>2.5848142164781818</v>
      </c>
    </row>
    <row r="335" spans="2:9" x14ac:dyDescent="0.25">
      <c r="B335" s="10">
        <f t="shared" si="84"/>
        <v>41179</v>
      </c>
      <c r="C335">
        <v>133.80000000000001</v>
      </c>
      <c r="D335">
        <v>37.5</v>
      </c>
      <c r="E335">
        <v>191.4</v>
      </c>
      <c r="F335">
        <v>296.5</v>
      </c>
      <c r="G335" s="19">
        <f t="shared" si="81"/>
        <v>325.20000000000005</v>
      </c>
      <c r="H335" s="19">
        <f t="shared" si="82"/>
        <v>334</v>
      </c>
      <c r="I335" s="24">
        <f t="shared" si="83"/>
        <v>-2.6347305389221476</v>
      </c>
    </row>
    <row r="336" spans="2:9" x14ac:dyDescent="0.25">
      <c r="B336" s="10">
        <f t="shared" si="84"/>
        <v>41186</v>
      </c>
      <c r="C336">
        <v>104.3</v>
      </c>
      <c r="D336">
        <v>65.2</v>
      </c>
      <c r="E336">
        <v>222.9</v>
      </c>
      <c r="F336">
        <v>296.5</v>
      </c>
      <c r="G336" s="19">
        <f t="shared" si="81"/>
        <v>327.2</v>
      </c>
      <c r="H336" s="19">
        <f t="shared" si="82"/>
        <v>361.7</v>
      </c>
      <c r="I336" s="24">
        <f t="shared" si="83"/>
        <v>-9.5382914017141278</v>
      </c>
    </row>
    <row r="337" spans="2:10" x14ac:dyDescent="0.25">
      <c r="B337" s="10">
        <f t="shared" si="84"/>
        <v>41193</v>
      </c>
      <c r="C337">
        <v>105.3</v>
      </c>
      <c r="D337">
        <v>68.099999999999994</v>
      </c>
      <c r="E337">
        <v>222.9</v>
      </c>
      <c r="F337">
        <v>296.5</v>
      </c>
      <c r="G337" s="19">
        <f t="shared" si="81"/>
        <v>328.2</v>
      </c>
      <c r="H337" s="19">
        <f t="shared" si="82"/>
        <v>364.6</v>
      </c>
      <c r="I337" s="24">
        <f t="shared" si="83"/>
        <v>-9.9835436094350083</v>
      </c>
    </row>
    <row r="338" spans="2:10" x14ac:dyDescent="0.25">
      <c r="B338" s="10">
        <f t="shared" si="84"/>
        <v>41200</v>
      </c>
      <c r="C338">
        <v>118.1</v>
      </c>
      <c r="D338">
        <v>64.3</v>
      </c>
      <c r="E338">
        <v>222.9</v>
      </c>
      <c r="F338">
        <v>300.60000000000002</v>
      </c>
      <c r="G338" s="19">
        <f t="shared" si="81"/>
        <v>341</v>
      </c>
      <c r="H338" s="19">
        <f t="shared" si="82"/>
        <v>364.90000000000003</v>
      </c>
      <c r="I338" s="24">
        <f t="shared" si="83"/>
        <v>-6.5497396546999269</v>
      </c>
    </row>
    <row r="339" spans="2:10" x14ac:dyDescent="0.25">
      <c r="B339" s="10">
        <f t="shared" si="84"/>
        <v>41207</v>
      </c>
      <c r="C339">
        <v>120.1</v>
      </c>
      <c r="D339">
        <v>64.3</v>
      </c>
      <c r="E339">
        <v>249.9</v>
      </c>
      <c r="F339">
        <v>300.60000000000002</v>
      </c>
      <c r="G339" s="19">
        <f t="shared" si="81"/>
        <v>370</v>
      </c>
      <c r="H339" s="19">
        <f t="shared" si="82"/>
        <v>364.90000000000003</v>
      </c>
      <c r="I339" s="24">
        <f t="shared" si="83"/>
        <v>1.3976431899150432</v>
      </c>
    </row>
    <row r="340" spans="2:10" x14ac:dyDescent="0.25">
      <c r="B340" s="10">
        <f t="shared" si="84"/>
        <v>41214</v>
      </c>
      <c r="C340">
        <v>121.6</v>
      </c>
      <c r="D340">
        <v>67.3</v>
      </c>
      <c r="E340">
        <v>249.9</v>
      </c>
      <c r="F340">
        <v>300.60000000000002</v>
      </c>
      <c r="G340" s="19">
        <f t="shared" si="81"/>
        <v>371.5</v>
      </c>
      <c r="H340" s="19">
        <f t="shared" si="82"/>
        <v>367.90000000000003</v>
      </c>
      <c r="I340" s="24">
        <f t="shared" si="83"/>
        <v>0.97852677357976869</v>
      </c>
    </row>
    <row r="341" spans="2:10" x14ac:dyDescent="0.25">
      <c r="B341" s="10">
        <f t="shared" si="84"/>
        <v>41221</v>
      </c>
      <c r="C341">
        <v>115.4</v>
      </c>
      <c r="D341">
        <v>102</v>
      </c>
      <c r="E341">
        <v>266.60000000000002</v>
      </c>
      <c r="F341">
        <v>300.60000000000002</v>
      </c>
      <c r="G341" s="19">
        <f t="shared" si="81"/>
        <v>382</v>
      </c>
      <c r="H341" s="19">
        <f t="shared" si="82"/>
        <v>402.6</v>
      </c>
      <c r="I341" s="24">
        <f t="shared" si="83"/>
        <v>-5.1167411823149545</v>
      </c>
    </row>
    <row r="342" spans="2:10" x14ac:dyDescent="0.25">
      <c r="B342" s="10">
        <f t="shared" si="84"/>
        <v>41228</v>
      </c>
      <c r="C342">
        <v>106.7</v>
      </c>
      <c r="D342">
        <v>102.3</v>
      </c>
      <c r="E342">
        <v>291.39999999999998</v>
      </c>
      <c r="F342">
        <v>300.60000000000002</v>
      </c>
      <c r="G342" s="19">
        <f t="shared" si="81"/>
        <v>398.09999999999997</v>
      </c>
      <c r="H342" s="19">
        <f t="shared" si="82"/>
        <v>402.90000000000003</v>
      </c>
      <c r="I342" s="24">
        <f t="shared" si="83"/>
        <v>-1.1913626209977823</v>
      </c>
    </row>
    <row r="343" spans="2:10" x14ac:dyDescent="0.25">
      <c r="B343" s="10">
        <f t="shared" si="84"/>
        <v>41235</v>
      </c>
      <c r="C343">
        <v>103</v>
      </c>
      <c r="D343">
        <v>72.3</v>
      </c>
      <c r="E343">
        <v>295.39999999999998</v>
      </c>
      <c r="F343">
        <v>333.6</v>
      </c>
      <c r="G343" s="19">
        <f t="shared" si="81"/>
        <v>398.4</v>
      </c>
      <c r="H343" s="19">
        <f t="shared" si="82"/>
        <v>405.90000000000003</v>
      </c>
      <c r="I343" s="24">
        <f t="shared" si="83"/>
        <v>-1.8477457501847927</v>
      </c>
    </row>
    <row r="344" spans="2:10" x14ac:dyDescent="0.25">
      <c r="B344" s="10">
        <f t="shared" si="84"/>
        <v>41242</v>
      </c>
      <c r="C344">
        <v>90.6</v>
      </c>
      <c r="D344">
        <v>62.3</v>
      </c>
      <c r="E344">
        <v>316.60000000000002</v>
      </c>
      <c r="F344">
        <v>357.8</v>
      </c>
      <c r="G344" s="19">
        <f t="shared" si="81"/>
        <v>407.20000000000005</v>
      </c>
      <c r="H344" s="19">
        <f t="shared" si="82"/>
        <v>420.1</v>
      </c>
      <c r="I344" s="24">
        <f t="shared" si="83"/>
        <v>-3.0706974529873809</v>
      </c>
    </row>
    <row r="345" spans="2:10" x14ac:dyDescent="0.25">
      <c r="B345" s="10">
        <f t="shared" si="84"/>
        <v>41249</v>
      </c>
      <c r="C345">
        <v>108.2</v>
      </c>
      <c r="D345">
        <v>69.3</v>
      </c>
      <c r="E345">
        <v>316.60000000000002</v>
      </c>
      <c r="F345">
        <v>357.8</v>
      </c>
      <c r="G345" s="19">
        <f t="shared" si="81"/>
        <v>424.8</v>
      </c>
      <c r="H345" s="19">
        <f t="shared" si="82"/>
        <v>427.1</v>
      </c>
      <c r="I345" s="24">
        <f t="shared" si="83"/>
        <v>-0.53851557012409845</v>
      </c>
    </row>
    <row r="346" spans="2:10" x14ac:dyDescent="0.25">
      <c r="B346" s="10">
        <f t="shared" si="84"/>
        <v>41256</v>
      </c>
      <c r="C346">
        <v>130.5</v>
      </c>
      <c r="D346">
        <v>72.3</v>
      </c>
      <c r="E346">
        <v>316.60000000000002</v>
      </c>
      <c r="F346">
        <v>357.8</v>
      </c>
      <c r="G346" s="19">
        <f t="shared" si="81"/>
        <v>447.1</v>
      </c>
      <c r="H346" s="19">
        <f t="shared" si="82"/>
        <v>430.1</v>
      </c>
      <c r="I346" s="24">
        <f t="shared" si="83"/>
        <v>3.9525691699604737</v>
      </c>
    </row>
    <row r="347" spans="2:10" x14ac:dyDescent="0.25">
      <c r="B347" s="10">
        <f t="shared" si="84"/>
        <v>41263</v>
      </c>
      <c r="C347">
        <v>135.5</v>
      </c>
      <c r="D347">
        <v>76.7</v>
      </c>
      <c r="E347">
        <v>316.60000000000002</v>
      </c>
      <c r="F347">
        <v>357.8</v>
      </c>
      <c r="G347" s="19">
        <f t="shared" si="81"/>
        <v>452.1</v>
      </c>
      <c r="H347" s="19">
        <f t="shared" si="82"/>
        <v>434.5</v>
      </c>
      <c r="I347" s="24">
        <f t="shared" si="83"/>
        <v>4.0506329113924044</v>
      </c>
    </row>
    <row r="348" spans="2:10" x14ac:dyDescent="0.25">
      <c r="B348" s="10">
        <f t="shared" si="84"/>
        <v>41270</v>
      </c>
      <c r="C348">
        <v>116.7</v>
      </c>
      <c r="D348">
        <v>60.7</v>
      </c>
      <c r="E348">
        <v>337</v>
      </c>
      <c r="F348">
        <v>357.8</v>
      </c>
      <c r="G348" s="19">
        <f t="shared" ref="G348:G373" si="85">+C348+E348</f>
        <v>453.7</v>
      </c>
      <c r="H348" s="19">
        <f t="shared" ref="H348:H373" si="86">+D348+F348</f>
        <v>418.5</v>
      </c>
      <c r="I348" s="24">
        <f t="shared" ref="I348:I373" si="87">+(G348/H348-1)*100</f>
        <v>8.4109916367980819</v>
      </c>
    </row>
    <row r="349" spans="2:10" x14ac:dyDescent="0.25">
      <c r="B349" s="10">
        <f t="shared" si="84"/>
        <v>41277</v>
      </c>
      <c r="C349">
        <v>102.1</v>
      </c>
      <c r="D349">
        <v>60.7</v>
      </c>
      <c r="E349">
        <v>337</v>
      </c>
      <c r="F349">
        <v>363.3</v>
      </c>
      <c r="G349" s="19">
        <f t="shared" si="85"/>
        <v>439.1</v>
      </c>
      <c r="H349" s="19">
        <f t="shared" si="86"/>
        <v>424</v>
      </c>
      <c r="I349" s="24">
        <f t="shared" si="87"/>
        <v>3.561320754716979</v>
      </c>
    </row>
    <row r="350" spans="2:10" x14ac:dyDescent="0.25">
      <c r="B350" s="10">
        <f t="shared" si="84"/>
        <v>41284</v>
      </c>
      <c r="C350">
        <v>123.1</v>
      </c>
      <c r="D350">
        <v>60.7</v>
      </c>
      <c r="E350">
        <v>337</v>
      </c>
      <c r="F350">
        <v>363.3</v>
      </c>
      <c r="G350" s="19">
        <f t="shared" si="85"/>
        <v>460.1</v>
      </c>
      <c r="H350" s="19">
        <f t="shared" si="86"/>
        <v>424</v>
      </c>
      <c r="I350" s="24">
        <f t="shared" si="87"/>
        <v>8.5141509433962259</v>
      </c>
      <c r="J350">
        <v>33.5</v>
      </c>
    </row>
    <row r="351" spans="2:10" x14ac:dyDescent="0.25">
      <c r="B351" s="10">
        <f t="shared" si="84"/>
        <v>41291</v>
      </c>
      <c r="C351">
        <v>107.7</v>
      </c>
      <c r="D351">
        <v>56.7</v>
      </c>
      <c r="E351">
        <v>351.2</v>
      </c>
      <c r="F351">
        <v>363.3</v>
      </c>
      <c r="G351" s="19">
        <f t="shared" si="85"/>
        <v>458.9</v>
      </c>
      <c r="H351" s="19">
        <f t="shared" si="86"/>
        <v>420</v>
      </c>
      <c r="I351" s="24">
        <f t="shared" si="87"/>
        <v>9.2619047619047592</v>
      </c>
      <c r="J351">
        <v>33.5</v>
      </c>
    </row>
    <row r="352" spans="2:10" x14ac:dyDescent="0.25">
      <c r="B352" s="10">
        <f t="shared" si="84"/>
        <v>41298</v>
      </c>
      <c r="C352">
        <v>83.5</v>
      </c>
      <c r="D352">
        <v>35.5</v>
      </c>
      <c r="E352">
        <v>382.8</v>
      </c>
      <c r="F352">
        <v>385.1</v>
      </c>
      <c r="G352" s="19">
        <f t="shared" si="85"/>
        <v>466.3</v>
      </c>
      <c r="H352" s="19">
        <f t="shared" si="86"/>
        <v>420.6</v>
      </c>
      <c r="I352" s="24">
        <f t="shared" si="87"/>
        <v>10.865430337612935</v>
      </c>
      <c r="J352">
        <v>33.5</v>
      </c>
    </row>
    <row r="353" spans="2:10" x14ac:dyDescent="0.25">
      <c r="B353" s="10">
        <f t="shared" si="84"/>
        <v>41305</v>
      </c>
      <c r="C353">
        <v>89.5</v>
      </c>
      <c r="D353">
        <v>35.5</v>
      </c>
      <c r="E353">
        <v>382.8</v>
      </c>
      <c r="F353">
        <v>385.1</v>
      </c>
      <c r="G353" s="19">
        <f t="shared" si="85"/>
        <v>472.3</v>
      </c>
      <c r="H353" s="19">
        <f t="shared" si="86"/>
        <v>420.6</v>
      </c>
      <c r="I353" s="24">
        <f t="shared" si="87"/>
        <v>12.291963861150723</v>
      </c>
      <c r="J353">
        <v>33.5</v>
      </c>
    </row>
    <row r="354" spans="2:10" x14ac:dyDescent="0.25">
      <c r="B354" s="10">
        <f t="shared" si="84"/>
        <v>41312</v>
      </c>
      <c r="C354">
        <v>73.7</v>
      </c>
      <c r="D354">
        <v>26.9</v>
      </c>
      <c r="E354">
        <v>404.5</v>
      </c>
      <c r="F354">
        <v>397.1</v>
      </c>
      <c r="G354" s="19">
        <f t="shared" si="85"/>
        <v>478.2</v>
      </c>
      <c r="H354" s="19">
        <f t="shared" si="86"/>
        <v>424</v>
      </c>
      <c r="I354" s="24">
        <f t="shared" si="87"/>
        <v>12.783018867924522</v>
      </c>
      <c r="J354">
        <v>33.5</v>
      </c>
    </row>
    <row r="355" spans="2:10" x14ac:dyDescent="0.25">
      <c r="B355" s="10">
        <f t="shared" si="84"/>
        <v>41319</v>
      </c>
      <c r="C355">
        <v>84.9</v>
      </c>
      <c r="D355">
        <v>24.4</v>
      </c>
      <c r="E355">
        <v>425.4</v>
      </c>
      <c r="F355">
        <v>398.7</v>
      </c>
      <c r="G355" s="19">
        <f t="shared" si="85"/>
        <v>510.29999999999995</v>
      </c>
      <c r="H355" s="19">
        <f t="shared" si="86"/>
        <v>423.09999999999997</v>
      </c>
      <c r="I355" s="24">
        <f t="shared" si="87"/>
        <v>20.609784920822506</v>
      </c>
      <c r="J355">
        <v>35.1</v>
      </c>
    </row>
    <row r="356" spans="2:10" x14ac:dyDescent="0.25">
      <c r="B356" s="10">
        <f t="shared" si="84"/>
        <v>41326</v>
      </c>
      <c r="C356">
        <v>93.4</v>
      </c>
      <c r="D356">
        <v>38.4</v>
      </c>
      <c r="E356">
        <v>429.2</v>
      </c>
      <c r="F356">
        <v>405.1</v>
      </c>
      <c r="G356" s="19">
        <f t="shared" si="85"/>
        <v>522.6</v>
      </c>
      <c r="H356" s="19">
        <f t="shared" si="86"/>
        <v>443.5</v>
      </c>
      <c r="I356" s="24">
        <f t="shared" si="87"/>
        <v>17.835400225479159</v>
      </c>
      <c r="J356">
        <v>35.1</v>
      </c>
    </row>
    <row r="357" spans="2:10" x14ac:dyDescent="0.25">
      <c r="B357" s="10">
        <f t="shared" si="84"/>
        <v>41333</v>
      </c>
      <c r="C357">
        <v>100.9</v>
      </c>
      <c r="D357">
        <v>39.4</v>
      </c>
      <c r="E357">
        <v>429.2</v>
      </c>
      <c r="F357">
        <v>405.1</v>
      </c>
      <c r="G357" s="19">
        <f t="shared" si="85"/>
        <v>530.1</v>
      </c>
      <c r="H357" s="19">
        <f t="shared" si="86"/>
        <v>444.5</v>
      </c>
      <c r="I357" s="24">
        <f t="shared" si="87"/>
        <v>19.257592800899893</v>
      </c>
      <c r="J357">
        <v>45.8</v>
      </c>
    </row>
    <row r="358" spans="2:10" x14ac:dyDescent="0.25">
      <c r="B358" s="10">
        <f t="shared" si="84"/>
        <v>41340</v>
      </c>
      <c r="C358">
        <v>88.9</v>
      </c>
      <c r="D358">
        <v>39.4</v>
      </c>
      <c r="E358">
        <v>451.8</v>
      </c>
      <c r="F358">
        <v>408.4</v>
      </c>
      <c r="G358" s="19">
        <f t="shared" si="85"/>
        <v>540.70000000000005</v>
      </c>
      <c r="H358" s="19">
        <f t="shared" si="86"/>
        <v>447.79999999999995</v>
      </c>
      <c r="I358" s="24">
        <f t="shared" si="87"/>
        <v>20.74586869138011</v>
      </c>
      <c r="J358">
        <v>45.8</v>
      </c>
    </row>
    <row r="359" spans="2:10" x14ac:dyDescent="0.25">
      <c r="B359" s="10">
        <f t="shared" si="84"/>
        <v>41347</v>
      </c>
      <c r="C359">
        <v>97.4</v>
      </c>
      <c r="D359">
        <v>39.4</v>
      </c>
      <c r="E359">
        <v>451.8</v>
      </c>
      <c r="F359">
        <v>408.4</v>
      </c>
      <c r="G359" s="19">
        <f t="shared" si="85"/>
        <v>549.20000000000005</v>
      </c>
      <c r="H359" s="19">
        <f t="shared" si="86"/>
        <v>447.79999999999995</v>
      </c>
      <c r="I359" s="24">
        <f t="shared" si="87"/>
        <v>22.644037516748572</v>
      </c>
      <c r="J359">
        <v>45.8</v>
      </c>
    </row>
    <row r="360" spans="2:10" x14ac:dyDescent="0.25">
      <c r="B360" s="10">
        <f t="shared" si="84"/>
        <v>41354</v>
      </c>
      <c r="C360">
        <v>107.1</v>
      </c>
      <c r="D360">
        <v>39.4</v>
      </c>
      <c r="E360">
        <v>451.8</v>
      </c>
      <c r="F360">
        <v>408.4</v>
      </c>
      <c r="G360" s="19">
        <f t="shared" si="85"/>
        <v>558.9</v>
      </c>
      <c r="H360" s="19">
        <f t="shared" si="86"/>
        <v>447.79999999999995</v>
      </c>
      <c r="I360" s="24">
        <f t="shared" si="87"/>
        <v>24.810183117463168</v>
      </c>
      <c r="J360">
        <v>45.8</v>
      </c>
    </row>
    <row r="361" spans="2:10" x14ac:dyDescent="0.25">
      <c r="B361" s="10">
        <f t="shared" si="84"/>
        <v>41361</v>
      </c>
      <c r="C361">
        <v>79.8</v>
      </c>
      <c r="D361">
        <v>40.1</v>
      </c>
      <c r="E361">
        <v>477</v>
      </c>
      <c r="F361">
        <v>408.4</v>
      </c>
      <c r="G361" s="19">
        <f t="shared" si="85"/>
        <v>556.79999999999995</v>
      </c>
      <c r="H361" s="19">
        <f t="shared" si="86"/>
        <v>448.5</v>
      </c>
      <c r="I361" s="24">
        <f t="shared" si="87"/>
        <v>24.147157190635447</v>
      </c>
      <c r="J361">
        <v>42.3</v>
      </c>
    </row>
    <row r="362" spans="2:10" x14ac:dyDescent="0.25">
      <c r="B362" s="10">
        <f t="shared" si="84"/>
        <v>41368</v>
      </c>
      <c r="C362">
        <v>60.5</v>
      </c>
      <c r="D362">
        <v>40.1</v>
      </c>
      <c r="E362">
        <v>510.1</v>
      </c>
      <c r="F362">
        <v>408.4</v>
      </c>
      <c r="G362" s="19">
        <f t="shared" si="85"/>
        <v>570.6</v>
      </c>
      <c r="H362" s="19">
        <f t="shared" si="86"/>
        <v>448.5</v>
      </c>
      <c r="I362" s="24">
        <f t="shared" si="87"/>
        <v>27.224080267558538</v>
      </c>
      <c r="J362">
        <v>42.3</v>
      </c>
    </row>
    <row r="363" spans="2:10" x14ac:dyDescent="0.25">
      <c r="B363" s="10">
        <f t="shared" si="84"/>
        <v>41375</v>
      </c>
      <c r="C363">
        <v>89</v>
      </c>
      <c r="D363">
        <v>22.2</v>
      </c>
      <c r="E363">
        <v>510.1</v>
      </c>
      <c r="F363">
        <v>424.6</v>
      </c>
      <c r="G363" s="19">
        <f t="shared" si="85"/>
        <v>599.1</v>
      </c>
      <c r="H363" s="19">
        <f t="shared" si="86"/>
        <v>446.8</v>
      </c>
      <c r="I363" s="24">
        <f t="shared" si="87"/>
        <v>34.086839749328554</v>
      </c>
      <c r="J363">
        <v>42.3</v>
      </c>
    </row>
    <row r="364" spans="2:10" x14ac:dyDescent="0.25">
      <c r="B364" s="10">
        <f t="shared" si="84"/>
        <v>41382</v>
      </c>
      <c r="C364">
        <v>101</v>
      </c>
      <c r="D364">
        <v>22.2</v>
      </c>
      <c r="E364">
        <v>510.1</v>
      </c>
      <c r="F364">
        <v>424.6</v>
      </c>
      <c r="G364" s="19">
        <f t="shared" si="85"/>
        <v>611.1</v>
      </c>
      <c r="H364" s="19">
        <f t="shared" si="86"/>
        <v>446.8</v>
      </c>
      <c r="I364" s="24">
        <f t="shared" si="87"/>
        <v>36.772605192479865</v>
      </c>
      <c r="J364">
        <v>42.3</v>
      </c>
    </row>
    <row r="365" spans="2:10" x14ac:dyDescent="0.25">
      <c r="B365" s="10">
        <f t="shared" si="84"/>
        <v>41389</v>
      </c>
      <c r="C365">
        <v>99.3</v>
      </c>
      <c r="D365">
        <v>22.2</v>
      </c>
      <c r="E365">
        <v>527.29999999999995</v>
      </c>
      <c r="F365">
        <v>424.6</v>
      </c>
      <c r="G365" s="19">
        <f t="shared" si="85"/>
        <v>626.59999999999991</v>
      </c>
      <c r="H365" s="19">
        <f t="shared" si="86"/>
        <v>446.8</v>
      </c>
      <c r="I365" s="24">
        <f t="shared" si="87"/>
        <v>40.241718889883593</v>
      </c>
      <c r="J365">
        <v>49</v>
      </c>
    </row>
    <row r="366" spans="2:10" x14ac:dyDescent="0.25">
      <c r="B366" s="10">
        <f t="shared" si="84"/>
        <v>41396</v>
      </c>
      <c r="C366">
        <v>100.8</v>
      </c>
      <c r="D366">
        <v>22.2</v>
      </c>
      <c r="E366">
        <v>527.29999999999995</v>
      </c>
      <c r="F366">
        <v>424.6</v>
      </c>
      <c r="G366" s="19">
        <f t="shared" si="85"/>
        <v>628.09999999999991</v>
      </c>
      <c r="H366" s="19">
        <f t="shared" si="86"/>
        <v>446.8</v>
      </c>
      <c r="I366" s="24">
        <f t="shared" si="87"/>
        <v>40.577439570277505</v>
      </c>
      <c r="J366">
        <v>61.7</v>
      </c>
    </row>
    <row r="367" spans="2:10" x14ac:dyDescent="0.25">
      <c r="B367" s="10">
        <f t="shared" si="84"/>
        <v>41403</v>
      </c>
      <c r="C367">
        <v>101.1</v>
      </c>
      <c r="D367">
        <v>28.2</v>
      </c>
      <c r="E367">
        <v>553.70000000000005</v>
      </c>
      <c r="F367">
        <v>426.8</v>
      </c>
      <c r="G367" s="19">
        <f t="shared" si="85"/>
        <v>654.80000000000007</v>
      </c>
      <c r="H367" s="19">
        <f t="shared" si="86"/>
        <v>455</v>
      </c>
      <c r="I367" s="24">
        <f t="shared" si="87"/>
        <v>43.912087912087941</v>
      </c>
      <c r="J367">
        <v>61.7</v>
      </c>
    </row>
    <row r="368" spans="2:10" x14ac:dyDescent="0.25">
      <c r="B368" s="10">
        <f t="shared" si="84"/>
        <v>41410</v>
      </c>
      <c r="C368">
        <v>97.6</v>
      </c>
      <c r="D368">
        <v>28.2</v>
      </c>
      <c r="E368">
        <v>574.5</v>
      </c>
      <c r="F368">
        <v>426.8</v>
      </c>
      <c r="G368" s="19">
        <f t="shared" si="85"/>
        <v>672.1</v>
      </c>
      <c r="H368" s="19">
        <f t="shared" si="86"/>
        <v>455</v>
      </c>
      <c r="I368" s="24">
        <f t="shared" si="87"/>
        <v>47.714285714285708</v>
      </c>
      <c r="J368">
        <v>68.7</v>
      </c>
    </row>
    <row r="369" spans="2:10" x14ac:dyDescent="0.25">
      <c r="B369" s="10">
        <f t="shared" si="84"/>
        <v>41417</v>
      </c>
      <c r="C369">
        <v>74.099999999999994</v>
      </c>
      <c r="D369">
        <v>10</v>
      </c>
      <c r="E369">
        <v>600.29999999999995</v>
      </c>
      <c r="F369">
        <v>446.2</v>
      </c>
      <c r="G369" s="19">
        <f t="shared" si="85"/>
        <v>674.4</v>
      </c>
      <c r="H369" s="19">
        <f t="shared" si="86"/>
        <v>456.2</v>
      </c>
      <c r="I369" s="24">
        <f t="shared" si="87"/>
        <v>47.829899167031996</v>
      </c>
      <c r="J369">
        <v>77</v>
      </c>
    </row>
    <row r="370" spans="2:10" x14ac:dyDescent="0.25">
      <c r="B370" s="10">
        <f t="shared" si="84"/>
        <v>41424</v>
      </c>
      <c r="C370">
        <v>74.099999999999994</v>
      </c>
      <c r="D370">
        <v>10</v>
      </c>
      <c r="E370">
        <v>600.29999999999995</v>
      </c>
      <c r="F370">
        <v>446.2</v>
      </c>
      <c r="G370" s="19">
        <f t="shared" si="85"/>
        <v>674.4</v>
      </c>
      <c r="H370" s="19">
        <f t="shared" si="86"/>
        <v>456.2</v>
      </c>
      <c r="I370" s="24">
        <f t="shared" si="87"/>
        <v>47.829899167031996</v>
      </c>
      <c r="J370">
        <v>98</v>
      </c>
    </row>
    <row r="371" spans="2:10" x14ac:dyDescent="0.25">
      <c r="B371" s="10">
        <f t="shared" si="84"/>
        <v>41431</v>
      </c>
      <c r="C371">
        <v>175.6</v>
      </c>
      <c r="D371">
        <v>91.6</v>
      </c>
      <c r="E371">
        <v>21.2</v>
      </c>
      <c r="F371">
        <v>33.200000000000003</v>
      </c>
      <c r="G371" s="19">
        <f t="shared" si="85"/>
        <v>196.79999999999998</v>
      </c>
      <c r="H371" s="19">
        <f t="shared" si="86"/>
        <v>124.8</v>
      </c>
      <c r="I371" s="24">
        <f t="shared" si="87"/>
        <v>57.692307692307686</v>
      </c>
    </row>
    <row r="372" spans="2:10" x14ac:dyDescent="0.25">
      <c r="B372" s="10">
        <f t="shared" si="84"/>
        <v>41438</v>
      </c>
      <c r="C372">
        <v>140</v>
      </c>
      <c r="D372">
        <v>81.599999999999994</v>
      </c>
      <c r="E372">
        <v>59</v>
      </c>
      <c r="F372">
        <v>42.7</v>
      </c>
      <c r="G372" s="19">
        <f t="shared" si="85"/>
        <v>199</v>
      </c>
      <c r="H372" s="19">
        <f t="shared" si="86"/>
        <v>124.3</v>
      </c>
      <c r="I372" s="24">
        <f t="shared" si="87"/>
        <v>60.096540627514081</v>
      </c>
    </row>
    <row r="373" spans="2:10" x14ac:dyDescent="0.25">
      <c r="B373" s="10">
        <f t="shared" si="84"/>
        <v>41445</v>
      </c>
      <c r="C373">
        <v>159</v>
      </c>
      <c r="D373">
        <v>83</v>
      </c>
      <c r="E373">
        <v>67.8</v>
      </c>
      <c r="F373">
        <v>42.7</v>
      </c>
      <c r="G373" s="19">
        <f t="shared" si="85"/>
        <v>226.8</v>
      </c>
      <c r="H373" s="19">
        <f t="shared" si="86"/>
        <v>125.7</v>
      </c>
      <c r="I373" s="24">
        <f t="shared" si="87"/>
        <v>80.429594272076386</v>
      </c>
    </row>
    <row r="374" spans="2:10" x14ac:dyDescent="0.25">
      <c r="B374" s="10">
        <f t="shared" si="84"/>
        <v>41452</v>
      </c>
      <c r="C374">
        <v>147.19999999999999</v>
      </c>
      <c r="D374">
        <v>89</v>
      </c>
      <c r="E374">
        <v>92.9</v>
      </c>
      <c r="F374">
        <v>42.7</v>
      </c>
      <c r="G374" s="19">
        <f t="shared" ref="G374:H376" si="88">+C374+E374</f>
        <v>240.1</v>
      </c>
      <c r="H374" s="19">
        <f t="shared" si="88"/>
        <v>131.69999999999999</v>
      </c>
      <c r="I374" s="24">
        <f t="shared" ref="I374:I379" si="89">+(G374/H374-1)*100</f>
        <v>82.308276385725151</v>
      </c>
    </row>
    <row r="375" spans="2:10" x14ac:dyDescent="0.25">
      <c r="B375" s="10">
        <f t="shared" si="84"/>
        <v>41459</v>
      </c>
      <c r="C375">
        <v>131.1</v>
      </c>
      <c r="D375">
        <v>110.8</v>
      </c>
      <c r="E375">
        <v>107.6</v>
      </c>
      <c r="F375">
        <v>42.7</v>
      </c>
      <c r="G375" s="19">
        <f t="shared" si="88"/>
        <v>238.7</v>
      </c>
      <c r="H375" s="19">
        <f t="shared" si="88"/>
        <v>153.5</v>
      </c>
      <c r="I375" s="24">
        <f t="shared" si="89"/>
        <v>55.504885993485331</v>
      </c>
    </row>
    <row r="376" spans="2:10" x14ac:dyDescent="0.25">
      <c r="B376" s="10">
        <f t="shared" si="84"/>
        <v>41466</v>
      </c>
      <c r="C376">
        <v>102.5</v>
      </c>
      <c r="D376">
        <v>112.1</v>
      </c>
      <c r="E376">
        <v>137.9</v>
      </c>
      <c r="F376">
        <v>42.7</v>
      </c>
      <c r="G376" s="19">
        <f t="shared" si="88"/>
        <v>240.4</v>
      </c>
      <c r="H376" s="19">
        <f t="shared" si="88"/>
        <v>154.80000000000001</v>
      </c>
      <c r="I376" s="24">
        <f t="shared" si="89"/>
        <v>55.297157622739014</v>
      </c>
    </row>
    <row r="377" spans="2:10" x14ac:dyDescent="0.25">
      <c r="B377" s="10">
        <f t="shared" si="84"/>
        <v>41473</v>
      </c>
      <c r="C377">
        <v>125.5</v>
      </c>
      <c r="D377">
        <v>147.9</v>
      </c>
      <c r="E377">
        <v>137.9</v>
      </c>
      <c r="F377">
        <v>42.7</v>
      </c>
      <c r="G377" s="19">
        <f t="shared" ref="G377:G388" si="90">+C377+E377</f>
        <v>263.39999999999998</v>
      </c>
      <c r="H377" s="19">
        <f t="shared" ref="H377:H388" si="91">+D377+F377</f>
        <v>190.60000000000002</v>
      </c>
      <c r="I377" s="24">
        <f t="shared" si="89"/>
        <v>38.195173137460614</v>
      </c>
    </row>
    <row r="378" spans="2:10" x14ac:dyDescent="0.25">
      <c r="B378" s="10">
        <f t="shared" si="84"/>
        <v>41480</v>
      </c>
      <c r="C378">
        <v>162.30000000000001</v>
      </c>
      <c r="D378">
        <v>110.4</v>
      </c>
      <c r="E378">
        <v>171.4</v>
      </c>
      <c r="F378">
        <v>83.9</v>
      </c>
      <c r="G378" s="19">
        <f t="shared" si="90"/>
        <v>333.70000000000005</v>
      </c>
      <c r="H378" s="19">
        <f t="shared" si="91"/>
        <v>194.3</v>
      </c>
      <c r="I378" s="24">
        <f t="shared" si="89"/>
        <v>71.744724652599089</v>
      </c>
    </row>
    <row r="379" spans="2:10" x14ac:dyDescent="0.25">
      <c r="B379" s="10">
        <f t="shared" si="84"/>
        <v>41487</v>
      </c>
      <c r="C379">
        <v>145.6</v>
      </c>
      <c r="D379">
        <v>110.2</v>
      </c>
      <c r="E379">
        <v>213.7</v>
      </c>
      <c r="F379">
        <v>92.7</v>
      </c>
      <c r="G379" s="19">
        <f t="shared" si="90"/>
        <v>359.29999999999995</v>
      </c>
      <c r="H379" s="19">
        <f t="shared" si="91"/>
        <v>202.9</v>
      </c>
      <c r="I379" s="24">
        <f t="shared" si="89"/>
        <v>77.082306554953163</v>
      </c>
    </row>
    <row r="380" spans="2:10" x14ac:dyDescent="0.25">
      <c r="B380" s="10">
        <f t="shared" si="84"/>
        <v>41494</v>
      </c>
      <c r="C380">
        <v>137.6</v>
      </c>
      <c r="D380">
        <v>110.2</v>
      </c>
      <c r="E380">
        <v>227.5</v>
      </c>
      <c r="F380">
        <v>92.7</v>
      </c>
      <c r="G380" s="19">
        <f t="shared" si="90"/>
        <v>365.1</v>
      </c>
      <c r="H380" s="19">
        <f t="shared" si="91"/>
        <v>202.9</v>
      </c>
      <c r="I380" s="24">
        <f t="shared" ref="I380:I388" si="92">+(G380/H380-1)*100</f>
        <v>79.940857565303119</v>
      </c>
    </row>
    <row r="381" spans="2:10" x14ac:dyDescent="0.25">
      <c r="B381" s="10">
        <f t="shared" ref="B381:B444" si="93">+B380+7</f>
        <v>41501</v>
      </c>
      <c r="C381">
        <v>140.6</v>
      </c>
      <c r="D381">
        <v>116</v>
      </c>
      <c r="E381">
        <v>227.5</v>
      </c>
      <c r="F381">
        <v>129.80000000000001</v>
      </c>
      <c r="G381" s="19">
        <f t="shared" si="90"/>
        <v>368.1</v>
      </c>
      <c r="H381" s="19">
        <f t="shared" si="91"/>
        <v>245.8</v>
      </c>
      <c r="I381" s="24">
        <f t="shared" si="92"/>
        <v>49.755899104963383</v>
      </c>
    </row>
    <row r="382" spans="2:10" x14ac:dyDescent="0.25">
      <c r="B382" s="10">
        <f t="shared" si="93"/>
        <v>41508</v>
      </c>
      <c r="C382">
        <v>140.6</v>
      </c>
      <c r="D382">
        <v>137.9</v>
      </c>
      <c r="E382">
        <v>227.5</v>
      </c>
      <c r="F382">
        <v>129.80000000000001</v>
      </c>
      <c r="G382" s="19">
        <f t="shared" si="90"/>
        <v>368.1</v>
      </c>
      <c r="H382" s="19">
        <f t="shared" si="91"/>
        <v>267.70000000000005</v>
      </c>
      <c r="I382" s="24">
        <f t="shared" si="92"/>
        <v>37.504669406051526</v>
      </c>
    </row>
    <row r="383" spans="2:10" x14ac:dyDescent="0.25">
      <c r="B383" s="10">
        <f t="shared" si="93"/>
        <v>41515</v>
      </c>
      <c r="C383">
        <v>159</v>
      </c>
      <c r="D383">
        <v>114.6</v>
      </c>
      <c r="E383">
        <v>262</v>
      </c>
      <c r="F383">
        <v>159.80000000000001</v>
      </c>
      <c r="G383" s="19">
        <f t="shared" si="90"/>
        <v>421</v>
      </c>
      <c r="H383" s="19">
        <f t="shared" si="91"/>
        <v>274.39999999999998</v>
      </c>
      <c r="I383" s="24">
        <f t="shared" si="92"/>
        <v>53.425655976676389</v>
      </c>
    </row>
    <row r="384" spans="2:10" x14ac:dyDescent="0.25">
      <c r="B384" s="10">
        <f t="shared" si="93"/>
        <v>41522</v>
      </c>
      <c r="C384">
        <v>146.5</v>
      </c>
      <c r="D384">
        <v>140</v>
      </c>
      <c r="E384">
        <v>278.5</v>
      </c>
      <c r="F384">
        <v>165.7</v>
      </c>
      <c r="G384" s="19">
        <f t="shared" si="90"/>
        <v>425</v>
      </c>
      <c r="H384" s="19">
        <f t="shared" si="91"/>
        <v>305.7</v>
      </c>
      <c r="I384" s="24">
        <f t="shared" si="92"/>
        <v>39.025188092901544</v>
      </c>
    </row>
    <row r="385" spans="2:12" x14ac:dyDescent="0.25">
      <c r="B385" s="10">
        <f t="shared" si="93"/>
        <v>41529</v>
      </c>
      <c r="C385">
        <v>122.6</v>
      </c>
      <c r="D385">
        <v>141.30000000000001</v>
      </c>
      <c r="E385">
        <v>305.60000000000002</v>
      </c>
      <c r="F385">
        <v>165.7</v>
      </c>
      <c r="G385" s="19">
        <f t="shared" si="90"/>
        <v>428.20000000000005</v>
      </c>
      <c r="H385" s="19">
        <f t="shared" si="91"/>
        <v>307</v>
      </c>
      <c r="I385" s="24">
        <f t="shared" si="92"/>
        <v>39.478827361563539</v>
      </c>
    </row>
    <row r="386" spans="2:12" x14ac:dyDescent="0.25">
      <c r="B386" s="10">
        <f t="shared" si="93"/>
        <v>41536</v>
      </c>
      <c r="C386">
        <v>94.3</v>
      </c>
      <c r="D386">
        <v>151.80000000000001</v>
      </c>
      <c r="E386">
        <v>333.3</v>
      </c>
      <c r="F386">
        <v>165.7</v>
      </c>
      <c r="G386" s="19">
        <f t="shared" si="90"/>
        <v>427.6</v>
      </c>
      <c r="H386" s="19">
        <f t="shared" si="91"/>
        <v>317.5</v>
      </c>
      <c r="I386" s="24">
        <f t="shared" si="92"/>
        <v>34.677165354330718</v>
      </c>
    </row>
    <row r="387" spans="2:12" ht="15" x14ac:dyDescent="0.25">
      <c r="B387" s="10">
        <f t="shared" si="93"/>
        <v>41543</v>
      </c>
      <c r="C387">
        <v>71.7</v>
      </c>
      <c r="D387">
        <v>133.80000000000001</v>
      </c>
      <c r="E387">
        <v>355</v>
      </c>
      <c r="F387">
        <v>191.4</v>
      </c>
      <c r="G387" s="19">
        <f t="shared" si="90"/>
        <v>426.7</v>
      </c>
      <c r="H387" s="19">
        <f t="shared" si="91"/>
        <v>325.20000000000005</v>
      </c>
      <c r="I387" s="24">
        <f t="shared" si="92"/>
        <v>31.211562115621128</v>
      </c>
      <c r="L387" s="75"/>
    </row>
    <row r="388" spans="2:12" x14ac:dyDescent="0.25">
      <c r="B388" s="10">
        <f t="shared" si="93"/>
        <v>41550</v>
      </c>
      <c r="C388">
        <v>75.7</v>
      </c>
      <c r="D388">
        <v>104.3</v>
      </c>
      <c r="E388">
        <v>355</v>
      </c>
      <c r="F388">
        <v>222.9</v>
      </c>
      <c r="G388" s="19">
        <f t="shared" si="90"/>
        <v>430.7</v>
      </c>
      <c r="H388" s="19">
        <f t="shared" si="91"/>
        <v>327.2</v>
      </c>
      <c r="I388" s="24">
        <f t="shared" si="92"/>
        <v>31.632029339853297</v>
      </c>
    </row>
    <row r="389" spans="2:12" x14ac:dyDescent="0.25">
      <c r="B389" s="10">
        <f t="shared" si="93"/>
        <v>41557</v>
      </c>
    </row>
    <row r="390" spans="2:12" x14ac:dyDescent="0.25">
      <c r="B390" s="10">
        <f t="shared" si="93"/>
        <v>41564</v>
      </c>
    </row>
    <row r="391" spans="2:12" x14ac:dyDescent="0.25">
      <c r="B391" s="10">
        <f t="shared" si="93"/>
        <v>41571</v>
      </c>
      <c r="C391">
        <v>64.099999999999994</v>
      </c>
      <c r="D391">
        <v>120.1</v>
      </c>
      <c r="E391">
        <v>374.5</v>
      </c>
      <c r="F391">
        <v>249.9</v>
      </c>
      <c r="G391" s="19">
        <f t="shared" ref="G391:H393" si="94">+C391+E391</f>
        <v>438.6</v>
      </c>
      <c r="H391" s="19">
        <f t="shared" si="94"/>
        <v>370</v>
      </c>
      <c r="I391" s="24">
        <f>+(G391/H391-1)*100</f>
        <v>18.540540540540551</v>
      </c>
    </row>
    <row r="392" spans="2:12" x14ac:dyDescent="0.25">
      <c r="B392" s="10">
        <f t="shared" si="93"/>
        <v>41578</v>
      </c>
      <c r="C392">
        <v>64.099999999999994</v>
      </c>
      <c r="D392">
        <v>121.6</v>
      </c>
      <c r="E392">
        <v>374.5</v>
      </c>
      <c r="F392">
        <v>249.9</v>
      </c>
      <c r="G392" s="19">
        <f t="shared" si="94"/>
        <v>438.6</v>
      </c>
      <c r="H392" s="19">
        <f t="shared" si="94"/>
        <v>371.5</v>
      </c>
      <c r="I392" s="24">
        <f>+(G392/H392-1)*100</f>
        <v>18.061911170928681</v>
      </c>
    </row>
    <row r="393" spans="2:12" ht="15" x14ac:dyDescent="0.25">
      <c r="B393" s="10">
        <f t="shared" si="93"/>
        <v>41585</v>
      </c>
      <c r="C393">
        <v>64.8</v>
      </c>
      <c r="D393">
        <v>115.4</v>
      </c>
      <c r="E393">
        <v>374.5</v>
      </c>
      <c r="F393">
        <v>266.60000000000002</v>
      </c>
      <c r="G393" s="19">
        <f t="shared" si="94"/>
        <v>439.3</v>
      </c>
      <c r="H393" s="19">
        <f t="shared" si="94"/>
        <v>382</v>
      </c>
      <c r="I393" s="24">
        <f>+(G393/H393-1)*100</f>
        <v>15.000000000000014</v>
      </c>
      <c r="L393" s="75"/>
    </row>
    <row r="394" spans="2:12" x14ac:dyDescent="0.25">
      <c r="B394" s="10">
        <f t="shared" si="93"/>
        <v>41592</v>
      </c>
      <c r="C394">
        <v>66.8</v>
      </c>
      <c r="D394">
        <v>106.7</v>
      </c>
      <c r="E394">
        <v>374.5</v>
      </c>
      <c r="F394">
        <v>291.39999999999998</v>
      </c>
      <c r="G394" s="19">
        <f>+C394+E394</f>
        <v>441.3</v>
      </c>
      <c r="H394" s="19">
        <f>+D394+F394</f>
        <v>398.09999999999997</v>
      </c>
      <c r="I394" s="24">
        <f>+(G394/H394-1)*100</f>
        <v>10.851544837980409</v>
      </c>
    </row>
    <row r="395" spans="2:12" x14ac:dyDescent="0.25">
      <c r="B395" s="10">
        <f t="shared" si="93"/>
        <v>41599</v>
      </c>
      <c r="C395">
        <v>66.8</v>
      </c>
      <c r="D395">
        <v>103</v>
      </c>
      <c r="E395">
        <v>374.5</v>
      </c>
      <c r="F395">
        <v>295.39999999999998</v>
      </c>
      <c r="G395" s="19">
        <f>+C395+E395</f>
        <v>441.3</v>
      </c>
      <c r="H395" s="19">
        <f>+D395+F395</f>
        <v>398.4</v>
      </c>
      <c r="I395" s="24">
        <f>+(G395/H395-1)*100</f>
        <v>10.768072289156638</v>
      </c>
    </row>
    <row r="396" spans="2:12" x14ac:dyDescent="0.25">
      <c r="B396" s="10">
        <f t="shared" si="93"/>
        <v>41606</v>
      </c>
    </row>
    <row r="397" spans="2:12" x14ac:dyDescent="0.25">
      <c r="B397" s="10">
        <f t="shared" si="93"/>
        <v>41613</v>
      </c>
    </row>
    <row r="398" spans="2:12" x14ac:dyDescent="0.25">
      <c r="B398" s="10">
        <f t="shared" si="93"/>
        <v>41620</v>
      </c>
    </row>
    <row r="399" spans="2:12" x14ac:dyDescent="0.25">
      <c r="B399" s="10">
        <f t="shared" si="93"/>
        <v>41627</v>
      </c>
    </row>
    <row r="400" spans="2:12" x14ac:dyDescent="0.25">
      <c r="B400" s="10">
        <f t="shared" si="93"/>
        <v>41634</v>
      </c>
    </row>
    <row r="401" spans="2:2" x14ac:dyDescent="0.25">
      <c r="B401" s="10">
        <f t="shared" si="93"/>
        <v>41641</v>
      </c>
    </row>
    <row r="402" spans="2:2" x14ac:dyDescent="0.25">
      <c r="B402" s="10">
        <f t="shared" si="93"/>
        <v>41648</v>
      </c>
    </row>
    <row r="403" spans="2:2" x14ac:dyDescent="0.25">
      <c r="B403" s="10">
        <f t="shared" si="93"/>
        <v>41655</v>
      </c>
    </row>
    <row r="404" spans="2:2" x14ac:dyDescent="0.25">
      <c r="B404" s="10">
        <f t="shared" si="93"/>
        <v>41662</v>
      </c>
    </row>
    <row r="405" spans="2:2" x14ac:dyDescent="0.25">
      <c r="B405" s="10">
        <f t="shared" si="93"/>
        <v>41669</v>
      </c>
    </row>
    <row r="406" spans="2:2" x14ac:dyDescent="0.25">
      <c r="B406" s="10">
        <f t="shared" si="93"/>
        <v>41676</v>
      </c>
    </row>
    <row r="407" spans="2:2" x14ac:dyDescent="0.25">
      <c r="B407" s="10">
        <f t="shared" si="93"/>
        <v>41683</v>
      </c>
    </row>
    <row r="408" spans="2:2" x14ac:dyDescent="0.25">
      <c r="B408" s="10">
        <f t="shared" si="93"/>
        <v>41690</v>
      </c>
    </row>
    <row r="409" spans="2:2" x14ac:dyDescent="0.25">
      <c r="B409" s="10">
        <f t="shared" si="93"/>
        <v>41697</v>
      </c>
    </row>
    <row r="410" spans="2:2" x14ac:dyDescent="0.25">
      <c r="B410" s="10">
        <f t="shared" si="93"/>
        <v>41704</v>
      </c>
    </row>
    <row r="411" spans="2:2" x14ac:dyDescent="0.25">
      <c r="B411" s="10">
        <f t="shared" si="93"/>
        <v>41711</v>
      </c>
    </row>
    <row r="412" spans="2:2" x14ac:dyDescent="0.25">
      <c r="B412" s="10">
        <f t="shared" si="93"/>
        <v>41718</v>
      </c>
    </row>
    <row r="413" spans="2:2" x14ac:dyDescent="0.25">
      <c r="B413" s="10">
        <f t="shared" si="93"/>
        <v>41725</v>
      </c>
    </row>
    <row r="414" spans="2:2" x14ac:dyDescent="0.25">
      <c r="B414" s="10">
        <f t="shared" si="93"/>
        <v>41732</v>
      </c>
    </row>
    <row r="415" spans="2:2" x14ac:dyDescent="0.25">
      <c r="B415" s="10">
        <f t="shared" si="93"/>
        <v>41739</v>
      </c>
    </row>
    <row r="416" spans="2:2" x14ac:dyDescent="0.25">
      <c r="B416" s="10">
        <f t="shared" si="93"/>
        <v>41746</v>
      </c>
    </row>
    <row r="417" spans="2:2" x14ac:dyDescent="0.25">
      <c r="B417" s="10">
        <f t="shared" si="93"/>
        <v>41753</v>
      </c>
    </row>
    <row r="418" spans="2:2" x14ac:dyDescent="0.25">
      <c r="B418" s="10">
        <f t="shared" si="93"/>
        <v>41760</v>
      </c>
    </row>
    <row r="419" spans="2:2" x14ac:dyDescent="0.25">
      <c r="B419" s="10">
        <f t="shared" si="93"/>
        <v>41767</v>
      </c>
    </row>
    <row r="420" spans="2:2" x14ac:dyDescent="0.25">
      <c r="B420" s="10">
        <f t="shared" si="93"/>
        <v>41774</v>
      </c>
    </row>
    <row r="421" spans="2:2" x14ac:dyDescent="0.25">
      <c r="B421" s="10">
        <f t="shared" si="93"/>
        <v>41781</v>
      </c>
    </row>
    <row r="422" spans="2:2" x14ac:dyDescent="0.25">
      <c r="B422" s="10">
        <f t="shared" si="93"/>
        <v>41788</v>
      </c>
    </row>
    <row r="423" spans="2:2" x14ac:dyDescent="0.25">
      <c r="B423" s="10">
        <f t="shared" si="93"/>
        <v>41795</v>
      </c>
    </row>
    <row r="424" spans="2:2" x14ac:dyDescent="0.25">
      <c r="B424" s="10">
        <f t="shared" si="93"/>
        <v>41802</v>
      </c>
    </row>
    <row r="425" spans="2:2" x14ac:dyDescent="0.25">
      <c r="B425" s="10">
        <f t="shared" si="93"/>
        <v>41809</v>
      </c>
    </row>
    <row r="426" spans="2:2" x14ac:dyDescent="0.25">
      <c r="B426" s="10">
        <f t="shared" si="93"/>
        <v>41816</v>
      </c>
    </row>
    <row r="427" spans="2:2" x14ac:dyDescent="0.25">
      <c r="B427" s="10">
        <f t="shared" si="93"/>
        <v>41823</v>
      </c>
    </row>
    <row r="428" spans="2:2" x14ac:dyDescent="0.25">
      <c r="B428" s="10">
        <f t="shared" si="93"/>
        <v>41830</v>
      </c>
    </row>
    <row r="429" spans="2:2" x14ac:dyDescent="0.25">
      <c r="B429" s="10">
        <f t="shared" si="93"/>
        <v>41837</v>
      </c>
    </row>
    <row r="430" spans="2:2" x14ac:dyDescent="0.25">
      <c r="B430" s="10">
        <f t="shared" si="93"/>
        <v>41844</v>
      </c>
    </row>
    <row r="431" spans="2:2" x14ac:dyDescent="0.25">
      <c r="B431" s="10">
        <f t="shared" si="93"/>
        <v>41851</v>
      </c>
    </row>
    <row r="432" spans="2:2" x14ac:dyDescent="0.25">
      <c r="B432" s="10">
        <f t="shared" si="93"/>
        <v>41858</v>
      </c>
    </row>
    <row r="433" spans="2:2" x14ac:dyDescent="0.25">
      <c r="B433" s="10">
        <f t="shared" si="93"/>
        <v>41865</v>
      </c>
    </row>
    <row r="434" spans="2:2" x14ac:dyDescent="0.25">
      <c r="B434" s="10">
        <f t="shared" si="93"/>
        <v>41872</v>
      </c>
    </row>
    <row r="435" spans="2:2" x14ac:dyDescent="0.25">
      <c r="B435" s="10">
        <f t="shared" si="93"/>
        <v>41879</v>
      </c>
    </row>
    <row r="436" spans="2:2" x14ac:dyDescent="0.25">
      <c r="B436" s="10">
        <f t="shared" si="93"/>
        <v>41886</v>
      </c>
    </row>
    <row r="437" spans="2:2" x14ac:dyDescent="0.25">
      <c r="B437" s="10">
        <f t="shared" si="93"/>
        <v>41893</v>
      </c>
    </row>
    <row r="438" spans="2:2" x14ac:dyDescent="0.25">
      <c r="B438" s="10">
        <f t="shared" si="93"/>
        <v>41900</v>
      </c>
    </row>
    <row r="439" spans="2:2" x14ac:dyDescent="0.25">
      <c r="B439" s="10">
        <f t="shared" si="93"/>
        <v>41907</v>
      </c>
    </row>
    <row r="440" spans="2:2" x14ac:dyDescent="0.25">
      <c r="B440" s="10">
        <f t="shared" si="93"/>
        <v>41914</v>
      </c>
    </row>
    <row r="441" spans="2:2" x14ac:dyDescent="0.25">
      <c r="B441" s="10">
        <f t="shared" si="93"/>
        <v>41921</v>
      </c>
    </row>
    <row r="442" spans="2:2" x14ac:dyDescent="0.25">
      <c r="B442" s="10">
        <f t="shared" si="93"/>
        <v>41928</v>
      </c>
    </row>
    <row r="443" spans="2:2" x14ac:dyDescent="0.25">
      <c r="B443" s="10">
        <f t="shared" si="93"/>
        <v>41935</v>
      </c>
    </row>
    <row r="444" spans="2:2" x14ac:dyDescent="0.25">
      <c r="B444" s="10">
        <f t="shared" si="93"/>
        <v>41942</v>
      </c>
    </row>
    <row r="445" spans="2:2" x14ac:dyDescent="0.25">
      <c r="B445" s="10">
        <f t="shared" ref="B445:B508" si="95">+B444+7</f>
        <v>41949</v>
      </c>
    </row>
    <row r="446" spans="2:2" x14ac:dyDescent="0.25">
      <c r="B446" s="10">
        <f t="shared" si="95"/>
        <v>41956</v>
      </c>
    </row>
    <row r="447" spans="2:2" x14ac:dyDescent="0.25">
      <c r="B447" s="10">
        <f t="shared" si="95"/>
        <v>41963</v>
      </c>
    </row>
    <row r="448" spans="2:2" x14ac:dyDescent="0.25">
      <c r="B448" s="10">
        <f t="shared" si="95"/>
        <v>41970</v>
      </c>
    </row>
    <row r="449" spans="2:2" x14ac:dyDescent="0.25">
      <c r="B449" s="10">
        <f t="shared" si="95"/>
        <v>41977</v>
      </c>
    </row>
    <row r="450" spans="2:2" x14ac:dyDescent="0.25">
      <c r="B450" s="10">
        <f t="shared" si="95"/>
        <v>41984</v>
      </c>
    </row>
    <row r="451" spans="2:2" x14ac:dyDescent="0.25">
      <c r="B451" s="10">
        <f t="shared" si="95"/>
        <v>41991</v>
      </c>
    </row>
    <row r="452" spans="2:2" x14ac:dyDescent="0.25">
      <c r="B452" s="10">
        <f t="shared" si="95"/>
        <v>41998</v>
      </c>
    </row>
    <row r="453" spans="2:2" x14ac:dyDescent="0.25">
      <c r="B453" s="10">
        <f t="shared" si="95"/>
        <v>42005</v>
      </c>
    </row>
    <row r="454" spans="2:2" x14ac:dyDescent="0.25">
      <c r="B454" s="10">
        <f t="shared" si="95"/>
        <v>42012</v>
      </c>
    </row>
    <row r="455" spans="2:2" x14ac:dyDescent="0.25">
      <c r="B455" s="10">
        <f t="shared" si="95"/>
        <v>42019</v>
      </c>
    </row>
    <row r="456" spans="2:2" x14ac:dyDescent="0.25">
      <c r="B456" s="10">
        <f t="shared" si="95"/>
        <v>42026</v>
      </c>
    </row>
    <row r="457" spans="2:2" x14ac:dyDescent="0.25">
      <c r="B457" s="10">
        <f t="shared" si="95"/>
        <v>42033</v>
      </c>
    </row>
    <row r="458" spans="2:2" x14ac:dyDescent="0.25">
      <c r="B458" s="10">
        <f t="shared" si="95"/>
        <v>42040</v>
      </c>
    </row>
    <row r="459" spans="2:2" x14ac:dyDescent="0.25">
      <c r="B459" s="10">
        <f t="shared" si="95"/>
        <v>42047</v>
      </c>
    </row>
    <row r="460" spans="2:2" x14ac:dyDescent="0.25">
      <c r="B460" s="10">
        <f t="shared" si="95"/>
        <v>42054</v>
      </c>
    </row>
    <row r="461" spans="2:2" x14ac:dyDescent="0.25">
      <c r="B461" s="10">
        <f t="shared" si="95"/>
        <v>42061</v>
      </c>
    </row>
    <row r="462" spans="2:2" x14ac:dyDescent="0.25">
      <c r="B462" s="10">
        <f t="shared" si="95"/>
        <v>42068</v>
      </c>
    </row>
    <row r="463" spans="2:2" x14ac:dyDescent="0.25">
      <c r="B463" s="10">
        <f t="shared" si="95"/>
        <v>42075</v>
      </c>
    </row>
    <row r="464" spans="2:2" x14ac:dyDescent="0.25">
      <c r="B464" s="10">
        <f t="shared" si="95"/>
        <v>42082</v>
      </c>
    </row>
    <row r="465" spans="2:2" x14ac:dyDescent="0.25">
      <c r="B465" s="10">
        <f t="shared" si="95"/>
        <v>42089</v>
      </c>
    </row>
    <row r="466" spans="2:2" x14ac:dyDescent="0.25">
      <c r="B466" s="10">
        <f t="shared" si="95"/>
        <v>42096</v>
      </c>
    </row>
    <row r="467" spans="2:2" x14ac:dyDescent="0.25">
      <c r="B467" s="10">
        <f t="shared" si="95"/>
        <v>42103</v>
      </c>
    </row>
    <row r="468" spans="2:2" x14ac:dyDescent="0.25">
      <c r="B468" s="10">
        <f t="shared" si="95"/>
        <v>42110</v>
      </c>
    </row>
    <row r="469" spans="2:2" x14ac:dyDescent="0.25">
      <c r="B469" s="10">
        <f t="shared" si="95"/>
        <v>42117</v>
      </c>
    </row>
    <row r="470" spans="2:2" x14ac:dyDescent="0.25">
      <c r="B470" s="10">
        <f t="shared" si="95"/>
        <v>42124</v>
      </c>
    </row>
    <row r="471" spans="2:2" x14ac:dyDescent="0.25">
      <c r="B471" s="10">
        <f t="shared" si="95"/>
        <v>42131</v>
      </c>
    </row>
    <row r="472" spans="2:2" x14ac:dyDescent="0.25">
      <c r="B472" s="10">
        <f t="shared" si="95"/>
        <v>42138</v>
      </c>
    </row>
    <row r="473" spans="2:2" x14ac:dyDescent="0.25">
      <c r="B473" s="10">
        <f t="shared" si="95"/>
        <v>42145</v>
      </c>
    </row>
    <row r="474" spans="2:2" x14ac:dyDescent="0.25">
      <c r="B474" s="10">
        <f t="shared" si="95"/>
        <v>42152</v>
      </c>
    </row>
    <row r="475" spans="2:2" x14ac:dyDescent="0.25">
      <c r="B475" s="10">
        <f t="shared" si="95"/>
        <v>42159</v>
      </c>
    </row>
    <row r="476" spans="2:2" x14ac:dyDescent="0.25">
      <c r="B476" s="10">
        <f t="shared" si="95"/>
        <v>42166</v>
      </c>
    </row>
    <row r="477" spans="2:2" x14ac:dyDescent="0.25">
      <c r="B477" s="10">
        <f t="shared" si="95"/>
        <v>42173</v>
      </c>
    </row>
    <row r="478" spans="2:2" x14ac:dyDescent="0.25">
      <c r="B478" s="10">
        <f t="shared" si="95"/>
        <v>42180</v>
      </c>
    </row>
    <row r="479" spans="2:2" x14ac:dyDescent="0.25">
      <c r="B479" s="10">
        <f t="shared" si="95"/>
        <v>42187</v>
      </c>
    </row>
    <row r="480" spans="2:2" x14ac:dyDescent="0.25">
      <c r="B480" s="10">
        <f t="shared" si="95"/>
        <v>42194</v>
      </c>
    </row>
    <row r="481" spans="2:2" x14ac:dyDescent="0.25">
      <c r="B481" s="10">
        <f t="shared" si="95"/>
        <v>42201</v>
      </c>
    </row>
    <row r="482" spans="2:2" x14ac:dyDescent="0.25">
      <c r="B482" s="10">
        <f t="shared" si="95"/>
        <v>42208</v>
      </c>
    </row>
    <row r="483" spans="2:2" x14ac:dyDescent="0.25">
      <c r="B483" s="10">
        <f t="shared" si="95"/>
        <v>42215</v>
      </c>
    </row>
    <row r="484" spans="2:2" x14ac:dyDescent="0.25">
      <c r="B484" s="10">
        <f t="shared" si="95"/>
        <v>42222</v>
      </c>
    </row>
    <row r="485" spans="2:2" x14ac:dyDescent="0.25">
      <c r="B485" s="10">
        <f t="shared" si="95"/>
        <v>42229</v>
      </c>
    </row>
    <row r="486" spans="2:2" x14ac:dyDescent="0.25">
      <c r="B486" s="10">
        <f t="shared" si="95"/>
        <v>42236</v>
      </c>
    </row>
    <row r="487" spans="2:2" x14ac:dyDescent="0.25">
      <c r="B487" s="10">
        <f t="shared" si="95"/>
        <v>42243</v>
      </c>
    </row>
    <row r="488" spans="2:2" x14ac:dyDescent="0.25">
      <c r="B488" s="10">
        <f t="shared" si="95"/>
        <v>42250</v>
      </c>
    </row>
    <row r="489" spans="2:2" x14ac:dyDescent="0.25">
      <c r="B489" s="10">
        <f t="shared" si="95"/>
        <v>42257</v>
      </c>
    </row>
    <row r="490" spans="2:2" x14ac:dyDescent="0.25">
      <c r="B490" s="10">
        <f t="shared" si="95"/>
        <v>42264</v>
      </c>
    </row>
    <row r="491" spans="2:2" x14ac:dyDescent="0.25">
      <c r="B491" s="10">
        <f t="shared" si="95"/>
        <v>42271</v>
      </c>
    </row>
    <row r="492" spans="2:2" x14ac:dyDescent="0.25">
      <c r="B492" s="10">
        <f t="shared" si="95"/>
        <v>42278</v>
      </c>
    </row>
    <row r="493" spans="2:2" x14ac:dyDescent="0.25">
      <c r="B493" s="10">
        <f t="shared" si="95"/>
        <v>42285</v>
      </c>
    </row>
    <row r="494" spans="2:2" x14ac:dyDescent="0.25">
      <c r="B494" s="10">
        <f t="shared" si="95"/>
        <v>42292</v>
      </c>
    </row>
    <row r="495" spans="2:2" x14ac:dyDescent="0.25">
      <c r="B495" s="10">
        <f t="shared" si="95"/>
        <v>42299</v>
      </c>
    </row>
    <row r="496" spans="2:2" x14ac:dyDescent="0.25">
      <c r="B496" s="10">
        <f t="shared" si="95"/>
        <v>42306</v>
      </c>
    </row>
    <row r="497" spans="2:2" x14ac:dyDescent="0.25">
      <c r="B497" s="10">
        <f t="shared" si="95"/>
        <v>42313</v>
      </c>
    </row>
    <row r="498" spans="2:2" x14ac:dyDescent="0.25">
      <c r="B498" s="10">
        <f t="shared" si="95"/>
        <v>42320</v>
      </c>
    </row>
    <row r="499" spans="2:2" x14ac:dyDescent="0.25">
      <c r="B499" s="10">
        <f t="shared" si="95"/>
        <v>42327</v>
      </c>
    </row>
    <row r="500" spans="2:2" x14ac:dyDescent="0.25">
      <c r="B500" s="10">
        <f t="shared" si="95"/>
        <v>42334</v>
      </c>
    </row>
    <row r="501" spans="2:2" x14ac:dyDescent="0.25">
      <c r="B501" s="10">
        <f t="shared" si="95"/>
        <v>42341</v>
      </c>
    </row>
    <row r="502" spans="2:2" x14ac:dyDescent="0.25">
      <c r="B502" s="10">
        <f t="shared" si="95"/>
        <v>42348</v>
      </c>
    </row>
    <row r="503" spans="2:2" x14ac:dyDescent="0.25">
      <c r="B503" s="10">
        <f t="shared" si="95"/>
        <v>42355</v>
      </c>
    </row>
    <row r="504" spans="2:2" x14ac:dyDescent="0.25">
      <c r="B504" s="10">
        <f t="shared" si="95"/>
        <v>42362</v>
      </c>
    </row>
    <row r="505" spans="2:2" x14ac:dyDescent="0.25">
      <c r="B505" s="10">
        <f t="shared" si="95"/>
        <v>42369</v>
      </c>
    </row>
    <row r="506" spans="2:2" x14ac:dyDescent="0.25">
      <c r="B506" s="10">
        <f t="shared" si="95"/>
        <v>42376</v>
      </c>
    </row>
    <row r="507" spans="2:2" x14ac:dyDescent="0.25">
      <c r="B507" s="10">
        <f t="shared" si="95"/>
        <v>42383</v>
      </c>
    </row>
    <row r="508" spans="2:2" x14ac:dyDescent="0.25">
      <c r="B508" s="10">
        <f t="shared" si="95"/>
        <v>42390</v>
      </c>
    </row>
    <row r="509" spans="2:2" x14ac:dyDescent="0.25">
      <c r="B509" s="10">
        <f t="shared" ref="B509:B572" si="96">+B508+7</f>
        <v>42397</v>
      </c>
    </row>
    <row r="510" spans="2:2" x14ac:dyDescent="0.25">
      <c r="B510" s="10">
        <f t="shared" si="96"/>
        <v>42404</v>
      </c>
    </row>
    <row r="511" spans="2:2" x14ac:dyDescent="0.25">
      <c r="B511" s="10">
        <f t="shared" si="96"/>
        <v>42411</v>
      </c>
    </row>
    <row r="512" spans="2:2" x14ac:dyDescent="0.25">
      <c r="B512" s="10">
        <f t="shared" si="96"/>
        <v>42418</v>
      </c>
    </row>
    <row r="513" spans="2:2" x14ac:dyDescent="0.25">
      <c r="B513" s="10">
        <f t="shared" si="96"/>
        <v>42425</v>
      </c>
    </row>
    <row r="514" spans="2:2" x14ac:dyDescent="0.25">
      <c r="B514" s="10">
        <f t="shared" si="96"/>
        <v>42432</v>
      </c>
    </row>
    <row r="515" spans="2:2" x14ac:dyDescent="0.25">
      <c r="B515" s="10">
        <f t="shared" si="96"/>
        <v>42439</v>
      </c>
    </row>
    <row r="516" spans="2:2" x14ac:dyDescent="0.25">
      <c r="B516" s="10">
        <f t="shared" si="96"/>
        <v>42446</v>
      </c>
    </row>
    <row r="517" spans="2:2" x14ac:dyDescent="0.25">
      <c r="B517" s="10">
        <f t="shared" si="96"/>
        <v>42453</v>
      </c>
    </row>
    <row r="518" spans="2:2" x14ac:dyDescent="0.25">
      <c r="B518" s="10">
        <f t="shared" si="96"/>
        <v>42460</v>
      </c>
    </row>
    <row r="519" spans="2:2" x14ac:dyDescent="0.25">
      <c r="B519" s="10">
        <f t="shared" si="96"/>
        <v>42467</v>
      </c>
    </row>
    <row r="520" spans="2:2" x14ac:dyDescent="0.25">
      <c r="B520" s="10">
        <f t="shared" si="96"/>
        <v>42474</v>
      </c>
    </row>
    <row r="521" spans="2:2" x14ac:dyDescent="0.25">
      <c r="B521" s="10">
        <f t="shared" si="96"/>
        <v>42481</v>
      </c>
    </row>
    <row r="522" spans="2:2" x14ac:dyDescent="0.25">
      <c r="B522" s="10">
        <f t="shared" si="96"/>
        <v>42488</v>
      </c>
    </row>
    <row r="523" spans="2:2" x14ac:dyDescent="0.25">
      <c r="B523" s="10">
        <f t="shared" si="96"/>
        <v>42495</v>
      </c>
    </row>
    <row r="524" spans="2:2" x14ac:dyDescent="0.25">
      <c r="B524" s="10">
        <f t="shared" si="96"/>
        <v>42502</v>
      </c>
    </row>
    <row r="525" spans="2:2" x14ac:dyDescent="0.25">
      <c r="B525" s="10">
        <f t="shared" si="96"/>
        <v>42509</v>
      </c>
    </row>
    <row r="526" spans="2:2" x14ac:dyDescent="0.25">
      <c r="B526" s="10">
        <f t="shared" si="96"/>
        <v>42516</v>
      </c>
    </row>
    <row r="527" spans="2:2" x14ac:dyDescent="0.25">
      <c r="B527" s="10">
        <f t="shared" si="96"/>
        <v>42523</v>
      </c>
    </row>
    <row r="528" spans="2:2" x14ac:dyDescent="0.25">
      <c r="B528" s="10">
        <f t="shared" si="96"/>
        <v>42530</v>
      </c>
    </row>
    <row r="529" spans="2:2" x14ac:dyDescent="0.25">
      <c r="B529" s="10">
        <f t="shared" si="96"/>
        <v>42537</v>
      </c>
    </row>
    <row r="530" spans="2:2" x14ac:dyDescent="0.25">
      <c r="B530" s="10">
        <f t="shared" si="96"/>
        <v>42544</v>
      </c>
    </row>
    <row r="531" spans="2:2" x14ac:dyDescent="0.25">
      <c r="B531" s="10">
        <f t="shared" si="96"/>
        <v>42551</v>
      </c>
    </row>
    <row r="532" spans="2:2" x14ac:dyDescent="0.25">
      <c r="B532" s="10">
        <f t="shared" si="96"/>
        <v>42558</v>
      </c>
    </row>
    <row r="533" spans="2:2" x14ac:dyDescent="0.25">
      <c r="B533" s="10">
        <f t="shared" si="96"/>
        <v>42565</v>
      </c>
    </row>
    <row r="534" spans="2:2" x14ac:dyDescent="0.25">
      <c r="B534" s="10">
        <f t="shared" si="96"/>
        <v>42572</v>
      </c>
    </row>
    <row r="535" spans="2:2" x14ac:dyDescent="0.25">
      <c r="B535" s="10">
        <f t="shared" si="96"/>
        <v>42579</v>
      </c>
    </row>
    <row r="536" spans="2:2" x14ac:dyDescent="0.25">
      <c r="B536" s="10">
        <f t="shared" si="96"/>
        <v>42586</v>
      </c>
    </row>
    <row r="537" spans="2:2" x14ac:dyDescent="0.25">
      <c r="B537" s="10">
        <f t="shared" si="96"/>
        <v>42593</v>
      </c>
    </row>
    <row r="538" spans="2:2" x14ac:dyDescent="0.25">
      <c r="B538" s="10">
        <f t="shared" si="96"/>
        <v>42600</v>
      </c>
    </row>
    <row r="539" spans="2:2" x14ac:dyDescent="0.25">
      <c r="B539" s="10">
        <f t="shared" si="96"/>
        <v>42607</v>
      </c>
    </row>
    <row r="540" spans="2:2" x14ac:dyDescent="0.25">
      <c r="B540" s="10">
        <f t="shared" si="96"/>
        <v>42614</v>
      </c>
    </row>
    <row r="541" spans="2:2" x14ac:dyDescent="0.25">
      <c r="B541" s="10">
        <f t="shared" si="96"/>
        <v>42621</v>
      </c>
    </row>
    <row r="542" spans="2:2" x14ac:dyDescent="0.25">
      <c r="B542" s="10">
        <f t="shared" si="96"/>
        <v>42628</v>
      </c>
    </row>
    <row r="543" spans="2:2" x14ac:dyDescent="0.25">
      <c r="B543" s="10">
        <f t="shared" si="96"/>
        <v>42635</v>
      </c>
    </row>
    <row r="544" spans="2:2" x14ac:dyDescent="0.25">
      <c r="B544" s="10">
        <f t="shared" si="96"/>
        <v>42642</v>
      </c>
    </row>
    <row r="545" spans="2:2" x14ac:dyDescent="0.25">
      <c r="B545" s="10">
        <f t="shared" si="96"/>
        <v>42649</v>
      </c>
    </row>
    <row r="546" spans="2:2" x14ac:dyDescent="0.25">
      <c r="B546" s="10">
        <f t="shared" si="96"/>
        <v>42656</v>
      </c>
    </row>
    <row r="547" spans="2:2" x14ac:dyDescent="0.25">
      <c r="B547" s="10">
        <f t="shared" si="96"/>
        <v>42663</v>
      </c>
    </row>
    <row r="548" spans="2:2" x14ac:dyDescent="0.25">
      <c r="B548" s="10">
        <f t="shared" si="96"/>
        <v>42670</v>
      </c>
    </row>
    <row r="549" spans="2:2" x14ac:dyDescent="0.25">
      <c r="B549" s="10">
        <f t="shared" si="96"/>
        <v>42677</v>
      </c>
    </row>
    <row r="550" spans="2:2" x14ac:dyDescent="0.25">
      <c r="B550" s="10">
        <f t="shared" si="96"/>
        <v>42684</v>
      </c>
    </row>
    <row r="551" spans="2:2" x14ac:dyDescent="0.25">
      <c r="B551" s="10">
        <f t="shared" si="96"/>
        <v>42691</v>
      </c>
    </row>
    <row r="552" spans="2:2" x14ac:dyDescent="0.25">
      <c r="B552" s="10">
        <f t="shared" si="96"/>
        <v>42698</v>
      </c>
    </row>
    <row r="553" spans="2:2" x14ac:dyDescent="0.25">
      <c r="B553" s="10">
        <f t="shared" si="96"/>
        <v>42705</v>
      </c>
    </row>
    <row r="554" spans="2:2" x14ac:dyDescent="0.25">
      <c r="B554" s="10">
        <f t="shared" si="96"/>
        <v>42712</v>
      </c>
    </row>
    <row r="555" spans="2:2" x14ac:dyDescent="0.25">
      <c r="B555" s="10">
        <f t="shared" si="96"/>
        <v>42719</v>
      </c>
    </row>
    <row r="556" spans="2:2" x14ac:dyDescent="0.25">
      <c r="B556" s="10">
        <f t="shared" si="96"/>
        <v>42726</v>
      </c>
    </row>
    <row r="557" spans="2:2" x14ac:dyDescent="0.25">
      <c r="B557" s="10">
        <f t="shared" si="96"/>
        <v>42733</v>
      </c>
    </row>
    <row r="558" spans="2:2" x14ac:dyDescent="0.25">
      <c r="B558" s="10">
        <f t="shared" si="96"/>
        <v>42740</v>
      </c>
    </row>
    <row r="559" spans="2:2" x14ac:dyDescent="0.25">
      <c r="B559" s="10">
        <f t="shared" si="96"/>
        <v>42747</v>
      </c>
    </row>
    <row r="560" spans="2:2" x14ac:dyDescent="0.25">
      <c r="B560" s="10">
        <f t="shared" si="96"/>
        <v>42754</v>
      </c>
    </row>
    <row r="561" spans="2:2" x14ac:dyDescent="0.25">
      <c r="B561" s="10">
        <f t="shared" si="96"/>
        <v>42761</v>
      </c>
    </row>
    <row r="562" spans="2:2" x14ac:dyDescent="0.25">
      <c r="B562" s="10">
        <f t="shared" si="96"/>
        <v>42768</v>
      </c>
    </row>
    <row r="563" spans="2:2" x14ac:dyDescent="0.25">
      <c r="B563" s="10">
        <f t="shared" si="96"/>
        <v>42775</v>
      </c>
    </row>
    <row r="564" spans="2:2" x14ac:dyDescent="0.25">
      <c r="B564" s="10">
        <f t="shared" si="96"/>
        <v>42782</v>
      </c>
    </row>
    <row r="565" spans="2:2" x14ac:dyDescent="0.25">
      <c r="B565" s="10">
        <f t="shared" si="96"/>
        <v>42789</v>
      </c>
    </row>
    <row r="566" spans="2:2" x14ac:dyDescent="0.25">
      <c r="B566" s="10">
        <f t="shared" si="96"/>
        <v>42796</v>
      </c>
    </row>
    <row r="567" spans="2:2" x14ac:dyDescent="0.25">
      <c r="B567" s="10">
        <f t="shared" si="96"/>
        <v>42803</v>
      </c>
    </row>
    <row r="568" spans="2:2" x14ac:dyDescent="0.25">
      <c r="B568" s="10">
        <f t="shared" si="96"/>
        <v>42810</v>
      </c>
    </row>
    <row r="569" spans="2:2" x14ac:dyDescent="0.25">
      <c r="B569" s="10">
        <f t="shared" si="96"/>
        <v>42817</v>
      </c>
    </row>
    <row r="570" spans="2:2" x14ac:dyDescent="0.25">
      <c r="B570" s="10">
        <f t="shared" si="96"/>
        <v>42824</v>
      </c>
    </row>
    <row r="571" spans="2:2" x14ac:dyDescent="0.25">
      <c r="B571" s="10">
        <f t="shared" si="96"/>
        <v>42831</v>
      </c>
    </row>
    <row r="572" spans="2:2" x14ac:dyDescent="0.25">
      <c r="B572" s="10">
        <f t="shared" si="96"/>
        <v>42838</v>
      </c>
    </row>
    <row r="573" spans="2:2" x14ac:dyDescent="0.25">
      <c r="B573" s="10">
        <f t="shared" ref="B573:B621" si="97">+B572+7</f>
        <v>42845</v>
      </c>
    </row>
    <row r="574" spans="2:2" x14ac:dyDescent="0.25">
      <c r="B574" s="10">
        <f t="shared" si="97"/>
        <v>42852</v>
      </c>
    </row>
    <row r="575" spans="2:2" x14ac:dyDescent="0.25">
      <c r="B575" s="10">
        <f t="shared" si="97"/>
        <v>42859</v>
      </c>
    </row>
    <row r="576" spans="2:2" x14ac:dyDescent="0.25">
      <c r="B576" s="10">
        <f t="shared" si="97"/>
        <v>42866</v>
      </c>
    </row>
    <row r="577" spans="2:2" x14ac:dyDescent="0.25">
      <c r="B577" s="10">
        <f t="shared" si="97"/>
        <v>42873</v>
      </c>
    </row>
    <row r="578" spans="2:2" x14ac:dyDescent="0.25">
      <c r="B578" s="10">
        <f t="shared" si="97"/>
        <v>42880</v>
      </c>
    </row>
    <row r="579" spans="2:2" x14ac:dyDescent="0.25">
      <c r="B579" s="10">
        <f t="shared" si="97"/>
        <v>42887</v>
      </c>
    </row>
    <row r="580" spans="2:2" x14ac:dyDescent="0.25">
      <c r="B580" s="10">
        <f t="shared" si="97"/>
        <v>42894</v>
      </c>
    </row>
    <row r="581" spans="2:2" x14ac:dyDescent="0.25">
      <c r="B581" s="10">
        <f t="shared" si="97"/>
        <v>42901</v>
      </c>
    </row>
    <row r="582" spans="2:2" x14ac:dyDescent="0.25">
      <c r="B582" s="10">
        <f t="shared" si="97"/>
        <v>42908</v>
      </c>
    </row>
    <row r="583" spans="2:2" x14ac:dyDescent="0.25">
      <c r="B583" s="10">
        <f t="shared" si="97"/>
        <v>42915</v>
      </c>
    </row>
    <row r="584" spans="2:2" x14ac:dyDescent="0.25">
      <c r="B584" s="10">
        <f t="shared" si="97"/>
        <v>42922</v>
      </c>
    </row>
    <row r="585" spans="2:2" x14ac:dyDescent="0.25">
      <c r="B585" s="10">
        <f t="shared" si="97"/>
        <v>42929</v>
      </c>
    </row>
    <row r="586" spans="2:2" x14ac:dyDescent="0.25">
      <c r="B586" s="10">
        <f t="shared" si="97"/>
        <v>42936</v>
      </c>
    </row>
    <row r="587" spans="2:2" x14ac:dyDescent="0.25">
      <c r="B587" s="10">
        <f t="shared" si="97"/>
        <v>42943</v>
      </c>
    </row>
    <row r="588" spans="2:2" x14ac:dyDescent="0.25">
      <c r="B588" s="10">
        <f t="shared" si="97"/>
        <v>42950</v>
      </c>
    </row>
    <row r="589" spans="2:2" x14ac:dyDescent="0.25">
      <c r="B589" s="10">
        <f t="shared" si="97"/>
        <v>42957</v>
      </c>
    </row>
    <row r="590" spans="2:2" x14ac:dyDescent="0.25">
      <c r="B590" s="10">
        <f t="shared" si="97"/>
        <v>42964</v>
      </c>
    </row>
    <row r="591" spans="2:2" x14ac:dyDescent="0.25">
      <c r="B591" s="10">
        <f t="shared" si="97"/>
        <v>42971</v>
      </c>
    </row>
    <row r="592" spans="2:2" x14ac:dyDescent="0.25">
      <c r="B592" s="10">
        <f t="shared" si="97"/>
        <v>42978</v>
      </c>
    </row>
    <row r="593" spans="2:2" x14ac:dyDescent="0.25">
      <c r="B593" s="10">
        <f t="shared" si="97"/>
        <v>42985</v>
      </c>
    </row>
    <row r="594" spans="2:2" x14ac:dyDescent="0.25">
      <c r="B594" s="10">
        <f t="shared" si="97"/>
        <v>42992</v>
      </c>
    </row>
    <row r="595" spans="2:2" x14ac:dyDescent="0.25">
      <c r="B595" s="10">
        <f t="shared" si="97"/>
        <v>42999</v>
      </c>
    </row>
    <row r="596" spans="2:2" x14ac:dyDescent="0.25">
      <c r="B596" s="10">
        <f t="shared" si="97"/>
        <v>43006</v>
      </c>
    </row>
    <row r="597" spans="2:2" x14ac:dyDescent="0.25">
      <c r="B597" s="10">
        <f t="shared" si="97"/>
        <v>43013</v>
      </c>
    </row>
    <row r="598" spans="2:2" x14ac:dyDescent="0.25">
      <c r="B598" s="10">
        <f t="shared" si="97"/>
        <v>43020</v>
      </c>
    </row>
    <row r="599" spans="2:2" x14ac:dyDescent="0.25">
      <c r="B599" s="10">
        <f t="shared" si="97"/>
        <v>43027</v>
      </c>
    </row>
    <row r="600" spans="2:2" x14ac:dyDescent="0.25">
      <c r="B600" s="10">
        <f t="shared" si="97"/>
        <v>43034</v>
      </c>
    </row>
    <row r="601" spans="2:2" x14ac:dyDescent="0.25">
      <c r="B601" s="10">
        <f t="shared" si="97"/>
        <v>43041</v>
      </c>
    </row>
    <row r="602" spans="2:2" x14ac:dyDescent="0.25">
      <c r="B602" s="10">
        <f t="shared" si="97"/>
        <v>43048</v>
      </c>
    </row>
    <row r="603" spans="2:2" x14ac:dyDescent="0.25">
      <c r="B603" s="10">
        <f t="shared" si="97"/>
        <v>43055</v>
      </c>
    </row>
    <row r="604" spans="2:2" x14ac:dyDescent="0.25">
      <c r="B604" s="10">
        <f t="shared" si="97"/>
        <v>43062</v>
      </c>
    </row>
    <row r="605" spans="2:2" x14ac:dyDescent="0.25">
      <c r="B605" s="10">
        <f t="shared" si="97"/>
        <v>43069</v>
      </c>
    </row>
    <row r="606" spans="2:2" x14ac:dyDescent="0.25">
      <c r="B606" s="10">
        <f t="shared" si="97"/>
        <v>43076</v>
      </c>
    </row>
    <row r="607" spans="2:2" x14ac:dyDescent="0.25">
      <c r="B607" s="10">
        <f t="shared" si="97"/>
        <v>43083</v>
      </c>
    </row>
    <row r="608" spans="2:2" x14ac:dyDescent="0.25">
      <c r="B608" s="10">
        <f t="shared" si="97"/>
        <v>43090</v>
      </c>
    </row>
    <row r="609" spans="2:2" x14ac:dyDescent="0.25">
      <c r="B609" s="10">
        <f t="shared" si="97"/>
        <v>43097</v>
      </c>
    </row>
    <row r="610" spans="2:2" x14ac:dyDescent="0.25">
      <c r="B610" s="10">
        <f t="shared" si="97"/>
        <v>43104</v>
      </c>
    </row>
    <row r="611" spans="2:2" x14ac:dyDescent="0.25">
      <c r="B611" s="10">
        <f t="shared" si="97"/>
        <v>43111</v>
      </c>
    </row>
    <row r="612" spans="2:2" x14ac:dyDescent="0.25">
      <c r="B612" s="10">
        <f t="shared" si="97"/>
        <v>43118</v>
      </c>
    </row>
    <row r="613" spans="2:2" x14ac:dyDescent="0.25">
      <c r="B613" s="10">
        <f t="shared" si="97"/>
        <v>43125</v>
      </c>
    </row>
    <row r="614" spans="2:2" x14ac:dyDescent="0.25">
      <c r="B614" s="10">
        <f t="shared" si="97"/>
        <v>43132</v>
      </c>
    </row>
    <row r="615" spans="2:2" x14ac:dyDescent="0.25">
      <c r="B615" s="10">
        <f t="shared" si="97"/>
        <v>43139</v>
      </c>
    </row>
    <row r="616" spans="2:2" x14ac:dyDescent="0.25">
      <c r="B616" s="10">
        <f t="shared" si="97"/>
        <v>43146</v>
      </c>
    </row>
    <row r="617" spans="2:2" x14ac:dyDescent="0.25">
      <c r="B617" s="10">
        <f t="shared" si="97"/>
        <v>43153</v>
      </c>
    </row>
    <row r="618" spans="2:2" x14ac:dyDescent="0.25">
      <c r="B618" s="10">
        <f t="shared" si="97"/>
        <v>43160</v>
      </c>
    </row>
    <row r="619" spans="2:2" x14ac:dyDescent="0.25">
      <c r="B619" s="10">
        <f t="shared" si="97"/>
        <v>43167</v>
      </c>
    </row>
    <row r="620" spans="2:2" x14ac:dyDescent="0.25">
      <c r="B620" s="10">
        <f t="shared" si="97"/>
        <v>43174</v>
      </c>
    </row>
    <row r="621" spans="2:2" x14ac:dyDescent="0.25">
      <c r="B621" s="10">
        <f t="shared" si="97"/>
        <v>43181</v>
      </c>
    </row>
    <row r="65525" spans="2:9" x14ac:dyDescent="0.25">
      <c r="B65525" s="10"/>
      <c r="G65525" s="19"/>
      <c r="H65525" s="19"/>
      <c r="I65525" s="24"/>
    </row>
  </sheetData>
  <mergeCells count="4">
    <mergeCell ref="E1:F1"/>
    <mergeCell ref="G1:H1"/>
    <mergeCell ref="E3:F3"/>
    <mergeCell ref="G3:H3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M65524"/>
  <sheetViews>
    <sheetView topLeftCell="A375" workbookViewId="0">
      <selection activeCell="K397" sqref="K397"/>
    </sheetView>
  </sheetViews>
  <sheetFormatPr defaultRowHeight="13.2" x14ac:dyDescent="0.25"/>
  <cols>
    <col min="2" max="2" width="12.5546875" customWidth="1"/>
  </cols>
  <sheetData>
    <row r="1" spans="1:10" x14ac:dyDescent="0.25">
      <c r="C1" t="s">
        <v>4</v>
      </c>
      <c r="E1" s="135" t="s">
        <v>5</v>
      </c>
      <c r="F1" s="136"/>
      <c r="G1" s="135" t="s">
        <v>6</v>
      </c>
      <c r="H1" s="136"/>
      <c r="I1" s="5"/>
    </row>
    <row r="2" spans="1:10" ht="19.95" customHeight="1" x14ac:dyDescent="0.25">
      <c r="B2" t="s">
        <v>13</v>
      </c>
      <c r="C2" s="76" t="s">
        <v>32</v>
      </c>
      <c r="D2" s="76" t="s">
        <v>33</v>
      </c>
      <c r="E2" s="82" t="s">
        <v>32</v>
      </c>
      <c r="F2" s="83" t="s">
        <v>33</v>
      </c>
      <c r="G2" s="82" t="s">
        <v>195</v>
      </c>
      <c r="H2" s="83" t="s">
        <v>33</v>
      </c>
      <c r="I2" s="9" t="s">
        <v>8</v>
      </c>
      <c r="J2" s="19">
        <v>2006</v>
      </c>
    </row>
    <row r="3" spans="1:10" x14ac:dyDescent="0.25">
      <c r="A3" t="s">
        <v>3</v>
      </c>
      <c r="B3" s="10">
        <v>38869</v>
      </c>
      <c r="C3">
        <v>112.1</v>
      </c>
      <c r="D3">
        <v>102.7</v>
      </c>
      <c r="E3">
        <v>0</v>
      </c>
      <c r="F3">
        <v>0</v>
      </c>
      <c r="G3">
        <f t="shared" ref="G3:H33" si="0">+C3+E3</f>
        <v>112.1</v>
      </c>
      <c r="H3">
        <f t="shared" si="0"/>
        <v>102.7</v>
      </c>
      <c r="I3" s="14">
        <f t="shared" ref="I3:I33" si="1">+(G3/H3-1)*100</f>
        <v>9.1528724440116846</v>
      </c>
    </row>
    <row r="4" spans="1:10" x14ac:dyDescent="0.25">
      <c r="B4" s="10">
        <f t="shared" ref="B4:B250" si="2">+B3+7</f>
        <v>38876</v>
      </c>
      <c r="C4">
        <v>142.1</v>
      </c>
      <c r="D4">
        <v>129.69999999999999</v>
      </c>
      <c r="E4">
        <v>0</v>
      </c>
      <c r="F4">
        <v>0</v>
      </c>
      <c r="G4">
        <f t="shared" si="0"/>
        <v>142.1</v>
      </c>
      <c r="H4">
        <f t="shared" si="0"/>
        <v>129.69999999999999</v>
      </c>
      <c r="I4" s="14">
        <f t="shared" si="1"/>
        <v>9.5605242868157312</v>
      </c>
    </row>
    <row r="5" spans="1:10" x14ac:dyDescent="0.25">
      <c r="B5" s="10">
        <f t="shared" si="2"/>
        <v>38883</v>
      </c>
      <c r="C5">
        <v>138.1</v>
      </c>
      <c r="D5">
        <v>154.19999999999999</v>
      </c>
      <c r="E5">
        <v>9.8000000000000007</v>
      </c>
      <c r="F5">
        <v>0</v>
      </c>
      <c r="G5">
        <f t="shared" si="0"/>
        <v>147.9</v>
      </c>
      <c r="H5">
        <f t="shared" si="0"/>
        <v>154.19999999999999</v>
      </c>
      <c r="I5" s="14">
        <f t="shared" si="1"/>
        <v>-4.0856031128404524</v>
      </c>
    </row>
    <row r="6" spans="1:10" x14ac:dyDescent="0.25">
      <c r="B6" s="10">
        <f t="shared" si="2"/>
        <v>38890</v>
      </c>
      <c r="C6">
        <v>128.6</v>
      </c>
      <c r="D6">
        <v>154.19999999999999</v>
      </c>
      <c r="E6">
        <v>19.899999999999999</v>
      </c>
      <c r="F6">
        <v>0</v>
      </c>
      <c r="G6">
        <f t="shared" si="0"/>
        <v>148.5</v>
      </c>
      <c r="H6">
        <f t="shared" si="0"/>
        <v>154.19999999999999</v>
      </c>
      <c r="I6" s="14">
        <f t="shared" si="1"/>
        <v>-3.6964980544747061</v>
      </c>
    </row>
    <row r="7" spans="1:10" x14ac:dyDescent="0.25">
      <c r="B7" s="10">
        <f t="shared" si="2"/>
        <v>38897</v>
      </c>
      <c r="C7">
        <v>135.9</v>
      </c>
      <c r="D7">
        <v>149.9</v>
      </c>
      <c r="E7">
        <v>53.6</v>
      </c>
      <c r="F7">
        <v>44.4</v>
      </c>
      <c r="G7" s="19">
        <f t="shared" si="0"/>
        <v>189.5</v>
      </c>
      <c r="H7" s="19">
        <f t="shared" si="0"/>
        <v>194.3</v>
      </c>
      <c r="I7" s="24">
        <f t="shared" si="1"/>
        <v>-2.4704065877509063</v>
      </c>
    </row>
    <row r="8" spans="1:10" x14ac:dyDescent="0.25">
      <c r="B8" s="10">
        <f t="shared" si="2"/>
        <v>38904</v>
      </c>
      <c r="C8">
        <v>153.9</v>
      </c>
      <c r="D8">
        <v>141</v>
      </c>
      <c r="E8">
        <v>53.6</v>
      </c>
      <c r="F8">
        <v>53.5</v>
      </c>
      <c r="G8" s="19">
        <f t="shared" si="0"/>
        <v>207.5</v>
      </c>
      <c r="H8" s="19">
        <f t="shared" si="0"/>
        <v>194.5</v>
      </c>
      <c r="I8" s="24">
        <f t="shared" si="1"/>
        <v>6.6838046272493568</v>
      </c>
    </row>
    <row r="9" spans="1:10" x14ac:dyDescent="0.25">
      <c r="B9" s="10">
        <f t="shared" si="2"/>
        <v>38911</v>
      </c>
      <c r="C9">
        <v>153.9</v>
      </c>
      <c r="D9">
        <v>92</v>
      </c>
      <c r="E9">
        <v>53.6</v>
      </c>
      <c r="F9">
        <v>82.5</v>
      </c>
      <c r="G9" s="19">
        <f t="shared" si="0"/>
        <v>207.5</v>
      </c>
      <c r="H9" s="19">
        <f t="shared" si="0"/>
        <v>174.5</v>
      </c>
      <c r="I9" s="24">
        <f t="shared" si="1"/>
        <v>18.911174785100293</v>
      </c>
    </row>
    <row r="10" spans="1:10" x14ac:dyDescent="0.25">
      <c r="B10" s="10">
        <f t="shared" si="2"/>
        <v>38918</v>
      </c>
      <c r="C10">
        <v>153.9</v>
      </c>
      <c r="D10">
        <v>110</v>
      </c>
      <c r="E10">
        <v>53.6</v>
      </c>
      <c r="F10">
        <v>92</v>
      </c>
      <c r="G10" s="19">
        <f t="shared" si="0"/>
        <v>207.5</v>
      </c>
      <c r="H10" s="19">
        <f t="shared" si="0"/>
        <v>202</v>
      </c>
      <c r="I10" s="24">
        <f t="shared" si="1"/>
        <v>2.7227722772277252</v>
      </c>
    </row>
    <row r="11" spans="1:10" x14ac:dyDescent="0.25">
      <c r="B11" s="10">
        <f t="shared" si="2"/>
        <v>38925</v>
      </c>
      <c r="C11">
        <v>179.8</v>
      </c>
      <c r="D11">
        <v>125.9</v>
      </c>
      <c r="E11">
        <v>53.6</v>
      </c>
      <c r="F11">
        <v>109.9</v>
      </c>
      <c r="G11" s="19">
        <f t="shared" si="0"/>
        <v>233.4</v>
      </c>
      <c r="H11" s="19">
        <f t="shared" si="0"/>
        <v>235.8</v>
      </c>
      <c r="I11" s="24">
        <f t="shared" si="1"/>
        <v>-1.0178117048346036</v>
      </c>
    </row>
    <row r="12" spans="1:10" x14ac:dyDescent="0.25">
      <c r="B12" s="10">
        <f t="shared" si="2"/>
        <v>38932</v>
      </c>
      <c r="C12">
        <v>159.80000000000001</v>
      </c>
      <c r="D12">
        <v>125.9</v>
      </c>
      <c r="E12">
        <v>74.599999999999994</v>
      </c>
      <c r="F12">
        <v>109.9</v>
      </c>
      <c r="G12" s="19">
        <f t="shared" si="0"/>
        <v>234.4</v>
      </c>
      <c r="H12" s="19">
        <f t="shared" si="0"/>
        <v>235.8</v>
      </c>
      <c r="I12" s="24">
        <f t="shared" si="1"/>
        <v>-0.59372349448685302</v>
      </c>
    </row>
    <row r="13" spans="1:10" x14ac:dyDescent="0.25">
      <c r="B13" s="10">
        <f t="shared" si="2"/>
        <v>38939</v>
      </c>
      <c r="C13">
        <v>206.3</v>
      </c>
      <c r="D13">
        <v>99.3</v>
      </c>
      <c r="E13">
        <v>109.4</v>
      </c>
      <c r="F13">
        <v>136.69999999999999</v>
      </c>
      <c r="G13" s="19">
        <f t="shared" si="0"/>
        <v>315.70000000000005</v>
      </c>
      <c r="H13" s="19">
        <f t="shared" si="0"/>
        <v>236</v>
      </c>
      <c r="I13" s="24">
        <f t="shared" si="1"/>
        <v>33.77118644067798</v>
      </c>
    </row>
    <row r="14" spans="1:10" x14ac:dyDescent="0.25">
      <c r="B14" s="10">
        <f t="shared" si="2"/>
        <v>38946</v>
      </c>
      <c r="C14">
        <v>198.4</v>
      </c>
      <c r="D14">
        <v>73.400000000000006</v>
      </c>
      <c r="E14">
        <v>117.9</v>
      </c>
      <c r="F14">
        <v>163.9</v>
      </c>
      <c r="G14" s="19">
        <f t="shared" si="0"/>
        <v>316.3</v>
      </c>
      <c r="H14" s="19">
        <f t="shared" si="0"/>
        <v>237.3</v>
      </c>
      <c r="I14" s="24">
        <f t="shared" si="1"/>
        <v>33.291192583227989</v>
      </c>
    </row>
    <row r="15" spans="1:10" x14ac:dyDescent="0.25">
      <c r="B15" s="10">
        <f t="shared" si="2"/>
        <v>38953</v>
      </c>
      <c r="C15">
        <v>216.4</v>
      </c>
      <c r="D15">
        <v>88.9</v>
      </c>
      <c r="E15">
        <v>117.9</v>
      </c>
      <c r="F15">
        <v>204.2</v>
      </c>
      <c r="G15" s="19">
        <f t="shared" si="0"/>
        <v>334.3</v>
      </c>
      <c r="H15" s="19">
        <f t="shared" si="0"/>
        <v>293.10000000000002</v>
      </c>
      <c r="I15" s="24">
        <f t="shared" si="1"/>
        <v>14.056635960423058</v>
      </c>
    </row>
    <row r="16" spans="1:10" x14ac:dyDescent="0.25">
      <c r="B16" s="10">
        <f t="shared" si="2"/>
        <v>38960</v>
      </c>
      <c r="C16">
        <v>175.4</v>
      </c>
      <c r="D16">
        <v>99.4</v>
      </c>
      <c r="E16">
        <v>143</v>
      </c>
      <c r="F16">
        <v>232.7</v>
      </c>
      <c r="G16" s="19">
        <f t="shared" si="0"/>
        <v>318.39999999999998</v>
      </c>
      <c r="H16" s="19">
        <f t="shared" si="0"/>
        <v>332.1</v>
      </c>
      <c r="I16" s="24">
        <f t="shared" si="1"/>
        <v>-4.1252634748569879</v>
      </c>
    </row>
    <row r="17" spans="2:10" x14ac:dyDescent="0.25">
      <c r="B17" s="10">
        <f t="shared" si="2"/>
        <v>38967</v>
      </c>
      <c r="C17">
        <v>179.9</v>
      </c>
      <c r="D17">
        <v>78.599999999999994</v>
      </c>
      <c r="E17">
        <v>143</v>
      </c>
      <c r="F17">
        <v>253.9</v>
      </c>
      <c r="G17" s="19">
        <f t="shared" si="0"/>
        <v>322.89999999999998</v>
      </c>
      <c r="H17" s="19">
        <f t="shared" si="0"/>
        <v>332.5</v>
      </c>
      <c r="I17" s="24">
        <f t="shared" si="1"/>
        <v>-2.8872180451127938</v>
      </c>
    </row>
    <row r="18" spans="2:10" x14ac:dyDescent="0.25">
      <c r="B18" s="10">
        <f t="shared" si="2"/>
        <v>38974</v>
      </c>
      <c r="C18">
        <v>171.7</v>
      </c>
      <c r="D18">
        <v>97.6</v>
      </c>
      <c r="E18">
        <v>166</v>
      </c>
      <c r="F18">
        <v>255.9</v>
      </c>
      <c r="G18" s="19">
        <f t="shared" si="0"/>
        <v>337.7</v>
      </c>
      <c r="H18" s="19">
        <f t="shared" si="0"/>
        <v>353.5</v>
      </c>
      <c r="I18" s="24">
        <f t="shared" si="1"/>
        <v>-4.4695898161244756</v>
      </c>
    </row>
    <row r="19" spans="2:10" x14ac:dyDescent="0.25">
      <c r="B19" s="10">
        <f t="shared" si="2"/>
        <v>38981</v>
      </c>
      <c r="C19">
        <v>169.9</v>
      </c>
      <c r="D19">
        <v>90.4</v>
      </c>
      <c r="E19">
        <v>166</v>
      </c>
      <c r="F19">
        <v>280.2</v>
      </c>
      <c r="G19" s="19">
        <f t="shared" si="0"/>
        <v>335.9</v>
      </c>
      <c r="H19" s="19">
        <f t="shared" si="0"/>
        <v>370.6</v>
      </c>
      <c r="I19" s="24">
        <f t="shared" si="1"/>
        <v>-9.3631948192120955</v>
      </c>
    </row>
    <row r="20" spans="2:10" x14ac:dyDescent="0.25">
      <c r="B20" s="10">
        <f t="shared" si="2"/>
        <v>38988</v>
      </c>
      <c r="C20">
        <v>180.8</v>
      </c>
      <c r="D20">
        <v>104.1</v>
      </c>
      <c r="E20">
        <v>186</v>
      </c>
      <c r="F20">
        <v>297.60000000000002</v>
      </c>
      <c r="G20" s="19">
        <f t="shared" si="0"/>
        <v>366.8</v>
      </c>
      <c r="H20" s="19">
        <f t="shared" si="0"/>
        <v>401.70000000000005</v>
      </c>
      <c r="I20" s="24">
        <f t="shared" si="1"/>
        <v>-8.6880756783669462</v>
      </c>
    </row>
    <row r="21" spans="2:10" x14ac:dyDescent="0.25">
      <c r="B21" s="10">
        <f t="shared" si="2"/>
        <v>38995</v>
      </c>
      <c r="C21">
        <v>167.3</v>
      </c>
      <c r="D21">
        <v>66.8</v>
      </c>
      <c r="E21">
        <v>195.5</v>
      </c>
      <c r="F21">
        <v>334.8</v>
      </c>
      <c r="G21" s="19">
        <f t="shared" si="0"/>
        <v>362.8</v>
      </c>
      <c r="H21" s="19">
        <f t="shared" si="0"/>
        <v>401.6</v>
      </c>
      <c r="I21" s="24">
        <f t="shared" si="1"/>
        <v>-9.6613545816733097</v>
      </c>
    </row>
    <row r="22" spans="2:10" x14ac:dyDescent="0.25">
      <c r="B22" s="10">
        <f t="shared" si="2"/>
        <v>39002</v>
      </c>
      <c r="C22">
        <v>81.099999999999994</v>
      </c>
      <c r="D22">
        <v>62.6</v>
      </c>
      <c r="E22">
        <v>242.2</v>
      </c>
      <c r="F22">
        <v>408.6</v>
      </c>
      <c r="G22" s="19">
        <f t="shared" si="0"/>
        <v>323.29999999999995</v>
      </c>
      <c r="H22" s="19">
        <f t="shared" si="0"/>
        <v>471.20000000000005</v>
      </c>
      <c r="I22" s="24">
        <f t="shared" si="1"/>
        <v>-31.387945670628202</v>
      </c>
      <c r="J22" t="s">
        <v>23</v>
      </c>
    </row>
    <row r="23" spans="2:10" x14ac:dyDescent="0.25">
      <c r="B23" s="10">
        <f t="shared" si="2"/>
        <v>39009</v>
      </c>
      <c r="C23">
        <v>63.5</v>
      </c>
      <c r="D23">
        <v>62.6</v>
      </c>
      <c r="E23">
        <v>264.2</v>
      </c>
      <c r="F23">
        <v>408.6</v>
      </c>
      <c r="G23" s="19">
        <f t="shared" si="0"/>
        <v>327.7</v>
      </c>
      <c r="H23" s="19">
        <f t="shared" si="0"/>
        <v>471.20000000000005</v>
      </c>
      <c r="I23" s="24">
        <f t="shared" si="1"/>
        <v>-30.454159592529717</v>
      </c>
    </row>
    <row r="24" spans="2:10" x14ac:dyDescent="0.25">
      <c r="B24" s="10">
        <f t="shared" si="2"/>
        <v>39016</v>
      </c>
      <c r="C24">
        <v>64.3</v>
      </c>
      <c r="D24">
        <v>85.4</v>
      </c>
      <c r="E24">
        <v>264.2</v>
      </c>
      <c r="F24">
        <v>408.6</v>
      </c>
      <c r="G24" s="19">
        <f t="shared" si="0"/>
        <v>328.5</v>
      </c>
      <c r="H24" s="19">
        <f t="shared" si="0"/>
        <v>494</v>
      </c>
      <c r="I24" s="24">
        <f t="shared" si="1"/>
        <v>-33.502024291497975</v>
      </c>
    </row>
    <row r="25" spans="2:10" x14ac:dyDescent="0.25">
      <c r="B25" s="10">
        <f t="shared" si="2"/>
        <v>39023</v>
      </c>
      <c r="C25">
        <v>64.3</v>
      </c>
      <c r="D25">
        <v>113.5</v>
      </c>
      <c r="E25">
        <v>264.2</v>
      </c>
      <c r="F25">
        <v>423.9</v>
      </c>
      <c r="G25" s="19">
        <f t="shared" si="0"/>
        <v>328.5</v>
      </c>
      <c r="H25" s="19">
        <f t="shared" si="0"/>
        <v>537.4</v>
      </c>
      <c r="I25" s="24">
        <f t="shared" si="1"/>
        <v>-38.872348343877924</v>
      </c>
    </row>
    <row r="26" spans="2:10" x14ac:dyDescent="0.25">
      <c r="B26" s="10">
        <f t="shared" si="2"/>
        <v>39030</v>
      </c>
      <c r="C26">
        <v>70.3</v>
      </c>
      <c r="D26">
        <v>113.5</v>
      </c>
      <c r="E26">
        <v>275.7</v>
      </c>
      <c r="F26">
        <v>431.4</v>
      </c>
      <c r="G26" s="19">
        <f t="shared" si="0"/>
        <v>346</v>
      </c>
      <c r="H26" s="19">
        <f t="shared" si="0"/>
        <v>544.9</v>
      </c>
      <c r="I26" s="24">
        <f t="shared" si="1"/>
        <v>-36.502110478986971</v>
      </c>
    </row>
    <row r="27" spans="2:10" x14ac:dyDescent="0.25">
      <c r="B27" s="10">
        <f t="shared" si="2"/>
        <v>39037</v>
      </c>
      <c r="C27">
        <v>57.8</v>
      </c>
      <c r="D27">
        <v>131</v>
      </c>
      <c r="E27">
        <v>293.2</v>
      </c>
      <c r="F27">
        <v>438.5</v>
      </c>
      <c r="G27" s="19">
        <f t="shared" si="0"/>
        <v>351</v>
      </c>
      <c r="H27" s="19">
        <f t="shared" si="0"/>
        <v>569.5</v>
      </c>
      <c r="I27" s="24">
        <f t="shared" si="1"/>
        <v>-38.366988586479366</v>
      </c>
    </row>
    <row r="28" spans="2:10" x14ac:dyDescent="0.25">
      <c r="B28" s="10">
        <f t="shared" si="2"/>
        <v>39044</v>
      </c>
      <c r="C28">
        <v>97.8</v>
      </c>
      <c r="D28">
        <v>131</v>
      </c>
      <c r="E28">
        <v>315.60000000000002</v>
      </c>
      <c r="F28">
        <v>438.5</v>
      </c>
      <c r="G28" s="19">
        <f t="shared" si="0"/>
        <v>413.40000000000003</v>
      </c>
      <c r="H28" s="19">
        <f t="shared" si="0"/>
        <v>569.5</v>
      </c>
      <c r="I28" s="24">
        <f t="shared" si="1"/>
        <v>-27.410008779631244</v>
      </c>
    </row>
    <row r="29" spans="2:10" x14ac:dyDescent="0.25">
      <c r="B29" s="10">
        <f t="shared" si="2"/>
        <v>39051</v>
      </c>
      <c r="C29">
        <v>84.3</v>
      </c>
      <c r="D29">
        <v>128.5</v>
      </c>
      <c r="E29">
        <v>337.8</v>
      </c>
      <c r="F29">
        <v>438.5</v>
      </c>
      <c r="G29" s="19">
        <f t="shared" si="0"/>
        <v>422.1</v>
      </c>
      <c r="H29" s="19">
        <f t="shared" si="0"/>
        <v>567</v>
      </c>
      <c r="I29" s="24">
        <f t="shared" si="1"/>
        <v>-25.555555555555554</v>
      </c>
    </row>
    <row r="30" spans="2:10" x14ac:dyDescent="0.25">
      <c r="B30" s="10">
        <f t="shared" si="2"/>
        <v>39058</v>
      </c>
      <c r="C30">
        <v>84.3</v>
      </c>
      <c r="D30">
        <v>99.5</v>
      </c>
      <c r="E30">
        <v>337.8</v>
      </c>
      <c r="F30">
        <v>494.4</v>
      </c>
      <c r="G30" s="19">
        <f t="shared" si="0"/>
        <v>422.1</v>
      </c>
      <c r="H30" s="19">
        <f t="shared" si="0"/>
        <v>593.9</v>
      </c>
      <c r="I30" s="24">
        <f t="shared" si="1"/>
        <v>-28.927428860077441</v>
      </c>
    </row>
    <row r="31" spans="2:10" x14ac:dyDescent="0.25">
      <c r="B31" s="10">
        <f t="shared" si="2"/>
        <v>39065</v>
      </c>
      <c r="C31">
        <v>53.5</v>
      </c>
      <c r="D31">
        <v>71.099999999999994</v>
      </c>
      <c r="E31">
        <v>390.2</v>
      </c>
      <c r="F31">
        <v>563.79999999999995</v>
      </c>
      <c r="G31" s="19">
        <f t="shared" si="0"/>
        <v>443.7</v>
      </c>
      <c r="H31" s="19">
        <f t="shared" si="0"/>
        <v>634.9</v>
      </c>
      <c r="I31" s="24">
        <f t="shared" si="1"/>
        <v>-30.114978736808951</v>
      </c>
    </row>
    <row r="32" spans="2:10" x14ac:dyDescent="0.25">
      <c r="B32" s="10">
        <f t="shared" si="2"/>
        <v>39072</v>
      </c>
      <c r="C32">
        <v>53.5</v>
      </c>
      <c r="D32">
        <v>0</v>
      </c>
      <c r="E32">
        <v>390.2</v>
      </c>
      <c r="F32">
        <v>640.29999999999995</v>
      </c>
      <c r="G32" s="19">
        <f t="shared" si="0"/>
        <v>443.7</v>
      </c>
      <c r="H32" s="19">
        <f t="shared" si="0"/>
        <v>640.29999999999995</v>
      </c>
      <c r="I32" s="24">
        <f t="shared" si="1"/>
        <v>-30.704357332500386</v>
      </c>
    </row>
    <row r="33" spans="2:9" x14ac:dyDescent="0.25">
      <c r="B33" s="10">
        <f t="shared" si="2"/>
        <v>39079</v>
      </c>
      <c r="C33">
        <v>53.5</v>
      </c>
      <c r="D33">
        <v>0</v>
      </c>
      <c r="E33">
        <v>390.2</v>
      </c>
      <c r="F33">
        <v>640.29999999999995</v>
      </c>
      <c r="G33" s="19">
        <f t="shared" si="0"/>
        <v>443.7</v>
      </c>
      <c r="H33" s="19">
        <f t="shared" si="0"/>
        <v>640.29999999999995</v>
      </c>
      <c r="I33" s="24">
        <f t="shared" si="1"/>
        <v>-30.704357332500386</v>
      </c>
    </row>
    <row r="34" spans="2:9" x14ac:dyDescent="0.25">
      <c r="B34" s="10">
        <f t="shared" si="2"/>
        <v>39086</v>
      </c>
      <c r="C34">
        <v>53.5</v>
      </c>
      <c r="D34">
        <v>0</v>
      </c>
      <c r="E34">
        <v>390.2</v>
      </c>
      <c r="F34">
        <v>640.29999999999995</v>
      </c>
      <c r="G34" s="19">
        <f t="shared" ref="G34:H36" si="3">+C34+E34</f>
        <v>443.7</v>
      </c>
      <c r="H34" s="19">
        <f t="shared" si="3"/>
        <v>640.29999999999995</v>
      </c>
      <c r="I34" s="24">
        <f t="shared" ref="I34:I39" si="4">+(G34/H34-1)*100</f>
        <v>-30.704357332500386</v>
      </c>
    </row>
    <row r="35" spans="2:9" x14ac:dyDescent="0.25">
      <c r="B35" s="10">
        <f t="shared" si="2"/>
        <v>39093</v>
      </c>
      <c r="C35">
        <v>53.5</v>
      </c>
      <c r="D35">
        <v>0</v>
      </c>
      <c r="E35">
        <v>390.2</v>
      </c>
      <c r="F35">
        <v>640.29999999999995</v>
      </c>
      <c r="G35" s="19">
        <f t="shared" si="3"/>
        <v>443.7</v>
      </c>
      <c r="H35" s="19">
        <f t="shared" si="3"/>
        <v>640.29999999999995</v>
      </c>
      <c r="I35" s="24">
        <f t="shared" si="4"/>
        <v>-30.704357332500386</v>
      </c>
    </row>
    <row r="36" spans="2:9" x14ac:dyDescent="0.25">
      <c r="B36" s="10">
        <f t="shared" si="2"/>
        <v>39100</v>
      </c>
      <c r="C36">
        <v>53.5</v>
      </c>
      <c r="D36">
        <v>17</v>
      </c>
      <c r="E36">
        <v>390.2</v>
      </c>
      <c r="F36">
        <v>640.29999999999995</v>
      </c>
      <c r="G36" s="19">
        <f t="shared" si="3"/>
        <v>443.7</v>
      </c>
      <c r="H36" s="19">
        <f t="shared" si="3"/>
        <v>657.3</v>
      </c>
      <c r="I36" s="24">
        <f t="shared" si="4"/>
        <v>-32.496576905522588</v>
      </c>
    </row>
    <row r="37" spans="2:9" x14ac:dyDescent="0.25">
      <c r="B37" s="10">
        <f t="shared" si="2"/>
        <v>39107</v>
      </c>
      <c r="C37">
        <v>53.5</v>
      </c>
      <c r="D37">
        <v>27</v>
      </c>
      <c r="E37">
        <v>425.3</v>
      </c>
      <c r="F37">
        <v>640.29999999999995</v>
      </c>
      <c r="G37" s="19">
        <f t="shared" ref="G37:H39" si="5">+C37+E37</f>
        <v>478.8</v>
      </c>
      <c r="H37" s="19">
        <f t="shared" si="5"/>
        <v>667.3</v>
      </c>
      <c r="I37" s="24">
        <f t="shared" si="4"/>
        <v>-28.248164243968223</v>
      </c>
    </row>
    <row r="38" spans="2:9" x14ac:dyDescent="0.25">
      <c r="B38" s="10">
        <f t="shared" si="2"/>
        <v>39114</v>
      </c>
      <c r="C38">
        <v>53.5</v>
      </c>
      <c r="D38">
        <v>27</v>
      </c>
      <c r="E38">
        <v>425.3</v>
      </c>
      <c r="F38">
        <v>647.5</v>
      </c>
      <c r="G38" s="19">
        <f t="shared" si="5"/>
        <v>478.8</v>
      </c>
      <c r="H38" s="19">
        <f t="shared" si="5"/>
        <v>674.5</v>
      </c>
      <c r="I38" s="24">
        <f t="shared" si="4"/>
        <v>-29.014084507042249</v>
      </c>
    </row>
    <row r="39" spans="2:9" x14ac:dyDescent="0.25">
      <c r="B39" s="10">
        <f t="shared" si="2"/>
        <v>39121</v>
      </c>
      <c r="C39">
        <v>53.5</v>
      </c>
      <c r="D39">
        <v>35</v>
      </c>
      <c r="E39">
        <v>425.3</v>
      </c>
      <c r="F39">
        <v>647.5</v>
      </c>
      <c r="G39" s="19">
        <f t="shared" si="5"/>
        <v>478.8</v>
      </c>
      <c r="H39" s="19">
        <f t="shared" si="5"/>
        <v>682.5</v>
      </c>
      <c r="I39" s="24">
        <f t="shared" si="4"/>
        <v>-29.846153846153843</v>
      </c>
    </row>
    <row r="40" spans="2:9" x14ac:dyDescent="0.25">
      <c r="B40" s="10">
        <f t="shared" si="2"/>
        <v>39128</v>
      </c>
      <c r="C40">
        <v>113.5</v>
      </c>
      <c r="D40">
        <v>35</v>
      </c>
      <c r="E40">
        <v>425.3</v>
      </c>
      <c r="F40">
        <v>647.5</v>
      </c>
      <c r="G40" s="19">
        <f t="shared" ref="G40:H42" si="6">+C40+E40</f>
        <v>538.79999999999995</v>
      </c>
      <c r="H40" s="19">
        <f t="shared" si="6"/>
        <v>682.5</v>
      </c>
      <c r="I40" s="24">
        <f t="shared" ref="I40:I45" si="7">+(G40/H40-1)*100</f>
        <v>-21.054945054945062</v>
      </c>
    </row>
    <row r="41" spans="2:9" x14ac:dyDescent="0.25">
      <c r="B41" s="10">
        <f t="shared" si="2"/>
        <v>39135</v>
      </c>
      <c r="C41">
        <v>97.5</v>
      </c>
      <c r="D41">
        <v>40</v>
      </c>
      <c r="E41">
        <v>440.8</v>
      </c>
      <c r="F41">
        <v>647.5</v>
      </c>
      <c r="G41" s="19">
        <f t="shared" si="6"/>
        <v>538.29999999999995</v>
      </c>
      <c r="H41" s="19">
        <f t="shared" si="6"/>
        <v>687.5</v>
      </c>
      <c r="I41" s="24">
        <f t="shared" si="7"/>
        <v>-21.70181818181819</v>
      </c>
    </row>
    <row r="42" spans="2:9" x14ac:dyDescent="0.25">
      <c r="B42" s="10">
        <f t="shared" si="2"/>
        <v>39142</v>
      </c>
      <c r="C42">
        <v>97.5</v>
      </c>
      <c r="D42">
        <v>40</v>
      </c>
      <c r="E42">
        <v>440.8</v>
      </c>
      <c r="F42">
        <v>647.5</v>
      </c>
      <c r="G42" s="19">
        <f t="shared" si="6"/>
        <v>538.29999999999995</v>
      </c>
      <c r="H42" s="19">
        <f t="shared" si="6"/>
        <v>687.5</v>
      </c>
      <c r="I42" s="24">
        <f t="shared" si="7"/>
        <v>-21.70181818181819</v>
      </c>
    </row>
    <row r="43" spans="2:9" x14ac:dyDescent="0.25">
      <c r="B43" s="10">
        <f t="shared" si="2"/>
        <v>39149</v>
      </c>
      <c r="C43">
        <v>80</v>
      </c>
      <c r="D43">
        <v>40</v>
      </c>
      <c r="E43">
        <v>457.6</v>
      </c>
      <c r="F43">
        <v>647.5</v>
      </c>
      <c r="G43" s="19">
        <f t="shared" ref="G43:H45" si="8">+C43+E43</f>
        <v>537.6</v>
      </c>
      <c r="H43" s="19">
        <f t="shared" si="8"/>
        <v>687.5</v>
      </c>
      <c r="I43" s="24">
        <f t="shared" si="7"/>
        <v>-21.803636363636357</v>
      </c>
    </row>
    <row r="44" spans="2:9" x14ac:dyDescent="0.25">
      <c r="B44" s="10">
        <f t="shared" si="2"/>
        <v>39156</v>
      </c>
      <c r="C44">
        <v>80</v>
      </c>
      <c r="D44">
        <v>40</v>
      </c>
      <c r="E44">
        <v>457.6</v>
      </c>
      <c r="F44">
        <v>647.5</v>
      </c>
      <c r="G44" s="19">
        <f t="shared" si="8"/>
        <v>537.6</v>
      </c>
      <c r="H44" s="19">
        <f t="shared" si="8"/>
        <v>687.5</v>
      </c>
      <c r="I44" s="24">
        <f t="shared" si="7"/>
        <v>-21.803636363636357</v>
      </c>
    </row>
    <row r="45" spans="2:9" x14ac:dyDescent="0.25">
      <c r="B45" s="10">
        <f t="shared" si="2"/>
        <v>39163</v>
      </c>
      <c r="C45">
        <v>80</v>
      </c>
      <c r="D45">
        <v>43.5</v>
      </c>
      <c r="E45">
        <v>457.6</v>
      </c>
      <c r="F45">
        <v>664.1</v>
      </c>
      <c r="G45" s="19">
        <f t="shared" si="8"/>
        <v>537.6</v>
      </c>
      <c r="H45" s="19">
        <f t="shared" si="8"/>
        <v>707.6</v>
      </c>
      <c r="I45" s="24">
        <f t="shared" si="7"/>
        <v>-24.024872809496888</v>
      </c>
    </row>
    <row r="46" spans="2:9" x14ac:dyDescent="0.25">
      <c r="B46" s="10">
        <f t="shared" si="2"/>
        <v>39170</v>
      </c>
      <c r="C46">
        <v>80</v>
      </c>
      <c r="D46">
        <v>44.3</v>
      </c>
      <c r="E46">
        <v>457.6</v>
      </c>
      <c r="F46">
        <v>684.8</v>
      </c>
      <c r="G46" s="19">
        <f t="shared" ref="G46:H48" si="9">+C46+E46</f>
        <v>537.6</v>
      </c>
      <c r="H46" s="19">
        <f t="shared" si="9"/>
        <v>729.09999999999991</v>
      </c>
      <c r="I46" s="24">
        <f t="shared" ref="I46:I51" si="10">+(G46/H46-1)*100</f>
        <v>-26.265258537923451</v>
      </c>
    </row>
    <row r="47" spans="2:9" x14ac:dyDescent="0.25">
      <c r="B47" s="10">
        <f t="shared" si="2"/>
        <v>39177</v>
      </c>
      <c r="C47">
        <v>92</v>
      </c>
      <c r="D47">
        <v>45.3</v>
      </c>
      <c r="E47">
        <v>457.6</v>
      </c>
      <c r="F47">
        <v>702.7</v>
      </c>
      <c r="G47" s="19">
        <f t="shared" si="9"/>
        <v>549.6</v>
      </c>
      <c r="H47" s="19">
        <f t="shared" si="9"/>
        <v>748</v>
      </c>
      <c r="I47" s="24">
        <f t="shared" si="10"/>
        <v>-26.524064171122998</v>
      </c>
    </row>
    <row r="48" spans="2:9" x14ac:dyDescent="0.25">
      <c r="B48" s="10">
        <f t="shared" si="2"/>
        <v>39184</v>
      </c>
      <c r="C48">
        <v>92</v>
      </c>
      <c r="D48">
        <v>45.3</v>
      </c>
      <c r="E48">
        <v>457.6</v>
      </c>
      <c r="F48">
        <v>702.7</v>
      </c>
      <c r="G48" s="19">
        <f t="shared" si="9"/>
        <v>549.6</v>
      </c>
      <c r="H48" s="19">
        <f t="shared" si="9"/>
        <v>748</v>
      </c>
      <c r="I48" s="24">
        <f t="shared" si="10"/>
        <v>-26.524064171122998</v>
      </c>
    </row>
    <row r="49" spans="1:13" x14ac:dyDescent="0.25">
      <c r="B49" s="10">
        <f t="shared" si="2"/>
        <v>39191</v>
      </c>
      <c r="C49">
        <v>92</v>
      </c>
      <c r="D49">
        <v>26.8</v>
      </c>
      <c r="E49">
        <v>457.6</v>
      </c>
      <c r="F49">
        <v>721.8</v>
      </c>
      <c r="G49" s="19">
        <f t="shared" ref="G49:H51" si="11">+C49+E49</f>
        <v>549.6</v>
      </c>
      <c r="H49" s="19">
        <f t="shared" si="11"/>
        <v>748.59999999999991</v>
      </c>
      <c r="I49" s="24">
        <f t="shared" si="10"/>
        <v>-26.582954849051553</v>
      </c>
    </row>
    <row r="50" spans="1:13" x14ac:dyDescent="0.25">
      <c r="B50" s="10">
        <f t="shared" si="2"/>
        <v>39198</v>
      </c>
      <c r="C50">
        <v>92</v>
      </c>
      <c r="D50">
        <v>21.4</v>
      </c>
      <c r="E50">
        <v>457.6</v>
      </c>
      <c r="F50">
        <v>740.3</v>
      </c>
      <c r="G50" s="19">
        <f t="shared" si="11"/>
        <v>549.6</v>
      </c>
      <c r="H50" s="19">
        <f t="shared" si="11"/>
        <v>761.69999999999993</v>
      </c>
      <c r="I50" s="24">
        <f t="shared" si="10"/>
        <v>-27.845608507286322</v>
      </c>
    </row>
    <row r="51" spans="1:13" x14ac:dyDescent="0.25">
      <c r="B51" s="10">
        <f t="shared" si="2"/>
        <v>39205</v>
      </c>
      <c r="C51">
        <v>92</v>
      </c>
      <c r="D51">
        <v>19</v>
      </c>
      <c r="E51">
        <v>457.6</v>
      </c>
      <c r="F51">
        <v>740.3</v>
      </c>
      <c r="G51" s="19">
        <f t="shared" si="11"/>
        <v>549.6</v>
      </c>
      <c r="H51" s="19">
        <f t="shared" si="11"/>
        <v>759.3</v>
      </c>
      <c r="I51" s="24">
        <f t="shared" si="10"/>
        <v>-27.61754247333069</v>
      </c>
    </row>
    <row r="52" spans="1:13" x14ac:dyDescent="0.25">
      <c r="B52" s="10">
        <f t="shared" si="2"/>
        <v>39212</v>
      </c>
      <c r="C52">
        <v>80</v>
      </c>
      <c r="D52">
        <v>2.8</v>
      </c>
      <c r="E52">
        <v>457.6</v>
      </c>
      <c r="F52">
        <v>747.7</v>
      </c>
      <c r="G52" s="19">
        <f t="shared" ref="G52:H54" si="12">+C52+E52</f>
        <v>537.6</v>
      </c>
      <c r="H52" s="19">
        <f t="shared" si="12"/>
        <v>750.5</v>
      </c>
      <c r="I52" s="24">
        <f t="shared" ref="I52:I57" si="13">+(G52/H52-1)*100</f>
        <v>-28.367754830113256</v>
      </c>
    </row>
    <row r="53" spans="1:13" x14ac:dyDescent="0.25">
      <c r="B53" s="10">
        <f t="shared" si="2"/>
        <v>39219</v>
      </c>
      <c r="C53">
        <v>80</v>
      </c>
      <c r="D53">
        <v>2.8</v>
      </c>
      <c r="E53">
        <v>457.6</v>
      </c>
      <c r="F53">
        <v>747.7</v>
      </c>
      <c r="G53" s="19">
        <f t="shared" si="12"/>
        <v>537.6</v>
      </c>
      <c r="H53" s="19">
        <f t="shared" si="12"/>
        <v>750.5</v>
      </c>
      <c r="I53" s="24">
        <f t="shared" si="13"/>
        <v>-28.367754830113256</v>
      </c>
    </row>
    <row r="54" spans="1:13" x14ac:dyDescent="0.25">
      <c r="B54" s="10">
        <f t="shared" si="2"/>
        <v>39226</v>
      </c>
      <c r="C54">
        <v>60</v>
      </c>
      <c r="D54">
        <v>0</v>
      </c>
      <c r="E54">
        <v>475.7</v>
      </c>
      <c r="F54">
        <v>747.7</v>
      </c>
      <c r="G54" s="19">
        <f t="shared" si="12"/>
        <v>535.70000000000005</v>
      </c>
      <c r="H54" s="19">
        <f t="shared" si="12"/>
        <v>747.7</v>
      </c>
      <c r="I54" s="24">
        <f t="shared" si="13"/>
        <v>-28.353617761134142</v>
      </c>
    </row>
    <row r="55" spans="1:13" x14ac:dyDescent="0.25">
      <c r="B55" s="10">
        <f t="shared" si="2"/>
        <v>39233</v>
      </c>
      <c r="C55" t="e">
        <f>+Data!B44+Data!F44</f>
        <v>#VALUE!</v>
      </c>
      <c r="G55">
        <v>515.4</v>
      </c>
      <c r="H55">
        <v>747.7</v>
      </c>
      <c r="I55" s="24">
        <f t="shared" si="13"/>
        <v>-31.068610405242747</v>
      </c>
    </row>
    <row r="56" spans="1:13" x14ac:dyDescent="0.25">
      <c r="A56" t="s">
        <v>28</v>
      </c>
      <c r="B56" s="36">
        <f t="shared" si="2"/>
        <v>39240</v>
      </c>
      <c r="C56" s="23">
        <v>55</v>
      </c>
      <c r="D56" s="23">
        <v>85</v>
      </c>
      <c r="E56" s="23">
        <v>0</v>
      </c>
      <c r="F56" s="23">
        <v>39.700000000000003</v>
      </c>
      <c r="G56" s="25">
        <f t="shared" ref="G56:H58" si="14">+C56+E56</f>
        <v>55</v>
      </c>
      <c r="H56" s="25">
        <f t="shared" si="14"/>
        <v>124.7</v>
      </c>
      <c r="I56" s="37">
        <f t="shared" si="13"/>
        <v>-55.894145950280681</v>
      </c>
      <c r="J56" s="23"/>
      <c r="K56" s="23"/>
      <c r="L56" s="23"/>
      <c r="M56" s="23"/>
    </row>
    <row r="57" spans="1:13" x14ac:dyDescent="0.25">
      <c r="B57" s="38">
        <f t="shared" si="2"/>
        <v>39247</v>
      </c>
      <c r="C57">
        <v>105</v>
      </c>
      <c r="D57">
        <v>85</v>
      </c>
      <c r="E57">
        <v>0</v>
      </c>
      <c r="F57">
        <v>39.700000000000003</v>
      </c>
      <c r="G57" s="19">
        <f t="shared" si="14"/>
        <v>105</v>
      </c>
      <c r="H57" s="19">
        <f t="shared" si="14"/>
        <v>124.7</v>
      </c>
      <c r="I57" s="24">
        <f t="shared" si="13"/>
        <v>-15.79791499599038</v>
      </c>
    </row>
    <row r="58" spans="1:13" x14ac:dyDescent="0.25">
      <c r="B58" s="38">
        <f t="shared" si="2"/>
        <v>39254</v>
      </c>
      <c r="C58">
        <v>50</v>
      </c>
      <c r="D58">
        <v>85</v>
      </c>
      <c r="E58">
        <v>59.4</v>
      </c>
      <c r="F58">
        <v>39.700000000000003</v>
      </c>
      <c r="G58" s="19">
        <f t="shared" si="14"/>
        <v>109.4</v>
      </c>
      <c r="H58" s="19">
        <f t="shared" si="14"/>
        <v>124.7</v>
      </c>
      <c r="I58" s="24">
        <f t="shared" ref="I58:I63" si="15">+(G58/H58-1)*100</f>
        <v>-12.26944667201283</v>
      </c>
    </row>
    <row r="59" spans="1:13" x14ac:dyDescent="0.25">
      <c r="B59" s="38">
        <f t="shared" si="2"/>
        <v>39261</v>
      </c>
      <c r="C59">
        <v>98</v>
      </c>
      <c r="D59">
        <v>43</v>
      </c>
      <c r="E59">
        <v>59.4</v>
      </c>
      <c r="F59">
        <v>80.099999999999994</v>
      </c>
      <c r="G59" s="19">
        <f t="shared" ref="G59:H61" si="16">+C59+E59</f>
        <v>157.4</v>
      </c>
      <c r="H59" s="19">
        <f t="shared" si="16"/>
        <v>123.1</v>
      </c>
      <c r="I59" s="24">
        <f t="shared" si="15"/>
        <v>27.863525588952086</v>
      </c>
    </row>
    <row r="60" spans="1:13" x14ac:dyDescent="0.25">
      <c r="B60" s="38">
        <f t="shared" si="2"/>
        <v>39268</v>
      </c>
      <c r="C60">
        <v>201</v>
      </c>
      <c r="D60">
        <v>43</v>
      </c>
      <c r="E60">
        <v>59.4</v>
      </c>
      <c r="F60">
        <v>80.099999999999994</v>
      </c>
      <c r="G60" s="19">
        <f t="shared" si="16"/>
        <v>260.39999999999998</v>
      </c>
      <c r="H60" s="19">
        <f t="shared" si="16"/>
        <v>123.1</v>
      </c>
      <c r="I60" s="24">
        <f t="shared" si="15"/>
        <v>111.53533712428919</v>
      </c>
    </row>
    <row r="61" spans="1:13" x14ac:dyDescent="0.25">
      <c r="B61" s="38">
        <f t="shared" si="2"/>
        <v>39275</v>
      </c>
      <c r="C61">
        <v>201</v>
      </c>
      <c r="D61">
        <v>43</v>
      </c>
      <c r="E61">
        <v>59.4</v>
      </c>
      <c r="F61">
        <v>80.099999999999994</v>
      </c>
      <c r="G61" s="19">
        <f t="shared" si="16"/>
        <v>260.39999999999998</v>
      </c>
      <c r="H61" s="19">
        <f t="shared" si="16"/>
        <v>123.1</v>
      </c>
      <c r="I61" s="24">
        <f t="shared" si="15"/>
        <v>111.53533712428919</v>
      </c>
    </row>
    <row r="62" spans="1:13" x14ac:dyDescent="0.25">
      <c r="B62" s="38">
        <f t="shared" si="2"/>
        <v>39282</v>
      </c>
      <c r="C62">
        <v>201</v>
      </c>
      <c r="D62">
        <v>0</v>
      </c>
      <c r="E62">
        <v>59.4</v>
      </c>
      <c r="F62">
        <v>120.9</v>
      </c>
      <c r="G62" s="19">
        <f t="shared" ref="G62:H64" si="17">+C62+E62</f>
        <v>260.39999999999998</v>
      </c>
      <c r="H62" s="19">
        <f t="shared" si="17"/>
        <v>120.9</v>
      </c>
      <c r="I62" s="24">
        <f t="shared" si="15"/>
        <v>115.38461538461537</v>
      </c>
    </row>
    <row r="63" spans="1:13" x14ac:dyDescent="0.25">
      <c r="B63" s="38">
        <f t="shared" si="2"/>
        <v>39289</v>
      </c>
      <c r="C63">
        <v>201</v>
      </c>
      <c r="D63">
        <v>0</v>
      </c>
      <c r="E63">
        <v>59.4</v>
      </c>
      <c r="F63">
        <v>120.9</v>
      </c>
      <c r="G63" s="19">
        <f t="shared" si="17"/>
        <v>260.39999999999998</v>
      </c>
      <c r="H63" s="19">
        <f t="shared" si="17"/>
        <v>120.9</v>
      </c>
      <c r="I63" s="24">
        <f t="shared" si="15"/>
        <v>115.38461538461537</v>
      </c>
    </row>
    <row r="64" spans="1:13" x14ac:dyDescent="0.25">
      <c r="B64" s="38">
        <f t="shared" si="2"/>
        <v>39296</v>
      </c>
      <c r="C64">
        <v>151</v>
      </c>
      <c r="D64">
        <v>0</v>
      </c>
      <c r="E64">
        <v>110</v>
      </c>
      <c r="F64">
        <v>120.9</v>
      </c>
      <c r="G64" s="19">
        <f t="shared" si="17"/>
        <v>261</v>
      </c>
      <c r="H64" s="19">
        <f t="shared" si="17"/>
        <v>120.9</v>
      </c>
      <c r="I64" s="24">
        <f t="shared" ref="I64:I69" si="18">+(G64/H64-1)*100</f>
        <v>115.88089330024812</v>
      </c>
    </row>
    <row r="65" spans="2:9" x14ac:dyDescent="0.25">
      <c r="B65" s="38">
        <f t="shared" si="2"/>
        <v>39303</v>
      </c>
      <c r="C65">
        <v>201</v>
      </c>
      <c r="D65">
        <v>0</v>
      </c>
      <c r="E65">
        <v>110</v>
      </c>
      <c r="F65">
        <v>120.9</v>
      </c>
      <c r="G65" s="19">
        <f t="shared" ref="G65:H67" si="19">+C65+E65</f>
        <v>311</v>
      </c>
      <c r="H65" s="19">
        <f t="shared" si="19"/>
        <v>120.9</v>
      </c>
      <c r="I65" s="24">
        <f t="shared" si="18"/>
        <v>157.23738626964433</v>
      </c>
    </row>
    <row r="66" spans="2:9" x14ac:dyDescent="0.25">
      <c r="B66" s="38">
        <f t="shared" si="2"/>
        <v>39310</v>
      </c>
      <c r="C66">
        <v>349</v>
      </c>
      <c r="D66">
        <v>45</v>
      </c>
      <c r="E66">
        <v>208.1</v>
      </c>
      <c r="F66">
        <v>120.9</v>
      </c>
      <c r="G66" s="19">
        <f t="shared" si="19"/>
        <v>557.1</v>
      </c>
      <c r="H66" s="19">
        <f t="shared" si="19"/>
        <v>165.9</v>
      </c>
      <c r="I66" s="24">
        <f t="shared" si="18"/>
        <v>235.80470162748645</v>
      </c>
    </row>
    <row r="67" spans="2:9" x14ac:dyDescent="0.25">
      <c r="B67" s="38">
        <f t="shared" si="2"/>
        <v>39317</v>
      </c>
      <c r="C67">
        <v>349</v>
      </c>
      <c r="D67">
        <v>91</v>
      </c>
      <c r="E67">
        <v>279.7</v>
      </c>
      <c r="F67">
        <v>120.9</v>
      </c>
      <c r="G67" s="19">
        <f t="shared" si="19"/>
        <v>628.70000000000005</v>
      </c>
      <c r="H67" s="19">
        <f t="shared" si="19"/>
        <v>211.9</v>
      </c>
      <c r="I67" s="24">
        <f t="shared" si="18"/>
        <v>196.6965549787636</v>
      </c>
    </row>
    <row r="68" spans="2:9" x14ac:dyDescent="0.25">
      <c r="B68" s="38">
        <f t="shared" si="2"/>
        <v>39324</v>
      </c>
      <c r="C68">
        <v>399</v>
      </c>
      <c r="D68">
        <v>194</v>
      </c>
      <c r="E68">
        <v>385.2</v>
      </c>
      <c r="F68">
        <v>120.9</v>
      </c>
      <c r="G68" s="19">
        <f t="shared" ref="G68:H70" si="20">+C68+E68</f>
        <v>784.2</v>
      </c>
      <c r="H68" s="19">
        <f t="shared" si="20"/>
        <v>314.89999999999998</v>
      </c>
      <c r="I68" s="24">
        <f t="shared" si="18"/>
        <v>149.03143855192127</v>
      </c>
    </row>
    <row r="69" spans="2:9" x14ac:dyDescent="0.25">
      <c r="B69" s="38">
        <f t="shared" si="2"/>
        <v>39331</v>
      </c>
      <c r="C69">
        <v>399</v>
      </c>
      <c r="D69">
        <v>194</v>
      </c>
      <c r="E69">
        <v>385.2</v>
      </c>
      <c r="F69">
        <v>167.4</v>
      </c>
      <c r="G69" s="19">
        <f t="shared" si="20"/>
        <v>784.2</v>
      </c>
      <c r="H69" s="19">
        <f t="shared" si="20"/>
        <v>361.4</v>
      </c>
      <c r="I69" s="24">
        <f t="shared" si="18"/>
        <v>116.9894853348091</v>
      </c>
    </row>
    <row r="70" spans="2:9" x14ac:dyDescent="0.25">
      <c r="B70" s="38">
        <f t="shared" si="2"/>
        <v>39338</v>
      </c>
      <c r="C70">
        <v>399</v>
      </c>
      <c r="D70">
        <v>204</v>
      </c>
      <c r="E70">
        <v>433.7</v>
      </c>
      <c r="F70">
        <v>207.9</v>
      </c>
      <c r="G70" s="19">
        <f t="shared" si="20"/>
        <v>832.7</v>
      </c>
      <c r="H70" s="19">
        <f t="shared" si="20"/>
        <v>411.9</v>
      </c>
      <c r="I70" s="24">
        <f t="shared" ref="I70:I75" si="21">+(G70/H70-1)*100</f>
        <v>102.16071862102454</v>
      </c>
    </row>
    <row r="71" spans="2:9" x14ac:dyDescent="0.25">
      <c r="B71" s="38">
        <f t="shared" si="2"/>
        <v>39345</v>
      </c>
      <c r="C71">
        <v>399</v>
      </c>
      <c r="D71">
        <v>204</v>
      </c>
      <c r="E71">
        <v>477.7</v>
      </c>
      <c r="F71">
        <v>207.9</v>
      </c>
      <c r="G71" s="19">
        <f t="shared" ref="G71:H73" si="22">+C71+E71</f>
        <v>876.7</v>
      </c>
      <c r="H71" s="19">
        <f t="shared" si="22"/>
        <v>411.9</v>
      </c>
      <c r="I71" s="24">
        <f t="shared" si="21"/>
        <v>112.84292303957275</v>
      </c>
    </row>
    <row r="72" spans="2:9" x14ac:dyDescent="0.25">
      <c r="B72" s="38">
        <f t="shared" si="2"/>
        <v>39352</v>
      </c>
      <c r="C72">
        <v>349</v>
      </c>
      <c r="D72">
        <v>204</v>
      </c>
      <c r="E72">
        <v>526.4</v>
      </c>
      <c r="F72">
        <v>207.9</v>
      </c>
      <c r="G72" s="19">
        <f t="shared" si="22"/>
        <v>875.4</v>
      </c>
      <c r="H72" s="19">
        <f t="shared" si="22"/>
        <v>411.9</v>
      </c>
      <c r="I72" s="24">
        <f t="shared" si="21"/>
        <v>112.52731245447927</v>
      </c>
    </row>
    <row r="73" spans="2:9" x14ac:dyDescent="0.25">
      <c r="B73" s="38">
        <f t="shared" si="2"/>
        <v>39359</v>
      </c>
      <c r="C73">
        <v>249</v>
      </c>
      <c r="D73">
        <v>194.5</v>
      </c>
      <c r="E73">
        <v>619.6</v>
      </c>
      <c r="F73">
        <v>266.89999999999998</v>
      </c>
      <c r="G73" s="19">
        <f t="shared" si="22"/>
        <v>868.6</v>
      </c>
      <c r="H73" s="19">
        <f t="shared" si="22"/>
        <v>461.4</v>
      </c>
      <c r="I73" s="24">
        <f t="shared" si="21"/>
        <v>88.253142609449526</v>
      </c>
    </row>
    <row r="74" spans="2:9" x14ac:dyDescent="0.25">
      <c r="B74" s="38">
        <f t="shared" si="2"/>
        <v>39366</v>
      </c>
      <c r="C74">
        <v>249</v>
      </c>
      <c r="D74">
        <v>139.5</v>
      </c>
      <c r="E74">
        <v>619.6</v>
      </c>
      <c r="F74">
        <v>324.10000000000002</v>
      </c>
      <c r="G74" s="19">
        <f t="shared" ref="G74:H76" si="23">+C74+E74</f>
        <v>868.6</v>
      </c>
      <c r="H74" s="19">
        <f t="shared" si="23"/>
        <v>463.6</v>
      </c>
      <c r="I74" s="24">
        <f t="shared" si="21"/>
        <v>87.359792924935277</v>
      </c>
    </row>
    <row r="75" spans="2:9" x14ac:dyDescent="0.25">
      <c r="B75" s="38">
        <f t="shared" si="2"/>
        <v>39373</v>
      </c>
      <c r="C75">
        <v>199</v>
      </c>
      <c r="D75">
        <v>139.5</v>
      </c>
      <c r="E75">
        <v>668.1</v>
      </c>
      <c r="F75">
        <v>324.10000000000002</v>
      </c>
      <c r="G75" s="19">
        <f t="shared" si="23"/>
        <v>867.1</v>
      </c>
      <c r="H75" s="19">
        <f t="shared" si="23"/>
        <v>463.6</v>
      </c>
      <c r="I75" s="24">
        <f t="shared" si="21"/>
        <v>87.036238136324414</v>
      </c>
    </row>
    <row r="76" spans="2:9" x14ac:dyDescent="0.25">
      <c r="B76" s="38">
        <f t="shared" si="2"/>
        <v>39380</v>
      </c>
      <c r="C76">
        <v>150</v>
      </c>
      <c r="D76">
        <v>91</v>
      </c>
      <c r="E76">
        <v>716.3</v>
      </c>
      <c r="F76">
        <v>372.6</v>
      </c>
      <c r="G76" s="19">
        <f t="shared" si="23"/>
        <v>866.3</v>
      </c>
      <c r="H76" s="19">
        <f t="shared" si="23"/>
        <v>463.6</v>
      </c>
      <c r="I76" s="24">
        <f t="shared" ref="I76:I81" si="24">+(G76/H76-1)*100</f>
        <v>86.863675582398599</v>
      </c>
    </row>
    <row r="77" spans="2:9" x14ac:dyDescent="0.25">
      <c r="B77" s="38">
        <f t="shared" si="2"/>
        <v>39387</v>
      </c>
      <c r="C77">
        <v>150</v>
      </c>
      <c r="D77">
        <v>46</v>
      </c>
      <c r="E77">
        <v>716.3</v>
      </c>
      <c r="F77">
        <v>414.5</v>
      </c>
      <c r="G77" s="19">
        <f t="shared" ref="G77:H79" si="25">+C77+E77</f>
        <v>866.3</v>
      </c>
      <c r="H77" s="19">
        <f t="shared" si="25"/>
        <v>460.5</v>
      </c>
      <c r="I77" s="24">
        <f t="shared" si="24"/>
        <v>88.121606948968505</v>
      </c>
    </row>
    <row r="78" spans="2:9" x14ac:dyDescent="0.25">
      <c r="B78" s="38">
        <f t="shared" si="2"/>
        <v>39394</v>
      </c>
      <c r="C78">
        <v>50</v>
      </c>
      <c r="D78">
        <v>46</v>
      </c>
      <c r="E78">
        <v>815.7</v>
      </c>
      <c r="F78">
        <v>414.5</v>
      </c>
      <c r="G78" s="19">
        <f t="shared" si="25"/>
        <v>865.7</v>
      </c>
      <c r="H78" s="19">
        <f t="shared" si="25"/>
        <v>460.5</v>
      </c>
      <c r="I78" s="24">
        <f t="shared" si="24"/>
        <v>87.99131378935941</v>
      </c>
    </row>
    <row r="79" spans="2:9" x14ac:dyDescent="0.25">
      <c r="B79" s="38">
        <f t="shared" si="2"/>
        <v>39401</v>
      </c>
      <c r="C79">
        <v>50</v>
      </c>
      <c r="D79">
        <v>46</v>
      </c>
      <c r="E79">
        <v>815.7</v>
      </c>
      <c r="F79">
        <v>414.5</v>
      </c>
      <c r="G79" s="19">
        <f t="shared" si="25"/>
        <v>865.7</v>
      </c>
      <c r="H79" s="19">
        <f t="shared" si="25"/>
        <v>460.5</v>
      </c>
      <c r="I79" s="24">
        <f t="shared" si="24"/>
        <v>87.99131378935941</v>
      </c>
    </row>
    <row r="80" spans="2:9" x14ac:dyDescent="0.25">
      <c r="B80" s="38">
        <f t="shared" si="2"/>
        <v>39408</v>
      </c>
      <c r="C80">
        <v>50</v>
      </c>
      <c r="D80">
        <v>46</v>
      </c>
      <c r="E80">
        <v>815.7</v>
      </c>
      <c r="F80">
        <v>414.5</v>
      </c>
      <c r="G80" s="19">
        <f t="shared" ref="G80:H82" si="26">+C80+E80</f>
        <v>865.7</v>
      </c>
      <c r="H80" s="19">
        <f t="shared" si="26"/>
        <v>460.5</v>
      </c>
      <c r="I80" s="24">
        <f t="shared" si="24"/>
        <v>87.99131378935941</v>
      </c>
    </row>
    <row r="81" spans="2:9" x14ac:dyDescent="0.25">
      <c r="B81" s="38">
        <f t="shared" si="2"/>
        <v>39415</v>
      </c>
      <c r="C81">
        <v>50</v>
      </c>
      <c r="D81">
        <v>46</v>
      </c>
      <c r="E81">
        <v>815.7</v>
      </c>
      <c r="F81">
        <v>414.5</v>
      </c>
      <c r="G81" s="19">
        <f t="shared" si="26"/>
        <v>865.7</v>
      </c>
      <c r="H81" s="19">
        <f t="shared" si="26"/>
        <v>460.5</v>
      </c>
      <c r="I81" s="24">
        <f t="shared" si="24"/>
        <v>87.99131378935941</v>
      </c>
    </row>
    <row r="82" spans="2:9" x14ac:dyDescent="0.25">
      <c r="B82" s="38">
        <f t="shared" si="2"/>
        <v>39422</v>
      </c>
      <c r="C82">
        <v>0</v>
      </c>
      <c r="D82">
        <v>0</v>
      </c>
      <c r="E82">
        <v>815.7</v>
      </c>
      <c r="F82">
        <v>459.6</v>
      </c>
      <c r="G82" s="19">
        <f t="shared" si="26"/>
        <v>815.7</v>
      </c>
      <c r="H82" s="19">
        <f t="shared" si="26"/>
        <v>459.6</v>
      </c>
      <c r="I82" s="24">
        <f t="shared" ref="I82:I87" si="27">+(G82/H82-1)*100</f>
        <v>77.480417754569203</v>
      </c>
    </row>
    <row r="83" spans="2:9" x14ac:dyDescent="0.25">
      <c r="B83" s="38">
        <f t="shared" si="2"/>
        <v>39429</v>
      </c>
      <c r="C83">
        <v>0</v>
      </c>
      <c r="D83">
        <v>0</v>
      </c>
      <c r="E83">
        <v>815.7</v>
      </c>
      <c r="F83">
        <v>459.6</v>
      </c>
      <c r="G83" s="19">
        <f t="shared" ref="G83:H85" si="28">+C83+E83</f>
        <v>815.7</v>
      </c>
      <c r="H83" s="19">
        <f t="shared" si="28"/>
        <v>459.6</v>
      </c>
      <c r="I83" s="24">
        <f t="shared" si="27"/>
        <v>77.480417754569203</v>
      </c>
    </row>
    <row r="84" spans="2:9" x14ac:dyDescent="0.25">
      <c r="B84" s="38">
        <f t="shared" si="2"/>
        <v>39436</v>
      </c>
      <c r="C84">
        <v>0</v>
      </c>
      <c r="D84">
        <v>0</v>
      </c>
      <c r="E84">
        <v>815.7</v>
      </c>
      <c r="F84">
        <v>459.6</v>
      </c>
      <c r="G84" s="19">
        <f t="shared" si="28"/>
        <v>815.7</v>
      </c>
      <c r="H84" s="19">
        <f t="shared" si="28"/>
        <v>459.6</v>
      </c>
      <c r="I84" s="24">
        <f t="shared" si="27"/>
        <v>77.480417754569203</v>
      </c>
    </row>
    <row r="85" spans="2:9" x14ac:dyDescent="0.25">
      <c r="B85" s="38">
        <f t="shared" si="2"/>
        <v>39443</v>
      </c>
      <c r="C85">
        <v>0</v>
      </c>
      <c r="D85">
        <v>0</v>
      </c>
      <c r="E85">
        <v>815.7</v>
      </c>
      <c r="F85">
        <v>459.6</v>
      </c>
      <c r="G85" s="19">
        <f t="shared" si="28"/>
        <v>815.7</v>
      </c>
      <c r="H85" s="19">
        <f t="shared" si="28"/>
        <v>459.6</v>
      </c>
      <c r="I85" s="24">
        <f t="shared" si="27"/>
        <v>77.480417754569203</v>
      </c>
    </row>
    <row r="86" spans="2:9" x14ac:dyDescent="0.25">
      <c r="B86" s="38">
        <f t="shared" si="2"/>
        <v>39450</v>
      </c>
      <c r="C86">
        <v>0</v>
      </c>
      <c r="D86">
        <v>0</v>
      </c>
      <c r="E86">
        <v>815.7</v>
      </c>
      <c r="F86">
        <v>459.6</v>
      </c>
      <c r="G86" s="19">
        <f t="shared" ref="G86:H88" si="29">+C86+E86</f>
        <v>815.7</v>
      </c>
      <c r="H86" s="19">
        <f t="shared" si="29"/>
        <v>459.6</v>
      </c>
      <c r="I86" s="24">
        <f t="shared" si="27"/>
        <v>77.480417754569203</v>
      </c>
    </row>
    <row r="87" spans="2:9" x14ac:dyDescent="0.25">
      <c r="B87" s="38">
        <f t="shared" si="2"/>
        <v>39457</v>
      </c>
      <c r="C87">
        <v>50</v>
      </c>
      <c r="D87">
        <v>0</v>
      </c>
      <c r="E87">
        <v>815.7</v>
      </c>
      <c r="F87">
        <v>459.6</v>
      </c>
      <c r="G87" s="19">
        <f t="shared" si="29"/>
        <v>865.7</v>
      </c>
      <c r="H87" s="19">
        <f t="shared" si="29"/>
        <v>459.6</v>
      </c>
      <c r="I87" s="24">
        <f t="shared" si="27"/>
        <v>88.359442993907749</v>
      </c>
    </row>
    <row r="88" spans="2:9" x14ac:dyDescent="0.25">
      <c r="B88" s="38">
        <f t="shared" si="2"/>
        <v>39464</v>
      </c>
      <c r="C88">
        <v>50</v>
      </c>
      <c r="D88">
        <v>50</v>
      </c>
      <c r="E88">
        <v>815.7</v>
      </c>
      <c r="F88">
        <v>459.6</v>
      </c>
      <c r="G88" s="19">
        <f t="shared" si="29"/>
        <v>865.7</v>
      </c>
      <c r="H88" s="19">
        <f t="shared" si="29"/>
        <v>509.6</v>
      </c>
      <c r="I88" s="24">
        <f t="shared" ref="I88:I93" si="30">+(G88/H88-1)*100</f>
        <v>69.878335949764519</v>
      </c>
    </row>
    <row r="89" spans="2:9" x14ac:dyDescent="0.25">
      <c r="B89" s="38">
        <f t="shared" si="2"/>
        <v>39471</v>
      </c>
      <c r="C89">
        <v>100</v>
      </c>
      <c r="D89">
        <v>50</v>
      </c>
      <c r="E89">
        <v>815.7</v>
      </c>
      <c r="F89">
        <v>459.6</v>
      </c>
      <c r="G89" s="19">
        <f t="shared" ref="G89:H91" si="31">+C89+E89</f>
        <v>915.7</v>
      </c>
      <c r="H89" s="19">
        <f t="shared" si="31"/>
        <v>509.6</v>
      </c>
      <c r="I89" s="24">
        <f t="shared" si="30"/>
        <v>79.689952904238609</v>
      </c>
    </row>
    <row r="90" spans="2:9" x14ac:dyDescent="0.25">
      <c r="B90" s="38">
        <f t="shared" si="2"/>
        <v>39478</v>
      </c>
      <c r="C90">
        <v>100</v>
      </c>
      <c r="D90">
        <v>100</v>
      </c>
      <c r="E90">
        <v>815.7</v>
      </c>
      <c r="F90">
        <v>459.6</v>
      </c>
      <c r="G90" s="19">
        <f t="shared" si="31"/>
        <v>915.7</v>
      </c>
      <c r="H90" s="19">
        <f t="shared" si="31"/>
        <v>559.6</v>
      </c>
      <c r="I90" s="24">
        <f t="shared" si="30"/>
        <v>63.634739099356686</v>
      </c>
    </row>
    <row r="91" spans="2:9" x14ac:dyDescent="0.25">
      <c r="B91" s="38">
        <f t="shared" si="2"/>
        <v>39485</v>
      </c>
      <c r="C91">
        <v>100</v>
      </c>
      <c r="D91">
        <v>100</v>
      </c>
      <c r="E91">
        <v>815.7</v>
      </c>
      <c r="F91">
        <v>459.6</v>
      </c>
      <c r="G91" s="19">
        <f t="shared" si="31"/>
        <v>915.7</v>
      </c>
      <c r="H91" s="19">
        <f t="shared" si="31"/>
        <v>559.6</v>
      </c>
      <c r="I91" s="24">
        <f t="shared" si="30"/>
        <v>63.634739099356686</v>
      </c>
    </row>
    <row r="92" spans="2:9" x14ac:dyDescent="0.25">
      <c r="B92" s="38">
        <f t="shared" si="2"/>
        <v>39492</v>
      </c>
      <c r="C92">
        <v>100</v>
      </c>
      <c r="D92">
        <v>100</v>
      </c>
      <c r="E92">
        <v>815.7</v>
      </c>
      <c r="F92">
        <v>459.6</v>
      </c>
      <c r="G92" s="19">
        <f t="shared" ref="G92:H94" si="32">+C92+E92</f>
        <v>915.7</v>
      </c>
      <c r="H92" s="19">
        <f t="shared" si="32"/>
        <v>559.6</v>
      </c>
      <c r="I92" s="24">
        <f t="shared" si="30"/>
        <v>63.634739099356686</v>
      </c>
    </row>
    <row r="93" spans="2:9" x14ac:dyDescent="0.25">
      <c r="B93" s="38">
        <f t="shared" si="2"/>
        <v>39499</v>
      </c>
      <c r="C93">
        <v>100</v>
      </c>
      <c r="D93">
        <v>48</v>
      </c>
      <c r="E93">
        <v>815.7</v>
      </c>
      <c r="F93">
        <v>558.4</v>
      </c>
      <c r="G93" s="19">
        <f t="shared" si="32"/>
        <v>915.7</v>
      </c>
      <c r="H93" s="19">
        <f t="shared" si="32"/>
        <v>606.4</v>
      </c>
      <c r="I93" s="24">
        <f t="shared" si="30"/>
        <v>51.005936675461761</v>
      </c>
    </row>
    <row r="94" spans="2:9" x14ac:dyDescent="0.25">
      <c r="B94" s="38">
        <f t="shared" si="2"/>
        <v>39506</v>
      </c>
      <c r="C94">
        <v>100</v>
      </c>
      <c r="D94">
        <v>48</v>
      </c>
      <c r="E94">
        <v>815.7</v>
      </c>
      <c r="F94">
        <v>558.4</v>
      </c>
      <c r="G94" s="19">
        <f t="shared" si="32"/>
        <v>915.7</v>
      </c>
      <c r="H94" s="19">
        <f t="shared" si="32"/>
        <v>606.4</v>
      </c>
      <c r="I94" s="24">
        <f t="shared" ref="I94:I99" si="33">+(G94/H94-1)*100</f>
        <v>51.005936675461761</v>
      </c>
    </row>
    <row r="95" spans="2:9" x14ac:dyDescent="0.25">
      <c r="B95" s="38">
        <f t="shared" si="2"/>
        <v>39513</v>
      </c>
      <c r="C95">
        <v>100</v>
      </c>
      <c r="D95">
        <v>48</v>
      </c>
      <c r="E95">
        <v>815.7</v>
      </c>
      <c r="F95">
        <v>558.4</v>
      </c>
      <c r="G95" s="19">
        <f t="shared" ref="G95:H97" si="34">+C95+E95</f>
        <v>915.7</v>
      </c>
      <c r="H95" s="19">
        <f t="shared" si="34"/>
        <v>606.4</v>
      </c>
      <c r="I95" s="24">
        <f t="shared" si="33"/>
        <v>51.005936675461761</v>
      </c>
    </row>
    <row r="96" spans="2:9" x14ac:dyDescent="0.25">
      <c r="B96" s="38">
        <f t="shared" si="2"/>
        <v>39520</v>
      </c>
      <c r="C96">
        <v>100</v>
      </c>
      <c r="D96">
        <v>94</v>
      </c>
      <c r="E96">
        <v>815.7</v>
      </c>
      <c r="F96">
        <v>558.4</v>
      </c>
      <c r="G96" s="19">
        <f t="shared" si="34"/>
        <v>915.7</v>
      </c>
      <c r="H96" s="19">
        <f t="shared" si="34"/>
        <v>652.4</v>
      </c>
      <c r="I96" s="24">
        <f t="shared" si="33"/>
        <v>40.358675659104847</v>
      </c>
    </row>
    <row r="97" spans="2:10" x14ac:dyDescent="0.25">
      <c r="B97" s="38">
        <f t="shared" si="2"/>
        <v>39527</v>
      </c>
      <c r="C97">
        <v>133</v>
      </c>
      <c r="D97">
        <v>94</v>
      </c>
      <c r="E97">
        <v>865</v>
      </c>
      <c r="F97">
        <v>558.4</v>
      </c>
      <c r="G97" s="19">
        <f t="shared" si="34"/>
        <v>998</v>
      </c>
      <c r="H97" s="19">
        <f t="shared" si="34"/>
        <v>652.4</v>
      </c>
      <c r="I97" s="24">
        <f t="shared" si="33"/>
        <v>52.973635806253824</v>
      </c>
    </row>
    <row r="98" spans="2:10" x14ac:dyDescent="0.25">
      <c r="B98" s="38">
        <f t="shared" si="2"/>
        <v>39534</v>
      </c>
      <c r="C98">
        <v>133</v>
      </c>
      <c r="D98">
        <v>94</v>
      </c>
      <c r="E98">
        <v>865</v>
      </c>
      <c r="F98">
        <v>558.4</v>
      </c>
      <c r="G98" s="19">
        <f t="shared" ref="G98:H100" si="35">+C98+E98</f>
        <v>998</v>
      </c>
      <c r="H98" s="19">
        <f t="shared" si="35"/>
        <v>652.4</v>
      </c>
      <c r="I98" s="24">
        <f t="shared" si="33"/>
        <v>52.973635806253824</v>
      </c>
    </row>
    <row r="99" spans="2:10" x14ac:dyDescent="0.25">
      <c r="B99" s="38">
        <f t="shared" si="2"/>
        <v>39541</v>
      </c>
      <c r="C99">
        <v>133</v>
      </c>
      <c r="D99">
        <v>46</v>
      </c>
      <c r="E99">
        <v>865</v>
      </c>
      <c r="F99">
        <v>608.70000000000005</v>
      </c>
      <c r="G99" s="19">
        <f t="shared" si="35"/>
        <v>998</v>
      </c>
      <c r="H99" s="19">
        <f t="shared" si="35"/>
        <v>654.70000000000005</v>
      </c>
      <c r="I99" s="24">
        <f t="shared" si="33"/>
        <v>52.436230334504351</v>
      </c>
    </row>
    <row r="100" spans="2:10" x14ac:dyDescent="0.25">
      <c r="B100" s="38">
        <f t="shared" si="2"/>
        <v>39548</v>
      </c>
      <c r="C100">
        <v>133</v>
      </c>
      <c r="D100">
        <v>92</v>
      </c>
      <c r="E100">
        <v>865</v>
      </c>
      <c r="F100">
        <v>608.70000000000005</v>
      </c>
      <c r="G100" s="19">
        <f t="shared" si="35"/>
        <v>998</v>
      </c>
      <c r="H100" s="19">
        <f t="shared" si="35"/>
        <v>700.7</v>
      </c>
      <c r="I100" s="24">
        <f t="shared" ref="I100:I105" si="36">+(G100/H100-1)*100</f>
        <v>42.428999571856707</v>
      </c>
    </row>
    <row r="101" spans="2:10" x14ac:dyDescent="0.25">
      <c r="B101" s="38">
        <f t="shared" si="2"/>
        <v>39555</v>
      </c>
      <c r="C101">
        <v>133</v>
      </c>
      <c r="D101">
        <v>46</v>
      </c>
      <c r="E101">
        <v>865</v>
      </c>
      <c r="F101">
        <v>659</v>
      </c>
      <c r="G101" s="19">
        <f t="shared" ref="G101:H103" si="37">+C101+E101</f>
        <v>998</v>
      </c>
      <c r="H101" s="19">
        <f t="shared" si="37"/>
        <v>705</v>
      </c>
      <c r="I101" s="24">
        <f t="shared" si="36"/>
        <v>41.560283687943269</v>
      </c>
    </row>
    <row r="102" spans="2:10" x14ac:dyDescent="0.25">
      <c r="B102" s="38">
        <f t="shared" si="2"/>
        <v>39562</v>
      </c>
      <c r="C102">
        <v>0</v>
      </c>
      <c r="D102">
        <v>46</v>
      </c>
      <c r="E102">
        <v>996.6</v>
      </c>
      <c r="F102">
        <v>659</v>
      </c>
      <c r="G102" s="19">
        <f t="shared" si="37"/>
        <v>996.6</v>
      </c>
      <c r="H102" s="19">
        <f t="shared" si="37"/>
        <v>705</v>
      </c>
      <c r="I102" s="24">
        <f t="shared" si="36"/>
        <v>41.361702127659569</v>
      </c>
    </row>
    <row r="103" spans="2:10" x14ac:dyDescent="0.25">
      <c r="B103" s="38">
        <f t="shared" si="2"/>
        <v>39569</v>
      </c>
      <c r="C103">
        <v>0</v>
      </c>
      <c r="D103">
        <v>46</v>
      </c>
      <c r="E103">
        <v>996.6</v>
      </c>
      <c r="F103">
        <v>659</v>
      </c>
      <c r="G103" s="19">
        <f t="shared" si="37"/>
        <v>996.6</v>
      </c>
      <c r="H103" s="19">
        <f t="shared" si="37"/>
        <v>705</v>
      </c>
      <c r="I103" s="24">
        <f t="shared" si="36"/>
        <v>41.361702127659569</v>
      </c>
      <c r="J103">
        <v>0</v>
      </c>
    </row>
    <row r="104" spans="2:10" x14ac:dyDescent="0.25">
      <c r="B104" s="38">
        <f t="shared" si="2"/>
        <v>39576</v>
      </c>
      <c r="C104">
        <v>0</v>
      </c>
      <c r="D104">
        <v>46</v>
      </c>
      <c r="E104">
        <v>996.6</v>
      </c>
      <c r="F104">
        <v>659</v>
      </c>
      <c r="G104" s="19">
        <f t="shared" ref="G104:H106" si="38">+C104+E104</f>
        <v>996.6</v>
      </c>
      <c r="H104" s="19">
        <f t="shared" si="38"/>
        <v>705</v>
      </c>
      <c r="I104" s="24">
        <f t="shared" si="36"/>
        <v>41.361702127659569</v>
      </c>
      <c r="J104">
        <v>0</v>
      </c>
    </row>
    <row r="105" spans="2:10" x14ac:dyDescent="0.25">
      <c r="B105" s="38">
        <f t="shared" si="2"/>
        <v>39583</v>
      </c>
      <c r="C105">
        <v>0</v>
      </c>
      <c r="D105">
        <v>0</v>
      </c>
      <c r="E105">
        <v>996.6</v>
      </c>
      <c r="F105">
        <v>709.3</v>
      </c>
      <c r="G105" s="19">
        <f t="shared" si="38"/>
        <v>996.6</v>
      </c>
      <c r="H105" s="19">
        <f t="shared" si="38"/>
        <v>709.3</v>
      </c>
      <c r="I105" s="24">
        <f t="shared" si="36"/>
        <v>40.504722966304826</v>
      </c>
      <c r="J105">
        <v>0</v>
      </c>
    </row>
    <row r="106" spans="2:10" x14ac:dyDescent="0.25">
      <c r="B106" s="38">
        <f t="shared" si="2"/>
        <v>39590</v>
      </c>
      <c r="C106">
        <v>0</v>
      </c>
      <c r="D106">
        <v>0</v>
      </c>
      <c r="E106">
        <v>996.6</v>
      </c>
      <c r="F106">
        <v>709.3</v>
      </c>
      <c r="G106" s="19">
        <f t="shared" si="38"/>
        <v>996.6</v>
      </c>
      <c r="H106" s="19">
        <f t="shared" si="38"/>
        <v>709.3</v>
      </c>
      <c r="I106" s="24">
        <f t="shared" ref="I106:I111" si="39">+(G106/H106-1)*100</f>
        <v>40.504722966304826</v>
      </c>
      <c r="J106">
        <v>0</v>
      </c>
    </row>
    <row r="107" spans="2:10" x14ac:dyDescent="0.25">
      <c r="B107" s="38">
        <f t="shared" si="2"/>
        <v>39597</v>
      </c>
      <c r="C107">
        <v>0</v>
      </c>
      <c r="D107">
        <v>0</v>
      </c>
      <c r="E107">
        <v>996.6</v>
      </c>
      <c r="F107">
        <v>709.3</v>
      </c>
      <c r="G107" s="19">
        <f t="shared" ref="G107:H109" si="40">+C107+E107</f>
        <v>996.6</v>
      </c>
      <c r="H107" s="19">
        <f t="shared" si="40"/>
        <v>709.3</v>
      </c>
      <c r="I107" s="24">
        <f t="shared" si="39"/>
        <v>40.504722966304826</v>
      </c>
      <c r="J107">
        <v>0</v>
      </c>
    </row>
    <row r="108" spans="2:10" x14ac:dyDescent="0.25">
      <c r="B108" s="38">
        <f t="shared" si="2"/>
        <v>39604</v>
      </c>
      <c r="C108">
        <v>0</v>
      </c>
      <c r="D108">
        <v>55</v>
      </c>
      <c r="E108">
        <v>0</v>
      </c>
      <c r="F108">
        <v>0</v>
      </c>
      <c r="G108" s="19">
        <f t="shared" si="40"/>
        <v>0</v>
      </c>
      <c r="H108" s="19">
        <f t="shared" si="40"/>
        <v>55</v>
      </c>
      <c r="I108" s="24">
        <f t="shared" si="39"/>
        <v>-100</v>
      </c>
    </row>
    <row r="109" spans="2:10" x14ac:dyDescent="0.25">
      <c r="B109" s="38">
        <f t="shared" si="2"/>
        <v>39611</v>
      </c>
      <c r="C109">
        <v>0</v>
      </c>
      <c r="D109">
        <v>55</v>
      </c>
      <c r="E109">
        <v>0</v>
      </c>
      <c r="F109">
        <v>0</v>
      </c>
      <c r="G109" s="19">
        <f t="shared" si="40"/>
        <v>0</v>
      </c>
      <c r="H109" s="19">
        <f t="shared" si="40"/>
        <v>55</v>
      </c>
      <c r="I109" s="24">
        <f t="shared" si="39"/>
        <v>-100</v>
      </c>
    </row>
    <row r="110" spans="2:10" x14ac:dyDescent="0.25">
      <c r="B110" s="38">
        <f t="shared" si="2"/>
        <v>39618</v>
      </c>
      <c r="C110">
        <v>55</v>
      </c>
      <c r="D110">
        <v>50</v>
      </c>
      <c r="E110">
        <v>0</v>
      </c>
      <c r="F110">
        <v>59.4</v>
      </c>
      <c r="G110" s="19">
        <f t="shared" ref="G110:H112" si="41">+C110+E110</f>
        <v>55</v>
      </c>
      <c r="H110" s="19">
        <f t="shared" si="41"/>
        <v>109.4</v>
      </c>
      <c r="I110" s="24">
        <f t="shared" si="39"/>
        <v>-49.725776965265091</v>
      </c>
    </row>
    <row r="111" spans="2:10" x14ac:dyDescent="0.25">
      <c r="B111" s="38">
        <f t="shared" si="2"/>
        <v>39625</v>
      </c>
      <c r="C111">
        <v>55</v>
      </c>
      <c r="D111">
        <v>98</v>
      </c>
      <c r="E111">
        <v>0</v>
      </c>
      <c r="F111">
        <v>59.4</v>
      </c>
      <c r="G111" s="19">
        <f t="shared" si="41"/>
        <v>55</v>
      </c>
      <c r="H111" s="19">
        <f t="shared" si="41"/>
        <v>157.4</v>
      </c>
      <c r="I111" s="24">
        <f t="shared" si="39"/>
        <v>-65.057179161372304</v>
      </c>
    </row>
    <row r="112" spans="2:10" x14ac:dyDescent="0.25">
      <c r="B112" s="38">
        <f t="shared" si="2"/>
        <v>39632</v>
      </c>
      <c r="C112">
        <v>55</v>
      </c>
      <c r="D112">
        <v>201</v>
      </c>
      <c r="E112">
        <v>0</v>
      </c>
      <c r="F112">
        <v>59.4</v>
      </c>
      <c r="G112" s="19">
        <f t="shared" si="41"/>
        <v>55</v>
      </c>
      <c r="H112" s="19">
        <f t="shared" si="41"/>
        <v>260.39999999999998</v>
      </c>
      <c r="I112" s="24">
        <f t="shared" ref="I112:I117" si="42">+(G112/H112-1)*100</f>
        <v>-78.878648233486942</v>
      </c>
    </row>
    <row r="113" spans="2:9" x14ac:dyDescent="0.25">
      <c r="B113" s="38">
        <f t="shared" si="2"/>
        <v>39639</v>
      </c>
      <c r="C113">
        <v>0</v>
      </c>
      <c r="D113">
        <v>201</v>
      </c>
      <c r="E113">
        <v>55.1</v>
      </c>
      <c r="F113">
        <v>59.4</v>
      </c>
      <c r="G113" s="19">
        <f t="shared" ref="G113:H116" si="43">+C113+E113</f>
        <v>55.1</v>
      </c>
      <c r="H113" s="19">
        <f t="shared" si="43"/>
        <v>260.39999999999998</v>
      </c>
      <c r="I113" s="24">
        <f t="shared" si="42"/>
        <v>-78.840245775729642</v>
      </c>
    </row>
    <row r="114" spans="2:9" x14ac:dyDescent="0.25">
      <c r="B114" s="38">
        <f t="shared" si="2"/>
        <v>39646</v>
      </c>
      <c r="C114">
        <v>45</v>
      </c>
      <c r="D114">
        <v>201</v>
      </c>
      <c r="E114">
        <v>55.1</v>
      </c>
      <c r="F114">
        <v>59.4</v>
      </c>
      <c r="G114" s="19">
        <f t="shared" si="43"/>
        <v>100.1</v>
      </c>
      <c r="H114" s="19">
        <f t="shared" si="43"/>
        <v>260.39999999999998</v>
      </c>
      <c r="I114" s="24">
        <f t="shared" si="42"/>
        <v>-61.55913978494624</v>
      </c>
    </row>
    <row r="115" spans="2:9" x14ac:dyDescent="0.25">
      <c r="B115" s="38">
        <f t="shared" si="2"/>
        <v>39653</v>
      </c>
      <c r="C115">
        <v>45</v>
      </c>
      <c r="D115">
        <v>201</v>
      </c>
      <c r="E115">
        <v>55.1</v>
      </c>
      <c r="F115">
        <v>59.4</v>
      </c>
      <c r="G115" s="19">
        <f t="shared" si="43"/>
        <v>100.1</v>
      </c>
      <c r="H115" s="19">
        <f t="shared" si="43"/>
        <v>260.39999999999998</v>
      </c>
      <c r="I115" s="24">
        <f t="shared" si="42"/>
        <v>-61.55913978494624</v>
      </c>
    </row>
    <row r="116" spans="2:9" x14ac:dyDescent="0.25">
      <c r="B116" s="38">
        <f t="shared" si="2"/>
        <v>39660</v>
      </c>
      <c r="C116">
        <v>45</v>
      </c>
      <c r="D116">
        <v>151</v>
      </c>
      <c r="E116">
        <v>55.1</v>
      </c>
      <c r="F116">
        <v>110</v>
      </c>
      <c r="G116" s="19">
        <f t="shared" si="43"/>
        <v>100.1</v>
      </c>
      <c r="H116" s="19">
        <f t="shared" si="43"/>
        <v>261</v>
      </c>
      <c r="I116" s="24">
        <f t="shared" si="42"/>
        <v>-61.64750957854406</v>
      </c>
    </row>
    <row r="117" spans="2:9" x14ac:dyDescent="0.25">
      <c r="B117" s="38">
        <f t="shared" si="2"/>
        <v>39667</v>
      </c>
      <c r="C117">
        <v>0</v>
      </c>
      <c r="D117">
        <v>201</v>
      </c>
      <c r="E117">
        <v>98.8</v>
      </c>
      <c r="F117">
        <v>110</v>
      </c>
      <c r="G117" s="19">
        <f t="shared" ref="G117:H119" si="44">+C117+E117</f>
        <v>98.8</v>
      </c>
      <c r="H117" s="19">
        <f t="shared" si="44"/>
        <v>311</v>
      </c>
      <c r="I117" s="24">
        <f t="shared" si="42"/>
        <v>-68.231511254019296</v>
      </c>
    </row>
    <row r="118" spans="2:9" x14ac:dyDescent="0.25">
      <c r="B118" s="38">
        <f t="shared" si="2"/>
        <v>39674</v>
      </c>
      <c r="C118">
        <v>0</v>
      </c>
      <c r="D118">
        <v>349</v>
      </c>
      <c r="E118">
        <v>98.8</v>
      </c>
      <c r="F118">
        <v>208.1</v>
      </c>
      <c r="G118" s="19">
        <f t="shared" si="44"/>
        <v>98.8</v>
      </c>
      <c r="H118" s="19">
        <f t="shared" si="44"/>
        <v>557.1</v>
      </c>
      <c r="I118" s="24">
        <f t="shared" ref="I118:I123" si="45">+(G118/H118-1)*100</f>
        <v>-82.265302459163522</v>
      </c>
    </row>
    <row r="119" spans="2:9" x14ac:dyDescent="0.25">
      <c r="B119" s="38">
        <f t="shared" si="2"/>
        <v>39681</v>
      </c>
      <c r="C119">
        <v>50</v>
      </c>
      <c r="D119">
        <v>349</v>
      </c>
      <c r="E119">
        <v>98.8</v>
      </c>
      <c r="F119">
        <v>279.7</v>
      </c>
      <c r="G119" s="19">
        <f t="shared" si="44"/>
        <v>148.80000000000001</v>
      </c>
      <c r="H119" s="19">
        <f t="shared" si="44"/>
        <v>628.70000000000005</v>
      </c>
      <c r="I119" s="24">
        <f t="shared" si="45"/>
        <v>-76.332113885796076</v>
      </c>
    </row>
    <row r="120" spans="2:9" x14ac:dyDescent="0.25">
      <c r="B120" s="38">
        <f t="shared" si="2"/>
        <v>39688</v>
      </c>
      <c r="C120">
        <v>50</v>
      </c>
      <c r="D120">
        <v>399</v>
      </c>
      <c r="E120">
        <v>98.8</v>
      </c>
      <c r="F120">
        <v>385.2</v>
      </c>
      <c r="G120" s="19">
        <f t="shared" ref="G120:H122" si="46">+C120+E120</f>
        <v>148.80000000000001</v>
      </c>
      <c r="H120" s="19">
        <f t="shared" si="46"/>
        <v>784.2</v>
      </c>
      <c r="I120" s="24">
        <f t="shared" si="45"/>
        <v>-81.025248661055855</v>
      </c>
    </row>
    <row r="121" spans="2:9" x14ac:dyDescent="0.25">
      <c r="B121" s="38">
        <f t="shared" si="2"/>
        <v>39695</v>
      </c>
      <c r="C121">
        <v>50</v>
      </c>
      <c r="D121">
        <v>399</v>
      </c>
      <c r="E121">
        <v>98.8</v>
      </c>
      <c r="F121">
        <v>385.2</v>
      </c>
      <c r="G121" s="19">
        <f t="shared" si="46"/>
        <v>148.80000000000001</v>
      </c>
      <c r="H121" s="19">
        <f t="shared" si="46"/>
        <v>784.2</v>
      </c>
      <c r="I121" s="24">
        <f t="shared" si="45"/>
        <v>-81.025248661055855</v>
      </c>
    </row>
    <row r="122" spans="2:9" x14ac:dyDescent="0.25">
      <c r="B122" s="38">
        <f t="shared" si="2"/>
        <v>39702</v>
      </c>
      <c r="C122">
        <v>50</v>
      </c>
      <c r="D122">
        <v>399</v>
      </c>
      <c r="E122">
        <v>98.8</v>
      </c>
      <c r="F122">
        <v>433.7</v>
      </c>
      <c r="G122" s="19">
        <f t="shared" si="46"/>
        <v>148.80000000000001</v>
      </c>
      <c r="H122" s="19">
        <f t="shared" si="46"/>
        <v>832.7</v>
      </c>
      <c r="I122" s="24">
        <f t="shared" si="45"/>
        <v>-82.130419118530085</v>
      </c>
    </row>
    <row r="123" spans="2:9" x14ac:dyDescent="0.25">
      <c r="B123" s="38">
        <f t="shared" si="2"/>
        <v>39709</v>
      </c>
      <c r="C123">
        <v>50</v>
      </c>
      <c r="D123">
        <v>399</v>
      </c>
      <c r="E123">
        <v>98.8</v>
      </c>
      <c r="F123">
        <v>477.7</v>
      </c>
      <c r="G123" s="19">
        <f t="shared" ref="G123:H125" si="47">+C123+E123</f>
        <v>148.80000000000001</v>
      </c>
      <c r="H123" s="19">
        <f t="shared" si="47"/>
        <v>876.7</v>
      </c>
      <c r="I123" s="24">
        <f t="shared" si="45"/>
        <v>-83.027261320862323</v>
      </c>
    </row>
    <row r="124" spans="2:9" x14ac:dyDescent="0.25">
      <c r="B124" s="38">
        <f t="shared" si="2"/>
        <v>39716</v>
      </c>
      <c r="C124">
        <v>0</v>
      </c>
      <c r="D124">
        <v>349</v>
      </c>
      <c r="E124">
        <v>149.4</v>
      </c>
      <c r="F124">
        <v>526.4</v>
      </c>
      <c r="G124" s="19">
        <f t="shared" si="47"/>
        <v>149.4</v>
      </c>
      <c r="H124" s="19">
        <f t="shared" si="47"/>
        <v>875.4</v>
      </c>
      <c r="I124" s="24">
        <f t="shared" ref="I124:I129" si="48">+(G124/H124-1)*100</f>
        <v>-82.933516106922539</v>
      </c>
    </row>
    <row r="125" spans="2:9" x14ac:dyDescent="0.25">
      <c r="B125" s="38">
        <f t="shared" si="2"/>
        <v>39723</v>
      </c>
      <c r="C125">
        <v>0</v>
      </c>
      <c r="D125">
        <v>249</v>
      </c>
      <c r="E125">
        <v>149.4</v>
      </c>
      <c r="F125">
        <v>619.6</v>
      </c>
      <c r="G125" s="19">
        <f t="shared" si="47"/>
        <v>149.4</v>
      </c>
      <c r="H125" s="19">
        <f t="shared" si="47"/>
        <v>868.6</v>
      </c>
      <c r="I125" s="24">
        <f t="shared" si="48"/>
        <v>-82.799907897766516</v>
      </c>
    </row>
    <row r="126" spans="2:9" x14ac:dyDescent="0.25">
      <c r="B126" s="38">
        <f t="shared" si="2"/>
        <v>39730</v>
      </c>
      <c r="C126">
        <v>0</v>
      </c>
      <c r="D126">
        <v>249</v>
      </c>
      <c r="E126">
        <v>149.4</v>
      </c>
      <c r="F126">
        <v>619.6</v>
      </c>
      <c r="G126" s="19">
        <f t="shared" ref="G126:H128" si="49">+C126+E126</f>
        <v>149.4</v>
      </c>
      <c r="H126" s="19">
        <f t="shared" si="49"/>
        <v>868.6</v>
      </c>
      <c r="I126" s="24">
        <f t="shared" si="48"/>
        <v>-82.799907897766516</v>
      </c>
    </row>
    <row r="127" spans="2:9" x14ac:dyDescent="0.25">
      <c r="B127" s="38">
        <f t="shared" si="2"/>
        <v>39737</v>
      </c>
      <c r="C127">
        <v>0</v>
      </c>
      <c r="D127">
        <v>199</v>
      </c>
      <c r="E127">
        <v>149.4</v>
      </c>
      <c r="F127">
        <v>668.1</v>
      </c>
      <c r="G127" s="19">
        <f t="shared" si="49"/>
        <v>149.4</v>
      </c>
      <c r="H127" s="19">
        <f t="shared" si="49"/>
        <v>867.1</v>
      </c>
      <c r="I127" s="24">
        <f t="shared" si="48"/>
        <v>-82.77015338484604</v>
      </c>
    </row>
    <row r="128" spans="2:9" x14ac:dyDescent="0.25">
      <c r="B128" s="38">
        <f t="shared" si="2"/>
        <v>39744</v>
      </c>
      <c r="C128">
        <v>0</v>
      </c>
      <c r="D128">
        <v>150</v>
      </c>
      <c r="E128">
        <v>149.4</v>
      </c>
      <c r="F128">
        <v>716.3</v>
      </c>
      <c r="G128" s="19">
        <f t="shared" si="49"/>
        <v>149.4</v>
      </c>
      <c r="H128" s="19">
        <f t="shared" si="49"/>
        <v>866.3</v>
      </c>
      <c r="I128" s="24">
        <f t="shared" si="48"/>
        <v>-82.754242179383581</v>
      </c>
    </row>
    <row r="129" spans="2:9" x14ac:dyDescent="0.25">
      <c r="B129" s="38">
        <f t="shared" si="2"/>
        <v>39751</v>
      </c>
      <c r="C129">
        <v>0</v>
      </c>
      <c r="D129">
        <v>150</v>
      </c>
      <c r="E129">
        <v>149.4</v>
      </c>
      <c r="F129">
        <v>716.3</v>
      </c>
      <c r="G129" s="19">
        <f t="shared" ref="G129:H131" si="50">+C129+E129</f>
        <v>149.4</v>
      </c>
      <c r="H129" s="19">
        <f t="shared" si="50"/>
        <v>866.3</v>
      </c>
      <c r="I129" s="24">
        <f t="shared" si="48"/>
        <v>-82.754242179383581</v>
      </c>
    </row>
    <row r="130" spans="2:9" x14ac:dyDescent="0.25">
      <c r="B130" s="38">
        <f t="shared" si="2"/>
        <v>39758</v>
      </c>
      <c r="C130">
        <v>0</v>
      </c>
      <c r="D130">
        <v>50</v>
      </c>
      <c r="E130">
        <v>149.4</v>
      </c>
      <c r="F130">
        <v>815.7</v>
      </c>
      <c r="G130" s="19">
        <f t="shared" si="50"/>
        <v>149.4</v>
      </c>
      <c r="H130" s="19">
        <f t="shared" si="50"/>
        <v>865.7</v>
      </c>
      <c r="I130" s="24">
        <f t="shared" ref="I130:I135" si="51">+(G130/H130-1)*100</f>
        <v>-82.742289476724039</v>
      </c>
    </row>
    <row r="131" spans="2:9" x14ac:dyDescent="0.25">
      <c r="B131" s="38">
        <f t="shared" si="2"/>
        <v>39765</v>
      </c>
      <c r="C131">
        <v>0</v>
      </c>
      <c r="D131">
        <v>50</v>
      </c>
      <c r="E131">
        <v>149.4</v>
      </c>
      <c r="F131">
        <v>815.7</v>
      </c>
      <c r="G131" s="19">
        <f t="shared" si="50"/>
        <v>149.4</v>
      </c>
      <c r="H131" s="19">
        <f t="shared" si="50"/>
        <v>865.7</v>
      </c>
      <c r="I131" s="24">
        <f t="shared" si="51"/>
        <v>-82.742289476724039</v>
      </c>
    </row>
    <row r="132" spans="2:9" x14ac:dyDescent="0.25">
      <c r="B132" s="38">
        <f t="shared" si="2"/>
        <v>39772</v>
      </c>
      <c r="C132">
        <v>0</v>
      </c>
      <c r="D132">
        <v>50</v>
      </c>
      <c r="E132">
        <v>149.4</v>
      </c>
      <c r="F132">
        <v>815.7</v>
      </c>
      <c r="G132" s="19">
        <f t="shared" ref="G132:H134" si="52">+C132+E132</f>
        <v>149.4</v>
      </c>
      <c r="H132" s="19">
        <f t="shared" si="52"/>
        <v>865.7</v>
      </c>
      <c r="I132" s="24">
        <f t="shared" si="51"/>
        <v>-82.742289476724039</v>
      </c>
    </row>
    <row r="133" spans="2:9" x14ac:dyDescent="0.25">
      <c r="B133" s="38">
        <f t="shared" si="2"/>
        <v>39779</v>
      </c>
      <c r="C133">
        <v>50</v>
      </c>
      <c r="D133">
        <v>50</v>
      </c>
      <c r="E133">
        <v>149.4</v>
      </c>
      <c r="F133">
        <v>815.7</v>
      </c>
      <c r="G133" s="19">
        <f t="shared" si="52"/>
        <v>199.4</v>
      </c>
      <c r="H133" s="19">
        <f t="shared" si="52"/>
        <v>865.7</v>
      </c>
      <c r="I133" s="24">
        <f t="shared" si="51"/>
        <v>-76.96661661083516</v>
      </c>
    </row>
    <row r="134" spans="2:9" x14ac:dyDescent="0.25">
      <c r="B134" s="38">
        <f t="shared" si="2"/>
        <v>39786</v>
      </c>
      <c r="C134">
        <v>50</v>
      </c>
      <c r="D134">
        <v>0</v>
      </c>
      <c r="E134">
        <v>149.4</v>
      </c>
      <c r="F134">
        <v>815.7</v>
      </c>
      <c r="G134" s="19">
        <f t="shared" si="52"/>
        <v>199.4</v>
      </c>
      <c r="H134" s="19">
        <f t="shared" si="52"/>
        <v>815.7</v>
      </c>
      <c r="I134" s="24">
        <f t="shared" si="51"/>
        <v>-75.554738261615796</v>
      </c>
    </row>
    <row r="135" spans="2:9" x14ac:dyDescent="0.25">
      <c r="B135" s="38">
        <f t="shared" si="2"/>
        <v>39793</v>
      </c>
      <c r="C135">
        <v>50</v>
      </c>
      <c r="D135">
        <v>0</v>
      </c>
      <c r="E135">
        <v>149.4</v>
      </c>
      <c r="F135">
        <v>815.7</v>
      </c>
      <c r="G135" s="19">
        <f t="shared" ref="G135:H137" si="53">+C135+E135</f>
        <v>199.4</v>
      </c>
      <c r="H135" s="19">
        <f t="shared" si="53"/>
        <v>815.7</v>
      </c>
      <c r="I135" s="24">
        <f t="shared" si="51"/>
        <v>-75.554738261615796</v>
      </c>
    </row>
    <row r="136" spans="2:9" x14ac:dyDescent="0.25">
      <c r="B136" s="38">
        <f t="shared" si="2"/>
        <v>39800</v>
      </c>
      <c r="C136">
        <v>78</v>
      </c>
      <c r="D136">
        <v>0</v>
      </c>
      <c r="E136">
        <v>149.4</v>
      </c>
      <c r="F136">
        <v>815.7</v>
      </c>
      <c r="G136" s="19">
        <f t="shared" si="53"/>
        <v>227.4</v>
      </c>
      <c r="H136" s="19">
        <f t="shared" si="53"/>
        <v>815.7</v>
      </c>
      <c r="I136" s="24">
        <f t="shared" ref="I136:I141" si="54">+(G136/H136-1)*100</f>
        <v>-72.122103714600954</v>
      </c>
    </row>
    <row r="137" spans="2:9" x14ac:dyDescent="0.25">
      <c r="B137" s="38">
        <f t="shared" si="2"/>
        <v>39807</v>
      </c>
      <c r="C137">
        <v>78</v>
      </c>
      <c r="D137">
        <v>0</v>
      </c>
      <c r="E137">
        <v>149.4</v>
      </c>
      <c r="F137">
        <v>815.7</v>
      </c>
      <c r="G137" s="19">
        <f t="shared" si="53"/>
        <v>227.4</v>
      </c>
      <c r="H137" s="19">
        <f t="shared" si="53"/>
        <v>815.7</v>
      </c>
      <c r="I137" s="24">
        <f t="shared" si="54"/>
        <v>-72.122103714600954</v>
      </c>
    </row>
    <row r="138" spans="2:9" x14ac:dyDescent="0.25">
      <c r="B138" s="38">
        <f t="shared" si="2"/>
        <v>39814</v>
      </c>
      <c r="C138">
        <v>50</v>
      </c>
      <c r="D138">
        <v>0</v>
      </c>
      <c r="E138">
        <v>176.7</v>
      </c>
      <c r="F138">
        <v>815.7</v>
      </c>
      <c r="G138" s="19">
        <f t="shared" ref="G138:H140" si="55">+C138+E138</f>
        <v>226.7</v>
      </c>
      <c r="H138" s="19">
        <f t="shared" si="55"/>
        <v>815.7</v>
      </c>
      <c r="I138" s="24">
        <f t="shared" si="54"/>
        <v>-72.207919578276318</v>
      </c>
    </row>
    <row r="139" spans="2:9" x14ac:dyDescent="0.25">
      <c r="B139" s="38">
        <f t="shared" si="2"/>
        <v>39821</v>
      </c>
      <c r="C139">
        <v>50</v>
      </c>
      <c r="D139">
        <v>50</v>
      </c>
      <c r="E139">
        <v>176.7</v>
      </c>
      <c r="F139">
        <v>815.7</v>
      </c>
      <c r="G139" s="19">
        <f t="shared" si="55"/>
        <v>226.7</v>
      </c>
      <c r="H139" s="19">
        <f t="shared" si="55"/>
        <v>865.7</v>
      </c>
      <c r="I139" s="24">
        <f t="shared" si="54"/>
        <v>-73.813099226059833</v>
      </c>
    </row>
    <row r="140" spans="2:9" x14ac:dyDescent="0.25">
      <c r="B140" s="38">
        <f t="shared" si="2"/>
        <v>39828</v>
      </c>
      <c r="C140">
        <v>50</v>
      </c>
      <c r="D140">
        <v>50</v>
      </c>
      <c r="E140">
        <v>176.7</v>
      </c>
      <c r="F140">
        <v>815.7</v>
      </c>
      <c r="G140" s="19">
        <f t="shared" si="55"/>
        <v>226.7</v>
      </c>
      <c r="H140" s="19">
        <f t="shared" si="55"/>
        <v>865.7</v>
      </c>
      <c r="I140" s="24">
        <f t="shared" si="54"/>
        <v>-73.813099226059833</v>
      </c>
    </row>
    <row r="141" spans="2:9" x14ac:dyDescent="0.25">
      <c r="B141" s="38">
        <f t="shared" si="2"/>
        <v>39835</v>
      </c>
      <c r="C141">
        <v>100</v>
      </c>
      <c r="D141">
        <v>100</v>
      </c>
      <c r="E141">
        <v>176.7</v>
      </c>
      <c r="F141">
        <v>815.7</v>
      </c>
      <c r="G141" s="19">
        <f t="shared" ref="G141:H143" si="56">+C141+E141</f>
        <v>276.7</v>
      </c>
      <c r="H141" s="19">
        <f t="shared" si="56"/>
        <v>915.7</v>
      </c>
      <c r="I141" s="24">
        <f t="shared" si="54"/>
        <v>-69.782679917003392</v>
      </c>
    </row>
    <row r="142" spans="2:9" x14ac:dyDescent="0.25">
      <c r="B142" s="38">
        <f t="shared" si="2"/>
        <v>39842</v>
      </c>
      <c r="C142">
        <v>50</v>
      </c>
      <c r="D142">
        <v>100</v>
      </c>
      <c r="E142">
        <v>227.7</v>
      </c>
      <c r="F142">
        <v>815.7</v>
      </c>
      <c r="G142" s="19">
        <f t="shared" si="56"/>
        <v>277.7</v>
      </c>
      <c r="H142" s="19">
        <f t="shared" si="56"/>
        <v>915.7</v>
      </c>
      <c r="I142" s="24">
        <f t="shared" ref="I142:I147" si="57">+(G142/H142-1)*100</f>
        <v>-69.673473845145793</v>
      </c>
    </row>
    <row r="143" spans="2:9" x14ac:dyDescent="0.25">
      <c r="B143" s="38">
        <f t="shared" si="2"/>
        <v>39849</v>
      </c>
      <c r="C143">
        <v>102.5</v>
      </c>
      <c r="D143">
        <v>100</v>
      </c>
      <c r="E143">
        <v>227.7</v>
      </c>
      <c r="F143">
        <v>815.7</v>
      </c>
      <c r="G143" s="19">
        <f t="shared" si="56"/>
        <v>330.2</v>
      </c>
      <c r="H143" s="19">
        <f t="shared" si="56"/>
        <v>915.7</v>
      </c>
      <c r="I143" s="24">
        <f t="shared" si="57"/>
        <v>-63.940155072622041</v>
      </c>
    </row>
    <row r="144" spans="2:9" x14ac:dyDescent="0.25">
      <c r="B144" s="38">
        <f t="shared" si="2"/>
        <v>39856</v>
      </c>
      <c r="C144">
        <v>102.5</v>
      </c>
      <c r="D144">
        <v>100</v>
      </c>
      <c r="E144">
        <v>227.7</v>
      </c>
      <c r="F144">
        <v>815.7</v>
      </c>
      <c r="G144" s="19">
        <f t="shared" ref="G144:H146" si="58">+C144+E144</f>
        <v>330.2</v>
      </c>
      <c r="H144" s="19">
        <f t="shared" si="58"/>
        <v>915.7</v>
      </c>
      <c r="I144" s="24">
        <f t="shared" si="57"/>
        <v>-63.940155072622041</v>
      </c>
    </row>
    <row r="145" spans="1:12" x14ac:dyDescent="0.25">
      <c r="B145" s="38">
        <f t="shared" si="2"/>
        <v>39863</v>
      </c>
      <c r="C145">
        <v>107</v>
      </c>
      <c r="D145">
        <v>100</v>
      </c>
      <c r="E145">
        <v>276.10000000000002</v>
      </c>
      <c r="F145">
        <v>815.7</v>
      </c>
      <c r="G145" s="19">
        <f t="shared" si="58"/>
        <v>383.1</v>
      </c>
      <c r="H145" s="19">
        <f t="shared" si="58"/>
        <v>915.7</v>
      </c>
      <c r="I145" s="24">
        <f t="shared" si="57"/>
        <v>-58.163153871355242</v>
      </c>
    </row>
    <row r="146" spans="1:12" x14ac:dyDescent="0.25">
      <c r="B146" s="38">
        <f t="shared" si="2"/>
        <v>39870</v>
      </c>
      <c r="C146">
        <v>107</v>
      </c>
      <c r="D146">
        <v>100</v>
      </c>
      <c r="E146">
        <v>276.10000000000002</v>
      </c>
      <c r="F146">
        <v>815.7</v>
      </c>
      <c r="G146" s="19">
        <f t="shared" si="58"/>
        <v>383.1</v>
      </c>
      <c r="H146" s="19">
        <f t="shared" si="58"/>
        <v>915.7</v>
      </c>
      <c r="I146" s="24">
        <f t="shared" si="57"/>
        <v>-58.163153871355242</v>
      </c>
    </row>
    <row r="147" spans="1:12" x14ac:dyDescent="0.25">
      <c r="B147" s="38">
        <f t="shared" si="2"/>
        <v>39877</v>
      </c>
      <c r="C147">
        <v>107</v>
      </c>
      <c r="D147">
        <v>100</v>
      </c>
      <c r="E147">
        <v>276.10000000000002</v>
      </c>
      <c r="F147">
        <v>815.7</v>
      </c>
      <c r="G147" s="19">
        <f t="shared" ref="G147:H149" si="59">+C147+E147</f>
        <v>383.1</v>
      </c>
      <c r="H147" s="19">
        <f t="shared" si="59"/>
        <v>915.7</v>
      </c>
      <c r="I147" s="24">
        <f t="shared" si="57"/>
        <v>-58.163153871355242</v>
      </c>
    </row>
    <row r="148" spans="1:12" x14ac:dyDescent="0.25">
      <c r="B148" s="38">
        <f t="shared" si="2"/>
        <v>39884</v>
      </c>
      <c r="C148">
        <v>142</v>
      </c>
      <c r="D148">
        <v>100</v>
      </c>
      <c r="E148">
        <v>276.10000000000002</v>
      </c>
      <c r="F148">
        <v>815.7</v>
      </c>
      <c r="G148" s="19">
        <f t="shared" si="59"/>
        <v>418.1</v>
      </c>
      <c r="H148" s="19">
        <f t="shared" si="59"/>
        <v>915.7</v>
      </c>
      <c r="I148" s="24">
        <f t="shared" ref="I148:I153" si="60">+(G148/H148-1)*100</f>
        <v>-54.340941356339414</v>
      </c>
    </row>
    <row r="149" spans="1:12" x14ac:dyDescent="0.25">
      <c r="B149" s="38">
        <f t="shared" si="2"/>
        <v>39891</v>
      </c>
      <c r="C149">
        <v>87.5</v>
      </c>
      <c r="D149">
        <v>133</v>
      </c>
      <c r="E149">
        <v>332.8</v>
      </c>
      <c r="F149">
        <v>865</v>
      </c>
      <c r="G149" s="19">
        <f t="shared" si="59"/>
        <v>420.3</v>
      </c>
      <c r="H149" s="19">
        <f t="shared" si="59"/>
        <v>998</v>
      </c>
      <c r="I149" s="24">
        <f t="shared" si="60"/>
        <v>-57.885771543086172</v>
      </c>
    </row>
    <row r="150" spans="1:12" x14ac:dyDescent="0.25">
      <c r="B150" s="38">
        <f t="shared" si="2"/>
        <v>39898</v>
      </c>
      <c r="C150">
        <v>87.5</v>
      </c>
      <c r="D150">
        <v>133</v>
      </c>
      <c r="E150">
        <v>332.8</v>
      </c>
      <c r="F150">
        <v>865</v>
      </c>
      <c r="G150" s="19">
        <f t="shared" ref="G150:H153" si="61">+C150+E150</f>
        <v>420.3</v>
      </c>
      <c r="H150" s="19">
        <f t="shared" si="61"/>
        <v>998</v>
      </c>
      <c r="I150" s="24">
        <f t="shared" si="60"/>
        <v>-57.885771543086172</v>
      </c>
    </row>
    <row r="151" spans="1:12" x14ac:dyDescent="0.25">
      <c r="B151" s="38">
        <f t="shared" si="2"/>
        <v>39905</v>
      </c>
      <c r="C151">
        <v>35</v>
      </c>
      <c r="D151">
        <v>133</v>
      </c>
      <c r="E151">
        <v>391</v>
      </c>
      <c r="F151">
        <v>865</v>
      </c>
      <c r="G151" s="19">
        <f t="shared" si="61"/>
        <v>426</v>
      </c>
      <c r="H151" s="19">
        <f t="shared" si="61"/>
        <v>998</v>
      </c>
      <c r="I151" s="24">
        <f t="shared" si="60"/>
        <v>-57.314629258517037</v>
      </c>
    </row>
    <row r="152" spans="1:12" x14ac:dyDescent="0.25">
      <c r="B152" s="38">
        <f t="shared" si="2"/>
        <v>39912</v>
      </c>
      <c r="C152">
        <v>35</v>
      </c>
      <c r="D152">
        <v>133</v>
      </c>
      <c r="E152">
        <v>391</v>
      </c>
      <c r="F152">
        <v>865</v>
      </c>
      <c r="G152" s="19">
        <f t="shared" si="61"/>
        <v>426</v>
      </c>
      <c r="H152" s="19">
        <f t="shared" si="61"/>
        <v>998</v>
      </c>
      <c r="I152" s="24">
        <f t="shared" si="60"/>
        <v>-57.314629258517037</v>
      </c>
    </row>
    <row r="153" spans="1:12" x14ac:dyDescent="0.25">
      <c r="B153" s="38">
        <f t="shared" si="2"/>
        <v>39919</v>
      </c>
      <c r="C153">
        <v>0</v>
      </c>
      <c r="D153">
        <v>133</v>
      </c>
      <c r="E153">
        <v>425.2</v>
      </c>
      <c r="F153">
        <v>865</v>
      </c>
      <c r="G153" s="19">
        <f t="shared" si="61"/>
        <v>425.2</v>
      </c>
      <c r="H153" s="19">
        <f t="shared" si="61"/>
        <v>998</v>
      </c>
      <c r="I153" s="24">
        <f t="shared" si="60"/>
        <v>-57.394789579158314</v>
      </c>
    </row>
    <row r="154" spans="1:12" x14ac:dyDescent="0.25">
      <c r="B154" s="38">
        <f t="shared" si="2"/>
        <v>39926</v>
      </c>
      <c r="C154">
        <v>55</v>
      </c>
      <c r="D154">
        <v>0</v>
      </c>
      <c r="E154">
        <v>425.2</v>
      </c>
      <c r="F154">
        <v>996.6</v>
      </c>
      <c r="G154" s="19">
        <f t="shared" ref="G154:G185" si="62">+C154+E154</f>
        <v>480.2</v>
      </c>
      <c r="H154" s="19">
        <f t="shared" ref="H154:H185" si="63">+D154+F154</f>
        <v>996.6</v>
      </c>
      <c r="I154" s="24">
        <f t="shared" ref="I154:I185" si="64">+(G154/H154-1)*100</f>
        <v>-51.816174994982944</v>
      </c>
    </row>
    <row r="155" spans="1:12" x14ac:dyDescent="0.25">
      <c r="B155" s="38">
        <f t="shared" si="2"/>
        <v>39933</v>
      </c>
      <c r="C155">
        <v>55</v>
      </c>
      <c r="D155">
        <v>0</v>
      </c>
      <c r="E155">
        <v>425.2</v>
      </c>
      <c r="F155">
        <v>996.6</v>
      </c>
      <c r="G155" s="19">
        <f t="shared" si="62"/>
        <v>480.2</v>
      </c>
      <c r="H155" s="19">
        <f t="shared" si="63"/>
        <v>996.6</v>
      </c>
      <c r="I155" s="24">
        <f t="shared" si="64"/>
        <v>-51.816174994982944</v>
      </c>
    </row>
    <row r="156" spans="1:12" x14ac:dyDescent="0.25">
      <c r="B156" s="38">
        <f t="shared" si="2"/>
        <v>39940</v>
      </c>
      <c r="C156">
        <v>55</v>
      </c>
      <c r="D156">
        <v>0</v>
      </c>
      <c r="E156">
        <v>425.2</v>
      </c>
      <c r="F156">
        <v>996.6</v>
      </c>
      <c r="G156" s="19">
        <f t="shared" si="62"/>
        <v>480.2</v>
      </c>
      <c r="H156" s="19">
        <f t="shared" si="63"/>
        <v>996.6</v>
      </c>
      <c r="I156" s="24">
        <f t="shared" si="64"/>
        <v>-51.816174994982944</v>
      </c>
      <c r="J156">
        <v>58</v>
      </c>
    </row>
    <row r="157" spans="1:12" x14ac:dyDescent="0.25">
      <c r="B157" s="38">
        <f t="shared" si="2"/>
        <v>39947</v>
      </c>
      <c r="C157">
        <v>55</v>
      </c>
      <c r="D157">
        <v>0</v>
      </c>
      <c r="E157">
        <v>425.2</v>
      </c>
      <c r="F157">
        <v>996.6</v>
      </c>
      <c r="G157" s="19">
        <f t="shared" si="62"/>
        <v>480.2</v>
      </c>
      <c r="H157" s="19">
        <f t="shared" si="63"/>
        <v>996.6</v>
      </c>
      <c r="I157" s="24">
        <f t="shared" si="64"/>
        <v>-51.816174994982944</v>
      </c>
      <c r="J157">
        <v>108</v>
      </c>
    </row>
    <row r="158" spans="1:12" x14ac:dyDescent="0.25">
      <c r="B158" s="38">
        <f t="shared" si="2"/>
        <v>39954</v>
      </c>
      <c r="C158">
        <v>0</v>
      </c>
      <c r="D158">
        <v>0</v>
      </c>
      <c r="E158">
        <v>482.5</v>
      </c>
      <c r="F158">
        <v>996.6</v>
      </c>
      <c r="G158" s="19">
        <f t="shared" si="62"/>
        <v>482.5</v>
      </c>
      <c r="H158" s="19">
        <f t="shared" si="63"/>
        <v>996.6</v>
      </c>
      <c r="I158" s="24">
        <f t="shared" si="64"/>
        <v>-51.585390327112179</v>
      </c>
      <c r="J158">
        <v>158</v>
      </c>
    </row>
    <row r="159" spans="1:12" x14ac:dyDescent="0.25">
      <c r="A159" s="52" t="s">
        <v>28</v>
      </c>
      <c r="B159" s="53">
        <f t="shared" si="2"/>
        <v>39961</v>
      </c>
      <c r="C159" s="54">
        <v>0</v>
      </c>
      <c r="D159" s="54">
        <v>0</v>
      </c>
      <c r="E159" s="54">
        <v>482.5</v>
      </c>
      <c r="F159" s="54">
        <v>996.6</v>
      </c>
      <c r="G159" s="55">
        <f t="shared" si="62"/>
        <v>482.5</v>
      </c>
      <c r="H159" s="55">
        <f t="shared" si="63"/>
        <v>996.6</v>
      </c>
      <c r="I159" s="56">
        <f t="shared" si="64"/>
        <v>-51.585390327112179</v>
      </c>
      <c r="J159" s="54">
        <v>158</v>
      </c>
    </row>
    <row r="160" spans="1:12" x14ac:dyDescent="0.25">
      <c r="A160" s="57" t="s">
        <v>98</v>
      </c>
      <c r="B160" s="58">
        <v>39968</v>
      </c>
      <c r="C160" s="59">
        <v>0</v>
      </c>
      <c r="D160" s="59">
        <v>377.1</v>
      </c>
      <c r="E160" s="59">
        <v>0</v>
      </c>
      <c r="F160" s="59">
        <v>105.2</v>
      </c>
      <c r="G160" s="61">
        <f t="shared" si="62"/>
        <v>0</v>
      </c>
      <c r="H160" s="61">
        <f t="shared" si="63"/>
        <v>482.3</v>
      </c>
      <c r="I160" s="62">
        <f t="shared" si="64"/>
        <v>-100</v>
      </c>
      <c r="J160" s="59"/>
      <c r="K160" s="59"/>
      <c r="L160" s="59"/>
    </row>
    <row r="161" spans="1:9" x14ac:dyDescent="0.25">
      <c r="A161" s="48" t="s">
        <v>98</v>
      </c>
      <c r="B161" s="38">
        <f t="shared" si="2"/>
        <v>39975</v>
      </c>
      <c r="C161">
        <v>0</v>
      </c>
      <c r="D161">
        <v>407.6</v>
      </c>
      <c r="E161">
        <v>0</v>
      </c>
      <c r="F161">
        <v>165.8</v>
      </c>
      <c r="G161" s="19">
        <f t="shared" si="62"/>
        <v>0</v>
      </c>
      <c r="H161" s="19">
        <f t="shared" si="63"/>
        <v>573.40000000000009</v>
      </c>
      <c r="I161" s="24">
        <f t="shared" si="64"/>
        <v>-100</v>
      </c>
    </row>
    <row r="162" spans="1:9" x14ac:dyDescent="0.25">
      <c r="A162" s="48" t="s">
        <v>98</v>
      </c>
      <c r="B162" s="38">
        <f t="shared" si="2"/>
        <v>39982</v>
      </c>
      <c r="C162">
        <v>25</v>
      </c>
      <c r="D162">
        <v>395.2</v>
      </c>
      <c r="E162">
        <v>0</v>
      </c>
      <c r="F162">
        <v>243.7</v>
      </c>
      <c r="G162" s="19">
        <f t="shared" si="62"/>
        <v>25</v>
      </c>
      <c r="H162" s="19">
        <f t="shared" si="63"/>
        <v>638.9</v>
      </c>
      <c r="I162" s="24">
        <f t="shared" si="64"/>
        <v>-96.087024573485678</v>
      </c>
    </row>
    <row r="163" spans="1:9" x14ac:dyDescent="0.25">
      <c r="A163" s="48" t="s">
        <v>98</v>
      </c>
      <c r="B163" s="38">
        <f t="shared" si="2"/>
        <v>39989</v>
      </c>
      <c r="C163">
        <v>25</v>
      </c>
      <c r="D163">
        <v>338.5</v>
      </c>
      <c r="E163">
        <v>0</v>
      </c>
      <c r="F163">
        <v>329.1</v>
      </c>
      <c r="G163" s="19">
        <f t="shared" si="62"/>
        <v>25</v>
      </c>
      <c r="H163" s="19">
        <f t="shared" si="63"/>
        <v>667.6</v>
      </c>
      <c r="I163" s="24">
        <f t="shared" si="64"/>
        <v>-96.255242660275613</v>
      </c>
    </row>
    <row r="164" spans="1:9" x14ac:dyDescent="0.25">
      <c r="A164" s="48" t="s">
        <v>98</v>
      </c>
      <c r="B164" s="38">
        <f t="shared" si="2"/>
        <v>39996</v>
      </c>
      <c r="C164">
        <v>25</v>
      </c>
      <c r="D164">
        <v>347.7</v>
      </c>
      <c r="E164">
        <v>0</v>
      </c>
      <c r="F164">
        <v>348.9</v>
      </c>
      <c r="G164" s="19">
        <f t="shared" si="62"/>
        <v>25</v>
      </c>
      <c r="H164" s="19">
        <f t="shared" si="63"/>
        <v>696.59999999999991</v>
      </c>
      <c r="I164" s="24">
        <f t="shared" si="64"/>
        <v>-96.411139821992535</v>
      </c>
    </row>
    <row r="165" spans="1:9" x14ac:dyDescent="0.25">
      <c r="A165" s="48" t="s">
        <v>98</v>
      </c>
      <c r="B165" s="38">
        <f t="shared" si="2"/>
        <v>40003</v>
      </c>
      <c r="C165">
        <v>76</v>
      </c>
      <c r="D165">
        <v>279.7</v>
      </c>
      <c r="E165">
        <v>0</v>
      </c>
      <c r="F165">
        <v>437.1</v>
      </c>
      <c r="G165" s="19">
        <f t="shared" si="62"/>
        <v>76</v>
      </c>
      <c r="H165" s="19">
        <f t="shared" si="63"/>
        <v>716.8</v>
      </c>
      <c r="I165" s="24">
        <f t="shared" si="64"/>
        <v>-89.397321428571431</v>
      </c>
    </row>
    <row r="166" spans="1:9" x14ac:dyDescent="0.25">
      <c r="A166" s="48" t="s">
        <v>98</v>
      </c>
      <c r="B166" s="38">
        <f t="shared" si="2"/>
        <v>40010</v>
      </c>
      <c r="C166">
        <v>76</v>
      </c>
      <c r="D166">
        <v>182.7</v>
      </c>
      <c r="E166">
        <v>0</v>
      </c>
      <c r="F166">
        <v>562.9</v>
      </c>
      <c r="G166" s="19">
        <f t="shared" si="62"/>
        <v>76</v>
      </c>
      <c r="H166" s="19">
        <f t="shared" si="63"/>
        <v>745.59999999999991</v>
      </c>
      <c r="I166" s="24">
        <f t="shared" si="64"/>
        <v>-89.806866952789704</v>
      </c>
    </row>
    <row r="167" spans="1:9" x14ac:dyDescent="0.25">
      <c r="A167" s="48" t="s">
        <v>98</v>
      </c>
      <c r="B167" s="38">
        <f t="shared" si="2"/>
        <v>40017</v>
      </c>
      <c r="C167">
        <v>106</v>
      </c>
      <c r="D167">
        <v>182.7</v>
      </c>
      <c r="E167">
        <v>16.5</v>
      </c>
      <c r="F167">
        <v>562.9</v>
      </c>
      <c r="G167" s="19">
        <f t="shared" si="62"/>
        <v>122.5</v>
      </c>
      <c r="H167" s="19">
        <f t="shared" si="63"/>
        <v>745.59999999999991</v>
      </c>
      <c r="I167" s="24">
        <f t="shared" si="64"/>
        <v>-83.570278969957073</v>
      </c>
    </row>
    <row r="168" spans="1:9" x14ac:dyDescent="0.25">
      <c r="A168" s="48" t="s">
        <v>98</v>
      </c>
      <c r="B168" s="38">
        <f t="shared" si="2"/>
        <v>40024</v>
      </c>
      <c r="C168">
        <v>109.8</v>
      </c>
      <c r="D168">
        <v>135.5</v>
      </c>
      <c r="E168">
        <v>52</v>
      </c>
      <c r="F168">
        <v>590.4</v>
      </c>
      <c r="G168" s="19">
        <f t="shared" si="62"/>
        <v>161.80000000000001</v>
      </c>
      <c r="H168" s="19">
        <f t="shared" si="63"/>
        <v>725.9</v>
      </c>
      <c r="I168" s="24">
        <f t="shared" si="64"/>
        <v>-77.71042843366854</v>
      </c>
    </row>
    <row r="169" spans="1:9" x14ac:dyDescent="0.25">
      <c r="A169" s="48" t="s">
        <v>98</v>
      </c>
      <c r="B169" s="38">
        <f t="shared" si="2"/>
        <v>40031</v>
      </c>
      <c r="C169">
        <v>109.8</v>
      </c>
      <c r="D169">
        <v>104.7</v>
      </c>
      <c r="E169">
        <v>52</v>
      </c>
      <c r="F169">
        <v>621.20000000000005</v>
      </c>
      <c r="G169" s="19">
        <f t="shared" si="62"/>
        <v>161.80000000000001</v>
      </c>
      <c r="H169" s="19">
        <f t="shared" si="63"/>
        <v>725.90000000000009</v>
      </c>
      <c r="I169" s="24">
        <f t="shared" si="64"/>
        <v>-77.710428433668554</v>
      </c>
    </row>
    <row r="170" spans="1:9" x14ac:dyDescent="0.25">
      <c r="A170" s="48" t="s">
        <v>98</v>
      </c>
      <c r="B170" s="38">
        <f t="shared" si="2"/>
        <v>40038</v>
      </c>
      <c r="C170">
        <v>80</v>
      </c>
      <c r="D170">
        <v>37.1</v>
      </c>
      <c r="E170">
        <v>88.6</v>
      </c>
      <c r="F170">
        <v>688.3</v>
      </c>
      <c r="G170" s="19">
        <f t="shared" si="62"/>
        <v>168.6</v>
      </c>
      <c r="H170" s="19">
        <f t="shared" si="63"/>
        <v>725.4</v>
      </c>
      <c r="I170" s="24">
        <f t="shared" si="64"/>
        <v>-76.757650951199338</v>
      </c>
    </row>
    <row r="171" spans="1:9" x14ac:dyDescent="0.25">
      <c r="A171" s="48" t="s">
        <v>98</v>
      </c>
      <c r="B171" s="38">
        <f t="shared" si="2"/>
        <v>40045</v>
      </c>
      <c r="C171">
        <v>80</v>
      </c>
      <c r="D171">
        <v>37.1</v>
      </c>
      <c r="E171">
        <v>88.6</v>
      </c>
      <c r="F171">
        <v>688.3</v>
      </c>
      <c r="G171" s="19">
        <f t="shared" si="62"/>
        <v>168.6</v>
      </c>
      <c r="H171" s="19">
        <f t="shared" si="63"/>
        <v>725.4</v>
      </c>
      <c r="I171" s="24">
        <f t="shared" si="64"/>
        <v>-76.757650951199338</v>
      </c>
    </row>
    <row r="172" spans="1:9" x14ac:dyDescent="0.25">
      <c r="A172" s="48" t="s">
        <v>98</v>
      </c>
      <c r="B172" s="38">
        <f t="shared" si="2"/>
        <v>40052</v>
      </c>
      <c r="C172">
        <v>55</v>
      </c>
      <c r="D172">
        <v>37.1</v>
      </c>
      <c r="E172">
        <v>113.7</v>
      </c>
      <c r="F172">
        <v>688.3</v>
      </c>
      <c r="G172" s="19">
        <f t="shared" si="62"/>
        <v>168.7</v>
      </c>
      <c r="H172" s="19">
        <f t="shared" si="63"/>
        <v>725.4</v>
      </c>
      <c r="I172" s="24">
        <f t="shared" si="64"/>
        <v>-76.743865453542867</v>
      </c>
    </row>
    <row r="173" spans="1:9" x14ac:dyDescent="0.25">
      <c r="A173" s="48" t="s">
        <v>98</v>
      </c>
      <c r="B173" s="38">
        <f t="shared" si="2"/>
        <v>40059</v>
      </c>
      <c r="C173">
        <v>26</v>
      </c>
      <c r="D173">
        <v>6.3</v>
      </c>
      <c r="E173">
        <v>144.4</v>
      </c>
      <c r="F173">
        <v>724.4</v>
      </c>
      <c r="G173" s="19">
        <f t="shared" si="62"/>
        <v>170.4</v>
      </c>
      <c r="H173" s="19">
        <f t="shared" si="63"/>
        <v>730.69999999999993</v>
      </c>
      <c r="I173" s="24">
        <f t="shared" si="64"/>
        <v>-76.679895990146434</v>
      </c>
    </row>
    <row r="174" spans="1:9" x14ac:dyDescent="0.25">
      <c r="A174" s="48" t="s">
        <v>98</v>
      </c>
      <c r="B174" s="38">
        <f t="shared" si="2"/>
        <v>40066</v>
      </c>
      <c r="C174">
        <v>26</v>
      </c>
      <c r="D174">
        <v>6.3</v>
      </c>
      <c r="E174">
        <v>144.4</v>
      </c>
      <c r="F174">
        <v>724.4</v>
      </c>
      <c r="G174" s="19">
        <f t="shared" si="62"/>
        <v>170.4</v>
      </c>
      <c r="H174" s="19">
        <f t="shared" si="63"/>
        <v>730.69999999999993</v>
      </c>
      <c r="I174" s="24">
        <f t="shared" si="64"/>
        <v>-76.679895990146434</v>
      </c>
    </row>
    <row r="175" spans="1:9" x14ac:dyDescent="0.25">
      <c r="A175" s="48" t="s">
        <v>98</v>
      </c>
      <c r="B175" s="38">
        <f t="shared" si="2"/>
        <v>40073</v>
      </c>
      <c r="C175">
        <v>29</v>
      </c>
      <c r="D175">
        <v>0</v>
      </c>
      <c r="E175">
        <v>144.4</v>
      </c>
      <c r="F175">
        <v>724.4</v>
      </c>
      <c r="G175" s="19">
        <f t="shared" si="62"/>
        <v>173.4</v>
      </c>
      <c r="H175" s="19">
        <f t="shared" si="63"/>
        <v>724.4</v>
      </c>
      <c r="I175" s="24">
        <f t="shared" si="64"/>
        <v>-76.062948647156261</v>
      </c>
    </row>
    <row r="176" spans="1:9" x14ac:dyDescent="0.25">
      <c r="A176" s="48" t="s">
        <v>98</v>
      </c>
      <c r="B176" s="38">
        <f t="shared" si="2"/>
        <v>40080</v>
      </c>
      <c r="C176">
        <v>29</v>
      </c>
      <c r="D176">
        <v>0</v>
      </c>
      <c r="E176">
        <v>144.4</v>
      </c>
      <c r="F176">
        <v>724.4</v>
      </c>
      <c r="G176" s="19">
        <f t="shared" si="62"/>
        <v>173.4</v>
      </c>
      <c r="H176" s="19">
        <f t="shared" si="63"/>
        <v>724.4</v>
      </c>
      <c r="I176" s="24">
        <f t="shared" si="64"/>
        <v>-76.062948647156261</v>
      </c>
    </row>
    <row r="177" spans="1:9" x14ac:dyDescent="0.25">
      <c r="A177" s="48" t="s">
        <v>98</v>
      </c>
      <c r="B177" s="38">
        <f t="shared" si="2"/>
        <v>40087</v>
      </c>
      <c r="C177">
        <v>29</v>
      </c>
      <c r="D177">
        <v>30</v>
      </c>
      <c r="E177">
        <v>144.4</v>
      </c>
      <c r="F177">
        <v>724.4</v>
      </c>
      <c r="G177" s="19">
        <f t="shared" si="62"/>
        <v>173.4</v>
      </c>
      <c r="H177" s="19">
        <f t="shared" si="63"/>
        <v>754.4</v>
      </c>
      <c r="I177" s="24">
        <f t="shared" si="64"/>
        <v>-77.014846235418872</v>
      </c>
    </row>
    <row r="178" spans="1:9" x14ac:dyDescent="0.25">
      <c r="A178" s="48" t="s">
        <v>98</v>
      </c>
      <c r="B178" s="38">
        <f t="shared" si="2"/>
        <v>40094</v>
      </c>
      <c r="C178">
        <v>0</v>
      </c>
      <c r="D178">
        <v>30</v>
      </c>
      <c r="E178">
        <v>171.5</v>
      </c>
      <c r="F178">
        <v>724.4</v>
      </c>
      <c r="G178" s="19">
        <f t="shared" si="62"/>
        <v>171.5</v>
      </c>
      <c r="H178" s="19">
        <f t="shared" si="63"/>
        <v>754.4</v>
      </c>
      <c r="I178" s="24">
        <f t="shared" si="64"/>
        <v>-77.266702014846231</v>
      </c>
    </row>
    <row r="179" spans="1:9" x14ac:dyDescent="0.25">
      <c r="A179" s="48" t="s">
        <v>98</v>
      </c>
      <c r="B179" s="38">
        <f t="shared" si="2"/>
        <v>40101</v>
      </c>
      <c r="C179">
        <v>0</v>
      </c>
      <c r="D179">
        <v>30</v>
      </c>
      <c r="E179">
        <v>171.5</v>
      </c>
      <c r="F179">
        <v>724.4</v>
      </c>
      <c r="G179" s="19">
        <f t="shared" si="62"/>
        <v>171.5</v>
      </c>
      <c r="H179" s="19">
        <f t="shared" si="63"/>
        <v>754.4</v>
      </c>
      <c r="I179" s="24">
        <f t="shared" si="64"/>
        <v>-77.266702014846231</v>
      </c>
    </row>
    <row r="180" spans="1:9" x14ac:dyDescent="0.25">
      <c r="A180" s="48" t="s">
        <v>98</v>
      </c>
      <c r="B180" s="38">
        <f t="shared" si="2"/>
        <v>40108</v>
      </c>
      <c r="C180">
        <v>0</v>
      </c>
      <c r="D180">
        <v>0</v>
      </c>
      <c r="E180">
        <v>171.5</v>
      </c>
      <c r="F180">
        <v>757.4</v>
      </c>
      <c r="G180" s="19">
        <f t="shared" si="62"/>
        <v>171.5</v>
      </c>
      <c r="H180" s="19">
        <f t="shared" si="63"/>
        <v>757.4</v>
      </c>
      <c r="I180" s="24">
        <f t="shared" si="64"/>
        <v>-77.35674676524954</v>
      </c>
    </row>
    <row r="181" spans="1:9" x14ac:dyDescent="0.25">
      <c r="A181" s="48" t="s">
        <v>98</v>
      </c>
      <c r="B181" s="38">
        <f t="shared" si="2"/>
        <v>40115</v>
      </c>
      <c r="C181">
        <v>0</v>
      </c>
      <c r="D181">
        <v>0</v>
      </c>
      <c r="E181">
        <v>171.5</v>
      </c>
      <c r="F181">
        <v>757.4</v>
      </c>
      <c r="G181" s="19">
        <f t="shared" si="62"/>
        <v>171.5</v>
      </c>
      <c r="H181" s="19">
        <f t="shared" si="63"/>
        <v>757.4</v>
      </c>
      <c r="I181" s="24">
        <f t="shared" si="64"/>
        <v>-77.35674676524954</v>
      </c>
    </row>
    <row r="182" spans="1:9" x14ac:dyDescent="0.25">
      <c r="A182" s="48" t="s">
        <v>98</v>
      </c>
      <c r="B182" s="38">
        <f t="shared" si="2"/>
        <v>40122</v>
      </c>
      <c r="C182">
        <v>0</v>
      </c>
      <c r="D182">
        <v>0</v>
      </c>
      <c r="E182">
        <v>171.5</v>
      </c>
      <c r="F182">
        <v>757.4</v>
      </c>
      <c r="G182" s="19">
        <f t="shared" si="62"/>
        <v>171.5</v>
      </c>
      <c r="H182" s="19">
        <f t="shared" si="63"/>
        <v>757.4</v>
      </c>
      <c r="I182" s="24">
        <f t="shared" si="64"/>
        <v>-77.35674676524954</v>
      </c>
    </row>
    <row r="183" spans="1:9" x14ac:dyDescent="0.25">
      <c r="A183" s="48" t="s">
        <v>98</v>
      </c>
      <c r="B183" s="38">
        <f t="shared" si="2"/>
        <v>40129</v>
      </c>
      <c r="C183">
        <v>0</v>
      </c>
      <c r="D183">
        <v>0</v>
      </c>
      <c r="E183">
        <v>188</v>
      </c>
      <c r="F183">
        <v>757.4</v>
      </c>
      <c r="G183" s="19">
        <f t="shared" si="62"/>
        <v>188</v>
      </c>
      <c r="H183" s="19">
        <f t="shared" si="63"/>
        <v>757.4</v>
      </c>
      <c r="I183" s="24">
        <f t="shared" si="64"/>
        <v>-75.178241351993663</v>
      </c>
    </row>
    <row r="184" spans="1:9" x14ac:dyDescent="0.25">
      <c r="A184" s="48" t="s">
        <v>98</v>
      </c>
      <c r="B184" s="38">
        <f t="shared" si="2"/>
        <v>40136</v>
      </c>
      <c r="C184">
        <v>0</v>
      </c>
      <c r="D184">
        <v>0</v>
      </c>
      <c r="E184">
        <v>188</v>
      </c>
      <c r="F184">
        <v>757.4</v>
      </c>
      <c r="G184" s="19">
        <f t="shared" si="62"/>
        <v>188</v>
      </c>
      <c r="H184" s="19">
        <f t="shared" si="63"/>
        <v>757.4</v>
      </c>
      <c r="I184" s="24">
        <f t="shared" si="64"/>
        <v>-75.178241351993663</v>
      </c>
    </row>
    <row r="185" spans="1:9" x14ac:dyDescent="0.25">
      <c r="A185" s="48" t="s">
        <v>98</v>
      </c>
      <c r="B185" s="38">
        <f t="shared" si="2"/>
        <v>40143</v>
      </c>
      <c r="C185">
        <v>23.8</v>
      </c>
      <c r="D185">
        <v>0</v>
      </c>
      <c r="E185">
        <v>188</v>
      </c>
      <c r="F185">
        <v>757.4</v>
      </c>
      <c r="G185" s="19">
        <f t="shared" si="62"/>
        <v>211.8</v>
      </c>
      <c r="H185" s="19">
        <f t="shared" si="63"/>
        <v>757.4</v>
      </c>
      <c r="I185" s="24">
        <f t="shared" si="64"/>
        <v>-72.035912331660938</v>
      </c>
    </row>
    <row r="186" spans="1:9" x14ac:dyDescent="0.25">
      <c r="A186" s="48" t="s">
        <v>98</v>
      </c>
      <c r="B186" s="38">
        <f t="shared" si="2"/>
        <v>40150</v>
      </c>
      <c r="C186">
        <v>23.8</v>
      </c>
      <c r="D186">
        <v>0</v>
      </c>
      <c r="E186">
        <v>188</v>
      </c>
      <c r="F186">
        <v>757.4</v>
      </c>
      <c r="G186" s="19">
        <f t="shared" ref="G186:G217" si="65">+C186+E186</f>
        <v>211.8</v>
      </c>
      <c r="H186" s="19">
        <f t="shared" ref="H186:H217" si="66">+D186+F186</f>
        <v>757.4</v>
      </c>
      <c r="I186" s="24">
        <f t="shared" ref="I186:I217" si="67">+(G186/H186-1)*100</f>
        <v>-72.035912331660938</v>
      </c>
    </row>
    <row r="187" spans="1:9" x14ac:dyDescent="0.25">
      <c r="A187" s="48" t="s">
        <v>98</v>
      </c>
      <c r="B187" s="38">
        <f t="shared" si="2"/>
        <v>40157</v>
      </c>
      <c r="C187">
        <v>23.8</v>
      </c>
      <c r="D187">
        <v>0</v>
      </c>
      <c r="E187">
        <v>188</v>
      </c>
      <c r="F187">
        <v>757.4</v>
      </c>
      <c r="G187" s="19">
        <f t="shared" si="65"/>
        <v>211.8</v>
      </c>
      <c r="H187" s="19">
        <f t="shared" si="66"/>
        <v>757.4</v>
      </c>
      <c r="I187" s="24">
        <f t="shared" si="67"/>
        <v>-72.035912331660938</v>
      </c>
    </row>
    <row r="188" spans="1:9" x14ac:dyDescent="0.25">
      <c r="A188" s="48" t="s">
        <v>98</v>
      </c>
      <c r="B188" s="38">
        <f t="shared" si="2"/>
        <v>40164</v>
      </c>
      <c r="C188">
        <v>23.8</v>
      </c>
      <c r="D188">
        <v>0</v>
      </c>
      <c r="E188">
        <v>188</v>
      </c>
      <c r="F188">
        <v>757.4</v>
      </c>
      <c r="G188" s="19">
        <f t="shared" si="65"/>
        <v>211.8</v>
      </c>
      <c r="H188" s="19">
        <f t="shared" si="66"/>
        <v>757.4</v>
      </c>
      <c r="I188" s="24">
        <f t="shared" si="67"/>
        <v>-72.035912331660938</v>
      </c>
    </row>
    <row r="189" spans="1:9" x14ac:dyDescent="0.25">
      <c r="A189" s="48" t="s">
        <v>98</v>
      </c>
      <c r="B189" s="38">
        <f t="shared" si="2"/>
        <v>40171</v>
      </c>
      <c r="C189">
        <v>23.8</v>
      </c>
      <c r="D189">
        <v>0</v>
      </c>
      <c r="E189">
        <v>188</v>
      </c>
      <c r="F189">
        <v>757.4</v>
      </c>
      <c r="G189" s="19">
        <f t="shared" si="65"/>
        <v>211.8</v>
      </c>
      <c r="H189" s="19">
        <f t="shared" si="66"/>
        <v>757.4</v>
      </c>
      <c r="I189" s="24">
        <f t="shared" si="67"/>
        <v>-72.035912331660938</v>
      </c>
    </row>
    <row r="190" spans="1:9" x14ac:dyDescent="0.25">
      <c r="A190" s="48" t="s">
        <v>98</v>
      </c>
      <c r="B190" s="38">
        <f t="shared" si="2"/>
        <v>40178</v>
      </c>
      <c r="C190">
        <v>23.8</v>
      </c>
      <c r="D190">
        <v>2</v>
      </c>
      <c r="E190">
        <v>188</v>
      </c>
      <c r="F190">
        <v>772.5</v>
      </c>
      <c r="G190" s="19">
        <f t="shared" si="65"/>
        <v>211.8</v>
      </c>
      <c r="H190" s="19">
        <f t="shared" si="66"/>
        <v>774.5</v>
      </c>
      <c r="I190" s="24">
        <f t="shared" si="67"/>
        <v>-72.653324725629446</v>
      </c>
    </row>
    <row r="191" spans="1:9" x14ac:dyDescent="0.25">
      <c r="A191" s="48" t="s">
        <v>98</v>
      </c>
      <c r="B191" s="38">
        <f t="shared" si="2"/>
        <v>40185</v>
      </c>
      <c r="C191">
        <v>23.8</v>
      </c>
      <c r="D191">
        <v>17</v>
      </c>
      <c r="E191">
        <v>188</v>
      </c>
      <c r="F191">
        <v>772.5</v>
      </c>
      <c r="G191" s="19">
        <f t="shared" si="65"/>
        <v>211.8</v>
      </c>
      <c r="H191" s="19">
        <f t="shared" si="66"/>
        <v>789.5</v>
      </c>
      <c r="I191" s="24">
        <f t="shared" si="67"/>
        <v>-73.172894236858781</v>
      </c>
    </row>
    <row r="192" spans="1:9" x14ac:dyDescent="0.25">
      <c r="A192" s="48" t="s">
        <v>98</v>
      </c>
      <c r="B192" s="38">
        <f t="shared" si="2"/>
        <v>40192</v>
      </c>
      <c r="C192">
        <v>0</v>
      </c>
      <c r="D192">
        <v>45</v>
      </c>
      <c r="E192">
        <v>213.9</v>
      </c>
      <c r="F192">
        <v>772.5</v>
      </c>
      <c r="G192" s="19">
        <f t="shared" si="65"/>
        <v>213.9</v>
      </c>
      <c r="H192" s="19">
        <f t="shared" si="66"/>
        <v>817.5</v>
      </c>
      <c r="I192" s="24">
        <f t="shared" si="67"/>
        <v>-73.834862385321102</v>
      </c>
    </row>
    <row r="193" spans="1:9" x14ac:dyDescent="0.25">
      <c r="A193" s="48" t="s">
        <v>98</v>
      </c>
      <c r="B193" s="38">
        <f t="shared" si="2"/>
        <v>40199</v>
      </c>
      <c r="C193">
        <v>0</v>
      </c>
      <c r="D193">
        <v>52</v>
      </c>
      <c r="E193">
        <v>213.9</v>
      </c>
      <c r="F193">
        <v>772.5</v>
      </c>
      <c r="G193" s="19">
        <f t="shared" si="65"/>
        <v>213.9</v>
      </c>
      <c r="H193" s="19">
        <f t="shared" si="66"/>
        <v>824.5</v>
      </c>
      <c r="I193" s="24">
        <f t="shared" si="67"/>
        <v>-74.057004244996975</v>
      </c>
    </row>
    <row r="194" spans="1:9" x14ac:dyDescent="0.25">
      <c r="A194" s="48" t="s">
        <v>98</v>
      </c>
      <c r="B194" s="38">
        <f t="shared" si="2"/>
        <v>40206</v>
      </c>
      <c r="C194">
        <v>0</v>
      </c>
      <c r="D194">
        <v>4</v>
      </c>
      <c r="E194">
        <v>213.9</v>
      </c>
      <c r="F194">
        <v>772.5</v>
      </c>
      <c r="G194" s="19">
        <f t="shared" si="65"/>
        <v>213.9</v>
      </c>
      <c r="H194" s="19">
        <f t="shared" si="66"/>
        <v>776.5</v>
      </c>
      <c r="I194" s="24">
        <f t="shared" si="67"/>
        <v>-72.453316162266574</v>
      </c>
    </row>
    <row r="195" spans="1:9" x14ac:dyDescent="0.25">
      <c r="A195" s="48" t="s">
        <v>98</v>
      </c>
      <c r="B195" s="38">
        <f t="shared" si="2"/>
        <v>40213</v>
      </c>
      <c r="C195">
        <v>0</v>
      </c>
      <c r="D195">
        <v>4</v>
      </c>
      <c r="E195">
        <v>213.9</v>
      </c>
      <c r="F195">
        <v>772.5</v>
      </c>
      <c r="G195" s="19">
        <f t="shared" si="65"/>
        <v>213.9</v>
      </c>
      <c r="H195" s="19">
        <f t="shared" si="66"/>
        <v>776.5</v>
      </c>
      <c r="I195" s="24">
        <f t="shared" si="67"/>
        <v>-72.453316162266574</v>
      </c>
    </row>
    <row r="196" spans="1:9" x14ac:dyDescent="0.25">
      <c r="A196" s="48" t="s">
        <v>98</v>
      </c>
      <c r="B196" s="38">
        <f t="shared" si="2"/>
        <v>40220</v>
      </c>
      <c r="C196">
        <v>0</v>
      </c>
      <c r="D196">
        <v>4</v>
      </c>
      <c r="E196">
        <v>213.9</v>
      </c>
      <c r="F196">
        <v>772.5</v>
      </c>
      <c r="G196" s="19">
        <f t="shared" si="65"/>
        <v>213.9</v>
      </c>
      <c r="H196" s="19">
        <f t="shared" si="66"/>
        <v>776.5</v>
      </c>
      <c r="I196" s="24">
        <f t="shared" si="67"/>
        <v>-72.453316162266574</v>
      </c>
    </row>
    <row r="197" spans="1:9" x14ac:dyDescent="0.25">
      <c r="A197" s="48" t="s">
        <v>98</v>
      </c>
      <c r="B197" s="38">
        <f t="shared" si="2"/>
        <v>40227</v>
      </c>
      <c r="C197">
        <v>0</v>
      </c>
      <c r="D197">
        <v>4</v>
      </c>
      <c r="E197">
        <v>213.9</v>
      </c>
      <c r="F197">
        <v>772.5</v>
      </c>
      <c r="G197" s="19">
        <f t="shared" si="65"/>
        <v>213.9</v>
      </c>
      <c r="H197" s="19">
        <f t="shared" si="66"/>
        <v>776.5</v>
      </c>
      <c r="I197" s="24">
        <f t="shared" si="67"/>
        <v>-72.453316162266574</v>
      </c>
    </row>
    <row r="198" spans="1:9" x14ac:dyDescent="0.25">
      <c r="A198" s="48" t="s">
        <v>98</v>
      </c>
      <c r="B198" s="38">
        <f t="shared" si="2"/>
        <v>40234</v>
      </c>
      <c r="C198">
        <v>0</v>
      </c>
      <c r="D198">
        <v>4</v>
      </c>
      <c r="E198">
        <v>213.9</v>
      </c>
      <c r="F198">
        <v>772.5</v>
      </c>
      <c r="G198" s="19">
        <f t="shared" si="65"/>
        <v>213.9</v>
      </c>
      <c r="H198" s="19">
        <f t="shared" si="66"/>
        <v>776.5</v>
      </c>
      <c r="I198" s="24">
        <f t="shared" si="67"/>
        <v>-72.453316162266574</v>
      </c>
    </row>
    <row r="199" spans="1:9" x14ac:dyDescent="0.25">
      <c r="A199" s="48" t="s">
        <v>98</v>
      </c>
      <c r="B199" s="38">
        <f t="shared" si="2"/>
        <v>40241</v>
      </c>
      <c r="C199">
        <v>0</v>
      </c>
      <c r="D199">
        <v>0</v>
      </c>
      <c r="E199">
        <v>213.9</v>
      </c>
      <c r="F199">
        <v>772.5</v>
      </c>
      <c r="G199" s="19">
        <f t="shared" si="65"/>
        <v>213.9</v>
      </c>
      <c r="H199" s="19">
        <f t="shared" si="66"/>
        <v>772.5</v>
      </c>
      <c r="I199" s="24">
        <f t="shared" si="67"/>
        <v>-72.310679611650485</v>
      </c>
    </row>
    <row r="200" spans="1:9" x14ac:dyDescent="0.25">
      <c r="A200" s="48" t="s">
        <v>98</v>
      </c>
      <c r="B200" s="38">
        <f t="shared" si="2"/>
        <v>40248</v>
      </c>
      <c r="C200">
        <v>0</v>
      </c>
      <c r="D200">
        <v>0</v>
      </c>
      <c r="E200">
        <v>213.9</v>
      </c>
      <c r="F200">
        <v>772.5</v>
      </c>
      <c r="G200" s="19">
        <f t="shared" si="65"/>
        <v>213.9</v>
      </c>
      <c r="H200" s="19">
        <f t="shared" si="66"/>
        <v>772.5</v>
      </c>
      <c r="I200" s="24">
        <f t="shared" si="67"/>
        <v>-72.310679611650485</v>
      </c>
    </row>
    <row r="201" spans="1:9" x14ac:dyDescent="0.25">
      <c r="A201" s="48" t="s">
        <v>98</v>
      </c>
      <c r="B201" s="38">
        <f t="shared" si="2"/>
        <v>40255</v>
      </c>
      <c r="C201">
        <v>0</v>
      </c>
      <c r="D201">
        <v>0</v>
      </c>
      <c r="E201">
        <v>213.9</v>
      </c>
      <c r="F201">
        <v>772.5</v>
      </c>
      <c r="G201" s="19">
        <f t="shared" si="65"/>
        <v>213.9</v>
      </c>
      <c r="H201" s="19">
        <f t="shared" si="66"/>
        <v>772.5</v>
      </c>
      <c r="I201" s="24">
        <f t="shared" si="67"/>
        <v>-72.310679611650485</v>
      </c>
    </row>
    <row r="202" spans="1:9" x14ac:dyDescent="0.25">
      <c r="A202" s="48" t="s">
        <v>98</v>
      </c>
      <c r="B202" s="38">
        <f t="shared" si="2"/>
        <v>40262</v>
      </c>
      <c r="C202">
        <v>0</v>
      </c>
      <c r="D202">
        <v>0</v>
      </c>
      <c r="E202">
        <v>213.9</v>
      </c>
      <c r="F202">
        <v>772.5</v>
      </c>
      <c r="G202" s="19">
        <f t="shared" si="65"/>
        <v>213.9</v>
      </c>
      <c r="H202" s="19">
        <f t="shared" si="66"/>
        <v>772.5</v>
      </c>
      <c r="I202" s="24">
        <f t="shared" si="67"/>
        <v>-72.310679611650485</v>
      </c>
    </row>
    <row r="203" spans="1:9" x14ac:dyDescent="0.25">
      <c r="A203" s="48" t="s">
        <v>98</v>
      </c>
      <c r="B203" s="38">
        <f t="shared" si="2"/>
        <v>40269</v>
      </c>
      <c r="C203">
        <v>0</v>
      </c>
      <c r="D203">
        <v>0</v>
      </c>
      <c r="E203">
        <v>213.9</v>
      </c>
      <c r="F203">
        <v>772.5</v>
      </c>
      <c r="G203" s="19">
        <f t="shared" si="65"/>
        <v>213.9</v>
      </c>
      <c r="H203" s="19">
        <f t="shared" si="66"/>
        <v>772.5</v>
      </c>
      <c r="I203" s="24">
        <f t="shared" si="67"/>
        <v>-72.310679611650485</v>
      </c>
    </row>
    <row r="204" spans="1:9" x14ac:dyDescent="0.25">
      <c r="A204" s="48" t="s">
        <v>98</v>
      </c>
      <c r="B204" s="38">
        <f t="shared" si="2"/>
        <v>40276</v>
      </c>
      <c r="C204">
        <v>0</v>
      </c>
      <c r="D204">
        <v>0</v>
      </c>
      <c r="E204">
        <v>213.9</v>
      </c>
      <c r="F204">
        <v>772.5</v>
      </c>
      <c r="G204" s="19">
        <f t="shared" si="65"/>
        <v>213.9</v>
      </c>
      <c r="H204" s="19">
        <f t="shared" si="66"/>
        <v>772.5</v>
      </c>
      <c r="I204" s="24">
        <f t="shared" si="67"/>
        <v>-72.310679611650485</v>
      </c>
    </row>
    <row r="205" spans="1:9" x14ac:dyDescent="0.25">
      <c r="A205" s="48" t="s">
        <v>98</v>
      </c>
      <c r="B205" s="38">
        <f t="shared" si="2"/>
        <v>40283</v>
      </c>
      <c r="C205">
        <v>0</v>
      </c>
      <c r="D205">
        <v>0</v>
      </c>
      <c r="E205">
        <v>213.9</v>
      </c>
      <c r="F205">
        <v>772.5</v>
      </c>
      <c r="G205" s="19">
        <f t="shared" si="65"/>
        <v>213.9</v>
      </c>
      <c r="H205" s="19">
        <f t="shared" si="66"/>
        <v>772.5</v>
      </c>
      <c r="I205" s="24">
        <f t="shared" si="67"/>
        <v>-72.310679611650485</v>
      </c>
    </row>
    <row r="206" spans="1:9" x14ac:dyDescent="0.25">
      <c r="A206" s="48" t="s">
        <v>98</v>
      </c>
      <c r="B206" s="38">
        <f t="shared" si="2"/>
        <v>40290</v>
      </c>
      <c r="C206">
        <v>0</v>
      </c>
      <c r="D206">
        <v>0</v>
      </c>
      <c r="E206">
        <v>213.9</v>
      </c>
      <c r="F206">
        <v>772.5</v>
      </c>
      <c r="G206" s="19">
        <f t="shared" si="65"/>
        <v>213.9</v>
      </c>
      <c r="H206" s="19">
        <f t="shared" si="66"/>
        <v>772.5</v>
      </c>
      <c r="I206" s="24">
        <f t="shared" si="67"/>
        <v>-72.310679611650485</v>
      </c>
    </row>
    <row r="207" spans="1:9" x14ac:dyDescent="0.25">
      <c r="A207" s="48" t="s">
        <v>98</v>
      </c>
      <c r="B207" s="38">
        <f t="shared" si="2"/>
        <v>40297</v>
      </c>
      <c r="C207">
        <v>0</v>
      </c>
      <c r="D207">
        <v>0</v>
      </c>
      <c r="E207">
        <v>213.9</v>
      </c>
      <c r="F207">
        <v>772.5</v>
      </c>
      <c r="G207" s="19">
        <f t="shared" si="65"/>
        <v>213.9</v>
      </c>
      <c r="H207" s="19">
        <f t="shared" si="66"/>
        <v>772.5</v>
      </c>
      <c r="I207" s="24">
        <f t="shared" si="67"/>
        <v>-72.310679611650485</v>
      </c>
    </row>
    <row r="208" spans="1:9" x14ac:dyDescent="0.25">
      <c r="A208" s="48" t="s">
        <v>98</v>
      </c>
      <c r="B208" s="38">
        <f t="shared" si="2"/>
        <v>40304</v>
      </c>
      <c r="C208">
        <v>28</v>
      </c>
      <c r="D208">
        <v>0</v>
      </c>
      <c r="E208">
        <v>213.9</v>
      </c>
      <c r="F208">
        <v>772.5</v>
      </c>
      <c r="G208" s="19">
        <f t="shared" si="65"/>
        <v>241.9</v>
      </c>
      <c r="H208" s="19">
        <f t="shared" si="66"/>
        <v>772.5</v>
      </c>
      <c r="I208" s="24">
        <f t="shared" si="67"/>
        <v>-68.686084142394819</v>
      </c>
    </row>
    <row r="209" spans="1:9" x14ac:dyDescent="0.25">
      <c r="A209" s="48" t="s">
        <v>98</v>
      </c>
      <c r="B209" s="38">
        <f t="shared" si="2"/>
        <v>40311</v>
      </c>
      <c r="C209">
        <v>28</v>
      </c>
      <c r="D209">
        <v>0</v>
      </c>
      <c r="E209">
        <v>213.9</v>
      </c>
      <c r="F209">
        <v>789</v>
      </c>
      <c r="G209" s="19">
        <f t="shared" si="65"/>
        <v>241.9</v>
      </c>
      <c r="H209" s="19">
        <f t="shared" si="66"/>
        <v>789</v>
      </c>
      <c r="I209" s="24">
        <f t="shared" si="67"/>
        <v>-69.340937896070969</v>
      </c>
    </row>
    <row r="210" spans="1:9" x14ac:dyDescent="0.25">
      <c r="A210" s="48" t="s">
        <v>98</v>
      </c>
      <c r="B210" s="38">
        <f t="shared" si="2"/>
        <v>40318</v>
      </c>
      <c r="C210">
        <v>23</v>
      </c>
      <c r="D210">
        <v>0</v>
      </c>
      <c r="E210">
        <v>244.4</v>
      </c>
      <c r="F210">
        <v>789</v>
      </c>
      <c r="G210" s="19">
        <f t="shared" si="65"/>
        <v>267.39999999999998</v>
      </c>
      <c r="H210" s="19">
        <f t="shared" si="66"/>
        <v>789</v>
      </c>
      <c r="I210" s="24">
        <f t="shared" si="67"/>
        <v>-66.108998732572871</v>
      </c>
    </row>
    <row r="211" spans="1:9" x14ac:dyDescent="0.25">
      <c r="A211" s="48" t="s">
        <v>98</v>
      </c>
      <c r="B211" s="38">
        <f t="shared" si="2"/>
        <v>40325</v>
      </c>
      <c r="C211">
        <v>26</v>
      </c>
      <c r="D211">
        <v>0</v>
      </c>
      <c r="E211">
        <v>269.7</v>
      </c>
      <c r="F211">
        <v>789</v>
      </c>
      <c r="G211" s="19">
        <f t="shared" si="65"/>
        <v>295.7</v>
      </c>
      <c r="H211" s="19">
        <f t="shared" si="66"/>
        <v>789</v>
      </c>
      <c r="I211" s="24">
        <f t="shared" si="67"/>
        <v>-62.522179974651458</v>
      </c>
    </row>
    <row r="212" spans="1:9" x14ac:dyDescent="0.25">
      <c r="A212" s="43" t="s">
        <v>76</v>
      </c>
      <c r="B212" s="38">
        <f t="shared" si="2"/>
        <v>40332</v>
      </c>
      <c r="C212">
        <v>71</v>
      </c>
      <c r="D212">
        <v>96</v>
      </c>
      <c r="E212">
        <v>4.9000000000000004</v>
      </c>
      <c r="F212">
        <v>0</v>
      </c>
      <c r="G212" s="19">
        <f t="shared" si="65"/>
        <v>75.900000000000006</v>
      </c>
      <c r="H212" s="19">
        <f t="shared" si="66"/>
        <v>96</v>
      </c>
      <c r="I212" s="24">
        <f t="shared" si="67"/>
        <v>-20.937499999999996</v>
      </c>
    </row>
    <row r="213" spans="1:9" x14ac:dyDescent="0.25">
      <c r="A213" s="43" t="s">
        <v>76</v>
      </c>
      <c r="B213" s="38">
        <f t="shared" si="2"/>
        <v>40339</v>
      </c>
      <c r="C213">
        <v>211</v>
      </c>
      <c r="D213">
        <v>71.2</v>
      </c>
      <c r="E213">
        <v>4.9000000000000004</v>
      </c>
      <c r="F213">
        <v>26</v>
      </c>
      <c r="G213" s="19">
        <f t="shared" si="65"/>
        <v>215.9</v>
      </c>
      <c r="H213" s="19">
        <f t="shared" si="66"/>
        <v>97.2</v>
      </c>
      <c r="I213" s="24">
        <f t="shared" si="67"/>
        <v>122.11934156378601</v>
      </c>
    </row>
    <row r="214" spans="1:9" x14ac:dyDescent="0.25">
      <c r="A214" s="43" t="s">
        <v>76</v>
      </c>
      <c r="B214" s="38">
        <f t="shared" si="2"/>
        <v>40346</v>
      </c>
      <c r="C214">
        <v>231</v>
      </c>
      <c r="D214">
        <v>84.5</v>
      </c>
      <c r="E214">
        <v>4.9000000000000004</v>
      </c>
      <c r="F214">
        <v>26</v>
      </c>
      <c r="G214" s="19">
        <f t="shared" si="65"/>
        <v>235.9</v>
      </c>
      <c r="H214" s="19">
        <f t="shared" si="66"/>
        <v>110.5</v>
      </c>
      <c r="I214" s="24">
        <f t="shared" si="67"/>
        <v>113.4841628959276</v>
      </c>
    </row>
    <row r="215" spans="1:9" x14ac:dyDescent="0.25">
      <c r="A215" s="43" t="s">
        <v>76</v>
      </c>
      <c r="B215" s="38">
        <f t="shared" si="2"/>
        <v>40353</v>
      </c>
      <c r="C215">
        <v>231</v>
      </c>
      <c r="D215">
        <v>99.5</v>
      </c>
      <c r="E215">
        <v>4.9000000000000004</v>
      </c>
      <c r="F215">
        <v>26</v>
      </c>
      <c r="G215" s="19">
        <f t="shared" si="65"/>
        <v>235.9</v>
      </c>
      <c r="H215" s="19">
        <f t="shared" si="66"/>
        <v>125.5</v>
      </c>
      <c r="I215" s="24">
        <f t="shared" si="67"/>
        <v>87.968127490039834</v>
      </c>
    </row>
    <row r="216" spans="1:9" x14ac:dyDescent="0.25">
      <c r="A216" s="43" t="s">
        <v>76</v>
      </c>
      <c r="B216" s="38">
        <f t="shared" si="2"/>
        <v>40360</v>
      </c>
      <c r="C216">
        <v>263</v>
      </c>
      <c r="D216">
        <v>100.1</v>
      </c>
      <c r="E216">
        <v>38</v>
      </c>
      <c r="F216">
        <v>26</v>
      </c>
      <c r="G216" s="19">
        <f t="shared" si="65"/>
        <v>301</v>
      </c>
      <c r="H216" s="19">
        <f t="shared" si="66"/>
        <v>126.1</v>
      </c>
      <c r="I216" s="24">
        <f t="shared" si="67"/>
        <v>138.6994448850119</v>
      </c>
    </row>
    <row r="217" spans="1:9" x14ac:dyDescent="0.25">
      <c r="A217" s="43" t="s">
        <v>76</v>
      </c>
      <c r="B217" s="38">
        <f t="shared" si="2"/>
        <v>40367</v>
      </c>
      <c r="C217">
        <v>235.5</v>
      </c>
      <c r="D217">
        <v>110.1</v>
      </c>
      <c r="E217">
        <v>96.1</v>
      </c>
      <c r="F217">
        <v>26</v>
      </c>
      <c r="G217" s="19">
        <f t="shared" si="65"/>
        <v>331.6</v>
      </c>
      <c r="H217" s="19">
        <f t="shared" si="66"/>
        <v>136.1</v>
      </c>
      <c r="I217" s="24">
        <f t="shared" si="67"/>
        <v>143.64437913299048</v>
      </c>
    </row>
    <row r="218" spans="1:9" x14ac:dyDescent="0.25">
      <c r="A218" s="43" t="s">
        <v>76</v>
      </c>
      <c r="B218" s="38">
        <f t="shared" si="2"/>
        <v>40374</v>
      </c>
      <c r="C218">
        <v>223.4</v>
      </c>
      <c r="D218">
        <v>50.9</v>
      </c>
      <c r="E218">
        <v>127.3</v>
      </c>
      <c r="F218">
        <v>91.2</v>
      </c>
      <c r="G218" s="19">
        <f t="shared" ref="G218:G249" si="68">+C218+E218</f>
        <v>350.7</v>
      </c>
      <c r="H218" s="19">
        <f t="shared" ref="H218:H249" si="69">+D218+F218</f>
        <v>142.1</v>
      </c>
      <c r="I218" s="24">
        <f t="shared" ref="I218:I249" si="70">+(G218/H218-1)*100</f>
        <v>146.79802955665028</v>
      </c>
    </row>
    <row r="219" spans="1:9" x14ac:dyDescent="0.25">
      <c r="A219" s="43" t="s">
        <v>76</v>
      </c>
      <c r="B219" s="38">
        <f t="shared" si="2"/>
        <v>40381</v>
      </c>
      <c r="C219">
        <v>218.4</v>
      </c>
      <c r="D219">
        <v>60.1</v>
      </c>
      <c r="E219">
        <v>186.1</v>
      </c>
      <c r="F219">
        <v>109.2</v>
      </c>
      <c r="G219" s="19">
        <f t="shared" si="68"/>
        <v>404.5</v>
      </c>
      <c r="H219" s="19">
        <f t="shared" si="69"/>
        <v>169.3</v>
      </c>
      <c r="I219" s="24">
        <f t="shared" si="70"/>
        <v>138.92498523331363</v>
      </c>
    </row>
    <row r="220" spans="1:9" x14ac:dyDescent="0.25">
      <c r="A220" s="43" t="s">
        <v>76</v>
      </c>
      <c r="B220" s="38">
        <f t="shared" si="2"/>
        <v>40388</v>
      </c>
      <c r="C220">
        <v>164.1</v>
      </c>
      <c r="D220">
        <v>83.5</v>
      </c>
      <c r="E220">
        <v>272.3</v>
      </c>
      <c r="F220">
        <v>109.2</v>
      </c>
      <c r="G220" s="19">
        <f t="shared" si="68"/>
        <v>436.4</v>
      </c>
      <c r="H220" s="19">
        <f t="shared" si="69"/>
        <v>192.7</v>
      </c>
      <c r="I220" s="24">
        <f t="shared" si="70"/>
        <v>126.46600934094448</v>
      </c>
    </row>
    <row r="221" spans="1:9" x14ac:dyDescent="0.25">
      <c r="A221" s="43" t="s">
        <v>76</v>
      </c>
      <c r="B221" s="38">
        <f t="shared" si="2"/>
        <v>40395</v>
      </c>
      <c r="C221">
        <v>169.1</v>
      </c>
      <c r="D221">
        <v>60</v>
      </c>
      <c r="E221">
        <v>272.3</v>
      </c>
      <c r="F221">
        <v>137.1</v>
      </c>
      <c r="G221" s="19">
        <f t="shared" si="68"/>
        <v>441.4</v>
      </c>
      <c r="H221" s="19">
        <f t="shared" si="69"/>
        <v>197.1</v>
      </c>
      <c r="I221" s="24">
        <f t="shared" si="70"/>
        <v>123.94723490613902</v>
      </c>
    </row>
    <row r="222" spans="1:9" x14ac:dyDescent="0.25">
      <c r="A222" s="43" t="s">
        <v>76</v>
      </c>
      <c r="B222" s="38">
        <f t="shared" si="2"/>
        <v>40402</v>
      </c>
      <c r="C222">
        <v>154.80000000000001</v>
      </c>
      <c r="D222">
        <v>88</v>
      </c>
      <c r="E222">
        <v>272.3</v>
      </c>
      <c r="F222">
        <v>137.1</v>
      </c>
      <c r="G222" s="19">
        <f t="shared" si="68"/>
        <v>427.1</v>
      </c>
      <c r="H222" s="19">
        <f t="shared" si="69"/>
        <v>225.1</v>
      </c>
      <c r="I222" s="24">
        <f t="shared" si="70"/>
        <v>89.737894269213697</v>
      </c>
    </row>
    <row r="223" spans="1:9" x14ac:dyDescent="0.25">
      <c r="A223" s="43" t="s">
        <v>76</v>
      </c>
      <c r="B223" s="38">
        <f t="shared" si="2"/>
        <v>40409</v>
      </c>
      <c r="C223">
        <v>164.8</v>
      </c>
      <c r="D223">
        <v>99.5</v>
      </c>
      <c r="E223">
        <v>278.39999999999998</v>
      </c>
      <c r="F223">
        <v>137.1</v>
      </c>
      <c r="G223" s="19">
        <f t="shared" si="68"/>
        <v>443.2</v>
      </c>
      <c r="H223" s="19">
        <f t="shared" si="69"/>
        <v>236.6</v>
      </c>
      <c r="I223" s="24">
        <f t="shared" si="70"/>
        <v>87.32037193575654</v>
      </c>
    </row>
    <row r="224" spans="1:9" x14ac:dyDescent="0.25">
      <c r="A224" s="43" t="s">
        <v>76</v>
      </c>
      <c r="B224" s="38">
        <f t="shared" si="2"/>
        <v>40416</v>
      </c>
      <c r="C224">
        <v>108.3</v>
      </c>
      <c r="D224">
        <v>111.5</v>
      </c>
      <c r="E224">
        <v>338.9</v>
      </c>
      <c r="F224">
        <v>147.5</v>
      </c>
      <c r="G224" s="19">
        <f t="shared" si="68"/>
        <v>447.2</v>
      </c>
      <c r="H224" s="19">
        <f t="shared" si="69"/>
        <v>259</v>
      </c>
      <c r="I224" s="24">
        <f t="shared" si="70"/>
        <v>72.664092664092664</v>
      </c>
    </row>
    <row r="225" spans="1:9" x14ac:dyDescent="0.25">
      <c r="A225" s="43" t="s">
        <v>76</v>
      </c>
      <c r="B225" s="38">
        <f t="shared" si="2"/>
        <v>40423</v>
      </c>
      <c r="C225">
        <v>108.3</v>
      </c>
      <c r="D225">
        <v>136.5</v>
      </c>
      <c r="E225">
        <v>338.9</v>
      </c>
      <c r="F225">
        <v>147.5</v>
      </c>
      <c r="G225" s="19">
        <f t="shared" si="68"/>
        <v>447.2</v>
      </c>
      <c r="H225" s="19">
        <f t="shared" si="69"/>
        <v>284</v>
      </c>
      <c r="I225" s="24">
        <f t="shared" si="70"/>
        <v>57.464788732394354</v>
      </c>
    </row>
    <row r="226" spans="1:9" x14ac:dyDescent="0.25">
      <c r="A226" s="43" t="s">
        <v>76</v>
      </c>
      <c r="B226" s="38">
        <f t="shared" si="2"/>
        <v>40430</v>
      </c>
      <c r="C226">
        <v>193.9</v>
      </c>
      <c r="D226">
        <v>62</v>
      </c>
      <c r="E226">
        <v>338.9</v>
      </c>
      <c r="F226">
        <v>232.5</v>
      </c>
      <c r="G226" s="19">
        <f t="shared" si="68"/>
        <v>532.79999999999995</v>
      </c>
      <c r="H226" s="19">
        <f t="shared" si="69"/>
        <v>294.5</v>
      </c>
      <c r="I226" s="24">
        <f t="shared" si="70"/>
        <v>80.916808149405767</v>
      </c>
    </row>
    <row r="227" spans="1:9" x14ac:dyDescent="0.25">
      <c r="A227" s="43" t="s">
        <v>76</v>
      </c>
      <c r="B227" s="38">
        <f t="shared" si="2"/>
        <v>40437</v>
      </c>
      <c r="C227">
        <v>176.1</v>
      </c>
      <c r="D227">
        <v>76.5</v>
      </c>
      <c r="E227">
        <v>361.6</v>
      </c>
      <c r="F227">
        <v>232.5</v>
      </c>
      <c r="G227" s="19">
        <f t="shared" si="68"/>
        <v>537.70000000000005</v>
      </c>
      <c r="H227" s="19">
        <f t="shared" si="69"/>
        <v>309</v>
      </c>
      <c r="I227" s="24">
        <f t="shared" si="70"/>
        <v>74.012944983818784</v>
      </c>
    </row>
    <row r="228" spans="1:9" x14ac:dyDescent="0.25">
      <c r="A228" s="43" t="s">
        <v>76</v>
      </c>
      <c r="B228" s="38">
        <f t="shared" si="2"/>
        <v>40444</v>
      </c>
      <c r="C228">
        <v>179.1</v>
      </c>
      <c r="D228">
        <v>86.5</v>
      </c>
      <c r="E228">
        <v>389</v>
      </c>
      <c r="F228">
        <v>232.5</v>
      </c>
      <c r="G228" s="19">
        <f t="shared" si="68"/>
        <v>568.1</v>
      </c>
      <c r="H228" s="19">
        <f t="shared" si="69"/>
        <v>319</v>
      </c>
      <c r="I228" s="24">
        <f t="shared" si="70"/>
        <v>78.087774294670865</v>
      </c>
    </row>
    <row r="229" spans="1:9" x14ac:dyDescent="0.25">
      <c r="A229" s="43" t="s">
        <v>76</v>
      </c>
      <c r="B229" s="38">
        <f t="shared" si="2"/>
        <v>40451</v>
      </c>
      <c r="C229">
        <v>177.4</v>
      </c>
      <c r="D229">
        <v>53.5</v>
      </c>
      <c r="E229">
        <v>403.8</v>
      </c>
      <c r="F229">
        <v>267.60000000000002</v>
      </c>
      <c r="G229" s="19">
        <f t="shared" si="68"/>
        <v>581.20000000000005</v>
      </c>
      <c r="H229" s="19">
        <f t="shared" si="69"/>
        <v>321.10000000000002</v>
      </c>
      <c r="I229" s="24">
        <f t="shared" si="70"/>
        <v>81.00280286515104</v>
      </c>
    </row>
    <row r="230" spans="1:9" x14ac:dyDescent="0.25">
      <c r="A230" s="43" t="s">
        <v>76</v>
      </c>
      <c r="B230" s="38">
        <f t="shared" si="2"/>
        <v>40458</v>
      </c>
      <c r="C230">
        <v>164.1</v>
      </c>
      <c r="D230">
        <v>53.5</v>
      </c>
      <c r="E230">
        <v>403.8</v>
      </c>
      <c r="F230">
        <v>267.60000000000002</v>
      </c>
      <c r="G230" s="19">
        <f t="shared" si="68"/>
        <v>567.9</v>
      </c>
      <c r="H230" s="19">
        <f t="shared" si="69"/>
        <v>321.10000000000002</v>
      </c>
      <c r="I230" s="24">
        <f t="shared" si="70"/>
        <v>76.860791030831493</v>
      </c>
    </row>
    <row r="231" spans="1:9" x14ac:dyDescent="0.25">
      <c r="A231" s="43" t="s">
        <v>76</v>
      </c>
      <c r="B231" s="38">
        <f t="shared" si="2"/>
        <v>40465</v>
      </c>
      <c r="C231">
        <v>184.1</v>
      </c>
      <c r="D231">
        <v>38.5</v>
      </c>
      <c r="E231">
        <v>403.8</v>
      </c>
      <c r="F231">
        <v>290.39999999999998</v>
      </c>
      <c r="G231" s="19">
        <f t="shared" si="68"/>
        <v>587.9</v>
      </c>
      <c r="H231" s="19">
        <f t="shared" si="69"/>
        <v>328.9</v>
      </c>
      <c r="I231" s="24">
        <f t="shared" si="70"/>
        <v>78.747339616904839</v>
      </c>
    </row>
    <row r="232" spans="1:9" x14ac:dyDescent="0.25">
      <c r="A232" s="43" t="s">
        <v>76</v>
      </c>
      <c r="B232" s="38">
        <f t="shared" si="2"/>
        <v>40472</v>
      </c>
      <c r="C232">
        <v>118.6</v>
      </c>
      <c r="D232">
        <v>43.5</v>
      </c>
      <c r="E232">
        <v>471.8</v>
      </c>
      <c r="F232">
        <v>290.39999999999998</v>
      </c>
      <c r="G232" s="19">
        <f t="shared" si="68"/>
        <v>590.4</v>
      </c>
      <c r="H232" s="19">
        <f t="shared" si="69"/>
        <v>333.9</v>
      </c>
      <c r="I232" s="24">
        <f t="shared" si="70"/>
        <v>76.819407008086245</v>
      </c>
    </row>
    <row r="233" spans="1:9" x14ac:dyDescent="0.25">
      <c r="A233" s="43" t="s">
        <v>76</v>
      </c>
      <c r="B233" s="38">
        <f t="shared" si="2"/>
        <v>40479</v>
      </c>
      <c r="C233">
        <v>135.80000000000001</v>
      </c>
      <c r="D233">
        <v>30</v>
      </c>
      <c r="E233">
        <v>471.8</v>
      </c>
      <c r="F233">
        <v>303.89999999999998</v>
      </c>
      <c r="G233" s="19">
        <f t="shared" si="68"/>
        <v>607.6</v>
      </c>
      <c r="H233" s="19">
        <f t="shared" si="69"/>
        <v>333.9</v>
      </c>
      <c r="I233" s="24">
        <f t="shared" si="70"/>
        <v>81.970649895178212</v>
      </c>
    </row>
    <row r="234" spans="1:9" x14ac:dyDescent="0.25">
      <c r="A234" s="43" t="s">
        <v>76</v>
      </c>
      <c r="B234" s="38">
        <f t="shared" si="2"/>
        <v>40486</v>
      </c>
      <c r="C234">
        <v>205.8</v>
      </c>
      <c r="D234">
        <v>30.5</v>
      </c>
      <c r="E234">
        <v>471.8</v>
      </c>
      <c r="F234">
        <v>303.89999999999998</v>
      </c>
      <c r="G234" s="19">
        <f t="shared" si="68"/>
        <v>677.6</v>
      </c>
      <c r="H234" s="19">
        <f t="shared" si="69"/>
        <v>334.4</v>
      </c>
      <c r="I234" s="24">
        <f t="shared" si="70"/>
        <v>102.63157894736845</v>
      </c>
    </row>
    <row r="235" spans="1:9" x14ac:dyDescent="0.25">
      <c r="A235" s="43" t="s">
        <v>76</v>
      </c>
      <c r="B235" s="38">
        <f t="shared" si="2"/>
        <v>40493</v>
      </c>
      <c r="C235">
        <v>205.8</v>
      </c>
      <c r="D235">
        <v>10</v>
      </c>
      <c r="E235">
        <v>471.8</v>
      </c>
      <c r="F235">
        <v>326.3</v>
      </c>
      <c r="G235" s="19">
        <f t="shared" si="68"/>
        <v>677.6</v>
      </c>
      <c r="H235" s="19">
        <f t="shared" si="69"/>
        <v>336.3</v>
      </c>
      <c r="I235" s="24">
        <f t="shared" si="70"/>
        <v>101.48676776687479</v>
      </c>
    </row>
    <row r="236" spans="1:9" x14ac:dyDescent="0.25">
      <c r="A236" s="43" t="s">
        <v>76</v>
      </c>
      <c r="B236" s="38">
        <f t="shared" si="2"/>
        <v>40500</v>
      </c>
      <c r="C236">
        <v>183.8</v>
      </c>
      <c r="D236">
        <v>10</v>
      </c>
      <c r="E236">
        <v>503.9</v>
      </c>
      <c r="F236">
        <v>326.3</v>
      </c>
      <c r="G236" s="19">
        <f t="shared" si="68"/>
        <v>687.7</v>
      </c>
      <c r="H236" s="19">
        <f t="shared" si="69"/>
        <v>336.3</v>
      </c>
      <c r="I236" s="24">
        <f t="shared" si="70"/>
        <v>104.49003865596195</v>
      </c>
    </row>
    <row r="237" spans="1:9" x14ac:dyDescent="0.25">
      <c r="A237" s="43" t="s">
        <v>76</v>
      </c>
      <c r="B237" s="38">
        <f t="shared" si="2"/>
        <v>40507</v>
      </c>
      <c r="C237">
        <v>153.9</v>
      </c>
      <c r="D237">
        <v>10</v>
      </c>
      <c r="E237">
        <v>532.9</v>
      </c>
      <c r="F237">
        <v>326.3</v>
      </c>
      <c r="G237" s="19">
        <f t="shared" si="68"/>
        <v>686.8</v>
      </c>
      <c r="H237" s="19">
        <f t="shared" si="69"/>
        <v>336.3</v>
      </c>
      <c r="I237" s="24">
        <f t="shared" si="70"/>
        <v>104.22242045792447</v>
      </c>
    </row>
    <row r="238" spans="1:9" x14ac:dyDescent="0.25">
      <c r="A238" s="43" t="s">
        <v>76</v>
      </c>
      <c r="B238" s="38">
        <f t="shared" si="2"/>
        <v>40514</v>
      </c>
      <c r="C238">
        <v>136.6</v>
      </c>
      <c r="D238">
        <v>40</v>
      </c>
      <c r="E238">
        <v>532.9</v>
      </c>
      <c r="F238">
        <v>326.3</v>
      </c>
      <c r="G238" s="19">
        <f t="shared" si="68"/>
        <v>669.5</v>
      </c>
      <c r="H238" s="19">
        <f t="shared" si="69"/>
        <v>366.3</v>
      </c>
      <c r="I238" s="24">
        <f t="shared" si="70"/>
        <v>82.773682773682779</v>
      </c>
    </row>
    <row r="239" spans="1:9" x14ac:dyDescent="0.25">
      <c r="A239" s="43" t="s">
        <v>76</v>
      </c>
      <c r="B239" s="38">
        <f t="shared" si="2"/>
        <v>40521</v>
      </c>
      <c r="C239">
        <v>160.6</v>
      </c>
      <c r="D239">
        <v>40</v>
      </c>
      <c r="E239">
        <v>532.9</v>
      </c>
      <c r="F239">
        <v>326.3</v>
      </c>
      <c r="G239" s="19">
        <f t="shared" si="68"/>
        <v>693.5</v>
      </c>
      <c r="H239" s="19">
        <f t="shared" si="69"/>
        <v>366.3</v>
      </c>
      <c r="I239" s="24">
        <f t="shared" si="70"/>
        <v>89.325689325689311</v>
      </c>
    </row>
    <row r="240" spans="1:9" x14ac:dyDescent="0.25">
      <c r="A240" s="43" t="s">
        <v>76</v>
      </c>
      <c r="B240" s="38">
        <f t="shared" si="2"/>
        <v>40528</v>
      </c>
      <c r="C240">
        <v>166.6</v>
      </c>
      <c r="D240">
        <v>48</v>
      </c>
      <c r="E240">
        <v>532.9</v>
      </c>
      <c r="F240">
        <v>326.3</v>
      </c>
      <c r="G240" s="19">
        <f t="shared" si="68"/>
        <v>699.5</v>
      </c>
      <c r="H240" s="19">
        <f t="shared" si="69"/>
        <v>374.3</v>
      </c>
      <c r="I240" s="24">
        <f t="shared" si="70"/>
        <v>86.882180069463004</v>
      </c>
    </row>
    <row r="241" spans="1:9" x14ac:dyDescent="0.25">
      <c r="A241" s="43" t="s">
        <v>76</v>
      </c>
      <c r="B241" s="38">
        <f t="shared" si="2"/>
        <v>40535</v>
      </c>
      <c r="C241">
        <v>166.6</v>
      </c>
      <c r="D241">
        <v>63</v>
      </c>
      <c r="E241">
        <v>532.9</v>
      </c>
      <c r="F241">
        <v>326.3</v>
      </c>
      <c r="G241" s="19">
        <f t="shared" si="68"/>
        <v>699.5</v>
      </c>
      <c r="H241" s="19">
        <f t="shared" si="69"/>
        <v>389.3</v>
      </c>
      <c r="I241" s="24">
        <f t="shared" si="70"/>
        <v>79.681479578731043</v>
      </c>
    </row>
    <row r="242" spans="1:9" x14ac:dyDescent="0.25">
      <c r="A242" s="43" t="s">
        <v>76</v>
      </c>
      <c r="B242" s="38">
        <f t="shared" si="2"/>
        <v>40542</v>
      </c>
      <c r="C242">
        <v>208.3</v>
      </c>
      <c r="D242">
        <v>68</v>
      </c>
      <c r="E242">
        <v>532.9</v>
      </c>
      <c r="F242">
        <v>326.3</v>
      </c>
      <c r="G242" s="19">
        <f t="shared" si="68"/>
        <v>741.2</v>
      </c>
      <c r="H242" s="19">
        <f t="shared" si="69"/>
        <v>394.3</v>
      </c>
      <c r="I242" s="24">
        <f t="shared" si="70"/>
        <v>87.97869642404261</v>
      </c>
    </row>
    <row r="243" spans="1:9" x14ac:dyDescent="0.25">
      <c r="A243" s="43" t="s">
        <v>76</v>
      </c>
      <c r="B243" s="38">
        <f t="shared" si="2"/>
        <v>40549</v>
      </c>
      <c r="C243">
        <v>205.6</v>
      </c>
      <c r="D243">
        <v>73</v>
      </c>
      <c r="E243">
        <v>532.9</v>
      </c>
      <c r="F243">
        <v>326.3</v>
      </c>
      <c r="G243" s="19">
        <f t="shared" si="68"/>
        <v>738.5</v>
      </c>
      <c r="H243" s="19">
        <f t="shared" si="69"/>
        <v>399.3</v>
      </c>
      <c r="I243" s="24">
        <f t="shared" si="70"/>
        <v>84.94866015527171</v>
      </c>
    </row>
    <row r="244" spans="1:9" x14ac:dyDescent="0.25">
      <c r="A244" s="43" t="s">
        <v>76</v>
      </c>
      <c r="B244" s="38">
        <f t="shared" si="2"/>
        <v>40556</v>
      </c>
      <c r="C244">
        <v>182.5</v>
      </c>
      <c r="D244">
        <v>72.5</v>
      </c>
      <c r="E244">
        <v>573.70000000000005</v>
      </c>
      <c r="F244">
        <v>331.8</v>
      </c>
      <c r="G244" s="19">
        <f t="shared" si="68"/>
        <v>756.2</v>
      </c>
      <c r="H244" s="19">
        <f t="shared" si="69"/>
        <v>404.3</v>
      </c>
      <c r="I244" s="24">
        <f t="shared" si="70"/>
        <v>87.039327232253299</v>
      </c>
    </row>
    <row r="245" spans="1:9" x14ac:dyDescent="0.25">
      <c r="A245" s="43" t="s">
        <v>76</v>
      </c>
      <c r="B245" s="38">
        <f t="shared" si="2"/>
        <v>40563</v>
      </c>
      <c r="C245">
        <v>175.8</v>
      </c>
      <c r="D245">
        <v>78.5</v>
      </c>
      <c r="E245">
        <v>600.70000000000005</v>
      </c>
      <c r="F245">
        <v>331.8</v>
      </c>
      <c r="G245" s="19">
        <f t="shared" si="68"/>
        <v>776.5</v>
      </c>
      <c r="H245" s="19">
        <f t="shared" si="69"/>
        <v>410.3</v>
      </c>
      <c r="I245" s="24">
        <f t="shared" si="70"/>
        <v>89.251766999756271</v>
      </c>
    </row>
    <row r="246" spans="1:9" x14ac:dyDescent="0.25">
      <c r="A246" s="43" t="s">
        <v>76</v>
      </c>
      <c r="B246" s="38">
        <f t="shared" si="2"/>
        <v>40570</v>
      </c>
      <c r="C246">
        <v>172.7</v>
      </c>
      <c r="D246">
        <v>52</v>
      </c>
      <c r="E246">
        <v>627.9</v>
      </c>
      <c r="F246">
        <v>359.3</v>
      </c>
      <c r="G246" s="19">
        <f t="shared" si="68"/>
        <v>800.59999999999991</v>
      </c>
      <c r="H246" s="19">
        <f t="shared" si="69"/>
        <v>411.3</v>
      </c>
      <c r="I246" s="24">
        <f t="shared" si="70"/>
        <v>94.651106248480403</v>
      </c>
    </row>
    <row r="247" spans="1:9" x14ac:dyDescent="0.25">
      <c r="A247" s="43" t="s">
        <v>76</v>
      </c>
      <c r="B247" s="38">
        <f t="shared" si="2"/>
        <v>40577</v>
      </c>
      <c r="C247">
        <v>170.1</v>
      </c>
      <c r="D247">
        <v>52</v>
      </c>
      <c r="E247">
        <v>651.79999999999995</v>
      </c>
      <c r="F247">
        <v>359.3</v>
      </c>
      <c r="G247" s="19">
        <f t="shared" si="68"/>
        <v>821.9</v>
      </c>
      <c r="H247" s="19">
        <f t="shared" si="69"/>
        <v>411.3</v>
      </c>
      <c r="I247" s="24">
        <f t="shared" si="70"/>
        <v>99.829807926087994</v>
      </c>
    </row>
    <row r="248" spans="1:9" x14ac:dyDescent="0.25">
      <c r="A248" s="43" t="s">
        <v>76</v>
      </c>
      <c r="B248" s="38">
        <f t="shared" si="2"/>
        <v>40584</v>
      </c>
      <c r="C248">
        <v>145.30000000000001</v>
      </c>
      <c r="D248">
        <v>62</v>
      </c>
      <c r="E248">
        <v>712.3</v>
      </c>
      <c r="F248">
        <v>359.3</v>
      </c>
      <c r="G248" s="19">
        <f t="shared" si="68"/>
        <v>857.59999999999991</v>
      </c>
      <c r="H248" s="19">
        <f t="shared" si="69"/>
        <v>421.3</v>
      </c>
      <c r="I248" s="24">
        <f t="shared" si="70"/>
        <v>103.56040826014711</v>
      </c>
    </row>
    <row r="249" spans="1:9" x14ac:dyDescent="0.25">
      <c r="A249" s="43" t="s">
        <v>76</v>
      </c>
      <c r="B249" s="38">
        <f t="shared" si="2"/>
        <v>40591</v>
      </c>
      <c r="C249">
        <v>121.8</v>
      </c>
      <c r="D249">
        <v>64</v>
      </c>
      <c r="E249">
        <v>739.8</v>
      </c>
      <c r="F249">
        <v>359.3</v>
      </c>
      <c r="G249" s="19">
        <f t="shared" si="68"/>
        <v>861.59999999999991</v>
      </c>
      <c r="H249" s="19">
        <f t="shared" si="69"/>
        <v>423.3</v>
      </c>
      <c r="I249" s="24">
        <f t="shared" si="70"/>
        <v>103.54358610914241</v>
      </c>
    </row>
    <row r="250" spans="1:9" x14ac:dyDescent="0.25">
      <c r="A250" s="43" t="s">
        <v>76</v>
      </c>
      <c r="B250" s="38">
        <f t="shared" si="2"/>
        <v>40598</v>
      </c>
      <c r="C250">
        <v>127.4</v>
      </c>
      <c r="D250">
        <v>64</v>
      </c>
      <c r="E250">
        <v>739.8</v>
      </c>
      <c r="F250">
        <v>359.3</v>
      </c>
      <c r="G250" s="19">
        <f t="shared" ref="G250:G263" si="71">+C250+E250</f>
        <v>867.19999999999993</v>
      </c>
      <c r="H250" s="19">
        <f t="shared" ref="H250:H263" si="72">+D250+F250</f>
        <v>423.3</v>
      </c>
      <c r="I250" s="24">
        <f t="shared" ref="I250:I263" si="73">+(G250/H250-1)*100</f>
        <v>104.86652492322226</v>
      </c>
    </row>
    <row r="251" spans="1:9" x14ac:dyDescent="0.25">
      <c r="A251" s="43" t="s">
        <v>76</v>
      </c>
      <c r="B251" s="38">
        <f t="shared" ref="B251:B314" si="74">+B250+7</f>
        <v>40605</v>
      </c>
      <c r="C251">
        <v>93.7</v>
      </c>
      <c r="D251">
        <v>36</v>
      </c>
      <c r="E251">
        <v>768</v>
      </c>
      <c r="F251">
        <v>402.1</v>
      </c>
      <c r="G251" s="19">
        <f t="shared" si="71"/>
        <v>861.7</v>
      </c>
      <c r="H251" s="19">
        <f t="shared" si="72"/>
        <v>438.1</v>
      </c>
      <c r="I251" s="24">
        <f t="shared" si="73"/>
        <v>96.690253366811234</v>
      </c>
    </row>
    <row r="252" spans="1:9" x14ac:dyDescent="0.25">
      <c r="A252" s="43" t="s">
        <v>76</v>
      </c>
      <c r="B252" s="38">
        <f t="shared" si="74"/>
        <v>40612</v>
      </c>
      <c r="C252">
        <v>153.69999999999999</v>
      </c>
      <c r="D252">
        <v>36</v>
      </c>
      <c r="E252">
        <v>768</v>
      </c>
      <c r="F252">
        <v>402.1</v>
      </c>
      <c r="G252" s="19">
        <f t="shared" si="71"/>
        <v>921.7</v>
      </c>
      <c r="H252" s="19">
        <f t="shared" si="72"/>
        <v>438.1</v>
      </c>
      <c r="I252" s="24">
        <f t="shared" si="73"/>
        <v>110.38575667655786</v>
      </c>
    </row>
    <row r="253" spans="1:9" x14ac:dyDescent="0.25">
      <c r="A253" s="43" t="s">
        <v>76</v>
      </c>
      <c r="B253" s="38">
        <f t="shared" si="74"/>
        <v>40619</v>
      </c>
      <c r="C253">
        <v>153.69999999999999</v>
      </c>
      <c r="D253">
        <v>43</v>
      </c>
      <c r="E253">
        <v>768</v>
      </c>
      <c r="F253">
        <v>431.4</v>
      </c>
      <c r="G253" s="19">
        <f t="shared" si="71"/>
        <v>921.7</v>
      </c>
      <c r="H253" s="19">
        <f t="shared" si="72"/>
        <v>474.4</v>
      </c>
      <c r="I253" s="24">
        <f t="shared" si="73"/>
        <v>94.287521079258013</v>
      </c>
    </row>
    <row r="254" spans="1:9" x14ac:dyDescent="0.25">
      <c r="A254" s="43" t="s">
        <v>76</v>
      </c>
      <c r="B254" s="38">
        <f t="shared" si="74"/>
        <v>40626</v>
      </c>
      <c r="C254">
        <v>164.7</v>
      </c>
      <c r="D254">
        <v>53</v>
      </c>
      <c r="E254">
        <v>795.4</v>
      </c>
      <c r="F254">
        <v>431.4</v>
      </c>
      <c r="G254" s="19">
        <f t="shared" si="71"/>
        <v>960.09999999999991</v>
      </c>
      <c r="H254" s="19">
        <f t="shared" si="72"/>
        <v>484.4</v>
      </c>
      <c r="I254" s="24">
        <f t="shared" si="73"/>
        <v>98.203963666391388</v>
      </c>
    </row>
    <row r="255" spans="1:9" x14ac:dyDescent="0.25">
      <c r="A255" s="43" t="s">
        <v>76</v>
      </c>
      <c r="B255" s="38">
        <f t="shared" si="74"/>
        <v>40633</v>
      </c>
      <c r="C255">
        <v>138.69999999999999</v>
      </c>
      <c r="D255">
        <v>64</v>
      </c>
      <c r="E255">
        <v>795.4</v>
      </c>
      <c r="F255">
        <v>431.4</v>
      </c>
      <c r="G255" s="19">
        <f t="shared" si="71"/>
        <v>934.09999999999991</v>
      </c>
      <c r="H255" s="19">
        <f t="shared" si="72"/>
        <v>495.4</v>
      </c>
      <c r="I255" s="24">
        <f t="shared" si="73"/>
        <v>88.554703270084772</v>
      </c>
    </row>
    <row r="256" spans="1:9" x14ac:dyDescent="0.25">
      <c r="A256" s="43" t="s">
        <v>76</v>
      </c>
      <c r="B256" s="38">
        <f t="shared" si="74"/>
        <v>40640</v>
      </c>
      <c r="C256">
        <v>138.69999999999999</v>
      </c>
      <c r="D256">
        <v>65</v>
      </c>
      <c r="E256">
        <v>795.4</v>
      </c>
      <c r="F256">
        <v>431.4</v>
      </c>
      <c r="G256" s="19">
        <f t="shared" si="71"/>
        <v>934.09999999999991</v>
      </c>
      <c r="H256" s="19">
        <f t="shared" si="72"/>
        <v>496.4</v>
      </c>
      <c r="I256" s="24">
        <f t="shared" si="73"/>
        <v>88.174858984689749</v>
      </c>
    </row>
    <row r="257" spans="1:10" x14ac:dyDescent="0.25">
      <c r="A257" s="43" t="s">
        <v>76</v>
      </c>
      <c r="B257" s="38">
        <f t="shared" si="74"/>
        <v>40647</v>
      </c>
      <c r="C257">
        <v>138.69999999999999</v>
      </c>
      <c r="D257">
        <v>89</v>
      </c>
      <c r="E257">
        <v>795.4</v>
      </c>
      <c r="F257">
        <v>431.4</v>
      </c>
      <c r="G257" s="19">
        <f t="shared" si="71"/>
        <v>934.09999999999991</v>
      </c>
      <c r="H257" s="19">
        <f t="shared" si="72"/>
        <v>520.4</v>
      </c>
      <c r="I257" s="24">
        <f t="shared" si="73"/>
        <v>79.496541122213671</v>
      </c>
    </row>
    <row r="258" spans="1:10" x14ac:dyDescent="0.25">
      <c r="A258" s="43" t="s">
        <v>76</v>
      </c>
      <c r="B258" s="38">
        <f t="shared" si="74"/>
        <v>40654</v>
      </c>
      <c r="C258">
        <v>149.69999999999999</v>
      </c>
      <c r="D258">
        <v>78</v>
      </c>
      <c r="E258">
        <v>835.9</v>
      </c>
      <c r="F258">
        <v>447.6</v>
      </c>
      <c r="G258" s="19">
        <f t="shared" si="71"/>
        <v>985.59999999999991</v>
      </c>
      <c r="H258" s="19">
        <f t="shared" si="72"/>
        <v>525.6</v>
      </c>
      <c r="I258" s="24">
        <f t="shared" si="73"/>
        <v>87.519025875190223</v>
      </c>
    </row>
    <row r="259" spans="1:10" x14ac:dyDescent="0.25">
      <c r="A259" s="43" t="s">
        <v>76</v>
      </c>
      <c r="B259" s="38">
        <f t="shared" si="74"/>
        <v>40661</v>
      </c>
      <c r="C259">
        <v>147.69999999999999</v>
      </c>
      <c r="D259">
        <v>83</v>
      </c>
      <c r="E259">
        <v>835.9</v>
      </c>
      <c r="F259">
        <v>447.6</v>
      </c>
      <c r="G259" s="19">
        <f t="shared" si="71"/>
        <v>983.59999999999991</v>
      </c>
      <c r="H259" s="19">
        <f t="shared" si="72"/>
        <v>530.6</v>
      </c>
      <c r="I259" s="24">
        <f t="shared" si="73"/>
        <v>85.375047116471904</v>
      </c>
    </row>
    <row r="260" spans="1:10" x14ac:dyDescent="0.25">
      <c r="A260" s="43" t="s">
        <v>76</v>
      </c>
      <c r="B260" s="38">
        <f t="shared" si="74"/>
        <v>40668</v>
      </c>
      <c r="C260">
        <v>219.7</v>
      </c>
      <c r="D260">
        <v>69</v>
      </c>
      <c r="E260">
        <v>835.9</v>
      </c>
      <c r="F260">
        <v>489.1</v>
      </c>
      <c r="G260" s="19">
        <f t="shared" si="71"/>
        <v>1055.5999999999999</v>
      </c>
      <c r="H260" s="19">
        <f t="shared" si="72"/>
        <v>558.1</v>
      </c>
      <c r="I260" s="24">
        <f t="shared" si="73"/>
        <v>89.141730872603446</v>
      </c>
    </row>
    <row r="261" spans="1:10" x14ac:dyDescent="0.25">
      <c r="A261" s="43" t="s">
        <v>76</v>
      </c>
      <c r="B261" s="38">
        <f t="shared" si="74"/>
        <v>40675</v>
      </c>
      <c r="C261">
        <v>147.69999999999999</v>
      </c>
      <c r="D261">
        <v>35</v>
      </c>
      <c r="E261">
        <v>835.9</v>
      </c>
      <c r="F261">
        <v>528.29999999999995</v>
      </c>
      <c r="G261" s="19">
        <f t="shared" si="71"/>
        <v>983.59999999999991</v>
      </c>
      <c r="H261" s="19">
        <f t="shared" si="72"/>
        <v>563.29999999999995</v>
      </c>
      <c r="I261" s="24">
        <f t="shared" si="73"/>
        <v>74.61388247825316</v>
      </c>
      <c r="J261">
        <v>146</v>
      </c>
    </row>
    <row r="262" spans="1:10" x14ac:dyDescent="0.25">
      <c r="A262" s="43" t="s">
        <v>76</v>
      </c>
      <c r="B262" s="38">
        <f t="shared" si="74"/>
        <v>40682</v>
      </c>
      <c r="C262">
        <v>102.7</v>
      </c>
      <c r="D262">
        <v>35</v>
      </c>
      <c r="E262">
        <v>890.9</v>
      </c>
      <c r="F262">
        <v>528.29999999999995</v>
      </c>
      <c r="G262" s="19">
        <f t="shared" si="71"/>
        <v>993.6</v>
      </c>
      <c r="H262" s="19">
        <f t="shared" si="72"/>
        <v>563.29999999999995</v>
      </c>
      <c r="I262" s="24">
        <f t="shared" si="73"/>
        <v>76.389135451801906</v>
      </c>
      <c r="J262">
        <v>156</v>
      </c>
    </row>
    <row r="263" spans="1:10" x14ac:dyDescent="0.25">
      <c r="A263" s="43" t="s">
        <v>76</v>
      </c>
      <c r="B263" s="38">
        <f t="shared" si="74"/>
        <v>40689</v>
      </c>
      <c r="C263">
        <v>107.2</v>
      </c>
      <c r="D263">
        <v>35</v>
      </c>
      <c r="E263">
        <v>890.9</v>
      </c>
      <c r="F263">
        <v>528.29999999999995</v>
      </c>
      <c r="G263" s="19">
        <f t="shared" si="71"/>
        <v>998.1</v>
      </c>
      <c r="H263" s="19">
        <f t="shared" si="72"/>
        <v>563.29999999999995</v>
      </c>
      <c r="I263" s="24">
        <f t="shared" si="73"/>
        <v>77.187999289898841</v>
      </c>
      <c r="J263">
        <v>156</v>
      </c>
    </row>
    <row r="264" spans="1:10" x14ac:dyDescent="0.25">
      <c r="A264" s="43" t="s">
        <v>76</v>
      </c>
      <c r="B264" s="38">
        <f t="shared" si="74"/>
        <v>40696</v>
      </c>
      <c r="C264">
        <v>238.3</v>
      </c>
      <c r="D264">
        <v>71</v>
      </c>
      <c r="E264">
        <v>0</v>
      </c>
      <c r="F264">
        <v>4.9000000000000004</v>
      </c>
      <c r="G264" s="19">
        <f t="shared" ref="G264:G272" si="75">+C264+E264</f>
        <v>238.3</v>
      </c>
      <c r="H264" s="19">
        <f t="shared" ref="H264:H272" si="76">+D264+F264</f>
        <v>75.900000000000006</v>
      </c>
      <c r="I264" s="24">
        <f t="shared" ref="I264:I272" si="77">+(G264/H264-1)*100</f>
        <v>213.965744400527</v>
      </c>
    </row>
    <row r="265" spans="1:10" x14ac:dyDescent="0.25">
      <c r="A265" s="43" t="s">
        <v>76</v>
      </c>
      <c r="B265" s="38">
        <f t="shared" si="74"/>
        <v>40703</v>
      </c>
      <c r="C265">
        <v>211.3</v>
      </c>
      <c r="D265">
        <v>211</v>
      </c>
      <c r="E265">
        <v>27.7</v>
      </c>
      <c r="F265">
        <v>4.9000000000000004</v>
      </c>
      <c r="G265" s="19">
        <f t="shared" si="75"/>
        <v>239</v>
      </c>
      <c r="H265" s="19">
        <f t="shared" si="76"/>
        <v>215.9</v>
      </c>
      <c r="I265" s="24">
        <f t="shared" si="77"/>
        <v>10.699397869383965</v>
      </c>
    </row>
    <row r="266" spans="1:10" x14ac:dyDescent="0.25">
      <c r="A266" s="43" t="s">
        <v>76</v>
      </c>
      <c r="B266" s="38">
        <f t="shared" si="74"/>
        <v>40710</v>
      </c>
      <c r="C266">
        <v>214.7</v>
      </c>
      <c r="D266">
        <v>231</v>
      </c>
      <c r="E266">
        <v>121.5</v>
      </c>
      <c r="F266">
        <v>4.9000000000000004</v>
      </c>
      <c r="G266" s="19">
        <f t="shared" si="75"/>
        <v>336.2</v>
      </c>
      <c r="H266" s="19">
        <f t="shared" si="76"/>
        <v>235.9</v>
      </c>
      <c r="I266" s="24">
        <f t="shared" si="77"/>
        <v>42.518016108520548</v>
      </c>
    </row>
    <row r="267" spans="1:10" x14ac:dyDescent="0.25">
      <c r="A267" s="43" t="s">
        <v>76</v>
      </c>
      <c r="B267" s="38">
        <f t="shared" si="74"/>
        <v>40717</v>
      </c>
      <c r="C267">
        <v>229.5</v>
      </c>
      <c r="D267">
        <v>231</v>
      </c>
      <c r="E267">
        <v>121.5</v>
      </c>
      <c r="F267">
        <v>4.9000000000000004</v>
      </c>
      <c r="G267" s="19">
        <f t="shared" si="75"/>
        <v>351</v>
      </c>
      <c r="H267" s="19">
        <f t="shared" si="76"/>
        <v>235.9</v>
      </c>
      <c r="I267" s="24">
        <f t="shared" si="77"/>
        <v>48.791860958033048</v>
      </c>
    </row>
    <row r="268" spans="1:10" x14ac:dyDescent="0.25">
      <c r="A268" s="43" t="s">
        <v>76</v>
      </c>
      <c r="B268" s="38">
        <f t="shared" si="74"/>
        <v>40724</v>
      </c>
      <c r="C268">
        <v>184.7</v>
      </c>
      <c r="D268">
        <v>263</v>
      </c>
      <c r="E268">
        <v>148.4</v>
      </c>
      <c r="F268">
        <v>38</v>
      </c>
      <c r="G268" s="19">
        <f t="shared" si="75"/>
        <v>333.1</v>
      </c>
      <c r="H268" s="19">
        <f t="shared" si="76"/>
        <v>301</v>
      </c>
      <c r="I268" s="24">
        <f t="shared" si="77"/>
        <v>10.664451827242537</v>
      </c>
    </row>
    <row r="269" spans="1:10" x14ac:dyDescent="0.25">
      <c r="A269" s="43" t="s">
        <v>76</v>
      </c>
      <c r="B269" s="38">
        <f t="shared" si="74"/>
        <v>40731</v>
      </c>
      <c r="C269">
        <v>192.7</v>
      </c>
      <c r="D269">
        <v>235.5</v>
      </c>
      <c r="E269">
        <v>166.5</v>
      </c>
      <c r="F269">
        <v>96.1</v>
      </c>
      <c r="G269" s="19">
        <f t="shared" si="75"/>
        <v>359.2</v>
      </c>
      <c r="H269" s="19">
        <f t="shared" si="76"/>
        <v>331.6</v>
      </c>
      <c r="I269" s="24">
        <f t="shared" si="77"/>
        <v>8.3232810615198929</v>
      </c>
    </row>
    <row r="270" spans="1:10" x14ac:dyDescent="0.25">
      <c r="A270" s="43" t="s">
        <v>76</v>
      </c>
      <c r="B270" s="38">
        <f t="shared" si="74"/>
        <v>40738</v>
      </c>
      <c r="C270">
        <v>144.5</v>
      </c>
      <c r="D270">
        <v>223.4</v>
      </c>
      <c r="E270">
        <v>220</v>
      </c>
      <c r="F270">
        <v>127.3</v>
      </c>
      <c r="G270" s="19">
        <f t="shared" si="75"/>
        <v>364.5</v>
      </c>
      <c r="H270" s="19">
        <f t="shared" si="76"/>
        <v>350.7</v>
      </c>
      <c r="I270" s="24">
        <f t="shared" si="77"/>
        <v>3.9349871685200988</v>
      </c>
    </row>
    <row r="271" spans="1:10" x14ac:dyDescent="0.25">
      <c r="A271" s="43" t="s">
        <v>76</v>
      </c>
      <c r="B271" s="38">
        <f t="shared" si="74"/>
        <v>40745</v>
      </c>
      <c r="C271">
        <v>151.19999999999999</v>
      </c>
      <c r="D271">
        <v>218.4</v>
      </c>
      <c r="E271">
        <v>220</v>
      </c>
      <c r="F271">
        <v>186.1</v>
      </c>
      <c r="G271" s="19">
        <f t="shared" si="75"/>
        <v>371.2</v>
      </c>
      <c r="H271" s="19">
        <f t="shared" si="76"/>
        <v>404.5</v>
      </c>
      <c r="I271" s="24">
        <f t="shared" si="77"/>
        <v>-8.2323856613102606</v>
      </c>
    </row>
    <row r="272" spans="1:10" x14ac:dyDescent="0.25">
      <c r="A272" s="43" t="s">
        <v>76</v>
      </c>
      <c r="B272" s="38">
        <f t="shared" si="74"/>
        <v>40752</v>
      </c>
      <c r="C272">
        <v>149.30000000000001</v>
      </c>
      <c r="D272">
        <v>164.1</v>
      </c>
      <c r="E272">
        <v>251.1</v>
      </c>
      <c r="F272">
        <v>272.3</v>
      </c>
      <c r="G272" s="19">
        <f t="shared" si="75"/>
        <v>400.4</v>
      </c>
      <c r="H272" s="19">
        <f t="shared" si="76"/>
        <v>436.4</v>
      </c>
      <c r="I272" s="24">
        <f t="shared" si="77"/>
        <v>-8.2493125572868919</v>
      </c>
    </row>
    <row r="273" spans="1:10" x14ac:dyDescent="0.25">
      <c r="A273" s="43" t="s">
        <v>76</v>
      </c>
      <c r="B273" s="38">
        <f t="shared" si="74"/>
        <v>40759</v>
      </c>
      <c r="C273">
        <v>162.69999999999999</v>
      </c>
      <c r="D273">
        <v>169.1</v>
      </c>
      <c r="E273">
        <v>251.1</v>
      </c>
      <c r="F273">
        <v>272.3</v>
      </c>
      <c r="G273" s="19">
        <f t="shared" ref="G273:G336" si="78">+C273+E273</f>
        <v>413.79999999999995</v>
      </c>
      <c r="H273" s="19">
        <f t="shared" ref="H273:H336" si="79">+D273+F273</f>
        <v>441.4</v>
      </c>
      <c r="I273" s="24">
        <f t="shared" ref="I273:I336" si="80">+(G273/H273-1)*100</f>
        <v>-6.2528318985047626</v>
      </c>
    </row>
    <row r="274" spans="1:10" x14ac:dyDescent="0.25">
      <c r="A274" s="43" t="s">
        <v>76</v>
      </c>
      <c r="B274" s="38">
        <f t="shared" si="74"/>
        <v>40766</v>
      </c>
      <c r="C274">
        <v>175.6</v>
      </c>
      <c r="D274">
        <v>154.80000000000001</v>
      </c>
      <c r="E274">
        <v>251.1</v>
      </c>
      <c r="F274">
        <v>272.3</v>
      </c>
      <c r="G274" s="19">
        <f t="shared" si="78"/>
        <v>426.7</v>
      </c>
      <c r="H274" s="19">
        <f t="shared" si="79"/>
        <v>427.1</v>
      </c>
      <c r="I274" s="24">
        <f t="shared" si="80"/>
        <v>-9.3654881760718567E-2</v>
      </c>
    </row>
    <row r="275" spans="1:10" x14ac:dyDescent="0.25">
      <c r="A275" s="43" t="s">
        <v>76</v>
      </c>
      <c r="B275" s="38">
        <f t="shared" si="74"/>
        <v>40773</v>
      </c>
      <c r="C275">
        <v>148.4</v>
      </c>
      <c r="D275">
        <v>164.8</v>
      </c>
      <c r="E275">
        <v>251.1</v>
      </c>
      <c r="F275">
        <v>278.39999999999998</v>
      </c>
      <c r="G275" s="19">
        <f t="shared" si="78"/>
        <v>399.5</v>
      </c>
      <c r="H275" s="19">
        <f t="shared" si="79"/>
        <v>443.2</v>
      </c>
      <c r="I275" s="24">
        <f t="shared" si="80"/>
        <v>-9.8601083032490937</v>
      </c>
    </row>
    <row r="276" spans="1:10" x14ac:dyDescent="0.25">
      <c r="A276" s="43" t="s">
        <v>76</v>
      </c>
      <c r="B276" s="38">
        <f t="shared" si="74"/>
        <v>40780</v>
      </c>
      <c r="C276">
        <v>118.3</v>
      </c>
      <c r="D276">
        <v>108.3</v>
      </c>
      <c r="E276">
        <v>316.2</v>
      </c>
      <c r="F276">
        <v>338.9</v>
      </c>
      <c r="G276" s="19">
        <f t="shared" si="78"/>
        <v>434.5</v>
      </c>
      <c r="H276" s="19">
        <f t="shared" si="79"/>
        <v>447.2</v>
      </c>
      <c r="I276" s="24">
        <f t="shared" si="80"/>
        <v>-2.8398926654740531</v>
      </c>
    </row>
    <row r="277" spans="1:10" x14ac:dyDescent="0.25">
      <c r="A277" s="43" t="s">
        <v>76</v>
      </c>
      <c r="B277" s="38">
        <f t="shared" si="74"/>
        <v>40787</v>
      </c>
      <c r="C277">
        <v>126.8</v>
      </c>
      <c r="D277">
        <v>108.3</v>
      </c>
      <c r="E277">
        <v>343.6</v>
      </c>
      <c r="F277">
        <v>338.9</v>
      </c>
      <c r="G277" s="19">
        <f t="shared" si="78"/>
        <v>470.40000000000003</v>
      </c>
      <c r="H277" s="19">
        <f t="shared" si="79"/>
        <v>447.2</v>
      </c>
      <c r="I277" s="24">
        <f t="shared" si="80"/>
        <v>5.1878354203935606</v>
      </c>
    </row>
    <row r="278" spans="1:10" x14ac:dyDescent="0.25">
      <c r="A278" s="43" t="s">
        <v>76</v>
      </c>
      <c r="B278" s="38">
        <f t="shared" si="74"/>
        <v>40794</v>
      </c>
      <c r="C278">
        <v>126.8</v>
      </c>
      <c r="D278">
        <v>193.9</v>
      </c>
      <c r="E278">
        <v>343.6</v>
      </c>
      <c r="F278">
        <v>338.9</v>
      </c>
      <c r="G278" s="19">
        <f t="shared" si="78"/>
        <v>470.40000000000003</v>
      </c>
      <c r="H278" s="19">
        <f t="shared" si="79"/>
        <v>532.79999999999995</v>
      </c>
      <c r="I278" s="24">
        <f t="shared" si="80"/>
        <v>-11.711711711711704</v>
      </c>
    </row>
    <row r="279" spans="1:10" x14ac:dyDescent="0.25">
      <c r="A279" s="43" t="s">
        <v>76</v>
      </c>
      <c r="B279" s="38">
        <f t="shared" si="74"/>
        <v>40801</v>
      </c>
      <c r="C279">
        <v>125.8</v>
      </c>
      <c r="D279">
        <v>176.1</v>
      </c>
      <c r="E279">
        <v>370.9</v>
      </c>
      <c r="F279">
        <v>361.7</v>
      </c>
      <c r="G279" s="19">
        <f t="shared" si="78"/>
        <v>496.7</v>
      </c>
      <c r="H279" s="19">
        <f t="shared" si="79"/>
        <v>537.79999999999995</v>
      </c>
      <c r="I279" s="24">
        <f t="shared" si="80"/>
        <v>-7.64224618817404</v>
      </c>
      <c r="J279" s="80"/>
    </row>
    <row r="280" spans="1:10" x14ac:dyDescent="0.25">
      <c r="A280" s="43" t="s">
        <v>76</v>
      </c>
      <c r="B280" s="38">
        <f t="shared" si="74"/>
        <v>40808</v>
      </c>
      <c r="C280">
        <v>141.1</v>
      </c>
      <c r="D280">
        <v>179.1</v>
      </c>
      <c r="E280">
        <v>398.4</v>
      </c>
      <c r="F280">
        <v>389</v>
      </c>
      <c r="G280" s="19">
        <f t="shared" si="78"/>
        <v>539.5</v>
      </c>
      <c r="H280" s="19">
        <f t="shared" si="79"/>
        <v>568.1</v>
      </c>
      <c r="I280" s="24">
        <f t="shared" si="80"/>
        <v>-5.034324942791768</v>
      </c>
    </row>
    <row r="281" spans="1:10" x14ac:dyDescent="0.25">
      <c r="A281" s="43" t="s">
        <v>76</v>
      </c>
      <c r="B281" s="38">
        <f t="shared" si="74"/>
        <v>40815</v>
      </c>
      <c r="C281">
        <v>154.1</v>
      </c>
      <c r="D281">
        <v>177.4</v>
      </c>
      <c r="E281">
        <v>420.2</v>
      </c>
      <c r="F281">
        <v>403.8</v>
      </c>
      <c r="G281" s="19">
        <f t="shared" si="78"/>
        <v>574.29999999999995</v>
      </c>
      <c r="H281" s="19">
        <f t="shared" si="79"/>
        <v>581.20000000000005</v>
      </c>
      <c r="I281" s="24">
        <f t="shared" si="80"/>
        <v>-1.1871988988300219</v>
      </c>
      <c r="J281" s="80"/>
    </row>
    <row r="282" spans="1:10" x14ac:dyDescent="0.25">
      <c r="A282" s="43" t="s">
        <v>76</v>
      </c>
      <c r="B282" s="38">
        <f t="shared" si="74"/>
        <v>40822</v>
      </c>
      <c r="C282">
        <v>154.1</v>
      </c>
      <c r="D282">
        <v>164.1</v>
      </c>
      <c r="E282">
        <v>420.2</v>
      </c>
      <c r="F282">
        <v>403.8</v>
      </c>
      <c r="G282" s="19">
        <f t="shared" si="78"/>
        <v>574.29999999999995</v>
      </c>
      <c r="H282" s="19">
        <f t="shared" si="79"/>
        <v>567.9</v>
      </c>
      <c r="I282" s="24">
        <f t="shared" si="80"/>
        <v>1.1269589716499384</v>
      </c>
    </row>
    <row r="283" spans="1:10" x14ac:dyDescent="0.25">
      <c r="A283" s="43" t="s">
        <v>76</v>
      </c>
      <c r="B283" s="38">
        <f t="shared" si="74"/>
        <v>40829</v>
      </c>
      <c r="C283" s="48">
        <v>133.1</v>
      </c>
      <c r="D283" s="48">
        <v>184.1</v>
      </c>
      <c r="E283" s="48">
        <v>447.6</v>
      </c>
      <c r="F283" s="48">
        <v>403.8</v>
      </c>
      <c r="G283" s="19">
        <f t="shared" si="78"/>
        <v>580.70000000000005</v>
      </c>
      <c r="H283" s="19">
        <f t="shared" si="79"/>
        <v>587.9</v>
      </c>
      <c r="I283" s="24">
        <f t="shared" si="80"/>
        <v>-1.2246980779043959</v>
      </c>
    </row>
    <row r="284" spans="1:10" x14ac:dyDescent="0.25">
      <c r="A284" s="43" t="s">
        <v>76</v>
      </c>
      <c r="B284" s="38">
        <f t="shared" si="74"/>
        <v>40836</v>
      </c>
      <c r="C284" s="48">
        <v>133.1</v>
      </c>
      <c r="D284" s="48">
        <v>118.6</v>
      </c>
      <c r="E284" s="48">
        <v>447.6</v>
      </c>
      <c r="F284" s="48">
        <v>471.8</v>
      </c>
      <c r="G284" s="19">
        <f t="shared" si="78"/>
        <v>580.70000000000005</v>
      </c>
      <c r="H284" s="19">
        <f t="shared" si="79"/>
        <v>590.4</v>
      </c>
      <c r="I284" s="24">
        <f t="shared" si="80"/>
        <v>-1.6429539295392814</v>
      </c>
    </row>
    <row r="285" spans="1:10" x14ac:dyDescent="0.25">
      <c r="A285" s="43" t="s">
        <v>76</v>
      </c>
      <c r="B285" s="38">
        <f t="shared" si="74"/>
        <v>40843</v>
      </c>
      <c r="C285" s="48">
        <v>37.299999999999997</v>
      </c>
      <c r="D285" s="48">
        <v>135.80000000000001</v>
      </c>
      <c r="E285" s="48">
        <v>507</v>
      </c>
      <c r="F285" s="48">
        <v>171.8</v>
      </c>
      <c r="G285" s="19">
        <f t="shared" si="78"/>
        <v>544.29999999999995</v>
      </c>
      <c r="H285" s="19">
        <f t="shared" si="79"/>
        <v>307.60000000000002</v>
      </c>
      <c r="I285" s="24">
        <f t="shared" si="80"/>
        <v>76.950585175552646</v>
      </c>
    </row>
    <row r="286" spans="1:10" x14ac:dyDescent="0.25">
      <c r="A286" s="43" t="s">
        <v>76</v>
      </c>
      <c r="B286" s="38">
        <f t="shared" si="74"/>
        <v>40850</v>
      </c>
      <c r="C286" s="48">
        <v>37.299999999999997</v>
      </c>
      <c r="D286" s="48">
        <v>205.8</v>
      </c>
      <c r="E286" s="48">
        <v>507</v>
      </c>
      <c r="F286" s="48">
        <v>471.8</v>
      </c>
      <c r="G286" s="19">
        <f t="shared" si="78"/>
        <v>544.29999999999995</v>
      </c>
      <c r="H286" s="19">
        <f t="shared" si="79"/>
        <v>677.6</v>
      </c>
      <c r="I286" s="24">
        <f t="shared" si="80"/>
        <v>-19.672373081464002</v>
      </c>
    </row>
    <row r="287" spans="1:10" x14ac:dyDescent="0.25">
      <c r="A287" s="43" t="s">
        <v>76</v>
      </c>
      <c r="B287" s="38">
        <f t="shared" si="74"/>
        <v>40857</v>
      </c>
      <c r="C287" s="89">
        <v>37</v>
      </c>
      <c r="D287" s="48">
        <v>205.8</v>
      </c>
      <c r="E287" s="48">
        <v>507</v>
      </c>
      <c r="F287" s="48">
        <v>471.8</v>
      </c>
      <c r="G287" s="34">
        <f t="shared" si="78"/>
        <v>544</v>
      </c>
      <c r="H287" s="19">
        <f t="shared" si="79"/>
        <v>677.6</v>
      </c>
      <c r="I287" s="24">
        <f t="shared" si="80"/>
        <v>-19.716646989374265</v>
      </c>
    </row>
    <row r="288" spans="1:10" x14ac:dyDescent="0.25">
      <c r="A288" s="43" t="s">
        <v>76</v>
      </c>
      <c r="B288" s="38">
        <f t="shared" si="74"/>
        <v>40864</v>
      </c>
      <c r="C288" s="48">
        <v>37.299999999999997</v>
      </c>
      <c r="D288" s="48">
        <v>183.8</v>
      </c>
      <c r="E288" s="48">
        <v>507</v>
      </c>
      <c r="F288" s="48">
        <v>503.9</v>
      </c>
      <c r="G288" s="19">
        <f t="shared" si="78"/>
        <v>544.29999999999995</v>
      </c>
      <c r="H288" s="19">
        <f t="shared" si="79"/>
        <v>687.7</v>
      </c>
      <c r="I288" s="24">
        <f t="shared" si="80"/>
        <v>-20.852115748146005</v>
      </c>
    </row>
    <row r="289" spans="1:9" x14ac:dyDescent="0.25">
      <c r="A289" s="43" t="s">
        <v>76</v>
      </c>
      <c r="B289" s="38">
        <f t="shared" si="74"/>
        <v>40871</v>
      </c>
      <c r="C289" s="48">
        <v>40.700000000000003</v>
      </c>
      <c r="D289" s="48">
        <v>153.9</v>
      </c>
      <c r="E289" s="48">
        <v>507</v>
      </c>
      <c r="F289" s="48">
        <v>532.9</v>
      </c>
      <c r="G289" s="19">
        <f t="shared" si="78"/>
        <v>547.70000000000005</v>
      </c>
      <c r="H289" s="19">
        <f t="shared" si="79"/>
        <v>686.8</v>
      </c>
      <c r="I289" s="24">
        <f t="shared" si="80"/>
        <v>-20.253348864298182</v>
      </c>
    </row>
    <row r="290" spans="1:9" x14ac:dyDescent="0.25">
      <c r="A290" s="43" t="s">
        <v>76</v>
      </c>
      <c r="B290" s="38">
        <f t="shared" si="74"/>
        <v>40878</v>
      </c>
      <c r="C290" s="48">
        <v>43.7</v>
      </c>
      <c r="D290" s="48">
        <v>136.6</v>
      </c>
      <c r="E290" s="48">
        <v>507</v>
      </c>
      <c r="F290" s="48">
        <v>532.9</v>
      </c>
      <c r="G290" s="19">
        <f t="shared" si="78"/>
        <v>550.70000000000005</v>
      </c>
      <c r="H290" s="19">
        <f t="shared" si="79"/>
        <v>669.5</v>
      </c>
      <c r="I290" s="24">
        <f t="shared" si="80"/>
        <v>-17.744585511575796</v>
      </c>
    </row>
    <row r="291" spans="1:9" x14ac:dyDescent="0.25">
      <c r="A291" s="43" t="s">
        <v>76</v>
      </c>
      <c r="B291" s="38">
        <f t="shared" si="74"/>
        <v>40885</v>
      </c>
      <c r="C291" s="48">
        <v>43.7</v>
      </c>
      <c r="D291" s="48">
        <v>160.6</v>
      </c>
      <c r="E291" s="48">
        <v>507</v>
      </c>
      <c r="F291" s="48">
        <v>532.9</v>
      </c>
      <c r="G291" s="19">
        <f t="shared" si="78"/>
        <v>550.70000000000005</v>
      </c>
      <c r="H291" s="19">
        <f t="shared" si="79"/>
        <v>693.5</v>
      </c>
      <c r="I291" s="24">
        <f t="shared" si="80"/>
        <v>-20.591204037490986</v>
      </c>
    </row>
    <row r="292" spans="1:9" x14ac:dyDescent="0.25">
      <c r="A292" s="43" t="s">
        <v>76</v>
      </c>
      <c r="B292" s="38">
        <f t="shared" si="74"/>
        <v>40892</v>
      </c>
      <c r="C292">
        <v>44</v>
      </c>
      <c r="D292">
        <v>166.6</v>
      </c>
      <c r="E292">
        <v>507</v>
      </c>
      <c r="F292">
        <v>532.9</v>
      </c>
      <c r="G292" s="19">
        <f t="shared" si="78"/>
        <v>551</v>
      </c>
      <c r="H292" s="19">
        <f t="shared" si="79"/>
        <v>699.5</v>
      </c>
      <c r="I292" s="24">
        <f t="shared" si="80"/>
        <v>-21.229449606862051</v>
      </c>
    </row>
    <row r="293" spans="1:9" x14ac:dyDescent="0.25">
      <c r="A293" s="43" t="s">
        <v>76</v>
      </c>
      <c r="B293" s="38">
        <f t="shared" si="74"/>
        <v>40899</v>
      </c>
      <c r="C293">
        <v>55.6</v>
      </c>
      <c r="D293">
        <v>166.6</v>
      </c>
      <c r="E293">
        <v>507</v>
      </c>
      <c r="F293">
        <v>532.9</v>
      </c>
      <c r="G293" s="19">
        <f t="shared" si="78"/>
        <v>562.6</v>
      </c>
      <c r="H293" s="19">
        <f t="shared" si="79"/>
        <v>699.5</v>
      </c>
      <c r="I293" s="24">
        <f t="shared" si="80"/>
        <v>-19.571122230164395</v>
      </c>
    </row>
    <row r="294" spans="1:9" x14ac:dyDescent="0.25">
      <c r="A294" s="43" t="s">
        <v>76</v>
      </c>
      <c r="B294" s="38">
        <f t="shared" si="74"/>
        <v>40906</v>
      </c>
      <c r="C294">
        <v>55.6</v>
      </c>
      <c r="D294">
        <v>208.3</v>
      </c>
      <c r="E294">
        <v>507</v>
      </c>
      <c r="F294">
        <v>532.9</v>
      </c>
      <c r="G294" s="19">
        <f t="shared" si="78"/>
        <v>562.6</v>
      </c>
      <c r="H294" s="19">
        <f t="shared" si="79"/>
        <v>741.2</v>
      </c>
      <c r="I294" s="24">
        <f t="shared" si="80"/>
        <v>-24.096060442525634</v>
      </c>
    </row>
    <row r="295" spans="1:9" x14ac:dyDescent="0.25">
      <c r="A295" s="43" t="s">
        <v>76</v>
      </c>
      <c r="B295" s="38">
        <f t="shared" si="74"/>
        <v>40913</v>
      </c>
      <c r="C295">
        <v>55.6</v>
      </c>
      <c r="D295">
        <v>205.6</v>
      </c>
      <c r="E295">
        <v>507</v>
      </c>
      <c r="F295">
        <v>532.9</v>
      </c>
      <c r="G295" s="19">
        <f t="shared" si="78"/>
        <v>562.6</v>
      </c>
      <c r="H295" s="19">
        <f t="shared" si="79"/>
        <v>738.5</v>
      </c>
      <c r="I295" s="24">
        <f t="shared" si="80"/>
        <v>-23.818551117129317</v>
      </c>
    </row>
    <row r="296" spans="1:9" x14ac:dyDescent="0.25">
      <c r="A296" s="43" t="s">
        <v>76</v>
      </c>
      <c r="B296" s="38">
        <f t="shared" si="74"/>
        <v>40920</v>
      </c>
      <c r="C296">
        <v>55.6</v>
      </c>
      <c r="D296">
        <v>182.5</v>
      </c>
      <c r="E296">
        <v>507</v>
      </c>
      <c r="F296">
        <v>573.70000000000005</v>
      </c>
      <c r="G296" s="19">
        <f t="shared" si="78"/>
        <v>562.6</v>
      </c>
      <c r="H296" s="19">
        <f t="shared" si="79"/>
        <v>756.2</v>
      </c>
      <c r="I296" s="24">
        <f t="shared" si="80"/>
        <v>-25.601692673895794</v>
      </c>
    </row>
    <row r="297" spans="1:9" x14ac:dyDescent="0.25">
      <c r="A297" s="43" t="s">
        <v>76</v>
      </c>
      <c r="B297" s="38">
        <f t="shared" si="74"/>
        <v>40927</v>
      </c>
      <c r="C297">
        <v>17.3</v>
      </c>
      <c r="D297">
        <v>175.8</v>
      </c>
      <c r="E297">
        <v>534.1</v>
      </c>
      <c r="F297">
        <v>600.70000000000005</v>
      </c>
      <c r="G297" s="19">
        <f t="shared" si="78"/>
        <v>551.4</v>
      </c>
      <c r="H297" s="19">
        <f t="shared" si="79"/>
        <v>776.5</v>
      </c>
      <c r="I297" s="24">
        <f t="shared" si="80"/>
        <v>-28.989053444945267</v>
      </c>
    </row>
    <row r="298" spans="1:9" x14ac:dyDescent="0.25">
      <c r="A298" s="43" t="s">
        <v>76</v>
      </c>
      <c r="B298" s="38">
        <f t="shared" si="74"/>
        <v>40934</v>
      </c>
      <c r="C298">
        <v>21.3</v>
      </c>
      <c r="D298">
        <v>172.7</v>
      </c>
      <c r="E298">
        <v>534.1</v>
      </c>
      <c r="F298">
        <v>627.9</v>
      </c>
      <c r="G298" s="19">
        <f t="shared" si="78"/>
        <v>555.4</v>
      </c>
      <c r="H298" s="19">
        <f t="shared" si="79"/>
        <v>800.59999999999991</v>
      </c>
      <c r="I298" s="24">
        <f t="shared" si="80"/>
        <v>-30.627029727704212</v>
      </c>
    </row>
    <row r="299" spans="1:9" x14ac:dyDescent="0.25">
      <c r="A299" s="43" t="s">
        <v>76</v>
      </c>
      <c r="B299" s="38">
        <f t="shared" si="74"/>
        <v>40941</v>
      </c>
      <c r="C299">
        <v>25.3</v>
      </c>
      <c r="D299">
        <v>170.1</v>
      </c>
      <c r="E299">
        <v>534.1</v>
      </c>
      <c r="F299">
        <v>651.79999999999995</v>
      </c>
      <c r="G299" s="19">
        <f t="shared" si="78"/>
        <v>559.4</v>
      </c>
      <c r="H299" s="19">
        <f t="shared" si="79"/>
        <v>821.9</v>
      </c>
      <c r="I299" s="24">
        <f t="shared" si="80"/>
        <v>-31.938191994159869</v>
      </c>
    </row>
    <row r="300" spans="1:9" x14ac:dyDescent="0.25">
      <c r="A300" s="43" t="s">
        <v>76</v>
      </c>
      <c r="B300" s="38">
        <f t="shared" si="74"/>
        <v>40948</v>
      </c>
      <c r="C300">
        <v>32</v>
      </c>
      <c r="D300">
        <v>145.30000000000001</v>
      </c>
      <c r="E300">
        <v>534.1</v>
      </c>
      <c r="F300">
        <v>712.3</v>
      </c>
      <c r="G300" s="19">
        <f t="shared" si="78"/>
        <v>566.1</v>
      </c>
      <c r="H300" s="19">
        <f t="shared" si="79"/>
        <v>857.59999999999991</v>
      </c>
      <c r="I300" s="24">
        <f t="shared" si="80"/>
        <v>-33.990205223880587</v>
      </c>
    </row>
    <row r="301" spans="1:9" x14ac:dyDescent="0.25">
      <c r="A301" s="43" t="s">
        <v>76</v>
      </c>
      <c r="B301" s="38">
        <f t="shared" si="74"/>
        <v>40955</v>
      </c>
      <c r="C301">
        <v>32</v>
      </c>
      <c r="D301">
        <v>121.8</v>
      </c>
      <c r="E301">
        <v>534.1</v>
      </c>
      <c r="F301">
        <v>739.8</v>
      </c>
      <c r="G301" s="19">
        <f t="shared" si="78"/>
        <v>566.1</v>
      </c>
      <c r="H301" s="19">
        <f t="shared" si="79"/>
        <v>861.59999999999991</v>
      </c>
      <c r="I301" s="24">
        <f t="shared" si="80"/>
        <v>-34.296657381615589</v>
      </c>
    </row>
    <row r="302" spans="1:9" x14ac:dyDescent="0.25">
      <c r="A302" s="43" t="s">
        <v>76</v>
      </c>
      <c r="B302" s="38">
        <f t="shared" si="74"/>
        <v>40962</v>
      </c>
      <c r="C302">
        <v>32</v>
      </c>
      <c r="D302">
        <v>127.4</v>
      </c>
      <c r="E302">
        <v>534.1</v>
      </c>
      <c r="F302">
        <v>739.8</v>
      </c>
      <c r="G302" s="19">
        <f t="shared" si="78"/>
        <v>566.1</v>
      </c>
      <c r="H302" s="19">
        <f t="shared" si="79"/>
        <v>867.19999999999993</v>
      </c>
      <c r="I302" s="24">
        <f t="shared" si="80"/>
        <v>-34.720940959409589</v>
      </c>
    </row>
    <row r="303" spans="1:9" x14ac:dyDescent="0.25">
      <c r="A303" s="43" t="s">
        <v>76</v>
      </c>
      <c r="B303" s="38">
        <f t="shared" si="74"/>
        <v>40969</v>
      </c>
      <c r="C303">
        <v>32.5</v>
      </c>
      <c r="D303">
        <v>93.7</v>
      </c>
      <c r="E303">
        <v>538.1</v>
      </c>
      <c r="F303">
        <v>768</v>
      </c>
      <c r="G303" s="19">
        <f t="shared" si="78"/>
        <v>570.6</v>
      </c>
      <c r="H303" s="19">
        <f t="shared" si="79"/>
        <v>861.7</v>
      </c>
      <c r="I303" s="24">
        <f t="shared" si="80"/>
        <v>-33.782058721132643</v>
      </c>
    </row>
    <row r="304" spans="1:9" x14ac:dyDescent="0.25">
      <c r="A304" s="43" t="s">
        <v>76</v>
      </c>
      <c r="B304" s="38">
        <f t="shared" si="74"/>
        <v>40976</v>
      </c>
      <c r="C304">
        <v>32.5</v>
      </c>
      <c r="D304">
        <v>153.69999999999999</v>
      </c>
      <c r="E304">
        <v>538.1</v>
      </c>
      <c r="F304">
        <v>768</v>
      </c>
      <c r="G304" s="19">
        <f t="shared" si="78"/>
        <v>570.6</v>
      </c>
      <c r="H304" s="19">
        <f t="shared" si="79"/>
        <v>921.7</v>
      </c>
      <c r="I304" s="24">
        <f t="shared" si="80"/>
        <v>-38.092654876857978</v>
      </c>
    </row>
    <row r="305" spans="1:9" x14ac:dyDescent="0.25">
      <c r="A305" s="43" t="s">
        <v>76</v>
      </c>
      <c r="B305" s="38">
        <f t="shared" si="74"/>
        <v>40983</v>
      </c>
      <c r="C305">
        <v>32.5</v>
      </c>
      <c r="D305">
        <v>153.69999999999999</v>
      </c>
      <c r="E305">
        <v>538.1</v>
      </c>
      <c r="F305">
        <v>768</v>
      </c>
      <c r="G305" s="19">
        <f t="shared" si="78"/>
        <v>570.6</v>
      </c>
      <c r="H305" s="19">
        <f t="shared" si="79"/>
        <v>921.7</v>
      </c>
      <c r="I305" s="24">
        <f t="shared" si="80"/>
        <v>-38.092654876857978</v>
      </c>
    </row>
    <row r="306" spans="1:9" x14ac:dyDescent="0.25">
      <c r="A306" s="43" t="s">
        <v>76</v>
      </c>
      <c r="B306" s="38">
        <f t="shared" si="74"/>
        <v>40990</v>
      </c>
      <c r="C306">
        <v>33</v>
      </c>
      <c r="D306">
        <v>164.7</v>
      </c>
      <c r="E306">
        <v>538.1</v>
      </c>
      <c r="F306">
        <v>795.4</v>
      </c>
      <c r="G306" s="19">
        <f t="shared" si="78"/>
        <v>571.1</v>
      </c>
      <c r="H306" s="19">
        <f t="shared" si="79"/>
        <v>960.09999999999991</v>
      </c>
      <c r="I306" s="24">
        <f t="shared" si="80"/>
        <v>-40.516612852827826</v>
      </c>
    </row>
    <row r="307" spans="1:9" x14ac:dyDescent="0.25">
      <c r="A307" s="43" t="s">
        <v>76</v>
      </c>
      <c r="B307" s="38">
        <f t="shared" si="74"/>
        <v>40997</v>
      </c>
      <c r="C307">
        <v>3</v>
      </c>
      <c r="D307">
        <v>138.69999999999999</v>
      </c>
      <c r="E307">
        <v>538.1</v>
      </c>
      <c r="F307">
        <v>795.4</v>
      </c>
      <c r="G307" s="19">
        <f t="shared" si="78"/>
        <v>541.1</v>
      </c>
      <c r="H307" s="19">
        <f t="shared" si="79"/>
        <v>934.09999999999991</v>
      </c>
      <c r="I307" s="24">
        <f t="shared" si="80"/>
        <v>-42.072583235199644</v>
      </c>
    </row>
    <row r="308" spans="1:9" x14ac:dyDescent="0.25">
      <c r="A308" s="43" t="s">
        <v>76</v>
      </c>
      <c r="B308" s="38">
        <f t="shared" si="74"/>
        <v>41004</v>
      </c>
      <c r="C308">
        <v>3.3</v>
      </c>
      <c r="D308">
        <v>138.69999999999999</v>
      </c>
      <c r="E308">
        <v>538.1</v>
      </c>
      <c r="F308">
        <v>795.4</v>
      </c>
      <c r="G308" s="19">
        <f t="shared" si="78"/>
        <v>541.4</v>
      </c>
      <c r="H308" s="19">
        <f t="shared" si="79"/>
        <v>934.09999999999991</v>
      </c>
      <c r="I308" s="24">
        <f t="shared" si="80"/>
        <v>-42.04046675944759</v>
      </c>
    </row>
    <row r="309" spans="1:9" x14ac:dyDescent="0.25">
      <c r="A309" s="43" t="s">
        <v>76</v>
      </c>
      <c r="B309" s="38">
        <f t="shared" si="74"/>
        <v>41011</v>
      </c>
      <c r="C309">
        <v>16.3</v>
      </c>
      <c r="D309">
        <v>138.69999999999999</v>
      </c>
      <c r="E309">
        <v>538.1</v>
      </c>
      <c r="F309">
        <v>795.4</v>
      </c>
      <c r="G309" s="19">
        <f t="shared" si="78"/>
        <v>554.4</v>
      </c>
      <c r="H309" s="19">
        <f t="shared" si="79"/>
        <v>934.09999999999991</v>
      </c>
      <c r="I309" s="24">
        <f t="shared" si="80"/>
        <v>-40.648752810191624</v>
      </c>
    </row>
    <row r="310" spans="1:9" x14ac:dyDescent="0.25">
      <c r="A310" s="43" t="s">
        <v>76</v>
      </c>
      <c r="B310" s="38">
        <f t="shared" si="74"/>
        <v>41018</v>
      </c>
      <c r="C310">
        <v>16.3</v>
      </c>
      <c r="D310">
        <v>149.69999999999999</v>
      </c>
      <c r="E310">
        <v>538.1</v>
      </c>
      <c r="F310">
        <v>835.9</v>
      </c>
      <c r="G310" s="19">
        <f t="shared" si="78"/>
        <v>554.4</v>
      </c>
      <c r="H310" s="19">
        <f t="shared" si="79"/>
        <v>985.59999999999991</v>
      </c>
      <c r="I310" s="24">
        <f t="shared" si="80"/>
        <v>-43.75</v>
      </c>
    </row>
    <row r="311" spans="1:9" x14ac:dyDescent="0.25">
      <c r="A311" s="43" t="s">
        <v>76</v>
      </c>
      <c r="B311" s="38">
        <f t="shared" si="74"/>
        <v>41025</v>
      </c>
      <c r="C311">
        <v>16.3</v>
      </c>
      <c r="D311">
        <v>147.69999999999999</v>
      </c>
      <c r="E311">
        <v>538.1</v>
      </c>
      <c r="F311">
        <v>835.9</v>
      </c>
      <c r="G311" s="19">
        <f t="shared" si="78"/>
        <v>554.4</v>
      </c>
      <c r="H311" s="19">
        <f t="shared" si="79"/>
        <v>983.59999999999991</v>
      </c>
      <c r="I311" s="24">
        <f t="shared" si="80"/>
        <v>-43.635624237494916</v>
      </c>
    </row>
    <row r="312" spans="1:9" x14ac:dyDescent="0.25">
      <c r="A312" s="43" t="s">
        <v>76</v>
      </c>
      <c r="B312" s="38">
        <f t="shared" si="74"/>
        <v>41032</v>
      </c>
      <c r="C312">
        <v>16.3</v>
      </c>
      <c r="D312">
        <v>219.7</v>
      </c>
      <c r="E312">
        <v>538.1</v>
      </c>
      <c r="F312">
        <v>835.9</v>
      </c>
      <c r="G312" s="19">
        <f t="shared" si="78"/>
        <v>554.4</v>
      </c>
      <c r="H312" s="19">
        <f t="shared" si="79"/>
        <v>1055.5999999999999</v>
      </c>
      <c r="I312" s="24">
        <f t="shared" si="80"/>
        <v>-47.480106100795751</v>
      </c>
    </row>
    <row r="313" spans="1:9" x14ac:dyDescent="0.25">
      <c r="A313" s="43" t="s">
        <v>76</v>
      </c>
      <c r="B313" s="38">
        <f t="shared" si="74"/>
        <v>41039</v>
      </c>
      <c r="C313">
        <v>-13</v>
      </c>
      <c r="D313">
        <v>147.69999999999999</v>
      </c>
      <c r="E313">
        <v>564.79999999999995</v>
      </c>
      <c r="F313">
        <v>835.9</v>
      </c>
      <c r="G313" s="19">
        <f t="shared" si="78"/>
        <v>551.79999999999995</v>
      </c>
      <c r="H313" s="19">
        <f t="shared" si="79"/>
        <v>983.59999999999991</v>
      </c>
      <c r="I313" s="24">
        <f t="shared" si="80"/>
        <v>-43.89995933306222</v>
      </c>
    </row>
    <row r="314" spans="1:9" x14ac:dyDescent="0.25">
      <c r="A314" s="43" t="s">
        <v>76</v>
      </c>
      <c r="B314" s="38">
        <f t="shared" si="74"/>
        <v>41046</v>
      </c>
      <c r="C314">
        <v>-13</v>
      </c>
      <c r="D314">
        <v>102.7</v>
      </c>
      <c r="E314">
        <v>564.79999999999995</v>
      </c>
      <c r="F314">
        <v>890.9</v>
      </c>
      <c r="G314" s="19">
        <f t="shared" si="78"/>
        <v>551.79999999999995</v>
      </c>
      <c r="H314" s="19">
        <f t="shared" si="79"/>
        <v>993.6</v>
      </c>
      <c r="I314" s="24">
        <f t="shared" si="80"/>
        <v>-44.4645732689211</v>
      </c>
    </row>
    <row r="315" spans="1:9" x14ac:dyDescent="0.25">
      <c r="A315" s="43" t="s">
        <v>76</v>
      </c>
      <c r="B315" s="38">
        <f t="shared" ref="B315:B378" si="81">+B314+7</f>
        <v>41053</v>
      </c>
      <c r="C315">
        <v>-13</v>
      </c>
      <c r="D315">
        <v>107.2</v>
      </c>
      <c r="E315">
        <v>564.79999999999995</v>
      </c>
      <c r="F315">
        <v>890.9</v>
      </c>
      <c r="G315" s="19">
        <f t="shared" si="78"/>
        <v>551.79999999999995</v>
      </c>
      <c r="H315" s="19">
        <f t="shared" si="79"/>
        <v>998.1</v>
      </c>
      <c r="I315" s="24">
        <f t="shared" si="80"/>
        <v>-44.714958420999906</v>
      </c>
    </row>
    <row r="316" spans="1:9" x14ac:dyDescent="0.25">
      <c r="A316" s="43" t="s">
        <v>76</v>
      </c>
      <c r="B316" s="38">
        <f t="shared" si="81"/>
        <v>41060</v>
      </c>
      <c r="C316">
        <v>-13</v>
      </c>
      <c r="D316">
        <v>77.7</v>
      </c>
      <c r="E316">
        <v>564.79999999999995</v>
      </c>
      <c r="F316">
        <v>922.9</v>
      </c>
      <c r="G316" s="19">
        <f t="shared" si="78"/>
        <v>551.79999999999995</v>
      </c>
      <c r="H316" s="19">
        <f t="shared" si="79"/>
        <v>1000.6</v>
      </c>
      <c r="I316" s="24">
        <f t="shared" si="80"/>
        <v>-44.853088147111741</v>
      </c>
    </row>
    <row r="317" spans="1:9" x14ac:dyDescent="0.25">
      <c r="A317" s="43" t="s">
        <v>76</v>
      </c>
      <c r="B317" s="38">
        <f t="shared" si="81"/>
        <v>41067</v>
      </c>
      <c r="C317">
        <v>-11</v>
      </c>
      <c r="D317">
        <v>211.3</v>
      </c>
      <c r="E317">
        <v>0</v>
      </c>
      <c r="F317">
        <v>27.7</v>
      </c>
      <c r="G317" s="19">
        <f t="shared" si="78"/>
        <v>-11</v>
      </c>
      <c r="H317" s="19">
        <f t="shared" si="79"/>
        <v>239</v>
      </c>
      <c r="I317" s="24">
        <f t="shared" si="80"/>
        <v>-104.60251046025104</v>
      </c>
    </row>
    <row r="318" spans="1:9" x14ac:dyDescent="0.25">
      <c r="A318" s="43" t="s">
        <v>76</v>
      </c>
      <c r="B318" s="38">
        <f t="shared" si="81"/>
        <v>41074</v>
      </c>
      <c r="C318">
        <v>7</v>
      </c>
      <c r="D318">
        <v>214.7</v>
      </c>
      <c r="E318">
        <v>0</v>
      </c>
      <c r="F318">
        <v>121.5</v>
      </c>
      <c r="G318" s="19">
        <f t="shared" si="78"/>
        <v>7</v>
      </c>
      <c r="H318" s="19">
        <f t="shared" si="79"/>
        <v>336.2</v>
      </c>
      <c r="I318" s="24">
        <f t="shared" si="80"/>
        <v>-97.917906008328373</v>
      </c>
    </row>
    <row r="319" spans="1:9" x14ac:dyDescent="0.25">
      <c r="A319" s="43" t="s">
        <v>76</v>
      </c>
      <c r="B319" s="38">
        <f t="shared" si="81"/>
        <v>41081</v>
      </c>
      <c r="C319">
        <v>33</v>
      </c>
      <c r="D319">
        <v>229.5</v>
      </c>
      <c r="E319">
        <v>0</v>
      </c>
      <c r="F319">
        <v>121.5</v>
      </c>
      <c r="G319" s="19">
        <f t="shared" si="78"/>
        <v>33</v>
      </c>
      <c r="H319" s="19">
        <f t="shared" si="79"/>
        <v>351</v>
      </c>
      <c r="I319" s="24">
        <f t="shared" si="80"/>
        <v>-90.598290598290603</v>
      </c>
    </row>
    <row r="320" spans="1:9" x14ac:dyDescent="0.25">
      <c r="A320" s="43" t="s">
        <v>76</v>
      </c>
      <c r="B320" s="38">
        <f t="shared" si="81"/>
        <v>41088</v>
      </c>
      <c r="C320">
        <v>30.5</v>
      </c>
      <c r="D320">
        <v>184.7</v>
      </c>
      <c r="E320">
        <v>0</v>
      </c>
      <c r="F320">
        <v>148.4</v>
      </c>
      <c r="G320" s="19">
        <f t="shared" si="78"/>
        <v>30.5</v>
      </c>
      <c r="H320" s="19">
        <f t="shared" si="79"/>
        <v>333.1</v>
      </c>
      <c r="I320" s="24">
        <f t="shared" si="80"/>
        <v>-90.843590513359345</v>
      </c>
    </row>
    <row r="321" spans="1:9" x14ac:dyDescent="0.25">
      <c r="A321" s="43" t="s">
        <v>76</v>
      </c>
      <c r="B321" s="38">
        <f t="shared" si="81"/>
        <v>41095</v>
      </c>
      <c r="C321">
        <v>30.5</v>
      </c>
      <c r="D321">
        <v>192.7</v>
      </c>
      <c r="E321">
        <v>0</v>
      </c>
      <c r="F321">
        <v>166.5</v>
      </c>
      <c r="G321" s="19">
        <f t="shared" si="78"/>
        <v>30.5</v>
      </c>
      <c r="H321" s="19">
        <f t="shared" si="79"/>
        <v>359.2</v>
      </c>
      <c r="I321" s="24">
        <f t="shared" si="80"/>
        <v>-91.508908685968819</v>
      </c>
    </row>
    <row r="322" spans="1:9" x14ac:dyDescent="0.25">
      <c r="A322" s="43" t="s">
        <v>76</v>
      </c>
      <c r="B322" s="38">
        <f t="shared" si="81"/>
        <v>41102</v>
      </c>
      <c r="C322">
        <v>35</v>
      </c>
      <c r="D322">
        <v>144.5</v>
      </c>
      <c r="E322">
        <v>0</v>
      </c>
      <c r="F322">
        <v>220</v>
      </c>
      <c r="G322" s="19">
        <f t="shared" si="78"/>
        <v>35</v>
      </c>
      <c r="H322" s="19">
        <f t="shared" si="79"/>
        <v>364.5</v>
      </c>
      <c r="I322" s="24">
        <f t="shared" si="80"/>
        <v>-90.397805212620028</v>
      </c>
    </row>
    <row r="323" spans="1:9" x14ac:dyDescent="0.25">
      <c r="A323" s="43" t="s">
        <v>76</v>
      </c>
      <c r="B323" s="38">
        <f t="shared" si="81"/>
        <v>41109</v>
      </c>
      <c r="C323">
        <v>22</v>
      </c>
      <c r="D323">
        <v>151.19999999999999</v>
      </c>
      <c r="E323">
        <v>26.4</v>
      </c>
      <c r="F323">
        <v>220</v>
      </c>
      <c r="G323" s="19">
        <f t="shared" si="78"/>
        <v>48.4</v>
      </c>
      <c r="H323" s="19">
        <f t="shared" si="79"/>
        <v>371.2</v>
      </c>
      <c r="I323" s="24">
        <f t="shared" si="80"/>
        <v>-86.96120689655173</v>
      </c>
    </row>
    <row r="324" spans="1:9" x14ac:dyDescent="0.25">
      <c r="A324" s="43" t="s">
        <v>76</v>
      </c>
      <c r="B324" s="38">
        <f t="shared" si="81"/>
        <v>41116</v>
      </c>
      <c r="C324">
        <v>68</v>
      </c>
      <c r="D324">
        <v>149.30000000000001</v>
      </c>
      <c r="E324">
        <v>26.4</v>
      </c>
      <c r="F324">
        <v>251.1</v>
      </c>
      <c r="G324" s="19">
        <f t="shared" si="78"/>
        <v>94.4</v>
      </c>
      <c r="H324" s="19">
        <f t="shared" si="79"/>
        <v>400.4</v>
      </c>
      <c r="I324" s="24">
        <f t="shared" si="80"/>
        <v>-76.423576423576421</v>
      </c>
    </row>
    <row r="325" spans="1:9" x14ac:dyDescent="0.25">
      <c r="A325" s="43" t="s">
        <v>76</v>
      </c>
      <c r="B325" s="38">
        <f t="shared" si="81"/>
        <v>41123</v>
      </c>
      <c r="C325">
        <v>66</v>
      </c>
      <c r="D325">
        <v>162.69999999999999</v>
      </c>
      <c r="E325">
        <v>75.2</v>
      </c>
      <c r="F325">
        <v>251.1</v>
      </c>
      <c r="G325" s="19">
        <f t="shared" si="78"/>
        <v>141.19999999999999</v>
      </c>
      <c r="H325" s="19">
        <f t="shared" si="79"/>
        <v>413.79999999999995</v>
      </c>
      <c r="I325" s="24">
        <f t="shared" si="80"/>
        <v>-65.877235379410351</v>
      </c>
    </row>
    <row r="326" spans="1:9" x14ac:dyDescent="0.25">
      <c r="A326" s="43" t="s">
        <v>76</v>
      </c>
      <c r="B326" s="38">
        <f t="shared" si="81"/>
        <v>41130</v>
      </c>
      <c r="C326">
        <v>74</v>
      </c>
      <c r="D326">
        <v>175.6</v>
      </c>
      <c r="E326">
        <v>75.2</v>
      </c>
      <c r="F326">
        <v>251.1</v>
      </c>
      <c r="G326" s="19">
        <f t="shared" si="78"/>
        <v>149.19999999999999</v>
      </c>
      <c r="H326" s="19">
        <f t="shared" si="79"/>
        <v>426.7</v>
      </c>
      <c r="I326" s="24">
        <f t="shared" si="80"/>
        <v>-65.033981720178119</v>
      </c>
    </row>
    <row r="327" spans="1:9" x14ac:dyDescent="0.25">
      <c r="A327" s="43" t="s">
        <v>76</v>
      </c>
      <c r="B327" s="38">
        <f t="shared" si="81"/>
        <v>41137</v>
      </c>
      <c r="C327">
        <v>82</v>
      </c>
      <c r="D327">
        <v>148.4</v>
      </c>
      <c r="E327">
        <v>54.9</v>
      </c>
      <c r="F327">
        <v>251.1</v>
      </c>
      <c r="G327" s="19">
        <f t="shared" si="78"/>
        <v>136.9</v>
      </c>
      <c r="H327" s="19">
        <f t="shared" si="79"/>
        <v>399.5</v>
      </c>
      <c r="I327" s="24">
        <f t="shared" si="80"/>
        <v>-65.732165206508128</v>
      </c>
    </row>
    <row r="328" spans="1:9" x14ac:dyDescent="0.25">
      <c r="A328" s="43" t="s">
        <v>76</v>
      </c>
      <c r="B328" s="38">
        <f t="shared" si="81"/>
        <v>41144</v>
      </c>
      <c r="C328">
        <v>47</v>
      </c>
      <c r="D328">
        <v>118.3</v>
      </c>
      <c r="E328">
        <v>92.9</v>
      </c>
      <c r="F328">
        <v>316.2</v>
      </c>
      <c r="G328" s="19">
        <f t="shared" si="78"/>
        <v>139.9</v>
      </c>
      <c r="H328" s="19">
        <f t="shared" si="79"/>
        <v>434.5</v>
      </c>
      <c r="I328" s="24">
        <f t="shared" si="80"/>
        <v>-67.802071346375143</v>
      </c>
    </row>
    <row r="329" spans="1:9" x14ac:dyDescent="0.25">
      <c r="A329" s="43" t="s">
        <v>76</v>
      </c>
      <c r="B329" s="38">
        <f t="shared" si="81"/>
        <v>41151</v>
      </c>
      <c r="C329">
        <v>44.4</v>
      </c>
      <c r="D329">
        <v>126.8</v>
      </c>
      <c r="E329">
        <v>119.2</v>
      </c>
      <c r="F329">
        <v>343.6</v>
      </c>
      <c r="G329" s="19">
        <f t="shared" si="78"/>
        <v>163.6</v>
      </c>
      <c r="H329" s="19">
        <f t="shared" si="79"/>
        <v>470.40000000000003</v>
      </c>
      <c r="I329" s="24">
        <f t="shared" si="80"/>
        <v>-65.221088435374156</v>
      </c>
    </row>
    <row r="330" spans="1:9" x14ac:dyDescent="0.25">
      <c r="A330" s="43" t="s">
        <v>76</v>
      </c>
      <c r="B330" s="38">
        <f t="shared" si="81"/>
        <v>41158</v>
      </c>
      <c r="C330">
        <v>43.3</v>
      </c>
      <c r="D330">
        <v>126.8</v>
      </c>
      <c r="E330">
        <v>119.2</v>
      </c>
      <c r="F330">
        <v>343.6</v>
      </c>
      <c r="G330" s="19">
        <f t="shared" si="78"/>
        <v>162.5</v>
      </c>
      <c r="H330" s="19">
        <f t="shared" si="79"/>
        <v>470.40000000000003</v>
      </c>
      <c r="I330" s="24">
        <f t="shared" si="80"/>
        <v>-65.454931972789112</v>
      </c>
    </row>
    <row r="331" spans="1:9" x14ac:dyDescent="0.25">
      <c r="A331" s="43" t="s">
        <v>76</v>
      </c>
      <c r="B331" s="38">
        <f t="shared" si="81"/>
        <v>41165</v>
      </c>
      <c r="C331">
        <v>41.3</v>
      </c>
      <c r="D331">
        <v>125.8</v>
      </c>
      <c r="E331">
        <v>129.19999999999999</v>
      </c>
      <c r="F331">
        <v>370.9</v>
      </c>
      <c r="G331" s="19">
        <f t="shared" si="78"/>
        <v>170.5</v>
      </c>
      <c r="H331" s="19">
        <f t="shared" si="79"/>
        <v>496.7</v>
      </c>
      <c r="I331" s="24">
        <f t="shared" si="80"/>
        <v>-65.673444735252673</v>
      </c>
    </row>
    <row r="332" spans="1:9" x14ac:dyDescent="0.25">
      <c r="A332" s="43" t="s">
        <v>76</v>
      </c>
      <c r="B332" s="38">
        <f t="shared" si="81"/>
        <v>41172</v>
      </c>
      <c r="C332">
        <v>51.3</v>
      </c>
      <c r="D332">
        <v>141.1</v>
      </c>
      <c r="E332">
        <v>129.19999999999999</v>
      </c>
      <c r="F332">
        <v>398.4</v>
      </c>
      <c r="G332" s="19">
        <f t="shared" si="78"/>
        <v>180.5</v>
      </c>
      <c r="H332" s="19">
        <f t="shared" si="79"/>
        <v>539.5</v>
      </c>
      <c r="I332" s="24">
        <f t="shared" si="80"/>
        <v>-66.543095458758117</v>
      </c>
    </row>
    <row r="333" spans="1:9" x14ac:dyDescent="0.25">
      <c r="A333" s="43" t="s">
        <v>76</v>
      </c>
      <c r="B333" s="38">
        <f t="shared" si="81"/>
        <v>41179</v>
      </c>
      <c r="C333">
        <v>44.3</v>
      </c>
      <c r="D333">
        <v>154.1</v>
      </c>
      <c r="E333">
        <v>129.19999999999999</v>
      </c>
      <c r="F333">
        <v>420.2</v>
      </c>
      <c r="G333" s="19">
        <f t="shared" si="78"/>
        <v>173.5</v>
      </c>
      <c r="H333" s="19">
        <f t="shared" si="79"/>
        <v>574.29999999999995</v>
      </c>
      <c r="I333" s="24">
        <f t="shared" si="80"/>
        <v>-69.789308723663595</v>
      </c>
    </row>
    <row r="334" spans="1:9" x14ac:dyDescent="0.25">
      <c r="A334" s="43" t="s">
        <v>76</v>
      </c>
      <c r="B334" s="38">
        <f t="shared" si="81"/>
        <v>41186</v>
      </c>
      <c r="C334">
        <v>28</v>
      </c>
      <c r="D334">
        <v>154.1</v>
      </c>
      <c r="E334">
        <v>161.69999999999999</v>
      </c>
      <c r="F334">
        <v>420.2</v>
      </c>
      <c r="G334" s="19">
        <f t="shared" si="78"/>
        <v>189.7</v>
      </c>
      <c r="H334" s="19">
        <f t="shared" si="79"/>
        <v>574.29999999999995</v>
      </c>
      <c r="I334" s="24">
        <f t="shared" si="80"/>
        <v>-66.968483371060429</v>
      </c>
    </row>
    <row r="335" spans="1:9" x14ac:dyDescent="0.25">
      <c r="A335" s="43" t="s">
        <v>76</v>
      </c>
      <c r="B335" s="38">
        <f t="shared" si="81"/>
        <v>41193</v>
      </c>
      <c r="C335">
        <v>28</v>
      </c>
      <c r="D335">
        <v>133.1</v>
      </c>
      <c r="E335">
        <v>161.69999999999999</v>
      </c>
      <c r="F335">
        <v>447.6</v>
      </c>
      <c r="G335" s="19">
        <f t="shared" si="78"/>
        <v>189.7</v>
      </c>
      <c r="H335" s="19">
        <f t="shared" si="79"/>
        <v>580.70000000000005</v>
      </c>
      <c r="I335" s="24">
        <f t="shared" si="80"/>
        <v>-67.332529705527804</v>
      </c>
    </row>
    <row r="336" spans="1:9" x14ac:dyDescent="0.25">
      <c r="A336" s="43" t="s">
        <v>76</v>
      </c>
      <c r="B336" s="38">
        <f t="shared" si="81"/>
        <v>41200</v>
      </c>
      <c r="C336">
        <v>28</v>
      </c>
      <c r="D336">
        <v>133.1</v>
      </c>
      <c r="E336">
        <v>161.69999999999999</v>
      </c>
      <c r="F336">
        <v>447.6</v>
      </c>
      <c r="G336" s="19">
        <f t="shared" si="78"/>
        <v>189.7</v>
      </c>
      <c r="H336" s="19">
        <f t="shared" si="79"/>
        <v>580.70000000000005</v>
      </c>
      <c r="I336" s="24">
        <f t="shared" si="80"/>
        <v>-67.332529705527804</v>
      </c>
    </row>
    <row r="337" spans="1:9" x14ac:dyDescent="0.25">
      <c r="A337" s="43" t="s">
        <v>76</v>
      </c>
      <c r="B337" s="38">
        <f t="shared" si="81"/>
        <v>41207</v>
      </c>
      <c r="C337">
        <v>28</v>
      </c>
      <c r="D337">
        <v>37.299999999999997</v>
      </c>
      <c r="E337">
        <v>161.69999999999999</v>
      </c>
      <c r="F337">
        <v>507</v>
      </c>
      <c r="G337" s="19">
        <f t="shared" ref="G337:G400" si="82">+C337+E337</f>
        <v>189.7</v>
      </c>
      <c r="H337" s="19">
        <f t="shared" ref="H337:H400" si="83">+D337+F337</f>
        <v>544.29999999999995</v>
      </c>
      <c r="I337" s="24">
        <f t="shared" ref="I337:I400" si="84">+(G337/H337-1)*100</f>
        <v>-65.147896380672421</v>
      </c>
    </row>
    <row r="338" spans="1:9" x14ac:dyDescent="0.25">
      <c r="A338" s="43" t="s">
        <v>76</v>
      </c>
      <c r="B338" s="38">
        <f t="shared" si="81"/>
        <v>41214</v>
      </c>
      <c r="C338">
        <v>26</v>
      </c>
      <c r="D338">
        <v>37.299999999999997</v>
      </c>
      <c r="E338">
        <v>161.69999999999999</v>
      </c>
      <c r="F338">
        <v>507</v>
      </c>
      <c r="G338" s="19">
        <f t="shared" si="82"/>
        <v>187.7</v>
      </c>
      <c r="H338" s="19">
        <f t="shared" si="83"/>
        <v>544.29999999999995</v>
      </c>
      <c r="I338" s="24">
        <f t="shared" si="84"/>
        <v>-65.5153408047033</v>
      </c>
    </row>
    <row r="339" spans="1:9" x14ac:dyDescent="0.25">
      <c r="A339" s="43" t="s">
        <v>76</v>
      </c>
      <c r="B339" s="38">
        <f t="shared" si="81"/>
        <v>41221</v>
      </c>
      <c r="C339">
        <v>26</v>
      </c>
      <c r="D339">
        <v>37</v>
      </c>
      <c r="E339">
        <v>161.69999999999999</v>
      </c>
      <c r="F339">
        <v>507</v>
      </c>
      <c r="G339" s="19">
        <f t="shared" si="82"/>
        <v>187.7</v>
      </c>
      <c r="H339" s="19">
        <f t="shared" si="83"/>
        <v>544</v>
      </c>
      <c r="I339" s="24">
        <f t="shared" si="84"/>
        <v>-65.496323529411768</v>
      </c>
    </row>
    <row r="340" spans="1:9" x14ac:dyDescent="0.25">
      <c r="A340" s="43" t="s">
        <v>76</v>
      </c>
      <c r="B340" s="38">
        <f t="shared" si="81"/>
        <v>41228</v>
      </c>
      <c r="C340">
        <v>27.4</v>
      </c>
      <c r="D340">
        <v>37.299999999999997</v>
      </c>
      <c r="E340">
        <v>161.69999999999999</v>
      </c>
      <c r="F340">
        <v>507</v>
      </c>
      <c r="G340" s="19">
        <f t="shared" si="82"/>
        <v>189.1</v>
      </c>
      <c r="H340" s="19">
        <f t="shared" si="83"/>
        <v>544.29999999999995</v>
      </c>
      <c r="I340" s="24">
        <f t="shared" si="84"/>
        <v>-65.258129707881679</v>
      </c>
    </row>
    <row r="341" spans="1:9" x14ac:dyDescent="0.25">
      <c r="A341" s="43" t="s">
        <v>76</v>
      </c>
      <c r="B341" s="38">
        <f t="shared" si="81"/>
        <v>41235</v>
      </c>
      <c r="C341">
        <v>26</v>
      </c>
      <c r="D341">
        <v>40.700000000000003</v>
      </c>
      <c r="E341">
        <v>161.69999999999999</v>
      </c>
      <c r="F341">
        <v>507</v>
      </c>
      <c r="G341" s="19">
        <f t="shared" si="82"/>
        <v>187.7</v>
      </c>
      <c r="H341" s="19">
        <f t="shared" si="83"/>
        <v>547.70000000000005</v>
      </c>
      <c r="I341" s="24">
        <f t="shared" si="84"/>
        <v>-65.72941391272596</v>
      </c>
    </row>
    <row r="342" spans="1:9" x14ac:dyDescent="0.25">
      <c r="A342" s="43" t="s">
        <v>76</v>
      </c>
      <c r="B342" s="38">
        <f t="shared" si="81"/>
        <v>41242</v>
      </c>
      <c r="C342">
        <v>34.5</v>
      </c>
      <c r="D342">
        <v>43.7</v>
      </c>
      <c r="E342">
        <v>161.69999999999999</v>
      </c>
      <c r="F342">
        <v>507</v>
      </c>
      <c r="G342" s="19">
        <f t="shared" si="82"/>
        <v>196.2</v>
      </c>
      <c r="H342" s="19">
        <f t="shared" si="83"/>
        <v>550.70000000000005</v>
      </c>
      <c r="I342" s="24">
        <f t="shared" si="84"/>
        <v>-64.372616669693116</v>
      </c>
    </row>
    <row r="343" spans="1:9" x14ac:dyDescent="0.25">
      <c r="A343" s="43" t="s">
        <v>76</v>
      </c>
      <c r="B343" s="38">
        <f t="shared" si="81"/>
        <v>41249</v>
      </c>
      <c r="C343">
        <v>31.5</v>
      </c>
      <c r="D343">
        <v>43.7</v>
      </c>
      <c r="E343">
        <v>161.69999999999999</v>
      </c>
      <c r="F343">
        <v>507</v>
      </c>
      <c r="G343" s="19">
        <f t="shared" si="82"/>
        <v>193.2</v>
      </c>
      <c r="H343" s="19">
        <f t="shared" si="83"/>
        <v>550.70000000000005</v>
      </c>
      <c r="I343" s="24">
        <f t="shared" si="84"/>
        <v>-64.917377882694765</v>
      </c>
    </row>
    <row r="344" spans="1:9" x14ac:dyDescent="0.25">
      <c r="A344" s="43" t="s">
        <v>76</v>
      </c>
      <c r="B344" s="38">
        <f t="shared" si="81"/>
        <v>41256</v>
      </c>
      <c r="C344">
        <v>31.5</v>
      </c>
      <c r="D344">
        <v>44</v>
      </c>
      <c r="E344">
        <v>161.69999999999999</v>
      </c>
      <c r="F344">
        <v>507</v>
      </c>
      <c r="G344" s="19">
        <f t="shared" si="82"/>
        <v>193.2</v>
      </c>
      <c r="H344" s="19">
        <f t="shared" si="83"/>
        <v>551</v>
      </c>
      <c r="I344" s="24">
        <f t="shared" si="84"/>
        <v>-64.936479128856632</v>
      </c>
    </row>
    <row r="345" spans="1:9" x14ac:dyDescent="0.25">
      <c r="A345" s="43" t="s">
        <v>76</v>
      </c>
      <c r="B345" s="38">
        <f t="shared" si="81"/>
        <v>41263</v>
      </c>
      <c r="C345">
        <v>34</v>
      </c>
      <c r="D345">
        <v>55.6</v>
      </c>
      <c r="E345">
        <v>161.69999999999999</v>
      </c>
      <c r="F345">
        <v>507</v>
      </c>
      <c r="G345" s="19">
        <f t="shared" si="82"/>
        <v>195.7</v>
      </c>
      <c r="H345" s="19">
        <f t="shared" si="83"/>
        <v>562.6</v>
      </c>
      <c r="I345" s="24">
        <f t="shared" si="84"/>
        <v>-65.215072875933174</v>
      </c>
    </row>
    <row r="346" spans="1:9" x14ac:dyDescent="0.25">
      <c r="A346" s="43" t="s">
        <v>76</v>
      </c>
      <c r="B346" s="38">
        <f t="shared" si="81"/>
        <v>41270</v>
      </c>
      <c r="C346">
        <v>34</v>
      </c>
      <c r="D346">
        <v>55.6</v>
      </c>
      <c r="E346">
        <v>161.69999999999999</v>
      </c>
      <c r="F346">
        <v>507</v>
      </c>
      <c r="G346" s="19">
        <f t="shared" si="82"/>
        <v>195.7</v>
      </c>
      <c r="H346" s="19">
        <f t="shared" si="83"/>
        <v>562.6</v>
      </c>
      <c r="I346" s="24">
        <f t="shared" si="84"/>
        <v>-65.215072875933174</v>
      </c>
    </row>
    <row r="347" spans="1:9" x14ac:dyDescent="0.25">
      <c r="A347" s="43" t="s">
        <v>76</v>
      </c>
      <c r="B347" s="38">
        <f t="shared" si="81"/>
        <v>41277</v>
      </c>
      <c r="C347">
        <v>59</v>
      </c>
      <c r="D347">
        <v>55.6</v>
      </c>
      <c r="E347">
        <v>161.69999999999999</v>
      </c>
      <c r="F347">
        <v>507</v>
      </c>
      <c r="G347" s="19">
        <f t="shared" si="82"/>
        <v>220.7</v>
      </c>
      <c r="H347" s="19">
        <f t="shared" si="83"/>
        <v>562.6</v>
      </c>
      <c r="I347" s="24">
        <f t="shared" si="84"/>
        <v>-60.771418414504083</v>
      </c>
    </row>
    <row r="348" spans="1:9" x14ac:dyDescent="0.25">
      <c r="A348" s="43" t="s">
        <v>76</v>
      </c>
      <c r="B348" s="38">
        <f t="shared" si="81"/>
        <v>41284</v>
      </c>
      <c r="C348">
        <v>59</v>
      </c>
      <c r="D348">
        <v>55.6</v>
      </c>
      <c r="E348">
        <v>161.69999999999999</v>
      </c>
      <c r="F348">
        <v>507</v>
      </c>
      <c r="G348" s="19">
        <f t="shared" si="82"/>
        <v>220.7</v>
      </c>
      <c r="H348" s="19">
        <f t="shared" si="83"/>
        <v>562.6</v>
      </c>
      <c r="I348" s="24">
        <f t="shared" si="84"/>
        <v>-60.771418414504083</v>
      </c>
    </row>
    <row r="349" spans="1:9" x14ac:dyDescent="0.25">
      <c r="A349" s="43" t="s">
        <v>76</v>
      </c>
      <c r="B349" s="38">
        <f t="shared" si="81"/>
        <v>41291</v>
      </c>
      <c r="C349">
        <v>129</v>
      </c>
      <c r="D349">
        <v>17.3</v>
      </c>
      <c r="E349">
        <v>161.69999999999999</v>
      </c>
      <c r="F349">
        <v>534.1</v>
      </c>
      <c r="G349" s="19">
        <f t="shared" si="82"/>
        <v>290.7</v>
      </c>
      <c r="H349" s="19">
        <f t="shared" si="83"/>
        <v>551.4</v>
      </c>
      <c r="I349" s="24">
        <f t="shared" si="84"/>
        <v>-47.279651795429814</v>
      </c>
    </row>
    <row r="350" spans="1:9" x14ac:dyDescent="0.25">
      <c r="A350" s="43" t="s">
        <v>76</v>
      </c>
      <c r="B350" s="38">
        <f t="shared" si="81"/>
        <v>41298</v>
      </c>
      <c r="C350">
        <v>135.30000000000001</v>
      </c>
      <c r="D350">
        <v>21.3</v>
      </c>
      <c r="E350">
        <v>216.8</v>
      </c>
      <c r="F350">
        <v>534.1</v>
      </c>
      <c r="G350" s="19">
        <f t="shared" si="82"/>
        <v>352.1</v>
      </c>
      <c r="H350" s="19">
        <f t="shared" si="83"/>
        <v>555.4</v>
      </c>
      <c r="I350" s="24">
        <f t="shared" si="84"/>
        <v>-36.604249189773128</v>
      </c>
    </row>
    <row r="351" spans="1:9" x14ac:dyDescent="0.25">
      <c r="A351" s="43" t="s">
        <v>76</v>
      </c>
      <c r="B351" s="38">
        <f t="shared" si="81"/>
        <v>41305</v>
      </c>
      <c r="C351">
        <v>135.30000000000001</v>
      </c>
      <c r="D351">
        <v>25.3</v>
      </c>
      <c r="E351">
        <v>216.8</v>
      </c>
      <c r="F351">
        <v>534.1</v>
      </c>
      <c r="G351" s="19">
        <f t="shared" si="82"/>
        <v>352.1</v>
      </c>
      <c r="H351" s="19">
        <f t="shared" si="83"/>
        <v>559.4</v>
      </c>
      <c r="I351" s="24">
        <f t="shared" si="84"/>
        <v>-37.057561673221308</v>
      </c>
    </row>
    <row r="352" spans="1:9" x14ac:dyDescent="0.25">
      <c r="A352" s="43" t="s">
        <v>76</v>
      </c>
      <c r="B352" s="38">
        <f t="shared" si="81"/>
        <v>41312</v>
      </c>
      <c r="C352">
        <v>209.7</v>
      </c>
      <c r="D352">
        <v>32</v>
      </c>
      <c r="E352">
        <v>216.8</v>
      </c>
      <c r="F352">
        <v>534.1</v>
      </c>
      <c r="G352" s="19">
        <f t="shared" si="82"/>
        <v>426.5</v>
      </c>
      <c r="H352" s="19">
        <f t="shared" si="83"/>
        <v>566.1</v>
      </c>
      <c r="I352" s="24">
        <f t="shared" si="84"/>
        <v>-24.659954071718783</v>
      </c>
    </row>
    <row r="353" spans="1:10" x14ac:dyDescent="0.25">
      <c r="A353" s="43" t="s">
        <v>76</v>
      </c>
      <c r="B353" s="38">
        <f t="shared" si="81"/>
        <v>41319</v>
      </c>
      <c r="C353">
        <v>205.3</v>
      </c>
      <c r="D353">
        <v>32</v>
      </c>
      <c r="E353">
        <v>216.8</v>
      </c>
      <c r="F353">
        <v>534.1</v>
      </c>
      <c r="G353" s="19">
        <f t="shared" si="82"/>
        <v>422.1</v>
      </c>
      <c r="H353" s="19">
        <f t="shared" si="83"/>
        <v>566.1</v>
      </c>
      <c r="I353" s="24">
        <f t="shared" si="84"/>
        <v>-25.43720190779014</v>
      </c>
    </row>
    <row r="354" spans="1:10" x14ac:dyDescent="0.25">
      <c r="A354" s="43" t="s">
        <v>76</v>
      </c>
      <c r="B354" s="38">
        <f t="shared" si="81"/>
        <v>41326</v>
      </c>
      <c r="C354">
        <v>173.8</v>
      </c>
      <c r="D354">
        <v>32</v>
      </c>
      <c r="E354">
        <v>252.4</v>
      </c>
      <c r="F354">
        <v>534.1</v>
      </c>
      <c r="G354" s="19">
        <f t="shared" si="82"/>
        <v>426.20000000000005</v>
      </c>
      <c r="H354" s="19">
        <f t="shared" si="83"/>
        <v>566.1</v>
      </c>
      <c r="I354" s="24">
        <f t="shared" si="84"/>
        <v>-24.71294824236</v>
      </c>
    </row>
    <row r="355" spans="1:10" x14ac:dyDescent="0.25">
      <c r="A355" s="43" t="s">
        <v>76</v>
      </c>
      <c r="B355" s="38">
        <f t="shared" si="81"/>
        <v>41333</v>
      </c>
      <c r="C355">
        <v>138</v>
      </c>
      <c r="D355">
        <v>32.5</v>
      </c>
      <c r="E355">
        <v>305.5</v>
      </c>
      <c r="F355">
        <v>538.1</v>
      </c>
      <c r="G355" s="19">
        <f t="shared" si="82"/>
        <v>443.5</v>
      </c>
      <c r="H355" s="19">
        <f t="shared" si="83"/>
        <v>570.6</v>
      </c>
      <c r="I355" s="24">
        <f t="shared" si="84"/>
        <v>-22.274798457763755</v>
      </c>
    </row>
    <row r="356" spans="1:10" x14ac:dyDescent="0.25">
      <c r="A356" s="43" t="s">
        <v>76</v>
      </c>
      <c r="B356" s="38">
        <f t="shared" si="81"/>
        <v>41340</v>
      </c>
      <c r="C356">
        <v>162.5</v>
      </c>
      <c r="D356">
        <v>32.5</v>
      </c>
      <c r="E356">
        <v>305.5</v>
      </c>
      <c r="F356">
        <v>538.1</v>
      </c>
      <c r="G356" s="19">
        <f t="shared" si="82"/>
        <v>468</v>
      </c>
      <c r="H356" s="19">
        <f t="shared" si="83"/>
        <v>570.6</v>
      </c>
      <c r="I356" s="24">
        <f t="shared" si="84"/>
        <v>-17.981072555205046</v>
      </c>
    </row>
    <row r="357" spans="1:10" x14ac:dyDescent="0.25">
      <c r="A357" s="43" t="s">
        <v>76</v>
      </c>
      <c r="B357" s="38">
        <f t="shared" si="81"/>
        <v>41347</v>
      </c>
      <c r="C357">
        <v>127.5</v>
      </c>
      <c r="D357">
        <v>32.5</v>
      </c>
      <c r="E357">
        <v>344</v>
      </c>
      <c r="F357">
        <v>538.1</v>
      </c>
      <c r="G357" s="19">
        <f t="shared" si="82"/>
        <v>471.5</v>
      </c>
      <c r="H357" s="19">
        <f t="shared" si="83"/>
        <v>570.6</v>
      </c>
      <c r="I357" s="24">
        <f t="shared" si="84"/>
        <v>-17.367683140553801</v>
      </c>
    </row>
    <row r="358" spans="1:10" x14ac:dyDescent="0.25">
      <c r="A358" s="43" t="s">
        <v>76</v>
      </c>
      <c r="B358" s="38">
        <f t="shared" si="81"/>
        <v>41354</v>
      </c>
      <c r="C358">
        <v>183.3</v>
      </c>
      <c r="D358">
        <v>33</v>
      </c>
      <c r="E358">
        <v>344</v>
      </c>
      <c r="F358">
        <v>538.1</v>
      </c>
      <c r="G358" s="19">
        <f t="shared" si="82"/>
        <v>527.29999999999995</v>
      </c>
      <c r="H358" s="19">
        <f t="shared" si="83"/>
        <v>571.1</v>
      </c>
      <c r="I358" s="24">
        <f t="shared" si="84"/>
        <v>-7.6694099106986657</v>
      </c>
    </row>
    <row r="359" spans="1:10" x14ac:dyDescent="0.25">
      <c r="A359" s="43" t="s">
        <v>76</v>
      </c>
      <c r="B359" s="38">
        <f t="shared" si="81"/>
        <v>41361</v>
      </c>
      <c r="C359">
        <v>183.3</v>
      </c>
      <c r="D359">
        <v>3</v>
      </c>
      <c r="E359">
        <v>344</v>
      </c>
      <c r="F359">
        <v>538.1</v>
      </c>
      <c r="G359" s="19">
        <f t="shared" si="82"/>
        <v>527.29999999999995</v>
      </c>
      <c r="H359" s="19">
        <f t="shared" si="83"/>
        <v>541.1</v>
      </c>
      <c r="I359" s="24">
        <f t="shared" si="84"/>
        <v>-2.5503603770098082</v>
      </c>
      <c r="J359">
        <v>12</v>
      </c>
    </row>
    <row r="360" spans="1:10" x14ac:dyDescent="0.25">
      <c r="A360" s="43" t="s">
        <v>76</v>
      </c>
      <c r="B360" s="38">
        <f t="shared" si="81"/>
        <v>41368</v>
      </c>
      <c r="C360">
        <v>148.30000000000001</v>
      </c>
      <c r="D360">
        <v>3.3</v>
      </c>
      <c r="E360">
        <v>382.5</v>
      </c>
      <c r="F360">
        <v>538.1</v>
      </c>
      <c r="G360" s="19">
        <f t="shared" si="82"/>
        <v>530.79999999999995</v>
      </c>
      <c r="H360" s="19">
        <f t="shared" si="83"/>
        <v>541.4</v>
      </c>
      <c r="I360" s="24">
        <f t="shared" si="84"/>
        <v>-1.9578869597340232</v>
      </c>
      <c r="J360">
        <v>12</v>
      </c>
    </row>
    <row r="361" spans="1:10" x14ac:dyDescent="0.25">
      <c r="A361" s="43" t="s">
        <v>76</v>
      </c>
      <c r="B361" s="38">
        <f t="shared" si="81"/>
        <v>41375</v>
      </c>
      <c r="C361">
        <v>148.30000000000001</v>
      </c>
      <c r="D361">
        <v>16.3</v>
      </c>
      <c r="E361">
        <v>382.5</v>
      </c>
      <c r="F361">
        <v>538.1</v>
      </c>
      <c r="G361" s="19">
        <f t="shared" si="82"/>
        <v>530.79999999999995</v>
      </c>
      <c r="H361" s="19">
        <f t="shared" si="83"/>
        <v>554.4</v>
      </c>
      <c r="I361" s="24">
        <f t="shared" si="84"/>
        <v>-4.2568542568542593</v>
      </c>
      <c r="J361">
        <v>12</v>
      </c>
    </row>
    <row r="362" spans="1:10" x14ac:dyDescent="0.25">
      <c r="A362" s="43" t="s">
        <v>76</v>
      </c>
      <c r="B362" s="38">
        <f t="shared" si="81"/>
        <v>41382</v>
      </c>
      <c r="C362">
        <v>148.30000000000001</v>
      </c>
      <c r="D362">
        <v>16.3</v>
      </c>
      <c r="E362">
        <v>382.5</v>
      </c>
      <c r="F362">
        <v>538.1</v>
      </c>
      <c r="G362" s="19">
        <f t="shared" si="82"/>
        <v>530.79999999999995</v>
      </c>
      <c r="H362" s="19">
        <f t="shared" si="83"/>
        <v>554.4</v>
      </c>
      <c r="I362" s="24">
        <f t="shared" si="84"/>
        <v>-4.2568542568542593</v>
      </c>
      <c r="J362">
        <v>12</v>
      </c>
    </row>
    <row r="363" spans="1:10" x14ac:dyDescent="0.25">
      <c r="A363" s="43" t="s">
        <v>76</v>
      </c>
      <c r="B363" s="38">
        <f t="shared" si="81"/>
        <v>41389</v>
      </c>
      <c r="C363">
        <v>163.30000000000001</v>
      </c>
      <c r="D363">
        <v>16.3</v>
      </c>
      <c r="E363">
        <v>382.5</v>
      </c>
      <c r="F363">
        <v>538.1</v>
      </c>
      <c r="G363" s="19">
        <f t="shared" si="82"/>
        <v>545.79999999999995</v>
      </c>
      <c r="H363" s="19">
        <f t="shared" si="83"/>
        <v>554.4</v>
      </c>
      <c r="I363" s="24">
        <f t="shared" si="84"/>
        <v>-1.5512265512265588</v>
      </c>
      <c r="J363">
        <v>12</v>
      </c>
    </row>
    <row r="364" spans="1:10" x14ac:dyDescent="0.25">
      <c r="A364" s="43" t="s">
        <v>76</v>
      </c>
      <c r="B364" s="38">
        <f t="shared" si="81"/>
        <v>41396</v>
      </c>
      <c r="C364">
        <v>133.69999999999999</v>
      </c>
      <c r="D364">
        <v>16.3</v>
      </c>
      <c r="E364">
        <v>411.4</v>
      </c>
      <c r="F364">
        <v>538.1</v>
      </c>
      <c r="G364" s="19">
        <f t="shared" si="82"/>
        <v>545.09999999999991</v>
      </c>
      <c r="H364" s="19">
        <f t="shared" si="83"/>
        <v>554.4</v>
      </c>
      <c r="I364" s="24">
        <f t="shared" si="84"/>
        <v>-1.6774891774891887</v>
      </c>
      <c r="J364">
        <v>12</v>
      </c>
    </row>
    <row r="365" spans="1:10" x14ac:dyDescent="0.25">
      <c r="A365" s="43" t="s">
        <v>76</v>
      </c>
      <c r="B365" s="38">
        <f t="shared" si="81"/>
        <v>41403</v>
      </c>
      <c r="C365">
        <v>138.69999999999999</v>
      </c>
      <c r="D365">
        <v>-13</v>
      </c>
      <c r="E365">
        <v>441.4</v>
      </c>
      <c r="F365">
        <v>564.79999999999995</v>
      </c>
      <c r="G365" s="19">
        <f t="shared" si="82"/>
        <v>580.09999999999991</v>
      </c>
      <c r="H365" s="19">
        <f t="shared" si="83"/>
        <v>551.79999999999995</v>
      </c>
      <c r="I365" s="24">
        <f t="shared" si="84"/>
        <v>5.1286698079014092</v>
      </c>
      <c r="J365">
        <v>12</v>
      </c>
    </row>
    <row r="366" spans="1:10" x14ac:dyDescent="0.25">
      <c r="A366" s="43" t="s">
        <v>76</v>
      </c>
      <c r="B366" s="38">
        <f t="shared" si="81"/>
        <v>41410</v>
      </c>
      <c r="C366">
        <v>138.69999999999999</v>
      </c>
      <c r="D366">
        <v>-13</v>
      </c>
      <c r="E366">
        <v>441.4</v>
      </c>
      <c r="F366">
        <v>564.79999999999995</v>
      </c>
      <c r="G366" s="19">
        <f t="shared" si="82"/>
        <v>580.09999999999991</v>
      </c>
      <c r="H366" s="19">
        <f t="shared" si="83"/>
        <v>551.79999999999995</v>
      </c>
      <c r="I366" s="24">
        <f t="shared" si="84"/>
        <v>5.1286698079014092</v>
      </c>
      <c r="J366">
        <v>70</v>
      </c>
    </row>
    <row r="367" spans="1:10" x14ac:dyDescent="0.25">
      <c r="A367" s="43" t="s">
        <v>76</v>
      </c>
      <c r="B367" s="38">
        <f t="shared" si="81"/>
        <v>41417</v>
      </c>
      <c r="C367">
        <v>73</v>
      </c>
      <c r="D367">
        <v>-13</v>
      </c>
      <c r="E367">
        <v>520.6</v>
      </c>
      <c r="F367">
        <v>564.79999999999995</v>
      </c>
      <c r="G367" s="19">
        <f t="shared" si="82"/>
        <v>593.6</v>
      </c>
      <c r="H367" s="19">
        <f t="shared" si="83"/>
        <v>551.79999999999995</v>
      </c>
      <c r="I367" s="24">
        <f t="shared" si="84"/>
        <v>7.5752084088438032</v>
      </c>
      <c r="J367">
        <v>75</v>
      </c>
    </row>
    <row r="368" spans="1:10" x14ac:dyDescent="0.25">
      <c r="A368" s="43" t="s">
        <v>76</v>
      </c>
      <c r="B368" s="38">
        <f t="shared" si="81"/>
        <v>41424</v>
      </c>
      <c r="C368">
        <v>39</v>
      </c>
      <c r="D368">
        <v>-13</v>
      </c>
      <c r="E368">
        <v>553.6</v>
      </c>
      <c r="F368">
        <v>564.79999999999995</v>
      </c>
      <c r="G368" s="19">
        <f t="shared" si="82"/>
        <v>592.6</v>
      </c>
      <c r="H368" s="19">
        <f t="shared" si="83"/>
        <v>551.79999999999995</v>
      </c>
      <c r="I368" s="24">
        <f t="shared" si="84"/>
        <v>7.3939833272925082</v>
      </c>
      <c r="J368">
        <v>92.5</v>
      </c>
    </row>
    <row r="369" spans="1:9" x14ac:dyDescent="0.25">
      <c r="A369" s="43" t="s">
        <v>76</v>
      </c>
      <c r="B369" s="38">
        <f t="shared" si="81"/>
        <v>41431</v>
      </c>
      <c r="C369">
        <v>141.5</v>
      </c>
      <c r="D369">
        <v>-11</v>
      </c>
      <c r="E369">
        <v>0</v>
      </c>
      <c r="F369">
        <v>0</v>
      </c>
      <c r="G369" s="19">
        <f t="shared" si="82"/>
        <v>141.5</v>
      </c>
      <c r="H369" s="19">
        <f t="shared" si="83"/>
        <v>-11</v>
      </c>
      <c r="I369" s="24">
        <f t="shared" si="84"/>
        <v>-1386.3636363636363</v>
      </c>
    </row>
    <row r="370" spans="1:9" x14ac:dyDescent="0.25">
      <c r="A370" s="43" t="s">
        <v>76</v>
      </c>
      <c r="B370" s="38">
        <f t="shared" si="81"/>
        <v>41438</v>
      </c>
      <c r="C370">
        <v>98.5</v>
      </c>
      <c r="D370">
        <v>7</v>
      </c>
      <c r="E370">
        <v>0</v>
      </c>
      <c r="F370">
        <v>0</v>
      </c>
      <c r="G370" s="19">
        <f t="shared" si="82"/>
        <v>98.5</v>
      </c>
      <c r="H370" s="19">
        <f t="shared" si="83"/>
        <v>7</v>
      </c>
      <c r="I370" s="24">
        <f t="shared" si="84"/>
        <v>1307.1428571428571</v>
      </c>
    </row>
    <row r="371" spans="1:9" x14ac:dyDescent="0.25">
      <c r="A371" s="43" t="s">
        <v>76</v>
      </c>
      <c r="B371" s="38">
        <f t="shared" si="81"/>
        <v>41445</v>
      </c>
      <c r="C371">
        <v>197.5</v>
      </c>
      <c r="D371">
        <v>33</v>
      </c>
      <c r="E371">
        <v>0</v>
      </c>
      <c r="F371">
        <v>0</v>
      </c>
      <c r="G371" s="19">
        <f t="shared" si="82"/>
        <v>197.5</v>
      </c>
      <c r="H371" s="19">
        <f t="shared" si="83"/>
        <v>33</v>
      </c>
      <c r="I371" s="24">
        <f t="shared" si="84"/>
        <v>498.48484848484844</v>
      </c>
    </row>
    <row r="372" spans="1:9" x14ac:dyDescent="0.25">
      <c r="A372" s="43" t="s">
        <v>76</v>
      </c>
      <c r="B372" s="38">
        <f t="shared" si="81"/>
        <v>41452</v>
      </c>
      <c r="C372">
        <v>194.1</v>
      </c>
      <c r="D372">
        <v>30.5</v>
      </c>
      <c r="E372">
        <v>12.1</v>
      </c>
      <c r="F372">
        <v>0</v>
      </c>
      <c r="G372" s="19">
        <f t="shared" si="82"/>
        <v>206.2</v>
      </c>
      <c r="H372" s="19">
        <f t="shared" si="83"/>
        <v>30.5</v>
      </c>
      <c r="I372" s="24">
        <f t="shared" si="84"/>
        <v>576.06557377049171</v>
      </c>
    </row>
    <row r="373" spans="1:9" x14ac:dyDescent="0.25">
      <c r="A373" s="43" t="s">
        <v>76</v>
      </c>
      <c r="B373" s="38">
        <f t="shared" si="81"/>
        <v>41459</v>
      </c>
      <c r="C373">
        <v>223.1</v>
      </c>
      <c r="D373">
        <v>30.5</v>
      </c>
      <c r="E373">
        <v>39.6</v>
      </c>
      <c r="F373">
        <v>0</v>
      </c>
      <c r="G373" s="19">
        <f t="shared" si="82"/>
        <v>262.7</v>
      </c>
      <c r="H373" s="19">
        <f t="shared" si="83"/>
        <v>30.5</v>
      </c>
      <c r="I373" s="24">
        <f t="shared" si="84"/>
        <v>761.31147540983602</v>
      </c>
    </row>
    <row r="374" spans="1:9" x14ac:dyDescent="0.25">
      <c r="A374" s="43" t="s">
        <v>76</v>
      </c>
      <c r="B374" s="38">
        <f t="shared" si="81"/>
        <v>41466</v>
      </c>
      <c r="C374">
        <v>141.6</v>
      </c>
      <c r="D374">
        <v>35</v>
      </c>
      <c r="E374">
        <v>129.69999999999999</v>
      </c>
      <c r="F374">
        <v>0</v>
      </c>
      <c r="G374" s="19">
        <f t="shared" si="82"/>
        <v>271.29999999999995</v>
      </c>
      <c r="H374" s="19">
        <f t="shared" si="83"/>
        <v>35</v>
      </c>
      <c r="I374" s="24">
        <f t="shared" si="84"/>
        <v>675.142857142857</v>
      </c>
    </row>
    <row r="375" spans="1:9" x14ac:dyDescent="0.25">
      <c r="A375" s="43" t="s">
        <v>76</v>
      </c>
      <c r="B375" s="38">
        <f t="shared" si="81"/>
        <v>41473</v>
      </c>
      <c r="C375">
        <v>145</v>
      </c>
      <c r="D375">
        <v>22</v>
      </c>
      <c r="E375">
        <v>129.69999999999999</v>
      </c>
      <c r="F375">
        <v>26.4</v>
      </c>
      <c r="G375" s="19">
        <f t="shared" si="82"/>
        <v>274.7</v>
      </c>
      <c r="H375" s="19">
        <f t="shared" si="83"/>
        <v>48.4</v>
      </c>
      <c r="I375" s="24">
        <f t="shared" si="84"/>
        <v>467.56198347107431</v>
      </c>
    </row>
    <row r="376" spans="1:9" x14ac:dyDescent="0.25">
      <c r="A376" s="43" t="s">
        <v>76</v>
      </c>
      <c r="B376" s="38">
        <f t="shared" si="81"/>
        <v>41480</v>
      </c>
      <c r="C376">
        <v>179</v>
      </c>
      <c r="D376">
        <v>74</v>
      </c>
      <c r="E376">
        <v>137.30000000000001</v>
      </c>
      <c r="F376">
        <v>54.9</v>
      </c>
      <c r="G376" s="19">
        <f t="shared" si="82"/>
        <v>316.3</v>
      </c>
      <c r="H376" s="19">
        <f t="shared" si="83"/>
        <v>128.9</v>
      </c>
      <c r="I376" s="24">
        <f t="shared" si="84"/>
        <v>145.38401861908454</v>
      </c>
    </row>
    <row r="377" spans="1:9" x14ac:dyDescent="0.25">
      <c r="A377" s="43" t="s">
        <v>76</v>
      </c>
      <c r="B377" s="38">
        <f t="shared" si="81"/>
        <v>41487</v>
      </c>
      <c r="C377">
        <v>179</v>
      </c>
      <c r="D377">
        <v>66</v>
      </c>
      <c r="E377">
        <v>137.30000000000001</v>
      </c>
      <c r="F377">
        <v>54.9</v>
      </c>
      <c r="G377" s="19">
        <f t="shared" si="82"/>
        <v>316.3</v>
      </c>
      <c r="H377" s="19">
        <f t="shared" si="83"/>
        <v>120.9</v>
      </c>
      <c r="I377" s="24">
        <f t="shared" si="84"/>
        <v>161.62117452440032</v>
      </c>
    </row>
    <row r="378" spans="1:9" x14ac:dyDescent="0.25">
      <c r="A378" s="43" t="s">
        <v>76</v>
      </c>
      <c r="B378" s="38">
        <f t="shared" si="81"/>
        <v>41494</v>
      </c>
      <c r="G378" s="19">
        <f t="shared" si="82"/>
        <v>0</v>
      </c>
      <c r="H378" s="19">
        <f t="shared" si="83"/>
        <v>0</v>
      </c>
      <c r="I378" s="24" t="e">
        <f t="shared" si="84"/>
        <v>#DIV/0!</v>
      </c>
    </row>
    <row r="379" spans="1:9" x14ac:dyDescent="0.25">
      <c r="A379" s="43" t="s">
        <v>76</v>
      </c>
      <c r="B379" s="38">
        <f t="shared" ref="B379:B442" si="85">+B378+7</f>
        <v>41501</v>
      </c>
      <c r="C379">
        <v>179</v>
      </c>
      <c r="D379">
        <v>82</v>
      </c>
      <c r="E379">
        <v>137.30000000000001</v>
      </c>
      <c r="F379">
        <v>54.9</v>
      </c>
      <c r="G379" s="19">
        <f t="shared" si="82"/>
        <v>316.3</v>
      </c>
      <c r="H379" s="19">
        <f t="shared" si="83"/>
        <v>136.9</v>
      </c>
      <c r="I379" s="24">
        <f t="shared" si="84"/>
        <v>131.0445580715851</v>
      </c>
    </row>
    <row r="380" spans="1:9" x14ac:dyDescent="0.25">
      <c r="A380" s="43" t="s">
        <v>76</v>
      </c>
      <c r="B380" s="38">
        <f t="shared" si="85"/>
        <v>41508</v>
      </c>
      <c r="C380">
        <v>114</v>
      </c>
      <c r="D380">
        <v>47</v>
      </c>
      <c r="E380">
        <v>240.8</v>
      </c>
      <c r="F380">
        <v>92.9</v>
      </c>
      <c r="G380" s="19">
        <f t="shared" si="82"/>
        <v>354.8</v>
      </c>
      <c r="H380" s="19">
        <f t="shared" si="83"/>
        <v>139.9</v>
      </c>
      <c r="I380" s="24">
        <f t="shared" si="84"/>
        <v>153.6097212294496</v>
      </c>
    </row>
    <row r="381" spans="1:9" x14ac:dyDescent="0.25">
      <c r="A381" s="43" t="s">
        <v>76</v>
      </c>
      <c r="B381" s="38">
        <f t="shared" si="85"/>
        <v>41515</v>
      </c>
      <c r="C381">
        <v>58</v>
      </c>
      <c r="D381">
        <v>44.4</v>
      </c>
      <c r="E381">
        <v>302.10000000000002</v>
      </c>
      <c r="F381">
        <v>119.2</v>
      </c>
      <c r="G381" s="19">
        <f t="shared" si="82"/>
        <v>360.1</v>
      </c>
      <c r="H381" s="19">
        <f t="shared" si="83"/>
        <v>163.6</v>
      </c>
      <c r="I381" s="24">
        <f t="shared" si="84"/>
        <v>120.11002444987776</v>
      </c>
    </row>
    <row r="382" spans="1:9" x14ac:dyDescent="0.25">
      <c r="A382" s="43" t="s">
        <v>76</v>
      </c>
      <c r="B382" s="38">
        <f t="shared" si="85"/>
        <v>41522</v>
      </c>
      <c r="C382">
        <v>58</v>
      </c>
      <c r="D382">
        <v>43.3</v>
      </c>
      <c r="E382">
        <v>302.10000000000002</v>
      </c>
      <c r="F382">
        <v>119.2</v>
      </c>
      <c r="G382" s="19">
        <f t="shared" si="82"/>
        <v>360.1</v>
      </c>
      <c r="H382" s="19">
        <f t="shared" si="83"/>
        <v>162.5</v>
      </c>
      <c r="I382" s="24">
        <f t="shared" si="84"/>
        <v>121.60000000000002</v>
      </c>
    </row>
    <row r="383" spans="1:9" x14ac:dyDescent="0.25">
      <c r="A383" s="43" t="s">
        <v>76</v>
      </c>
      <c r="B383" s="38">
        <f t="shared" si="85"/>
        <v>41529</v>
      </c>
      <c r="C383">
        <v>37.5</v>
      </c>
      <c r="D383">
        <v>41.3</v>
      </c>
      <c r="E383">
        <v>330.1</v>
      </c>
      <c r="F383">
        <v>129.19999999999999</v>
      </c>
      <c r="G383" s="19">
        <f t="shared" si="82"/>
        <v>367.6</v>
      </c>
      <c r="H383" s="19">
        <f t="shared" si="83"/>
        <v>170.5</v>
      </c>
      <c r="I383" s="24">
        <f t="shared" si="84"/>
        <v>115.60117302052788</v>
      </c>
    </row>
    <row r="384" spans="1:9" x14ac:dyDescent="0.25">
      <c r="A384" s="43" t="s">
        <v>76</v>
      </c>
      <c r="B384" s="38">
        <f t="shared" si="85"/>
        <v>41536</v>
      </c>
      <c r="C384">
        <v>1.5</v>
      </c>
      <c r="D384">
        <v>51.3</v>
      </c>
      <c r="E384">
        <v>365.7</v>
      </c>
      <c r="F384">
        <v>129.19999999999999</v>
      </c>
      <c r="G384" s="19">
        <f t="shared" si="82"/>
        <v>367.2</v>
      </c>
      <c r="H384" s="19">
        <f t="shared" si="83"/>
        <v>180.5</v>
      </c>
      <c r="I384" s="24">
        <f t="shared" si="84"/>
        <v>103.4349030470914</v>
      </c>
    </row>
    <row r="385" spans="1:13" ht="15" x14ac:dyDescent="0.25">
      <c r="A385" s="43" t="s">
        <v>76</v>
      </c>
      <c r="B385" s="38">
        <f t="shared" si="85"/>
        <v>41543</v>
      </c>
      <c r="C385">
        <v>1.5</v>
      </c>
      <c r="D385">
        <v>44.3</v>
      </c>
      <c r="E385">
        <v>365.7</v>
      </c>
      <c r="F385">
        <v>129.30000000000001</v>
      </c>
      <c r="G385" s="19">
        <f t="shared" si="82"/>
        <v>367.2</v>
      </c>
      <c r="H385" s="19">
        <f t="shared" si="83"/>
        <v>173.60000000000002</v>
      </c>
      <c r="I385" s="24">
        <f t="shared" si="84"/>
        <v>111.52073732718893</v>
      </c>
      <c r="M385" s="75"/>
    </row>
    <row r="386" spans="1:13" x14ac:dyDescent="0.25">
      <c r="A386" s="43" t="s">
        <v>76</v>
      </c>
      <c r="B386" s="38">
        <f t="shared" si="85"/>
        <v>41550</v>
      </c>
      <c r="C386">
        <v>8.5</v>
      </c>
      <c r="D386">
        <v>28</v>
      </c>
      <c r="E386">
        <v>365.7</v>
      </c>
      <c r="F386">
        <v>161.69999999999999</v>
      </c>
      <c r="G386" s="19">
        <f t="shared" si="82"/>
        <v>374.2</v>
      </c>
      <c r="H386" s="19">
        <f t="shared" si="83"/>
        <v>189.7</v>
      </c>
      <c r="I386" s="24">
        <f t="shared" si="84"/>
        <v>97.258829731154449</v>
      </c>
    </row>
    <row r="387" spans="1:13" x14ac:dyDescent="0.25">
      <c r="A387" s="43" t="s">
        <v>76</v>
      </c>
      <c r="B387" s="38">
        <f t="shared" si="85"/>
        <v>41557</v>
      </c>
      <c r="G387" s="19">
        <f t="shared" si="82"/>
        <v>0</v>
      </c>
      <c r="H387" s="19">
        <f t="shared" si="83"/>
        <v>0</v>
      </c>
      <c r="I387" s="24" t="e">
        <f t="shared" si="84"/>
        <v>#DIV/0!</v>
      </c>
    </row>
    <row r="388" spans="1:13" x14ac:dyDescent="0.25">
      <c r="A388" s="43" t="s">
        <v>76</v>
      </c>
      <c r="B388" s="38">
        <f t="shared" si="85"/>
        <v>41564</v>
      </c>
      <c r="G388" s="19">
        <f t="shared" si="82"/>
        <v>0</v>
      </c>
      <c r="H388" s="19">
        <f t="shared" si="83"/>
        <v>0</v>
      </c>
      <c r="I388" s="24" t="e">
        <f t="shared" si="84"/>
        <v>#DIV/0!</v>
      </c>
    </row>
    <row r="389" spans="1:13" x14ac:dyDescent="0.25">
      <c r="A389" s="43" t="s">
        <v>76</v>
      </c>
      <c r="B389" s="38">
        <f t="shared" si="85"/>
        <v>41571</v>
      </c>
      <c r="C389">
        <v>25.5</v>
      </c>
      <c r="D389">
        <v>28</v>
      </c>
      <c r="E389">
        <v>365.7</v>
      </c>
      <c r="F389">
        <v>161.69999999999999</v>
      </c>
      <c r="G389" s="19">
        <f t="shared" si="82"/>
        <v>391.2</v>
      </c>
      <c r="H389" s="19">
        <f t="shared" si="83"/>
        <v>189.7</v>
      </c>
      <c r="I389" s="24">
        <f t="shared" si="84"/>
        <v>106.22034791776488</v>
      </c>
    </row>
    <row r="390" spans="1:13" x14ac:dyDescent="0.25">
      <c r="A390" s="43" t="s">
        <v>76</v>
      </c>
      <c r="B390" s="38">
        <f t="shared" si="85"/>
        <v>41578</v>
      </c>
      <c r="C390">
        <v>85.5</v>
      </c>
      <c r="D390">
        <v>26</v>
      </c>
      <c r="E390">
        <v>365.7</v>
      </c>
      <c r="F390">
        <v>161.69999999999999</v>
      </c>
      <c r="G390" s="19">
        <f t="shared" si="82"/>
        <v>451.2</v>
      </c>
      <c r="H390" s="19">
        <f t="shared" si="83"/>
        <v>187.7</v>
      </c>
      <c r="I390" s="24">
        <f t="shared" si="84"/>
        <v>140.38359083644113</v>
      </c>
    </row>
    <row r="391" spans="1:13" ht="15" x14ac:dyDescent="0.25">
      <c r="A391" s="43" t="s">
        <v>76</v>
      </c>
      <c r="B391" s="38">
        <f t="shared" si="85"/>
        <v>41585</v>
      </c>
      <c r="C391">
        <v>85.5</v>
      </c>
      <c r="D391">
        <v>26</v>
      </c>
      <c r="E391">
        <v>365.7</v>
      </c>
      <c r="F391">
        <v>161.69999999999999</v>
      </c>
      <c r="G391" s="19">
        <f t="shared" si="82"/>
        <v>451.2</v>
      </c>
      <c r="H391" s="19">
        <f t="shared" si="83"/>
        <v>187.7</v>
      </c>
      <c r="I391" s="24">
        <f t="shared" si="84"/>
        <v>140.38359083644113</v>
      </c>
      <c r="L391" s="75"/>
    </row>
    <row r="392" spans="1:13" x14ac:dyDescent="0.25">
      <c r="A392" s="43" t="s">
        <v>76</v>
      </c>
      <c r="B392" s="38">
        <f t="shared" si="85"/>
        <v>41592</v>
      </c>
      <c r="C392">
        <v>85.5</v>
      </c>
      <c r="D392">
        <v>27.4</v>
      </c>
      <c r="E392">
        <v>365.7</v>
      </c>
      <c r="F392">
        <v>161.69999999999999</v>
      </c>
      <c r="G392" s="19">
        <f t="shared" si="82"/>
        <v>451.2</v>
      </c>
      <c r="H392" s="19">
        <f t="shared" si="83"/>
        <v>189.1</v>
      </c>
      <c r="I392" s="24">
        <f t="shared" si="84"/>
        <v>138.60391327340031</v>
      </c>
    </row>
    <row r="393" spans="1:13" x14ac:dyDescent="0.25">
      <c r="A393" s="43" t="s">
        <v>76</v>
      </c>
      <c r="B393" s="38">
        <f t="shared" si="85"/>
        <v>41599</v>
      </c>
      <c r="C393">
        <v>85.5</v>
      </c>
      <c r="D393">
        <v>26</v>
      </c>
      <c r="E393">
        <v>365.7</v>
      </c>
      <c r="F393">
        <v>161.69999999999999</v>
      </c>
      <c r="G393" s="19">
        <f t="shared" si="82"/>
        <v>451.2</v>
      </c>
      <c r="H393" s="19">
        <f t="shared" si="83"/>
        <v>187.7</v>
      </c>
      <c r="I393" s="24">
        <f t="shared" si="84"/>
        <v>140.38359083644113</v>
      </c>
    </row>
    <row r="394" spans="1:13" x14ac:dyDescent="0.25">
      <c r="A394" s="43" t="s">
        <v>76</v>
      </c>
      <c r="B394" s="38">
        <f t="shared" si="85"/>
        <v>41606</v>
      </c>
      <c r="G394" s="19">
        <f t="shared" si="82"/>
        <v>0</v>
      </c>
      <c r="H394" s="19">
        <f t="shared" si="83"/>
        <v>0</v>
      </c>
      <c r="I394" s="24" t="e">
        <f t="shared" si="84"/>
        <v>#DIV/0!</v>
      </c>
    </row>
    <row r="395" spans="1:13" x14ac:dyDescent="0.25">
      <c r="A395" s="43" t="s">
        <v>76</v>
      </c>
      <c r="B395" s="38">
        <f t="shared" si="85"/>
        <v>41613</v>
      </c>
      <c r="G395" s="19">
        <f t="shared" si="82"/>
        <v>0</v>
      </c>
      <c r="H395" s="19">
        <f t="shared" si="83"/>
        <v>0</v>
      </c>
      <c r="I395" s="24" t="e">
        <f t="shared" si="84"/>
        <v>#DIV/0!</v>
      </c>
    </row>
    <row r="396" spans="1:13" x14ac:dyDescent="0.25">
      <c r="A396" s="43" t="s">
        <v>76</v>
      </c>
      <c r="B396" s="38">
        <f t="shared" si="85"/>
        <v>41620</v>
      </c>
      <c r="G396" s="19">
        <f t="shared" si="82"/>
        <v>0</v>
      </c>
      <c r="H396" s="19">
        <f t="shared" si="83"/>
        <v>0</v>
      </c>
      <c r="I396" s="24" t="e">
        <f t="shared" si="84"/>
        <v>#DIV/0!</v>
      </c>
    </row>
    <row r="397" spans="1:13" x14ac:dyDescent="0.25">
      <c r="A397" s="43" t="s">
        <v>76</v>
      </c>
      <c r="B397" s="38">
        <f t="shared" si="85"/>
        <v>41627</v>
      </c>
      <c r="G397" s="19">
        <f t="shared" si="82"/>
        <v>0</v>
      </c>
      <c r="H397" s="19">
        <f t="shared" si="83"/>
        <v>0</v>
      </c>
      <c r="I397" s="24" t="e">
        <f t="shared" si="84"/>
        <v>#DIV/0!</v>
      </c>
    </row>
    <row r="398" spans="1:13" x14ac:dyDescent="0.25">
      <c r="A398" s="43" t="s">
        <v>76</v>
      </c>
      <c r="B398" s="38">
        <f t="shared" si="85"/>
        <v>41634</v>
      </c>
      <c r="G398" s="19">
        <f t="shared" si="82"/>
        <v>0</v>
      </c>
      <c r="H398" s="19">
        <f t="shared" si="83"/>
        <v>0</v>
      </c>
      <c r="I398" s="24" t="e">
        <f t="shared" si="84"/>
        <v>#DIV/0!</v>
      </c>
    </row>
    <row r="399" spans="1:13" x14ac:dyDescent="0.25">
      <c r="A399" s="43" t="s">
        <v>76</v>
      </c>
      <c r="B399" s="38">
        <f t="shared" si="85"/>
        <v>41641</v>
      </c>
      <c r="G399" s="19">
        <f t="shared" si="82"/>
        <v>0</v>
      </c>
      <c r="H399" s="19">
        <f t="shared" si="83"/>
        <v>0</v>
      </c>
      <c r="I399" s="24" t="e">
        <f t="shared" si="84"/>
        <v>#DIV/0!</v>
      </c>
    </row>
    <row r="400" spans="1:13" x14ac:dyDescent="0.25">
      <c r="A400" s="43" t="s">
        <v>76</v>
      </c>
      <c r="B400" s="38">
        <f t="shared" si="85"/>
        <v>41648</v>
      </c>
      <c r="G400" s="19">
        <f t="shared" si="82"/>
        <v>0</v>
      </c>
      <c r="H400" s="19">
        <f t="shared" si="83"/>
        <v>0</v>
      </c>
      <c r="I400" s="24" t="e">
        <f t="shared" si="84"/>
        <v>#DIV/0!</v>
      </c>
    </row>
    <row r="401" spans="1:9" x14ac:dyDescent="0.25">
      <c r="A401" s="43" t="s">
        <v>76</v>
      </c>
      <c r="B401" s="38">
        <f t="shared" si="85"/>
        <v>41655</v>
      </c>
      <c r="G401" s="19">
        <f t="shared" ref="G401:G449" si="86">+C401+E401</f>
        <v>0</v>
      </c>
      <c r="H401" s="19">
        <f t="shared" ref="H401:H449" si="87">+D401+F401</f>
        <v>0</v>
      </c>
      <c r="I401" s="24" t="e">
        <f t="shared" ref="I401:I449" si="88">+(G401/H401-1)*100</f>
        <v>#DIV/0!</v>
      </c>
    </row>
    <row r="402" spans="1:9" x14ac:dyDescent="0.25">
      <c r="A402" s="43" t="s">
        <v>76</v>
      </c>
      <c r="B402" s="38">
        <f t="shared" si="85"/>
        <v>41662</v>
      </c>
      <c r="G402" s="19">
        <f t="shared" si="86"/>
        <v>0</v>
      </c>
      <c r="H402" s="19">
        <f t="shared" si="87"/>
        <v>0</v>
      </c>
      <c r="I402" s="24" t="e">
        <f t="shared" si="88"/>
        <v>#DIV/0!</v>
      </c>
    </row>
    <row r="403" spans="1:9" x14ac:dyDescent="0.25">
      <c r="A403" s="43" t="s">
        <v>76</v>
      </c>
      <c r="B403" s="38">
        <f t="shared" si="85"/>
        <v>41669</v>
      </c>
      <c r="G403" s="19">
        <f t="shared" si="86"/>
        <v>0</v>
      </c>
      <c r="H403" s="19">
        <f t="shared" si="87"/>
        <v>0</v>
      </c>
      <c r="I403" s="24" t="e">
        <f t="shared" si="88"/>
        <v>#DIV/0!</v>
      </c>
    </row>
    <row r="404" spans="1:9" x14ac:dyDescent="0.25">
      <c r="A404" s="43" t="s">
        <v>76</v>
      </c>
      <c r="B404" s="38">
        <f t="shared" si="85"/>
        <v>41676</v>
      </c>
      <c r="G404" s="19">
        <f t="shared" si="86"/>
        <v>0</v>
      </c>
      <c r="H404" s="19">
        <f t="shared" si="87"/>
        <v>0</v>
      </c>
      <c r="I404" s="24" t="e">
        <f t="shared" si="88"/>
        <v>#DIV/0!</v>
      </c>
    </row>
    <row r="405" spans="1:9" x14ac:dyDescent="0.25">
      <c r="A405" s="43" t="s">
        <v>76</v>
      </c>
      <c r="B405" s="38">
        <f t="shared" si="85"/>
        <v>41683</v>
      </c>
      <c r="G405" s="19">
        <f t="shared" si="86"/>
        <v>0</v>
      </c>
      <c r="H405" s="19">
        <f t="shared" si="87"/>
        <v>0</v>
      </c>
      <c r="I405" s="24" t="e">
        <f t="shared" si="88"/>
        <v>#DIV/0!</v>
      </c>
    </row>
    <row r="406" spans="1:9" x14ac:dyDescent="0.25">
      <c r="A406" s="43" t="s">
        <v>76</v>
      </c>
      <c r="B406" s="38">
        <f t="shared" si="85"/>
        <v>41690</v>
      </c>
      <c r="G406" s="19">
        <f t="shared" si="86"/>
        <v>0</v>
      </c>
      <c r="H406" s="19">
        <f t="shared" si="87"/>
        <v>0</v>
      </c>
      <c r="I406" s="24" t="e">
        <f t="shared" si="88"/>
        <v>#DIV/0!</v>
      </c>
    </row>
    <row r="407" spans="1:9" x14ac:dyDescent="0.25">
      <c r="A407" s="43" t="s">
        <v>76</v>
      </c>
      <c r="B407" s="38">
        <f t="shared" si="85"/>
        <v>41697</v>
      </c>
      <c r="G407" s="19">
        <f t="shared" si="86"/>
        <v>0</v>
      </c>
      <c r="H407" s="19">
        <f t="shared" si="87"/>
        <v>0</v>
      </c>
      <c r="I407" s="24" t="e">
        <f t="shared" si="88"/>
        <v>#DIV/0!</v>
      </c>
    </row>
    <row r="408" spans="1:9" x14ac:dyDescent="0.25">
      <c r="A408" s="43" t="s">
        <v>76</v>
      </c>
      <c r="B408" s="38">
        <f t="shared" si="85"/>
        <v>41704</v>
      </c>
      <c r="G408" s="19">
        <f t="shared" si="86"/>
        <v>0</v>
      </c>
      <c r="H408" s="19">
        <f t="shared" si="87"/>
        <v>0</v>
      </c>
      <c r="I408" s="24" t="e">
        <f t="shared" si="88"/>
        <v>#DIV/0!</v>
      </c>
    </row>
    <row r="409" spans="1:9" x14ac:dyDescent="0.25">
      <c r="A409" s="43" t="s">
        <v>76</v>
      </c>
      <c r="B409" s="38">
        <f t="shared" si="85"/>
        <v>41711</v>
      </c>
      <c r="G409" s="19">
        <f t="shared" si="86"/>
        <v>0</v>
      </c>
      <c r="H409" s="19">
        <f t="shared" si="87"/>
        <v>0</v>
      </c>
      <c r="I409" s="24" t="e">
        <f t="shared" si="88"/>
        <v>#DIV/0!</v>
      </c>
    </row>
    <row r="410" spans="1:9" x14ac:dyDescent="0.25">
      <c r="A410" s="43" t="s">
        <v>76</v>
      </c>
      <c r="B410" s="38">
        <f t="shared" si="85"/>
        <v>41718</v>
      </c>
      <c r="G410" s="19">
        <f t="shared" si="86"/>
        <v>0</v>
      </c>
      <c r="H410" s="19">
        <f t="shared" si="87"/>
        <v>0</v>
      </c>
      <c r="I410" s="24" t="e">
        <f t="shared" si="88"/>
        <v>#DIV/0!</v>
      </c>
    </row>
    <row r="411" spans="1:9" x14ac:dyDescent="0.25">
      <c r="A411" s="43" t="s">
        <v>76</v>
      </c>
      <c r="B411" s="38">
        <f t="shared" si="85"/>
        <v>41725</v>
      </c>
      <c r="G411" s="19">
        <f t="shared" si="86"/>
        <v>0</v>
      </c>
      <c r="H411" s="19">
        <f t="shared" si="87"/>
        <v>0</v>
      </c>
      <c r="I411" s="24" t="e">
        <f t="shared" si="88"/>
        <v>#DIV/0!</v>
      </c>
    </row>
    <row r="412" spans="1:9" x14ac:dyDescent="0.25">
      <c r="A412" s="43" t="s">
        <v>76</v>
      </c>
      <c r="B412" s="38">
        <f t="shared" si="85"/>
        <v>41732</v>
      </c>
      <c r="G412" s="19">
        <f t="shared" si="86"/>
        <v>0</v>
      </c>
      <c r="H412" s="19">
        <f t="shared" si="87"/>
        <v>0</v>
      </c>
      <c r="I412" s="24" t="e">
        <f t="shared" si="88"/>
        <v>#DIV/0!</v>
      </c>
    </row>
    <row r="413" spans="1:9" x14ac:dyDescent="0.25">
      <c r="A413" s="43" t="s">
        <v>76</v>
      </c>
      <c r="B413" s="38">
        <f t="shared" si="85"/>
        <v>41739</v>
      </c>
      <c r="G413" s="19">
        <f t="shared" si="86"/>
        <v>0</v>
      </c>
      <c r="H413" s="19">
        <f t="shared" si="87"/>
        <v>0</v>
      </c>
      <c r="I413" s="24" t="e">
        <f t="shared" si="88"/>
        <v>#DIV/0!</v>
      </c>
    </row>
    <row r="414" spans="1:9" x14ac:dyDescent="0.25">
      <c r="A414" s="43" t="s">
        <v>76</v>
      </c>
      <c r="B414" s="38">
        <f t="shared" si="85"/>
        <v>41746</v>
      </c>
      <c r="G414" s="19">
        <f t="shared" si="86"/>
        <v>0</v>
      </c>
      <c r="H414" s="19">
        <f t="shared" si="87"/>
        <v>0</v>
      </c>
      <c r="I414" s="24" t="e">
        <f t="shared" si="88"/>
        <v>#DIV/0!</v>
      </c>
    </row>
    <row r="415" spans="1:9" x14ac:dyDescent="0.25">
      <c r="A415" s="43" t="s">
        <v>76</v>
      </c>
      <c r="B415" s="38">
        <f t="shared" si="85"/>
        <v>41753</v>
      </c>
      <c r="G415" s="19">
        <f t="shared" si="86"/>
        <v>0</v>
      </c>
      <c r="H415" s="19">
        <f t="shared" si="87"/>
        <v>0</v>
      </c>
      <c r="I415" s="24" t="e">
        <f t="shared" si="88"/>
        <v>#DIV/0!</v>
      </c>
    </row>
    <row r="416" spans="1:9" x14ac:dyDescent="0.25">
      <c r="A416" s="43" t="s">
        <v>76</v>
      </c>
      <c r="B416" s="38">
        <f t="shared" si="85"/>
        <v>41760</v>
      </c>
      <c r="G416" s="19">
        <f t="shared" si="86"/>
        <v>0</v>
      </c>
      <c r="H416" s="19">
        <f t="shared" si="87"/>
        <v>0</v>
      </c>
      <c r="I416" s="24" t="e">
        <f t="shared" si="88"/>
        <v>#DIV/0!</v>
      </c>
    </row>
    <row r="417" spans="1:9" x14ac:dyDescent="0.25">
      <c r="A417" s="43" t="s">
        <v>76</v>
      </c>
      <c r="B417" s="38">
        <f t="shared" si="85"/>
        <v>41767</v>
      </c>
      <c r="G417" s="19">
        <f t="shared" si="86"/>
        <v>0</v>
      </c>
      <c r="H417" s="19">
        <f t="shared" si="87"/>
        <v>0</v>
      </c>
      <c r="I417" s="24" t="e">
        <f t="shared" si="88"/>
        <v>#DIV/0!</v>
      </c>
    </row>
    <row r="418" spans="1:9" x14ac:dyDescent="0.25">
      <c r="A418" s="43" t="s">
        <v>76</v>
      </c>
      <c r="B418" s="38">
        <f t="shared" si="85"/>
        <v>41774</v>
      </c>
      <c r="G418" s="19">
        <f t="shared" si="86"/>
        <v>0</v>
      </c>
      <c r="H418" s="19">
        <f t="shared" si="87"/>
        <v>0</v>
      </c>
      <c r="I418" s="24" t="e">
        <f t="shared" si="88"/>
        <v>#DIV/0!</v>
      </c>
    </row>
    <row r="419" spans="1:9" x14ac:dyDescent="0.25">
      <c r="A419" s="43" t="s">
        <v>76</v>
      </c>
      <c r="B419" s="38">
        <f t="shared" si="85"/>
        <v>41781</v>
      </c>
      <c r="G419" s="19">
        <f t="shared" si="86"/>
        <v>0</v>
      </c>
      <c r="H419" s="19">
        <f t="shared" si="87"/>
        <v>0</v>
      </c>
      <c r="I419" s="24" t="e">
        <f t="shared" si="88"/>
        <v>#DIV/0!</v>
      </c>
    </row>
    <row r="420" spans="1:9" x14ac:dyDescent="0.25">
      <c r="A420" s="43" t="s">
        <v>76</v>
      </c>
      <c r="B420" s="38">
        <f t="shared" si="85"/>
        <v>41788</v>
      </c>
      <c r="G420" s="19">
        <f t="shared" si="86"/>
        <v>0</v>
      </c>
      <c r="H420" s="19">
        <f t="shared" si="87"/>
        <v>0</v>
      </c>
      <c r="I420" s="24" t="e">
        <f t="shared" si="88"/>
        <v>#DIV/0!</v>
      </c>
    </row>
    <row r="421" spans="1:9" x14ac:dyDescent="0.25">
      <c r="A421" s="43" t="s">
        <v>76</v>
      </c>
      <c r="B421" s="38">
        <f t="shared" si="85"/>
        <v>41795</v>
      </c>
      <c r="G421" s="19">
        <f t="shared" si="86"/>
        <v>0</v>
      </c>
      <c r="H421" s="19">
        <f t="shared" si="87"/>
        <v>0</v>
      </c>
      <c r="I421" s="24" t="e">
        <f t="shared" si="88"/>
        <v>#DIV/0!</v>
      </c>
    </row>
    <row r="422" spans="1:9" x14ac:dyDescent="0.25">
      <c r="A422" s="43" t="s">
        <v>76</v>
      </c>
      <c r="B422" s="38">
        <f t="shared" si="85"/>
        <v>41802</v>
      </c>
      <c r="G422" s="19">
        <f t="shared" si="86"/>
        <v>0</v>
      </c>
      <c r="H422" s="19">
        <f t="shared" si="87"/>
        <v>0</v>
      </c>
      <c r="I422" s="24" t="e">
        <f t="shared" si="88"/>
        <v>#DIV/0!</v>
      </c>
    </row>
    <row r="423" spans="1:9" x14ac:dyDescent="0.25">
      <c r="A423" s="43" t="s">
        <v>76</v>
      </c>
      <c r="B423" s="38">
        <f t="shared" si="85"/>
        <v>41809</v>
      </c>
      <c r="G423" s="19">
        <f t="shared" si="86"/>
        <v>0</v>
      </c>
      <c r="H423" s="19">
        <f t="shared" si="87"/>
        <v>0</v>
      </c>
      <c r="I423" s="24" t="e">
        <f t="shared" si="88"/>
        <v>#DIV/0!</v>
      </c>
    </row>
    <row r="424" spans="1:9" x14ac:dyDescent="0.25">
      <c r="A424" s="43" t="s">
        <v>76</v>
      </c>
      <c r="B424" s="38">
        <f t="shared" si="85"/>
        <v>41816</v>
      </c>
      <c r="G424" s="19">
        <f t="shared" si="86"/>
        <v>0</v>
      </c>
      <c r="H424" s="19">
        <f t="shared" si="87"/>
        <v>0</v>
      </c>
      <c r="I424" s="24" t="e">
        <f t="shared" si="88"/>
        <v>#DIV/0!</v>
      </c>
    </row>
    <row r="425" spans="1:9" x14ac:dyDescent="0.25">
      <c r="A425" s="43" t="s">
        <v>76</v>
      </c>
      <c r="B425" s="38">
        <f t="shared" si="85"/>
        <v>41823</v>
      </c>
      <c r="G425" s="19">
        <f t="shared" si="86"/>
        <v>0</v>
      </c>
      <c r="H425" s="19">
        <f t="shared" si="87"/>
        <v>0</v>
      </c>
      <c r="I425" s="24" t="e">
        <f t="shared" si="88"/>
        <v>#DIV/0!</v>
      </c>
    </row>
    <row r="426" spans="1:9" x14ac:dyDescent="0.25">
      <c r="A426" s="43" t="s">
        <v>76</v>
      </c>
      <c r="B426" s="38">
        <f t="shared" si="85"/>
        <v>41830</v>
      </c>
      <c r="G426" s="19">
        <f t="shared" si="86"/>
        <v>0</v>
      </c>
      <c r="H426" s="19">
        <f t="shared" si="87"/>
        <v>0</v>
      </c>
      <c r="I426" s="24" t="e">
        <f t="shared" si="88"/>
        <v>#DIV/0!</v>
      </c>
    </row>
    <row r="427" spans="1:9" x14ac:dyDescent="0.25">
      <c r="A427" s="43" t="s">
        <v>76</v>
      </c>
      <c r="B427" s="38">
        <f t="shared" si="85"/>
        <v>41837</v>
      </c>
      <c r="G427" s="19">
        <f t="shared" si="86"/>
        <v>0</v>
      </c>
      <c r="H427" s="19">
        <f t="shared" si="87"/>
        <v>0</v>
      </c>
      <c r="I427" s="24" t="e">
        <f t="shared" si="88"/>
        <v>#DIV/0!</v>
      </c>
    </row>
    <row r="428" spans="1:9" x14ac:dyDescent="0.25">
      <c r="A428" s="43" t="s">
        <v>76</v>
      </c>
      <c r="B428" s="38">
        <f t="shared" si="85"/>
        <v>41844</v>
      </c>
      <c r="G428" s="19">
        <f t="shared" si="86"/>
        <v>0</v>
      </c>
      <c r="H428" s="19">
        <f t="shared" si="87"/>
        <v>0</v>
      </c>
      <c r="I428" s="24" t="e">
        <f t="shared" si="88"/>
        <v>#DIV/0!</v>
      </c>
    </row>
    <row r="429" spans="1:9" x14ac:dyDescent="0.25">
      <c r="A429" s="43" t="s">
        <v>76</v>
      </c>
      <c r="B429" s="38">
        <f t="shared" si="85"/>
        <v>41851</v>
      </c>
      <c r="G429" s="19">
        <f t="shared" si="86"/>
        <v>0</v>
      </c>
      <c r="H429" s="19">
        <f t="shared" si="87"/>
        <v>0</v>
      </c>
      <c r="I429" s="24" t="e">
        <f t="shared" si="88"/>
        <v>#DIV/0!</v>
      </c>
    </row>
    <row r="430" spans="1:9" x14ac:dyDescent="0.25">
      <c r="A430" s="43" t="s">
        <v>76</v>
      </c>
      <c r="B430" s="38">
        <f t="shared" si="85"/>
        <v>41858</v>
      </c>
      <c r="G430" s="19">
        <f t="shared" si="86"/>
        <v>0</v>
      </c>
      <c r="H430" s="19">
        <f t="shared" si="87"/>
        <v>0</v>
      </c>
      <c r="I430" s="24" t="e">
        <f t="shared" si="88"/>
        <v>#DIV/0!</v>
      </c>
    </row>
    <row r="431" spans="1:9" x14ac:dyDescent="0.25">
      <c r="A431" s="43" t="s">
        <v>76</v>
      </c>
      <c r="B431" s="38">
        <f t="shared" si="85"/>
        <v>41865</v>
      </c>
      <c r="G431" s="19">
        <f t="shared" si="86"/>
        <v>0</v>
      </c>
      <c r="H431" s="19">
        <f t="shared" si="87"/>
        <v>0</v>
      </c>
      <c r="I431" s="24" t="e">
        <f t="shared" si="88"/>
        <v>#DIV/0!</v>
      </c>
    </row>
    <row r="432" spans="1:9" x14ac:dyDescent="0.25">
      <c r="A432" s="43" t="s">
        <v>76</v>
      </c>
      <c r="B432" s="38">
        <f t="shared" si="85"/>
        <v>41872</v>
      </c>
      <c r="G432" s="19">
        <f t="shared" si="86"/>
        <v>0</v>
      </c>
      <c r="H432" s="19">
        <f t="shared" si="87"/>
        <v>0</v>
      </c>
      <c r="I432" s="24" t="e">
        <f t="shared" si="88"/>
        <v>#DIV/0!</v>
      </c>
    </row>
    <row r="433" spans="1:9" x14ac:dyDescent="0.25">
      <c r="A433" s="43" t="s">
        <v>76</v>
      </c>
      <c r="B433" s="38">
        <f t="shared" si="85"/>
        <v>41879</v>
      </c>
      <c r="G433" s="19">
        <f t="shared" si="86"/>
        <v>0</v>
      </c>
      <c r="H433" s="19">
        <f t="shared" si="87"/>
        <v>0</v>
      </c>
      <c r="I433" s="24" t="e">
        <f t="shared" si="88"/>
        <v>#DIV/0!</v>
      </c>
    </row>
    <row r="434" spans="1:9" x14ac:dyDescent="0.25">
      <c r="A434" s="43" t="s">
        <v>76</v>
      </c>
      <c r="B434" s="38">
        <f t="shared" si="85"/>
        <v>41886</v>
      </c>
      <c r="G434" s="19">
        <f t="shared" si="86"/>
        <v>0</v>
      </c>
      <c r="H434" s="19">
        <f t="shared" si="87"/>
        <v>0</v>
      </c>
      <c r="I434" s="24" t="e">
        <f t="shared" si="88"/>
        <v>#DIV/0!</v>
      </c>
    </row>
    <row r="435" spans="1:9" x14ac:dyDescent="0.25">
      <c r="A435" s="43" t="s">
        <v>76</v>
      </c>
      <c r="B435" s="38">
        <f t="shared" si="85"/>
        <v>41893</v>
      </c>
      <c r="G435" s="19">
        <f t="shared" si="86"/>
        <v>0</v>
      </c>
      <c r="H435" s="19">
        <f t="shared" si="87"/>
        <v>0</v>
      </c>
      <c r="I435" s="24" t="e">
        <f t="shared" si="88"/>
        <v>#DIV/0!</v>
      </c>
    </row>
    <row r="436" spans="1:9" x14ac:dyDescent="0.25">
      <c r="A436" s="43" t="s">
        <v>76</v>
      </c>
      <c r="B436" s="38">
        <f t="shared" si="85"/>
        <v>41900</v>
      </c>
      <c r="G436" s="19">
        <f t="shared" si="86"/>
        <v>0</v>
      </c>
      <c r="H436" s="19">
        <f t="shared" si="87"/>
        <v>0</v>
      </c>
      <c r="I436" s="24" t="e">
        <f t="shared" si="88"/>
        <v>#DIV/0!</v>
      </c>
    </row>
    <row r="437" spans="1:9" x14ac:dyDescent="0.25">
      <c r="A437" s="43" t="s">
        <v>76</v>
      </c>
      <c r="B437" s="38">
        <f t="shared" si="85"/>
        <v>41907</v>
      </c>
      <c r="G437" s="19">
        <f t="shared" si="86"/>
        <v>0</v>
      </c>
      <c r="H437" s="19">
        <f t="shared" si="87"/>
        <v>0</v>
      </c>
      <c r="I437" s="24" t="e">
        <f t="shared" si="88"/>
        <v>#DIV/0!</v>
      </c>
    </row>
    <row r="438" spans="1:9" x14ac:dyDescent="0.25">
      <c r="A438" s="43" t="s">
        <v>76</v>
      </c>
      <c r="B438" s="38">
        <f t="shared" si="85"/>
        <v>41914</v>
      </c>
      <c r="G438" s="19">
        <f t="shared" si="86"/>
        <v>0</v>
      </c>
      <c r="H438" s="19">
        <f t="shared" si="87"/>
        <v>0</v>
      </c>
      <c r="I438" s="24" t="e">
        <f t="shared" si="88"/>
        <v>#DIV/0!</v>
      </c>
    </row>
    <row r="439" spans="1:9" x14ac:dyDescent="0.25">
      <c r="A439" s="43" t="s">
        <v>76</v>
      </c>
      <c r="B439" s="38">
        <f t="shared" si="85"/>
        <v>41921</v>
      </c>
      <c r="G439" s="19">
        <f t="shared" si="86"/>
        <v>0</v>
      </c>
      <c r="H439" s="19">
        <f t="shared" si="87"/>
        <v>0</v>
      </c>
      <c r="I439" s="24" t="e">
        <f t="shared" si="88"/>
        <v>#DIV/0!</v>
      </c>
    </row>
    <row r="440" spans="1:9" x14ac:dyDescent="0.25">
      <c r="A440" s="43" t="s">
        <v>76</v>
      </c>
      <c r="B440" s="38">
        <f t="shared" si="85"/>
        <v>41928</v>
      </c>
      <c r="G440" s="19">
        <f t="shared" si="86"/>
        <v>0</v>
      </c>
      <c r="H440" s="19">
        <f t="shared" si="87"/>
        <v>0</v>
      </c>
      <c r="I440" s="24" t="e">
        <f t="shared" si="88"/>
        <v>#DIV/0!</v>
      </c>
    </row>
    <row r="441" spans="1:9" x14ac:dyDescent="0.25">
      <c r="A441" s="43" t="s">
        <v>76</v>
      </c>
      <c r="B441" s="38">
        <f t="shared" si="85"/>
        <v>41935</v>
      </c>
      <c r="G441" s="19">
        <f t="shared" si="86"/>
        <v>0</v>
      </c>
      <c r="H441" s="19">
        <f t="shared" si="87"/>
        <v>0</v>
      </c>
      <c r="I441" s="24" t="e">
        <f t="shared" si="88"/>
        <v>#DIV/0!</v>
      </c>
    </row>
    <row r="442" spans="1:9" x14ac:dyDescent="0.25">
      <c r="A442" s="43" t="s">
        <v>76</v>
      </c>
      <c r="B442" s="38">
        <f t="shared" si="85"/>
        <v>41942</v>
      </c>
      <c r="G442" s="19">
        <f t="shared" si="86"/>
        <v>0</v>
      </c>
      <c r="H442" s="19">
        <f t="shared" si="87"/>
        <v>0</v>
      </c>
      <c r="I442" s="24" t="e">
        <f t="shared" si="88"/>
        <v>#DIV/0!</v>
      </c>
    </row>
    <row r="443" spans="1:9" x14ac:dyDescent="0.25">
      <c r="A443" s="43" t="s">
        <v>76</v>
      </c>
      <c r="B443" s="38">
        <f t="shared" ref="B443:B449" si="89">+B442+7</f>
        <v>41949</v>
      </c>
      <c r="G443" s="19">
        <f t="shared" si="86"/>
        <v>0</v>
      </c>
      <c r="H443" s="19">
        <f t="shared" si="87"/>
        <v>0</v>
      </c>
      <c r="I443" s="24" t="e">
        <f t="shared" si="88"/>
        <v>#DIV/0!</v>
      </c>
    </row>
    <row r="444" spans="1:9" x14ac:dyDescent="0.25">
      <c r="A444" s="43" t="s">
        <v>76</v>
      </c>
      <c r="B444" s="38">
        <f t="shared" si="89"/>
        <v>41956</v>
      </c>
      <c r="G444" s="19">
        <f t="shared" si="86"/>
        <v>0</v>
      </c>
      <c r="H444" s="19">
        <f t="shared" si="87"/>
        <v>0</v>
      </c>
      <c r="I444" s="24" t="e">
        <f t="shared" si="88"/>
        <v>#DIV/0!</v>
      </c>
    </row>
    <row r="445" spans="1:9" x14ac:dyDescent="0.25">
      <c r="A445" s="43" t="s">
        <v>76</v>
      </c>
      <c r="B445" s="38">
        <f t="shared" si="89"/>
        <v>41963</v>
      </c>
      <c r="G445" s="19">
        <f t="shared" si="86"/>
        <v>0</v>
      </c>
      <c r="H445" s="19">
        <f t="shared" si="87"/>
        <v>0</v>
      </c>
      <c r="I445" s="24" t="e">
        <f t="shared" si="88"/>
        <v>#DIV/0!</v>
      </c>
    </row>
    <row r="446" spans="1:9" x14ac:dyDescent="0.25">
      <c r="A446" s="43" t="s">
        <v>76</v>
      </c>
      <c r="B446" s="38">
        <f t="shared" si="89"/>
        <v>41970</v>
      </c>
      <c r="G446" s="19">
        <f t="shared" si="86"/>
        <v>0</v>
      </c>
      <c r="H446" s="19">
        <f t="shared" si="87"/>
        <v>0</v>
      </c>
      <c r="I446" s="24" t="e">
        <f t="shared" si="88"/>
        <v>#DIV/0!</v>
      </c>
    </row>
    <row r="447" spans="1:9" x14ac:dyDescent="0.25">
      <c r="A447" s="43" t="s">
        <v>76</v>
      </c>
      <c r="B447" s="38">
        <f t="shared" si="89"/>
        <v>41977</v>
      </c>
      <c r="G447" s="19">
        <f t="shared" si="86"/>
        <v>0</v>
      </c>
      <c r="H447" s="19">
        <f t="shared" si="87"/>
        <v>0</v>
      </c>
      <c r="I447" s="24" t="e">
        <f t="shared" si="88"/>
        <v>#DIV/0!</v>
      </c>
    </row>
    <row r="448" spans="1:9" x14ac:dyDescent="0.25">
      <c r="A448" s="43" t="s">
        <v>76</v>
      </c>
      <c r="B448" s="38">
        <f t="shared" si="89"/>
        <v>41984</v>
      </c>
      <c r="G448" s="19">
        <f t="shared" si="86"/>
        <v>0</v>
      </c>
      <c r="H448" s="19">
        <f t="shared" si="87"/>
        <v>0</v>
      </c>
      <c r="I448" s="24" t="e">
        <f t="shared" si="88"/>
        <v>#DIV/0!</v>
      </c>
    </row>
    <row r="449" spans="1:9" x14ac:dyDescent="0.25">
      <c r="A449" s="43" t="s">
        <v>76</v>
      </c>
      <c r="B449" s="38">
        <f t="shared" si="89"/>
        <v>41991</v>
      </c>
      <c r="G449" s="19">
        <f t="shared" si="86"/>
        <v>0</v>
      </c>
      <c r="H449" s="19">
        <f t="shared" si="87"/>
        <v>0</v>
      </c>
      <c r="I449" s="24" t="e">
        <f t="shared" si="88"/>
        <v>#DIV/0!</v>
      </c>
    </row>
    <row r="65523" spans="2:9" x14ac:dyDescent="0.25">
      <c r="B65523" s="10"/>
    </row>
    <row r="65524" spans="2:9" x14ac:dyDescent="0.25">
      <c r="G65524" s="19"/>
      <c r="H65524" s="19"/>
      <c r="I65524" s="24"/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5"/>
  <sheetViews>
    <sheetView topLeftCell="A110" workbookViewId="0">
      <selection activeCell="F133" sqref="F133"/>
    </sheetView>
  </sheetViews>
  <sheetFormatPr defaultRowHeight="13.2" x14ac:dyDescent="0.25"/>
  <cols>
    <col min="1" max="1" width="10.6640625" customWidth="1"/>
  </cols>
  <sheetData>
    <row r="1" spans="1:8" x14ac:dyDescent="0.25">
      <c r="A1" s="43" t="s">
        <v>284</v>
      </c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8" x14ac:dyDescent="0.25">
      <c r="A2" t="s">
        <v>16</v>
      </c>
      <c r="B2" s="76" t="s">
        <v>32</v>
      </c>
      <c r="C2" s="76" t="s">
        <v>33</v>
      </c>
      <c r="D2" s="82" t="s">
        <v>32</v>
      </c>
      <c r="E2" s="83" t="s">
        <v>33</v>
      </c>
      <c r="F2" s="82" t="s">
        <v>195</v>
      </c>
      <c r="G2" s="83" t="s">
        <v>33</v>
      </c>
      <c r="H2" s="9" t="s">
        <v>8</v>
      </c>
    </row>
    <row r="4" spans="1:8" x14ac:dyDescent="0.25">
      <c r="A4" s="10">
        <v>40696</v>
      </c>
      <c r="H4" s="14"/>
    </row>
    <row r="5" spans="1:8" x14ac:dyDescent="0.25">
      <c r="A5" s="10">
        <v>40703</v>
      </c>
      <c r="H5" s="14"/>
    </row>
    <row r="6" spans="1:8" x14ac:dyDescent="0.25">
      <c r="A6" s="10">
        <v>40710</v>
      </c>
    </row>
    <row r="7" spans="1:8" x14ac:dyDescent="0.25">
      <c r="A7" s="10">
        <v>40717</v>
      </c>
    </row>
    <row r="8" spans="1:8" x14ac:dyDescent="0.25">
      <c r="A8" s="10">
        <v>40724</v>
      </c>
    </row>
    <row r="9" spans="1:8" x14ac:dyDescent="0.25">
      <c r="A9" s="10">
        <v>40731</v>
      </c>
    </row>
    <row r="10" spans="1:8" x14ac:dyDescent="0.25">
      <c r="A10" s="10">
        <v>40738</v>
      </c>
    </row>
    <row r="11" spans="1:8" x14ac:dyDescent="0.25">
      <c r="A11" s="10">
        <v>40745</v>
      </c>
    </row>
    <row r="12" spans="1:8" x14ac:dyDescent="0.25">
      <c r="A12" s="10">
        <v>40752</v>
      </c>
    </row>
    <row r="13" spans="1:8" x14ac:dyDescent="0.25">
      <c r="A13" s="10">
        <v>40759</v>
      </c>
    </row>
    <row r="14" spans="1:8" x14ac:dyDescent="0.25">
      <c r="A14" s="10">
        <v>40766</v>
      </c>
    </row>
    <row r="15" spans="1:8" x14ac:dyDescent="0.25">
      <c r="A15" s="10">
        <v>40773</v>
      </c>
    </row>
    <row r="16" spans="1:8" x14ac:dyDescent="0.25">
      <c r="A16" s="10">
        <v>40780</v>
      </c>
    </row>
    <row r="17" spans="1:9" x14ac:dyDescent="0.25">
      <c r="A17" s="10">
        <v>40787</v>
      </c>
    </row>
    <row r="18" spans="1:9" x14ac:dyDescent="0.25">
      <c r="A18" s="10">
        <v>40794</v>
      </c>
    </row>
    <row r="19" spans="1:9" x14ac:dyDescent="0.25">
      <c r="A19" s="10">
        <v>40801</v>
      </c>
      <c r="B19" s="48"/>
      <c r="C19" s="48"/>
      <c r="D19" s="48"/>
      <c r="E19" s="48"/>
      <c r="F19" s="84"/>
      <c r="G19" s="84"/>
    </row>
    <row r="20" spans="1:9" x14ac:dyDescent="0.25">
      <c r="A20" s="10">
        <v>40808</v>
      </c>
      <c r="B20" s="48"/>
      <c r="C20" s="48"/>
      <c r="D20" s="48"/>
      <c r="E20" s="48"/>
      <c r="F20" s="84"/>
      <c r="G20" s="84"/>
      <c r="I20" s="80"/>
    </row>
    <row r="21" spans="1:9" x14ac:dyDescent="0.25">
      <c r="A21" s="10">
        <v>40815</v>
      </c>
      <c r="B21" s="48"/>
      <c r="C21" s="48"/>
      <c r="D21" s="48"/>
      <c r="E21" s="48"/>
      <c r="F21" s="84"/>
      <c r="G21" s="84"/>
    </row>
    <row r="22" spans="1:9" x14ac:dyDescent="0.25">
      <c r="A22" s="10">
        <v>40822</v>
      </c>
      <c r="B22" s="48"/>
      <c r="C22" s="48"/>
      <c r="D22" s="48"/>
      <c r="E22" s="48"/>
      <c r="F22" s="84"/>
      <c r="G22" s="84"/>
    </row>
    <row r="23" spans="1:9" x14ac:dyDescent="0.25">
      <c r="A23" s="10">
        <v>40829</v>
      </c>
      <c r="B23" s="48"/>
      <c r="C23" s="48"/>
      <c r="D23" s="48"/>
      <c r="E23" s="48"/>
      <c r="F23" s="84"/>
      <c r="G23" s="84"/>
    </row>
    <row r="24" spans="1:9" x14ac:dyDescent="0.25">
      <c r="A24" s="10">
        <v>40836</v>
      </c>
      <c r="B24" s="48"/>
      <c r="C24" s="48"/>
      <c r="D24" s="48"/>
      <c r="E24" s="48"/>
      <c r="F24" s="84"/>
      <c r="G24" s="84"/>
    </row>
    <row r="25" spans="1:9" x14ac:dyDescent="0.25">
      <c r="A25" s="10">
        <v>40843</v>
      </c>
      <c r="B25" s="48"/>
      <c r="C25" s="48"/>
      <c r="D25" s="48"/>
      <c r="E25" s="48"/>
      <c r="F25" s="84"/>
      <c r="G25" s="84"/>
    </row>
    <row r="26" spans="1:9" x14ac:dyDescent="0.25">
      <c r="A26" s="10">
        <v>40850</v>
      </c>
      <c r="B26" s="48"/>
      <c r="C26" s="48"/>
      <c r="D26" s="48"/>
      <c r="E26" s="48"/>
      <c r="F26" s="84"/>
      <c r="G26" s="84"/>
    </row>
    <row r="27" spans="1:9" x14ac:dyDescent="0.25">
      <c r="A27" s="10">
        <v>40857</v>
      </c>
      <c r="B27" s="48"/>
      <c r="C27" s="48"/>
      <c r="D27" s="48"/>
      <c r="E27" s="48"/>
      <c r="F27" s="84"/>
      <c r="G27" s="84"/>
    </row>
    <row r="28" spans="1:9" x14ac:dyDescent="0.25">
      <c r="A28" s="10">
        <v>40864</v>
      </c>
      <c r="B28" s="48"/>
      <c r="C28" s="48"/>
      <c r="D28" s="48"/>
      <c r="E28" s="48"/>
      <c r="F28" s="84"/>
      <c r="G28" s="84"/>
    </row>
    <row r="29" spans="1:9" x14ac:dyDescent="0.25">
      <c r="A29" s="10">
        <v>40871</v>
      </c>
      <c r="B29" s="48"/>
      <c r="C29" s="48"/>
      <c r="D29" s="48"/>
      <c r="E29" s="48"/>
      <c r="F29" s="84"/>
      <c r="G29" s="84"/>
    </row>
    <row r="30" spans="1:9" x14ac:dyDescent="0.25">
      <c r="A30" s="10">
        <v>40878</v>
      </c>
      <c r="B30" s="48"/>
      <c r="C30" s="48"/>
      <c r="D30" s="48"/>
      <c r="E30" s="48"/>
      <c r="F30" s="84"/>
      <c r="G30" s="84"/>
    </row>
    <row r="31" spans="1:9" x14ac:dyDescent="0.25">
      <c r="A31" s="10">
        <v>40885</v>
      </c>
      <c r="B31" s="48"/>
      <c r="C31" s="48"/>
      <c r="D31" s="48"/>
      <c r="E31" s="48"/>
      <c r="F31" s="84"/>
      <c r="G31" s="84"/>
    </row>
    <row r="32" spans="1:9" x14ac:dyDescent="0.25">
      <c r="A32" s="10">
        <v>40892</v>
      </c>
      <c r="F32" s="84"/>
      <c r="G32" s="84"/>
    </row>
    <row r="33" spans="1:7" x14ac:dyDescent="0.25">
      <c r="A33" s="10">
        <v>40899</v>
      </c>
      <c r="B33" s="48"/>
      <c r="C33" s="48"/>
      <c r="D33" s="48"/>
      <c r="E33" s="48"/>
      <c r="F33" s="84"/>
      <c r="G33" s="84"/>
    </row>
    <row r="34" spans="1:7" x14ac:dyDescent="0.25">
      <c r="A34" s="10">
        <v>40906</v>
      </c>
      <c r="B34" s="48"/>
      <c r="C34" s="48"/>
      <c r="D34" s="48"/>
      <c r="E34" s="48"/>
      <c r="F34" s="84"/>
      <c r="G34" s="84"/>
    </row>
    <row r="35" spans="1:7" x14ac:dyDescent="0.25">
      <c r="A35" s="10">
        <v>40913</v>
      </c>
      <c r="F35" s="84"/>
      <c r="G35" s="84"/>
    </row>
    <row r="36" spans="1:7" x14ac:dyDescent="0.25">
      <c r="A36" s="10">
        <v>40920</v>
      </c>
      <c r="F36" s="84"/>
      <c r="G36" s="84"/>
    </row>
    <row r="37" spans="1:7" x14ac:dyDescent="0.25">
      <c r="A37" s="10">
        <v>40927</v>
      </c>
      <c r="F37" s="84"/>
      <c r="G37" s="84"/>
    </row>
    <row r="38" spans="1:7" x14ac:dyDescent="0.25">
      <c r="A38" s="10">
        <v>40934</v>
      </c>
      <c r="F38" s="84"/>
      <c r="G38" s="84"/>
    </row>
    <row r="39" spans="1:7" x14ac:dyDescent="0.25">
      <c r="A39" s="10">
        <v>40941</v>
      </c>
      <c r="F39" s="84"/>
      <c r="G39" s="84"/>
    </row>
    <row r="40" spans="1:7" x14ac:dyDescent="0.25">
      <c r="A40" s="10">
        <v>40948</v>
      </c>
      <c r="F40" s="84"/>
      <c r="G40" s="84"/>
    </row>
    <row r="41" spans="1:7" x14ac:dyDescent="0.25">
      <c r="A41" s="10">
        <v>40955</v>
      </c>
      <c r="F41" s="84"/>
      <c r="G41" s="84"/>
    </row>
    <row r="42" spans="1:7" x14ac:dyDescent="0.25">
      <c r="A42" s="10">
        <v>40962</v>
      </c>
      <c r="F42" s="84"/>
      <c r="G42" s="84"/>
    </row>
    <row r="43" spans="1:7" x14ac:dyDescent="0.25">
      <c r="A43" s="10">
        <v>40969</v>
      </c>
      <c r="F43" s="84"/>
      <c r="G43" s="84"/>
    </row>
    <row r="44" spans="1:7" x14ac:dyDescent="0.25">
      <c r="A44" s="10">
        <v>40976</v>
      </c>
      <c r="F44" s="84"/>
      <c r="G44" s="84"/>
    </row>
    <row r="45" spans="1:7" x14ac:dyDescent="0.25">
      <c r="A45" s="10">
        <v>40983</v>
      </c>
      <c r="F45" s="84"/>
      <c r="G45" s="84"/>
    </row>
    <row r="46" spans="1:7" x14ac:dyDescent="0.25">
      <c r="A46" s="10">
        <v>40990</v>
      </c>
      <c r="F46" s="84"/>
      <c r="G46" s="84"/>
    </row>
    <row r="47" spans="1:7" x14ac:dyDescent="0.25">
      <c r="A47" s="10">
        <v>40997</v>
      </c>
      <c r="F47" s="84"/>
      <c r="G47" s="84"/>
    </row>
    <row r="48" spans="1:7" x14ac:dyDescent="0.25">
      <c r="A48" s="10">
        <v>41004</v>
      </c>
      <c r="F48" s="84"/>
      <c r="G48" s="84"/>
    </row>
    <row r="49" spans="1:7" x14ac:dyDescent="0.25">
      <c r="A49" s="10">
        <v>41011</v>
      </c>
      <c r="F49" s="84"/>
      <c r="G49" s="84"/>
    </row>
    <row r="50" spans="1:7" x14ac:dyDescent="0.25">
      <c r="A50" s="10">
        <v>41018</v>
      </c>
      <c r="F50" s="84"/>
      <c r="G50" s="84"/>
    </row>
    <row r="51" spans="1:7" x14ac:dyDescent="0.25">
      <c r="A51" s="10">
        <v>41025</v>
      </c>
      <c r="F51" s="84"/>
      <c r="G51" s="84"/>
    </row>
    <row r="52" spans="1:7" x14ac:dyDescent="0.25">
      <c r="A52" s="10">
        <v>41032</v>
      </c>
      <c r="F52" s="84"/>
      <c r="G52" s="84"/>
    </row>
    <row r="53" spans="1:7" x14ac:dyDescent="0.25">
      <c r="A53" s="10">
        <v>41039</v>
      </c>
      <c r="F53" s="84"/>
      <c r="G53" s="84"/>
    </row>
    <row r="54" spans="1:7" x14ac:dyDescent="0.25">
      <c r="A54" s="10">
        <v>41046</v>
      </c>
      <c r="F54" s="84"/>
      <c r="G54" s="84"/>
    </row>
    <row r="55" spans="1:7" x14ac:dyDescent="0.25">
      <c r="A55" s="10">
        <v>41053</v>
      </c>
      <c r="F55" s="84"/>
      <c r="G55" s="84"/>
    </row>
    <row r="56" spans="1:7" x14ac:dyDescent="0.25">
      <c r="A56" s="10">
        <v>41060</v>
      </c>
      <c r="F56" s="84"/>
      <c r="G56" s="84"/>
    </row>
    <row r="57" spans="1:7" x14ac:dyDescent="0.25">
      <c r="A57" s="10">
        <v>41067</v>
      </c>
      <c r="F57" s="84"/>
      <c r="G57" s="84"/>
    </row>
    <row r="58" spans="1:7" x14ac:dyDescent="0.25">
      <c r="A58" s="10">
        <v>41074</v>
      </c>
      <c r="F58" s="84"/>
      <c r="G58" s="84"/>
    </row>
    <row r="59" spans="1:7" x14ac:dyDescent="0.25">
      <c r="A59" s="10">
        <v>41081</v>
      </c>
      <c r="F59" s="84"/>
      <c r="G59" s="84"/>
    </row>
    <row r="60" spans="1:7" x14ac:dyDescent="0.25">
      <c r="A60" s="10">
        <v>41088</v>
      </c>
      <c r="F60" s="84"/>
      <c r="G60" s="84"/>
    </row>
    <row r="61" spans="1:7" x14ac:dyDescent="0.25">
      <c r="A61" s="10">
        <v>41095</v>
      </c>
      <c r="F61" s="84"/>
      <c r="G61" s="84"/>
    </row>
    <row r="62" spans="1:7" x14ac:dyDescent="0.25">
      <c r="A62" s="10">
        <v>41102</v>
      </c>
      <c r="F62" s="84"/>
      <c r="G62" s="84"/>
    </row>
    <row r="63" spans="1:7" x14ac:dyDescent="0.25">
      <c r="A63" s="10">
        <v>41109</v>
      </c>
      <c r="F63" s="84"/>
      <c r="G63" s="84"/>
    </row>
    <row r="64" spans="1:7" x14ac:dyDescent="0.25">
      <c r="A64" s="10">
        <v>41116</v>
      </c>
      <c r="F64" s="84"/>
      <c r="G64" s="84"/>
    </row>
    <row r="65" spans="1:7" x14ac:dyDescent="0.25">
      <c r="A65" s="10">
        <v>41123</v>
      </c>
      <c r="F65" s="84"/>
      <c r="G65" s="84"/>
    </row>
    <row r="66" spans="1:7" x14ac:dyDescent="0.25">
      <c r="A66" s="10">
        <v>41130</v>
      </c>
      <c r="F66" s="84"/>
      <c r="G66" s="84"/>
    </row>
    <row r="67" spans="1:7" x14ac:dyDescent="0.25">
      <c r="A67" s="10">
        <v>41137</v>
      </c>
      <c r="F67" s="84"/>
      <c r="G67" s="84"/>
    </row>
    <row r="68" spans="1:7" x14ac:dyDescent="0.25">
      <c r="A68" s="10">
        <v>41144</v>
      </c>
      <c r="F68" s="84"/>
      <c r="G68" s="84"/>
    </row>
    <row r="69" spans="1:7" x14ac:dyDescent="0.25">
      <c r="A69" s="10">
        <v>41151</v>
      </c>
      <c r="F69" s="84"/>
      <c r="G69" s="84"/>
    </row>
    <row r="70" spans="1:7" x14ac:dyDescent="0.25">
      <c r="A70" s="10">
        <v>41158</v>
      </c>
      <c r="F70" s="84"/>
      <c r="G70" s="84"/>
    </row>
    <row r="71" spans="1:7" x14ac:dyDescent="0.25">
      <c r="A71" s="10">
        <v>41165</v>
      </c>
      <c r="F71" s="84"/>
      <c r="G71" s="84"/>
    </row>
    <row r="72" spans="1:7" x14ac:dyDescent="0.25">
      <c r="A72" s="10">
        <v>41172</v>
      </c>
      <c r="F72" s="84"/>
      <c r="G72" s="84"/>
    </row>
    <row r="73" spans="1:7" x14ac:dyDescent="0.25">
      <c r="A73" s="10">
        <v>41179</v>
      </c>
      <c r="F73" s="84"/>
      <c r="G73" s="84"/>
    </row>
    <row r="74" spans="1:7" x14ac:dyDescent="0.25">
      <c r="A74" s="10">
        <v>41186</v>
      </c>
      <c r="F74" s="84"/>
      <c r="G74" s="84"/>
    </row>
    <row r="75" spans="1:7" x14ac:dyDescent="0.25">
      <c r="A75" s="10">
        <v>41193</v>
      </c>
      <c r="F75" s="84"/>
      <c r="G75" s="84"/>
    </row>
    <row r="76" spans="1:7" x14ac:dyDescent="0.25">
      <c r="A76" s="10">
        <v>41200</v>
      </c>
      <c r="F76" s="84"/>
      <c r="G76" s="84"/>
    </row>
    <row r="77" spans="1:7" x14ac:dyDescent="0.25">
      <c r="A77" s="10">
        <v>41207</v>
      </c>
      <c r="F77" s="84"/>
      <c r="G77" s="84"/>
    </row>
    <row r="78" spans="1:7" x14ac:dyDescent="0.25">
      <c r="A78" s="10">
        <v>41214</v>
      </c>
      <c r="F78" s="84"/>
      <c r="G78" s="84"/>
    </row>
    <row r="79" spans="1:7" x14ac:dyDescent="0.25">
      <c r="A79" s="10">
        <v>41221</v>
      </c>
      <c r="F79" s="84"/>
      <c r="G79" s="84"/>
    </row>
    <row r="80" spans="1:7" x14ac:dyDescent="0.25">
      <c r="A80" s="10">
        <v>41228</v>
      </c>
      <c r="F80" s="84"/>
      <c r="G80" s="84"/>
    </row>
    <row r="81" spans="1:7" x14ac:dyDescent="0.25">
      <c r="A81" s="10">
        <v>41235</v>
      </c>
      <c r="F81" s="84"/>
      <c r="G81" s="84"/>
    </row>
    <row r="82" spans="1:7" x14ac:dyDescent="0.25">
      <c r="A82" s="10">
        <v>41242</v>
      </c>
      <c r="F82" s="84"/>
      <c r="G82" s="84"/>
    </row>
    <row r="83" spans="1:7" x14ac:dyDescent="0.25">
      <c r="A83" s="10">
        <v>41249</v>
      </c>
      <c r="F83" s="84"/>
      <c r="G83" s="84"/>
    </row>
    <row r="84" spans="1:7" x14ac:dyDescent="0.25">
      <c r="A84" s="10">
        <v>41256</v>
      </c>
      <c r="F84" s="84"/>
      <c r="G84" s="84"/>
    </row>
    <row r="85" spans="1:7" x14ac:dyDescent="0.25">
      <c r="A85" s="10">
        <v>41263</v>
      </c>
      <c r="F85" s="84"/>
      <c r="G85" s="84"/>
    </row>
    <row r="86" spans="1:7" x14ac:dyDescent="0.25">
      <c r="A86" s="10">
        <v>41270</v>
      </c>
      <c r="F86" s="84"/>
      <c r="G86" s="84"/>
    </row>
    <row r="87" spans="1:7" x14ac:dyDescent="0.25">
      <c r="A87" s="10">
        <v>41277</v>
      </c>
      <c r="F87" s="84"/>
      <c r="G87" s="84"/>
    </row>
    <row r="88" spans="1:7" x14ac:dyDescent="0.25">
      <c r="A88" s="10">
        <v>41284</v>
      </c>
      <c r="F88" s="84"/>
      <c r="G88" s="84"/>
    </row>
    <row r="89" spans="1:7" x14ac:dyDescent="0.25">
      <c r="A89" s="10">
        <v>41291</v>
      </c>
      <c r="F89" s="84"/>
      <c r="G89" s="84"/>
    </row>
    <row r="90" spans="1:7" x14ac:dyDescent="0.25">
      <c r="A90" s="10">
        <v>41298</v>
      </c>
      <c r="F90" s="84"/>
      <c r="G90" s="84"/>
    </row>
    <row r="91" spans="1:7" x14ac:dyDescent="0.25">
      <c r="A91" s="10">
        <v>41305</v>
      </c>
      <c r="F91" s="84"/>
      <c r="G91" s="84"/>
    </row>
    <row r="92" spans="1:7" x14ac:dyDescent="0.25">
      <c r="A92" s="10">
        <v>41312</v>
      </c>
      <c r="F92" s="84"/>
      <c r="G92" s="84"/>
    </row>
    <row r="93" spans="1:7" x14ac:dyDescent="0.25">
      <c r="A93" s="10">
        <v>41319</v>
      </c>
      <c r="F93" s="84"/>
      <c r="G93" s="84"/>
    </row>
    <row r="94" spans="1:7" x14ac:dyDescent="0.25">
      <c r="A94" s="10">
        <v>41326</v>
      </c>
      <c r="F94" s="84"/>
      <c r="G94" s="84"/>
    </row>
    <row r="95" spans="1:7" x14ac:dyDescent="0.25">
      <c r="A95" s="10">
        <v>41333</v>
      </c>
      <c r="F95" s="84"/>
      <c r="G95" s="84"/>
    </row>
    <row r="96" spans="1:7" x14ac:dyDescent="0.25">
      <c r="A96" s="10">
        <v>41340</v>
      </c>
      <c r="F96" s="84"/>
      <c r="G96" s="84"/>
    </row>
    <row r="97" spans="1:7" x14ac:dyDescent="0.25">
      <c r="A97" s="10">
        <v>41347</v>
      </c>
      <c r="F97" s="84"/>
      <c r="G97" s="84"/>
    </row>
    <row r="98" spans="1:7" x14ac:dyDescent="0.25">
      <c r="A98" s="10">
        <v>41354</v>
      </c>
      <c r="F98" s="84"/>
      <c r="G98" s="84"/>
    </row>
    <row r="99" spans="1:7" x14ac:dyDescent="0.25">
      <c r="A99" s="10">
        <v>41361</v>
      </c>
      <c r="F99" s="84"/>
      <c r="G99" s="84"/>
    </row>
    <row r="100" spans="1:7" x14ac:dyDescent="0.25">
      <c r="A100" s="10">
        <v>41368</v>
      </c>
      <c r="F100" s="84"/>
      <c r="G100" s="84"/>
    </row>
    <row r="101" spans="1:7" x14ac:dyDescent="0.25">
      <c r="A101" s="10">
        <v>41375</v>
      </c>
      <c r="F101" s="84"/>
      <c r="G101" s="84"/>
    </row>
    <row r="102" spans="1:7" x14ac:dyDescent="0.25">
      <c r="A102" s="10">
        <v>41382</v>
      </c>
      <c r="F102" s="84"/>
      <c r="G102" s="84"/>
    </row>
    <row r="103" spans="1:7" x14ac:dyDescent="0.25">
      <c r="A103" s="10">
        <v>41389</v>
      </c>
      <c r="F103" s="84"/>
      <c r="G103" s="84"/>
    </row>
    <row r="104" spans="1:7" x14ac:dyDescent="0.25">
      <c r="A104" s="10">
        <v>41396</v>
      </c>
      <c r="F104" s="84"/>
      <c r="G104" s="84"/>
    </row>
    <row r="105" spans="1:7" x14ac:dyDescent="0.25">
      <c r="A105" s="10">
        <v>41403</v>
      </c>
      <c r="F105" s="84"/>
      <c r="G105" s="84"/>
    </row>
    <row r="106" spans="1:7" x14ac:dyDescent="0.25">
      <c r="A106" s="10">
        <v>41410</v>
      </c>
      <c r="F106" s="84"/>
      <c r="G106" s="84"/>
    </row>
    <row r="107" spans="1:7" x14ac:dyDescent="0.25">
      <c r="A107" s="10">
        <v>41417</v>
      </c>
      <c r="F107" s="84"/>
      <c r="G107" s="84"/>
    </row>
    <row r="108" spans="1:7" x14ac:dyDescent="0.25">
      <c r="A108" s="10">
        <v>41424</v>
      </c>
      <c r="F108" s="84"/>
      <c r="G108" s="84"/>
    </row>
    <row r="109" spans="1:7" x14ac:dyDescent="0.25">
      <c r="A109" s="10">
        <v>41431</v>
      </c>
    </row>
    <row r="110" spans="1:7" x14ac:dyDescent="0.25">
      <c r="A110" s="10">
        <v>41438</v>
      </c>
    </row>
    <row r="111" spans="1:7" x14ac:dyDescent="0.25">
      <c r="A111" s="10">
        <v>41445</v>
      </c>
    </row>
    <row r="112" spans="1:7" x14ac:dyDescent="0.25">
      <c r="A112" s="10">
        <v>41452</v>
      </c>
    </row>
    <row r="113" spans="1:10" x14ac:dyDescent="0.25">
      <c r="A113" s="10">
        <v>41459</v>
      </c>
    </row>
    <row r="114" spans="1:10" x14ac:dyDescent="0.25">
      <c r="A114" s="10">
        <v>41466</v>
      </c>
      <c r="F114" s="84"/>
      <c r="G114" s="84"/>
    </row>
    <row r="115" spans="1:10" x14ac:dyDescent="0.25">
      <c r="A115" s="10">
        <v>41473</v>
      </c>
    </row>
    <row r="116" spans="1:10" x14ac:dyDescent="0.25">
      <c r="A116" s="10">
        <v>41480</v>
      </c>
      <c r="B116">
        <v>352.8</v>
      </c>
      <c r="C116">
        <v>27</v>
      </c>
      <c r="D116">
        <v>930.7</v>
      </c>
      <c r="E116">
        <v>23</v>
      </c>
      <c r="F116">
        <f t="shared" ref="F116:G118" si="0">+B116+D116</f>
        <v>1283.5</v>
      </c>
      <c r="G116">
        <f t="shared" si="0"/>
        <v>50</v>
      </c>
    </row>
    <row r="117" spans="1:10" x14ac:dyDescent="0.25">
      <c r="A117" s="10">
        <v>41487</v>
      </c>
      <c r="B117">
        <v>400.8</v>
      </c>
      <c r="C117">
        <v>27</v>
      </c>
      <c r="D117">
        <v>1052.2</v>
      </c>
      <c r="E117">
        <v>23</v>
      </c>
      <c r="F117">
        <f t="shared" si="0"/>
        <v>1453</v>
      </c>
      <c r="G117">
        <f t="shared" si="0"/>
        <v>50</v>
      </c>
    </row>
    <row r="118" spans="1:10" x14ac:dyDescent="0.25">
      <c r="A118" s="10">
        <v>41494</v>
      </c>
      <c r="B118">
        <v>340.1</v>
      </c>
      <c r="C118">
        <v>27</v>
      </c>
      <c r="D118">
        <v>1253.5999999999999</v>
      </c>
      <c r="E118">
        <v>23</v>
      </c>
      <c r="F118">
        <f t="shared" si="0"/>
        <v>1593.6999999999998</v>
      </c>
      <c r="G118">
        <f t="shared" si="0"/>
        <v>50</v>
      </c>
    </row>
    <row r="119" spans="1:10" x14ac:dyDescent="0.25">
      <c r="A119" s="10">
        <v>41501</v>
      </c>
      <c r="B119">
        <v>418.1</v>
      </c>
      <c r="C119">
        <v>27</v>
      </c>
      <c r="D119">
        <v>1364.4</v>
      </c>
      <c r="E119">
        <v>23</v>
      </c>
      <c r="F119">
        <f t="shared" ref="F119:G126" si="1">+B119+D119</f>
        <v>1782.5</v>
      </c>
      <c r="G119">
        <f t="shared" si="1"/>
        <v>50</v>
      </c>
    </row>
    <row r="120" spans="1:10" x14ac:dyDescent="0.25">
      <c r="A120" s="10">
        <v>41508</v>
      </c>
      <c r="B120">
        <v>445.6</v>
      </c>
      <c r="C120">
        <v>27</v>
      </c>
      <c r="D120">
        <v>1425.8</v>
      </c>
      <c r="E120">
        <v>23</v>
      </c>
      <c r="F120">
        <f t="shared" si="1"/>
        <v>1871.4</v>
      </c>
      <c r="G120">
        <f t="shared" si="1"/>
        <v>50</v>
      </c>
    </row>
    <row r="121" spans="1:10" x14ac:dyDescent="0.25">
      <c r="A121" s="10">
        <v>41515</v>
      </c>
      <c r="B121">
        <v>460.5</v>
      </c>
      <c r="C121">
        <v>27</v>
      </c>
      <c r="D121">
        <v>1597.9</v>
      </c>
      <c r="E121">
        <v>23</v>
      </c>
      <c r="F121">
        <f t="shared" si="1"/>
        <v>2058.4</v>
      </c>
      <c r="G121">
        <f t="shared" si="1"/>
        <v>50</v>
      </c>
    </row>
    <row r="122" spans="1:10" x14ac:dyDescent="0.25">
      <c r="A122" s="10">
        <v>41522</v>
      </c>
      <c r="B122">
        <v>494.5</v>
      </c>
      <c r="C122">
        <v>27</v>
      </c>
      <c r="D122">
        <v>1774.7</v>
      </c>
      <c r="E122">
        <v>23</v>
      </c>
      <c r="F122">
        <f t="shared" si="1"/>
        <v>2269.1999999999998</v>
      </c>
      <c r="G122">
        <f t="shared" si="1"/>
        <v>50</v>
      </c>
    </row>
    <row r="123" spans="1:10" x14ac:dyDescent="0.25">
      <c r="A123" s="10">
        <v>41529</v>
      </c>
      <c r="B123">
        <v>428.5</v>
      </c>
      <c r="C123">
        <v>0</v>
      </c>
      <c r="D123">
        <v>1961.1</v>
      </c>
      <c r="E123">
        <v>46</v>
      </c>
      <c r="F123">
        <f t="shared" si="1"/>
        <v>2389.6</v>
      </c>
      <c r="G123">
        <f t="shared" si="1"/>
        <v>46</v>
      </c>
    </row>
    <row r="124" spans="1:10" x14ac:dyDescent="0.25">
      <c r="A124" s="10">
        <v>41536</v>
      </c>
      <c r="B124">
        <v>389</v>
      </c>
      <c r="C124">
        <v>0</v>
      </c>
      <c r="D124">
        <v>2075.3000000000002</v>
      </c>
      <c r="E124">
        <v>46</v>
      </c>
      <c r="F124">
        <f t="shared" si="1"/>
        <v>2464.3000000000002</v>
      </c>
      <c r="G124">
        <f t="shared" si="1"/>
        <v>46</v>
      </c>
    </row>
    <row r="125" spans="1:10" ht="15" x14ac:dyDescent="0.25">
      <c r="A125" s="10">
        <v>41543</v>
      </c>
      <c r="B125">
        <v>397.9</v>
      </c>
      <c r="C125">
        <v>0</v>
      </c>
      <c r="D125">
        <v>2137.9</v>
      </c>
      <c r="E125">
        <v>46</v>
      </c>
      <c r="F125">
        <f t="shared" si="1"/>
        <v>2535.8000000000002</v>
      </c>
      <c r="G125">
        <f t="shared" si="1"/>
        <v>46</v>
      </c>
      <c r="J125" s="75"/>
    </row>
    <row r="126" spans="1:10" x14ac:dyDescent="0.25">
      <c r="A126" s="10">
        <v>41550</v>
      </c>
      <c r="B126">
        <v>457.9</v>
      </c>
      <c r="C126">
        <v>0</v>
      </c>
      <c r="D126">
        <v>2270.5</v>
      </c>
      <c r="E126">
        <v>46</v>
      </c>
      <c r="F126">
        <f t="shared" si="1"/>
        <v>2728.4</v>
      </c>
      <c r="G126">
        <f t="shared" si="1"/>
        <v>46</v>
      </c>
    </row>
    <row r="127" spans="1:10" x14ac:dyDescent="0.25">
      <c r="A127" s="10">
        <v>41557</v>
      </c>
    </row>
    <row r="128" spans="1:10" x14ac:dyDescent="0.25">
      <c r="A128" s="10">
        <v>41564</v>
      </c>
    </row>
    <row r="129" spans="1:10" x14ac:dyDescent="0.25">
      <c r="A129" s="10">
        <v>41571</v>
      </c>
      <c r="B129">
        <v>469.3</v>
      </c>
      <c r="C129">
        <v>0</v>
      </c>
      <c r="D129">
        <v>2652.4</v>
      </c>
      <c r="E129">
        <v>46</v>
      </c>
      <c r="F129">
        <f t="shared" ref="F129:G131" si="2">+B129+D129</f>
        <v>3121.7000000000003</v>
      </c>
      <c r="G129">
        <f t="shared" si="2"/>
        <v>46</v>
      </c>
    </row>
    <row r="130" spans="1:10" x14ac:dyDescent="0.25">
      <c r="A130" s="10">
        <v>41578</v>
      </c>
      <c r="B130">
        <v>411.8</v>
      </c>
      <c r="C130">
        <v>0</v>
      </c>
      <c r="D130">
        <v>2737.6</v>
      </c>
      <c r="E130">
        <v>46</v>
      </c>
      <c r="F130">
        <f t="shared" si="2"/>
        <v>3149.4</v>
      </c>
      <c r="G130">
        <f t="shared" si="2"/>
        <v>46</v>
      </c>
    </row>
    <row r="131" spans="1:10" ht="15" x14ac:dyDescent="0.25">
      <c r="A131" s="10">
        <v>41585</v>
      </c>
      <c r="B131">
        <v>386.8</v>
      </c>
      <c r="C131">
        <v>0</v>
      </c>
      <c r="D131">
        <v>2763.9</v>
      </c>
      <c r="E131">
        <v>46</v>
      </c>
      <c r="F131">
        <f t="shared" si="2"/>
        <v>3150.7000000000003</v>
      </c>
      <c r="G131">
        <f t="shared" si="2"/>
        <v>46</v>
      </c>
      <c r="J131" s="75"/>
    </row>
    <row r="132" spans="1:10" x14ac:dyDescent="0.25">
      <c r="A132" s="10">
        <v>41592</v>
      </c>
      <c r="B132">
        <v>332.9</v>
      </c>
      <c r="C132">
        <v>17</v>
      </c>
      <c r="D132">
        <v>2891.6</v>
      </c>
      <c r="E132">
        <v>46</v>
      </c>
      <c r="F132">
        <f>+B132+D132</f>
        <v>3224.5</v>
      </c>
      <c r="G132">
        <f>+C132+E132</f>
        <v>63</v>
      </c>
    </row>
    <row r="133" spans="1:10" x14ac:dyDescent="0.25">
      <c r="A133" s="10">
        <v>41599</v>
      </c>
      <c r="B133">
        <v>302.89999999999998</v>
      </c>
      <c r="C133">
        <v>17</v>
      </c>
      <c r="D133">
        <v>2924.6</v>
      </c>
      <c r="E133">
        <v>46</v>
      </c>
      <c r="F133">
        <f>+B133+D133</f>
        <v>3227.5</v>
      </c>
      <c r="G133">
        <f>+C133+E133</f>
        <v>63</v>
      </c>
    </row>
    <row r="134" spans="1:10" x14ac:dyDescent="0.25">
      <c r="A134" s="10">
        <v>41606</v>
      </c>
    </row>
    <row r="135" spans="1:10" x14ac:dyDescent="0.25">
      <c r="A135" s="10">
        <v>41613</v>
      </c>
    </row>
    <row r="136" spans="1:10" x14ac:dyDescent="0.25">
      <c r="A136" s="10">
        <v>41620</v>
      </c>
    </row>
    <row r="137" spans="1:10" x14ac:dyDescent="0.25">
      <c r="A137" s="10">
        <v>41627</v>
      </c>
    </row>
    <row r="138" spans="1:10" x14ac:dyDescent="0.25">
      <c r="A138" s="10">
        <v>41634</v>
      </c>
    </row>
    <row r="139" spans="1:10" x14ac:dyDescent="0.25">
      <c r="A139" s="10">
        <v>41641</v>
      </c>
    </row>
    <row r="140" spans="1:10" x14ac:dyDescent="0.25">
      <c r="A140" s="10">
        <v>41648</v>
      </c>
    </row>
    <row r="141" spans="1:10" x14ac:dyDescent="0.25">
      <c r="A141" s="10">
        <v>41655</v>
      </c>
    </row>
    <row r="142" spans="1:10" x14ac:dyDescent="0.25">
      <c r="A142" s="10">
        <v>41662</v>
      </c>
    </row>
    <row r="143" spans="1:10" x14ac:dyDescent="0.25">
      <c r="A143" s="10">
        <v>41669</v>
      </c>
    </row>
    <row r="144" spans="1:10" x14ac:dyDescent="0.25">
      <c r="A144" s="10">
        <v>41676</v>
      </c>
    </row>
    <row r="145" spans="1:1" x14ac:dyDescent="0.25">
      <c r="A145" s="10">
        <v>41683</v>
      </c>
    </row>
    <row r="146" spans="1:1" x14ac:dyDescent="0.25">
      <c r="A146" s="10">
        <v>41690</v>
      </c>
    </row>
    <row r="147" spans="1:1" x14ac:dyDescent="0.25">
      <c r="A147" s="10">
        <v>41697</v>
      </c>
    </row>
    <row r="148" spans="1:1" x14ac:dyDescent="0.25">
      <c r="A148" s="10">
        <v>41704</v>
      </c>
    </row>
    <row r="149" spans="1:1" x14ac:dyDescent="0.25">
      <c r="A149" s="10">
        <v>41711</v>
      </c>
    </row>
    <row r="150" spans="1:1" x14ac:dyDescent="0.25">
      <c r="A150" s="10">
        <v>41718</v>
      </c>
    </row>
    <row r="151" spans="1:1" x14ac:dyDescent="0.25">
      <c r="A151" s="10">
        <v>41725</v>
      </c>
    </row>
    <row r="152" spans="1:1" x14ac:dyDescent="0.25">
      <c r="A152" s="10">
        <v>41732</v>
      </c>
    </row>
    <row r="153" spans="1:1" x14ac:dyDescent="0.25">
      <c r="A153" s="10">
        <v>41739</v>
      </c>
    </row>
    <row r="154" spans="1:1" x14ac:dyDescent="0.25">
      <c r="A154" s="10">
        <v>41746</v>
      </c>
    </row>
    <row r="155" spans="1:1" x14ac:dyDescent="0.25">
      <c r="A155" s="10">
        <v>41753</v>
      </c>
    </row>
    <row r="156" spans="1:1" x14ac:dyDescent="0.25">
      <c r="A156" s="10">
        <v>41760</v>
      </c>
    </row>
    <row r="157" spans="1:1" x14ac:dyDescent="0.25">
      <c r="A157" s="10">
        <v>41767</v>
      </c>
    </row>
    <row r="158" spans="1:1" x14ac:dyDescent="0.25">
      <c r="A158" s="10">
        <v>41774</v>
      </c>
    </row>
    <row r="159" spans="1:1" x14ac:dyDescent="0.25">
      <c r="A159" s="10">
        <v>41781</v>
      </c>
    </row>
    <row r="160" spans="1:1" x14ac:dyDescent="0.25">
      <c r="A160" s="10">
        <v>41788</v>
      </c>
    </row>
    <row r="161" spans="1:1" x14ac:dyDescent="0.25">
      <c r="A161" s="10">
        <v>41795</v>
      </c>
    </row>
    <row r="162" spans="1:1" x14ac:dyDescent="0.25">
      <c r="A162" s="10">
        <v>41802</v>
      </c>
    </row>
    <row r="163" spans="1:1" x14ac:dyDescent="0.25">
      <c r="A163" s="10">
        <v>41809</v>
      </c>
    </row>
    <row r="164" spans="1:1" x14ac:dyDescent="0.25">
      <c r="A164" s="10">
        <v>41816</v>
      </c>
    </row>
    <row r="165" spans="1:1" x14ac:dyDescent="0.25">
      <c r="A165" s="10">
        <v>41823</v>
      </c>
    </row>
    <row r="166" spans="1:1" x14ac:dyDescent="0.25">
      <c r="A166" s="10">
        <v>41830</v>
      </c>
    </row>
    <row r="167" spans="1:1" x14ac:dyDescent="0.25">
      <c r="A167" s="10">
        <v>41837</v>
      </c>
    </row>
    <row r="168" spans="1:1" x14ac:dyDescent="0.25">
      <c r="A168" s="10">
        <v>41844</v>
      </c>
    </row>
    <row r="169" spans="1:1" x14ac:dyDescent="0.25">
      <c r="A169" s="10">
        <v>41851</v>
      </c>
    </row>
    <row r="170" spans="1:1" x14ac:dyDescent="0.25">
      <c r="A170" s="10">
        <v>41858</v>
      </c>
    </row>
    <row r="171" spans="1:1" x14ac:dyDescent="0.25">
      <c r="A171" s="10">
        <v>41865</v>
      </c>
    </row>
    <row r="172" spans="1:1" x14ac:dyDescent="0.25">
      <c r="A172" s="10">
        <v>41872</v>
      </c>
    </row>
    <row r="173" spans="1:1" x14ac:dyDescent="0.25">
      <c r="A173" s="10">
        <v>41879</v>
      </c>
    </row>
    <row r="174" spans="1:1" x14ac:dyDescent="0.25">
      <c r="A174" s="10">
        <v>41886</v>
      </c>
    </row>
    <row r="175" spans="1:1" x14ac:dyDescent="0.25">
      <c r="A175" s="10">
        <v>41893</v>
      </c>
    </row>
    <row r="176" spans="1:1" x14ac:dyDescent="0.25">
      <c r="A176" s="10">
        <v>41900</v>
      </c>
    </row>
    <row r="177" spans="1:1" x14ac:dyDescent="0.25">
      <c r="A177" s="10">
        <v>41907</v>
      </c>
    </row>
    <row r="178" spans="1:1" x14ac:dyDescent="0.25">
      <c r="A178" s="10">
        <v>41914</v>
      </c>
    </row>
    <row r="179" spans="1:1" x14ac:dyDescent="0.25">
      <c r="A179" s="10">
        <v>41921</v>
      </c>
    </row>
    <row r="180" spans="1:1" x14ac:dyDescent="0.25">
      <c r="A180" s="10">
        <v>41928</v>
      </c>
    </row>
    <row r="181" spans="1:1" x14ac:dyDescent="0.25">
      <c r="A181" s="10">
        <v>41935</v>
      </c>
    </row>
    <row r="182" spans="1:1" x14ac:dyDescent="0.25">
      <c r="A182" s="10">
        <v>41942</v>
      </c>
    </row>
    <row r="183" spans="1:1" x14ac:dyDescent="0.25">
      <c r="A183" s="10">
        <v>41949</v>
      </c>
    </row>
    <row r="184" spans="1:1" x14ac:dyDescent="0.25">
      <c r="A184" s="10">
        <v>41956</v>
      </c>
    </row>
    <row r="185" spans="1:1" x14ac:dyDescent="0.25">
      <c r="A185" s="10">
        <v>41963</v>
      </c>
    </row>
    <row r="186" spans="1:1" x14ac:dyDescent="0.25">
      <c r="A186" s="10">
        <v>41970</v>
      </c>
    </row>
    <row r="187" spans="1:1" x14ac:dyDescent="0.25">
      <c r="A187" s="10">
        <v>41977</v>
      </c>
    </row>
    <row r="188" spans="1:1" x14ac:dyDescent="0.25">
      <c r="A188" s="10">
        <v>41984</v>
      </c>
    </row>
    <row r="189" spans="1:1" x14ac:dyDescent="0.25">
      <c r="A189" s="10">
        <v>41991</v>
      </c>
    </row>
    <row r="190" spans="1:1" x14ac:dyDescent="0.25">
      <c r="A190" s="10">
        <v>41998</v>
      </c>
    </row>
    <row r="191" spans="1:1" x14ac:dyDescent="0.25">
      <c r="A191" s="10">
        <v>42005</v>
      </c>
    </row>
    <row r="192" spans="1:1" x14ac:dyDescent="0.25">
      <c r="A192" s="10">
        <v>42012</v>
      </c>
    </row>
    <row r="193" spans="1:1" x14ac:dyDescent="0.25">
      <c r="A193" s="10">
        <v>42019</v>
      </c>
    </row>
    <row r="194" spans="1:1" x14ac:dyDescent="0.25">
      <c r="A194" s="10">
        <v>42026</v>
      </c>
    </row>
    <row r="195" spans="1:1" x14ac:dyDescent="0.25">
      <c r="A195" s="10">
        <v>42033</v>
      </c>
    </row>
    <row r="196" spans="1:1" x14ac:dyDescent="0.25">
      <c r="A196" s="10">
        <v>42040</v>
      </c>
    </row>
    <row r="197" spans="1:1" x14ac:dyDescent="0.25">
      <c r="A197" s="10">
        <v>42047</v>
      </c>
    </row>
    <row r="198" spans="1:1" x14ac:dyDescent="0.25">
      <c r="A198" s="10">
        <v>42054</v>
      </c>
    </row>
    <row r="199" spans="1:1" x14ac:dyDescent="0.25">
      <c r="A199" s="10">
        <v>42061</v>
      </c>
    </row>
    <row r="200" spans="1:1" x14ac:dyDescent="0.25">
      <c r="A200" s="10">
        <v>42068</v>
      </c>
    </row>
    <row r="201" spans="1:1" x14ac:dyDescent="0.25">
      <c r="A201" s="10">
        <v>42075</v>
      </c>
    </row>
    <row r="202" spans="1:1" x14ac:dyDescent="0.25">
      <c r="A202" s="10">
        <v>42082</v>
      </c>
    </row>
    <row r="203" spans="1:1" x14ac:dyDescent="0.25">
      <c r="A203" s="10">
        <v>42089</v>
      </c>
    </row>
    <row r="204" spans="1:1" x14ac:dyDescent="0.25">
      <c r="A204" s="10">
        <v>42096</v>
      </c>
    </row>
    <row r="205" spans="1:1" x14ac:dyDescent="0.25">
      <c r="A205" s="10">
        <v>42103</v>
      </c>
    </row>
    <row r="206" spans="1:1" x14ac:dyDescent="0.25">
      <c r="A206" s="10">
        <v>42110</v>
      </c>
    </row>
    <row r="207" spans="1:1" x14ac:dyDescent="0.25">
      <c r="A207" s="10">
        <v>42117</v>
      </c>
    </row>
    <row r="208" spans="1:1" x14ac:dyDescent="0.25">
      <c r="A208" s="10">
        <v>42124</v>
      </c>
    </row>
    <row r="209" spans="1:1" x14ac:dyDescent="0.25">
      <c r="A209" s="10">
        <v>42131</v>
      </c>
    </row>
    <row r="210" spans="1:1" x14ac:dyDescent="0.25">
      <c r="A210" s="10">
        <v>42138</v>
      </c>
    </row>
    <row r="211" spans="1:1" x14ac:dyDescent="0.25">
      <c r="A211" s="10">
        <v>42145</v>
      </c>
    </row>
    <row r="212" spans="1:1" x14ac:dyDescent="0.25">
      <c r="A212" s="10">
        <v>42152</v>
      </c>
    </row>
    <row r="213" spans="1:1" x14ac:dyDescent="0.25">
      <c r="A213" s="10">
        <v>42159</v>
      </c>
    </row>
    <row r="214" spans="1:1" x14ac:dyDescent="0.25">
      <c r="A214" s="10">
        <v>42166</v>
      </c>
    </row>
    <row r="215" spans="1:1" x14ac:dyDescent="0.25">
      <c r="A215" s="10">
        <v>42173</v>
      </c>
    </row>
    <row r="216" spans="1:1" x14ac:dyDescent="0.25">
      <c r="A216" s="10">
        <v>42180</v>
      </c>
    </row>
    <row r="217" spans="1:1" x14ac:dyDescent="0.25">
      <c r="A217" s="10">
        <v>42187</v>
      </c>
    </row>
    <row r="218" spans="1:1" x14ac:dyDescent="0.25">
      <c r="A218" s="10">
        <v>42194</v>
      </c>
    </row>
    <row r="219" spans="1:1" x14ac:dyDescent="0.25">
      <c r="A219" s="10">
        <v>42201</v>
      </c>
    </row>
    <row r="220" spans="1:1" x14ac:dyDescent="0.25">
      <c r="A220" s="10">
        <v>42208</v>
      </c>
    </row>
    <row r="221" spans="1:1" x14ac:dyDescent="0.25">
      <c r="A221" s="10">
        <v>42215</v>
      </c>
    </row>
    <row r="222" spans="1:1" x14ac:dyDescent="0.25">
      <c r="A222" s="10">
        <v>42222</v>
      </c>
    </row>
    <row r="223" spans="1:1" x14ac:dyDescent="0.25">
      <c r="A223" s="10">
        <v>42229</v>
      </c>
    </row>
    <row r="224" spans="1:1" x14ac:dyDescent="0.25">
      <c r="A224" s="10">
        <v>42236</v>
      </c>
    </row>
    <row r="225" spans="1:1" x14ac:dyDescent="0.25">
      <c r="A225" s="10">
        <v>42243</v>
      </c>
    </row>
    <row r="226" spans="1:1" x14ac:dyDescent="0.25">
      <c r="A226" s="10">
        <v>42250</v>
      </c>
    </row>
    <row r="227" spans="1:1" x14ac:dyDescent="0.25">
      <c r="A227" s="10">
        <v>42257</v>
      </c>
    </row>
    <row r="228" spans="1:1" x14ac:dyDescent="0.25">
      <c r="A228" s="10">
        <v>42264</v>
      </c>
    </row>
    <row r="229" spans="1:1" x14ac:dyDescent="0.25">
      <c r="A229" s="10">
        <v>42271</v>
      </c>
    </row>
    <row r="230" spans="1:1" x14ac:dyDescent="0.25">
      <c r="A230" s="10">
        <v>42278</v>
      </c>
    </row>
    <row r="231" spans="1:1" x14ac:dyDescent="0.25">
      <c r="A231" s="10">
        <v>42285</v>
      </c>
    </row>
    <row r="232" spans="1:1" x14ac:dyDescent="0.25">
      <c r="A232" s="10">
        <v>42292</v>
      </c>
    </row>
    <row r="233" spans="1:1" x14ac:dyDescent="0.25">
      <c r="A233" s="10">
        <v>42299</v>
      </c>
    </row>
    <row r="234" spans="1:1" x14ac:dyDescent="0.25">
      <c r="A234" s="10">
        <v>42306</v>
      </c>
    </row>
    <row r="235" spans="1:1" x14ac:dyDescent="0.25">
      <c r="A235" s="10">
        <v>42313</v>
      </c>
    </row>
    <row r="236" spans="1:1" x14ac:dyDescent="0.25">
      <c r="A236" s="10">
        <v>42320</v>
      </c>
    </row>
    <row r="237" spans="1:1" x14ac:dyDescent="0.25">
      <c r="A237" s="10">
        <v>42327</v>
      </c>
    </row>
    <row r="238" spans="1:1" x14ac:dyDescent="0.25">
      <c r="A238" s="10">
        <v>42334</v>
      </c>
    </row>
    <row r="239" spans="1:1" x14ac:dyDescent="0.25">
      <c r="A239" s="10">
        <v>42341</v>
      </c>
    </row>
    <row r="240" spans="1:1" x14ac:dyDescent="0.25">
      <c r="A240" s="10">
        <v>42348</v>
      </c>
    </row>
    <row r="241" spans="1:1" x14ac:dyDescent="0.25">
      <c r="A241" s="10">
        <v>42355</v>
      </c>
    </row>
    <row r="242" spans="1:1" x14ac:dyDescent="0.25">
      <c r="A242" s="10">
        <v>42362</v>
      </c>
    </row>
    <row r="243" spans="1:1" x14ac:dyDescent="0.25">
      <c r="A243" s="10">
        <v>42369</v>
      </c>
    </row>
    <row r="244" spans="1:1" x14ac:dyDescent="0.25">
      <c r="A244" s="10">
        <v>42376</v>
      </c>
    </row>
    <row r="245" spans="1:1" x14ac:dyDescent="0.25">
      <c r="A245" s="10">
        <v>42383</v>
      </c>
    </row>
    <row r="246" spans="1:1" x14ac:dyDescent="0.25">
      <c r="A246" s="10">
        <v>42390</v>
      </c>
    </row>
    <row r="247" spans="1:1" x14ac:dyDescent="0.25">
      <c r="A247" s="10">
        <v>42397</v>
      </c>
    </row>
    <row r="248" spans="1:1" x14ac:dyDescent="0.25">
      <c r="A248" s="10">
        <v>42404</v>
      </c>
    </row>
    <row r="249" spans="1:1" x14ac:dyDescent="0.25">
      <c r="A249" s="10">
        <v>42411</v>
      </c>
    </row>
    <row r="250" spans="1:1" x14ac:dyDescent="0.25">
      <c r="A250" s="10">
        <v>42418</v>
      </c>
    </row>
    <row r="251" spans="1:1" x14ac:dyDescent="0.25">
      <c r="A251" s="10">
        <v>42425</v>
      </c>
    </row>
    <row r="252" spans="1:1" x14ac:dyDescent="0.25">
      <c r="A252" s="10">
        <v>42432</v>
      </c>
    </row>
    <row r="253" spans="1:1" x14ac:dyDescent="0.25">
      <c r="A253" s="10">
        <v>42439</v>
      </c>
    </row>
    <row r="254" spans="1:1" x14ac:dyDescent="0.25">
      <c r="A254" s="10">
        <v>42446</v>
      </c>
    </row>
    <row r="255" spans="1:1" x14ac:dyDescent="0.25">
      <c r="A255" s="10">
        <v>42453</v>
      </c>
    </row>
    <row r="256" spans="1:1" x14ac:dyDescent="0.25">
      <c r="A256" s="10">
        <v>42460</v>
      </c>
    </row>
    <row r="257" spans="1:1" x14ac:dyDescent="0.25">
      <c r="A257" s="10">
        <v>42467</v>
      </c>
    </row>
    <row r="258" spans="1:1" x14ac:dyDescent="0.25">
      <c r="A258" s="10">
        <v>42474</v>
      </c>
    </row>
    <row r="259" spans="1:1" x14ac:dyDescent="0.25">
      <c r="A259" s="10">
        <v>42481</v>
      </c>
    </row>
    <row r="260" spans="1:1" x14ac:dyDescent="0.25">
      <c r="A260" s="10">
        <v>42488</v>
      </c>
    </row>
    <row r="261" spans="1:1" x14ac:dyDescent="0.25">
      <c r="A261" s="10">
        <v>42495</v>
      </c>
    </row>
    <row r="262" spans="1:1" x14ac:dyDescent="0.25">
      <c r="A262" s="10">
        <v>42502</v>
      </c>
    </row>
    <row r="263" spans="1:1" x14ac:dyDescent="0.25">
      <c r="A263" s="10">
        <v>42509</v>
      </c>
    </row>
    <row r="264" spans="1:1" x14ac:dyDescent="0.25">
      <c r="A264" s="10">
        <v>42516</v>
      </c>
    </row>
    <row r="265" spans="1:1" x14ac:dyDescent="0.25">
      <c r="A265" s="10">
        <v>42523</v>
      </c>
    </row>
    <row r="266" spans="1:1" x14ac:dyDescent="0.25">
      <c r="A266" s="10">
        <v>42530</v>
      </c>
    </row>
    <row r="267" spans="1:1" x14ac:dyDescent="0.25">
      <c r="A267" s="10">
        <v>42537</v>
      </c>
    </row>
    <row r="268" spans="1:1" x14ac:dyDescent="0.25">
      <c r="A268" s="10">
        <v>42544</v>
      </c>
    </row>
    <row r="269" spans="1:1" x14ac:dyDescent="0.25">
      <c r="A269" s="10">
        <v>42551</v>
      </c>
    </row>
    <row r="270" spans="1:1" x14ac:dyDescent="0.25">
      <c r="A270" s="10">
        <v>42558</v>
      </c>
    </row>
    <row r="271" spans="1:1" x14ac:dyDescent="0.25">
      <c r="A271" s="10">
        <v>42565</v>
      </c>
    </row>
    <row r="272" spans="1:1" x14ac:dyDescent="0.25">
      <c r="A272" s="10">
        <v>42572</v>
      </c>
    </row>
    <row r="273" spans="1:1" x14ac:dyDescent="0.25">
      <c r="A273" s="10">
        <v>42579</v>
      </c>
    </row>
    <row r="274" spans="1:1" x14ac:dyDescent="0.25">
      <c r="A274" s="10">
        <v>42586</v>
      </c>
    </row>
    <row r="275" spans="1:1" x14ac:dyDescent="0.25">
      <c r="A275" s="10">
        <v>42593</v>
      </c>
    </row>
    <row r="276" spans="1:1" x14ac:dyDescent="0.25">
      <c r="A276" s="10">
        <v>42600</v>
      </c>
    </row>
    <row r="277" spans="1:1" x14ac:dyDescent="0.25">
      <c r="A277" s="10">
        <v>42607</v>
      </c>
    </row>
    <row r="278" spans="1:1" x14ac:dyDescent="0.25">
      <c r="A278" s="10">
        <v>42614</v>
      </c>
    </row>
    <row r="279" spans="1:1" x14ac:dyDescent="0.25">
      <c r="A279" s="10">
        <v>42621</v>
      </c>
    </row>
    <row r="280" spans="1:1" x14ac:dyDescent="0.25">
      <c r="A280" s="10">
        <v>42628</v>
      </c>
    </row>
    <row r="281" spans="1:1" x14ac:dyDescent="0.25">
      <c r="A281" s="10">
        <v>42635</v>
      </c>
    </row>
    <row r="282" spans="1:1" x14ac:dyDescent="0.25">
      <c r="A282" s="10">
        <v>42642</v>
      </c>
    </row>
    <row r="283" spans="1:1" x14ac:dyDescent="0.25">
      <c r="A283" s="10">
        <v>42649</v>
      </c>
    </row>
    <row r="284" spans="1:1" x14ac:dyDescent="0.25">
      <c r="A284" s="10">
        <v>42656</v>
      </c>
    </row>
    <row r="285" spans="1:1" x14ac:dyDescent="0.25">
      <c r="A285" s="10">
        <v>42663</v>
      </c>
    </row>
    <row r="286" spans="1:1" x14ac:dyDescent="0.25">
      <c r="A286" s="10">
        <v>42670</v>
      </c>
    </row>
    <row r="287" spans="1:1" x14ac:dyDescent="0.25">
      <c r="A287" s="10">
        <v>42677</v>
      </c>
    </row>
    <row r="288" spans="1:1" x14ac:dyDescent="0.25">
      <c r="A288" s="10">
        <v>42684</v>
      </c>
    </row>
    <row r="289" spans="1:1" x14ac:dyDescent="0.25">
      <c r="A289" s="10">
        <v>42691</v>
      </c>
    </row>
    <row r="290" spans="1:1" x14ac:dyDescent="0.25">
      <c r="A290" s="10">
        <v>42698</v>
      </c>
    </row>
    <row r="291" spans="1:1" x14ac:dyDescent="0.25">
      <c r="A291" s="10">
        <v>42705</v>
      </c>
    </row>
    <row r="292" spans="1:1" x14ac:dyDescent="0.25">
      <c r="A292" s="10">
        <v>42712</v>
      </c>
    </row>
    <row r="293" spans="1:1" x14ac:dyDescent="0.25">
      <c r="A293" s="10">
        <v>42719</v>
      </c>
    </row>
    <row r="294" spans="1:1" x14ac:dyDescent="0.25">
      <c r="A294" s="10">
        <v>42726</v>
      </c>
    </row>
    <row r="295" spans="1:1" x14ac:dyDescent="0.25">
      <c r="A295" s="10">
        <v>42733</v>
      </c>
    </row>
    <row r="296" spans="1:1" x14ac:dyDescent="0.25">
      <c r="A296" s="10">
        <v>42740</v>
      </c>
    </row>
    <row r="297" spans="1:1" x14ac:dyDescent="0.25">
      <c r="A297" s="10">
        <v>42747</v>
      </c>
    </row>
    <row r="298" spans="1:1" x14ac:dyDescent="0.25">
      <c r="A298" s="10">
        <v>42754</v>
      </c>
    </row>
    <row r="299" spans="1:1" x14ac:dyDescent="0.25">
      <c r="A299" s="10">
        <v>42761</v>
      </c>
    </row>
    <row r="300" spans="1:1" x14ac:dyDescent="0.25">
      <c r="A300" s="10">
        <v>42768</v>
      </c>
    </row>
    <row r="301" spans="1:1" x14ac:dyDescent="0.25">
      <c r="A301" s="10">
        <v>42775</v>
      </c>
    </row>
    <row r="302" spans="1:1" x14ac:dyDescent="0.25">
      <c r="A302" s="10">
        <v>42782</v>
      </c>
    </row>
    <row r="303" spans="1:1" x14ac:dyDescent="0.25">
      <c r="A303" s="10">
        <v>42789</v>
      </c>
    </row>
    <row r="304" spans="1:1" x14ac:dyDescent="0.25">
      <c r="A304" s="10">
        <v>42796</v>
      </c>
    </row>
    <row r="305" spans="1:1" x14ac:dyDescent="0.25">
      <c r="A305" s="10">
        <v>42803</v>
      </c>
    </row>
    <row r="306" spans="1:1" x14ac:dyDescent="0.25">
      <c r="A306" s="10">
        <v>42810</v>
      </c>
    </row>
    <row r="307" spans="1:1" x14ac:dyDescent="0.25">
      <c r="A307" s="10">
        <v>42817</v>
      </c>
    </row>
    <row r="308" spans="1:1" x14ac:dyDescent="0.25">
      <c r="A308" s="10">
        <v>42824</v>
      </c>
    </row>
    <row r="309" spans="1:1" x14ac:dyDescent="0.25">
      <c r="A309" s="10">
        <v>42831</v>
      </c>
    </row>
    <row r="310" spans="1:1" x14ac:dyDescent="0.25">
      <c r="A310" s="10">
        <v>42838</v>
      </c>
    </row>
    <row r="311" spans="1:1" x14ac:dyDescent="0.25">
      <c r="A311" s="10">
        <v>42845</v>
      </c>
    </row>
    <row r="312" spans="1:1" x14ac:dyDescent="0.25">
      <c r="A312" s="10">
        <v>42852</v>
      </c>
    </row>
    <row r="313" spans="1:1" x14ac:dyDescent="0.25">
      <c r="A313" s="10">
        <v>42859</v>
      </c>
    </row>
    <row r="314" spans="1:1" x14ac:dyDescent="0.25">
      <c r="A314" s="10">
        <v>42866</v>
      </c>
    </row>
    <row r="315" spans="1:1" x14ac:dyDescent="0.25">
      <c r="A315" s="10">
        <v>42873</v>
      </c>
    </row>
    <row r="316" spans="1:1" x14ac:dyDescent="0.25">
      <c r="A316" s="10">
        <v>42880</v>
      </c>
    </row>
    <row r="317" spans="1:1" x14ac:dyDescent="0.25">
      <c r="A317" s="10">
        <v>42887</v>
      </c>
    </row>
    <row r="318" spans="1:1" x14ac:dyDescent="0.25">
      <c r="A318" s="10">
        <v>42894</v>
      </c>
    </row>
    <row r="319" spans="1:1" x14ac:dyDescent="0.25">
      <c r="A319" s="10">
        <v>42901</v>
      </c>
    </row>
    <row r="320" spans="1:1" x14ac:dyDescent="0.25">
      <c r="A320" s="10">
        <v>42908</v>
      </c>
    </row>
    <row r="321" spans="1:1" x14ac:dyDescent="0.25">
      <c r="A321" s="10">
        <v>42915</v>
      </c>
    </row>
    <row r="322" spans="1:1" x14ac:dyDescent="0.25">
      <c r="A322" s="10">
        <v>42922</v>
      </c>
    </row>
    <row r="323" spans="1:1" x14ac:dyDescent="0.25">
      <c r="A323" s="10">
        <v>42929</v>
      </c>
    </row>
    <row r="324" spans="1:1" x14ac:dyDescent="0.25">
      <c r="A324" s="10">
        <v>42936</v>
      </c>
    </row>
    <row r="325" spans="1:1" x14ac:dyDescent="0.25">
      <c r="A325" s="10">
        <v>42943</v>
      </c>
    </row>
    <row r="326" spans="1:1" x14ac:dyDescent="0.25">
      <c r="A326" s="10">
        <v>42950</v>
      </c>
    </row>
    <row r="327" spans="1:1" x14ac:dyDescent="0.25">
      <c r="A327" s="10">
        <v>42957</v>
      </c>
    </row>
    <row r="328" spans="1:1" x14ac:dyDescent="0.25">
      <c r="A328" s="10">
        <v>42964</v>
      </c>
    </row>
    <row r="329" spans="1:1" x14ac:dyDescent="0.25">
      <c r="A329" s="10">
        <v>42971</v>
      </c>
    </row>
    <row r="330" spans="1:1" x14ac:dyDescent="0.25">
      <c r="A330" s="10">
        <v>42978</v>
      </c>
    </row>
    <row r="331" spans="1:1" x14ac:dyDescent="0.25">
      <c r="A331" s="10">
        <v>42985</v>
      </c>
    </row>
    <row r="332" spans="1:1" x14ac:dyDescent="0.25">
      <c r="A332" s="10">
        <v>42992</v>
      </c>
    </row>
    <row r="333" spans="1:1" x14ac:dyDescent="0.25">
      <c r="A333" s="10">
        <v>42999</v>
      </c>
    </row>
    <row r="334" spans="1:1" x14ac:dyDescent="0.25">
      <c r="A334" s="10">
        <v>43006</v>
      </c>
    </row>
    <row r="335" spans="1:1" x14ac:dyDescent="0.25">
      <c r="A335" s="10">
        <v>43013</v>
      </c>
    </row>
    <row r="336" spans="1:1" x14ac:dyDescent="0.25">
      <c r="A336" s="10">
        <v>43020</v>
      </c>
    </row>
    <row r="337" spans="1:1" x14ac:dyDescent="0.25">
      <c r="A337" s="10">
        <v>43027</v>
      </c>
    </row>
    <row r="338" spans="1:1" x14ac:dyDescent="0.25">
      <c r="A338" s="10">
        <v>43034</v>
      </c>
    </row>
    <row r="339" spans="1:1" x14ac:dyDescent="0.25">
      <c r="A339" s="10">
        <v>43041</v>
      </c>
    </row>
    <row r="340" spans="1:1" x14ac:dyDescent="0.25">
      <c r="A340" s="10">
        <v>43048</v>
      </c>
    </row>
    <row r="341" spans="1:1" x14ac:dyDescent="0.25">
      <c r="A341" s="10">
        <v>43055</v>
      </c>
    </row>
    <row r="342" spans="1:1" x14ac:dyDescent="0.25">
      <c r="A342" s="10">
        <v>43062</v>
      </c>
    </row>
    <row r="343" spans="1:1" x14ac:dyDescent="0.25">
      <c r="A343" s="10">
        <v>43069</v>
      </c>
    </row>
    <row r="344" spans="1:1" x14ac:dyDescent="0.25">
      <c r="A344" s="10">
        <v>43076</v>
      </c>
    </row>
    <row r="345" spans="1:1" x14ac:dyDescent="0.25">
      <c r="A345" s="10">
        <v>43083</v>
      </c>
    </row>
    <row r="346" spans="1:1" x14ac:dyDescent="0.25">
      <c r="A346" s="10">
        <v>43090</v>
      </c>
    </row>
    <row r="347" spans="1:1" x14ac:dyDescent="0.25">
      <c r="A347" s="10">
        <v>43097</v>
      </c>
    </row>
    <row r="348" spans="1:1" x14ac:dyDescent="0.25">
      <c r="A348" s="10">
        <v>43104</v>
      </c>
    </row>
    <row r="349" spans="1:1" x14ac:dyDescent="0.25">
      <c r="A349" s="10">
        <v>43111</v>
      </c>
    </row>
    <row r="350" spans="1:1" x14ac:dyDescent="0.25">
      <c r="A350" s="10">
        <v>43118</v>
      </c>
    </row>
    <row r="351" spans="1:1" x14ac:dyDescent="0.25">
      <c r="A351" s="10">
        <v>43125</v>
      </c>
    </row>
    <row r="352" spans="1:1" x14ac:dyDescent="0.25">
      <c r="A352" s="10">
        <v>43132</v>
      </c>
    </row>
    <row r="353" spans="1:1" x14ac:dyDescent="0.25">
      <c r="A353" s="10">
        <v>43139</v>
      </c>
    </row>
    <row r="354" spans="1:1" x14ac:dyDescent="0.25">
      <c r="A354" s="10">
        <v>43146</v>
      </c>
    </row>
    <row r="355" spans="1:1" x14ac:dyDescent="0.25">
      <c r="A355" s="10">
        <v>43153</v>
      </c>
    </row>
    <row r="356" spans="1:1" x14ac:dyDescent="0.25">
      <c r="A356" s="10">
        <v>43160</v>
      </c>
    </row>
    <row r="357" spans="1:1" x14ac:dyDescent="0.25">
      <c r="A357" s="10">
        <v>43167</v>
      </c>
    </row>
    <row r="358" spans="1:1" x14ac:dyDescent="0.25">
      <c r="A358" s="10">
        <v>43174</v>
      </c>
    </row>
    <row r="359" spans="1:1" x14ac:dyDescent="0.25">
      <c r="A359" s="10">
        <v>43181</v>
      </c>
    </row>
    <row r="360" spans="1:1" x14ac:dyDescent="0.25">
      <c r="A360" s="10">
        <v>43188</v>
      </c>
    </row>
    <row r="361" spans="1:1" x14ac:dyDescent="0.25">
      <c r="A361" s="10">
        <v>43195</v>
      </c>
    </row>
    <row r="362" spans="1:1" x14ac:dyDescent="0.25">
      <c r="A362" s="10">
        <v>43202</v>
      </c>
    </row>
    <row r="363" spans="1:1" x14ac:dyDescent="0.25">
      <c r="A363" s="10">
        <v>43209</v>
      </c>
    </row>
    <row r="364" spans="1:1" x14ac:dyDescent="0.25">
      <c r="A364" s="10">
        <v>43216</v>
      </c>
    </row>
    <row r="365" spans="1:1" x14ac:dyDescent="0.25">
      <c r="A365" s="10">
        <v>43223</v>
      </c>
    </row>
    <row r="366" spans="1:1" x14ac:dyDescent="0.25">
      <c r="A366" s="10">
        <v>43230</v>
      </c>
    </row>
    <row r="367" spans="1:1" x14ac:dyDescent="0.25">
      <c r="A367" s="10">
        <v>43237</v>
      </c>
    </row>
    <row r="368" spans="1:1" x14ac:dyDescent="0.25">
      <c r="A368" s="10">
        <v>43244</v>
      </c>
    </row>
    <row r="369" spans="1:1" x14ac:dyDescent="0.25">
      <c r="A369" s="10">
        <v>43251</v>
      </c>
    </row>
    <row r="370" spans="1:1" x14ac:dyDescent="0.25">
      <c r="A370" s="10">
        <v>43258</v>
      </c>
    </row>
    <row r="371" spans="1:1" x14ac:dyDescent="0.25">
      <c r="A371" s="10">
        <v>43265</v>
      </c>
    </row>
    <row r="372" spans="1:1" x14ac:dyDescent="0.25">
      <c r="A372" s="10">
        <v>43272</v>
      </c>
    </row>
    <row r="373" spans="1:1" x14ac:dyDescent="0.25">
      <c r="A373" s="10">
        <v>43279</v>
      </c>
    </row>
    <row r="374" spans="1:1" x14ac:dyDescent="0.25">
      <c r="A374" s="10">
        <v>43286</v>
      </c>
    </row>
    <row r="375" spans="1:1" x14ac:dyDescent="0.25">
      <c r="A375" s="10">
        <v>43293</v>
      </c>
    </row>
    <row r="376" spans="1:1" x14ac:dyDescent="0.25">
      <c r="A376" s="10">
        <v>43300</v>
      </c>
    </row>
    <row r="377" spans="1:1" x14ac:dyDescent="0.25">
      <c r="A377" s="10">
        <v>43307</v>
      </c>
    </row>
    <row r="378" spans="1:1" x14ac:dyDescent="0.25">
      <c r="A378" s="10">
        <v>43314</v>
      </c>
    </row>
    <row r="379" spans="1:1" x14ac:dyDescent="0.25">
      <c r="A379" s="10">
        <v>43321</v>
      </c>
    </row>
    <row r="380" spans="1:1" x14ac:dyDescent="0.25">
      <c r="A380" s="10">
        <v>43328</v>
      </c>
    </row>
    <row r="381" spans="1:1" x14ac:dyDescent="0.25">
      <c r="A381" s="10">
        <v>43335</v>
      </c>
    </row>
    <row r="382" spans="1:1" x14ac:dyDescent="0.25">
      <c r="A382" s="10">
        <v>43342</v>
      </c>
    </row>
    <row r="383" spans="1:1" x14ac:dyDescent="0.25">
      <c r="A383" s="10">
        <v>43349</v>
      </c>
    </row>
    <row r="384" spans="1:1" x14ac:dyDescent="0.25">
      <c r="A384" s="10">
        <v>43356</v>
      </c>
    </row>
    <row r="385" spans="1:1" x14ac:dyDescent="0.25">
      <c r="A385" s="10">
        <v>43363</v>
      </c>
    </row>
    <row r="386" spans="1:1" x14ac:dyDescent="0.25">
      <c r="A386" s="10">
        <v>43370</v>
      </c>
    </row>
    <row r="387" spans="1:1" x14ac:dyDescent="0.25">
      <c r="A387" s="10">
        <v>43377</v>
      </c>
    </row>
    <row r="388" spans="1:1" x14ac:dyDescent="0.25">
      <c r="A388" s="10">
        <v>43384</v>
      </c>
    </row>
    <row r="389" spans="1:1" x14ac:dyDescent="0.25">
      <c r="A389" s="10">
        <v>43391</v>
      </c>
    </row>
    <row r="390" spans="1:1" x14ac:dyDescent="0.25">
      <c r="A390" s="10">
        <v>43398</v>
      </c>
    </row>
    <row r="391" spans="1:1" x14ac:dyDescent="0.25">
      <c r="A391" s="10">
        <v>43405</v>
      </c>
    </row>
    <row r="392" spans="1:1" x14ac:dyDescent="0.25">
      <c r="A392" s="10">
        <v>43412</v>
      </c>
    </row>
    <row r="393" spans="1:1" x14ac:dyDescent="0.25">
      <c r="A393" s="10">
        <v>43419</v>
      </c>
    </row>
    <row r="394" spans="1:1" x14ac:dyDescent="0.25">
      <c r="A394" s="10">
        <v>43426</v>
      </c>
    </row>
    <row r="395" spans="1:1" x14ac:dyDescent="0.25">
      <c r="A395" s="10">
        <v>43433</v>
      </c>
    </row>
    <row r="396" spans="1:1" x14ac:dyDescent="0.25">
      <c r="A396" s="10">
        <v>43440</v>
      </c>
    </row>
    <row r="397" spans="1:1" x14ac:dyDescent="0.25">
      <c r="A397" s="10">
        <v>43447</v>
      </c>
    </row>
    <row r="398" spans="1:1" x14ac:dyDescent="0.25">
      <c r="A398" s="10">
        <v>43454</v>
      </c>
    </row>
    <row r="399" spans="1:1" x14ac:dyDescent="0.25">
      <c r="A399" s="10">
        <v>43461</v>
      </c>
    </row>
    <row r="400" spans="1:1" x14ac:dyDescent="0.25">
      <c r="A400" s="10">
        <v>43468</v>
      </c>
    </row>
    <row r="401" spans="1:1" x14ac:dyDescent="0.25">
      <c r="A401" s="10">
        <v>43475</v>
      </c>
    </row>
    <row r="402" spans="1:1" x14ac:dyDescent="0.25">
      <c r="A402" s="10">
        <v>43482</v>
      </c>
    </row>
    <row r="403" spans="1:1" x14ac:dyDescent="0.25">
      <c r="A403" s="10">
        <v>43489</v>
      </c>
    </row>
    <row r="404" spans="1:1" x14ac:dyDescent="0.25">
      <c r="A404" s="10">
        <v>43496</v>
      </c>
    </row>
    <row r="405" spans="1:1" x14ac:dyDescent="0.25">
      <c r="A405" s="10">
        <v>43503</v>
      </c>
    </row>
    <row r="406" spans="1:1" x14ac:dyDescent="0.25">
      <c r="A406" s="10">
        <v>43510</v>
      </c>
    </row>
    <row r="407" spans="1:1" x14ac:dyDescent="0.25">
      <c r="A407" s="10">
        <v>43517</v>
      </c>
    </row>
    <row r="408" spans="1:1" x14ac:dyDescent="0.25">
      <c r="A408" s="10">
        <v>43524</v>
      </c>
    </row>
    <row r="409" spans="1:1" x14ac:dyDescent="0.25">
      <c r="A409" s="10">
        <v>43531</v>
      </c>
    </row>
    <row r="410" spans="1:1" x14ac:dyDescent="0.25">
      <c r="A410" s="10">
        <v>43538</v>
      </c>
    </row>
    <row r="411" spans="1:1" x14ac:dyDescent="0.25">
      <c r="A411" s="10">
        <v>43545</v>
      </c>
    </row>
    <row r="412" spans="1:1" x14ac:dyDescent="0.25">
      <c r="A412" s="10">
        <v>43552</v>
      </c>
    </row>
    <row r="413" spans="1:1" x14ac:dyDescent="0.25">
      <c r="A413" s="10">
        <v>43559</v>
      </c>
    </row>
    <row r="414" spans="1:1" x14ac:dyDescent="0.25">
      <c r="A414" s="10">
        <v>43566</v>
      </c>
    </row>
    <row r="415" spans="1:1" x14ac:dyDescent="0.25">
      <c r="A415" s="10">
        <v>43573</v>
      </c>
    </row>
    <row r="416" spans="1:1" x14ac:dyDescent="0.25">
      <c r="A416" s="10">
        <v>43580</v>
      </c>
    </row>
    <row r="417" spans="1:1" x14ac:dyDescent="0.25">
      <c r="A417" s="10">
        <v>43587</v>
      </c>
    </row>
    <row r="418" spans="1:1" x14ac:dyDescent="0.25">
      <c r="A418" s="10">
        <v>43594</v>
      </c>
    </row>
    <row r="419" spans="1:1" x14ac:dyDescent="0.25">
      <c r="A419" s="10">
        <v>43601</v>
      </c>
    </row>
    <row r="420" spans="1:1" x14ac:dyDescent="0.25">
      <c r="A420" s="10">
        <v>43608</v>
      </c>
    </row>
    <row r="421" spans="1:1" x14ac:dyDescent="0.25">
      <c r="A421" s="10">
        <v>43615</v>
      </c>
    </row>
    <row r="422" spans="1:1" x14ac:dyDescent="0.25">
      <c r="A422" s="10">
        <v>43622</v>
      </c>
    </row>
    <row r="423" spans="1:1" x14ac:dyDescent="0.25">
      <c r="A423" s="10">
        <v>43629</v>
      </c>
    </row>
    <row r="424" spans="1:1" x14ac:dyDescent="0.25">
      <c r="A424" s="10">
        <v>43636</v>
      </c>
    </row>
    <row r="425" spans="1:1" x14ac:dyDescent="0.25">
      <c r="A425" s="10">
        <v>43643</v>
      </c>
    </row>
    <row r="426" spans="1:1" x14ac:dyDescent="0.25">
      <c r="A426" s="10">
        <v>43650</v>
      </c>
    </row>
    <row r="427" spans="1:1" x14ac:dyDescent="0.25">
      <c r="A427" s="10">
        <v>43657</v>
      </c>
    </row>
    <row r="428" spans="1:1" x14ac:dyDescent="0.25">
      <c r="A428" s="10">
        <v>43664</v>
      </c>
    </row>
    <row r="429" spans="1:1" x14ac:dyDescent="0.25">
      <c r="A429" s="10">
        <v>43671</v>
      </c>
    </row>
    <row r="430" spans="1:1" x14ac:dyDescent="0.25">
      <c r="A430" s="10">
        <v>43678</v>
      </c>
    </row>
    <row r="431" spans="1:1" x14ac:dyDescent="0.25">
      <c r="A431" s="10">
        <v>43685</v>
      </c>
    </row>
    <row r="432" spans="1:1" x14ac:dyDescent="0.25">
      <c r="A432" s="10">
        <v>43692</v>
      </c>
    </row>
    <row r="433" spans="1:1" x14ac:dyDescent="0.25">
      <c r="A433" s="10">
        <v>43699</v>
      </c>
    </row>
    <row r="434" spans="1:1" x14ac:dyDescent="0.25">
      <c r="A434" s="10">
        <v>43706</v>
      </c>
    </row>
    <row r="435" spans="1:1" x14ac:dyDescent="0.25">
      <c r="A435" s="10">
        <v>43713</v>
      </c>
    </row>
    <row r="436" spans="1:1" x14ac:dyDescent="0.25">
      <c r="A436" s="10">
        <v>43720</v>
      </c>
    </row>
    <row r="437" spans="1:1" x14ac:dyDescent="0.25">
      <c r="A437" s="10">
        <v>43727</v>
      </c>
    </row>
    <row r="438" spans="1:1" x14ac:dyDescent="0.25">
      <c r="A438" s="10">
        <v>43734</v>
      </c>
    </row>
    <row r="439" spans="1:1" x14ac:dyDescent="0.25">
      <c r="A439" s="10">
        <v>43741</v>
      </c>
    </row>
    <row r="440" spans="1:1" x14ac:dyDescent="0.25">
      <c r="A440" s="10">
        <v>43748</v>
      </c>
    </row>
    <row r="441" spans="1:1" x14ac:dyDescent="0.25">
      <c r="A441" s="10">
        <v>43755</v>
      </c>
    </row>
    <row r="442" spans="1:1" x14ac:dyDescent="0.25">
      <c r="A442" s="10">
        <v>43762</v>
      </c>
    </row>
    <row r="443" spans="1:1" x14ac:dyDescent="0.25">
      <c r="A443" s="10">
        <v>43769</v>
      </c>
    </row>
    <row r="444" spans="1:1" x14ac:dyDescent="0.25">
      <c r="A444" s="10">
        <v>43776</v>
      </c>
    </row>
    <row r="445" spans="1:1" x14ac:dyDescent="0.25">
      <c r="A445" s="10">
        <v>43783</v>
      </c>
    </row>
    <row r="446" spans="1:1" x14ac:dyDescent="0.25">
      <c r="A446" s="10">
        <v>43790</v>
      </c>
    </row>
    <row r="447" spans="1:1" x14ac:dyDescent="0.25">
      <c r="A447" s="10">
        <v>43797</v>
      </c>
    </row>
    <row r="448" spans="1:1" x14ac:dyDescent="0.25">
      <c r="A448" s="10">
        <v>43804</v>
      </c>
    </row>
    <row r="449" spans="1:1" x14ac:dyDescent="0.25">
      <c r="A449" s="10">
        <v>43811</v>
      </c>
    </row>
    <row r="450" spans="1:1" x14ac:dyDescent="0.25">
      <c r="A450" s="10">
        <v>43818</v>
      </c>
    </row>
    <row r="451" spans="1:1" x14ac:dyDescent="0.25">
      <c r="A451" s="10">
        <v>43825</v>
      </c>
    </row>
    <row r="452" spans="1:1" x14ac:dyDescent="0.25">
      <c r="A452" s="10">
        <v>43832</v>
      </c>
    </row>
    <row r="453" spans="1:1" x14ac:dyDescent="0.25">
      <c r="A453" s="10">
        <v>43839</v>
      </c>
    </row>
    <row r="454" spans="1:1" x14ac:dyDescent="0.25">
      <c r="A454" s="10">
        <v>43846</v>
      </c>
    </row>
    <row r="455" spans="1:1" x14ac:dyDescent="0.25">
      <c r="A455" s="10">
        <v>43853</v>
      </c>
    </row>
    <row r="456" spans="1:1" x14ac:dyDescent="0.25">
      <c r="A456" s="10">
        <v>43860</v>
      </c>
    </row>
    <row r="457" spans="1:1" x14ac:dyDescent="0.25">
      <c r="A457" s="10">
        <v>43867</v>
      </c>
    </row>
    <row r="458" spans="1:1" x14ac:dyDescent="0.25">
      <c r="A458" s="10">
        <v>43874</v>
      </c>
    </row>
    <row r="459" spans="1:1" x14ac:dyDescent="0.25">
      <c r="A459" s="10">
        <v>43881</v>
      </c>
    </row>
    <row r="460" spans="1:1" x14ac:dyDescent="0.25">
      <c r="A460" s="10">
        <v>43888</v>
      </c>
    </row>
    <row r="461" spans="1:1" x14ac:dyDescent="0.25">
      <c r="A461" s="10">
        <v>43895</v>
      </c>
    </row>
    <row r="462" spans="1:1" x14ac:dyDescent="0.25">
      <c r="A462" s="10">
        <v>43902</v>
      </c>
    </row>
    <row r="463" spans="1:1" x14ac:dyDescent="0.25">
      <c r="A463" s="10">
        <v>43909</v>
      </c>
    </row>
    <row r="464" spans="1:1" x14ac:dyDescent="0.25">
      <c r="A464" s="10">
        <v>43916</v>
      </c>
    </row>
    <row r="465" spans="1:1" x14ac:dyDescent="0.25">
      <c r="A465" s="10">
        <v>43923</v>
      </c>
    </row>
    <row r="466" spans="1:1" x14ac:dyDescent="0.25">
      <c r="A466" s="10">
        <v>43930</v>
      </c>
    </row>
    <row r="467" spans="1:1" x14ac:dyDescent="0.25">
      <c r="A467" s="10">
        <v>43937</v>
      </c>
    </row>
    <row r="468" spans="1:1" x14ac:dyDescent="0.25">
      <c r="A468" s="10">
        <v>43944</v>
      </c>
    </row>
    <row r="469" spans="1:1" x14ac:dyDescent="0.25">
      <c r="A469" s="10">
        <v>43951</v>
      </c>
    </row>
    <row r="470" spans="1:1" x14ac:dyDescent="0.25">
      <c r="A470" s="10">
        <v>43958</v>
      </c>
    </row>
    <row r="471" spans="1:1" x14ac:dyDescent="0.25">
      <c r="A471" s="10">
        <v>43965</v>
      </c>
    </row>
    <row r="472" spans="1:1" x14ac:dyDescent="0.25">
      <c r="A472" s="10">
        <v>43972</v>
      </c>
    </row>
    <row r="473" spans="1:1" x14ac:dyDescent="0.25">
      <c r="A473" s="10">
        <v>43979</v>
      </c>
    </row>
    <row r="474" spans="1:1" x14ac:dyDescent="0.25">
      <c r="A474" s="10">
        <v>43986</v>
      </c>
    </row>
    <row r="475" spans="1:1" x14ac:dyDescent="0.25">
      <c r="A475" s="10">
        <v>43993</v>
      </c>
    </row>
    <row r="476" spans="1:1" x14ac:dyDescent="0.25">
      <c r="A476" s="10">
        <v>44000</v>
      </c>
    </row>
    <row r="477" spans="1:1" x14ac:dyDescent="0.25">
      <c r="A477" s="10">
        <v>44007</v>
      </c>
    </row>
    <row r="478" spans="1:1" x14ac:dyDescent="0.25">
      <c r="A478" s="10">
        <v>44014</v>
      </c>
    </row>
    <row r="479" spans="1:1" x14ac:dyDescent="0.25">
      <c r="A479" s="10">
        <v>44021</v>
      </c>
    </row>
    <row r="480" spans="1:1" x14ac:dyDescent="0.25">
      <c r="A480" s="10">
        <v>44028</v>
      </c>
    </row>
    <row r="481" spans="1:1" x14ac:dyDescent="0.25">
      <c r="A481" s="10">
        <v>44035</v>
      </c>
    </row>
    <row r="482" spans="1:1" x14ac:dyDescent="0.25">
      <c r="A482" s="10">
        <v>44042</v>
      </c>
    </row>
    <row r="483" spans="1:1" x14ac:dyDescent="0.25">
      <c r="A483" s="10">
        <v>44049</v>
      </c>
    </row>
    <row r="484" spans="1:1" x14ac:dyDescent="0.25">
      <c r="A484" s="10">
        <v>44056</v>
      </c>
    </row>
    <row r="485" spans="1:1" x14ac:dyDescent="0.25">
      <c r="A485" s="10">
        <v>44063</v>
      </c>
    </row>
    <row r="486" spans="1:1" x14ac:dyDescent="0.25">
      <c r="A486" s="10">
        <v>44070</v>
      </c>
    </row>
    <row r="487" spans="1:1" x14ac:dyDescent="0.25">
      <c r="A487" s="10">
        <v>44077</v>
      </c>
    </row>
    <row r="488" spans="1:1" x14ac:dyDescent="0.25">
      <c r="A488" s="10">
        <v>44084</v>
      </c>
    </row>
    <row r="489" spans="1:1" x14ac:dyDescent="0.25">
      <c r="A489" s="10">
        <v>44091</v>
      </c>
    </row>
    <row r="490" spans="1:1" x14ac:dyDescent="0.25">
      <c r="A490" s="10">
        <v>44098</v>
      </c>
    </row>
    <row r="491" spans="1:1" x14ac:dyDescent="0.25">
      <c r="A491" s="10">
        <v>44105</v>
      </c>
    </row>
    <row r="492" spans="1:1" x14ac:dyDescent="0.25">
      <c r="A492" s="10">
        <v>44112</v>
      </c>
    </row>
    <row r="493" spans="1:1" x14ac:dyDescent="0.25">
      <c r="A493" s="10">
        <v>44119</v>
      </c>
    </row>
    <row r="494" spans="1:1" x14ac:dyDescent="0.25">
      <c r="A494" s="10">
        <v>44126</v>
      </c>
    </row>
    <row r="495" spans="1:1" x14ac:dyDescent="0.25">
      <c r="A495" s="10">
        <v>44133</v>
      </c>
    </row>
    <row r="496" spans="1:1" x14ac:dyDescent="0.25">
      <c r="A496" s="10">
        <v>44140</v>
      </c>
    </row>
    <row r="497" spans="1:1" x14ac:dyDescent="0.25">
      <c r="A497" s="10">
        <v>44147</v>
      </c>
    </row>
    <row r="498" spans="1:1" x14ac:dyDescent="0.25">
      <c r="A498" s="10">
        <v>44154</v>
      </c>
    </row>
    <row r="499" spans="1:1" x14ac:dyDescent="0.25">
      <c r="A499" s="10">
        <v>44161</v>
      </c>
    </row>
    <row r="500" spans="1:1" x14ac:dyDescent="0.25">
      <c r="A500" s="10">
        <v>44168</v>
      </c>
    </row>
    <row r="501" spans="1:1" x14ac:dyDescent="0.25">
      <c r="A501" s="10">
        <v>44175</v>
      </c>
    </row>
    <row r="502" spans="1:1" x14ac:dyDescent="0.25">
      <c r="A502" s="10">
        <v>44182</v>
      </c>
    </row>
    <row r="503" spans="1:1" x14ac:dyDescent="0.25">
      <c r="A503" s="10">
        <v>44189</v>
      </c>
    </row>
    <row r="504" spans="1:1" x14ac:dyDescent="0.25">
      <c r="A504" s="10">
        <v>44196</v>
      </c>
    </row>
    <row r="505" spans="1:1" x14ac:dyDescent="0.25">
      <c r="A505" s="10">
        <v>44203</v>
      </c>
    </row>
    <row r="506" spans="1:1" x14ac:dyDescent="0.25">
      <c r="A506" s="10">
        <v>44210</v>
      </c>
    </row>
    <row r="507" spans="1:1" x14ac:dyDescent="0.25">
      <c r="A507" s="10">
        <v>44217</v>
      </c>
    </row>
    <row r="508" spans="1:1" x14ac:dyDescent="0.25">
      <c r="A508" s="10">
        <v>44224</v>
      </c>
    </row>
    <row r="509" spans="1:1" x14ac:dyDescent="0.25">
      <c r="A509" s="10">
        <v>44231</v>
      </c>
    </row>
    <row r="510" spans="1:1" x14ac:dyDescent="0.25">
      <c r="A510" s="10">
        <v>44238</v>
      </c>
    </row>
    <row r="511" spans="1:1" x14ac:dyDescent="0.25">
      <c r="A511" s="10">
        <v>44245</v>
      </c>
    </row>
    <row r="512" spans="1:1" x14ac:dyDescent="0.25">
      <c r="A512" s="10">
        <v>44252</v>
      </c>
    </row>
    <row r="513" spans="1:1" x14ac:dyDescent="0.25">
      <c r="A513" s="10">
        <v>44259</v>
      </c>
    </row>
    <row r="514" spans="1:1" x14ac:dyDescent="0.25">
      <c r="A514" s="10">
        <v>44266</v>
      </c>
    </row>
    <row r="515" spans="1:1" x14ac:dyDescent="0.25">
      <c r="A515" s="10">
        <v>44273</v>
      </c>
    </row>
  </sheetData>
  <mergeCells count="2">
    <mergeCell ref="D1:E1"/>
    <mergeCell ref="F1:G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topLeftCell="A324" workbookViewId="0">
      <selection activeCell="G348" sqref="G348:G349"/>
    </sheetView>
  </sheetViews>
  <sheetFormatPr defaultRowHeight="13.2" x14ac:dyDescent="0.25"/>
  <cols>
    <col min="2" max="2" width="10.109375" bestFit="1" customWidth="1"/>
  </cols>
  <sheetData>
    <row r="1" spans="1:10" x14ac:dyDescent="0.25">
      <c r="C1" t="s">
        <v>4</v>
      </c>
      <c r="E1" s="135" t="s">
        <v>5</v>
      </c>
      <c r="F1" s="136"/>
      <c r="G1" s="135" t="s">
        <v>6</v>
      </c>
      <c r="H1" s="136"/>
      <c r="I1" s="5"/>
    </row>
    <row r="2" spans="1:10" x14ac:dyDescent="0.25">
      <c r="B2" t="s">
        <v>13</v>
      </c>
      <c r="C2" s="76" t="s">
        <v>32</v>
      </c>
      <c r="D2" s="76" t="s">
        <v>33</v>
      </c>
      <c r="E2" s="82" t="s">
        <v>32</v>
      </c>
      <c r="F2" s="83" t="s">
        <v>33</v>
      </c>
      <c r="G2" s="82" t="s">
        <v>195</v>
      </c>
      <c r="H2" s="83" t="s">
        <v>33</v>
      </c>
      <c r="I2" s="9" t="s">
        <v>8</v>
      </c>
    </row>
    <row r="6" spans="1:10" x14ac:dyDescent="0.25">
      <c r="A6" s="40" t="s">
        <v>34</v>
      </c>
      <c r="B6" s="10">
        <v>39338</v>
      </c>
      <c r="C6">
        <v>273.5</v>
      </c>
      <c r="D6">
        <v>39</v>
      </c>
      <c r="E6">
        <v>203.9</v>
      </c>
      <c r="F6">
        <v>83.8</v>
      </c>
      <c r="G6" s="19">
        <f t="shared" ref="G6:H8" si="0">+C6+E6</f>
        <v>477.4</v>
      </c>
      <c r="H6" s="19">
        <f t="shared" si="0"/>
        <v>122.8</v>
      </c>
      <c r="I6" s="24">
        <f t="shared" ref="I6:I11" si="1">+(G6/H6-1)*100</f>
        <v>288.76221498371331</v>
      </c>
    </row>
    <row r="7" spans="1:10" x14ac:dyDescent="0.25">
      <c r="B7" s="38">
        <f t="shared" ref="B7:B55" si="2">+B6+7</f>
        <v>39345</v>
      </c>
      <c r="C7">
        <v>322.39999999999998</v>
      </c>
      <c r="D7">
        <v>39.6</v>
      </c>
      <c r="E7">
        <v>303.60000000000002</v>
      </c>
      <c r="F7">
        <v>83.8</v>
      </c>
      <c r="G7" s="19">
        <f t="shared" si="0"/>
        <v>626</v>
      </c>
      <c r="H7" s="19">
        <f t="shared" si="0"/>
        <v>123.4</v>
      </c>
      <c r="I7" s="24">
        <f t="shared" si="1"/>
        <v>407.29335494327393</v>
      </c>
    </row>
    <row r="8" spans="1:10" x14ac:dyDescent="0.25">
      <c r="B8" s="38">
        <f t="shared" si="2"/>
        <v>39352</v>
      </c>
      <c r="C8">
        <v>828.5</v>
      </c>
      <c r="D8">
        <v>19.600000000000001</v>
      </c>
      <c r="E8">
        <v>381.9</v>
      </c>
      <c r="F8">
        <v>102.9</v>
      </c>
      <c r="G8" s="19">
        <f t="shared" si="0"/>
        <v>1210.4000000000001</v>
      </c>
      <c r="H8" s="19">
        <f t="shared" si="0"/>
        <v>122.5</v>
      </c>
      <c r="I8" s="24">
        <f t="shared" si="1"/>
        <v>888.08163265306132</v>
      </c>
    </row>
    <row r="9" spans="1:10" x14ac:dyDescent="0.25">
      <c r="B9" s="38">
        <f t="shared" si="2"/>
        <v>39359</v>
      </c>
      <c r="C9">
        <v>828.5</v>
      </c>
      <c r="D9">
        <v>19.600000000000001</v>
      </c>
      <c r="E9">
        <v>390.4</v>
      </c>
      <c r="F9">
        <v>102.9</v>
      </c>
      <c r="G9" s="19">
        <f t="shared" ref="G9:H11" si="3">+C9+E9</f>
        <v>1218.9000000000001</v>
      </c>
      <c r="H9" s="19">
        <f t="shared" si="3"/>
        <v>122.5</v>
      </c>
      <c r="I9" s="24">
        <f t="shared" si="1"/>
        <v>895.02040816326542</v>
      </c>
    </row>
    <row r="10" spans="1:10" x14ac:dyDescent="0.25">
      <c r="B10" s="38">
        <f t="shared" si="2"/>
        <v>39366</v>
      </c>
      <c r="C10">
        <v>828.5</v>
      </c>
      <c r="D10">
        <v>19.600000000000001</v>
      </c>
      <c r="E10">
        <v>390.4</v>
      </c>
      <c r="F10">
        <v>102.9</v>
      </c>
      <c r="G10" s="19">
        <f t="shared" si="3"/>
        <v>1218.9000000000001</v>
      </c>
      <c r="H10" s="19">
        <f t="shared" si="3"/>
        <v>122.5</v>
      </c>
      <c r="I10" s="24">
        <f t="shared" si="1"/>
        <v>895.02040816326542</v>
      </c>
    </row>
    <row r="11" spans="1:10" x14ac:dyDescent="0.25">
      <c r="B11" s="38">
        <f t="shared" si="2"/>
        <v>39373</v>
      </c>
      <c r="C11">
        <v>783.8</v>
      </c>
      <c r="D11">
        <v>19.600000000000001</v>
      </c>
      <c r="E11">
        <v>446.2</v>
      </c>
      <c r="F11">
        <v>102.9</v>
      </c>
      <c r="G11" s="19">
        <f t="shared" si="3"/>
        <v>1230</v>
      </c>
      <c r="H11" s="19">
        <f t="shared" si="3"/>
        <v>122.5</v>
      </c>
      <c r="I11" s="24">
        <f t="shared" si="1"/>
        <v>904.08163265306121</v>
      </c>
      <c r="J11">
        <v>250</v>
      </c>
    </row>
    <row r="12" spans="1:10" x14ac:dyDescent="0.25">
      <c r="B12" s="38">
        <f t="shared" si="2"/>
        <v>39380</v>
      </c>
      <c r="C12">
        <v>700</v>
      </c>
      <c r="D12">
        <v>19.600000000000001</v>
      </c>
      <c r="E12">
        <v>521.9</v>
      </c>
      <c r="F12">
        <v>102.9</v>
      </c>
      <c r="G12" s="19">
        <f t="shared" ref="G12:H14" si="4">+C12+E12</f>
        <v>1221.9000000000001</v>
      </c>
      <c r="H12" s="19">
        <f t="shared" si="4"/>
        <v>122.5</v>
      </c>
      <c r="I12" s="24">
        <f t="shared" ref="I12:I17" si="5">+(G12/H12-1)*100</f>
        <v>897.46938775510205</v>
      </c>
      <c r="J12">
        <v>250</v>
      </c>
    </row>
    <row r="13" spans="1:10" x14ac:dyDescent="0.25">
      <c r="B13" s="38">
        <f t="shared" si="2"/>
        <v>39387</v>
      </c>
      <c r="C13">
        <v>700</v>
      </c>
      <c r="D13">
        <v>0.6</v>
      </c>
      <c r="E13">
        <v>521.9</v>
      </c>
      <c r="F13">
        <v>122.7</v>
      </c>
      <c r="G13" s="19">
        <f t="shared" si="4"/>
        <v>1221.9000000000001</v>
      </c>
      <c r="H13" s="19">
        <f t="shared" si="4"/>
        <v>123.3</v>
      </c>
      <c r="I13" s="24">
        <f t="shared" si="5"/>
        <v>890.99756690997583</v>
      </c>
      <c r="J13">
        <v>250</v>
      </c>
    </row>
    <row r="14" spans="1:10" x14ac:dyDescent="0.25">
      <c r="B14" s="38">
        <f t="shared" si="2"/>
        <v>39394</v>
      </c>
      <c r="C14">
        <v>700</v>
      </c>
      <c r="D14">
        <v>0.6</v>
      </c>
      <c r="E14">
        <v>521.9</v>
      </c>
      <c r="F14">
        <v>122.7</v>
      </c>
      <c r="G14" s="19">
        <f t="shared" si="4"/>
        <v>1221.9000000000001</v>
      </c>
      <c r="H14" s="19">
        <f t="shared" si="4"/>
        <v>123.3</v>
      </c>
      <c r="I14" s="24">
        <f t="shared" si="5"/>
        <v>890.99756690997583</v>
      </c>
      <c r="J14">
        <v>250</v>
      </c>
    </row>
    <row r="15" spans="1:10" x14ac:dyDescent="0.25">
      <c r="B15" s="38">
        <f t="shared" si="2"/>
        <v>39401</v>
      </c>
      <c r="C15">
        <v>675</v>
      </c>
      <c r="D15">
        <v>0.6</v>
      </c>
      <c r="E15">
        <v>565.20000000000005</v>
      </c>
      <c r="F15">
        <v>122.7</v>
      </c>
      <c r="G15" s="19">
        <f t="shared" ref="G15:H17" si="6">+C15+E15</f>
        <v>1240.2</v>
      </c>
      <c r="H15" s="19">
        <f t="shared" si="6"/>
        <v>123.3</v>
      </c>
      <c r="I15" s="24">
        <f t="shared" si="5"/>
        <v>905.83941605839425</v>
      </c>
      <c r="J15">
        <v>250</v>
      </c>
    </row>
    <row r="16" spans="1:10" x14ac:dyDescent="0.25">
      <c r="B16" s="38">
        <f t="shared" si="2"/>
        <v>39408</v>
      </c>
      <c r="C16">
        <v>675</v>
      </c>
      <c r="D16">
        <v>0.6</v>
      </c>
      <c r="E16">
        <v>565.20000000000005</v>
      </c>
      <c r="F16">
        <v>122.7</v>
      </c>
      <c r="G16" s="19">
        <f t="shared" si="6"/>
        <v>1240.2</v>
      </c>
      <c r="H16" s="19">
        <f t="shared" si="6"/>
        <v>123.3</v>
      </c>
      <c r="I16" s="24">
        <f t="shared" si="5"/>
        <v>905.83941605839425</v>
      </c>
      <c r="J16">
        <v>250</v>
      </c>
    </row>
    <row r="17" spans="2:10" x14ac:dyDescent="0.25">
      <c r="B17" s="38">
        <f t="shared" si="2"/>
        <v>39415</v>
      </c>
      <c r="C17">
        <v>675</v>
      </c>
      <c r="D17">
        <v>0.6</v>
      </c>
      <c r="E17">
        <v>565.20000000000005</v>
      </c>
      <c r="F17">
        <v>122.7</v>
      </c>
      <c r="G17" s="19">
        <f t="shared" si="6"/>
        <v>1240.2</v>
      </c>
      <c r="H17" s="19">
        <f t="shared" si="6"/>
        <v>123.3</v>
      </c>
      <c r="I17" s="24">
        <f t="shared" si="5"/>
        <v>905.83941605839425</v>
      </c>
      <c r="J17">
        <v>250</v>
      </c>
    </row>
    <row r="18" spans="2:10" x14ac:dyDescent="0.25">
      <c r="B18" s="38">
        <f t="shared" si="2"/>
        <v>39422</v>
      </c>
      <c r="C18">
        <v>675</v>
      </c>
      <c r="D18">
        <v>0.6</v>
      </c>
      <c r="E18">
        <v>565.20000000000005</v>
      </c>
      <c r="F18">
        <v>122.7</v>
      </c>
      <c r="G18" s="19">
        <f t="shared" ref="G18:H20" si="7">+C18+E18</f>
        <v>1240.2</v>
      </c>
      <c r="H18" s="19">
        <f t="shared" si="7"/>
        <v>123.3</v>
      </c>
      <c r="I18" s="24">
        <f t="shared" ref="I18:I23" si="8">+(G18/H18-1)*100</f>
        <v>905.83941605839425</v>
      </c>
      <c r="J18">
        <v>250</v>
      </c>
    </row>
    <row r="19" spans="2:10" x14ac:dyDescent="0.25">
      <c r="B19" s="38">
        <f t="shared" si="2"/>
        <v>39429</v>
      </c>
      <c r="C19">
        <v>675</v>
      </c>
      <c r="D19">
        <v>0.6</v>
      </c>
      <c r="E19">
        <v>565.20000000000005</v>
      </c>
      <c r="F19">
        <v>122.7</v>
      </c>
      <c r="G19" s="19">
        <f t="shared" si="7"/>
        <v>1240.2</v>
      </c>
      <c r="H19" s="19">
        <f t="shared" si="7"/>
        <v>123.3</v>
      </c>
      <c r="I19" s="24">
        <f t="shared" si="8"/>
        <v>905.83941605839425</v>
      </c>
      <c r="J19">
        <v>250</v>
      </c>
    </row>
    <row r="20" spans="2:10" x14ac:dyDescent="0.25">
      <c r="B20" s="38">
        <f t="shared" si="2"/>
        <v>39436</v>
      </c>
      <c r="C20">
        <v>575</v>
      </c>
      <c r="D20">
        <v>0</v>
      </c>
      <c r="E20">
        <v>565.20000000000005</v>
      </c>
      <c r="F20">
        <v>122.7</v>
      </c>
      <c r="G20" s="19">
        <f t="shared" si="7"/>
        <v>1140.2</v>
      </c>
      <c r="H20" s="19">
        <f t="shared" si="7"/>
        <v>122.7</v>
      </c>
      <c r="I20" s="24">
        <f t="shared" si="8"/>
        <v>829.25835370823154</v>
      </c>
      <c r="J20">
        <v>250</v>
      </c>
    </row>
    <row r="21" spans="2:10" x14ac:dyDescent="0.25">
      <c r="B21" s="38">
        <f t="shared" si="2"/>
        <v>39443</v>
      </c>
      <c r="C21">
        <v>575</v>
      </c>
      <c r="D21">
        <v>0</v>
      </c>
      <c r="E21">
        <v>565.20000000000005</v>
      </c>
      <c r="F21">
        <v>122.7</v>
      </c>
      <c r="G21" s="19">
        <f t="shared" ref="G21:H23" si="9">+C21+E21</f>
        <v>1140.2</v>
      </c>
      <c r="H21" s="19">
        <f t="shared" si="9"/>
        <v>122.7</v>
      </c>
      <c r="I21" s="24">
        <f t="shared" si="8"/>
        <v>829.25835370823154</v>
      </c>
    </row>
    <row r="22" spans="2:10" x14ac:dyDescent="0.25">
      <c r="B22" s="38">
        <f t="shared" si="2"/>
        <v>39450</v>
      </c>
      <c r="C22">
        <v>595</v>
      </c>
      <c r="D22">
        <v>0</v>
      </c>
      <c r="E22">
        <v>565.20000000000005</v>
      </c>
      <c r="F22">
        <v>122.7</v>
      </c>
      <c r="G22" s="19">
        <f t="shared" si="9"/>
        <v>1160.2</v>
      </c>
      <c r="H22" s="19">
        <f t="shared" si="9"/>
        <v>122.7</v>
      </c>
      <c r="I22" s="24">
        <f t="shared" si="8"/>
        <v>845.55827220863898</v>
      </c>
    </row>
    <row r="23" spans="2:10" x14ac:dyDescent="0.25">
      <c r="B23" s="38">
        <f t="shared" si="2"/>
        <v>39457</v>
      </c>
      <c r="C23">
        <v>575</v>
      </c>
      <c r="D23">
        <v>0</v>
      </c>
      <c r="E23">
        <v>565.20000000000005</v>
      </c>
      <c r="F23">
        <v>122.7</v>
      </c>
      <c r="G23" s="19">
        <f t="shared" si="9"/>
        <v>1140.2</v>
      </c>
      <c r="H23" s="19">
        <f t="shared" si="9"/>
        <v>122.7</v>
      </c>
      <c r="I23" s="24">
        <f t="shared" si="8"/>
        <v>829.25835370823154</v>
      </c>
      <c r="J23">
        <v>270</v>
      </c>
    </row>
    <row r="24" spans="2:10" x14ac:dyDescent="0.25">
      <c r="B24" s="38">
        <f t="shared" si="2"/>
        <v>39464</v>
      </c>
      <c r="C24">
        <v>575</v>
      </c>
      <c r="D24">
        <v>0</v>
      </c>
      <c r="E24">
        <v>565.20000000000005</v>
      </c>
      <c r="F24">
        <v>122.7</v>
      </c>
      <c r="G24" s="19">
        <f t="shared" ref="G24:H26" si="10">+C24+E24</f>
        <v>1140.2</v>
      </c>
      <c r="H24" s="19">
        <f t="shared" si="10"/>
        <v>122.7</v>
      </c>
      <c r="I24" s="24">
        <f t="shared" ref="I24:I29" si="11">+(G24/H24-1)*100</f>
        <v>829.25835370823154</v>
      </c>
    </row>
    <row r="25" spans="2:10" x14ac:dyDescent="0.25">
      <c r="B25" s="38">
        <f t="shared" si="2"/>
        <v>39471</v>
      </c>
      <c r="C25">
        <v>575</v>
      </c>
      <c r="D25">
        <v>0</v>
      </c>
      <c r="E25">
        <v>565.20000000000005</v>
      </c>
      <c r="F25">
        <v>122.7</v>
      </c>
      <c r="G25" s="19">
        <f t="shared" si="10"/>
        <v>1140.2</v>
      </c>
      <c r="H25" s="19">
        <f t="shared" si="10"/>
        <v>122.7</v>
      </c>
      <c r="I25" s="24">
        <f t="shared" si="11"/>
        <v>829.25835370823154</v>
      </c>
    </row>
    <row r="26" spans="2:10" x14ac:dyDescent="0.25">
      <c r="B26" s="38">
        <f t="shared" si="2"/>
        <v>39478</v>
      </c>
      <c r="C26">
        <v>575</v>
      </c>
      <c r="D26">
        <v>21.5</v>
      </c>
      <c r="E26">
        <v>565.20000000000005</v>
      </c>
      <c r="F26">
        <v>122.7</v>
      </c>
      <c r="G26" s="19">
        <f t="shared" si="10"/>
        <v>1140.2</v>
      </c>
      <c r="H26" s="19">
        <f t="shared" si="10"/>
        <v>144.19999999999999</v>
      </c>
      <c r="I26" s="24">
        <f t="shared" si="11"/>
        <v>690.70735090152584</v>
      </c>
      <c r="J26">
        <v>270</v>
      </c>
    </row>
    <row r="27" spans="2:10" x14ac:dyDescent="0.25">
      <c r="B27" s="38">
        <f t="shared" si="2"/>
        <v>39485</v>
      </c>
      <c r="C27">
        <v>525</v>
      </c>
      <c r="D27">
        <v>21.5</v>
      </c>
      <c r="E27">
        <v>565.20000000000005</v>
      </c>
      <c r="F27">
        <v>122.7</v>
      </c>
      <c r="G27" s="19">
        <f t="shared" ref="G27:H29" si="12">+C27+E27</f>
        <v>1090.2</v>
      </c>
      <c r="H27" s="19">
        <f t="shared" si="12"/>
        <v>144.19999999999999</v>
      </c>
      <c r="I27" s="24">
        <f t="shared" si="11"/>
        <v>656.03328710124833</v>
      </c>
      <c r="J27">
        <v>270</v>
      </c>
    </row>
    <row r="28" spans="2:10" x14ac:dyDescent="0.25">
      <c r="B28" s="38">
        <f t="shared" si="2"/>
        <v>39492</v>
      </c>
      <c r="C28">
        <v>500</v>
      </c>
      <c r="D28">
        <v>21.5</v>
      </c>
      <c r="E28">
        <v>590.20000000000005</v>
      </c>
      <c r="F28">
        <v>122.7</v>
      </c>
      <c r="G28" s="19">
        <f t="shared" si="12"/>
        <v>1090.2</v>
      </c>
      <c r="H28" s="19">
        <f t="shared" si="12"/>
        <v>144.19999999999999</v>
      </c>
      <c r="I28" s="24">
        <f t="shared" si="11"/>
        <v>656.03328710124833</v>
      </c>
      <c r="J28">
        <v>270</v>
      </c>
    </row>
    <row r="29" spans="2:10" x14ac:dyDescent="0.25">
      <c r="B29" s="38">
        <f t="shared" si="2"/>
        <v>39499</v>
      </c>
      <c r="C29">
        <v>500</v>
      </c>
      <c r="D29">
        <v>21.5</v>
      </c>
      <c r="E29">
        <v>590.20000000000005</v>
      </c>
      <c r="F29">
        <v>122.7</v>
      </c>
      <c r="G29" s="19">
        <f t="shared" si="12"/>
        <v>1090.2</v>
      </c>
      <c r="H29" s="19">
        <f t="shared" si="12"/>
        <v>144.19999999999999</v>
      </c>
      <c r="I29" s="24">
        <f t="shared" si="11"/>
        <v>656.03328710124833</v>
      </c>
    </row>
    <row r="30" spans="2:10" x14ac:dyDescent="0.25">
      <c r="B30" s="38">
        <f t="shared" si="2"/>
        <v>39506</v>
      </c>
      <c r="C30">
        <v>375</v>
      </c>
      <c r="D30">
        <v>21.5</v>
      </c>
      <c r="E30">
        <v>590.20000000000005</v>
      </c>
      <c r="F30">
        <v>122.7</v>
      </c>
      <c r="G30" s="19">
        <f t="shared" ref="G30:H32" si="13">+C30+E30</f>
        <v>965.2</v>
      </c>
      <c r="H30" s="19">
        <f t="shared" si="13"/>
        <v>144.19999999999999</v>
      </c>
      <c r="I30" s="24">
        <f t="shared" ref="I30:I35" si="14">+(G30/H30-1)*100</f>
        <v>569.34812760055479</v>
      </c>
      <c r="J30">
        <v>270</v>
      </c>
    </row>
    <row r="31" spans="2:10" x14ac:dyDescent="0.25">
      <c r="B31" s="38">
        <f t="shared" si="2"/>
        <v>39513</v>
      </c>
      <c r="C31">
        <v>325</v>
      </c>
      <c r="D31">
        <v>21.5</v>
      </c>
      <c r="E31">
        <v>616.5</v>
      </c>
      <c r="F31">
        <v>122.7</v>
      </c>
      <c r="G31" s="19">
        <f t="shared" si="13"/>
        <v>941.5</v>
      </c>
      <c r="H31" s="19">
        <f t="shared" si="13"/>
        <v>144.19999999999999</v>
      </c>
      <c r="I31" s="24">
        <f t="shared" si="14"/>
        <v>552.91262135922329</v>
      </c>
    </row>
    <row r="32" spans="2:10" x14ac:dyDescent="0.25">
      <c r="B32" s="38">
        <f t="shared" si="2"/>
        <v>39520</v>
      </c>
      <c r="C32">
        <v>175</v>
      </c>
      <c r="D32">
        <v>21.5</v>
      </c>
      <c r="E32">
        <v>642.9</v>
      </c>
      <c r="F32">
        <v>122.7</v>
      </c>
      <c r="G32" s="19">
        <f t="shared" si="13"/>
        <v>817.9</v>
      </c>
      <c r="H32" s="19">
        <f t="shared" si="13"/>
        <v>144.19999999999999</v>
      </c>
      <c r="I32" s="24">
        <f t="shared" si="14"/>
        <v>467.19833564493757</v>
      </c>
      <c r="J32">
        <v>245</v>
      </c>
    </row>
    <row r="33" spans="1:10" x14ac:dyDescent="0.25">
      <c r="B33" s="38">
        <f t="shared" si="2"/>
        <v>39527</v>
      </c>
      <c r="C33">
        <v>125</v>
      </c>
      <c r="D33">
        <v>21.5</v>
      </c>
      <c r="E33">
        <v>669.2</v>
      </c>
      <c r="F33">
        <v>122.7</v>
      </c>
      <c r="G33" s="19">
        <f t="shared" ref="G33:H35" si="15">+C33+E33</f>
        <v>794.2</v>
      </c>
      <c r="H33" s="19">
        <f t="shared" si="15"/>
        <v>144.19999999999999</v>
      </c>
      <c r="I33" s="24">
        <f t="shared" si="14"/>
        <v>450.76282940360619</v>
      </c>
    </row>
    <row r="34" spans="1:10" x14ac:dyDescent="0.25">
      <c r="B34" s="38">
        <f t="shared" si="2"/>
        <v>39534</v>
      </c>
      <c r="C34">
        <v>125</v>
      </c>
      <c r="D34">
        <v>21.5</v>
      </c>
      <c r="E34">
        <v>669.2</v>
      </c>
      <c r="F34">
        <v>122.7</v>
      </c>
      <c r="G34" s="19">
        <f t="shared" si="15"/>
        <v>794.2</v>
      </c>
      <c r="H34" s="19">
        <f t="shared" si="15"/>
        <v>144.19999999999999</v>
      </c>
      <c r="I34" s="24">
        <f t="shared" si="14"/>
        <v>450.76282940360619</v>
      </c>
    </row>
    <row r="35" spans="1:10" x14ac:dyDescent="0.25">
      <c r="B35" s="38">
        <f t="shared" si="2"/>
        <v>39541</v>
      </c>
      <c r="C35">
        <v>200</v>
      </c>
      <c r="D35">
        <v>21.5</v>
      </c>
      <c r="E35">
        <v>721.5</v>
      </c>
      <c r="F35">
        <v>122.7</v>
      </c>
      <c r="G35" s="19">
        <f t="shared" si="15"/>
        <v>921.5</v>
      </c>
      <c r="H35" s="19">
        <f t="shared" si="15"/>
        <v>144.19999999999999</v>
      </c>
      <c r="I35" s="24">
        <f t="shared" si="14"/>
        <v>539.04299583911234</v>
      </c>
    </row>
    <row r="36" spans="1:10" x14ac:dyDescent="0.25">
      <c r="B36" s="38">
        <f t="shared" si="2"/>
        <v>39548</v>
      </c>
      <c r="C36">
        <v>150</v>
      </c>
      <c r="D36">
        <v>21.5</v>
      </c>
      <c r="E36">
        <v>773.2</v>
      </c>
      <c r="F36">
        <v>142.30000000000001</v>
      </c>
      <c r="G36" s="19">
        <f t="shared" ref="G36:H38" si="16">+C36+E36</f>
        <v>923.2</v>
      </c>
      <c r="H36" s="19">
        <f t="shared" si="16"/>
        <v>163.80000000000001</v>
      </c>
      <c r="I36" s="24">
        <f t="shared" ref="I36:I41" si="17">+(G36/H36-1)*100</f>
        <v>463.61416361416354</v>
      </c>
    </row>
    <row r="37" spans="1:10" x14ac:dyDescent="0.25">
      <c r="B37" s="38">
        <f t="shared" si="2"/>
        <v>39555</v>
      </c>
      <c r="C37">
        <v>125</v>
      </c>
      <c r="D37">
        <v>18.8</v>
      </c>
      <c r="E37">
        <v>799.4</v>
      </c>
      <c r="F37">
        <v>142.30000000000001</v>
      </c>
      <c r="G37" s="19">
        <f t="shared" si="16"/>
        <v>924.4</v>
      </c>
      <c r="H37" s="19">
        <f t="shared" si="16"/>
        <v>161.10000000000002</v>
      </c>
      <c r="I37" s="24">
        <f t="shared" si="17"/>
        <v>473.80509000620725</v>
      </c>
      <c r="J37">
        <v>220</v>
      </c>
    </row>
    <row r="38" spans="1:10" x14ac:dyDescent="0.25">
      <c r="B38" s="38">
        <f t="shared" si="2"/>
        <v>39562</v>
      </c>
      <c r="C38">
        <v>25</v>
      </c>
      <c r="D38">
        <v>18.8</v>
      </c>
      <c r="E38">
        <v>852.9</v>
      </c>
      <c r="F38">
        <v>142.30000000000001</v>
      </c>
      <c r="G38" s="19">
        <f t="shared" si="16"/>
        <v>877.9</v>
      </c>
      <c r="H38" s="19">
        <f t="shared" si="16"/>
        <v>161.10000000000002</v>
      </c>
      <c r="I38" s="24">
        <f t="shared" si="17"/>
        <v>444.94103041589062</v>
      </c>
    </row>
    <row r="39" spans="1:10" x14ac:dyDescent="0.25">
      <c r="B39" s="38">
        <f t="shared" si="2"/>
        <v>39569</v>
      </c>
      <c r="C39">
        <v>25</v>
      </c>
      <c r="D39">
        <v>18.8</v>
      </c>
      <c r="E39">
        <v>852.9</v>
      </c>
      <c r="F39">
        <v>142.30000000000001</v>
      </c>
      <c r="G39" s="19">
        <f t="shared" ref="G39:H41" si="18">+C39+E39</f>
        <v>877.9</v>
      </c>
      <c r="H39" s="19">
        <f t="shared" si="18"/>
        <v>161.10000000000002</v>
      </c>
      <c r="I39" s="24">
        <f t="shared" si="17"/>
        <v>444.94103041589062</v>
      </c>
      <c r="J39">
        <v>220</v>
      </c>
    </row>
    <row r="40" spans="1:10" x14ac:dyDescent="0.25">
      <c r="B40" s="38">
        <f t="shared" si="2"/>
        <v>39576</v>
      </c>
      <c r="C40">
        <v>0</v>
      </c>
      <c r="D40">
        <v>18.8</v>
      </c>
      <c r="E40">
        <v>852.9</v>
      </c>
      <c r="F40">
        <v>142.30000000000001</v>
      </c>
      <c r="G40" s="19">
        <f t="shared" si="18"/>
        <v>852.9</v>
      </c>
      <c r="H40" s="19">
        <f t="shared" si="18"/>
        <v>161.10000000000002</v>
      </c>
      <c r="I40" s="24">
        <f t="shared" si="17"/>
        <v>429.42271880819362</v>
      </c>
      <c r="J40">
        <v>220</v>
      </c>
    </row>
    <row r="41" spans="1:10" x14ac:dyDescent="0.25">
      <c r="B41" s="38">
        <f t="shared" si="2"/>
        <v>39583</v>
      </c>
      <c r="C41">
        <v>0</v>
      </c>
      <c r="D41">
        <v>18.8</v>
      </c>
      <c r="E41">
        <v>852.9</v>
      </c>
      <c r="F41">
        <v>142.30000000000001</v>
      </c>
      <c r="G41" s="19">
        <f t="shared" si="18"/>
        <v>852.9</v>
      </c>
      <c r="H41" s="19">
        <f t="shared" si="18"/>
        <v>161.10000000000002</v>
      </c>
      <c r="I41" s="24">
        <f t="shared" si="17"/>
        <v>429.42271880819362</v>
      </c>
      <c r="J41">
        <v>195</v>
      </c>
    </row>
    <row r="42" spans="1:10" x14ac:dyDescent="0.25">
      <c r="B42" s="38">
        <f t="shared" si="2"/>
        <v>39590</v>
      </c>
      <c r="C42">
        <v>0</v>
      </c>
      <c r="D42">
        <v>18</v>
      </c>
      <c r="E42">
        <v>852.9</v>
      </c>
      <c r="F42">
        <v>142.30000000000001</v>
      </c>
      <c r="G42" s="19">
        <f t="shared" ref="G42:H44" si="19">+C42+E42</f>
        <v>852.9</v>
      </c>
      <c r="H42" s="19">
        <f t="shared" si="19"/>
        <v>160.30000000000001</v>
      </c>
      <c r="I42" s="24">
        <f t="shared" ref="I42:I47" si="20">+(G42/H42-1)*100</f>
        <v>432.06487835308786</v>
      </c>
      <c r="J42">
        <v>195</v>
      </c>
    </row>
    <row r="43" spans="1:10" x14ac:dyDescent="0.25">
      <c r="B43" s="38">
        <f t="shared" si="2"/>
        <v>39597</v>
      </c>
      <c r="C43">
        <v>0</v>
      </c>
      <c r="D43">
        <v>0</v>
      </c>
      <c r="E43">
        <v>852.9</v>
      </c>
      <c r="F43">
        <v>159.80000000000001</v>
      </c>
      <c r="G43" s="19">
        <f t="shared" si="19"/>
        <v>852.9</v>
      </c>
      <c r="H43" s="19">
        <f t="shared" si="19"/>
        <v>159.80000000000001</v>
      </c>
      <c r="I43" s="24">
        <f t="shared" si="20"/>
        <v>433.72966207759697</v>
      </c>
      <c r="J43">
        <v>195</v>
      </c>
    </row>
    <row r="44" spans="1:10" x14ac:dyDescent="0.25">
      <c r="A44" t="s">
        <v>34</v>
      </c>
      <c r="B44" s="38">
        <f t="shared" si="2"/>
        <v>39604</v>
      </c>
      <c r="C44">
        <v>95</v>
      </c>
      <c r="D44">
        <v>0</v>
      </c>
      <c r="E44">
        <v>0</v>
      </c>
      <c r="F44">
        <v>0</v>
      </c>
      <c r="G44" s="19">
        <f t="shared" si="19"/>
        <v>95</v>
      </c>
      <c r="H44" s="19">
        <f t="shared" si="19"/>
        <v>0</v>
      </c>
      <c r="I44" s="24" t="e">
        <f t="shared" si="20"/>
        <v>#DIV/0!</v>
      </c>
    </row>
    <row r="45" spans="1:10" x14ac:dyDescent="0.25">
      <c r="B45" s="38">
        <f t="shared" si="2"/>
        <v>39611</v>
      </c>
      <c r="C45">
        <v>95</v>
      </c>
      <c r="D45">
        <v>0</v>
      </c>
      <c r="E45">
        <v>0</v>
      </c>
      <c r="F45">
        <v>0</v>
      </c>
      <c r="G45" s="19">
        <f t="shared" ref="G45:H47" si="21">+C45+E45</f>
        <v>95</v>
      </c>
      <c r="H45" s="19">
        <f t="shared" si="21"/>
        <v>0</v>
      </c>
      <c r="I45" s="24" t="e">
        <f t="shared" si="20"/>
        <v>#DIV/0!</v>
      </c>
    </row>
    <row r="46" spans="1:10" x14ac:dyDescent="0.25">
      <c r="B46" s="38">
        <f t="shared" si="2"/>
        <v>39618</v>
      </c>
      <c r="C46">
        <v>36</v>
      </c>
      <c r="D46">
        <v>83.5</v>
      </c>
      <c r="E46">
        <v>57.7</v>
      </c>
      <c r="F46">
        <v>53.8</v>
      </c>
      <c r="G46" s="19">
        <f t="shared" si="21"/>
        <v>93.7</v>
      </c>
      <c r="H46" s="19">
        <f t="shared" si="21"/>
        <v>137.30000000000001</v>
      </c>
      <c r="I46" s="24">
        <f t="shared" si="20"/>
        <v>-31.755280407865992</v>
      </c>
    </row>
    <row r="47" spans="1:10" x14ac:dyDescent="0.25">
      <c r="B47" s="38">
        <f t="shared" si="2"/>
        <v>39625</v>
      </c>
      <c r="C47">
        <v>45</v>
      </c>
      <c r="D47">
        <v>0</v>
      </c>
      <c r="E47">
        <v>0</v>
      </c>
      <c r="F47">
        <v>0</v>
      </c>
      <c r="G47" s="19">
        <f t="shared" si="21"/>
        <v>45</v>
      </c>
      <c r="H47" s="19">
        <f t="shared" si="21"/>
        <v>0</v>
      </c>
      <c r="I47" s="24" t="e">
        <f t="shared" si="20"/>
        <v>#DIV/0!</v>
      </c>
    </row>
    <row r="48" spans="1:10" x14ac:dyDescent="0.25">
      <c r="B48" s="38">
        <f t="shared" si="2"/>
        <v>39632</v>
      </c>
      <c r="C48">
        <v>45</v>
      </c>
      <c r="D48">
        <v>0</v>
      </c>
      <c r="E48">
        <v>0</v>
      </c>
      <c r="F48">
        <v>0</v>
      </c>
      <c r="G48" s="19">
        <f>+C48+E48</f>
        <v>45</v>
      </c>
      <c r="H48" s="19">
        <f>+D48+F48</f>
        <v>0</v>
      </c>
      <c r="I48" s="24" t="e">
        <f>+(G48/H48-1)*100</f>
        <v>#DIV/0!</v>
      </c>
    </row>
    <row r="49" spans="1:9" x14ac:dyDescent="0.25">
      <c r="B49" s="38">
        <f t="shared" si="2"/>
        <v>39639</v>
      </c>
      <c r="C49">
        <v>45</v>
      </c>
      <c r="D49">
        <v>0</v>
      </c>
      <c r="E49">
        <v>0</v>
      </c>
      <c r="F49">
        <v>0</v>
      </c>
      <c r="G49" s="19">
        <f>+C49+E49</f>
        <v>45</v>
      </c>
      <c r="H49" s="19">
        <f>+D49+F49</f>
        <v>0</v>
      </c>
      <c r="I49" s="24" t="e">
        <f>+(G49/H49-1)*100</f>
        <v>#DIV/0!</v>
      </c>
    </row>
    <row r="50" spans="1:9" x14ac:dyDescent="0.25">
      <c r="B50" s="38">
        <f t="shared" si="2"/>
        <v>39646</v>
      </c>
      <c r="G50" s="19"/>
      <c r="H50" s="19"/>
      <c r="I50" s="24"/>
    </row>
    <row r="51" spans="1:9" x14ac:dyDescent="0.25">
      <c r="B51" s="38">
        <f t="shared" si="2"/>
        <v>39653</v>
      </c>
      <c r="C51">
        <v>20</v>
      </c>
      <c r="D51">
        <v>132.5</v>
      </c>
      <c r="E51">
        <v>0</v>
      </c>
      <c r="F51">
        <v>0</v>
      </c>
      <c r="G51" s="19">
        <f>+C51+E51</f>
        <v>20</v>
      </c>
      <c r="H51" s="19">
        <f>+D51+F51</f>
        <v>132.5</v>
      </c>
      <c r="I51" s="24">
        <f>+(G51/H51-1)*100</f>
        <v>-84.905660377358487</v>
      </c>
    </row>
    <row r="52" spans="1:9" x14ac:dyDescent="0.25">
      <c r="B52" s="38">
        <f t="shared" si="2"/>
        <v>39660</v>
      </c>
      <c r="G52" s="19"/>
      <c r="H52" s="19"/>
      <c r="I52" s="24"/>
    </row>
    <row r="53" spans="1:9" x14ac:dyDescent="0.25">
      <c r="B53" s="38">
        <f t="shared" si="2"/>
        <v>39667</v>
      </c>
      <c r="C53">
        <v>20</v>
      </c>
      <c r="D53">
        <v>206</v>
      </c>
      <c r="E53">
        <v>0</v>
      </c>
      <c r="F53">
        <v>0</v>
      </c>
      <c r="G53" s="19">
        <f t="shared" ref="G53:H55" si="22">+C53+E53</f>
        <v>20</v>
      </c>
      <c r="H53" s="19">
        <f t="shared" si="22"/>
        <v>206</v>
      </c>
      <c r="I53" s="24">
        <f>+(G53/H53-1)*100</f>
        <v>-90.291262135922338</v>
      </c>
    </row>
    <row r="54" spans="1:9" x14ac:dyDescent="0.25">
      <c r="B54" s="38">
        <f t="shared" si="2"/>
        <v>39674</v>
      </c>
      <c r="C54">
        <v>0</v>
      </c>
      <c r="D54">
        <v>231</v>
      </c>
      <c r="E54">
        <v>0</v>
      </c>
      <c r="F54">
        <v>0</v>
      </c>
      <c r="G54" s="19">
        <f t="shared" si="22"/>
        <v>0</v>
      </c>
      <c r="H54" s="19">
        <f t="shared" si="22"/>
        <v>231</v>
      </c>
      <c r="I54" s="24">
        <f>+(G54/H54-1)*100</f>
        <v>-100</v>
      </c>
    </row>
    <row r="55" spans="1:9" x14ac:dyDescent="0.25">
      <c r="B55" s="38">
        <f t="shared" si="2"/>
        <v>39681</v>
      </c>
      <c r="C55">
        <v>0</v>
      </c>
      <c r="D55">
        <v>208</v>
      </c>
      <c r="E55">
        <v>0</v>
      </c>
      <c r="F55">
        <v>23.6</v>
      </c>
      <c r="G55" s="19">
        <f t="shared" si="22"/>
        <v>0</v>
      </c>
      <c r="H55" s="19">
        <f t="shared" si="22"/>
        <v>231.6</v>
      </c>
      <c r="I55" s="24">
        <f>+(G55/H55-1)*100</f>
        <v>-100</v>
      </c>
    </row>
    <row r="56" spans="1:9" x14ac:dyDescent="0.25">
      <c r="A56" s="43" t="s">
        <v>39</v>
      </c>
      <c r="B56" s="38"/>
    </row>
    <row r="57" spans="1:9" x14ac:dyDescent="0.25">
      <c r="B57" s="38">
        <v>39590</v>
      </c>
    </row>
    <row r="58" spans="1:9" x14ac:dyDescent="0.25">
      <c r="B58" s="10">
        <v>39597</v>
      </c>
    </row>
    <row r="59" spans="1:9" x14ac:dyDescent="0.25">
      <c r="B59" s="38">
        <v>39604</v>
      </c>
      <c r="C59">
        <v>97</v>
      </c>
      <c r="D59">
        <v>73.7</v>
      </c>
      <c r="E59">
        <v>0</v>
      </c>
      <c r="F59">
        <v>51.5</v>
      </c>
      <c r="G59" s="19">
        <f>+C59+E59</f>
        <v>97</v>
      </c>
      <c r="H59" s="19">
        <f>+D59+F59</f>
        <v>125.2</v>
      </c>
      <c r="I59" s="24">
        <f>+(G59/H59-1)*100</f>
        <v>-22.523961661341851</v>
      </c>
    </row>
    <row r="60" spans="1:9" x14ac:dyDescent="0.25">
      <c r="B60" s="10">
        <f t="shared" ref="B60:B201" si="23">+B59+7</f>
        <v>39611</v>
      </c>
      <c r="C60">
        <v>97</v>
      </c>
      <c r="D60">
        <v>73.7</v>
      </c>
      <c r="E60">
        <v>0</v>
      </c>
      <c r="F60">
        <v>51.5</v>
      </c>
      <c r="G60" s="19">
        <f>+C60+E60</f>
        <v>97</v>
      </c>
      <c r="H60" s="19">
        <f>+D60+F60</f>
        <v>125.2</v>
      </c>
      <c r="I60" s="24">
        <f>+(G60/H60-1)*100</f>
        <v>-22.523961661341851</v>
      </c>
    </row>
    <row r="61" spans="1:9" x14ac:dyDescent="0.25">
      <c r="B61" s="10">
        <f t="shared" si="23"/>
        <v>39618</v>
      </c>
    </row>
    <row r="62" spans="1:9" x14ac:dyDescent="0.25">
      <c r="B62" s="10">
        <f t="shared" si="23"/>
        <v>39625</v>
      </c>
      <c r="C62">
        <v>6</v>
      </c>
      <c r="D62">
        <v>110</v>
      </c>
      <c r="E62">
        <v>57.7</v>
      </c>
      <c r="F62">
        <v>57.4</v>
      </c>
      <c r="G62" s="19">
        <f t="shared" ref="G62:H64" si="24">+C62+E62</f>
        <v>63.7</v>
      </c>
      <c r="H62" s="19">
        <f t="shared" si="24"/>
        <v>167.4</v>
      </c>
      <c r="I62" s="24">
        <f t="shared" ref="I62:I67" si="25">+(G62/H62-1)*100</f>
        <v>-61.947431302270004</v>
      </c>
    </row>
    <row r="63" spans="1:9" x14ac:dyDescent="0.25">
      <c r="B63" s="10">
        <f t="shared" si="23"/>
        <v>39632</v>
      </c>
      <c r="C63">
        <v>2</v>
      </c>
      <c r="D63">
        <v>52</v>
      </c>
      <c r="E63">
        <v>57.7</v>
      </c>
      <c r="F63">
        <v>120</v>
      </c>
      <c r="G63" s="19">
        <f t="shared" si="24"/>
        <v>59.7</v>
      </c>
      <c r="H63" s="19">
        <f t="shared" si="24"/>
        <v>172</v>
      </c>
      <c r="I63" s="24">
        <f t="shared" si="25"/>
        <v>-65.290697674418595</v>
      </c>
    </row>
    <row r="64" spans="1:9" x14ac:dyDescent="0.25">
      <c r="B64" s="10">
        <f t="shared" si="23"/>
        <v>39639</v>
      </c>
      <c r="C64">
        <v>118</v>
      </c>
      <c r="D64">
        <v>63</v>
      </c>
      <c r="E64">
        <v>57.7</v>
      </c>
      <c r="F64">
        <v>120</v>
      </c>
      <c r="G64" s="19">
        <f t="shared" si="24"/>
        <v>175.7</v>
      </c>
      <c r="H64" s="19">
        <f t="shared" si="24"/>
        <v>183</v>
      </c>
      <c r="I64" s="24">
        <f t="shared" si="25"/>
        <v>-3.9890710382513683</v>
      </c>
    </row>
    <row r="65" spans="2:9" x14ac:dyDescent="0.25">
      <c r="B65" s="10">
        <f t="shared" si="23"/>
        <v>39646</v>
      </c>
      <c r="C65">
        <v>120.9</v>
      </c>
      <c r="D65">
        <v>39.9</v>
      </c>
      <c r="E65">
        <v>58.8</v>
      </c>
      <c r="F65">
        <v>145.80000000000001</v>
      </c>
      <c r="G65" s="19">
        <f t="shared" ref="G65:H67" si="26">+C65+E65</f>
        <v>179.7</v>
      </c>
      <c r="H65" s="19">
        <f t="shared" si="26"/>
        <v>185.70000000000002</v>
      </c>
      <c r="I65" s="24">
        <f t="shared" si="25"/>
        <v>-3.231017770597755</v>
      </c>
    </row>
    <row r="66" spans="2:9" x14ac:dyDescent="0.25">
      <c r="B66" s="10">
        <f t="shared" si="23"/>
        <v>39653</v>
      </c>
      <c r="C66">
        <v>125.9</v>
      </c>
      <c r="D66">
        <v>38.9</v>
      </c>
      <c r="E66">
        <v>58.8</v>
      </c>
      <c r="F66">
        <v>146.80000000000001</v>
      </c>
      <c r="G66" s="19">
        <f t="shared" si="26"/>
        <v>184.7</v>
      </c>
      <c r="H66" s="19">
        <f t="shared" si="26"/>
        <v>185.70000000000002</v>
      </c>
      <c r="I66" s="24">
        <f t="shared" si="25"/>
        <v>-0.5385029617663073</v>
      </c>
    </row>
    <row r="67" spans="2:9" x14ac:dyDescent="0.25">
      <c r="B67" s="10">
        <f t="shared" si="23"/>
        <v>39660</v>
      </c>
      <c r="C67">
        <v>124.2</v>
      </c>
      <c r="D67">
        <v>110.7</v>
      </c>
      <c r="E67">
        <v>60.5</v>
      </c>
      <c r="F67">
        <v>149</v>
      </c>
      <c r="G67" s="19">
        <f t="shared" si="26"/>
        <v>184.7</v>
      </c>
      <c r="H67" s="19">
        <f t="shared" si="26"/>
        <v>259.7</v>
      </c>
      <c r="I67" s="24">
        <f t="shared" si="25"/>
        <v>-28.879476318829422</v>
      </c>
    </row>
    <row r="68" spans="2:9" x14ac:dyDescent="0.25">
      <c r="B68" s="10">
        <f t="shared" si="23"/>
        <v>39667</v>
      </c>
      <c r="C68">
        <v>65.8</v>
      </c>
      <c r="D68">
        <v>116.7</v>
      </c>
      <c r="E68">
        <v>178.5</v>
      </c>
      <c r="F68">
        <v>149</v>
      </c>
      <c r="G68" s="19">
        <f t="shared" ref="G68:H70" si="27">+C68+E68</f>
        <v>244.3</v>
      </c>
      <c r="H68" s="19">
        <f t="shared" si="27"/>
        <v>265.7</v>
      </c>
      <c r="I68" s="24">
        <f t="shared" ref="I68:I73" si="28">+(G68/H68-1)*100</f>
        <v>-8.0541964621753781</v>
      </c>
    </row>
    <row r="69" spans="2:9" x14ac:dyDescent="0.25">
      <c r="B69" s="10">
        <f t="shared" si="23"/>
        <v>39674</v>
      </c>
      <c r="C69">
        <v>89.2</v>
      </c>
      <c r="D69">
        <v>167.9</v>
      </c>
      <c r="E69">
        <v>180.1</v>
      </c>
      <c r="F69">
        <v>155</v>
      </c>
      <c r="G69" s="19">
        <f t="shared" si="27"/>
        <v>269.3</v>
      </c>
      <c r="H69" s="19">
        <f t="shared" si="27"/>
        <v>322.89999999999998</v>
      </c>
      <c r="I69" s="24">
        <f t="shared" si="28"/>
        <v>-16.599566429235047</v>
      </c>
    </row>
    <row r="70" spans="2:9" x14ac:dyDescent="0.25">
      <c r="B70" s="10">
        <f t="shared" si="23"/>
        <v>39681</v>
      </c>
      <c r="C70">
        <v>87</v>
      </c>
      <c r="D70">
        <v>159.9</v>
      </c>
      <c r="E70">
        <v>242.3</v>
      </c>
      <c r="F70">
        <v>163.19999999999999</v>
      </c>
      <c r="G70" s="19">
        <f t="shared" si="27"/>
        <v>329.3</v>
      </c>
      <c r="H70" s="19">
        <f t="shared" si="27"/>
        <v>323.10000000000002</v>
      </c>
      <c r="I70" s="24">
        <f t="shared" si="28"/>
        <v>1.9189105540080353</v>
      </c>
    </row>
    <row r="71" spans="2:9" x14ac:dyDescent="0.25">
      <c r="B71" s="10">
        <f t="shared" si="23"/>
        <v>39688</v>
      </c>
      <c r="C71">
        <v>88.3</v>
      </c>
      <c r="D71">
        <v>107</v>
      </c>
      <c r="E71">
        <v>243.1</v>
      </c>
      <c r="F71">
        <v>226.6</v>
      </c>
      <c r="G71" s="19">
        <f t="shared" ref="G71:H73" si="29">+C71+E71</f>
        <v>331.4</v>
      </c>
      <c r="H71" s="19">
        <f t="shared" si="29"/>
        <v>333.6</v>
      </c>
      <c r="I71" s="24">
        <f t="shared" si="28"/>
        <v>-0.65947242206236822</v>
      </c>
    </row>
    <row r="72" spans="2:9" x14ac:dyDescent="0.25">
      <c r="B72" s="10">
        <f t="shared" si="23"/>
        <v>39695</v>
      </c>
      <c r="C72">
        <v>27.6</v>
      </c>
      <c r="D72">
        <v>106.3</v>
      </c>
      <c r="E72">
        <v>304.3</v>
      </c>
      <c r="F72">
        <v>228.2</v>
      </c>
      <c r="G72" s="19">
        <f t="shared" si="29"/>
        <v>331.90000000000003</v>
      </c>
      <c r="H72" s="19">
        <f t="shared" si="29"/>
        <v>334.5</v>
      </c>
      <c r="I72" s="24">
        <f t="shared" si="28"/>
        <v>-0.77727952167413461</v>
      </c>
    </row>
    <row r="73" spans="2:9" x14ac:dyDescent="0.25">
      <c r="B73" s="10">
        <f t="shared" si="23"/>
        <v>39702</v>
      </c>
      <c r="C73">
        <v>26.4</v>
      </c>
      <c r="D73">
        <v>55.1</v>
      </c>
      <c r="E73">
        <v>305.39999999999998</v>
      </c>
      <c r="F73">
        <v>297.39999999999998</v>
      </c>
      <c r="G73" s="19">
        <f t="shared" si="29"/>
        <v>331.79999999999995</v>
      </c>
      <c r="H73" s="19">
        <f t="shared" si="29"/>
        <v>352.5</v>
      </c>
      <c r="I73" s="24">
        <f t="shared" si="28"/>
        <v>-5.87234042553193</v>
      </c>
    </row>
    <row r="74" spans="2:9" x14ac:dyDescent="0.25">
      <c r="B74" s="10">
        <f t="shared" si="23"/>
        <v>39709</v>
      </c>
      <c r="C74">
        <v>0.2</v>
      </c>
      <c r="D74">
        <v>78.8</v>
      </c>
      <c r="E74">
        <v>393.4</v>
      </c>
      <c r="F74">
        <v>297.8</v>
      </c>
      <c r="G74" s="19">
        <f t="shared" ref="G74:H76" si="30">+C74+E74</f>
        <v>393.59999999999997</v>
      </c>
      <c r="H74" s="19">
        <f t="shared" si="30"/>
        <v>376.6</v>
      </c>
      <c r="I74" s="24">
        <f t="shared" ref="I74:I79" si="31">+(G74/H74-1)*100</f>
        <v>4.5140732873074629</v>
      </c>
    </row>
    <row r="75" spans="2:9" x14ac:dyDescent="0.25">
      <c r="B75" s="10">
        <f t="shared" si="23"/>
        <v>39716</v>
      </c>
      <c r="C75">
        <v>25</v>
      </c>
      <c r="D75">
        <v>86.5</v>
      </c>
      <c r="E75">
        <v>393.6</v>
      </c>
      <c r="F75">
        <v>302.10000000000002</v>
      </c>
      <c r="G75" s="19">
        <f t="shared" si="30"/>
        <v>418.6</v>
      </c>
      <c r="H75" s="19">
        <f t="shared" si="30"/>
        <v>388.6</v>
      </c>
      <c r="I75" s="24">
        <f t="shared" si="31"/>
        <v>7.7200205867215654</v>
      </c>
    </row>
    <row r="76" spans="2:9" x14ac:dyDescent="0.25">
      <c r="B76" s="10">
        <f t="shared" si="23"/>
        <v>39723</v>
      </c>
      <c r="C76">
        <v>25</v>
      </c>
      <c r="D76">
        <v>165.1</v>
      </c>
      <c r="E76">
        <v>393.6</v>
      </c>
      <c r="F76">
        <v>303.39999999999998</v>
      </c>
      <c r="G76" s="19">
        <f t="shared" si="30"/>
        <v>418.6</v>
      </c>
      <c r="H76" s="19">
        <f t="shared" si="30"/>
        <v>468.5</v>
      </c>
      <c r="I76" s="24">
        <f t="shared" si="31"/>
        <v>-10.651013874066162</v>
      </c>
    </row>
    <row r="77" spans="2:9" x14ac:dyDescent="0.25">
      <c r="B77" s="10">
        <f t="shared" si="23"/>
        <v>39730</v>
      </c>
      <c r="C77">
        <v>25</v>
      </c>
      <c r="D77">
        <v>165.3</v>
      </c>
      <c r="E77">
        <v>393.6</v>
      </c>
      <c r="F77">
        <v>305.2</v>
      </c>
      <c r="G77" s="19">
        <f t="shared" ref="G77:H79" si="32">+C77+E77</f>
        <v>418.6</v>
      </c>
      <c r="H77" s="19">
        <f t="shared" si="32"/>
        <v>470.5</v>
      </c>
      <c r="I77" s="24">
        <f t="shared" si="31"/>
        <v>-11.030818278427201</v>
      </c>
    </row>
    <row r="78" spans="2:9" x14ac:dyDescent="0.25">
      <c r="B78" s="10">
        <f t="shared" si="23"/>
        <v>39737</v>
      </c>
      <c r="C78">
        <v>25</v>
      </c>
      <c r="D78">
        <v>160.6</v>
      </c>
      <c r="E78">
        <v>393.6</v>
      </c>
      <c r="F78">
        <v>309.3</v>
      </c>
      <c r="G78" s="19">
        <f t="shared" si="32"/>
        <v>418.6</v>
      </c>
      <c r="H78" s="19">
        <f t="shared" si="32"/>
        <v>469.9</v>
      </c>
      <c r="I78" s="24">
        <f t="shared" si="31"/>
        <v>-10.917216429027443</v>
      </c>
    </row>
    <row r="79" spans="2:9" x14ac:dyDescent="0.25">
      <c r="B79" s="10">
        <f t="shared" si="23"/>
        <v>39744</v>
      </c>
      <c r="C79">
        <v>25</v>
      </c>
      <c r="D79">
        <v>99.8</v>
      </c>
      <c r="E79">
        <v>393.6</v>
      </c>
      <c r="F79">
        <v>373.2</v>
      </c>
      <c r="G79" s="19">
        <f t="shared" si="32"/>
        <v>418.6</v>
      </c>
      <c r="H79" s="19">
        <f t="shared" si="32"/>
        <v>473</v>
      </c>
      <c r="I79" s="24">
        <f t="shared" si="31"/>
        <v>-11.501057082452427</v>
      </c>
    </row>
    <row r="80" spans="2:9" x14ac:dyDescent="0.25">
      <c r="B80" s="10">
        <f t="shared" si="23"/>
        <v>39751</v>
      </c>
      <c r="C80">
        <v>25</v>
      </c>
      <c r="D80">
        <v>101.5</v>
      </c>
      <c r="E80">
        <v>393.6</v>
      </c>
      <c r="F80">
        <v>376.8</v>
      </c>
      <c r="G80" s="19">
        <f t="shared" ref="G80:H82" si="33">+C80+E80</f>
        <v>418.6</v>
      </c>
      <c r="H80" s="19">
        <f t="shared" si="33"/>
        <v>478.3</v>
      </c>
      <c r="I80" s="24">
        <f t="shared" ref="I80:I85" si="34">+(G80/H80-1)*100</f>
        <v>-12.48170604223291</v>
      </c>
    </row>
    <row r="81" spans="2:9" x14ac:dyDescent="0.25">
      <c r="B81" s="10">
        <f t="shared" si="23"/>
        <v>39758</v>
      </c>
      <c r="C81">
        <v>25</v>
      </c>
      <c r="D81">
        <v>151.69999999999999</v>
      </c>
      <c r="E81">
        <v>393.6</v>
      </c>
      <c r="F81">
        <v>381.5</v>
      </c>
      <c r="G81" s="19">
        <f t="shared" si="33"/>
        <v>418.6</v>
      </c>
      <c r="H81" s="19">
        <f t="shared" si="33"/>
        <v>533.20000000000005</v>
      </c>
      <c r="I81" s="24">
        <f t="shared" si="34"/>
        <v>-21.492873218304574</v>
      </c>
    </row>
    <row r="82" spans="2:9" x14ac:dyDescent="0.25">
      <c r="B82" s="10">
        <f t="shared" si="23"/>
        <v>39765</v>
      </c>
      <c r="C82">
        <v>25.5</v>
      </c>
      <c r="D82">
        <v>150.30000000000001</v>
      </c>
      <c r="E82">
        <v>393.6</v>
      </c>
      <c r="F82">
        <v>384.9</v>
      </c>
      <c r="G82" s="19">
        <f t="shared" si="33"/>
        <v>419.1</v>
      </c>
      <c r="H82" s="19">
        <f t="shared" si="33"/>
        <v>535.20000000000005</v>
      </c>
      <c r="I82" s="24">
        <f t="shared" si="34"/>
        <v>-21.692825112107627</v>
      </c>
    </row>
    <row r="83" spans="2:9" x14ac:dyDescent="0.25">
      <c r="B83" s="10">
        <f t="shared" si="23"/>
        <v>39772</v>
      </c>
      <c r="C83">
        <v>25.5</v>
      </c>
      <c r="D83">
        <v>148.1</v>
      </c>
      <c r="E83">
        <v>393.6</v>
      </c>
      <c r="F83">
        <v>387.1</v>
      </c>
      <c r="G83" s="19">
        <f t="shared" ref="G83:H85" si="35">+C83+E83</f>
        <v>419.1</v>
      </c>
      <c r="H83" s="19">
        <f t="shared" si="35"/>
        <v>535.20000000000005</v>
      </c>
      <c r="I83" s="24">
        <f t="shared" si="34"/>
        <v>-21.692825112107627</v>
      </c>
    </row>
    <row r="84" spans="2:9" x14ac:dyDescent="0.25">
      <c r="B84" s="10">
        <f t="shared" si="23"/>
        <v>39779</v>
      </c>
      <c r="C84">
        <v>25.5</v>
      </c>
      <c r="D84">
        <v>172.6</v>
      </c>
      <c r="E84">
        <v>393.6</v>
      </c>
      <c r="F84">
        <v>392.7</v>
      </c>
      <c r="G84" s="19">
        <f t="shared" si="35"/>
        <v>419.1</v>
      </c>
      <c r="H84" s="19">
        <f t="shared" si="35"/>
        <v>565.29999999999995</v>
      </c>
      <c r="I84" s="24">
        <f t="shared" si="34"/>
        <v>-25.862373960728803</v>
      </c>
    </row>
    <row r="85" spans="2:9" x14ac:dyDescent="0.25">
      <c r="B85" s="10">
        <f t="shared" si="23"/>
        <v>39786</v>
      </c>
      <c r="C85">
        <v>25.5</v>
      </c>
      <c r="D85">
        <v>170.1</v>
      </c>
      <c r="E85">
        <v>393.6</v>
      </c>
      <c r="F85">
        <v>458.3</v>
      </c>
      <c r="G85" s="19">
        <f t="shared" si="35"/>
        <v>419.1</v>
      </c>
      <c r="H85" s="19">
        <f t="shared" si="35"/>
        <v>628.4</v>
      </c>
      <c r="I85" s="24">
        <f t="shared" si="34"/>
        <v>-33.306810948440479</v>
      </c>
    </row>
    <row r="86" spans="2:9" x14ac:dyDescent="0.25">
      <c r="B86" s="10">
        <f t="shared" si="23"/>
        <v>39793</v>
      </c>
      <c r="C86">
        <v>25.5</v>
      </c>
      <c r="D86">
        <v>139.1</v>
      </c>
      <c r="E86">
        <v>393.6</v>
      </c>
      <c r="F86">
        <v>488.8</v>
      </c>
      <c r="G86" s="19">
        <f t="shared" ref="G86:H88" si="36">+C86+E86</f>
        <v>419.1</v>
      </c>
      <c r="H86" s="19">
        <f t="shared" si="36"/>
        <v>627.9</v>
      </c>
      <c r="I86" s="24">
        <f t="shared" ref="I86:I91" si="37">+(G86/H86-1)*100</f>
        <v>-33.253702818920203</v>
      </c>
    </row>
    <row r="87" spans="2:9" x14ac:dyDescent="0.25">
      <c r="B87" s="10">
        <f t="shared" si="23"/>
        <v>39800</v>
      </c>
      <c r="C87">
        <v>25.5</v>
      </c>
      <c r="D87">
        <v>135.6</v>
      </c>
      <c r="E87">
        <v>393.6</v>
      </c>
      <c r="F87">
        <v>492.1</v>
      </c>
      <c r="G87" s="19">
        <f t="shared" si="36"/>
        <v>419.1</v>
      </c>
      <c r="H87" s="19">
        <f t="shared" si="36"/>
        <v>627.70000000000005</v>
      </c>
      <c r="I87" s="24">
        <f t="shared" si="37"/>
        <v>-33.232435877011312</v>
      </c>
    </row>
    <row r="88" spans="2:9" x14ac:dyDescent="0.25">
      <c r="B88" s="10">
        <f t="shared" si="23"/>
        <v>39807</v>
      </c>
      <c r="C88">
        <v>25.5</v>
      </c>
      <c r="D88">
        <v>52.1</v>
      </c>
      <c r="E88">
        <v>393.6</v>
      </c>
      <c r="F88">
        <v>575.79999999999995</v>
      </c>
      <c r="G88" s="19">
        <f t="shared" si="36"/>
        <v>419.1</v>
      </c>
      <c r="H88" s="19">
        <f t="shared" si="36"/>
        <v>627.9</v>
      </c>
      <c r="I88" s="24">
        <f t="shared" si="37"/>
        <v>-33.253702818920203</v>
      </c>
    </row>
    <row r="89" spans="2:9" x14ac:dyDescent="0.25">
      <c r="B89" s="10">
        <f t="shared" si="23"/>
        <v>39814</v>
      </c>
      <c r="C89">
        <v>25.5</v>
      </c>
      <c r="D89">
        <v>49.3</v>
      </c>
      <c r="E89">
        <v>393.6</v>
      </c>
      <c r="F89">
        <v>578.5</v>
      </c>
      <c r="G89" s="19">
        <f t="shared" ref="G89:H91" si="38">+C89+E89</f>
        <v>419.1</v>
      </c>
      <c r="H89" s="19">
        <f t="shared" si="38"/>
        <v>627.79999999999995</v>
      </c>
      <c r="I89" s="24">
        <f t="shared" si="37"/>
        <v>-33.243071041733032</v>
      </c>
    </row>
    <row r="90" spans="2:9" x14ac:dyDescent="0.25">
      <c r="B90" s="10">
        <f t="shared" si="23"/>
        <v>39821</v>
      </c>
      <c r="C90">
        <v>25</v>
      </c>
      <c r="D90">
        <v>148.6</v>
      </c>
      <c r="E90">
        <v>394.1</v>
      </c>
      <c r="F90">
        <v>637.5</v>
      </c>
      <c r="G90" s="19">
        <f t="shared" si="38"/>
        <v>419.1</v>
      </c>
      <c r="H90" s="19">
        <f t="shared" si="38"/>
        <v>786.1</v>
      </c>
      <c r="I90" s="24">
        <f t="shared" si="37"/>
        <v>-46.686172242717205</v>
      </c>
    </row>
    <row r="91" spans="2:9" x14ac:dyDescent="0.25">
      <c r="B91" s="10">
        <f t="shared" si="23"/>
        <v>39828</v>
      </c>
      <c r="C91">
        <v>25</v>
      </c>
      <c r="D91">
        <v>146.1</v>
      </c>
      <c r="E91">
        <v>394.1</v>
      </c>
      <c r="F91">
        <v>640.1</v>
      </c>
      <c r="G91" s="19">
        <f t="shared" si="38"/>
        <v>419.1</v>
      </c>
      <c r="H91" s="19">
        <f t="shared" si="38"/>
        <v>786.2</v>
      </c>
      <c r="I91" s="24">
        <f t="shared" si="37"/>
        <v>-46.692953446960061</v>
      </c>
    </row>
    <row r="92" spans="2:9" x14ac:dyDescent="0.25">
      <c r="B92" s="10">
        <f t="shared" si="23"/>
        <v>39835</v>
      </c>
      <c r="C92">
        <v>0</v>
      </c>
      <c r="D92">
        <v>140.19999999999999</v>
      </c>
      <c r="E92">
        <v>421.6</v>
      </c>
      <c r="F92">
        <v>706.5</v>
      </c>
      <c r="G92" s="19">
        <f t="shared" ref="G92:H94" si="39">+C92+E92</f>
        <v>421.6</v>
      </c>
      <c r="H92" s="19">
        <f t="shared" si="39"/>
        <v>846.7</v>
      </c>
      <c r="I92" s="24">
        <f t="shared" ref="I92:I97" si="40">+(G92/H92-1)*100</f>
        <v>-50.206684776189917</v>
      </c>
    </row>
    <row r="93" spans="2:9" x14ac:dyDescent="0.25">
      <c r="B93" s="10">
        <f t="shared" si="23"/>
        <v>39842</v>
      </c>
      <c r="C93">
        <v>0</v>
      </c>
      <c r="D93">
        <v>114.5</v>
      </c>
      <c r="E93">
        <v>421.6</v>
      </c>
      <c r="F93">
        <v>733</v>
      </c>
      <c r="G93" s="19">
        <f t="shared" si="39"/>
        <v>421.6</v>
      </c>
      <c r="H93" s="19">
        <f t="shared" si="39"/>
        <v>847.5</v>
      </c>
      <c r="I93" s="24">
        <f t="shared" si="40"/>
        <v>-50.253687315634224</v>
      </c>
    </row>
    <row r="94" spans="2:9" x14ac:dyDescent="0.25">
      <c r="B94" s="10">
        <f t="shared" si="23"/>
        <v>39849</v>
      </c>
      <c r="C94">
        <v>68</v>
      </c>
      <c r="D94">
        <v>71.400000000000006</v>
      </c>
      <c r="E94">
        <v>421.6</v>
      </c>
      <c r="F94">
        <v>777.6</v>
      </c>
      <c r="G94" s="19">
        <f t="shared" si="39"/>
        <v>489.6</v>
      </c>
      <c r="H94" s="19">
        <f t="shared" si="39"/>
        <v>849</v>
      </c>
      <c r="I94" s="24">
        <f t="shared" si="40"/>
        <v>-42.332155477031797</v>
      </c>
    </row>
    <row r="95" spans="2:9" x14ac:dyDescent="0.25">
      <c r="B95" s="10">
        <f t="shared" si="23"/>
        <v>39856</v>
      </c>
      <c r="C95">
        <v>68</v>
      </c>
      <c r="D95">
        <v>129.6</v>
      </c>
      <c r="E95">
        <v>421.6</v>
      </c>
      <c r="F95">
        <v>779.5</v>
      </c>
      <c r="G95" s="19">
        <f t="shared" ref="G95:H97" si="41">+C95+E95</f>
        <v>489.6</v>
      </c>
      <c r="H95" s="19">
        <f t="shared" si="41"/>
        <v>909.1</v>
      </c>
      <c r="I95" s="24">
        <f t="shared" si="40"/>
        <v>-46.144538554614456</v>
      </c>
    </row>
    <row r="96" spans="2:9" x14ac:dyDescent="0.25">
      <c r="B96" s="10">
        <f t="shared" si="23"/>
        <v>39863</v>
      </c>
      <c r="C96">
        <v>10</v>
      </c>
      <c r="D96">
        <v>131.19999999999999</v>
      </c>
      <c r="E96">
        <v>480.6</v>
      </c>
      <c r="F96">
        <v>782.9</v>
      </c>
      <c r="G96" s="19">
        <f t="shared" si="41"/>
        <v>490.6</v>
      </c>
      <c r="H96" s="19">
        <f t="shared" si="41"/>
        <v>914.09999999999991</v>
      </c>
      <c r="I96" s="24">
        <f t="shared" si="40"/>
        <v>-46.329723225030072</v>
      </c>
    </row>
    <row r="97" spans="2:9" x14ac:dyDescent="0.25">
      <c r="B97" s="10">
        <f t="shared" si="23"/>
        <v>39870</v>
      </c>
      <c r="C97">
        <v>11</v>
      </c>
      <c r="D97">
        <v>127.2</v>
      </c>
      <c r="E97">
        <v>480.6</v>
      </c>
      <c r="F97">
        <v>786.9</v>
      </c>
      <c r="G97" s="19">
        <f t="shared" si="41"/>
        <v>491.6</v>
      </c>
      <c r="H97" s="19">
        <f t="shared" si="41"/>
        <v>914.1</v>
      </c>
      <c r="I97" s="24">
        <f t="shared" si="40"/>
        <v>-46.220326003719507</v>
      </c>
    </row>
    <row r="98" spans="2:9" x14ac:dyDescent="0.25">
      <c r="B98" s="10">
        <f t="shared" si="23"/>
        <v>39877</v>
      </c>
    </row>
    <row r="99" spans="2:9" x14ac:dyDescent="0.25">
      <c r="B99" s="10">
        <f t="shared" si="23"/>
        <v>39884</v>
      </c>
      <c r="C99">
        <v>69</v>
      </c>
      <c r="D99">
        <v>64.099999999999994</v>
      </c>
      <c r="E99">
        <v>480.6</v>
      </c>
      <c r="F99">
        <v>908.8</v>
      </c>
      <c r="G99" s="19">
        <f t="shared" ref="G99:H101" si="42">+C99+E99</f>
        <v>549.6</v>
      </c>
      <c r="H99" s="19">
        <f t="shared" si="42"/>
        <v>972.9</v>
      </c>
      <c r="I99" s="24">
        <f t="shared" ref="I99:I104" si="43">+(G99/H99-1)*100</f>
        <v>-43.509096515571997</v>
      </c>
    </row>
    <row r="100" spans="2:9" x14ac:dyDescent="0.25">
      <c r="B100" s="10">
        <f t="shared" si="23"/>
        <v>39891</v>
      </c>
      <c r="C100">
        <v>70.5</v>
      </c>
      <c r="D100">
        <v>61.1</v>
      </c>
      <c r="E100">
        <v>542.79999999999995</v>
      </c>
      <c r="F100">
        <v>911.8</v>
      </c>
      <c r="G100" s="19">
        <f t="shared" si="42"/>
        <v>613.29999999999995</v>
      </c>
      <c r="H100" s="19">
        <f t="shared" si="42"/>
        <v>972.9</v>
      </c>
      <c r="I100" s="24">
        <f t="shared" si="43"/>
        <v>-36.961661013464898</v>
      </c>
    </row>
    <row r="101" spans="2:9" x14ac:dyDescent="0.25">
      <c r="B101" s="10">
        <f t="shared" si="23"/>
        <v>39898</v>
      </c>
      <c r="C101">
        <v>70.5</v>
      </c>
      <c r="D101">
        <v>118.4</v>
      </c>
      <c r="E101">
        <v>542.79999999999995</v>
      </c>
      <c r="F101">
        <v>913</v>
      </c>
      <c r="G101" s="19">
        <f t="shared" si="42"/>
        <v>613.29999999999995</v>
      </c>
      <c r="H101" s="19">
        <f t="shared" si="42"/>
        <v>1031.4000000000001</v>
      </c>
      <c r="I101" s="24">
        <f t="shared" si="43"/>
        <v>-40.537133992631382</v>
      </c>
    </row>
    <row r="102" spans="2:9" x14ac:dyDescent="0.25">
      <c r="B102" s="10">
        <f t="shared" si="23"/>
        <v>39905</v>
      </c>
      <c r="C102">
        <v>70.5</v>
      </c>
      <c r="D102">
        <v>59.7</v>
      </c>
      <c r="E102">
        <v>542.79999999999995</v>
      </c>
      <c r="F102">
        <v>973</v>
      </c>
      <c r="G102" s="19">
        <f t="shared" ref="G102:H104" si="44">+C102+E102</f>
        <v>613.29999999999995</v>
      </c>
      <c r="H102" s="19">
        <f t="shared" si="44"/>
        <v>1032.7</v>
      </c>
      <c r="I102" s="24">
        <f t="shared" si="43"/>
        <v>-40.61198799264065</v>
      </c>
    </row>
    <row r="103" spans="2:9" x14ac:dyDescent="0.25">
      <c r="B103" s="10">
        <f t="shared" si="23"/>
        <v>39912</v>
      </c>
      <c r="C103">
        <v>10</v>
      </c>
      <c r="D103">
        <v>117.7</v>
      </c>
      <c r="E103">
        <v>602.6</v>
      </c>
      <c r="F103">
        <v>973</v>
      </c>
      <c r="G103" s="19">
        <f t="shared" si="44"/>
        <v>612.6</v>
      </c>
      <c r="H103" s="19">
        <f t="shared" si="44"/>
        <v>1090.7</v>
      </c>
      <c r="I103" s="24">
        <f t="shared" si="43"/>
        <v>-43.834234895021552</v>
      </c>
    </row>
    <row r="104" spans="2:9" x14ac:dyDescent="0.25">
      <c r="B104" s="10">
        <f t="shared" si="23"/>
        <v>39919</v>
      </c>
      <c r="C104">
        <v>10</v>
      </c>
      <c r="D104">
        <v>59.3</v>
      </c>
      <c r="E104">
        <v>602.6</v>
      </c>
      <c r="F104">
        <v>1032.8</v>
      </c>
      <c r="G104" s="19">
        <f t="shared" si="44"/>
        <v>612.6</v>
      </c>
      <c r="H104" s="19">
        <f t="shared" si="44"/>
        <v>1092.0999999999999</v>
      </c>
      <c r="I104" s="24">
        <f t="shared" si="43"/>
        <v>-43.906235692702126</v>
      </c>
    </row>
    <row r="105" spans="2:9" x14ac:dyDescent="0.25">
      <c r="B105" s="10">
        <f t="shared" si="23"/>
        <v>39926</v>
      </c>
      <c r="C105">
        <v>10</v>
      </c>
      <c r="D105">
        <v>58.8</v>
      </c>
      <c r="E105">
        <v>602.6</v>
      </c>
      <c r="F105">
        <v>1033.3</v>
      </c>
      <c r="G105" s="19">
        <f t="shared" ref="G105:G136" si="45">+C105+E105</f>
        <v>612.6</v>
      </c>
      <c r="H105" s="19">
        <f t="shared" ref="H105:H136" si="46">+D105+F105</f>
        <v>1092.0999999999999</v>
      </c>
      <c r="I105" s="24">
        <f t="shared" ref="I105:I136" si="47">+(G105/H105-1)*100</f>
        <v>-43.906235692702126</v>
      </c>
    </row>
    <row r="106" spans="2:9" x14ac:dyDescent="0.25">
      <c r="B106" s="10">
        <f t="shared" si="23"/>
        <v>39933</v>
      </c>
      <c r="C106">
        <v>58</v>
      </c>
      <c r="D106">
        <v>0</v>
      </c>
      <c r="E106">
        <v>612.20000000000005</v>
      </c>
      <c r="F106">
        <v>1093.3</v>
      </c>
      <c r="G106" s="19">
        <f t="shared" si="45"/>
        <v>670.2</v>
      </c>
      <c r="H106" s="19">
        <f t="shared" si="46"/>
        <v>1093.3</v>
      </c>
      <c r="I106" s="24">
        <f t="shared" si="47"/>
        <v>-38.699350589957007</v>
      </c>
    </row>
    <row r="107" spans="2:9" x14ac:dyDescent="0.25">
      <c r="B107" s="10">
        <f t="shared" si="23"/>
        <v>39940</v>
      </c>
      <c r="C107">
        <v>58</v>
      </c>
      <c r="D107">
        <v>0</v>
      </c>
      <c r="E107">
        <v>612.20000000000005</v>
      </c>
      <c r="F107">
        <v>1093.3</v>
      </c>
      <c r="G107" s="19">
        <f t="shared" si="45"/>
        <v>670.2</v>
      </c>
      <c r="H107" s="19">
        <f t="shared" si="46"/>
        <v>1093.3</v>
      </c>
      <c r="I107" s="24">
        <f t="shared" si="47"/>
        <v>-38.699350589957007</v>
      </c>
    </row>
    <row r="108" spans="2:9" x14ac:dyDescent="0.25">
      <c r="B108" s="10">
        <f t="shared" si="23"/>
        <v>39947</v>
      </c>
      <c r="C108">
        <v>58</v>
      </c>
      <c r="D108">
        <v>0</v>
      </c>
      <c r="E108">
        <v>612.20000000000005</v>
      </c>
      <c r="F108">
        <v>1093.3</v>
      </c>
      <c r="G108" s="19">
        <f t="shared" si="45"/>
        <v>670.2</v>
      </c>
      <c r="H108" s="19">
        <f t="shared" si="46"/>
        <v>1093.3</v>
      </c>
      <c r="I108" s="24">
        <f t="shared" si="47"/>
        <v>-38.699350589957007</v>
      </c>
    </row>
    <row r="109" spans="2:9" x14ac:dyDescent="0.25">
      <c r="B109" s="10">
        <f t="shared" si="23"/>
        <v>39954</v>
      </c>
      <c r="C109">
        <v>0</v>
      </c>
      <c r="D109">
        <v>0</v>
      </c>
      <c r="E109">
        <v>670.8</v>
      </c>
      <c r="F109">
        <v>1093.3</v>
      </c>
      <c r="G109" s="19">
        <f t="shared" si="45"/>
        <v>670.8</v>
      </c>
      <c r="H109" s="19">
        <f t="shared" si="46"/>
        <v>1093.3</v>
      </c>
      <c r="I109" s="24">
        <f t="shared" si="47"/>
        <v>-38.644470868014267</v>
      </c>
    </row>
    <row r="110" spans="2:9" x14ac:dyDescent="0.25">
      <c r="B110" s="10">
        <f t="shared" si="23"/>
        <v>39961</v>
      </c>
      <c r="C110">
        <v>0</v>
      </c>
      <c r="D110">
        <v>0</v>
      </c>
      <c r="E110">
        <v>709.3</v>
      </c>
      <c r="F110">
        <v>1093.3</v>
      </c>
      <c r="G110" s="19">
        <f t="shared" si="45"/>
        <v>709.3</v>
      </c>
      <c r="H110" s="19">
        <f t="shared" si="46"/>
        <v>1093.3</v>
      </c>
      <c r="I110" s="24">
        <f t="shared" si="47"/>
        <v>-35.123022043354979</v>
      </c>
    </row>
    <row r="111" spans="2:9" x14ac:dyDescent="0.25">
      <c r="B111" s="10">
        <f t="shared" si="23"/>
        <v>39968</v>
      </c>
      <c r="C111">
        <v>35</v>
      </c>
      <c r="D111">
        <v>97</v>
      </c>
      <c r="E111">
        <v>0</v>
      </c>
      <c r="F111">
        <v>0</v>
      </c>
      <c r="G111" s="19">
        <f t="shared" si="45"/>
        <v>35</v>
      </c>
      <c r="H111" s="19">
        <f t="shared" si="46"/>
        <v>97</v>
      </c>
      <c r="I111" s="24">
        <f t="shared" si="47"/>
        <v>-63.917525773195869</v>
      </c>
    </row>
    <row r="112" spans="2:9" x14ac:dyDescent="0.25">
      <c r="B112" s="10">
        <f t="shared" si="23"/>
        <v>39975</v>
      </c>
      <c r="C112">
        <v>155.19999999999999</v>
      </c>
      <c r="D112">
        <v>91.3</v>
      </c>
      <c r="E112">
        <v>4</v>
      </c>
      <c r="F112">
        <v>0</v>
      </c>
      <c r="G112" s="19">
        <f t="shared" si="45"/>
        <v>159.19999999999999</v>
      </c>
      <c r="H112" s="19">
        <f t="shared" si="46"/>
        <v>91.3</v>
      </c>
      <c r="I112" s="24">
        <f t="shared" si="47"/>
        <v>74.370208105147853</v>
      </c>
    </row>
    <row r="113" spans="2:9" x14ac:dyDescent="0.25">
      <c r="B113" s="10">
        <f t="shared" si="23"/>
        <v>39982</v>
      </c>
      <c r="C113">
        <v>94</v>
      </c>
      <c r="D113">
        <v>36</v>
      </c>
      <c r="E113">
        <v>0</v>
      </c>
      <c r="F113">
        <v>57.7</v>
      </c>
      <c r="G113" s="19">
        <f t="shared" si="45"/>
        <v>94</v>
      </c>
      <c r="H113" s="19">
        <f t="shared" si="46"/>
        <v>93.7</v>
      </c>
      <c r="I113" s="24">
        <f t="shared" si="47"/>
        <v>0.32017075773744796</v>
      </c>
    </row>
    <row r="114" spans="2:9" x14ac:dyDescent="0.25">
      <c r="B114" s="10">
        <f t="shared" si="23"/>
        <v>39989</v>
      </c>
      <c r="C114">
        <v>61</v>
      </c>
      <c r="D114">
        <v>6</v>
      </c>
      <c r="E114">
        <v>33</v>
      </c>
      <c r="F114">
        <v>57.7</v>
      </c>
      <c r="G114" s="19">
        <f t="shared" si="45"/>
        <v>94</v>
      </c>
      <c r="H114" s="19">
        <f t="shared" si="46"/>
        <v>63.7</v>
      </c>
      <c r="I114" s="24">
        <f t="shared" si="47"/>
        <v>47.566718995290415</v>
      </c>
    </row>
    <row r="115" spans="2:9" x14ac:dyDescent="0.25">
      <c r="B115" s="10">
        <f t="shared" si="23"/>
        <v>39996</v>
      </c>
      <c r="C115">
        <v>94</v>
      </c>
      <c r="D115">
        <v>2</v>
      </c>
      <c r="E115">
        <v>58.7</v>
      </c>
      <c r="F115">
        <v>57.7</v>
      </c>
      <c r="G115" s="19">
        <f t="shared" si="45"/>
        <v>152.69999999999999</v>
      </c>
      <c r="H115" s="19">
        <f t="shared" si="46"/>
        <v>59.7</v>
      </c>
      <c r="I115" s="24">
        <f t="shared" si="47"/>
        <v>155.7788944723618</v>
      </c>
    </row>
    <row r="116" spans="2:9" x14ac:dyDescent="0.25">
      <c r="B116" s="10">
        <f t="shared" si="23"/>
        <v>40003</v>
      </c>
      <c r="C116">
        <v>94</v>
      </c>
      <c r="D116">
        <v>118</v>
      </c>
      <c r="E116">
        <v>58.7</v>
      </c>
      <c r="F116">
        <v>57.7</v>
      </c>
      <c r="G116" s="19">
        <f t="shared" si="45"/>
        <v>152.69999999999999</v>
      </c>
      <c r="H116" s="19">
        <f t="shared" si="46"/>
        <v>175.7</v>
      </c>
      <c r="I116" s="24">
        <f t="shared" si="47"/>
        <v>-13.090495162208315</v>
      </c>
    </row>
    <row r="117" spans="2:9" x14ac:dyDescent="0.25">
      <c r="B117" s="10">
        <f t="shared" si="23"/>
        <v>40010</v>
      </c>
      <c r="C117">
        <v>58.7</v>
      </c>
      <c r="D117">
        <v>120.9</v>
      </c>
      <c r="E117">
        <v>91.3</v>
      </c>
      <c r="F117">
        <v>58.8</v>
      </c>
      <c r="G117" s="19">
        <f t="shared" si="45"/>
        <v>150</v>
      </c>
      <c r="H117" s="19">
        <f t="shared" si="46"/>
        <v>179.7</v>
      </c>
      <c r="I117" s="24">
        <f t="shared" si="47"/>
        <v>-16.527545909849739</v>
      </c>
    </row>
    <row r="118" spans="2:9" x14ac:dyDescent="0.25">
      <c r="B118" s="10">
        <f t="shared" si="23"/>
        <v>40017</v>
      </c>
      <c r="C118">
        <v>58.3</v>
      </c>
      <c r="D118">
        <v>125.9</v>
      </c>
      <c r="E118">
        <v>91.7</v>
      </c>
      <c r="F118">
        <v>58.8</v>
      </c>
      <c r="G118" s="19">
        <f t="shared" si="45"/>
        <v>150</v>
      </c>
      <c r="H118" s="19">
        <f t="shared" si="46"/>
        <v>184.7</v>
      </c>
      <c r="I118" s="24">
        <f t="shared" si="47"/>
        <v>-18.787222523010282</v>
      </c>
    </row>
    <row r="119" spans="2:9" x14ac:dyDescent="0.25">
      <c r="B119" s="10">
        <f t="shared" si="23"/>
        <v>40024</v>
      </c>
      <c r="C119">
        <v>58</v>
      </c>
      <c r="D119">
        <v>124.2</v>
      </c>
      <c r="E119">
        <v>92.1</v>
      </c>
      <c r="F119">
        <v>60.5</v>
      </c>
      <c r="G119" s="19">
        <f t="shared" si="45"/>
        <v>150.1</v>
      </c>
      <c r="H119" s="19">
        <f t="shared" si="46"/>
        <v>184.7</v>
      </c>
      <c r="I119" s="24">
        <f t="shared" si="47"/>
        <v>-18.733080671358959</v>
      </c>
    </row>
    <row r="120" spans="2:9" x14ac:dyDescent="0.25">
      <c r="B120" s="10">
        <f t="shared" si="23"/>
        <v>40031</v>
      </c>
      <c r="C120">
        <v>116</v>
      </c>
      <c r="D120">
        <v>65.8</v>
      </c>
      <c r="E120">
        <v>92.1</v>
      </c>
      <c r="F120">
        <v>178.5</v>
      </c>
      <c r="G120" s="19">
        <f t="shared" si="45"/>
        <v>208.1</v>
      </c>
      <c r="H120" s="19">
        <f t="shared" si="46"/>
        <v>244.3</v>
      </c>
      <c r="I120" s="24">
        <f t="shared" si="47"/>
        <v>-14.817846909537458</v>
      </c>
    </row>
    <row r="121" spans="2:9" x14ac:dyDescent="0.25">
      <c r="B121" s="10">
        <f t="shared" si="23"/>
        <v>40038</v>
      </c>
      <c r="C121">
        <v>174</v>
      </c>
      <c r="D121">
        <v>89.2</v>
      </c>
      <c r="E121">
        <v>92.1</v>
      </c>
      <c r="F121">
        <v>180.1</v>
      </c>
      <c r="G121" s="19">
        <f t="shared" si="45"/>
        <v>266.10000000000002</v>
      </c>
      <c r="H121" s="19">
        <f t="shared" si="46"/>
        <v>269.3</v>
      </c>
      <c r="I121" s="24">
        <f t="shared" si="47"/>
        <v>-1.1882658744894137</v>
      </c>
    </row>
    <row r="122" spans="2:9" x14ac:dyDescent="0.25">
      <c r="B122" s="10">
        <f t="shared" si="23"/>
        <v>40045</v>
      </c>
      <c r="C122">
        <v>174</v>
      </c>
      <c r="D122">
        <v>87</v>
      </c>
      <c r="E122">
        <v>92.1</v>
      </c>
      <c r="F122">
        <v>242.3</v>
      </c>
      <c r="G122" s="19">
        <f t="shared" si="45"/>
        <v>266.10000000000002</v>
      </c>
      <c r="H122" s="19">
        <f t="shared" si="46"/>
        <v>329.3</v>
      </c>
      <c r="I122" s="24">
        <f t="shared" si="47"/>
        <v>-19.192225933798966</v>
      </c>
    </row>
    <row r="123" spans="2:9" x14ac:dyDescent="0.25">
      <c r="B123" s="10">
        <f t="shared" si="23"/>
        <v>40052</v>
      </c>
      <c r="C123">
        <v>179</v>
      </c>
      <c r="D123">
        <v>88.3</v>
      </c>
      <c r="E123">
        <v>92.1</v>
      </c>
      <c r="F123">
        <v>243.1</v>
      </c>
      <c r="G123" s="19">
        <f t="shared" si="45"/>
        <v>271.10000000000002</v>
      </c>
      <c r="H123" s="19">
        <f t="shared" si="46"/>
        <v>331.4</v>
      </c>
      <c r="I123" s="24">
        <f t="shared" si="47"/>
        <v>-18.195534097767041</v>
      </c>
    </row>
    <row r="124" spans="2:9" x14ac:dyDescent="0.25">
      <c r="B124" s="10">
        <f t="shared" si="23"/>
        <v>40059</v>
      </c>
      <c r="C124">
        <v>121</v>
      </c>
      <c r="D124">
        <v>27.6</v>
      </c>
      <c r="E124">
        <v>150.5</v>
      </c>
      <c r="F124">
        <v>304.3</v>
      </c>
      <c r="G124" s="19">
        <f t="shared" si="45"/>
        <v>271.5</v>
      </c>
      <c r="H124" s="19">
        <f t="shared" si="46"/>
        <v>331.90000000000003</v>
      </c>
      <c r="I124" s="24">
        <f t="shared" si="47"/>
        <v>-18.198252485688471</v>
      </c>
    </row>
    <row r="125" spans="2:9" x14ac:dyDescent="0.25">
      <c r="B125" s="10">
        <f t="shared" si="23"/>
        <v>40066</v>
      </c>
      <c r="C125">
        <v>121</v>
      </c>
      <c r="D125">
        <v>26.4</v>
      </c>
      <c r="E125">
        <v>150.5</v>
      </c>
      <c r="F125">
        <v>305.39999999999998</v>
      </c>
      <c r="G125" s="19">
        <f t="shared" si="45"/>
        <v>271.5</v>
      </c>
      <c r="H125" s="19">
        <f t="shared" si="46"/>
        <v>331.79999999999995</v>
      </c>
      <c r="I125" s="24">
        <f t="shared" si="47"/>
        <v>-18.173598553345382</v>
      </c>
    </row>
    <row r="126" spans="2:9" x14ac:dyDescent="0.25">
      <c r="B126" s="10">
        <f t="shared" si="23"/>
        <v>40073</v>
      </c>
      <c r="C126">
        <v>121</v>
      </c>
      <c r="D126">
        <v>0.2</v>
      </c>
      <c r="E126">
        <v>150.5</v>
      </c>
      <c r="F126">
        <v>393.4</v>
      </c>
      <c r="G126" s="19">
        <f t="shared" si="45"/>
        <v>271.5</v>
      </c>
      <c r="H126" s="19">
        <f t="shared" si="46"/>
        <v>393.59999999999997</v>
      </c>
      <c r="I126" s="24">
        <f t="shared" si="47"/>
        <v>-31.021341463414632</v>
      </c>
    </row>
    <row r="127" spans="2:9" x14ac:dyDescent="0.25">
      <c r="B127" s="10">
        <f t="shared" si="23"/>
        <v>40080</v>
      </c>
      <c r="C127">
        <v>121</v>
      </c>
      <c r="D127">
        <v>25</v>
      </c>
      <c r="E127">
        <v>150.5</v>
      </c>
      <c r="F127">
        <v>393.6</v>
      </c>
      <c r="G127" s="19">
        <f t="shared" si="45"/>
        <v>271.5</v>
      </c>
      <c r="H127" s="19">
        <f t="shared" si="46"/>
        <v>418.6</v>
      </c>
      <c r="I127" s="24">
        <f t="shared" si="47"/>
        <v>-35.140946010511229</v>
      </c>
    </row>
    <row r="128" spans="2:9" x14ac:dyDescent="0.25">
      <c r="B128" s="10">
        <f t="shared" si="23"/>
        <v>40087</v>
      </c>
      <c r="C128">
        <v>58</v>
      </c>
      <c r="D128">
        <v>25</v>
      </c>
      <c r="E128">
        <v>218.4</v>
      </c>
      <c r="F128">
        <v>393.6</v>
      </c>
      <c r="G128" s="19">
        <f t="shared" si="45"/>
        <v>276.39999999999998</v>
      </c>
      <c r="H128" s="19">
        <f t="shared" si="46"/>
        <v>418.6</v>
      </c>
      <c r="I128" s="24">
        <f t="shared" si="47"/>
        <v>-33.970377448638324</v>
      </c>
    </row>
    <row r="129" spans="2:9" x14ac:dyDescent="0.25">
      <c r="B129" s="10">
        <f t="shared" si="23"/>
        <v>40094</v>
      </c>
      <c r="C129">
        <v>58</v>
      </c>
      <c r="D129">
        <v>25</v>
      </c>
      <c r="E129">
        <v>218.4</v>
      </c>
      <c r="F129">
        <v>393.6</v>
      </c>
      <c r="G129" s="19">
        <f t="shared" si="45"/>
        <v>276.39999999999998</v>
      </c>
      <c r="H129" s="19">
        <f t="shared" si="46"/>
        <v>418.6</v>
      </c>
      <c r="I129" s="24">
        <f t="shared" si="47"/>
        <v>-33.970377448638324</v>
      </c>
    </row>
    <row r="130" spans="2:9" x14ac:dyDescent="0.25">
      <c r="B130" s="10">
        <f t="shared" si="23"/>
        <v>40101</v>
      </c>
      <c r="C130">
        <v>116</v>
      </c>
      <c r="D130">
        <v>25</v>
      </c>
      <c r="E130">
        <v>218.4</v>
      </c>
      <c r="F130">
        <v>393.6</v>
      </c>
      <c r="G130" s="19">
        <f t="shared" si="45"/>
        <v>334.4</v>
      </c>
      <c r="H130" s="19">
        <f t="shared" si="46"/>
        <v>418.6</v>
      </c>
      <c r="I130" s="24">
        <f t="shared" si="47"/>
        <v>-20.114667940754906</v>
      </c>
    </row>
    <row r="131" spans="2:9" x14ac:dyDescent="0.25">
      <c r="B131" s="10">
        <f t="shared" si="23"/>
        <v>40108</v>
      </c>
      <c r="C131">
        <v>116</v>
      </c>
      <c r="D131">
        <v>25</v>
      </c>
      <c r="E131">
        <v>218.4</v>
      </c>
      <c r="F131">
        <v>393.6</v>
      </c>
      <c r="G131" s="19">
        <f t="shared" si="45"/>
        <v>334.4</v>
      </c>
      <c r="H131" s="19">
        <f t="shared" si="46"/>
        <v>418.6</v>
      </c>
      <c r="I131" s="24">
        <f t="shared" si="47"/>
        <v>-20.114667940754906</v>
      </c>
    </row>
    <row r="132" spans="2:9" x14ac:dyDescent="0.25">
      <c r="B132" s="10">
        <f t="shared" si="23"/>
        <v>40115</v>
      </c>
      <c r="C132">
        <v>121</v>
      </c>
      <c r="D132">
        <v>25</v>
      </c>
      <c r="E132">
        <v>218.4</v>
      </c>
      <c r="F132">
        <v>393.6</v>
      </c>
      <c r="G132" s="19">
        <f t="shared" si="45"/>
        <v>339.4</v>
      </c>
      <c r="H132" s="19">
        <f t="shared" si="46"/>
        <v>418.6</v>
      </c>
      <c r="I132" s="24">
        <f t="shared" si="47"/>
        <v>-18.920210224558065</v>
      </c>
    </row>
    <row r="133" spans="2:9" x14ac:dyDescent="0.25">
      <c r="B133" s="10">
        <f t="shared" si="23"/>
        <v>40122</v>
      </c>
      <c r="C133">
        <v>63</v>
      </c>
      <c r="D133">
        <v>25.5</v>
      </c>
      <c r="E133">
        <v>277</v>
      </c>
      <c r="F133">
        <v>393.6</v>
      </c>
      <c r="G133" s="19">
        <f t="shared" si="45"/>
        <v>340</v>
      </c>
      <c r="H133" s="19">
        <f t="shared" si="46"/>
        <v>419.1</v>
      </c>
      <c r="I133" s="24">
        <f t="shared" si="47"/>
        <v>-18.873777141493687</v>
      </c>
    </row>
    <row r="134" spans="2:9" x14ac:dyDescent="0.25">
      <c r="B134" s="10">
        <f t="shared" si="23"/>
        <v>40129</v>
      </c>
      <c r="C134">
        <v>63</v>
      </c>
      <c r="D134">
        <v>25.5</v>
      </c>
      <c r="E134">
        <v>277</v>
      </c>
      <c r="F134">
        <v>393.6</v>
      </c>
      <c r="G134" s="19">
        <f t="shared" si="45"/>
        <v>340</v>
      </c>
      <c r="H134" s="19">
        <f t="shared" si="46"/>
        <v>419.1</v>
      </c>
      <c r="I134" s="24">
        <f t="shared" si="47"/>
        <v>-18.873777141493687</v>
      </c>
    </row>
    <row r="135" spans="2:9" x14ac:dyDescent="0.25">
      <c r="B135" s="10">
        <f t="shared" si="23"/>
        <v>40136</v>
      </c>
      <c r="C135">
        <v>63</v>
      </c>
      <c r="D135">
        <v>25.5</v>
      </c>
      <c r="E135">
        <v>277</v>
      </c>
      <c r="F135">
        <v>393.6</v>
      </c>
      <c r="G135" s="19">
        <f t="shared" si="45"/>
        <v>340</v>
      </c>
      <c r="H135" s="19">
        <f t="shared" si="46"/>
        <v>419.1</v>
      </c>
      <c r="I135" s="24">
        <f t="shared" si="47"/>
        <v>-18.873777141493687</v>
      </c>
    </row>
    <row r="136" spans="2:9" x14ac:dyDescent="0.25">
      <c r="B136" s="10">
        <f t="shared" si="23"/>
        <v>40143</v>
      </c>
      <c r="C136">
        <v>63</v>
      </c>
      <c r="D136">
        <v>25.5</v>
      </c>
      <c r="E136">
        <v>277</v>
      </c>
      <c r="F136">
        <v>393.6</v>
      </c>
      <c r="G136" s="19">
        <f t="shared" si="45"/>
        <v>340</v>
      </c>
      <c r="H136" s="19">
        <f t="shared" si="46"/>
        <v>419.1</v>
      </c>
      <c r="I136" s="24">
        <f t="shared" si="47"/>
        <v>-18.873777141493687</v>
      </c>
    </row>
    <row r="137" spans="2:9" x14ac:dyDescent="0.25">
      <c r="B137" s="10">
        <f t="shared" si="23"/>
        <v>40150</v>
      </c>
      <c r="C137">
        <v>63</v>
      </c>
      <c r="D137">
        <v>25.5</v>
      </c>
      <c r="E137">
        <v>277</v>
      </c>
      <c r="F137">
        <v>393.6</v>
      </c>
      <c r="G137" s="19">
        <f t="shared" ref="G137:G168" si="48">+C137+E137</f>
        <v>340</v>
      </c>
      <c r="H137" s="19">
        <f t="shared" ref="H137:H168" si="49">+D137+F137</f>
        <v>419.1</v>
      </c>
      <c r="I137" s="24">
        <f t="shared" ref="I137:I168" si="50">+(G137/H137-1)*100</f>
        <v>-18.873777141493687</v>
      </c>
    </row>
    <row r="138" spans="2:9" x14ac:dyDescent="0.25">
      <c r="B138" s="10">
        <f t="shared" si="23"/>
        <v>40157</v>
      </c>
      <c r="C138">
        <v>63</v>
      </c>
      <c r="D138">
        <v>25.5</v>
      </c>
      <c r="E138">
        <v>345.1</v>
      </c>
      <c r="F138">
        <v>393.6</v>
      </c>
      <c r="G138" s="19">
        <f t="shared" si="48"/>
        <v>408.1</v>
      </c>
      <c r="H138" s="19">
        <f t="shared" si="49"/>
        <v>419.1</v>
      </c>
      <c r="I138" s="24">
        <f t="shared" si="50"/>
        <v>-2.6246719160105014</v>
      </c>
    </row>
    <row r="139" spans="2:9" x14ac:dyDescent="0.25">
      <c r="B139" s="10">
        <f t="shared" si="23"/>
        <v>40164</v>
      </c>
      <c r="C139">
        <v>63</v>
      </c>
      <c r="D139">
        <v>25.5</v>
      </c>
      <c r="E139">
        <v>345.1</v>
      </c>
      <c r="F139">
        <v>393.6</v>
      </c>
      <c r="G139" s="19">
        <f t="shared" si="48"/>
        <v>408.1</v>
      </c>
      <c r="H139" s="19">
        <f t="shared" si="49"/>
        <v>419.1</v>
      </c>
      <c r="I139" s="24">
        <f t="shared" si="50"/>
        <v>-2.6246719160105014</v>
      </c>
    </row>
    <row r="140" spans="2:9" x14ac:dyDescent="0.25">
      <c r="B140" s="10">
        <f t="shared" si="23"/>
        <v>40171</v>
      </c>
      <c r="C140">
        <v>63</v>
      </c>
      <c r="D140">
        <v>25.5</v>
      </c>
      <c r="E140">
        <v>345.1</v>
      </c>
      <c r="F140">
        <v>393.6</v>
      </c>
      <c r="G140" s="19">
        <f t="shared" si="48"/>
        <v>408.1</v>
      </c>
      <c r="H140" s="19">
        <f t="shared" si="49"/>
        <v>419.1</v>
      </c>
      <c r="I140" s="24">
        <f t="shared" si="50"/>
        <v>-2.6246719160105014</v>
      </c>
    </row>
    <row r="141" spans="2:9" x14ac:dyDescent="0.25">
      <c r="B141" s="10">
        <f t="shared" si="23"/>
        <v>40178</v>
      </c>
      <c r="C141">
        <v>59</v>
      </c>
      <c r="D141">
        <v>25.5</v>
      </c>
      <c r="E141">
        <v>349.5</v>
      </c>
      <c r="F141">
        <v>393.6</v>
      </c>
      <c r="G141" s="19">
        <f t="shared" si="48"/>
        <v>408.5</v>
      </c>
      <c r="H141" s="19">
        <f t="shared" si="49"/>
        <v>419.1</v>
      </c>
      <c r="I141" s="24">
        <f t="shared" si="50"/>
        <v>-2.5292293008828515</v>
      </c>
    </row>
    <row r="142" spans="2:9" x14ac:dyDescent="0.25">
      <c r="B142" s="10">
        <f t="shared" si="23"/>
        <v>40185</v>
      </c>
      <c r="C142">
        <v>0</v>
      </c>
      <c r="D142">
        <v>25</v>
      </c>
      <c r="E142">
        <v>406</v>
      </c>
      <c r="F142">
        <v>394.1</v>
      </c>
      <c r="G142" s="19">
        <f t="shared" si="48"/>
        <v>406</v>
      </c>
      <c r="H142" s="19">
        <f t="shared" si="49"/>
        <v>419.1</v>
      </c>
      <c r="I142" s="24">
        <f t="shared" si="50"/>
        <v>-3.1257456454306887</v>
      </c>
    </row>
    <row r="143" spans="2:9" x14ac:dyDescent="0.25">
      <c r="B143" s="10">
        <f t="shared" si="23"/>
        <v>40192</v>
      </c>
      <c r="C143">
        <v>0</v>
      </c>
      <c r="D143">
        <v>25</v>
      </c>
      <c r="E143">
        <v>406</v>
      </c>
      <c r="F143">
        <v>394.1</v>
      </c>
      <c r="G143" s="19">
        <f t="shared" si="48"/>
        <v>406</v>
      </c>
      <c r="H143" s="19">
        <f t="shared" si="49"/>
        <v>419.1</v>
      </c>
      <c r="I143" s="24">
        <f t="shared" si="50"/>
        <v>-3.1257456454306887</v>
      </c>
    </row>
    <row r="144" spans="2:9" x14ac:dyDescent="0.25">
      <c r="B144" s="10">
        <f t="shared" si="23"/>
        <v>40199</v>
      </c>
      <c r="C144">
        <v>0</v>
      </c>
      <c r="D144">
        <v>0</v>
      </c>
      <c r="E144">
        <v>406</v>
      </c>
      <c r="F144">
        <v>421.6</v>
      </c>
      <c r="G144" s="19">
        <f t="shared" si="48"/>
        <v>406</v>
      </c>
      <c r="H144" s="19">
        <f t="shared" si="49"/>
        <v>421.6</v>
      </c>
      <c r="I144" s="24">
        <f t="shared" si="50"/>
        <v>-3.7001897533206929</v>
      </c>
    </row>
    <row r="145" spans="2:9" x14ac:dyDescent="0.25">
      <c r="B145" s="10">
        <f t="shared" si="23"/>
        <v>40206</v>
      </c>
      <c r="C145">
        <v>0</v>
      </c>
      <c r="D145">
        <v>0</v>
      </c>
      <c r="E145">
        <v>406</v>
      </c>
      <c r="F145">
        <v>421.6</v>
      </c>
      <c r="G145" s="19">
        <f t="shared" si="48"/>
        <v>406</v>
      </c>
      <c r="H145" s="19">
        <f t="shared" si="49"/>
        <v>421.6</v>
      </c>
      <c r="I145" s="24">
        <f t="shared" si="50"/>
        <v>-3.7001897533206929</v>
      </c>
    </row>
    <row r="146" spans="2:9" x14ac:dyDescent="0.25">
      <c r="B146" s="10">
        <f t="shared" si="23"/>
        <v>40213</v>
      </c>
      <c r="C146">
        <v>61</v>
      </c>
      <c r="D146">
        <v>68</v>
      </c>
      <c r="E146">
        <v>406</v>
      </c>
      <c r="F146">
        <v>421.6</v>
      </c>
      <c r="G146" s="19">
        <f t="shared" si="48"/>
        <v>467</v>
      </c>
      <c r="H146" s="19">
        <f t="shared" si="49"/>
        <v>489.6</v>
      </c>
      <c r="I146" s="24">
        <f t="shared" si="50"/>
        <v>-4.6160130718954306</v>
      </c>
    </row>
    <row r="147" spans="2:9" x14ac:dyDescent="0.25">
      <c r="B147" s="10">
        <f t="shared" si="23"/>
        <v>40220</v>
      </c>
      <c r="C147">
        <v>61</v>
      </c>
      <c r="D147">
        <v>68</v>
      </c>
      <c r="E147">
        <v>406</v>
      </c>
      <c r="F147">
        <v>421.6</v>
      </c>
      <c r="G147" s="19">
        <f t="shared" si="48"/>
        <v>467</v>
      </c>
      <c r="H147" s="19">
        <f t="shared" si="49"/>
        <v>489.6</v>
      </c>
      <c r="I147" s="24">
        <f t="shared" si="50"/>
        <v>-4.6160130718954306</v>
      </c>
    </row>
    <row r="148" spans="2:9" x14ac:dyDescent="0.25">
      <c r="B148" s="10">
        <f t="shared" si="23"/>
        <v>40227</v>
      </c>
      <c r="C148">
        <v>61</v>
      </c>
      <c r="D148">
        <v>10</v>
      </c>
      <c r="E148">
        <v>406</v>
      </c>
      <c r="F148">
        <v>480.6</v>
      </c>
      <c r="G148" s="19">
        <f t="shared" si="48"/>
        <v>467</v>
      </c>
      <c r="H148" s="19">
        <f t="shared" si="49"/>
        <v>490.6</v>
      </c>
      <c r="I148" s="24">
        <f t="shared" si="50"/>
        <v>-4.8104362005707335</v>
      </c>
    </row>
    <row r="149" spans="2:9" x14ac:dyDescent="0.25">
      <c r="B149" s="10">
        <f t="shared" si="23"/>
        <v>40234</v>
      </c>
      <c r="C149">
        <v>61</v>
      </c>
      <c r="D149">
        <v>11</v>
      </c>
      <c r="E149">
        <v>406</v>
      </c>
      <c r="F149">
        <v>480.6</v>
      </c>
      <c r="G149" s="19">
        <f t="shared" si="48"/>
        <v>467</v>
      </c>
      <c r="H149" s="19">
        <f t="shared" si="49"/>
        <v>491.6</v>
      </c>
      <c r="I149" s="24">
        <f t="shared" si="50"/>
        <v>-5.0040683482506125</v>
      </c>
    </row>
    <row r="150" spans="2:9" x14ac:dyDescent="0.25">
      <c r="B150" s="10">
        <f t="shared" si="23"/>
        <v>40241</v>
      </c>
      <c r="C150">
        <v>0</v>
      </c>
      <c r="D150">
        <v>69</v>
      </c>
      <c r="E150">
        <v>464.6</v>
      </c>
      <c r="F150">
        <v>480.6</v>
      </c>
      <c r="G150" s="19">
        <f t="shared" si="48"/>
        <v>464.6</v>
      </c>
      <c r="H150" s="19">
        <f t="shared" si="49"/>
        <v>549.6</v>
      </c>
      <c r="I150" s="24">
        <f t="shared" si="50"/>
        <v>-15.465793304221254</v>
      </c>
    </row>
    <row r="151" spans="2:9" x14ac:dyDescent="0.25">
      <c r="B151" s="10">
        <f t="shared" si="23"/>
        <v>40248</v>
      </c>
      <c r="C151">
        <v>0.3</v>
      </c>
      <c r="D151">
        <v>69</v>
      </c>
      <c r="E151">
        <v>464.6</v>
      </c>
      <c r="F151">
        <v>480.6</v>
      </c>
      <c r="G151" s="19">
        <f t="shared" si="48"/>
        <v>464.90000000000003</v>
      </c>
      <c r="H151" s="19">
        <f t="shared" si="49"/>
        <v>549.6</v>
      </c>
      <c r="I151" s="24">
        <f t="shared" si="50"/>
        <v>-15.411208151382816</v>
      </c>
    </row>
    <row r="152" spans="2:9" x14ac:dyDescent="0.25">
      <c r="B152" s="10">
        <f t="shared" si="23"/>
        <v>40255</v>
      </c>
      <c r="C152">
        <v>61.3</v>
      </c>
      <c r="D152">
        <v>70.5</v>
      </c>
      <c r="E152">
        <v>464.6</v>
      </c>
      <c r="F152">
        <v>542.79999999999995</v>
      </c>
      <c r="G152" s="19">
        <f t="shared" si="48"/>
        <v>525.9</v>
      </c>
      <c r="H152" s="19">
        <f t="shared" si="49"/>
        <v>613.29999999999995</v>
      </c>
      <c r="I152" s="24">
        <f t="shared" si="50"/>
        <v>-14.250774498614049</v>
      </c>
    </row>
    <row r="153" spans="2:9" x14ac:dyDescent="0.25">
      <c r="B153" s="10">
        <f t="shared" si="23"/>
        <v>40262</v>
      </c>
      <c r="C153">
        <v>61</v>
      </c>
      <c r="D153">
        <v>70.5</v>
      </c>
      <c r="E153">
        <v>464.9</v>
      </c>
      <c r="F153">
        <v>542.79999999999995</v>
      </c>
      <c r="G153" s="19">
        <f t="shared" si="48"/>
        <v>525.9</v>
      </c>
      <c r="H153" s="19">
        <f t="shared" si="49"/>
        <v>613.29999999999995</v>
      </c>
      <c r="I153" s="24">
        <f t="shared" si="50"/>
        <v>-14.250774498614049</v>
      </c>
    </row>
    <row r="154" spans="2:9" x14ac:dyDescent="0.25">
      <c r="B154" s="10">
        <f t="shared" si="23"/>
        <v>40269</v>
      </c>
      <c r="C154">
        <v>61</v>
      </c>
      <c r="D154">
        <v>70.5</v>
      </c>
      <c r="E154">
        <v>464.9</v>
      </c>
      <c r="F154">
        <v>542.79999999999995</v>
      </c>
      <c r="G154" s="19">
        <f t="shared" si="48"/>
        <v>525.9</v>
      </c>
      <c r="H154" s="19">
        <f t="shared" si="49"/>
        <v>613.29999999999995</v>
      </c>
      <c r="I154" s="24">
        <f t="shared" si="50"/>
        <v>-14.250774498614049</v>
      </c>
    </row>
    <row r="155" spans="2:9" x14ac:dyDescent="0.25">
      <c r="B155" s="10">
        <f t="shared" si="23"/>
        <v>40276</v>
      </c>
      <c r="C155">
        <v>36</v>
      </c>
      <c r="D155">
        <v>10</v>
      </c>
      <c r="E155">
        <v>492.1</v>
      </c>
      <c r="F155">
        <v>602.6</v>
      </c>
      <c r="G155" s="19">
        <f t="shared" si="48"/>
        <v>528.1</v>
      </c>
      <c r="H155" s="19">
        <f t="shared" si="49"/>
        <v>612.6</v>
      </c>
      <c r="I155" s="24">
        <f t="shared" si="50"/>
        <v>-13.793666340189359</v>
      </c>
    </row>
    <row r="156" spans="2:9" x14ac:dyDescent="0.25">
      <c r="B156" s="10">
        <f t="shared" si="23"/>
        <v>40283</v>
      </c>
      <c r="C156">
        <v>0</v>
      </c>
      <c r="D156">
        <v>10</v>
      </c>
      <c r="E156">
        <v>528.6</v>
      </c>
      <c r="F156">
        <v>602.6</v>
      </c>
      <c r="G156" s="19">
        <f t="shared" si="48"/>
        <v>528.6</v>
      </c>
      <c r="H156" s="19">
        <f t="shared" si="49"/>
        <v>612.6</v>
      </c>
      <c r="I156" s="24">
        <f t="shared" si="50"/>
        <v>-13.71204701273262</v>
      </c>
    </row>
    <row r="157" spans="2:9" x14ac:dyDescent="0.25">
      <c r="B157" s="10">
        <f t="shared" si="23"/>
        <v>40290</v>
      </c>
      <c r="C157">
        <v>0</v>
      </c>
      <c r="D157">
        <v>10</v>
      </c>
      <c r="E157">
        <v>528.6</v>
      </c>
      <c r="F157">
        <v>602.6</v>
      </c>
      <c r="G157" s="19">
        <f t="shared" si="48"/>
        <v>528.6</v>
      </c>
      <c r="H157" s="19">
        <f t="shared" si="49"/>
        <v>612.6</v>
      </c>
      <c r="I157" s="24">
        <f t="shared" si="50"/>
        <v>-13.71204701273262</v>
      </c>
    </row>
    <row r="158" spans="2:9" x14ac:dyDescent="0.25">
      <c r="B158" s="10">
        <f t="shared" si="23"/>
        <v>40297</v>
      </c>
      <c r="C158">
        <v>0</v>
      </c>
      <c r="D158">
        <v>58</v>
      </c>
      <c r="E158">
        <v>528.6</v>
      </c>
      <c r="F158">
        <v>612.20000000000005</v>
      </c>
      <c r="G158" s="19">
        <f t="shared" si="48"/>
        <v>528.6</v>
      </c>
      <c r="H158" s="19">
        <f t="shared" si="49"/>
        <v>670.2</v>
      </c>
      <c r="I158" s="24">
        <f t="shared" si="50"/>
        <v>-21.128021486123551</v>
      </c>
    </row>
    <row r="159" spans="2:9" x14ac:dyDescent="0.25">
      <c r="B159" s="10">
        <f t="shared" si="23"/>
        <v>40304</v>
      </c>
      <c r="C159">
        <v>0</v>
      </c>
      <c r="D159">
        <v>58</v>
      </c>
      <c r="E159">
        <v>528.6</v>
      </c>
      <c r="F159">
        <v>612.20000000000005</v>
      </c>
      <c r="G159" s="19">
        <f t="shared" si="48"/>
        <v>528.6</v>
      </c>
      <c r="H159" s="19">
        <f t="shared" si="49"/>
        <v>670.2</v>
      </c>
      <c r="I159" s="24">
        <f t="shared" si="50"/>
        <v>-21.128021486123551</v>
      </c>
    </row>
    <row r="160" spans="2:9" x14ac:dyDescent="0.25">
      <c r="B160" s="10">
        <f t="shared" si="23"/>
        <v>40311</v>
      </c>
      <c r="C160">
        <v>0</v>
      </c>
      <c r="D160">
        <v>58</v>
      </c>
      <c r="E160">
        <v>528.6</v>
      </c>
      <c r="F160">
        <v>612.20000000000005</v>
      </c>
      <c r="G160" s="19">
        <f t="shared" si="48"/>
        <v>528.6</v>
      </c>
      <c r="H160" s="19">
        <f t="shared" si="49"/>
        <v>670.2</v>
      </c>
      <c r="I160" s="24">
        <f t="shared" si="50"/>
        <v>-21.128021486123551</v>
      </c>
    </row>
    <row r="161" spans="1:10" x14ac:dyDescent="0.25">
      <c r="B161" s="10">
        <f t="shared" si="23"/>
        <v>40318</v>
      </c>
      <c r="C161">
        <v>0</v>
      </c>
      <c r="D161">
        <v>0</v>
      </c>
      <c r="E161">
        <v>528.6</v>
      </c>
      <c r="F161">
        <v>670.8</v>
      </c>
      <c r="G161" s="19">
        <f t="shared" si="48"/>
        <v>528.6</v>
      </c>
      <c r="H161" s="19">
        <f t="shared" si="49"/>
        <v>670.8</v>
      </c>
      <c r="I161" s="24">
        <f t="shared" si="50"/>
        <v>-21.198568872987465</v>
      </c>
    </row>
    <row r="162" spans="1:10" x14ac:dyDescent="0.25">
      <c r="B162" s="10">
        <f t="shared" si="23"/>
        <v>40325</v>
      </c>
      <c r="C162">
        <v>0</v>
      </c>
      <c r="D162">
        <v>0</v>
      </c>
      <c r="E162">
        <v>528.6</v>
      </c>
      <c r="F162">
        <v>709.3</v>
      </c>
      <c r="G162" s="19">
        <f t="shared" si="48"/>
        <v>528.6</v>
      </c>
      <c r="H162" s="19">
        <f t="shared" si="49"/>
        <v>709.3</v>
      </c>
      <c r="I162" s="24">
        <f t="shared" si="50"/>
        <v>-25.475821232200758</v>
      </c>
      <c r="J162">
        <v>20</v>
      </c>
    </row>
    <row r="163" spans="1:10" x14ac:dyDescent="0.25">
      <c r="A163" s="48" t="s">
        <v>39</v>
      </c>
      <c r="B163" s="71">
        <f t="shared" si="23"/>
        <v>40332</v>
      </c>
      <c r="C163">
        <v>20</v>
      </c>
      <c r="D163">
        <v>35</v>
      </c>
      <c r="E163">
        <v>0</v>
      </c>
      <c r="F163">
        <v>0</v>
      </c>
      <c r="G163" s="19">
        <f t="shared" si="48"/>
        <v>20</v>
      </c>
      <c r="H163" s="19">
        <f t="shared" si="49"/>
        <v>35</v>
      </c>
      <c r="I163" s="24">
        <f t="shared" si="50"/>
        <v>-42.857142857142861</v>
      </c>
    </row>
    <row r="164" spans="1:10" x14ac:dyDescent="0.25">
      <c r="A164" s="48" t="s">
        <v>39</v>
      </c>
      <c r="B164" s="71">
        <f t="shared" si="23"/>
        <v>40339</v>
      </c>
      <c r="C164">
        <v>81</v>
      </c>
      <c r="D164">
        <v>93</v>
      </c>
      <c r="E164">
        <v>0</v>
      </c>
      <c r="F164">
        <v>0</v>
      </c>
      <c r="G164" s="19">
        <f t="shared" si="48"/>
        <v>81</v>
      </c>
      <c r="H164" s="19">
        <f t="shared" si="49"/>
        <v>93</v>
      </c>
      <c r="I164" s="24">
        <f t="shared" si="50"/>
        <v>-12.903225806451612</v>
      </c>
    </row>
    <row r="165" spans="1:10" x14ac:dyDescent="0.25">
      <c r="A165" s="48" t="s">
        <v>39</v>
      </c>
      <c r="B165" s="71">
        <f t="shared" si="23"/>
        <v>40346</v>
      </c>
      <c r="C165">
        <v>81.5</v>
      </c>
      <c r="D165">
        <v>94</v>
      </c>
      <c r="E165">
        <v>0</v>
      </c>
      <c r="F165">
        <v>0</v>
      </c>
      <c r="G165" s="19">
        <f t="shared" si="48"/>
        <v>81.5</v>
      </c>
      <c r="H165" s="19">
        <f t="shared" si="49"/>
        <v>94</v>
      </c>
      <c r="I165" s="24">
        <f t="shared" si="50"/>
        <v>-13.297872340425531</v>
      </c>
    </row>
    <row r="166" spans="1:10" x14ac:dyDescent="0.25">
      <c r="A166" s="48" t="s">
        <v>39</v>
      </c>
      <c r="B166" s="71">
        <f t="shared" si="23"/>
        <v>40353</v>
      </c>
      <c r="C166">
        <v>20.5</v>
      </c>
      <c r="D166">
        <v>61</v>
      </c>
      <c r="E166">
        <v>58.6</v>
      </c>
      <c r="F166">
        <v>33</v>
      </c>
      <c r="G166" s="19">
        <f t="shared" si="48"/>
        <v>79.099999999999994</v>
      </c>
      <c r="H166" s="19">
        <f t="shared" si="49"/>
        <v>94</v>
      </c>
      <c r="I166" s="24">
        <f t="shared" si="50"/>
        <v>-15.851063829787238</v>
      </c>
    </row>
    <row r="167" spans="1:10" x14ac:dyDescent="0.25">
      <c r="A167" s="48" t="s">
        <v>39</v>
      </c>
      <c r="B167" s="71">
        <f t="shared" si="23"/>
        <v>40360</v>
      </c>
      <c r="C167">
        <v>81.8</v>
      </c>
      <c r="D167">
        <v>94</v>
      </c>
      <c r="E167">
        <v>58.9</v>
      </c>
      <c r="F167">
        <v>58.7</v>
      </c>
      <c r="G167" s="19">
        <f t="shared" si="48"/>
        <v>140.69999999999999</v>
      </c>
      <c r="H167" s="19">
        <f t="shared" si="49"/>
        <v>152.69999999999999</v>
      </c>
      <c r="I167" s="24">
        <f t="shared" si="50"/>
        <v>-7.8585461689587461</v>
      </c>
    </row>
    <row r="168" spans="1:10" x14ac:dyDescent="0.25">
      <c r="A168" s="48" t="s">
        <v>39</v>
      </c>
      <c r="B168" s="71">
        <f t="shared" si="23"/>
        <v>40367</v>
      </c>
      <c r="C168">
        <v>81.8</v>
      </c>
      <c r="D168">
        <v>94</v>
      </c>
      <c r="E168">
        <v>58.9</v>
      </c>
      <c r="F168">
        <v>58.7</v>
      </c>
      <c r="G168" s="19">
        <f t="shared" si="48"/>
        <v>140.69999999999999</v>
      </c>
      <c r="H168" s="19">
        <f t="shared" si="49"/>
        <v>152.69999999999999</v>
      </c>
      <c r="I168" s="24">
        <f t="shared" si="50"/>
        <v>-7.8585461689587461</v>
      </c>
    </row>
    <row r="169" spans="1:10" x14ac:dyDescent="0.25">
      <c r="A169" s="48" t="s">
        <v>39</v>
      </c>
      <c r="B169" s="71">
        <f t="shared" si="23"/>
        <v>40374</v>
      </c>
      <c r="C169">
        <v>81.599999999999994</v>
      </c>
      <c r="D169">
        <v>58.7</v>
      </c>
      <c r="E169">
        <v>59</v>
      </c>
      <c r="F169">
        <v>91.3</v>
      </c>
      <c r="G169" s="19">
        <f t="shared" ref="G169:G200" si="51">+C169+E169</f>
        <v>140.6</v>
      </c>
      <c r="H169" s="19">
        <f t="shared" ref="H169:H200" si="52">+D169+F169</f>
        <v>150</v>
      </c>
      <c r="I169" s="24">
        <f t="shared" ref="I169:I200" si="53">+(G169/H169-1)*100</f>
        <v>-6.2666666666666764</v>
      </c>
    </row>
    <row r="170" spans="1:10" x14ac:dyDescent="0.25">
      <c r="A170" s="48" t="s">
        <v>39</v>
      </c>
      <c r="B170" s="71">
        <f t="shared" si="23"/>
        <v>40381</v>
      </c>
      <c r="C170">
        <v>20</v>
      </c>
      <c r="D170">
        <v>58.3</v>
      </c>
      <c r="E170">
        <v>118.9</v>
      </c>
      <c r="F170">
        <v>91.7</v>
      </c>
      <c r="G170" s="19">
        <f t="shared" si="51"/>
        <v>138.9</v>
      </c>
      <c r="H170" s="19">
        <f t="shared" si="52"/>
        <v>150</v>
      </c>
      <c r="I170" s="24">
        <f t="shared" si="53"/>
        <v>-7.399999999999995</v>
      </c>
    </row>
    <row r="171" spans="1:10" x14ac:dyDescent="0.25">
      <c r="A171" s="48" t="s">
        <v>39</v>
      </c>
      <c r="B171" s="71">
        <f t="shared" si="23"/>
        <v>40388</v>
      </c>
      <c r="C171">
        <v>20</v>
      </c>
      <c r="D171">
        <v>58</v>
      </c>
      <c r="E171">
        <v>118.9</v>
      </c>
      <c r="F171">
        <v>92.1</v>
      </c>
      <c r="G171" s="19">
        <f t="shared" si="51"/>
        <v>138.9</v>
      </c>
      <c r="H171" s="19">
        <f t="shared" si="52"/>
        <v>150.1</v>
      </c>
      <c r="I171" s="24">
        <f t="shared" si="53"/>
        <v>-7.461692205196524</v>
      </c>
    </row>
    <row r="172" spans="1:10" x14ac:dyDescent="0.25">
      <c r="A172" s="48" t="s">
        <v>39</v>
      </c>
      <c r="B172" s="71">
        <f t="shared" si="23"/>
        <v>40395</v>
      </c>
      <c r="C172">
        <v>0</v>
      </c>
      <c r="D172">
        <v>116</v>
      </c>
      <c r="E172">
        <v>140.9</v>
      </c>
      <c r="F172">
        <v>92.1</v>
      </c>
      <c r="G172" s="19">
        <f t="shared" si="51"/>
        <v>140.9</v>
      </c>
      <c r="H172" s="19">
        <f t="shared" si="52"/>
        <v>208.1</v>
      </c>
      <c r="I172" s="24">
        <f t="shared" si="53"/>
        <v>-32.292167227294563</v>
      </c>
    </row>
    <row r="173" spans="1:10" x14ac:dyDescent="0.25">
      <c r="A173" s="48" t="s">
        <v>39</v>
      </c>
      <c r="B173" s="71">
        <f t="shared" si="23"/>
        <v>40402</v>
      </c>
      <c r="C173">
        <v>0</v>
      </c>
      <c r="D173">
        <v>174</v>
      </c>
      <c r="E173">
        <v>140.9</v>
      </c>
      <c r="F173">
        <v>92.1</v>
      </c>
      <c r="G173" s="19">
        <f t="shared" si="51"/>
        <v>140.9</v>
      </c>
      <c r="H173" s="19">
        <f t="shared" si="52"/>
        <v>266.10000000000002</v>
      </c>
      <c r="I173" s="24">
        <f t="shared" si="53"/>
        <v>-47.049981210071401</v>
      </c>
    </row>
    <row r="174" spans="1:10" x14ac:dyDescent="0.25">
      <c r="A174" s="48" t="s">
        <v>39</v>
      </c>
      <c r="B174" s="71">
        <f t="shared" si="23"/>
        <v>40409</v>
      </c>
      <c r="C174">
        <v>64.599999999999994</v>
      </c>
      <c r="D174">
        <v>174</v>
      </c>
      <c r="E174">
        <v>140.9</v>
      </c>
      <c r="F174">
        <v>92.1</v>
      </c>
      <c r="G174" s="19">
        <f t="shared" si="51"/>
        <v>205.5</v>
      </c>
      <c r="H174" s="19">
        <f t="shared" si="52"/>
        <v>266.10000000000002</v>
      </c>
      <c r="I174" s="24">
        <f t="shared" si="53"/>
        <v>-22.773393461104853</v>
      </c>
    </row>
    <row r="175" spans="1:10" x14ac:dyDescent="0.25">
      <c r="A175" s="48" t="s">
        <v>39</v>
      </c>
      <c r="B175" s="71">
        <f t="shared" si="23"/>
        <v>40416</v>
      </c>
      <c r="C175">
        <v>64.599999999999994</v>
      </c>
      <c r="D175">
        <v>179</v>
      </c>
      <c r="E175">
        <v>140.9</v>
      </c>
      <c r="F175">
        <v>92.1</v>
      </c>
      <c r="G175" s="19">
        <f t="shared" si="51"/>
        <v>205.5</v>
      </c>
      <c r="H175" s="19">
        <f t="shared" si="52"/>
        <v>271.10000000000002</v>
      </c>
      <c r="I175" s="24">
        <f t="shared" si="53"/>
        <v>-24.197713021025457</v>
      </c>
    </row>
    <row r="176" spans="1:10" x14ac:dyDescent="0.25">
      <c r="A176" s="48" t="s">
        <v>39</v>
      </c>
      <c r="B176" s="71">
        <f t="shared" si="23"/>
        <v>40423</v>
      </c>
      <c r="C176">
        <v>125.6</v>
      </c>
      <c r="D176">
        <v>121</v>
      </c>
      <c r="E176">
        <v>140.9</v>
      </c>
      <c r="F176">
        <v>150.5</v>
      </c>
      <c r="G176" s="19">
        <f t="shared" si="51"/>
        <v>266.5</v>
      </c>
      <c r="H176" s="19">
        <f t="shared" si="52"/>
        <v>271.5</v>
      </c>
      <c r="I176" s="24">
        <f t="shared" si="53"/>
        <v>-1.8416206261510082</v>
      </c>
    </row>
    <row r="177" spans="1:10" x14ac:dyDescent="0.25">
      <c r="A177" s="48" t="s">
        <v>39</v>
      </c>
      <c r="B177" s="71">
        <f t="shared" si="23"/>
        <v>40430</v>
      </c>
      <c r="C177">
        <v>150.6</v>
      </c>
      <c r="D177">
        <v>121</v>
      </c>
      <c r="E177">
        <v>167.2</v>
      </c>
      <c r="F177">
        <v>150.5</v>
      </c>
      <c r="G177" s="19">
        <f t="shared" si="51"/>
        <v>317.79999999999995</v>
      </c>
      <c r="H177" s="19">
        <f t="shared" si="52"/>
        <v>271.5</v>
      </c>
      <c r="I177" s="24">
        <f t="shared" si="53"/>
        <v>17.053406998158358</v>
      </c>
    </row>
    <row r="178" spans="1:10" x14ac:dyDescent="0.25">
      <c r="A178" s="48" t="s">
        <v>39</v>
      </c>
      <c r="B178" s="71">
        <f t="shared" si="23"/>
        <v>40437</v>
      </c>
      <c r="C178">
        <v>20</v>
      </c>
      <c r="D178">
        <v>121</v>
      </c>
      <c r="E178">
        <v>269.5</v>
      </c>
      <c r="F178">
        <v>150.5</v>
      </c>
      <c r="G178" s="19">
        <f t="shared" si="51"/>
        <v>289.5</v>
      </c>
      <c r="H178" s="19">
        <f t="shared" si="52"/>
        <v>271.5</v>
      </c>
      <c r="I178" s="24">
        <f t="shared" si="53"/>
        <v>6.6298342541436517</v>
      </c>
    </row>
    <row r="179" spans="1:10" x14ac:dyDescent="0.25">
      <c r="A179" s="48" t="s">
        <v>39</v>
      </c>
      <c r="B179" s="71">
        <f t="shared" si="23"/>
        <v>40444</v>
      </c>
      <c r="C179">
        <v>81</v>
      </c>
      <c r="D179">
        <v>121</v>
      </c>
      <c r="E179">
        <v>269.5</v>
      </c>
      <c r="F179">
        <v>150.5</v>
      </c>
      <c r="G179" s="19">
        <f t="shared" si="51"/>
        <v>350.5</v>
      </c>
      <c r="H179" s="19">
        <f t="shared" si="52"/>
        <v>271.5</v>
      </c>
      <c r="I179" s="24">
        <f t="shared" si="53"/>
        <v>29.097605893185996</v>
      </c>
    </row>
    <row r="180" spans="1:10" x14ac:dyDescent="0.25">
      <c r="A180" s="48" t="s">
        <v>39</v>
      </c>
      <c r="B180" s="71">
        <f t="shared" si="23"/>
        <v>40451</v>
      </c>
      <c r="C180">
        <v>64</v>
      </c>
      <c r="D180">
        <v>58</v>
      </c>
      <c r="E180">
        <v>290.2</v>
      </c>
      <c r="F180">
        <v>218.4</v>
      </c>
      <c r="G180" s="19">
        <f t="shared" si="51"/>
        <v>354.2</v>
      </c>
      <c r="H180" s="19">
        <f t="shared" si="52"/>
        <v>276.39999999999998</v>
      </c>
      <c r="I180" s="24">
        <f t="shared" si="53"/>
        <v>28.147612156295221</v>
      </c>
    </row>
    <row r="181" spans="1:10" x14ac:dyDescent="0.25">
      <c r="A181" s="48" t="s">
        <v>39</v>
      </c>
      <c r="B181" s="71">
        <f t="shared" si="23"/>
        <v>40458</v>
      </c>
      <c r="C181">
        <v>64.7</v>
      </c>
      <c r="D181">
        <v>58</v>
      </c>
      <c r="E181">
        <v>295.5</v>
      </c>
      <c r="F181">
        <v>218.4</v>
      </c>
      <c r="G181" s="19">
        <f t="shared" si="51"/>
        <v>360.2</v>
      </c>
      <c r="H181" s="19">
        <f t="shared" si="52"/>
        <v>276.39999999999998</v>
      </c>
      <c r="I181" s="24">
        <f t="shared" si="53"/>
        <v>30.318379160636756</v>
      </c>
    </row>
    <row r="182" spans="1:10" x14ac:dyDescent="0.25">
      <c r="A182" s="48" t="s">
        <v>39</v>
      </c>
      <c r="B182" s="71">
        <f t="shared" si="23"/>
        <v>40465</v>
      </c>
      <c r="C182">
        <v>64.599999999999994</v>
      </c>
      <c r="D182">
        <v>116</v>
      </c>
      <c r="E182">
        <v>297.10000000000002</v>
      </c>
      <c r="F182">
        <v>218.4</v>
      </c>
      <c r="G182" s="19">
        <f t="shared" si="51"/>
        <v>361.70000000000005</v>
      </c>
      <c r="H182" s="19">
        <f t="shared" si="52"/>
        <v>334.4</v>
      </c>
      <c r="I182" s="24">
        <f t="shared" si="53"/>
        <v>8.1638755980861344</v>
      </c>
    </row>
    <row r="183" spans="1:10" x14ac:dyDescent="0.25">
      <c r="A183" s="48" t="s">
        <v>39</v>
      </c>
      <c r="B183" s="71">
        <f t="shared" si="23"/>
        <v>40472</v>
      </c>
      <c r="C183">
        <v>59.6</v>
      </c>
      <c r="D183">
        <v>116</v>
      </c>
      <c r="E183">
        <v>327.5</v>
      </c>
      <c r="F183">
        <v>218.4</v>
      </c>
      <c r="G183" s="19">
        <f t="shared" si="51"/>
        <v>387.1</v>
      </c>
      <c r="H183" s="19">
        <f t="shared" si="52"/>
        <v>334.4</v>
      </c>
      <c r="I183" s="24">
        <f t="shared" si="53"/>
        <v>15.759569377990434</v>
      </c>
    </row>
    <row r="184" spans="1:10" x14ac:dyDescent="0.25">
      <c r="A184" s="48" t="s">
        <v>39</v>
      </c>
      <c r="B184" s="71">
        <f t="shared" si="23"/>
        <v>40479</v>
      </c>
      <c r="C184">
        <v>28.6</v>
      </c>
      <c r="D184">
        <v>121</v>
      </c>
      <c r="E184">
        <v>357.1</v>
      </c>
      <c r="F184">
        <v>218.4</v>
      </c>
      <c r="G184" s="19">
        <f t="shared" si="51"/>
        <v>385.70000000000005</v>
      </c>
      <c r="H184" s="19">
        <f t="shared" si="52"/>
        <v>339.4</v>
      </c>
      <c r="I184" s="24">
        <f t="shared" si="53"/>
        <v>13.641720683559244</v>
      </c>
    </row>
    <row r="185" spans="1:10" x14ac:dyDescent="0.25">
      <c r="A185" s="48" t="s">
        <v>39</v>
      </c>
      <c r="B185" s="71">
        <f t="shared" si="23"/>
        <v>40486</v>
      </c>
      <c r="C185">
        <v>28.6</v>
      </c>
      <c r="D185">
        <v>63</v>
      </c>
      <c r="E185">
        <v>357.1</v>
      </c>
      <c r="F185">
        <v>277</v>
      </c>
      <c r="G185" s="19">
        <f t="shared" si="51"/>
        <v>385.70000000000005</v>
      </c>
      <c r="H185" s="19">
        <f t="shared" si="52"/>
        <v>340</v>
      </c>
      <c r="I185" s="24">
        <f t="shared" si="53"/>
        <v>13.441176470588246</v>
      </c>
    </row>
    <row r="186" spans="1:10" x14ac:dyDescent="0.25">
      <c r="A186" s="48" t="s">
        <v>39</v>
      </c>
      <c r="B186" s="71">
        <f t="shared" si="23"/>
        <v>40493</v>
      </c>
      <c r="C186">
        <v>21.8</v>
      </c>
      <c r="D186">
        <v>63</v>
      </c>
      <c r="E186">
        <v>359</v>
      </c>
      <c r="F186">
        <v>277</v>
      </c>
      <c r="G186" s="19">
        <f t="shared" si="51"/>
        <v>380.8</v>
      </c>
      <c r="H186" s="19">
        <f t="shared" si="52"/>
        <v>340</v>
      </c>
      <c r="I186" s="24">
        <f t="shared" si="53"/>
        <v>12.000000000000011</v>
      </c>
    </row>
    <row r="187" spans="1:10" x14ac:dyDescent="0.25">
      <c r="A187" s="48" t="s">
        <v>39</v>
      </c>
      <c r="B187" s="71">
        <f t="shared" si="23"/>
        <v>40500</v>
      </c>
      <c r="C187">
        <v>21.8</v>
      </c>
      <c r="D187">
        <v>63</v>
      </c>
      <c r="E187">
        <v>359</v>
      </c>
      <c r="F187">
        <v>277</v>
      </c>
      <c r="G187" s="19">
        <f t="shared" si="51"/>
        <v>380.8</v>
      </c>
      <c r="H187" s="19">
        <f t="shared" si="52"/>
        <v>340</v>
      </c>
      <c r="I187" s="24">
        <f t="shared" si="53"/>
        <v>12.000000000000011</v>
      </c>
    </row>
    <row r="188" spans="1:10" x14ac:dyDescent="0.25">
      <c r="A188" s="48" t="s">
        <v>39</v>
      </c>
      <c r="B188" s="71">
        <f t="shared" si="23"/>
        <v>40507</v>
      </c>
      <c r="C188">
        <v>21.8</v>
      </c>
      <c r="D188">
        <v>63</v>
      </c>
      <c r="E188">
        <v>359</v>
      </c>
      <c r="F188">
        <v>277</v>
      </c>
      <c r="G188" s="19">
        <f t="shared" si="51"/>
        <v>380.8</v>
      </c>
      <c r="H188" s="19">
        <f t="shared" si="52"/>
        <v>340</v>
      </c>
      <c r="I188" s="24">
        <f t="shared" si="53"/>
        <v>12.000000000000011</v>
      </c>
    </row>
    <row r="189" spans="1:10" x14ac:dyDescent="0.25">
      <c r="A189" s="48" t="s">
        <v>39</v>
      </c>
      <c r="B189" s="71">
        <f t="shared" si="23"/>
        <v>40514</v>
      </c>
      <c r="C189">
        <v>21.3</v>
      </c>
      <c r="D189">
        <v>63</v>
      </c>
      <c r="E189">
        <v>359.4</v>
      </c>
      <c r="F189">
        <v>277</v>
      </c>
      <c r="G189" s="19">
        <f t="shared" si="51"/>
        <v>380.7</v>
      </c>
      <c r="H189" s="19">
        <f t="shared" si="52"/>
        <v>340</v>
      </c>
      <c r="I189" s="24">
        <f t="shared" si="53"/>
        <v>11.970588235294111</v>
      </c>
    </row>
    <row r="190" spans="1:10" x14ac:dyDescent="0.25">
      <c r="A190" s="48" t="s">
        <v>39</v>
      </c>
      <c r="B190" s="71">
        <f t="shared" si="23"/>
        <v>40521</v>
      </c>
      <c r="C190">
        <v>1.3</v>
      </c>
      <c r="D190">
        <v>63</v>
      </c>
      <c r="E190">
        <v>381.1</v>
      </c>
      <c r="F190">
        <v>345.1</v>
      </c>
      <c r="G190" s="19">
        <f t="shared" si="51"/>
        <v>382.40000000000003</v>
      </c>
      <c r="H190" s="19">
        <f t="shared" si="52"/>
        <v>408.1</v>
      </c>
      <c r="I190" s="24">
        <f t="shared" si="53"/>
        <v>-6.2974761087968627</v>
      </c>
      <c r="J190">
        <v>20</v>
      </c>
    </row>
    <row r="191" spans="1:10" x14ac:dyDescent="0.25">
      <c r="A191" s="48" t="s">
        <v>39</v>
      </c>
      <c r="B191" s="71">
        <f t="shared" si="23"/>
        <v>40528</v>
      </c>
      <c r="C191">
        <v>1.3</v>
      </c>
      <c r="D191">
        <v>63</v>
      </c>
      <c r="E191">
        <v>381.1</v>
      </c>
      <c r="F191">
        <v>345.1</v>
      </c>
      <c r="G191" s="19">
        <f t="shared" si="51"/>
        <v>382.40000000000003</v>
      </c>
      <c r="H191" s="19">
        <f t="shared" si="52"/>
        <v>408.1</v>
      </c>
      <c r="I191" s="24">
        <f t="shared" si="53"/>
        <v>-6.2974761087968627</v>
      </c>
      <c r="J191">
        <v>20</v>
      </c>
    </row>
    <row r="192" spans="1:10" x14ac:dyDescent="0.25">
      <c r="A192" s="48" t="s">
        <v>39</v>
      </c>
      <c r="B192" s="71">
        <f t="shared" si="23"/>
        <v>40535</v>
      </c>
      <c r="C192">
        <v>0</v>
      </c>
      <c r="D192">
        <v>63</v>
      </c>
      <c r="E192">
        <v>382.4</v>
      </c>
      <c r="F192">
        <v>345.1</v>
      </c>
      <c r="G192" s="19">
        <f t="shared" si="51"/>
        <v>382.4</v>
      </c>
      <c r="H192" s="19">
        <f t="shared" si="52"/>
        <v>408.1</v>
      </c>
      <c r="I192" s="24">
        <f t="shared" si="53"/>
        <v>-6.2974761087968734</v>
      </c>
      <c r="J192">
        <v>20</v>
      </c>
    </row>
    <row r="193" spans="1:10" x14ac:dyDescent="0.25">
      <c r="A193" s="48" t="s">
        <v>39</v>
      </c>
      <c r="B193" s="71">
        <f t="shared" si="23"/>
        <v>40542</v>
      </c>
      <c r="C193">
        <v>0</v>
      </c>
      <c r="D193">
        <v>59</v>
      </c>
      <c r="E193">
        <v>382.4</v>
      </c>
      <c r="F193">
        <v>349.5</v>
      </c>
      <c r="G193" s="19">
        <f t="shared" si="51"/>
        <v>382.4</v>
      </c>
      <c r="H193" s="19">
        <f t="shared" si="52"/>
        <v>408.5</v>
      </c>
      <c r="I193" s="24">
        <f t="shared" si="53"/>
        <v>-6.3892288861689188</v>
      </c>
      <c r="J193">
        <v>20</v>
      </c>
    </row>
    <row r="194" spans="1:10" x14ac:dyDescent="0.25">
      <c r="A194" s="48" t="s">
        <v>39</v>
      </c>
      <c r="B194" s="71">
        <f t="shared" si="23"/>
        <v>40549</v>
      </c>
      <c r="C194">
        <v>61</v>
      </c>
      <c r="D194">
        <v>0</v>
      </c>
      <c r="E194">
        <v>382.4</v>
      </c>
      <c r="F194">
        <v>406</v>
      </c>
      <c r="G194" s="19">
        <f t="shared" si="51"/>
        <v>443.4</v>
      </c>
      <c r="H194" s="19">
        <f t="shared" si="52"/>
        <v>406</v>
      </c>
      <c r="I194" s="24">
        <f t="shared" si="53"/>
        <v>9.2118226600985231</v>
      </c>
      <c r="J194">
        <v>20</v>
      </c>
    </row>
    <row r="195" spans="1:10" x14ac:dyDescent="0.25">
      <c r="A195" s="48" t="s">
        <v>39</v>
      </c>
      <c r="B195" s="71">
        <f t="shared" si="23"/>
        <v>40556</v>
      </c>
      <c r="C195">
        <v>91</v>
      </c>
      <c r="D195">
        <v>0</v>
      </c>
      <c r="E195">
        <v>404.4</v>
      </c>
      <c r="F195">
        <v>406</v>
      </c>
      <c r="G195" s="19">
        <f t="shared" si="51"/>
        <v>495.4</v>
      </c>
      <c r="H195" s="19">
        <f t="shared" si="52"/>
        <v>406</v>
      </c>
      <c r="I195" s="24">
        <f t="shared" si="53"/>
        <v>22.019704433497523</v>
      </c>
      <c r="J195">
        <v>20</v>
      </c>
    </row>
    <row r="196" spans="1:10" x14ac:dyDescent="0.25">
      <c r="A196" s="48" t="s">
        <v>39</v>
      </c>
      <c r="B196" s="71">
        <f t="shared" si="23"/>
        <v>40563</v>
      </c>
      <c r="C196">
        <v>91</v>
      </c>
      <c r="D196">
        <v>0</v>
      </c>
      <c r="E196">
        <v>404.4</v>
      </c>
      <c r="F196">
        <v>406</v>
      </c>
      <c r="G196" s="19">
        <f t="shared" si="51"/>
        <v>495.4</v>
      </c>
      <c r="H196" s="19">
        <f t="shared" si="52"/>
        <v>406</v>
      </c>
      <c r="I196" s="24">
        <f t="shared" si="53"/>
        <v>22.019704433497523</v>
      </c>
      <c r="J196">
        <v>20</v>
      </c>
    </row>
    <row r="197" spans="1:10" x14ac:dyDescent="0.25">
      <c r="A197" s="48" t="s">
        <v>39</v>
      </c>
      <c r="B197" s="71">
        <f t="shared" si="23"/>
        <v>40570</v>
      </c>
      <c r="C197">
        <v>91</v>
      </c>
      <c r="D197">
        <v>0</v>
      </c>
      <c r="E197">
        <v>464.1</v>
      </c>
      <c r="F197">
        <v>406</v>
      </c>
      <c r="G197" s="19">
        <f t="shared" si="51"/>
        <v>555.1</v>
      </c>
      <c r="H197" s="19">
        <f t="shared" si="52"/>
        <v>406</v>
      </c>
      <c r="I197" s="24">
        <f t="shared" si="53"/>
        <v>36.724137931034484</v>
      </c>
      <c r="J197">
        <v>30</v>
      </c>
    </row>
    <row r="198" spans="1:10" x14ac:dyDescent="0.25">
      <c r="A198" s="48" t="s">
        <v>39</v>
      </c>
      <c r="B198" s="71">
        <f t="shared" si="23"/>
        <v>40577</v>
      </c>
      <c r="C198">
        <v>91</v>
      </c>
      <c r="D198">
        <v>61</v>
      </c>
      <c r="E198">
        <v>464.1</v>
      </c>
      <c r="F198">
        <v>406</v>
      </c>
      <c r="G198" s="19">
        <f t="shared" si="51"/>
        <v>555.1</v>
      </c>
      <c r="H198" s="19">
        <f t="shared" si="52"/>
        <v>467</v>
      </c>
      <c r="I198" s="24">
        <f t="shared" si="53"/>
        <v>18.865096359743049</v>
      </c>
      <c r="J198">
        <v>30</v>
      </c>
    </row>
    <row r="199" spans="1:10" x14ac:dyDescent="0.25">
      <c r="A199" s="48" t="s">
        <v>39</v>
      </c>
      <c r="B199" s="71">
        <f t="shared" si="23"/>
        <v>40584</v>
      </c>
      <c r="C199">
        <v>91</v>
      </c>
      <c r="D199">
        <v>61</v>
      </c>
      <c r="E199">
        <v>464.1</v>
      </c>
      <c r="F199">
        <v>406</v>
      </c>
      <c r="G199" s="19">
        <f t="shared" si="51"/>
        <v>555.1</v>
      </c>
      <c r="H199" s="19">
        <f t="shared" si="52"/>
        <v>467</v>
      </c>
      <c r="I199" s="24">
        <f t="shared" si="53"/>
        <v>18.865096359743049</v>
      </c>
      <c r="J199">
        <v>30</v>
      </c>
    </row>
    <row r="200" spans="1:10" x14ac:dyDescent="0.25">
      <c r="A200" s="48" t="s">
        <v>39</v>
      </c>
      <c r="B200" s="71">
        <f t="shared" si="23"/>
        <v>40591</v>
      </c>
      <c r="C200">
        <v>91</v>
      </c>
      <c r="D200">
        <v>61</v>
      </c>
      <c r="E200">
        <v>464.1</v>
      </c>
      <c r="F200">
        <v>406</v>
      </c>
      <c r="G200" s="19">
        <f t="shared" si="51"/>
        <v>555.1</v>
      </c>
      <c r="H200" s="19">
        <f t="shared" si="52"/>
        <v>467</v>
      </c>
      <c r="I200" s="24">
        <f t="shared" si="53"/>
        <v>18.865096359743049</v>
      </c>
      <c r="J200">
        <v>30</v>
      </c>
    </row>
    <row r="201" spans="1:10" x14ac:dyDescent="0.25">
      <c r="A201" s="48" t="s">
        <v>39</v>
      </c>
      <c r="B201" s="71">
        <f t="shared" si="23"/>
        <v>40598</v>
      </c>
      <c r="C201">
        <v>91</v>
      </c>
      <c r="D201">
        <v>61</v>
      </c>
      <c r="E201">
        <v>464.1</v>
      </c>
      <c r="F201">
        <v>406</v>
      </c>
      <c r="G201" s="19">
        <f t="shared" ref="G201:G214" si="54">+C201+E201</f>
        <v>555.1</v>
      </c>
      <c r="H201" s="19">
        <f t="shared" ref="H201:H214" si="55">+D201+F201</f>
        <v>467</v>
      </c>
      <c r="I201" s="24">
        <f t="shared" ref="I201:I214" si="56">+(G201/H201-1)*100</f>
        <v>18.865096359743049</v>
      </c>
    </row>
    <row r="202" spans="1:10" x14ac:dyDescent="0.25">
      <c r="A202" s="48" t="s">
        <v>39</v>
      </c>
      <c r="B202" s="71">
        <f t="shared" ref="B202:B265" si="57">+B201+7</f>
        <v>40605</v>
      </c>
      <c r="C202">
        <v>91</v>
      </c>
      <c r="D202">
        <v>0</v>
      </c>
      <c r="E202">
        <v>464.1</v>
      </c>
      <c r="F202">
        <v>464.6</v>
      </c>
      <c r="G202" s="19">
        <f t="shared" si="54"/>
        <v>555.1</v>
      </c>
      <c r="H202" s="19">
        <f t="shared" si="55"/>
        <v>464.6</v>
      </c>
      <c r="I202" s="24">
        <f t="shared" si="56"/>
        <v>19.479121825225999</v>
      </c>
    </row>
    <row r="203" spans="1:10" x14ac:dyDescent="0.25">
      <c r="A203" s="48" t="s">
        <v>39</v>
      </c>
      <c r="B203" s="71">
        <f t="shared" si="57"/>
        <v>40612</v>
      </c>
      <c r="C203">
        <v>152</v>
      </c>
      <c r="D203">
        <v>0.3</v>
      </c>
      <c r="E203">
        <v>523.6</v>
      </c>
      <c r="F203">
        <v>464.6</v>
      </c>
      <c r="G203" s="19">
        <f t="shared" si="54"/>
        <v>675.6</v>
      </c>
      <c r="H203" s="19">
        <f t="shared" si="55"/>
        <v>464.90000000000003</v>
      </c>
      <c r="I203" s="24">
        <f t="shared" si="56"/>
        <v>45.321574532157442</v>
      </c>
    </row>
    <row r="204" spans="1:10" x14ac:dyDescent="0.25">
      <c r="A204" s="48" t="s">
        <v>39</v>
      </c>
      <c r="B204" s="71">
        <f t="shared" si="57"/>
        <v>40619</v>
      </c>
      <c r="C204">
        <v>152</v>
      </c>
      <c r="D204">
        <v>61.3</v>
      </c>
      <c r="E204">
        <v>523.6</v>
      </c>
      <c r="F204">
        <v>464.6</v>
      </c>
      <c r="G204" s="19">
        <f t="shared" si="54"/>
        <v>675.6</v>
      </c>
      <c r="H204" s="19">
        <f t="shared" si="55"/>
        <v>525.9</v>
      </c>
      <c r="I204" s="24">
        <f t="shared" si="56"/>
        <v>28.465487735310901</v>
      </c>
    </row>
    <row r="205" spans="1:10" x14ac:dyDescent="0.25">
      <c r="A205" s="48" t="s">
        <v>39</v>
      </c>
      <c r="B205" s="71">
        <f t="shared" si="57"/>
        <v>40626</v>
      </c>
      <c r="C205">
        <v>152</v>
      </c>
      <c r="D205">
        <v>61</v>
      </c>
      <c r="E205">
        <v>523.6</v>
      </c>
      <c r="F205">
        <v>464.9</v>
      </c>
      <c r="G205" s="19">
        <f t="shared" si="54"/>
        <v>675.6</v>
      </c>
      <c r="H205" s="19">
        <f t="shared" si="55"/>
        <v>525.9</v>
      </c>
      <c r="I205" s="24">
        <f t="shared" si="56"/>
        <v>28.465487735310901</v>
      </c>
    </row>
    <row r="206" spans="1:10" x14ac:dyDescent="0.25">
      <c r="A206" s="48" t="s">
        <v>39</v>
      </c>
      <c r="B206" s="71">
        <f t="shared" si="57"/>
        <v>40633</v>
      </c>
      <c r="C206">
        <v>91</v>
      </c>
      <c r="D206">
        <v>61</v>
      </c>
      <c r="E206">
        <v>582.20000000000005</v>
      </c>
      <c r="F206">
        <v>464.9</v>
      </c>
      <c r="G206" s="19">
        <f t="shared" si="54"/>
        <v>673.2</v>
      </c>
      <c r="H206" s="19">
        <f t="shared" si="55"/>
        <v>525.9</v>
      </c>
      <c r="I206" s="24">
        <f t="shared" si="56"/>
        <v>28.00912721049631</v>
      </c>
    </row>
    <row r="207" spans="1:10" x14ac:dyDescent="0.25">
      <c r="A207" s="48" t="s">
        <v>39</v>
      </c>
      <c r="B207" s="71">
        <f t="shared" si="57"/>
        <v>40640</v>
      </c>
      <c r="C207">
        <v>81</v>
      </c>
      <c r="D207">
        <v>36</v>
      </c>
      <c r="E207">
        <v>592</v>
      </c>
      <c r="F207">
        <v>492.1</v>
      </c>
      <c r="G207" s="19">
        <f t="shared" si="54"/>
        <v>673</v>
      </c>
      <c r="H207" s="19">
        <f t="shared" si="55"/>
        <v>528.1</v>
      </c>
      <c r="I207" s="24">
        <f t="shared" si="56"/>
        <v>27.437985230070062</v>
      </c>
    </row>
    <row r="208" spans="1:10" x14ac:dyDescent="0.25">
      <c r="A208" s="48" t="s">
        <v>39</v>
      </c>
      <c r="B208" s="71">
        <f t="shared" si="57"/>
        <v>40647</v>
      </c>
      <c r="C208">
        <v>91.5</v>
      </c>
      <c r="D208">
        <v>0</v>
      </c>
      <c r="E208">
        <v>592</v>
      </c>
      <c r="F208">
        <v>528.6</v>
      </c>
      <c r="G208" s="19">
        <f t="shared" si="54"/>
        <v>683.5</v>
      </c>
      <c r="H208" s="19">
        <f t="shared" si="55"/>
        <v>528.6</v>
      </c>
      <c r="I208" s="24">
        <f t="shared" si="56"/>
        <v>29.30382141505865</v>
      </c>
      <c r="J208">
        <v>65</v>
      </c>
    </row>
    <row r="209" spans="1:10" x14ac:dyDescent="0.25">
      <c r="A209" s="48" t="s">
        <v>39</v>
      </c>
      <c r="B209" s="71">
        <f t="shared" si="57"/>
        <v>40654</v>
      </c>
      <c r="C209">
        <v>40.5</v>
      </c>
      <c r="D209">
        <v>0</v>
      </c>
      <c r="E209">
        <v>641.6</v>
      </c>
      <c r="F209">
        <v>528.6</v>
      </c>
      <c r="G209" s="19">
        <f t="shared" si="54"/>
        <v>682.1</v>
      </c>
      <c r="H209" s="19">
        <f t="shared" si="55"/>
        <v>528.6</v>
      </c>
      <c r="I209" s="24">
        <f t="shared" si="56"/>
        <v>29.038970866439652</v>
      </c>
      <c r="J209">
        <v>65</v>
      </c>
    </row>
    <row r="210" spans="1:10" x14ac:dyDescent="0.25">
      <c r="A210" s="48" t="s">
        <v>39</v>
      </c>
      <c r="B210" s="71">
        <f t="shared" si="57"/>
        <v>40661</v>
      </c>
      <c r="C210">
        <v>101.5</v>
      </c>
      <c r="D210">
        <v>0</v>
      </c>
      <c r="E210">
        <v>674.6</v>
      </c>
      <c r="F210">
        <v>528.6</v>
      </c>
      <c r="G210" s="19">
        <f t="shared" si="54"/>
        <v>776.1</v>
      </c>
      <c r="H210" s="19">
        <f t="shared" si="55"/>
        <v>528.6</v>
      </c>
      <c r="I210" s="24">
        <f t="shared" si="56"/>
        <v>46.821793416572064</v>
      </c>
      <c r="J210">
        <v>65</v>
      </c>
    </row>
    <row r="211" spans="1:10" x14ac:dyDescent="0.25">
      <c r="A211" s="48" t="s">
        <v>39</v>
      </c>
      <c r="B211" s="71">
        <f t="shared" si="57"/>
        <v>40668</v>
      </c>
      <c r="C211">
        <v>52</v>
      </c>
      <c r="D211">
        <v>0</v>
      </c>
      <c r="E211">
        <v>727.8</v>
      </c>
      <c r="F211">
        <v>528.6</v>
      </c>
      <c r="G211" s="19">
        <f t="shared" si="54"/>
        <v>779.8</v>
      </c>
      <c r="H211" s="19">
        <f t="shared" si="55"/>
        <v>528.6</v>
      </c>
      <c r="I211" s="24">
        <f t="shared" si="56"/>
        <v>47.521755580779399</v>
      </c>
      <c r="J211">
        <v>75</v>
      </c>
    </row>
    <row r="212" spans="1:10" x14ac:dyDescent="0.25">
      <c r="A212" s="48" t="s">
        <v>39</v>
      </c>
      <c r="B212" s="71">
        <f t="shared" si="57"/>
        <v>40675</v>
      </c>
      <c r="C212">
        <v>54.5</v>
      </c>
      <c r="D212">
        <v>0</v>
      </c>
      <c r="E212">
        <v>727.8</v>
      </c>
      <c r="F212">
        <v>528.6</v>
      </c>
      <c r="G212" s="19">
        <f t="shared" si="54"/>
        <v>782.3</v>
      </c>
      <c r="H212" s="19">
        <f t="shared" si="55"/>
        <v>528.6</v>
      </c>
      <c r="I212" s="24">
        <f t="shared" si="56"/>
        <v>47.994702989027616</v>
      </c>
      <c r="J212">
        <v>75</v>
      </c>
    </row>
    <row r="213" spans="1:10" x14ac:dyDescent="0.25">
      <c r="A213" s="48" t="s">
        <v>39</v>
      </c>
      <c r="B213" s="71">
        <f t="shared" si="57"/>
        <v>40682</v>
      </c>
      <c r="C213">
        <v>1</v>
      </c>
      <c r="D213">
        <v>0</v>
      </c>
      <c r="E213">
        <v>781.4</v>
      </c>
      <c r="F213">
        <v>528.6</v>
      </c>
      <c r="G213" s="19">
        <f t="shared" si="54"/>
        <v>782.4</v>
      </c>
      <c r="H213" s="19">
        <f t="shared" si="55"/>
        <v>528.6</v>
      </c>
      <c r="I213" s="24">
        <f t="shared" si="56"/>
        <v>48.013620885357547</v>
      </c>
      <c r="J213">
        <v>75</v>
      </c>
    </row>
    <row r="214" spans="1:10" x14ac:dyDescent="0.25">
      <c r="A214" s="48" t="s">
        <v>39</v>
      </c>
      <c r="B214" s="71">
        <f t="shared" si="57"/>
        <v>40689</v>
      </c>
      <c r="C214">
        <v>62</v>
      </c>
      <c r="D214">
        <v>0</v>
      </c>
      <c r="E214">
        <v>781.4</v>
      </c>
      <c r="F214">
        <v>528.6</v>
      </c>
      <c r="G214" s="19">
        <f t="shared" si="54"/>
        <v>843.4</v>
      </c>
      <c r="H214" s="19">
        <f t="shared" si="55"/>
        <v>528.6</v>
      </c>
      <c r="I214" s="24">
        <f t="shared" si="56"/>
        <v>59.553537646613684</v>
      </c>
      <c r="J214">
        <v>75</v>
      </c>
    </row>
    <row r="215" spans="1:10" x14ac:dyDescent="0.25">
      <c r="A215" s="48" t="s">
        <v>39</v>
      </c>
      <c r="B215" s="71">
        <f t="shared" si="57"/>
        <v>40696</v>
      </c>
      <c r="C215">
        <v>198</v>
      </c>
      <c r="D215">
        <v>20</v>
      </c>
      <c r="E215">
        <v>0</v>
      </c>
      <c r="F215">
        <v>0</v>
      </c>
      <c r="G215" s="19">
        <f t="shared" ref="G215:G223" si="58">+C215+E215</f>
        <v>198</v>
      </c>
      <c r="H215" s="19">
        <f t="shared" ref="H215:H223" si="59">+D215+F215</f>
        <v>20</v>
      </c>
      <c r="I215" s="24">
        <f t="shared" ref="I215:I223" si="60">+(G215/H215-1)*100</f>
        <v>890</v>
      </c>
    </row>
    <row r="216" spans="1:10" x14ac:dyDescent="0.25">
      <c r="A216" s="48" t="s">
        <v>39</v>
      </c>
      <c r="B216" s="71">
        <f t="shared" si="57"/>
        <v>40703</v>
      </c>
      <c r="C216">
        <v>136</v>
      </c>
      <c r="D216">
        <v>81</v>
      </c>
      <c r="E216">
        <v>63.9</v>
      </c>
      <c r="F216">
        <v>0</v>
      </c>
      <c r="G216" s="19">
        <f t="shared" si="58"/>
        <v>199.9</v>
      </c>
      <c r="H216" s="19">
        <f t="shared" si="59"/>
        <v>81</v>
      </c>
      <c r="I216" s="24">
        <f t="shared" si="60"/>
        <v>146.79012345679016</v>
      </c>
    </row>
    <row r="217" spans="1:10" x14ac:dyDescent="0.25">
      <c r="A217" s="48" t="s">
        <v>39</v>
      </c>
      <c r="B217" s="71">
        <f t="shared" si="57"/>
        <v>40710</v>
      </c>
      <c r="C217">
        <v>136</v>
      </c>
      <c r="D217">
        <v>81.5</v>
      </c>
      <c r="E217">
        <v>63.9</v>
      </c>
      <c r="F217">
        <v>0</v>
      </c>
      <c r="G217" s="19">
        <f t="shared" si="58"/>
        <v>199.9</v>
      </c>
      <c r="H217" s="19">
        <f t="shared" si="59"/>
        <v>81.5</v>
      </c>
      <c r="I217" s="24">
        <f t="shared" si="60"/>
        <v>145.27607361963192</v>
      </c>
    </row>
    <row r="218" spans="1:10" x14ac:dyDescent="0.25">
      <c r="A218" s="48" t="s">
        <v>39</v>
      </c>
      <c r="B218" s="71">
        <f t="shared" si="57"/>
        <v>40717</v>
      </c>
      <c r="C218">
        <v>126</v>
      </c>
      <c r="D218">
        <v>20.5</v>
      </c>
      <c r="E218">
        <v>74.400000000000006</v>
      </c>
      <c r="F218">
        <v>58.6</v>
      </c>
      <c r="G218" s="19">
        <f t="shared" si="58"/>
        <v>200.4</v>
      </c>
      <c r="H218" s="19">
        <f t="shared" si="59"/>
        <v>79.099999999999994</v>
      </c>
      <c r="I218" s="24">
        <f t="shared" si="60"/>
        <v>153.35018963337549</v>
      </c>
    </row>
    <row r="219" spans="1:10" x14ac:dyDescent="0.25">
      <c r="A219" s="48" t="s">
        <v>39</v>
      </c>
      <c r="B219" s="71">
        <f t="shared" si="57"/>
        <v>40724</v>
      </c>
      <c r="C219">
        <v>105.3</v>
      </c>
      <c r="D219">
        <v>81.8</v>
      </c>
      <c r="E219">
        <v>94.4</v>
      </c>
      <c r="F219">
        <v>58.9</v>
      </c>
      <c r="G219" s="19">
        <f t="shared" si="58"/>
        <v>199.7</v>
      </c>
      <c r="H219" s="19">
        <f t="shared" si="59"/>
        <v>140.69999999999999</v>
      </c>
      <c r="I219" s="24">
        <f t="shared" si="60"/>
        <v>41.933191186922535</v>
      </c>
    </row>
    <row r="220" spans="1:10" x14ac:dyDescent="0.25">
      <c r="A220" s="48" t="s">
        <v>39</v>
      </c>
      <c r="B220" s="71">
        <f t="shared" si="57"/>
        <v>40731</v>
      </c>
      <c r="C220">
        <v>74.7</v>
      </c>
      <c r="D220">
        <v>81.8</v>
      </c>
      <c r="E220">
        <v>127.6</v>
      </c>
      <c r="F220">
        <v>58.9</v>
      </c>
      <c r="G220" s="19">
        <f t="shared" si="58"/>
        <v>202.3</v>
      </c>
      <c r="H220" s="19">
        <f t="shared" si="59"/>
        <v>140.69999999999999</v>
      </c>
      <c r="I220" s="24">
        <f t="shared" si="60"/>
        <v>43.781094527363209</v>
      </c>
    </row>
    <row r="221" spans="1:10" x14ac:dyDescent="0.25">
      <c r="A221" s="48" t="s">
        <v>39</v>
      </c>
      <c r="B221" s="71">
        <f t="shared" si="57"/>
        <v>40738</v>
      </c>
      <c r="C221">
        <v>151.4</v>
      </c>
      <c r="D221">
        <v>81.599999999999994</v>
      </c>
      <c r="E221">
        <v>167.5</v>
      </c>
      <c r="F221">
        <v>59</v>
      </c>
      <c r="G221" s="19">
        <f t="shared" si="58"/>
        <v>318.89999999999998</v>
      </c>
      <c r="H221" s="19">
        <f t="shared" si="59"/>
        <v>140.6</v>
      </c>
      <c r="I221" s="24">
        <f t="shared" si="60"/>
        <v>126.81365576102417</v>
      </c>
    </row>
    <row r="222" spans="1:10" x14ac:dyDescent="0.25">
      <c r="A222" s="48" t="s">
        <v>39</v>
      </c>
      <c r="B222" s="71">
        <f t="shared" si="57"/>
        <v>40745</v>
      </c>
      <c r="C222">
        <v>121.4</v>
      </c>
      <c r="D222">
        <v>20</v>
      </c>
      <c r="E222">
        <v>194.8</v>
      </c>
      <c r="F222">
        <v>118.9</v>
      </c>
      <c r="G222" s="19">
        <f t="shared" si="58"/>
        <v>316.20000000000005</v>
      </c>
      <c r="H222" s="19">
        <f t="shared" si="59"/>
        <v>138.9</v>
      </c>
      <c r="I222" s="24">
        <f t="shared" si="60"/>
        <v>127.64578833693308</v>
      </c>
    </row>
    <row r="223" spans="1:10" x14ac:dyDescent="0.25">
      <c r="A223" s="48" t="s">
        <v>39</v>
      </c>
      <c r="B223" s="71">
        <f t="shared" si="57"/>
        <v>40752</v>
      </c>
      <c r="C223">
        <v>121.4</v>
      </c>
      <c r="D223">
        <v>20</v>
      </c>
      <c r="E223">
        <v>194.8</v>
      </c>
      <c r="F223">
        <v>118.9</v>
      </c>
      <c r="G223" s="19">
        <f t="shared" si="58"/>
        <v>316.20000000000005</v>
      </c>
      <c r="H223" s="19">
        <f t="shared" si="59"/>
        <v>138.9</v>
      </c>
      <c r="I223" s="24">
        <f t="shared" si="60"/>
        <v>127.64578833693308</v>
      </c>
    </row>
    <row r="224" spans="1:10" x14ac:dyDescent="0.25">
      <c r="A224" s="48" t="s">
        <v>39</v>
      </c>
      <c r="B224" s="71">
        <f t="shared" si="57"/>
        <v>40759</v>
      </c>
      <c r="C224">
        <v>121.4</v>
      </c>
      <c r="D224">
        <v>0</v>
      </c>
      <c r="E224">
        <v>255.1</v>
      </c>
      <c r="F224">
        <v>140.9</v>
      </c>
      <c r="G224" s="19">
        <f t="shared" ref="G224:G265" si="61">+C224+E224</f>
        <v>376.5</v>
      </c>
      <c r="H224" s="19">
        <f t="shared" ref="H224:H265" si="62">+D224+F224</f>
        <v>140.9</v>
      </c>
      <c r="I224" s="24">
        <f t="shared" ref="I224:I265" si="63">+(G224/H224-1)*100</f>
        <v>167.21078779276078</v>
      </c>
    </row>
    <row r="225" spans="1:11" x14ac:dyDescent="0.25">
      <c r="A225" s="48" t="s">
        <v>39</v>
      </c>
      <c r="B225" s="71">
        <f t="shared" si="57"/>
        <v>40766</v>
      </c>
      <c r="C225">
        <v>60.4</v>
      </c>
      <c r="D225">
        <v>0</v>
      </c>
      <c r="E225">
        <v>313.5</v>
      </c>
      <c r="F225">
        <v>140.9</v>
      </c>
      <c r="G225" s="19">
        <f t="shared" si="61"/>
        <v>373.9</v>
      </c>
      <c r="H225" s="19">
        <f t="shared" si="62"/>
        <v>140.9</v>
      </c>
      <c r="I225" s="24">
        <f t="shared" si="63"/>
        <v>165.36550745209365</v>
      </c>
    </row>
    <row r="226" spans="1:11" x14ac:dyDescent="0.25">
      <c r="A226" s="48" t="s">
        <v>39</v>
      </c>
      <c r="B226" s="71">
        <f t="shared" si="57"/>
        <v>40773</v>
      </c>
      <c r="C226">
        <v>60.4</v>
      </c>
      <c r="D226">
        <v>64.599999999999994</v>
      </c>
      <c r="E226">
        <v>313.5</v>
      </c>
      <c r="F226">
        <v>140.9</v>
      </c>
      <c r="G226" s="19">
        <f t="shared" si="61"/>
        <v>373.9</v>
      </c>
      <c r="H226" s="19">
        <f t="shared" si="62"/>
        <v>205.5</v>
      </c>
      <c r="I226" s="24">
        <f t="shared" si="63"/>
        <v>81.946472019464693</v>
      </c>
    </row>
    <row r="227" spans="1:11" x14ac:dyDescent="0.25">
      <c r="A227" s="48" t="s">
        <v>39</v>
      </c>
      <c r="B227" s="71">
        <f t="shared" si="57"/>
        <v>40780</v>
      </c>
      <c r="C227">
        <v>60.4</v>
      </c>
      <c r="D227">
        <v>64.599999999999994</v>
      </c>
      <c r="E227">
        <v>313.5</v>
      </c>
      <c r="F227">
        <v>140.9</v>
      </c>
      <c r="G227" s="19">
        <f t="shared" si="61"/>
        <v>373.9</v>
      </c>
      <c r="H227" s="19">
        <f t="shared" si="62"/>
        <v>205.5</v>
      </c>
      <c r="I227" s="24">
        <f t="shared" si="63"/>
        <v>81.946472019464693</v>
      </c>
    </row>
    <row r="228" spans="1:11" x14ac:dyDescent="0.25">
      <c r="A228" s="48" t="s">
        <v>39</v>
      </c>
      <c r="B228" s="71">
        <f t="shared" si="57"/>
        <v>40787</v>
      </c>
      <c r="C228">
        <v>60</v>
      </c>
      <c r="D228">
        <v>125.6</v>
      </c>
      <c r="E228">
        <v>313.89999999999998</v>
      </c>
      <c r="F228">
        <v>140.9</v>
      </c>
      <c r="G228" s="19">
        <f t="shared" si="61"/>
        <v>373.9</v>
      </c>
      <c r="H228" s="19">
        <f t="shared" si="62"/>
        <v>266.5</v>
      </c>
      <c r="I228" s="24">
        <f t="shared" si="63"/>
        <v>40.300187617260775</v>
      </c>
    </row>
    <row r="229" spans="1:11" x14ac:dyDescent="0.25">
      <c r="A229" s="48" t="s">
        <v>39</v>
      </c>
      <c r="B229" s="71">
        <f t="shared" si="57"/>
        <v>40794</v>
      </c>
      <c r="C229">
        <v>60</v>
      </c>
      <c r="D229">
        <v>150.6</v>
      </c>
      <c r="E229">
        <v>313.89999999999998</v>
      </c>
      <c r="F229">
        <v>167.2</v>
      </c>
      <c r="G229" s="19">
        <f t="shared" si="61"/>
        <v>373.9</v>
      </c>
      <c r="H229" s="19">
        <f t="shared" si="62"/>
        <v>317.79999999999995</v>
      </c>
      <c r="I229" s="24">
        <f t="shared" si="63"/>
        <v>17.652611705475142</v>
      </c>
    </row>
    <row r="230" spans="1:11" x14ac:dyDescent="0.25">
      <c r="A230" s="48" t="s">
        <v>39</v>
      </c>
      <c r="B230" s="71">
        <f t="shared" si="57"/>
        <v>40801</v>
      </c>
      <c r="C230">
        <v>100</v>
      </c>
      <c r="D230">
        <v>20</v>
      </c>
      <c r="E230">
        <v>332.9</v>
      </c>
      <c r="F230">
        <v>269.5</v>
      </c>
      <c r="G230" s="19">
        <f t="shared" si="61"/>
        <v>432.9</v>
      </c>
      <c r="H230" s="19">
        <f t="shared" si="62"/>
        <v>289.5</v>
      </c>
      <c r="I230" s="24">
        <f t="shared" si="63"/>
        <v>49.533678756476675</v>
      </c>
    </row>
    <row r="231" spans="1:11" x14ac:dyDescent="0.25">
      <c r="A231" s="48" t="s">
        <v>39</v>
      </c>
      <c r="B231" s="71">
        <f t="shared" si="57"/>
        <v>40808</v>
      </c>
      <c r="C231">
        <v>100</v>
      </c>
      <c r="D231">
        <v>81</v>
      </c>
      <c r="E231">
        <v>332.9</v>
      </c>
      <c r="F231">
        <v>269.5</v>
      </c>
      <c r="G231" s="19">
        <f t="shared" si="61"/>
        <v>432.9</v>
      </c>
      <c r="H231" s="19">
        <f t="shared" si="62"/>
        <v>350.5</v>
      </c>
      <c r="I231" s="24">
        <f t="shared" si="63"/>
        <v>23.509272467902996</v>
      </c>
      <c r="J231" s="80"/>
    </row>
    <row r="232" spans="1:11" x14ac:dyDescent="0.25">
      <c r="A232" s="48" t="s">
        <v>39</v>
      </c>
      <c r="B232" s="71">
        <f t="shared" si="57"/>
        <v>40815</v>
      </c>
      <c r="C232">
        <v>100</v>
      </c>
      <c r="D232">
        <v>64</v>
      </c>
      <c r="E232">
        <v>332.9</v>
      </c>
      <c r="F232">
        <v>290.2</v>
      </c>
      <c r="G232" s="19">
        <f t="shared" si="61"/>
        <v>432.9</v>
      </c>
      <c r="H232" s="19">
        <f t="shared" si="62"/>
        <v>354.2</v>
      </c>
      <c r="I232" s="24">
        <f t="shared" si="63"/>
        <v>22.219085262563532</v>
      </c>
      <c r="K232" s="80"/>
    </row>
    <row r="233" spans="1:11" x14ac:dyDescent="0.25">
      <c r="A233" s="48" t="s">
        <v>39</v>
      </c>
      <c r="B233" s="71">
        <f t="shared" si="57"/>
        <v>40822</v>
      </c>
      <c r="C233">
        <v>40</v>
      </c>
      <c r="D233">
        <v>64.7</v>
      </c>
      <c r="E233">
        <v>391.9</v>
      </c>
      <c r="F233">
        <v>295.5</v>
      </c>
      <c r="G233" s="19">
        <f t="shared" si="61"/>
        <v>431.9</v>
      </c>
      <c r="H233" s="19">
        <f t="shared" si="62"/>
        <v>360.2</v>
      </c>
      <c r="I233" s="24">
        <f t="shared" si="63"/>
        <v>19.905607995558029</v>
      </c>
      <c r="J233" s="80"/>
    </row>
    <row r="234" spans="1:11" x14ac:dyDescent="0.25">
      <c r="A234" s="48" t="s">
        <v>39</v>
      </c>
      <c r="B234" s="71">
        <f t="shared" si="57"/>
        <v>40829</v>
      </c>
      <c r="C234">
        <v>40</v>
      </c>
      <c r="D234">
        <v>64.599999999999994</v>
      </c>
      <c r="E234">
        <v>422.3</v>
      </c>
      <c r="F234">
        <v>297.10000000000002</v>
      </c>
      <c r="G234" s="19">
        <f t="shared" si="61"/>
        <v>462.3</v>
      </c>
      <c r="H234" s="19">
        <f t="shared" si="62"/>
        <v>361.70000000000005</v>
      </c>
      <c r="I234" s="24">
        <f t="shared" si="63"/>
        <v>27.813104782969301</v>
      </c>
    </row>
    <row r="235" spans="1:11" x14ac:dyDescent="0.25">
      <c r="A235" s="48" t="s">
        <v>39</v>
      </c>
      <c r="B235" s="71">
        <f t="shared" si="57"/>
        <v>40836</v>
      </c>
      <c r="C235">
        <v>50</v>
      </c>
      <c r="D235">
        <v>59.6</v>
      </c>
      <c r="E235">
        <v>422.3</v>
      </c>
      <c r="F235">
        <v>327.5</v>
      </c>
      <c r="G235" s="19">
        <f t="shared" si="61"/>
        <v>472.3</v>
      </c>
      <c r="H235" s="19">
        <f t="shared" si="62"/>
        <v>387.1</v>
      </c>
      <c r="I235" s="24">
        <f t="shared" si="63"/>
        <v>22.009816584861785</v>
      </c>
    </row>
    <row r="236" spans="1:11" x14ac:dyDescent="0.25">
      <c r="A236" s="48" t="s">
        <v>39</v>
      </c>
      <c r="B236" s="71">
        <f t="shared" si="57"/>
        <v>40843</v>
      </c>
      <c r="C236">
        <v>50</v>
      </c>
      <c r="D236">
        <v>28.6</v>
      </c>
      <c r="E236">
        <v>422.3</v>
      </c>
      <c r="F236">
        <v>357.1</v>
      </c>
      <c r="G236" s="19">
        <f t="shared" si="61"/>
        <v>472.3</v>
      </c>
      <c r="H236" s="19">
        <f t="shared" si="62"/>
        <v>385.70000000000005</v>
      </c>
      <c r="I236" s="24">
        <f t="shared" si="63"/>
        <v>22.452683432719709</v>
      </c>
    </row>
    <row r="237" spans="1:11" x14ac:dyDescent="0.25">
      <c r="A237" s="48" t="s">
        <v>39</v>
      </c>
      <c r="B237" s="71">
        <f t="shared" si="57"/>
        <v>40850</v>
      </c>
      <c r="C237">
        <v>51</v>
      </c>
      <c r="D237">
        <v>28.6</v>
      </c>
      <c r="E237">
        <v>422.3</v>
      </c>
      <c r="F237">
        <v>357.1</v>
      </c>
      <c r="G237" s="19">
        <f t="shared" si="61"/>
        <v>473.3</v>
      </c>
      <c r="H237" s="19">
        <f t="shared" si="62"/>
        <v>385.70000000000005</v>
      </c>
      <c r="I237" s="24">
        <f t="shared" si="63"/>
        <v>22.711952294529425</v>
      </c>
    </row>
    <row r="238" spans="1:11" x14ac:dyDescent="0.25">
      <c r="A238" s="48" t="s">
        <v>39</v>
      </c>
      <c r="B238" s="71">
        <f t="shared" si="57"/>
        <v>40857</v>
      </c>
      <c r="C238">
        <v>51</v>
      </c>
      <c r="D238">
        <v>21.8</v>
      </c>
      <c r="E238">
        <v>422.3</v>
      </c>
      <c r="F238">
        <v>359</v>
      </c>
      <c r="G238" s="19">
        <f t="shared" si="61"/>
        <v>473.3</v>
      </c>
      <c r="H238" s="19">
        <f t="shared" si="62"/>
        <v>380.8</v>
      </c>
      <c r="I238" s="24">
        <f t="shared" si="63"/>
        <v>24.290966386554615</v>
      </c>
    </row>
    <row r="239" spans="1:11" x14ac:dyDescent="0.25">
      <c r="A239" s="48" t="s">
        <v>39</v>
      </c>
      <c r="B239" s="71">
        <f t="shared" si="57"/>
        <v>40864</v>
      </c>
      <c r="C239">
        <v>51</v>
      </c>
      <c r="D239">
        <v>21.8</v>
      </c>
      <c r="E239">
        <v>422.3</v>
      </c>
      <c r="F239">
        <v>359</v>
      </c>
      <c r="G239" s="19">
        <f t="shared" si="61"/>
        <v>473.3</v>
      </c>
      <c r="H239" s="19">
        <f t="shared" si="62"/>
        <v>380.8</v>
      </c>
      <c r="I239" s="24">
        <f t="shared" si="63"/>
        <v>24.290966386554615</v>
      </c>
    </row>
    <row r="240" spans="1:11" x14ac:dyDescent="0.25">
      <c r="A240" s="48" t="s">
        <v>39</v>
      </c>
      <c r="B240" s="71">
        <f t="shared" si="57"/>
        <v>40871</v>
      </c>
      <c r="C240">
        <v>51</v>
      </c>
      <c r="D240">
        <v>21.8</v>
      </c>
      <c r="E240">
        <v>422.3</v>
      </c>
      <c r="F240">
        <v>359</v>
      </c>
      <c r="G240" s="19">
        <f t="shared" si="61"/>
        <v>473.3</v>
      </c>
      <c r="H240" s="19">
        <f t="shared" si="62"/>
        <v>380.8</v>
      </c>
      <c r="I240" s="24">
        <f t="shared" si="63"/>
        <v>24.290966386554615</v>
      </c>
    </row>
    <row r="241" spans="1:9" x14ac:dyDescent="0.25">
      <c r="A241" s="48" t="s">
        <v>39</v>
      </c>
      <c r="B241" s="71">
        <f t="shared" si="57"/>
        <v>40878</v>
      </c>
      <c r="C241">
        <v>51</v>
      </c>
      <c r="D241">
        <v>21.3</v>
      </c>
      <c r="E241">
        <v>422.3</v>
      </c>
      <c r="F241">
        <v>359.4</v>
      </c>
      <c r="G241" s="19">
        <f t="shared" si="61"/>
        <v>473.3</v>
      </c>
      <c r="H241" s="19">
        <f t="shared" si="62"/>
        <v>380.7</v>
      </c>
      <c r="I241" s="24">
        <f t="shared" si="63"/>
        <v>24.323614394536385</v>
      </c>
    </row>
    <row r="242" spans="1:9" x14ac:dyDescent="0.25">
      <c r="A242" s="48" t="s">
        <v>39</v>
      </c>
      <c r="B242" s="71">
        <f t="shared" si="57"/>
        <v>40885</v>
      </c>
      <c r="C242">
        <v>56</v>
      </c>
      <c r="D242">
        <v>1.3</v>
      </c>
      <c r="E242">
        <v>467.8</v>
      </c>
      <c r="F242">
        <v>381.2</v>
      </c>
      <c r="G242" s="19">
        <f t="shared" si="61"/>
        <v>523.79999999999995</v>
      </c>
      <c r="H242" s="19">
        <f t="shared" si="62"/>
        <v>382.5</v>
      </c>
      <c r="I242" s="24">
        <f t="shared" si="63"/>
        <v>36.941176470588232</v>
      </c>
    </row>
    <row r="243" spans="1:9" x14ac:dyDescent="0.25">
      <c r="A243" s="48" t="s">
        <v>39</v>
      </c>
      <c r="B243" s="71">
        <f t="shared" si="57"/>
        <v>40892</v>
      </c>
      <c r="C243">
        <v>56</v>
      </c>
      <c r="D243">
        <v>1.3</v>
      </c>
      <c r="E243">
        <v>467.8</v>
      </c>
      <c r="F243">
        <v>381.2</v>
      </c>
      <c r="G243" s="19">
        <f t="shared" si="61"/>
        <v>523.79999999999995</v>
      </c>
      <c r="H243" s="19">
        <f t="shared" si="62"/>
        <v>382.5</v>
      </c>
      <c r="I243" s="24">
        <f t="shared" si="63"/>
        <v>36.941176470588232</v>
      </c>
    </row>
    <row r="244" spans="1:9" x14ac:dyDescent="0.25">
      <c r="A244" s="48" t="s">
        <v>39</v>
      </c>
      <c r="B244" s="71">
        <f t="shared" si="57"/>
        <v>40899</v>
      </c>
      <c r="C244">
        <v>55</v>
      </c>
      <c r="D244">
        <v>0</v>
      </c>
      <c r="E244">
        <v>486.9</v>
      </c>
      <c r="F244">
        <v>382.4</v>
      </c>
      <c r="G244" s="19">
        <f t="shared" si="61"/>
        <v>541.9</v>
      </c>
      <c r="H244" s="19">
        <f t="shared" si="62"/>
        <v>382.4</v>
      </c>
      <c r="I244" s="24">
        <f t="shared" si="63"/>
        <v>41.710251046025107</v>
      </c>
    </row>
    <row r="245" spans="1:9" x14ac:dyDescent="0.25">
      <c r="A245" s="48" t="s">
        <v>39</v>
      </c>
      <c r="B245" s="71">
        <f t="shared" si="57"/>
        <v>40906</v>
      </c>
      <c r="C245">
        <v>55</v>
      </c>
      <c r="D245">
        <v>0</v>
      </c>
      <c r="E245">
        <v>486.9</v>
      </c>
      <c r="F245">
        <v>382.4</v>
      </c>
      <c r="G245" s="19">
        <f t="shared" si="61"/>
        <v>541.9</v>
      </c>
      <c r="H245" s="19">
        <f t="shared" si="62"/>
        <v>382.4</v>
      </c>
      <c r="I245" s="24">
        <f t="shared" si="63"/>
        <v>41.710251046025107</v>
      </c>
    </row>
    <row r="246" spans="1:9" x14ac:dyDescent="0.25">
      <c r="A246" s="48" t="s">
        <v>39</v>
      </c>
      <c r="B246" s="71">
        <f t="shared" si="57"/>
        <v>40913</v>
      </c>
      <c r="C246">
        <v>55</v>
      </c>
      <c r="D246">
        <v>61</v>
      </c>
      <c r="E246">
        <v>468.9</v>
      </c>
      <c r="F246">
        <v>382.4</v>
      </c>
      <c r="G246" s="19">
        <f t="shared" si="61"/>
        <v>523.9</v>
      </c>
      <c r="H246" s="19">
        <f t="shared" si="62"/>
        <v>443.4</v>
      </c>
      <c r="I246" s="24">
        <f t="shared" si="63"/>
        <v>18.155164636896703</v>
      </c>
    </row>
    <row r="247" spans="1:9" x14ac:dyDescent="0.25">
      <c r="A247" s="48" t="s">
        <v>39</v>
      </c>
      <c r="B247" s="71">
        <f t="shared" si="57"/>
        <v>40920</v>
      </c>
      <c r="C247">
        <v>120</v>
      </c>
      <c r="D247">
        <v>91</v>
      </c>
      <c r="E247">
        <v>468.9</v>
      </c>
      <c r="F247">
        <v>404.4</v>
      </c>
      <c r="G247" s="19">
        <f t="shared" si="61"/>
        <v>588.9</v>
      </c>
      <c r="H247" s="19">
        <f t="shared" si="62"/>
        <v>495.4</v>
      </c>
      <c r="I247" s="24">
        <f t="shared" si="63"/>
        <v>18.873637464675006</v>
      </c>
    </row>
    <row r="248" spans="1:9" x14ac:dyDescent="0.25">
      <c r="A248" s="48" t="s">
        <v>39</v>
      </c>
      <c r="B248" s="71">
        <f t="shared" si="57"/>
        <v>40927</v>
      </c>
      <c r="C248">
        <v>181</v>
      </c>
      <c r="D248">
        <v>91</v>
      </c>
      <c r="E248">
        <v>468.9</v>
      </c>
      <c r="F248">
        <v>404.4</v>
      </c>
      <c r="G248" s="19">
        <f t="shared" si="61"/>
        <v>649.9</v>
      </c>
      <c r="H248" s="19">
        <f t="shared" si="62"/>
        <v>495.4</v>
      </c>
      <c r="I248" s="24">
        <f t="shared" si="63"/>
        <v>31.186919660880097</v>
      </c>
    </row>
    <row r="249" spans="1:9" x14ac:dyDescent="0.25">
      <c r="A249" s="48" t="s">
        <v>39</v>
      </c>
      <c r="B249" s="71">
        <f t="shared" si="57"/>
        <v>40934</v>
      </c>
      <c r="C249">
        <v>116</v>
      </c>
      <c r="D249">
        <v>91</v>
      </c>
      <c r="E249">
        <v>537.1</v>
      </c>
      <c r="F249">
        <v>464.1</v>
      </c>
      <c r="G249" s="19">
        <f t="shared" si="61"/>
        <v>653.1</v>
      </c>
      <c r="H249" s="19">
        <f t="shared" si="62"/>
        <v>555.1</v>
      </c>
      <c r="I249" s="24">
        <f t="shared" si="63"/>
        <v>17.654476670870125</v>
      </c>
    </row>
    <row r="250" spans="1:9" x14ac:dyDescent="0.25">
      <c r="A250" s="48" t="s">
        <v>39</v>
      </c>
      <c r="B250" s="71">
        <f t="shared" si="57"/>
        <v>40941</v>
      </c>
      <c r="C250">
        <v>55.1</v>
      </c>
      <c r="D250">
        <v>91</v>
      </c>
      <c r="E250">
        <v>601.1</v>
      </c>
      <c r="F250">
        <v>464.1</v>
      </c>
      <c r="G250" s="19">
        <f t="shared" si="61"/>
        <v>656.2</v>
      </c>
      <c r="H250" s="19">
        <f t="shared" si="62"/>
        <v>555.1</v>
      </c>
      <c r="I250" s="24">
        <f t="shared" si="63"/>
        <v>18.212934606377228</v>
      </c>
    </row>
    <row r="251" spans="1:9" x14ac:dyDescent="0.25">
      <c r="A251" s="48" t="s">
        <v>39</v>
      </c>
      <c r="B251" s="71">
        <f t="shared" si="57"/>
        <v>40948</v>
      </c>
      <c r="C251">
        <v>75.099999999999994</v>
      </c>
      <c r="D251">
        <v>91</v>
      </c>
      <c r="E251">
        <v>601.1</v>
      </c>
      <c r="F251">
        <v>464.1</v>
      </c>
      <c r="G251" s="19">
        <f t="shared" si="61"/>
        <v>676.2</v>
      </c>
      <c r="H251" s="19">
        <f t="shared" si="62"/>
        <v>555.1</v>
      </c>
      <c r="I251" s="24">
        <f t="shared" si="63"/>
        <v>21.815889029003777</v>
      </c>
    </row>
    <row r="252" spans="1:9" x14ac:dyDescent="0.25">
      <c r="A252" s="48" t="s">
        <v>39</v>
      </c>
      <c r="B252" s="71">
        <f t="shared" si="57"/>
        <v>40955</v>
      </c>
      <c r="C252">
        <v>75.099999999999994</v>
      </c>
      <c r="D252">
        <v>91</v>
      </c>
      <c r="E252">
        <v>601.1</v>
      </c>
      <c r="F252">
        <v>464.1</v>
      </c>
      <c r="G252" s="19">
        <f t="shared" si="61"/>
        <v>676.2</v>
      </c>
      <c r="H252" s="19">
        <f t="shared" si="62"/>
        <v>555.1</v>
      </c>
      <c r="I252" s="24">
        <f t="shared" si="63"/>
        <v>21.815889029003777</v>
      </c>
    </row>
    <row r="253" spans="1:9" x14ac:dyDescent="0.25">
      <c r="A253" s="48" t="s">
        <v>39</v>
      </c>
      <c r="B253" s="71">
        <f t="shared" si="57"/>
        <v>40962</v>
      </c>
      <c r="C253">
        <v>94.1</v>
      </c>
      <c r="D253">
        <v>91</v>
      </c>
      <c r="E253">
        <v>601.1</v>
      </c>
      <c r="F253">
        <v>464.1</v>
      </c>
      <c r="G253" s="19">
        <f t="shared" si="61"/>
        <v>695.2</v>
      </c>
      <c r="H253" s="19">
        <f t="shared" si="62"/>
        <v>555.1</v>
      </c>
      <c r="I253" s="24">
        <f t="shared" si="63"/>
        <v>25.238695730499018</v>
      </c>
    </row>
    <row r="254" spans="1:9" x14ac:dyDescent="0.25">
      <c r="A254" s="48" t="s">
        <v>39</v>
      </c>
      <c r="B254" s="71">
        <f t="shared" si="57"/>
        <v>40969</v>
      </c>
      <c r="C254">
        <v>94.1</v>
      </c>
      <c r="D254">
        <v>91</v>
      </c>
      <c r="E254">
        <v>601.1</v>
      </c>
      <c r="F254">
        <v>464.1</v>
      </c>
      <c r="G254" s="19">
        <f t="shared" si="61"/>
        <v>695.2</v>
      </c>
      <c r="H254" s="19">
        <f t="shared" si="62"/>
        <v>555.1</v>
      </c>
      <c r="I254" s="24">
        <f t="shared" si="63"/>
        <v>25.238695730499018</v>
      </c>
    </row>
    <row r="255" spans="1:9" x14ac:dyDescent="0.25">
      <c r="A255" s="48" t="s">
        <v>39</v>
      </c>
      <c r="B255" s="71">
        <f t="shared" si="57"/>
        <v>40976</v>
      </c>
      <c r="C255">
        <v>76</v>
      </c>
      <c r="D255">
        <v>152</v>
      </c>
      <c r="E255">
        <v>654.4</v>
      </c>
      <c r="F255">
        <v>523.6</v>
      </c>
      <c r="G255" s="19">
        <f t="shared" si="61"/>
        <v>730.4</v>
      </c>
      <c r="H255" s="19">
        <f t="shared" si="62"/>
        <v>675.6</v>
      </c>
      <c r="I255" s="24">
        <f t="shared" si="63"/>
        <v>8.1113084665482393</v>
      </c>
    </row>
    <row r="256" spans="1:9" x14ac:dyDescent="0.25">
      <c r="A256" s="48" t="s">
        <v>39</v>
      </c>
      <c r="B256" s="71">
        <f t="shared" si="57"/>
        <v>40983</v>
      </c>
      <c r="C256">
        <v>79.400000000000006</v>
      </c>
      <c r="D256">
        <v>152</v>
      </c>
      <c r="E256">
        <v>654.4</v>
      </c>
      <c r="F256">
        <v>523.6</v>
      </c>
      <c r="G256" s="19">
        <f t="shared" si="61"/>
        <v>733.8</v>
      </c>
      <c r="H256" s="19">
        <f t="shared" si="62"/>
        <v>675.6</v>
      </c>
      <c r="I256" s="24">
        <f t="shared" si="63"/>
        <v>8.6145648312610845</v>
      </c>
    </row>
    <row r="257" spans="1:10" x14ac:dyDescent="0.25">
      <c r="A257" s="48" t="s">
        <v>39</v>
      </c>
      <c r="B257" s="71">
        <f t="shared" si="57"/>
        <v>40990</v>
      </c>
      <c r="C257">
        <v>31</v>
      </c>
      <c r="D257">
        <v>152</v>
      </c>
      <c r="E257">
        <v>704.6</v>
      </c>
      <c r="F257">
        <v>523.6</v>
      </c>
      <c r="G257" s="19">
        <f t="shared" si="61"/>
        <v>735.6</v>
      </c>
      <c r="H257" s="19">
        <f t="shared" si="62"/>
        <v>675.6</v>
      </c>
      <c r="I257" s="24">
        <f t="shared" si="63"/>
        <v>8.8809946714031973</v>
      </c>
    </row>
    <row r="258" spans="1:10" x14ac:dyDescent="0.25">
      <c r="A258" s="48" t="s">
        <v>39</v>
      </c>
      <c r="B258" s="71">
        <f t="shared" si="57"/>
        <v>40997</v>
      </c>
      <c r="C258">
        <v>56</v>
      </c>
      <c r="D258">
        <v>91</v>
      </c>
      <c r="E258">
        <v>704.6</v>
      </c>
      <c r="F258">
        <v>582.20000000000005</v>
      </c>
      <c r="G258" s="19">
        <f t="shared" si="61"/>
        <v>760.6</v>
      </c>
      <c r="H258" s="19">
        <f t="shared" si="62"/>
        <v>673.2</v>
      </c>
      <c r="I258" s="24">
        <f t="shared" si="63"/>
        <v>12.982768865121797</v>
      </c>
    </row>
    <row r="259" spans="1:10" x14ac:dyDescent="0.25">
      <c r="A259" s="48" t="s">
        <v>39</v>
      </c>
      <c r="B259" s="71">
        <f t="shared" si="57"/>
        <v>41004</v>
      </c>
      <c r="C259">
        <v>56</v>
      </c>
      <c r="D259">
        <v>81</v>
      </c>
      <c r="E259">
        <v>704.6</v>
      </c>
      <c r="F259">
        <v>592</v>
      </c>
      <c r="G259" s="19">
        <f t="shared" si="61"/>
        <v>760.6</v>
      </c>
      <c r="H259" s="19">
        <f t="shared" si="62"/>
        <v>673</v>
      </c>
      <c r="I259" s="24">
        <f t="shared" si="63"/>
        <v>13.016344725111439</v>
      </c>
    </row>
    <row r="260" spans="1:10" x14ac:dyDescent="0.25">
      <c r="A260" s="48" t="s">
        <v>39</v>
      </c>
      <c r="B260" s="71">
        <f t="shared" si="57"/>
        <v>41011</v>
      </c>
      <c r="C260">
        <v>56.7</v>
      </c>
      <c r="D260">
        <v>91.5</v>
      </c>
      <c r="E260">
        <v>704.6</v>
      </c>
      <c r="F260">
        <v>592</v>
      </c>
      <c r="G260" s="19">
        <f t="shared" si="61"/>
        <v>761.30000000000007</v>
      </c>
      <c r="H260" s="19">
        <f t="shared" si="62"/>
        <v>683.5</v>
      </c>
      <c r="I260" s="24">
        <f t="shared" si="63"/>
        <v>11.382589612289706</v>
      </c>
    </row>
    <row r="261" spans="1:10" x14ac:dyDescent="0.25">
      <c r="A261" s="48" t="s">
        <v>39</v>
      </c>
      <c r="B261" s="71">
        <f t="shared" si="57"/>
        <v>41018</v>
      </c>
      <c r="C261">
        <v>56.7</v>
      </c>
      <c r="D261">
        <v>40.5</v>
      </c>
      <c r="E261">
        <v>704.6</v>
      </c>
      <c r="F261">
        <v>641.6</v>
      </c>
      <c r="G261" s="19">
        <f t="shared" si="61"/>
        <v>761.30000000000007</v>
      </c>
      <c r="H261" s="19">
        <f t="shared" si="62"/>
        <v>682.1</v>
      </c>
      <c r="I261" s="24">
        <f t="shared" si="63"/>
        <v>11.611200703709134</v>
      </c>
    </row>
    <row r="262" spans="1:10" x14ac:dyDescent="0.25">
      <c r="A262" s="48" t="s">
        <v>39</v>
      </c>
      <c r="B262" s="71">
        <f t="shared" si="57"/>
        <v>41025</v>
      </c>
      <c r="C262">
        <v>121.7</v>
      </c>
      <c r="D262">
        <v>101.5</v>
      </c>
      <c r="E262">
        <v>704.6</v>
      </c>
      <c r="F262">
        <v>674.6</v>
      </c>
      <c r="G262" s="19">
        <f t="shared" si="61"/>
        <v>826.30000000000007</v>
      </c>
      <c r="H262" s="19">
        <f t="shared" si="62"/>
        <v>776.1</v>
      </c>
      <c r="I262" s="24">
        <f t="shared" si="63"/>
        <v>6.4682386290426441</v>
      </c>
    </row>
    <row r="263" spans="1:10" x14ac:dyDescent="0.25">
      <c r="A263" s="48" t="s">
        <v>39</v>
      </c>
      <c r="B263" s="71">
        <f t="shared" si="57"/>
        <v>41032</v>
      </c>
      <c r="C263">
        <v>117.2</v>
      </c>
      <c r="D263">
        <v>52</v>
      </c>
      <c r="E263">
        <v>709.9</v>
      </c>
      <c r="F263">
        <v>727.8</v>
      </c>
      <c r="G263" s="19">
        <f t="shared" si="61"/>
        <v>827.1</v>
      </c>
      <c r="H263" s="19">
        <f t="shared" si="62"/>
        <v>779.8</v>
      </c>
      <c r="I263" s="24">
        <f t="shared" si="63"/>
        <v>6.0656578609900036</v>
      </c>
    </row>
    <row r="264" spans="1:10" x14ac:dyDescent="0.25">
      <c r="A264" s="48" t="s">
        <v>39</v>
      </c>
      <c r="B264" s="71">
        <f t="shared" si="57"/>
        <v>41039</v>
      </c>
      <c r="C264">
        <v>57.2</v>
      </c>
      <c r="D264">
        <v>54.6</v>
      </c>
      <c r="E264">
        <v>771.1</v>
      </c>
      <c r="F264">
        <v>727.8</v>
      </c>
      <c r="G264" s="19">
        <f t="shared" si="61"/>
        <v>828.30000000000007</v>
      </c>
      <c r="H264" s="19">
        <f t="shared" si="62"/>
        <v>782.4</v>
      </c>
      <c r="I264" s="24">
        <f t="shared" si="63"/>
        <v>5.8665644171779219</v>
      </c>
    </row>
    <row r="265" spans="1:10" x14ac:dyDescent="0.25">
      <c r="A265" s="48" t="s">
        <v>39</v>
      </c>
      <c r="B265" s="71">
        <f t="shared" si="57"/>
        <v>41046</v>
      </c>
      <c r="C265">
        <v>31.6</v>
      </c>
      <c r="D265">
        <v>1</v>
      </c>
      <c r="E265">
        <v>798.4</v>
      </c>
      <c r="F265">
        <v>781.4</v>
      </c>
      <c r="G265" s="19">
        <f t="shared" si="61"/>
        <v>830</v>
      </c>
      <c r="H265" s="19">
        <f t="shared" si="62"/>
        <v>782.4</v>
      </c>
      <c r="I265" s="24">
        <f t="shared" si="63"/>
        <v>6.0838445807771091</v>
      </c>
      <c r="J265">
        <v>3.7</v>
      </c>
    </row>
    <row r="266" spans="1:10" x14ac:dyDescent="0.25">
      <c r="A266" s="48" t="s">
        <v>39</v>
      </c>
      <c r="B266" s="71">
        <f t="shared" ref="B266:B329" si="64">+B265+7</f>
        <v>41053</v>
      </c>
      <c r="C266">
        <v>0.1</v>
      </c>
      <c r="D266">
        <v>62</v>
      </c>
      <c r="E266">
        <v>829.9</v>
      </c>
      <c r="F266">
        <v>781.4</v>
      </c>
      <c r="G266" s="19">
        <f t="shared" ref="G266:G297" si="65">+C266+E266</f>
        <v>830</v>
      </c>
      <c r="H266" s="19">
        <f t="shared" ref="H266:H297" si="66">+D266+F266</f>
        <v>843.4</v>
      </c>
      <c r="I266" s="24">
        <f t="shared" ref="I266:I297" si="67">+(G266/H266-1)*100</f>
        <v>-1.5888072089162875</v>
      </c>
      <c r="J266">
        <v>4.2</v>
      </c>
    </row>
    <row r="267" spans="1:10" x14ac:dyDescent="0.25">
      <c r="A267" s="48" t="s">
        <v>39</v>
      </c>
      <c r="B267" s="71">
        <f t="shared" si="64"/>
        <v>41060</v>
      </c>
      <c r="C267">
        <v>0</v>
      </c>
      <c r="D267">
        <v>62</v>
      </c>
      <c r="E267">
        <v>830</v>
      </c>
      <c r="F267">
        <v>781.4</v>
      </c>
      <c r="G267" s="19">
        <f t="shared" si="65"/>
        <v>830</v>
      </c>
      <c r="H267" s="19">
        <f t="shared" si="66"/>
        <v>843.4</v>
      </c>
      <c r="I267" s="24">
        <f t="shared" si="67"/>
        <v>-1.5888072089162875</v>
      </c>
    </row>
    <row r="268" spans="1:10" x14ac:dyDescent="0.25">
      <c r="A268" s="48" t="s">
        <v>39</v>
      </c>
      <c r="B268" s="71">
        <f t="shared" si="64"/>
        <v>41067</v>
      </c>
      <c r="C268">
        <v>78.7</v>
      </c>
      <c r="D268">
        <v>136</v>
      </c>
      <c r="E268">
        <v>0.6</v>
      </c>
      <c r="F268">
        <v>63.9</v>
      </c>
      <c r="G268" s="19">
        <f t="shared" si="65"/>
        <v>79.3</v>
      </c>
      <c r="H268" s="19">
        <f t="shared" si="66"/>
        <v>199.9</v>
      </c>
      <c r="I268" s="24">
        <f t="shared" si="67"/>
        <v>-60.330165082541278</v>
      </c>
    </row>
    <row r="269" spans="1:10" x14ac:dyDescent="0.25">
      <c r="A269" s="48" t="s">
        <v>39</v>
      </c>
      <c r="B269" s="71">
        <f t="shared" si="64"/>
        <v>41074</v>
      </c>
      <c r="C269">
        <v>78.099999999999994</v>
      </c>
      <c r="D269">
        <v>136</v>
      </c>
      <c r="E269">
        <v>1.2</v>
      </c>
      <c r="F269">
        <v>63.9</v>
      </c>
      <c r="G269" s="19">
        <f t="shared" si="65"/>
        <v>79.3</v>
      </c>
      <c r="H269" s="19">
        <f t="shared" si="66"/>
        <v>199.9</v>
      </c>
      <c r="I269" s="24">
        <f t="shared" si="67"/>
        <v>-60.330165082541278</v>
      </c>
    </row>
    <row r="270" spans="1:10" x14ac:dyDescent="0.25">
      <c r="A270" s="48" t="s">
        <v>39</v>
      </c>
      <c r="B270" s="71">
        <f t="shared" si="64"/>
        <v>41081</v>
      </c>
      <c r="C270">
        <v>78.099999999999994</v>
      </c>
      <c r="D270">
        <v>126</v>
      </c>
      <c r="E270">
        <v>1.2</v>
      </c>
      <c r="F270">
        <v>74.400000000000006</v>
      </c>
      <c r="G270" s="19">
        <f t="shared" si="65"/>
        <v>79.3</v>
      </c>
      <c r="H270" s="19">
        <f t="shared" si="66"/>
        <v>200.4</v>
      </c>
      <c r="I270" s="24">
        <f t="shared" si="67"/>
        <v>-60.429141716566868</v>
      </c>
    </row>
    <row r="271" spans="1:10" x14ac:dyDescent="0.25">
      <c r="A271" s="48" t="s">
        <v>39</v>
      </c>
      <c r="B271" s="71">
        <f t="shared" si="64"/>
        <v>41088</v>
      </c>
      <c r="C271">
        <v>143.1</v>
      </c>
      <c r="D271">
        <v>105.3</v>
      </c>
      <c r="E271">
        <v>1.2</v>
      </c>
      <c r="F271">
        <v>94.5</v>
      </c>
      <c r="G271" s="19">
        <f t="shared" si="65"/>
        <v>144.29999999999998</v>
      </c>
      <c r="H271" s="19">
        <f t="shared" si="66"/>
        <v>199.8</v>
      </c>
      <c r="I271" s="24">
        <f t="shared" si="67"/>
        <v>-27.777777777777789</v>
      </c>
    </row>
    <row r="272" spans="1:10" x14ac:dyDescent="0.25">
      <c r="A272" s="48" t="s">
        <v>39</v>
      </c>
      <c r="B272" s="71">
        <f t="shared" si="64"/>
        <v>41095</v>
      </c>
      <c r="C272">
        <v>96.1</v>
      </c>
      <c r="D272">
        <v>74.7</v>
      </c>
      <c r="E272">
        <v>48.7</v>
      </c>
      <c r="F272">
        <v>127.6</v>
      </c>
      <c r="G272" s="19">
        <f t="shared" si="65"/>
        <v>144.80000000000001</v>
      </c>
      <c r="H272" s="19">
        <f t="shared" si="66"/>
        <v>202.3</v>
      </c>
      <c r="I272" s="24">
        <f t="shared" si="67"/>
        <v>-28.423133959466142</v>
      </c>
    </row>
    <row r="273" spans="1:9" x14ac:dyDescent="0.25">
      <c r="A273" s="48" t="s">
        <v>39</v>
      </c>
      <c r="B273" s="71">
        <f t="shared" si="64"/>
        <v>41102</v>
      </c>
      <c r="C273">
        <v>96.1</v>
      </c>
      <c r="D273">
        <v>151.4</v>
      </c>
      <c r="E273">
        <v>49.3</v>
      </c>
      <c r="F273">
        <v>167.5</v>
      </c>
      <c r="G273" s="19">
        <f t="shared" si="65"/>
        <v>145.39999999999998</v>
      </c>
      <c r="H273" s="19">
        <f t="shared" si="66"/>
        <v>318.89999999999998</v>
      </c>
      <c r="I273" s="24">
        <f t="shared" si="67"/>
        <v>-54.405769833803696</v>
      </c>
    </row>
    <row r="274" spans="1:9" x14ac:dyDescent="0.25">
      <c r="A274" s="48" t="s">
        <v>39</v>
      </c>
      <c r="B274" s="71">
        <f t="shared" si="64"/>
        <v>41109</v>
      </c>
      <c r="C274">
        <v>106.6</v>
      </c>
      <c r="D274">
        <v>121.4</v>
      </c>
      <c r="E274">
        <v>69.5</v>
      </c>
      <c r="F274">
        <v>194.8</v>
      </c>
      <c r="G274" s="19">
        <f t="shared" si="65"/>
        <v>176.1</v>
      </c>
      <c r="H274" s="19">
        <f t="shared" si="66"/>
        <v>316.20000000000005</v>
      </c>
      <c r="I274" s="24">
        <f t="shared" si="67"/>
        <v>-44.307400379506653</v>
      </c>
    </row>
    <row r="275" spans="1:9" x14ac:dyDescent="0.25">
      <c r="A275" s="48" t="s">
        <v>39</v>
      </c>
      <c r="B275" s="71">
        <f t="shared" si="64"/>
        <v>41116</v>
      </c>
      <c r="C275">
        <v>106.6</v>
      </c>
      <c r="D275">
        <v>121.4</v>
      </c>
      <c r="E275">
        <v>69.5</v>
      </c>
      <c r="F275">
        <v>194.8</v>
      </c>
      <c r="G275" s="19">
        <f t="shared" si="65"/>
        <v>176.1</v>
      </c>
      <c r="H275" s="19">
        <f t="shared" si="66"/>
        <v>316.20000000000005</v>
      </c>
      <c r="I275" s="24">
        <f t="shared" si="67"/>
        <v>-44.307400379506653</v>
      </c>
    </row>
    <row r="276" spans="1:9" x14ac:dyDescent="0.25">
      <c r="A276" s="48" t="s">
        <v>39</v>
      </c>
      <c r="B276" s="71">
        <f t="shared" si="64"/>
        <v>41123</v>
      </c>
      <c r="C276">
        <v>51</v>
      </c>
      <c r="D276">
        <v>121.4</v>
      </c>
      <c r="E276">
        <v>127.8</v>
      </c>
      <c r="F276">
        <v>255.1</v>
      </c>
      <c r="G276" s="19">
        <f t="shared" si="65"/>
        <v>178.8</v>
      </c>
      <c r="H276" s="19">
        <f t="shared" si="66"/>
        <v>376.5</v>
      </c>
      <c r="I276" s="24">
        <f t="shared" si="67"/>
        <v>-52.509960159362542</v>
      </c>
    </row>
    <row r="277" spans="1:9" x14ac:dyDescent="0.25">
      <c r="A277" s="48" t="s">
        <v>39</v>
      </c>
      <c r="B277" s="71">
        <f t="shared" si="64"/>
        <v>41130</v>
      </c>
      <c r="C277">
        <v>204</v>
      </c>
      <c r="D277">
        <v>60.4</v>
      </c>
      <c r="E277">
        <v>127.8</v>
      </c>
      <c r="F277">
        <v>313.5</v>
      </c>
      <c r="G277" s="19">
        <f t="shared" si="65"/>
        <v>331.8</v>
      </c>
      <c r="H277" s="19">
        <f t="shared" si="66"/>
        <v>373.9</v>
      </c>
      <c r="I277" s="24">
        <f t="shared" si="67"/>
        <v>-11.259695105643209</v>
      </c>
    </row>
    <row r="278" spans="1:9" x14ac:dyDescent="0.25">
      <c r="A278" s="48" t="s">
        <v>39</v>
      </c>
      <c r="B278" s="71">
        <f t="shared" si="64"/>
        <v>41137</v>
      </c>
      <c r="C278">
        <v>204</v>
      </c>
      <c r="D278">
        <v>60.4</v>
      </c>
      <c r="E278">
        <v>127.8</v>
      </c>
      <c r="F278">
        <v>313.5</v>
      </c>
      <c r="G278" s="19">
        <f t="shared" si="65"/>
        <v>331.8</v>
      </c>
      <c r="H278" s="19">
        <f t="shared" si="66"/>
        <v>373.9</v>
      </c>
      <c r="I278" s="24">
        <f t="shared" si="67"/>
        <v>-11.259695105643209</v>
      </c>
    </row>
    <row r="279" spans="1:9" x14ac:dyDescent="0.25">
      <c r="A279" s="48" t="s">
        <v>39</v>
      </c>
      <c r="B279" s="71">
        <f t="shared" si="64"/>
        <v>41144</v>
      </c>
      <c r="C279">
        <v>204</v>
      </c>
      <c r="D279">
        <v>60.4</v>
      </c>
      <c r="E279">
        <v>127.8</v>
      </c>
      <c r="F279">
        <v>313.5</v>
      </c>
      <c r="G279" s="19">
        <f t="shared" si="65"/>
        <v>331.8</v>
      </c>
      <c r="H279" s="19">
        <f t="shared" si="66"/>
        <v>373.9</v>
      </c>
      <c r="I279" s="24">
        <f t="shared" si="67"/>
        <v>-11.259695105643209</v>
      </c>
    </row>
    <row r="280" spans="1:9" x14ac:dyDescent="0.25">
      <c r="A280" s="48" t="s">
        <v>39</v>
      </c>
      <c r="B280" s="71">
        <f t="shared" si="64"/>
        <v>41151</v>
      </c>
      <c r="C280">
        <v>139.5</v>
      </c>
      <c r="D280">
        <v>60</v>
      </c>
      <c r="E280">
        <v>204.8</v>
      </c>
      <c r="F280">
        <v>313.89999999999998</v>
      </c>
      <c r="G280" s="19">
        <f t="shared" si="65"/>
        <v>344.3</v>
      </c>
      <c r="H280" s="19">
        <f t="shared" si="66"/>
        <v>373.9</v>
      </c>
      <c r="I280" s="24">
        <f t="shared" si="67"/>
        <v>-7.916555228670763</v>
      </c>
    </row>
    <row r="281" spans="1:9" x14ac:dyDescent="0.25">
      <c r="A281" s="48" t="s">
        <v>39</v>
      </c>
      <c r="B281" s="71">
        <f t="shared" si="64"/>
        <v>41158</v>
      </c>
      <c r="C281">
        <v>139.5</v>
      </c>
      <c r="D281">
        <v>60</v>
      </c>
      <c r="E281">
        <v>204.8</v>
      </c>
      <c r="F281">
        <v>313.89999999999998</v>
      </c>
      <c r="G281" s="19">
        <f t="shared" si="65"/>
        <v>344.3</v>
      </c>
      <c r="H281" s="19">
        <f t="shared" si="66"/>
        <v>373.9</v>
      </c>
      <c r="I281" s="24">
        <f t="shared" si="67"/>
        <v>-7.916555228670763</v>
      </c>
    </row>
    <row r="282" spans="1:9" x14ac:dyDescent="0.25">
      <c r="A282" s="48" t="s">
        <v>39</v>
      </c>
      <c r="B282" s="71">
        <f t="shared" si="64"/>
        <v>41165</v>
      </c>
      <c r="C282">
        <v>96.5</v>
      </c>
      <c r="D282">
        <v>100</v>
      </c>
      <c r="E282">
        <v>249.2</v>
      </c>
      <c r="F282">
        <v>332.9</v>
      </c>
      <c r="G282" s="19">
        <f t="shared" si="65"/>
        <v>345.7</v>
      </c>
      <c r="H282" s="19">
        <f t="shared" si="66"/>
        <v>432.9</v>
      </c>
      <c r="I282" s="24">
        <f t="shared" si="67"/>
        <v>-20.143220143220141</v>
      </c>
    </row>
    <row r="283" spans="1:9" x14ac:dyDescent="0.25">
      <c r="A283" s="48" t="s">
        <v>39</v>
      </c>
      <c r="B283" s="71">
        <f t="shared" si="64"/>
        <v>41172</v>
      </c>
      <c r="C283">
        <v>96.5</v>
      </c>
      <c r="D283">
        <v>100</v>
      </c>
      <c r="E283">
        <v>249.2</v>
      </c>
      <c r="F283">
        <v>332.9</v>
      </c>
      <c r="G283" s="19">
        <f t="shared" si="65"/>
        <v>345.7</v>
      </c>
      <c r="H283" s="19">
        <f t="shared" si="66"/>
        <v>432.9</v>
      </c>
      <c r="I283" s="24">
        <f t="shared" si="67"/>
        <v>-20.143220143220141</v>
      </c>
    </row>
    <row r="284" spans="1:9" x14ac:dyDescent="0.25">
      <c r="A284" s="48" t="s">
        <v>39</v>
      </c>
      <c r="B284" s="71">
        <f t="shared" si="64"/>
        <v>41179</v>
      </c>
      <c r="C284">
        <v>96.5</v>
      </c>
      <c r="D284">
        <v>100</v>
      </c>
      <c r="E284">
        <v>249.2</v>
      </c>
      <c r="F284">
        <v>332.9</v>
      </c>
      <c r="G284" s="19">
        <f t="shared" si="65"/>
        <v>345.7</v>
      </c>
      <c r="H284" s="19">
        <f t="shared" si="66"/>
        <v>432.9</v>
      </c>
      <c r="I284" s="24">
        <f t="shared" si="67"/>
        <v>-20.143220143220141</v>
      </c>
    </row>
    <row r="285" spans="1:9" x14ac:dyDescent="0.25">
      <c r="A285" s="48" t="s">
        <v>39</v>
      </c>
      <c r="B285" s="71">
        <f t="shared" si="64"/>
        <v>41186</v>
      </c>
      <c r="C285">
        <v>96.1</v>
      </c>
      <c r="D285">
        <v>40</v>
      </c>
      <c r="E285">
        <v>249.5</v>
      </c>
      <c r="F285">
        <v>391.9</v>
      </c>
      <c r="G285" s="19">
        <f t="shared" si="65"/>
        <v>345.6</v>
      </c>
      <c r="H285" s="19">
        <f t="shared" si="66"/>
        <v>431.9</v>
      </c>
      <c r="I285" s="24">
        <f t="shared" si="67"/>
        <v>-19.981477193794849</v>
      </c>
    </row>
    <row r="286" spans="1:9" x14ac:dyDescent="0.25">
      <c r="A286" s="48" t="s">
        <v>39</v>
      </c>
      <c r="B286" s="71">
        <f t="shared" si="64"/>
        <v>41193</v>
      </c>
      <c r="C286">
        <v>96</v>
      </c>
      <c r="D286">
        <v>40</v>
      </c>
      <c r="E286">
        <v>249.6</v>
      </c>
      <c r="F286">
        <v>422.3</v>
      </c>
      <c r="G286" s="19">
        <f t="shared" si="65"/>
        <v>345.6</v>
      </c>
      <c r="H286" s="19">
        <f t="shared" si="66"/>
        <v>462.3</v>
      </c>
      <c r="I286" s="24">
        <f t="shared" si="67"/>
        <v>-25.243348475016226</v>
      </c>
    </row>
    <row r="287" spans="1:9" x14ac:dyDescent="0.25">
      <c r="A287" s="48" t="s">
        <v>39</v>
      </c>
      <c r="B287" s="71">
        <f t="shared" si="64"/>
        <v>41200</v>
      </c>
      <c r="C287">
        <v>120.9</v>
      </c>
      <c r="D287">
        <v>50</v>
      </c>
      <c r="E287">
        <v>249.7</v>
      </c>
      <c r="F287">
        <v>422.3</v>
      </c>
      <c r="G287" s="19">
        <f t="shared" si="65"/>
        <v>370.6</v>
      </c>
      <c r="H287" s="19">
        <f t="shared" si="66"/>
        <v>472.3</v>
      </c>
      <c r="I287" s="24">
        <f t="shared" si="67"/>
        <v>-21.532923988990049</v>
      </c>
    </row>
    <row r="288" spans="1:9" x14ac:dyDescent="0.25">
      <c r="A288" s="48" t="s">
        <v>39</v>
      </c>
      <c r="B288" s="71">
        <f t="shared" si="64"/>
        <v>41207</v>
      </c>
      <c r="C288">
        <v>90.5</v>
      </c>
      <c r="D288">
        <v>50</v>
      </c>
      <c r="E288">
        <v>283.2</v>
      </c>
      <c r="F288">
        <v>422.3</v>
      </c>
      <c r="G288" s="19">
        <f t="shared" si="65"/>
        <v>373.7</v>
      </c>
      <c r="H288" s="19">
        <f t="shared" si="66"/>
        <v>472.3</v>
      </c>
      <c r="I288" s="24">
        <f t="shared" si="67"/>
        <v>-20.87656150751641</v>
      </c>
    </row>
    <row r="289" spans="1:9" x14ac:dyDescent="0.25">
      <c r="A289" s="48" t="s">
        <v>39</v>
      </c>
      <c r="B289" s="71">
        <f t="shared" si="64"/>
        <v>41214</v>
      </c>
      <c r="C289">
        <v>25</v>
      </c>
      <c r="D289">
        <v>51</v>
      </c>
      <c r="E289">
        <v>344</v>
      </c>
      <c r="F289">
        <v>422.3</v>
      </c>
      <c r="G289" s="19">
        <f t="shared" si="65"/>
        <v>369</v>
      </c>
      <c r="H289" s="19">
        <f t="shared" si="66"/>
        <v>473.3</v>
      </c>
      <c r="I289" s="24">
        <f t="shared" si="67"/>
        <v>-22.036763152334672</v>
      </c>
    </row>
    <row r="290" spans="1:9" x14ac:dyDescent="0.25">
      <c r="A290" s="48" t="s">
        <v>39</v>
      </c>
      <c r="B290" s="71">
        <f t="shared" si="64"/>
        <v>41221</v>
      </c>
      <c r="C290">
        <v>0</v>
      </c>
      <c r="D290">
        <v>51</v>
      </c>
      <c r="E290">
        <v>368.2</v>
      </c>
      <c r="F290">
        <v>422.3</v>
      </c>
      <c r="G290" s="19">
        <f t="shared" si="65"/>
        <v>368.2</v>
      </c>
      <c r="H290" s="19">
        <f t="shared" si="66"/>
        <v>473.3</v>
      </c>
      <c r="I290" s="24">
        <f t="shared" si="67"/>
        <v>-22.205789140080292</v>
      </c>
    </row>
    <row r="291" spans="1:9" x14ac:dyDescent="0.25">
      <c r="A291" s="48" t="s">
        <v>39</v>
      </c>
      <c r="B291" s="71">
        <f t="shared" si="64"/>
        <v>41228</v>
      </c>
      <c r="C291">
        <v>0</v>
      </c>
      <c r="D291">
        <v>51</v>
      </c>
      <c r="E291">
        <v>368.2</v>
      </c>
      <c r="F291">
        <v>422.3</v>
      </c>
      <c r="G291" s="19">
        <f t="shared" si="65"/>
        <v>368.2</v>
      </c>
      <c r="H291" s="19">
        <f t="shared" si="66"/>
        <v>473.3</v>
      </c>
      <c r="I291" s="24">
        <f t="shared" si="67"/>
        <v>-22.205789140080292</v>
      </c>
    </row>
    <row r="292" spans="1:9" x14ac:dyDescent="0.25">
      <c r="A292" s="48" t="s">
        <v>39</v>
      </c>
      <c r="B292" s="71">
        <f t="shared" si="64"/>
        <v>41235</v>
      </c>
      <c r="C292">
        <v>0</v>
      </c>
      <c r="D292">
        <v>51</v>
      </c>
      <c r="E292">
        <v>368.2</v>
      </c>
      <c r="F292">
        <v>422.3</v>
      </c>
      <c r="G292" s="19">
        <f t="shared" si="65"/>
        <v>368.2</v>
      </c>
      <c r="H292" s="19">
        <f t="shared" si="66"/>
        <v>473.3</v>
      </c>
      <c r="I292" s="24">
        <f t="shared" si="67"/>
        <v>-22.205789140080292</v>
      </c>
    </row>
    <row r="293" spans="1:9" x14ac:dyDescent="0.25">
      <c r="A293" s="48" t="s">
        <v>39</v>
      </c>
      <c r="B293" s="71">
        <f t="shared" si="64"/>
        <v>41242</v>
      </c>
      <c r="C293">
        <v>0</v>
      </c>
      <c r="D293">
        <v>51</v>
      </c>
      <c r="E293">
        <v>368.2</v>
      </c>
      <c r="F293">
        <v>422.3</v>
      </c>
      <c r="G293" s="19">
        <f t="shared" si="65"/>
        <v>368.2</v>
      </c>
      <c r="H293" s="19">
        <f t="shared" si="66"/>
        <v>473.3</v>
      </c>
      <c r="I293" s="24">
        <f t="shared" si="67"/>
        <v>-22.205789140080292</v>
      </c>
    </row>
    <row r="294" spans="1:9" x14ac:dyDescent="0.25">
      <c r="A294" s="48" t="s">
        <v>39</v>
      </c>
      <c r="B294" s="71">
        <f t="shared" si="64"/>
        <v>41249</v>
      </c>
      <c r="C294">
        <v>0</v>
      </c>
      <c r="D294">
        <v>56</v>
      </c>
      <c r="E294">
        <v>368.2</v>
      </c>
      <c r="F294">
        <v>467.8</v>
      </c>
      <c r="G294" s="19">
        <f t="shared" si="65"/>
        <v>368.2</v>
      </c>
      <c r="H294" s="19">
        <f t="shared" si="66"/>
        <v>523.79999999999995</v>
      </c>
      <c r="I294" s="24">
        <f t="shared" si="67"/>
        <v>-29.705994654448254</v>
      </c>
    </row>
    <row r="295" spans="1:9" x14ac:dyDescent="0.25">
      <c r="A295" s="48" t="s">
        <v>39</v>
      </c>
      <c r="B295" s="71">
        <f t="shared" si="64"/>
        <v>41256</v>
      </c>
      <c r="C295">
        <v>0</v>
      </c>
      <c r="D295">
        <v>56</v>
      </c>
      <c r="E295">
        <v>368.2</v>
      </c>
      <c r="F295">
        <v>467.8</v>
      </c>
      <c r="G295" s="19">
        <f t="shared" si="65"/>
        <v>368.2</v>
      </c>
      <c r="H295" s="19">
        <f t="shared" si="66"/>
        <v>523.79999999999995</v>
      </c>
      <c r="I295" s="24">
        <f t="shared" si="67"/>
        <v>-29.705994654448254</v>
      </c>
    </row>
    <row r="296" spans="1:9" x14ac:dyDescent="0.25">
      <c r="A296" s="48" t="s">
        <v>39</v>
      </c>
      <c r="B296" s="71">
        <f t="shared" si="64"/>
        <v>41263</v>
      </c>
      <c r="C296">
        <v>0</v>
      </c>
      <c r="D296">
        <v>55</v>
      </c>
      <c r="E296">
        <v>368.2</v>
      </c>
      <c r="F296">
        <v>468.9</v>
      </c>
      <c r="G296" s="19">
        <f t="shared" si="65"/>
        <v>368.2</v>
      </c>
      <c r="H296" s="19">
        <f t="shared" si="66"/>
        <v>523.9</v>
      </c>
      <c r="I296" s="24">
        <f t="shared" si="67"/>
        <v>-29.719412101546094</v>
      </c>
    </row>
    <row r="297" spans="1:9" x14ac:dyDescent="0.25">
      <c r="A297" s="48" t="s">
        <v>39</v>
      </c>
      <c r="B297" s="71">
        <f t="shared" si="64"/>
        <v>41270</v>
      </c>
      <c r="C297">
        <v>0</v>
      </c>
      <c r="D297">
        <v>55</v>
      </c>
      <c r="E297">
        <v>368.2</v>
      </c>
      <c r="F297">
        <v>468.9</v>
      </c>
      <c r="G297" s="19">
        <f t="shared" si="65"/>
        <v>368.2</v>
      </c>
      <c r="H297" s="19">
        <f t="shared" si="66"/>
        <v>523.9</v>
      </c>
      <c r="I297" s="24">
        <f t="shared" si="67"/>
        <v>-29.719412101546094</v>
      </c>
    </row>
    <row r="298" spans="1:9" x14ac:dyDescent="0.25">
      <c r="A298" s="48" t="s">
        <v>39</v>
      </c>
      <c r="B298" s="71">
        <f t="shared" si="64"/>
        <v>41277</v>
      </c>
      <c r="C298">
        <v>0</v>
      </c>
      <c r="D298">
        <v>55</v>
      </c>
      <c r="E298">
        <v>368.2</v>
      </c>
      <c r="F298">
        <v>468.9</v>
      </c>
      <c r="G298" s="19">
        <f t="shared" ref="G298:G320" si="68">+C298+E298</f>
        <v>368.2</v>
      </c>
      <c r="H298" s="19">
        <f t="shared" ref="H298:H320" si="69">+D298+F298</f>
        <v>523.9</v>
      </c>
      <c r="I298" s="24">
        <f t="shared" ref="I298:I327" si="70">+(G298/H298-1)*100</f>
        <v>-29.719412101546094</v>
      </c>
    </row>
    <row r="299" spans="1:9" x14ac:dyDescent="0.25">
      <c r="A299" s="48" t="s">
        <v>39</v>
      </c>
      <c r="B299" s="71">
        <f t="shared" si="64"/>
        <v>41284</v>
      </c>
      <c r="C299">
        <v>0</v>
      </c>
      <c r="D299">
        <v>120</v>
      </c>
      <c r="E299">
        <v>368.2</v>
      </c>
      <c r="F299">
        <v>468.9</v>
      </c>
      <c r="G299" s="19">
        <f t="shared" si="68"/>
        <v>368.2</v>
      </c>
      <c r="H299" s="19">
        <f t="shared" si="69"/>
        <v>588.9</v>
      </c>
      <c r="I299" s="24">
        <f t="shared" si="70"/>
        <v>-37.476651383936158</v>
      </c>
    </row>
    <row r="300" spans="1:9" x14ac:dyDescent="0.25">
      <c r="A300" s="48" t="s">
        <v>39</v>
      </c>
      <c r="B300" s="71">
        <f t="shared" si="64"/>
        <v>41291</v>
      </c>
      <c r="C300">
        <v>0</v>
      </c>
      <c r="D300">
        <v>181</v>
      </c>
      <c r="E300">
        <v>368.2</v>
      </c>
      <c r="F300">
        <v>468.9</v>
      </c>
      <c r="G300" s="19">
        <f t="shared" si="68"/>
        <v>368.2</v>
      </c>
      <c r="H300" s="19">
        <f t="shared" si="69"/>
        <v>649.9</v>
      </c>
      <c r="I300" s="24">
        <f t="shared" si="70"/>
        <v>-43.345130020003076</v>
      </c>
    </row>
    <row r="301" spans="1:9" x14ac:dyDescent="0.25">
      <c r="A301" s="48" t="s">
        <v>39</v>
      </c>
      <c r="B301" s="71">
        <f t="shared" si="64"/>
        <v>41298</v>
      </c>
      <c r="C301">
        <v>0</v>
      </c>
      <c r="D301">
        <v>116</v>
      </c>
      <c r="E301">
        <v>368.2</v>
      </c>
      <c r="F301">
        <v>537.1</v>
      </c>
      <c r="G301" s="19">
        <f t="shared" si="68"/>
        <v>368.2</v>
      </c>
      <c r="H301" s="19">
        <f t="shared" si="69"/>
        <v>653.1</v>
      </c>
      <c r="I301" s="24">
        <f t="shared" si="70"/>
        <v>-43.622722400857448</v>
      </c>
    </row>
    <row r="302" spans="1:9" x14ac:dyDescent="0.25">
      <c r="A302" s="48" t="s">
        <v>39</v>
      </c>
      <c r="B302" s="71">
        <f t="shared" si="64"/>
        <v>41305</v>
      </c>
      <c r="C302">
        <v>0</v>
      </c>
      <c r="D302">
        <v>55.1</v>
      </c>
      <c r="E302">
        <v>368.2</v>
      </c>
      <c r="F302">
        <v>601.1</v>
      </c>
      <c r="G302" s="19">
        <f t="shared" si="68"/>
        <v>368.2</v>
      </c>
      <c r="H302" s="19">
        <f t="shared" si="69"/>
        <v>656.2</v>
      </c>
      <c r="I302" s="24">
        <f t="shared" si="70"/>
        <v>-43.889058213959167</v>
      </c>
    </row>
    <row r="303" spans="1:9" x14ac:dyDescent="0.25">
      <c r="A303" s="48" t="s">
        <v>39</v>
      </c>
      <c r="B303" s="71">
        <f t="shared" si="64"/>
        <v>41312</v>
      </c>
      <c r="C303">
        <v>65</v>
      </c>
      <c r="D303">
        <v>75.099999999999994</v>
      </c>
      <c r="E303">
        <v>368.2</v>
      </c>
      <c r="F303">
        <v>601.1</v>
      </c>
      <c r="G303" s="19">
        <f t="shared" si="68"/>
        <v>433.2</v>
      </c>
      <c r="H303" s="19">
        <f t="shared" si="69"/>
        <v>676.2</v>
      </c>
      <c r="I303" s="24">
        <f t="shared" si="70"/>
        <v>-35.936113575865136</v>
      </c>
    </row>
    <row r="304" spans="1:9" x14ac:dyDescent="0.25">
      <c r="A304" s="48" t="s">
        <v>39</v>
      </c>
      <c r="B304" s="71">
        <f t="shared" si="64"/>
        <v>41319</v>
      </c>
      <c r="C304">
        <v>0</v>
      </c>
      <c r="D304">
        <v>75.099999999999994</v>
      </c>
      <c r="E304">
        <v>434.2</v>
      </c>
      <c r="F304">
        <v>601.1</v>
      </c>
      <c r="G304" s="19">
        <f t="shared" si="68"/>
        <v>434.2</v>
      </c>
      <c r="H304" s="19">
        <f t="shared" si="69"/>
        <v>676.2</v>
      </c>
      <c r="I304" s="24">
        <f t="shared" si="70"/>
        <v>-35.788228334812189</v>
      </c>
    </row>
    <row r="305" spans="1:9" x14ac:dyDescent="0.25">
      <c r="A305" s="48" t="s">
        <v>39</v>
      </c>
      <c r="B305" s="71">
        <f t="shared" si="64"/>
        <v>41326</v>
      </c>
      <c r="C305">
        <v>0</v>
      </c>
      <c r="D305">
        <v>94.1</v>
      </c>
      <c r="E305">
        <v>434.2</v>
      </c>
      <c r="F305">
        <v>601.1</v>
      </c>
      <c r="G305" s="19">
        <f t="shared" si="68"/>
        <v>434.2</v>
      </c>
      <c r="H305" s="19">
        <f t="shared" si="69"/>
        <v>695.2</v>
      </c>
      <c r="I305" s="24">
        <f t="shared" si="70"/>
        <v>-37.543153049482171</v>
      </c>
    </row>
    <row r="306" spans="1:9" x14ac:dyDescent="0.25">
      <c r="A306" s="48" t="s">
        <v>39</v>
      </c>
      <c r="B306" s="71">
        <f t="shared" si="64"/>
        <v>41333</v>
      </c>
      <c r="C306">
        <v>1.2</v>
      </c>
      <c r="D306">
        <v>94.1</v>
      </c>
      <c r="E306">
        <v>434.2</v>
      </c>
      <c r="F306">
        <v>601.1</v>
      </c>
      <c r="G306" s="19">
        <f t="shared" si="68"/>
        <v>435.4</v>
      </c>
      <c r="H306" s="19">
        <f t="shared" si="69"/>
        <v>695.2</v>
      </c>
      <c r="I306" s="24">
        <f t="shared" si="70"/>
        <v>-37.370540851553514</v>
      </c>
    </row>
    <row r="307" spans="1:9" x14ac:dyDescent="0.25">
      <c r="A307" s="48" t="s">
        <v>39</v>
      </c>
      <c r="B307" s="71">
        <f t="shared" si="64"/>
        <v>41340</v>
      </c>
      <c r="C307">
        <v>1.2</v>
      </c>
      <c r="D307">
        <v>76</v>
      </c>
      <c r="E307">
        <v>434.2</v>
      </c>
      <c r="F307">
        <v>643.6</v>
      </c>
      <c r="G307" s="19">
        <f t="shared" si="68"/>
        <v>435.4</v>
      </c>
      <c r="H307" s="19">
        <f t="shared" si="69"/>
        <v>719.6</v>
      </c>
      <c r="I307" s="24">
        <f t="shared" si="70"/>
        <v>-39.494163424124515</v>
      </c>
    </row>
    <row r="308" spans="1:9" x14ac:dyDescent="0.25">
      <c r="A308" s="48" t="s">
        <v>39</v>
      </c>
      <c r="B308" s="71">
        <f t="shared" si="64"/>
        <v>41347</v>
      </c>
      <c r="C308">
        <v>1.2</v>
      </c>
      <c r="D308">
        <v>79.400000000000006</v>
      </c>
      <c r="E308">
        <v>434.2</v>
      </c>
      <c r="F308">
        <v>654.4</v>
      </c>
      <c r="G308" s="19">
        <f t="shared" si="68"/>
        <v>435.4</v>
      </c>
      <c r="H308" s="19">
        <f t="shared" si="69"/>
        <v>733.8</v>
      </c>
      <c r="I308" s="24">
        <f t="shared" si="70"/>
        <v>-40.66503134369038</v>
      </c>
    </row>
    <row r="309" spans="1:9" x14ac:dyDescent="0.25">
      <c r="A309" s="48" t="s">
        <v>39</v>
      </c>
      <c r="B309" s="71">
        <f t="shared" si="64"/>
        <v>41354</v>
      </c>
      <c r="C309">
        <v>0</v>
      </c>
      <c r="D309">
        <v>31</v>
      </c>
      <c r="E309">
        <v>435.4</v>
      </c>
      <c r="F309">
        <v>704.6</v>
      </c>
      <c r="G309" s="19">
        <f t="shared" si="68"/>
        <v>435.4</v>
      </c>
      <c r="H309" s="19">
        <f t="shared" si="69"/>
        <v>735.6</v>
      </c>
      <c r="I309" s="24">
        <f t="shared" si="70"/>
        <v>-40.810222947253948</v>
      </c>
    </row>
    <row r="310" spans="1:9" x14ac:dyDescent="0.25">
      <c r="A310" s="48" t="s">
        <v>39</v>
      </c>
      <c r="B310" s="71">
        <f t="shared" si="64"/>
        <v>41361</v>
      </c>
      <c r="C310">
        <v>0</v>
      </c>
      <c r="D310">
        <v>56</v>
      </c>
      <c r="E310">
        <v>435.4</v>
      </c>
      <c r="F310">
        <v>704.6</v>
      </c>
      <c r="G310" s="19">
        <f t="shared" si="68"/>
        <v>435.4</v>
      </c>
      <c r="H310" s="19">
        <f t="shared" si="69"/>
        <v>760.6</v>
      </c>
      <c r="I310" s="24">
        <f t="shared" si="70"/>
        <v>-42.755719169077047</v>
      </c>
    </row>
    <row r="311" spans="1:9" x14ac:dyDescent="0.25">
      <c r="A311" s="48" t="s">
        <v>39</v>
      </c>
      <c r="B311" s="71">
        <f t="shared" si="64"/>
        <v>41368</v>
      </c>
      <c r="C311">
        <v>0</v>
      </c>
      <c r="D311">
        <v>56</v>
      </c>
      <c r="E311">
        <v>435.4</v>
      </c>
      <c r="F311">
        <v>704.6</v>
      </c>
      <c r="G311" s="19">
        <f t="shared" si="68"/>
        <v>435.4</v>
      </c>
      <c r="H311" s="19">
        <f t="shared" si="69"/>
        <v>760.6</v>
      </c>
      <c r="I311" s="24">
        <f t="shared" si="70"/>
        <v>-42.755719169077047</v>
      </c>
    </row>
    <row r="312" spans="1:9" x14ac:dyDescent="0.25">
      <c r="A312" s="48" t="s">
        <v>39</v>
      </c>
      <c r="B312" s="71">
        <f t="shared" si="64"/>
        <v>41375</v>
      </c>
      <c r="C312">
        <v>0</v>
      </c>
      <c r="D312">
        <v>56.7</v>
      </c>
      <c r="E312">
        <v>435.4</v>
      </c>
      <c r="F312">
        <v>704.6</v>
      </c>
      <c r="G312" s="19">
        <f t="shared" si="68"/>
        <v>435.4</v>
      </c>
      <c r="H312" s="19">
        <f t="shared" si="69"/>
        <v>761.30000000000007</v>
      </c>
      <c r="I312" s="24">
        <f t="shared" si="70"/>
        <v>-42.808354131091562</v>
      </c>
    </row>
    <row r="313" spans="1:9" x14ac:dyDescent="0.25">
      <c r="A313" s="48" t="s">
        <v>39</v>
      </c>
      <c r="B313" s="71">
        <f t="shared" si="64"/>
        <v>41382</v>
      </c>
      <c r="C313">
        <v>0</v>
      </c>
      <c r="D313">
        <v>56.7</v>
      </c>
      <c r="E313">
        <v>435.4</v>
      </c>
      <c r="F313">
        <v>704.6</v>
      </c>
      <c r="G313" s="19">
        <f t="shared" si="68"/>
        <v>435.4</v>
      </c>
      <c r="H313" s="19">
        <f t="shared" si="69"/>
        <v>761.30000000000007</v>
      </c>
      <c r="I313" s="24">
        <f t="shared" si="70"/>
        <v>-42.808354131091562</v>
      </c>
    </row>
    <row r="314" spans="1:9" x14ac:dyDescent="0.25">
      <c r="A314" s="48" t="s">
        <v>39</v>
      </c>
      <c r="B314" s="71">
        <f t="shared" si="64"/>
        <v>41389</v>
      </c>
      <c r="C314">
        <v>0</v>
      </c>
      <c r="D314">
        <v>121.7</v>
      </c>
      <c r="E314">
        <v>435.4</v>
      </c>
      <c r="F314">
        <v>704.6</v>
      </c>
      <c r="G314" s="19">
        <f t="shared" si="68"/>
        <v>435.4</v>
      </c>
      <c r="H314" s="19">
        <f t="shared" si="69"/>
        <v>826.30000000000007</v>
      </c>
      <c r="I314" s="24">
        <f t="shared" si="70"/>
        <v>-47.307273387389571</v>
      </c>
    </row>
    <row r="315" spans="1:9" x14ac:dyDescent="0.25">
      <c r="A315" s="48" t="s">
        <v>39</v>
      </c>
      <c r="B315" s="71">
        <f t="shared" si="64"/>
        <v>41396</v>
      </c>
      <c r="C315">
        <v>0</v>
      </c>
      <c r="D315">
        <v>117.2</v>
      </c>
      <c r="E315">
        <v>501.2</v>
      </c>
      <c r="F315">
        <v>709.9</v>
      </c>
      <c r="G315" s="19">
        <f t="shared" si="68"/>
        <v>501.2</v>
      </c>
      <c r="H315" s="19">
        <f t="shared" si="69"/>
        <v>827.1</v>
      </c>
      <c r="I315" s="24">
        <f t="shared" si="70"/>
        <v>-39.402732438641038</v>
      </c>
    </row>
    <row r="316" spans="1:9" x14ac:dyDescent="0.25">
      <c r="A316" s="48" t="s">
        <v>39</v>
      </c>
      <c r="B316" s="71">
        <f t="shared" si="64"/>
        <v>41403</v>
      </c>
      <c r="C316">
        <v>0</v>
      </c>
      <c r="D316">
        <v>57.2</v>
      </c>
      <c r="E316">
        <v>533.70000000000005</v>
      </c>
      <c r="F316">
        <v>771.1</v>
      </c>
      <c r="G316" s="19">
        <f t="shared" si="68"/>
        <v>533.70000000000005</v>
      </c>
      <c r="H316" s="19">
        <f t="shared" si="69"/>
        <v>828.30000000000007</v>
      </c>
      <c r="I316" s="24">
        <f t="shared" si="70"/>
        <v>-35.566823614632384</v>
      </c>
    </row>
    <row r="317" spans="1:9" x14ac:dyDescent="0.25">
      <c r="A317" s="48" t="s">
        <v>39</v>
      </c>
      <c r="B317" s="71">
        <f t="shared" si="64"/>
        <v>41410</v>
      </c>
      <c r="C317">
        <v>0</v>
      </c>
      <c r="D317">
        <v>31.6</v>
      </c>
      <c r="E317">
        <v>533.70000000000005</v>
      </c>
      <c r="F317">
        <v>798.4</v>
      </c>
      <c r="G317" s="19">
        <f t="shared" si="68"/>
        <v>533.70000000000005</v>
      </c>
      <c r="H317" s="19">
        <f t="shared" si="69"/>
        <v>830</v>
      </c>
      <c r="I317" s="24">
        <f t="shared" si="70"/>
        <v>-35.69879518072289</v>
      </c>
    </row>
    <row r="318" spans="1:9" x14ac:dyDescent="0.25">
      <c r="A318" s="48" t="s">
        <v>39</v>
      </c>
      <c r="B318" s="71">
        <f t="shared" si="64"/>
        <v>41417</v>
      </c>
      <c r="C318">
        <v>0</v>
      </c>
      <c r="D318">
        <v>0.1</v>
      </c>
      <c r="E318">
        <v>533.70000000000005</v>
      </c>
      <c r="F318">
        <v>829.9</v>
      </c>
      <c r="G318" s="19">
        <f t="shared" si="68"/>
        <v>533.70000000000005</v>
      </c>
      <c r="H318" s="19">
        <f t="shared" si="69"/>
        <v>830</v>
      </c>
      <c r="I318" s="24">
        <f t="shared" si="70"/>
        <v>-35.69879518072289</v>
      </c>
    </row>
    <row r="319" spans="1:9" x14ac:dyDescent="0.25">
      <c r="A319" s="48" t="s">
        <v>39</v>
      </c>
      <c r="B319" s="71">
        <f t="shared" si="64"/>
        <v>41424</v>
      </c>
      <c r="C319">
        <v>0</v>
      </c>
      <c r="D319">
        <v>0</v>
      </c>
      <c r="E319">
        <v>533.70000000000005</v>
      </c>
      <c r="F319">
        <v>830</v>
      </c>
      <c r="G319" s="19">
        <f t="shared" si="68"/>
        <v>533.70000000000005</v>
      </c>
      <c r="H319" s="19">
        <f t="shared" si="69"/>
        <v>830</v>
      </c>
      <c r="I319" s="24">
        <f t="shared" si="70"/>
        <v>-35.69879518072289</v>
      </c>
    </row>
    <row r="320" spans="1:9" x14ac:dyDescent="0.25">
      <c r="A320" s="48" t="s">
        <v>39</v>
      </c>
      <c r="B320" s="71">
        <f t="shared" si="64"/>
        <v>41431</v>
      </c>
      <c r="C320">
        <v>0</v>
      </c>
      <c r="D320">
        <v>78.7</v>
      </c>
      <c r="E320">
        <v>0</v>
      </c>
      <c r="F320">
        <v>0.6</v>
      </c>
      <c r="G320" s="84">
        <f t="shared" si="68"/>
        <v>0</v>
      </c>
      <c r="H320" s="84">
        <f t="shared" si="69"/>
        <v>79.3</v>
      </c>
      <c r="I320" s="24">
        <f t="shared" si="70"/>
        <v>-100</v>
      </c>
    </row>
    <row r="321" spans="1:12" x14ac:dyDescent="0.25">
      <c r="A321" s="48" t="s">
        <v>39</v>
      </c>
      <c r="B321" s="71">
        <f t="shared" si="64"/>
        <v>41438</v>
      </c>
      <c r="I321" s="24" t="e">
        <f t="shared" si="70"/>
        <v>#DIV/0!</v>
      </c>
    </row>
    <row r="322" spans="1:12" x14ac:dyDescent="0.25">
      <c r="A322" s="48" t="s">
        <v>39</v>
      </c>
      <c r="B322" s="71">
        <f t="shared" si="64"/>
        <v>41445</v>
      </c>
      <c r="C322">
        <v>40</v>
      </c>
      <c r="D322">
        <v>78.099999999999994</v>
      </c>
      <c r="E322">
        <v>0</v>
      </c>
      <c r="F322">
        <v>1.2</v>
      </c>
      <c r="G322" s="84">
        <f t="shared" ref="G322:H324" si="71">+C322+E322</f>
        <v>40</v>
      </c>
      <c r="H322" s="84">
        <f t="shared" si="71"/>
        <v>79.3</v>
      </c>
      <c r="I322" s="24">
        <f t="shared" si="70"/>
        <v>-49.558638083228246</v>
      </c>
    </row>
    <row r="323" spans="1:12" x14ac:dyDescent="0.25">
      <c r="A323" s="48" t="s">
        <v>39</v>
      </c>
      <c r="B323" s="71">
        <f t="shared" si="64"/>
        <v>41452</v>
      </c>
      <c r="C323">
        <v>40</v>
      </c>
      <c r="D323">
        <v>143.1</v>
      </c>
      <c r="E323">
        <v>0</v>
      </c>
      <c r="F323">
        <v>1.2</v>
      </c>
      <c r="G323" s="84">
        <f t="shared" si="71"/>
        <v>40</v>
      </c>
      <c r="H323" s="84">
        <f t="shared" si="71"/>
        <v>144.29999999999998</v>
      </c>
      <c r="I323" s="24">
        <f t="shared" si="70"/>
        <v>-72.27997227997227</v>
      </c>
    </row>
    <row r="324" spans="1:12" x14ac:dyDescent="0.25">
      <c r="A324" s="48" t="s">
        <v>39</v>
      </c>
      <c r="B324" s="71">
        <f t="shared" si="64"/>
        <v>41459</v>
      </c>
      <c r="C324">
        <v>40</v>
      </c>
      <c r="D324">
        <v>96.1</v>
      </c>
      <c r="E324">
        <v>57.8</v>
      </c>
      <c r="F324">
        <v>48.7</v>
      </c>
      <c r="G324" s="84">
        <f t="shared" si="71"/>
        <v>97.8</v>
      </c>
      <c r="H324" s="84">
        <f t="shared" si="71"/>
        <v>144.80000000000001</v>
      </c>
      <c r="I324" s="24">
        <f t="shared" si="70"/>
        <v>-32.458563535911608</v>
      </c>
    </row>
    <row r="325" spans="1:12" x14ac:dyDescent="0.25">
      <c r="A325" s="48" t="s">
        <v>39</v>
      </c>
      <c r="B325" s="71">
        <f t="shared" si="64"/>
        <v>41466</v>
      </c>
      <c r="C325">
        <v>40</v>
      </c>
      <c r="D325">
        <v>96.1</v>
      </c>
      <c r="E325">
        <v>126</v>
      </c>
      <c r="F325">
        <v>49.3</v>
      </c>
      <c r="G325" s="84">
        <f t="shared" ref="G325:H327" si="72">+C325+E325</f>
        <v>166</v>
      </c>
      <c r="H325" s="84">
        <f t="shared" si="72"/>
        <v>145.39999999999998</v>
      </c>
      <c r="I325" s="24">
        <f t="shared" si="70"/>
        <v>14.167812929848722</v>
      </c>
    </row>
    <row r="326" spans="1:12" x14ac:dyDescent="0.25">
      <c r="A326" s="48" t="s">
        <v>39</v>
      </c>
      <c r="B326" s="71">
        <f t="shared" si="64"/>
        <v>41473</v>
      </c>
      <c r="C326">
        <v>57</v>
      </c>
      <c r="D326">
        <v>106.6</v>
      </c>
      <c r="E326">
        <v>126</v>
      </c>
      <c r="F326">
        <v>69.5</v>
      </c>
      <c r="G326" s="84">
        <f t="shared" si="72"/>
        <v>183</v>
      </c>
      <c r="H326" s="84">
        <f t="shared" si="72"/>
        <v>176.1</v>
      </c>
      <c r="I326" s="24">
        <f t="shared" si="70"/>
        <v>3.9182282793867262</v>
      </c>
    </row>
    <row r="327" spans="1:12" x14ac:dyDescent="0.25">
      <c r="A327" s="48" t="s">
        <v>39</v>
      </c>
      <c r="B327" s="71">
        <f t="shared" si="64"/>
        <v>41480</v>
      </c>
      <c r="C327">
        <v>54</v>
      </c>
      <c r="D327">
        <v>106.6</v>
      </c>
      <c r="E327">
        <v>126</v>
      </c>
      <c r="F327">
        <v>69.5</v>
      </c>
      <c r="G327" s="84">
        <f t="shared" si="72"/>
        <v>180</v>
      </c>
      <c r="H327" s="84">
        <f t="shared" si="72"/>
        <v>176.1</v>
      </c>
      <c r="I327" s="24">
        <f t="shared" si="70"/>
        <v>2.2146507666098936</v>
      </c>
    </row>
    <row r="328" spans="1:12" x14ac:dyDescent="0.25">
      <c r="A328" s="48" t="s">
        <v>39</v>
      </c>
      <c r="B328" s="71">
        <f t="shared" si="64"/>
        <v>41487</v>
      </c>
      <c r="C328">
        <v>84</v>
      </c>
      <c r="D328">
        <v>51</v>
      </c>
      <c r="E328">
        <v>126</v>
      </c>
      <c r="F328">
        <v>127.8</v>
      </c>
      <c r="G328" s="84">
        <f t="shared" ref="G328:H337" si="73">+C328+E328</f>
        <v>210</v>
      </c>
      <c r="H328" s="84">
        <f t="shared" si="73"/>
        <v>178.8</v>
      </c>
      <c r="I328" s="24">
        <f t="shared" ref="I328:I337" si="74">+(G328/H328-1)*100</f>
        <v>17.449664429530198</v>
      </c>
    </row>
    <row r="329" spans="1:12" x14ac:dyDescent="0.25">
      <c r="A329" s="48" t="s">
        <v>39</v>
      </c>
      <c r="B329" s="71">
        <f t="shared" si="64"/>
        <v>41494</v>
      </c>
      <c r="C329">
        <v>84</v>
      </c>
      <c r="D329">
        <v>204</v>
      </c>
      <c r="E329">
        <v>126</v>
      </c>
      <c r="F329">
        <v>127.8</v>
      </c>
      <c r="G329" s="84">
        <f t="shared" si="73"/>
        <v>210</v>
      </c>
      <c r="H329" s="84">
        <f t="shared" si="73"/>
        <v>331.8</v>
      </c>
      <c r="I329" s="24">
        <f t="shared" si="74"/>
        <v>-36.708860759493675</v>
      </c>
    </row>
    <row r="330" spans="1:12" x14ac:dyDescent="0.25">
      <c r="A330" s="48" t="s">
        <v>39</v>
      </c>
      <c r="B330" s="71">
        <f t="shared" ref="B330:B381" si="75">+B329+7</f>
        <v>41501</v>
      </c>
      <c r="C330">
        <v>44</v>
      </c>
      <c r="D330">
        <v>204</v>
      </c>
      <c r="E330">
        <v>170</v>
      </c>
      <c r="F330">
        <v>127.8</v>
      </c>
      <c r="G330" s="84">
        <f t="shared" si="73"/>
        <v>214</v>
      </c>
      <c r="H330" s="84">
        <f t="shared" si="73"/>
        <v>331.8</v>
      </c>
      <c r="I330" s="24">
        <f t="shared" si="74"/>
        <v>-35.503315250150692</v>
      </c>
    </row>
    <row r="331" spans="1:12" x14ac:dyDescent="0.25">
      <c r="A331" s="48" t="s">
        <v>39</v>
      </c>
      <c r="B331" s="71">
        <f t="shared" si="75"/>
        <v>41508</v>
      </c>
      <c r="C331">
        <v>102</v>
      </c>
      <c r="D331">
        <v>204</v>
      </c>
      <c r="E331">
        <v>178</v>
      </c>
      <c r="F331">
        <v>127.8</v>
      </c>
      <c r="G331" s="84">
        <f t="shared" si="73"/>
        <v>280</v>
      </c>
      <c r="H331" s="84">
        <f t="shared" si="73"/>
        <v>331.8</v>
      </c>
      <c r="I331" s="24">
        <f t="shared" si="74"/>
        <v>-15.61181434599156</v>
      </c>
    </row>
    <row r="332" spans="1:12" x14ac:dyDescent="0.25">
      <c r="A332" s="48" t="s">
        <v>39</v>
      </c>
      <c r="B332" s="71">
        <f t="shared" si="75"/>
        <v>41515</v>
      </c>
      <c r="C332">
        <v>160</v>
      </c>
      <c r="D332">
        <v>139.5</v>
      </c>
      <c r="E332">
        <v>185.4</v>
      </c>
      <c r="F332">
        <v>204.8</v>
      </c>
      <c r="G332" s="84">
        <f t="shared" si="73"/>
        <v>345.4</v>
      </c>
      <c r="H332" s="84">
        <f t="shared" si="73"/>
        <v>344.3</v>
      </c>
      <c r="I332" s="24">
        <f t="shared" si="74"/>
        <v>0.31948881789136685</v>
      </c>
    </row>
    <row r="333" spans="1:12" x14ac:dyDescent="0.25">
      <c r="A333" s="48" t="s">
        <v>39</v>
      </c>
      <c r="B333" s="71">
        <f t="shared" si="75"/>
        <v>41522</v>
      </c>
      <c r="C333">
        <v>160</v>
      </c>
      <c r="D333">
        <v>139.5</v>
      </c>
      <c r="E333">
        <v>185.4</v>
      </c>
      <c r="F333">
        <v>204.8</v>
      </c>
      <c r="G333" s="84">
        <f t="shared" si="73"/>
        <v>345.4</v>
      </c>
      <c r="H333" s="84">
        <f t="shared" si="73"/>
        <v>344.3</v>
      </c>
      <c r="I333" s="24">
        <f t="shared" si="74"/>
        <v>0.31948881789136685</v>
      </c>
    </row>
    <row r="334" spans="1:12" x14ac:dyDescent="0.25">
      <c r="A334" s="48" t="s">
        <v>39</v>
      </c>
      <c r="B334" s="71">
        <f t="shared" si="75"/>
        <v>41529</v>
      </c>
      <c r="C334">
        <v>160</v>
      </c>
      <c r="D334">
        <v>96.5</v>
      </c>
      <c r="E334">
        <v>185.4</v>
      </c>
      <c r="F334">
        <v>249.2</v>
      </c>
      <c r="G334" s="84">
        <f t="shared" si="73"/>
        <v>345.4</v>
      </c>
      <c r="H334" s="84">
        <f t="shared" si="73"/>
        <v>345.7</v>
      </c>
      <c r="I334" s="24">
        <f t="shared" si="74"/>
        <v>-8.6780445472955936E-2</v>
      </c>
    </row>
    <row r="335" spans="1:12" x14ac:dyDescent="0.25">
      <c r="A335" s="48" t="s">
        <v>39</v>
      </c>
      <c r="B335" s="71">
        <f t="shared" si="75"/>
        <v>41536</v>
      </c>
      <c r="C335">
        <v>150</v>
      </c>
      <c r="D335">
        <v>96.5</v>
      </c>
      <c r="E335">
        <v>272.89999999999998</v>
      </c>
      <c r="F335">
        <v>249.2</v>
      </c>
      <c r="G335" s="84">
        <f t="shared" si="73"/>
        <v>422.9</v>
      </c>
      <c r="H335" s="84">
        <f t="shared" si="73"/>
        <v>345.7</v>
      </c>
      <c r="I335" s="24">
        <f t="shared" si="74"/>
        <v>22.33150130170667</v>
      </c>
    </row>
    <row r="336" spans="1:12" ht="15" x14ac:dyDescent="0.25">
      <c r="A336" s="48" t="s">
        <v>39</v>
      </c>
      <c r="B336" s="71">
        <f t="shared" si="75"/>
        <v>41543</v>
      </c>
      <c r="C336">
        <v>120</v>
      </c>
      <c r="D336">
        <v>96.5</v>
      </c>
      <c r="E336">
        <v>304.10000000000002</v>
      </c>
      <c r="F336">
        <v>249.2</v>
      </c>
      <c r="G336" s="84">
        <f t="shared" si="73"/>
        <v>424.1</v>
      </c>
      <c r="H336" s="84">
        <f t="shared" si="73"/>
        <v>345.7</v>
      </c>
      <c r="I336" s="24">
        <f t="shared" si="74"/>
        <v>22.678623083598517</v>
      </c>
      <c r="L336" s="75"/>
    </row>
    <row r="337" spans="1:12" x14ac:dyDescent="0.25">
      <c r="A337" s="48" t="s">
        <v>39</v>
      </c>
      <c r="B337" s="71">
        <f t="shared" si="75"/>
        <v>41550</v>
      </c>
      <c r="C337">
        <v>55</v>
      </c>
      <c r="D337">
        <v>96.1</v>
      </c>
      <c r="E337">
        <v>389.3</v>
      </c>
      <c r="F337">
        <v>249.5</v>
      </c>
      <c r="G337" s="84">
        <f t="shared" si="73"/>
        <v>444.3</v>
      </c>
      <c r="H337" s="84">
        <f t="shared" si="73"/>
        <v>345.6</v>
      </c>
      <c r="I337" s="24">
        <f t="shared" si="74"/>
        <v>28.559027777777768</v>
      </c>
    </row>
    <row r="338" spans="1:12" x14ac:dyDescent="0.25">
      <c r="A338" s="48" t="s">
        <v>39</v>
      </c>
      <c r="B338" s="71">
        <f t="shared" si="75"/>
        <v>41557</v>
      </c>
    </row>
    <row r="339" spans="1:12" x14ac:dyDescent="0.25">
      <c r="A339" s="48" t="s">
        <v>39</v>
      </c>
      <c r="B339" s="71">
        <f t="shared" si="75"/>
        <v>41564</v>
      </c>
    </row>
    <row r="340" spans="1:12" x14ac:dyDescent="0.25">
      <c r="A340" s="48" t="s">
        <v>39</v>
      </c>
      <c r="B340" s="71">
        <f t="shared" si="75"/>
        <v>41571</v>
      </c>
      <c r="C340">
        <v>55.5</v>
      </c>
      <c r="D340">
        <v>90.5</v>
      </c>
      <c r="E340">
        <v>446.5</v>
      </c>
      <c r="F340">
        <v>283.2</v>
      </c>
      <c r="G340" s="84">
        <f t="shared" ref="G340:H342" si="76">+C340+E340</f>
        <v>502</v>
      </c>
      <c r="H340" s="84">
        <f t="shared" si="76"/>
        <v>373.7</v>
      </c>
      <c r="I340" s="24">
        <f>+(G340/H340-1)*100</f>
        <v>34.332352154134327</v>
      </c>
    </row>
    <row r="341" spans="1:12" x14ac:dyDescent="0.25">
      <c r="A341" s="48" t="s">
        <v>39</v>
      </c>
      <c r="B341" s="71">
        <f t="shared" si="75"/>
        <v>41578</v>
      </c>
      <c r="C341">
        <v>55.5</v>
      </c>
      <c r="D341">
        <v>25</v>
      </c>
      <c r="E341">
        <v>446.5</v>
      </c>
      <c r="F341">
        <v>344</v>
      </c>
      <c r="G341" s="84">
        <f t="shared" si="76"/>
        <v>502</v>
      </c>
      <c r="H341" s="84">
        <f t="shared" si="76"/>
        <v>369</v>
      </c>
      <c r="I341" s="24">
        <f>+(G341/H341-1)*100</f>
        <v>36.043360433604342</v>
      </c>
    </row>
    <row r="342" spans="1:12" ht="15" x14ac:dyDescent="0.25">
      <c r="A342" s="48" t="s">
        <v>39</v>
      </c>
      <c r="B342" s="71">
        <f t="shared" si="75"/>
        <v>41585</v>
      </c>
      <c r="C342">
        <v>95.5</v>
      </c>
      <c r="D342">
        <v>0</v>
      </c>
      <c r="E342">
        <v>446.5</v>
      </c>
      <c r="F342">
        <v>368.2</v>
      </c>
      <c r="G342" s="84">
        <f t="shared" si="76"/>
        <v>542</v>
      </c>
      <c r="H342" s="84">
        <f t="shared" si="76"/>
        <v>368.2</v>
      </c>
      <c r="I342" s="24">
        <f>+(G342/H342-1)*100</f>
        <v>47.202607278652906</v>
      </c>
      <c r="L342" s="75"/>
    </row>
    <row r="343" spans="1:12" x14ac:dyDescent="0.25">
      <c r="A343" s="48" t="s">
        <v>39</v>
      </c>
      <c r="B343" s="71">
        <f t="shared" si="75"/>
        <v>41592</v>
      </c>
      <c r="C343">
        <v>40.5</v>
      </c>
      <c r="D343">
        <v>0</v>
      </c>
      <c r="E343">
        <v>504.2</v>
      </c>
      <c r="F343">
        <v>368.2</v>
      </c>
      <c r="G343" s="84">
        <f>+C343+E343</f>
        <v>544.70000000000005</v>
      </c>
      <c r="H343" s="84">
        <f>+D343+F343</f>
        <v>368.2</v>
      </c>
      <c r="I343" s="24">
        <f>+(G343/H343-1)*100</f>
        <v>47.93590439978275</v>
      </c>
    </row>
    <row r="344" spans="1:12" x14ac:dyDescent="0.25">
      <c r="A344" s="48" t="s">
        <v>39</v>
      </c>
      <c r="B344" s="71">
        <f t="shared" si="75"/>
        <v>41599</v>
      </c>
      <c r="C344">
        <v>40.5</v>
      </c>
      <c r="D344">
        <v>0</v>
      </c>
      <c r="E344">
        <v>504.2</v>
      </c>
      <c r="F344">
        <v>369.2</v>
      </c>
      <c r="G344" s="84">
        <f>+C344+E344</f>
        <v>544.70000000000005</v>
      </c>
      <c r="H344" s="84">
        <f>+D344+F344</f>
        <v>369.2</v>
      </c>
      <c r="I344" s="24">
        <f>+(G344/H344-1)*100</f>
        <v>47.535211267605646</v>
      </c>
    </row>
    <row r="345" spans="1:12" x14ac:dyDescent="0.25">
      <c r="A345" s="48" t="s">
        <v>39</v>
      </c>
      <c r="B345" s="71">
        <f t="shared" si="75"/>
        <v>41606</v>
      </c>
    </row>
    <row r="346" spans="1:12" x14ac:dyDescent="0.25">
      <c r="A346" s="48" t="s">
        <v>39</v>
      </c>
      <c r="B346" s="71">
        <f t="shared" si="75"/>
        <v>41613</v>
      </c>
    </row>
    <row r="347" spans="1:12" x14ac:dyDescent="0.25">
      <c r="A347" s="48" t="s">
        <v>39</v>
      </c>
      <c r="B347" s="71">
        <f t="shared" si="75"/>
        <v>41620</v>
      </c>
    </row>
    <row r="348" spans="1:12" x14ac:dyDescent="0.25">
      <c r="A348" s="48" t="s">
        <v>39</v>
      </c>
      <c r="B348" s="71">
        <f t="shared" si="75"/>
        <v>41627</v>
      </c>
    </row>
    <row r="349" spans="1:12" x14ac:dyDescent="0.25">
      <c r="A349" s="48" t="s">
        <v>39</v>
      </c>
      <c r="B349" s="71">
        <f t="shared" si="75"/>
        <v>41634</v>
      </c>
    </row>
    <row r="350" spans="1:12" x14ac:dyDescent="0.25">
      <c r="A350" s="48" t="s">
        <v>39</v>
      </c>
      <c r="B350" s="71">
        <f t="shared" si="75"/>
        <v>41641</v>
      </c>
    </row>
    <row r="351" spans="1:12" x14ac:dyDescent="0.25">
      <c r="A351" s="48" t="s">
        <v>39</v>
      </c>
      <c r="B351" s="71">
        <f t="shared" si="75"/>
        <v>41648</v>
      </c>
    </row>
    <row r="352" spans="1:12" x14ac:dyDescent="0.25">
      <c r="A352" s="48" t="s">
        <v>39</v>
      </c>
      <c r="B352" s="71">
        <f t="shared" si="75"/>
        <v>41655</v>
      </c>
    </row>
    <row r="353" spans="1:2" x14ac:dyDescent="0.25">
      <c r="A353" s="48" t="s">
        <v>39</v>
      </c>
      <c r="B353" s="71">
        <f t="shared" si="75"/>
        <v>41662</v>
      </c>
    </row>
    <row r="354" spans="1:2" x14ac:dyDescent="0.25">
      <c r="A354" s="48" t="s">
        <v>39</v>
      </c>
      <c r="B354" s="71">
        <f t="shared" si="75"/>
        <v>41669</v>
      </c>
    </row>
    <row r="355" spans="1:2" x14ac:dyDescent="0.25">
      <c r="A355" s="48" t="s">
        <v>39</v>
      </c>
      <c r="B355" s="71">
        <f t="shared" si="75"/>
        <v>41676</v>
      </c>
    </row>
    <row r="356" spans="1:2" x14ac:dyDescent="0.25">
      <c r="A356" s="48" t="s">
        <v>39</v>
      </c>
      <c r="B356" s="71">
        <f t="shared" si="75"/>
        <v>41683</v>
      </c>
    </row>
    <row r="357" spans="1:2" x14ac:dyDescent="0.25">
      <c r="A357" s="48" t="s">
        <v>39</v>
      </c>
      <c r="B357" s="71">
        <f t="shared" si="75"/>
        <v>41690</v>
      </c>
    </row>
    <row r="358" spans="1:2" x14ac:dyDescent="0.25">
      <c r="A358" s="48" t="s">
        <v>39</v>
      </c>
      <c r="B358" s="71">
        <f t="shared" si="75"/>
        <v>41697</v>
      </c>
    </row>
    <row r="359" spans="1:2" x14ac:dyDescent="0.25">
      <c r="A359" s="48" t="s">
        <v>39</v>
      </c>
      <c r="B359" s="71">
        <f t="shared" si="75"/>
        <v>41704</v>
      </c>
    </row>
    <row r="360" spans="1:2" x14ac:dyDescent="0.25">
      <c r="A360" s="48" t="s">
        <v>39</v>
      </c>
      <c r="B360" s="71">
        <f t="shared" si="75"/>
        <v>41711</v>
      </c>
    </row>
    <row r="361" spans="1:2" x14ac:dyDescent="0.25">
      <c r="A361" s="48" t="s">
        <v>39</v>
      </c>
      <c r="B361" s="71">
        <f t="shared" si="75"/>
        <v>41718</v>
      </c>
    </row>
    <row r="362" spans="1:2" x14ac:dyDescent="0.25">
      <c r="A362" s="48" t="s">
        <v>39</v>
      </c>
      <c r="B362" s="71">
        <f t="shared" si="75"/>
        <v>41725</v>
      </c>
    </row>
    <row r="363" spans="1:2" x14ac:dyDescent="0.25">
      <c r="A363" s="48" t="s">
        <v>39</v>
      </c>
      <c r="B363" s="71">
        <f t="shared" si="75"/>
        <v>41732</v>
      </c>
    </row>
    <row r="364" spans="1:2" x14ac:dyDescent="0.25">
      <c r="A364" s="48" t="s">
        <v>39</v>
      </c>
      <c r="B364" s="71">
        <f t="shared" si="75"/>
        <v>41739</v>
      </c>
    </row>
    <row r="365" spans="1:2" x14ac:dyDescent="0.25">
      <c r="A365" s="48" t="s">
        <v>39</v>
      </c>
      <c r="B365" s="71">
        <f t="shared" si="75"/>
        <v>41746</v>
      </c>
    </row>
    <row r="366" spans="1:2" x14ac:dyDescent="0.25">
      <c r="A366" s="48" t="s">
        <v>39</v>
      </c>
      <c r="B366" s="71">
        <f t="shared" si="75"/>
        <v>41753</v>
      </c>
    </row>
    <row r="367" spans="1:2" x14ac:dyDescent="0.25">
      <c r="A367" s="48" t="s">
        <v>39</v>
      </c>
      <c r="B367" s="71">
        <f t="shared" si="75"/>
        <v>41760</v>
      </c>
    </row>
    <row r="368" spans="1:2" x14ac:dyDescent="0.25">
      <c r="A368" s="48" t="s">
        <v>39</v>
      </c>
      <c r="B368" s="71">
        <f t="shared" si="75"/>
        <v>41767</v>
      </c>
    </row>
    <row r="369" spans="1:2" x14ac:dyDescent="0.25">
      <c r="A369" s="48" t="s">
        <v>39</v>
      </c>
      <c r="B369" s="71">
        <f t="shared" si="75"/>
        <v>41774</v>
      </c>
    </row>
    <row r="370" spans="1:2" x14ac:dyDescent="0.25">
      <c r="A370" s="48" t="s">
        <v>39</v>
      </c>
      <c r="B370" s="71">
        <f t="shared" si="75"/>
        <v>41781</v>
      </c>
    </row>
    <row r="371" spans="1:2" x14ac:dyDescent="0.25">
      <c r="A371" s="48" t="s">
        <v>39</v>
      </c>
      <c r="B371" s="71">
        <f t="shared" si="75"/>
        <v>41788</v>
      </c>
    </row>
    <row r="372" spans="1:2" x14ac:dyDescent="0.25">
      <c r="A372" s="48" t="s">
        <v>39</v>
      </c>
      <c r="B372" s="71">
        <f t="shared" si="75"/>
        <v>41795</v>
      </c>
    </row>
    <row r="373" spans="1:2" x14ac:dyDescent="0.25">
      <c r="A373" s="48" t="s">
        <v>39</v>
      </c>
      <c r="B373" s="71">
        <f t="shared" si="75"/>
        <v>41802</v>
      </c>
    </row>
    <row r="374" spans="1:2" x14ac:dyDescent="0.25">
      <c r="A374" s="48" t="s">
        <v>39</v>
      </c>
      <c r="B374" s="71">
        <f t="shared" si="75"/>
        <v>41809</v>
      </c>
    </row>
    <row r="375" spans="1:2" x14ac:dyDescent="0.25">
      <c r="A375" s="48" t="s">
        <v>39</v>
      </c>
      <c r="B375" s="71">
        <f t="shared" si="75"/>
        <v>41816</v>
      </c>
    </row>
    <row r="376" spans="1:2" x14ac:dyDescent="0.25">
      <c r="A376" s="48" t="s">
        <v>39</v>
      </c>
      <c r="B376" s="71">
        <f t="shared" si="75"/>
        <v>41823</v>
      </c>
    </row>
    <row r="377" spans="1:2" x14ac:dyDescent="0.25">
      <c r="A377" s="48" t="s">
        <v>39</v>
      </c>
      <c r="B377" s="71">
        <f t="shared" si="75"/>
        <v>41830</v>
      </c>
    </row>
    <row r="378" spans="1:2" x14ac:dyDescent="0.25">
      <c r="A378" s="48" t="s">
        <v>39</v>
      </c>
      <c r="B378" s="71">
        <f t="shared" si="75"/>
        <v>41837</v>
      </c>
    </row>
    <row r="379" spans="1:2" x14ac:dyDescent="0.25">
      <c r="A379" s="48" t="s">
        <v>39</v>
      </c>
      <c r="B379" s="71">
        <f t="shared" si="75"/>
        <v>41844</v>
      </c>
    </row>
    <row r="380" spans="1:2" x14ac:dyDescent="0.25">
      <c r="A380" s="48" t="s">
        <v>39</v>
      </c>
      <c r="B380" s="71">
        <f t="shared" si="75"/>
        <v>41851</v>
      </c>
    </row>
    <row r="381" spans="1:2" x14ac:dyDescent="0.25">
      <c r="A381" s="48" t="s">
        <v>39</v>
      </c>
      <c r="B381" s="71">
        <f t="shared" si="75"/>
        <v>41858</v>
      </c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topLeftCell="A111" workbookViewId="0">
      <selection activeCell="F137" sqref="F137"/>
    </sheetView>
  </sheetViews>
  <sheetFormatPr defaultRowHeight="13.2" x14ac:dyDescent="0.25"/>
  <cols>
    <col min="1" max="1" width="10.6640625" customWidth="1"/>
  </cols>
  <sheetData>
    <row r="1" spans="1:8" x14ac:dyDescent="0.25">
      <c r="A1" s="43" t="s">
        <v>82</v>
      </c>
      <c r="B1" t="s">
        <v>4</v>
      </c>
      <c r="D1" s="135" t="s">
        <v>5</v>
      </c>
      <c r="E1" s="136"/>
      <c r="F1" s="135" t="s">
        <v>6</v>
      </c>
      <c r="G1" s="136"/>
      <c r="H1" s="5"/>
    </row>
    <row r="2" spans="1:8" x14ac:dyDescent="0.25">
      <c r="A2" t="s">
        <v>16</v>
      </c>
      <c r="B2" s="76" t="s">
        <v>32</v>
      </c>
      <c r="C2" s="76" t="s">
        <v>33</v>
      </c>
      <c r="D2" s="76" t="s">
        <v>32</v>
      </c>
      <c r="E2" s="76" t="s">
        <v>33</v>
      </c>
      <c r="F2" s="76" t="s">
        <v>32</v>
      </c>
      <c r="G2" s="76" t="s">
        <v>33</v>
      </c>
      <c r="H2" s="9" t="s">
        <v>8</v>
      </c>
    </row>
    <row r="4" spans="1:8" x14ac:dyDescent="0.25">
      <c r="A4" s="10">
        <v>40696</v>
      </c>
      <c r="B4">
        <v>200</v>
      </c>
      <c r="C4">
        <v>0</v>
      </c>
      <c r="D4">
        <v>0</v>
      </c>
      <c r="E4">
        <v>0</v>
      </c>
      <c r="F4">
        <f t="shared" ref="F4:G6" si="0">+B4+D4</f>
        <v>200</v>
      </c>
      <c r="G4">
        <f t="shared" si="0"/>
        <v>0</v>
      </c>
    </row>
    <row r="5" spans="1:8" x14ac:dyDescent="0.25">
      <c r="A5" s="10">
        <v>40703</v>
      </c>
      <c r="B5">
        <v>147.5</v>
      </c>
      <c r="C5">
        <v>0</v>
      </c>
      <c r="D5">
        <v>52.5</v>
      </c>
      <c r="E5">
        <v>0</v>
      </c>
      <c r="F5">
        <f t="shared" si="0"/>
        <v>200</v>
      </c>
      <c r="G5">
        <f t="shared" si="0"/>
        <v>0</v>
      </c>
    </row>
    <row r="6" spans="1:8" x14ac:dyDescent="0.25">
      <c r="A6" s="10">
        <v>40710</v>
      </c>
      <c r="B6">
        <v>147.5</v>
      </c>
      <c r="C6">
        <v>0</v>
      </c>
      <c r="D6">
        <v>52.5</v>
      </c>
      <c r="E6">
        <v>0</v>
      </c>
      <c r="F6">
        <f t="shared" si="0"/>
        <v>200</v>
      </c>
      <c r="G6">
        <f t="shared" si="0"/>
        <v>0</v>
      </c>
    </row>
    <row r="7" spans="1:8" x14ac:dyDescent="0.25">
      <c r="A7" s="10">
        <v>40717</v>
      </c>
      <c r="B7">
        <v>145</v>
      </c>
      <c r="C7">
        <v>0</v>
      </c>
      <c r="D7">
        <v>105</v>
      </c>
      <c r="E7">
        <v>0</v>
      </c>
      <c r="F7">
        <f t="shared" ref="F7:F12" si="1">+B7+D7</f>
        <v>250</v>
      </c>
      <c r="G7">
        <f t="shared" ref="G7:G12" si="2">+C7+E7</f>
        <v>0</v>
      </c>
    </row>
    <row r="8" spans="1:8" x14ac:dyDescent="0.25">
      <c r="A8" s="10">
        <v>40724</v>
      </c>
      <c r="B8">
        <v>245</v>
      </c>
      <c r="C8">
        <v>0</v>
      </c>
      <c r="D8">
        <v>105</v>
      </c>
      <c r="E8">
        <v>0</v>
      </c>
      <c r="F8">
        <f t="shared" si="1"/>
        <v>350</v>
      </c>
      <c r="G8">
        <f t="shared" si="2"/>
        <v>0</v>
      </c>
    </row>
    <row r="9" spans="1:8" x14ac:dyDescent="0.25">
      <c r="A9" s="10">
        <v>40731</v>
      </c>
      <c r="B9">
        <v>245</v>
      </c>
      <c r="C9">
        <v>0</v>
      </c>
      <c r="D9">
        <v>154.30000000000001</v>
      </c>
      <c r="E9">
        <v>0</v>
      </c>
      <c r="F9">
        <f t="shared" si="1"/>
        <v>399.3</v>
      </c>
      <c r="G9">
        <f t="shared" si="2"/>
        <v>0</v>
      </c>
    </row>
    <row r="10" spans="1:8" x14ac:dyDescent="0.25">
      <c r="A10" s="10">
        <v>40738</v>
      </c>
      <c r="B10">
        <v>110.8</v>
      </c>
      <c r="C10">
        <v>0</v>
      </c>
      <c r="D10">
        <v>237</v>
      </c>
      <c r="E10">
        <v>0</v>
      </c>
      <c r="F10">
        <f t="shared" si="1"/>
        <v>347.8</v>
      </c>
      <c r="G10">
        <f t="shared" si="2"/>
        <v>0</v>
      </c>
    </row>
    <row r="11" spans="1:8" x14ac:dyDescent="0.25">
      <c r="A11" s="10">
        <v>40745</v>
      </c>
      <c r="B11">
        <v>50</v>
      </c>
      <c r="C11">
        <v>0</v>
      </c>
      <c r="D11">
        <v>362</v>
      </c>
      <c r="E11">
        <v>0</v>
      </c>
      <c r="F11">
        <f t="shared" si="1"/>
        <v>412</v>
      </c>
      <c r="G11">
        <f t="shared" si="2"/>
        <v>0</v>
      </c>
    </row>
    <row r="12" spans="1:8" x14ac:dyDescent="0.25">
      <c r="A12" s="10">
        <v>40752</v>
      </c>
      <c r="B12">
        <v>50</v>
      </c>
      <c r="C12">
        <v>0</v>
      </c>
      <c r="D12">
        <v>362</v>
      </c>
      <c r="E12">
        <v>0</v>
      </c>
      <c r="F12">
        <f t="shared" si="1"/>
        <v>412</v>
      </c>
      <c r="G12">
        <f t="shared" si="2"/>
        <v>0</v>
      </c>
    </row>
    <row r="13" spans="1:8" x14ac:dyDescent="0.25">
      <c r="A13" s="10">
        <v>40759</v>
      </c>
      <c r="B13">
        <v>100</v>
      </c>
      <c r="C13">
        <v>0</v>
      </c>
      <c r="D13">
        <v>362</v>
      </c>
      <c r="E13">
        <v>0</v>
      </c>
      <c r="F13">
        <f t="shared" ref="F13:G18" si="3">+B13+D13</f>
        <v>462</v>
      </c>
      <c r="G13">
        <f t="shared" si="3"/>
        <v>0</v>
      </c>
    </row>
    <row r="14" spans="1:8" x14ac:dyDescent="0.25">
      <c r="A14" s="10">
        <v>40766</v>
      </c>
      <c r="B14">
        <v>50</v>
      </c>
      <c r="C14">
        <v>0</v>
      </c>
      <c r="D14">
        <v>414.3</v>
      </c>
      <c r="E14">
        <v>0</v>
      </c>
      <c r="F14">
        <f t="shared" si="3"/>
        <v>464.3</v>
      </c>
      <c r="G14">
        <f t="shared" si="3"/>
        <v>0</v>
      </c>
    </row>
    <row r="15" spans="1:8" x14ac:dyDescent="0.25">
      <c r="A15" s="10">
        <v>40773</v>
      </c>
      <c r="B15">
        <v>100</v>
      </c>
      <c r="C15">
        <v>0</v>
      </c>
      <c r="D15">
        <v>414.3</v>
      </c>
      <c r="E15">
        <v>0</v>
      </c>
      <c r="F15">
        <f t="shared" si="3"/>
        <v>514.29999999999995</v>
      </c>
      <c r="G15">
        <f t="shared" si="3"/>
        <v>0</v>
      </c>
    </row>
    <row r="16" spans="1:8" x14ac:dyDescent="0.25">
      <c r="A16" s="10">
        <v>40780</v>
      </c>
      <c r="B16">
        <v>150</v>
      </c>
      <c r="C16">
        <v>0</v>
      </c>
      <c r="D16">
        <v>414.3</v>
      </c>
      <c r="E16">
        <v>0</v>
      </c>
      <c r="F16">
        <f t="shared" si="3"/>
        <v>564.29999999999995</v>
      </c>
      <c r="G16">
        <f t="shared" si="3"/>
        <v>0</v>
      </c>
    </row>
    <row r="17" spans="1:8" x14ac:dyDescent="0.25">
      <c r="A17" s="10">
        <v>40787</v>
      </c>
      <c r="B17">
        <v>47.5</v>
      </c>
      <c r="C17">
        <v>0</v>
      </c>
      <c r="D17">
        <v>519.29999999999995</v>
      </c>
      <c r="E17">
        <v>0</v>
      </c>
      <c r="F17">
        <f t="shared" si="3"/>
        <v>566.79999999999995</v>
      </c>
      <c r="G17">
        <f t="shared" si="3"/>
        <v>0</v>
      </c>
    </row>
    <row r="18" spans="1:8" x14ac:dyDescent="0.25">
      <c r="A18" s="10">
        <v>40794</v>
      </c>
      <c r="B18" s="48">
        <v>47.5</v>
      </c>
      <c r="C18" s="48">
        <v>0</v>
      </c>
      <c r="D18" s="48">
        <v>519.29999999999995</v>
      </c>
      <c r="E18" s="48">
        <v>0</v>
      </c>
      <c r="F18" s="48">
        <f t="shared" si="3"/>
        <v>566.79999999999995</v>
      </c>
      <c r="G18" s="48">
        <f t="shared" si="3"/>
        <v>0</v>
      </c>
      <c r="H18" s="48"/>
    </row>
    <row r="19" spans="1:8" x14ac:dyDescent="0.25">
      <c r="A19" s="10">
        <v>40801</v>
      </c>
      <c r="B19" s="48">
        <v>47.5</v>
      </c>
      <c r="C19" s="48">
        <v>0</v>
      </c>
      <c r="D19" s="48">
        <v>519.29999999999995</v>
      </c>
      <c r="E19" s="48">
        <v>0</v>
      </c>
      <c r="F19" s="48">
        <f t="shared" ref="F19:G23" si="4">+B19+D19</f>
        <v>566.79999999999995</v>
      </c>
      <c r="G19" s="48">
        <f t="shared" si="4"/>
        <v>0</v>
      </c>
      <c r="H19" s="48"/>
    </row>
    <row r="20" spans="1:8" x14ac:dyDescent="0.25">
      <c r="A20" s="10">
        <v>40808</v>
      </c>
      <c r="B20" s="48">
        <v>0</v>
      </c>
      <c r="C20" s="48">
        <v>0</v>
      </c>
      <c r="D20" s="48">
        <v>571.79999999999995</v>
      </c>
      <c r="E20" s="48">
        <v>0</v>
      </c>
      <c r="F20" s="48">
        <f t="shared" si="4"/>
        <v>571.79999999999995</v>
      </c>
      <c r="G20" s="48">
        <f t="shared" si="4"/>
        <v>0</v>
      </c>
      <c r="H20" s="48"/>
    </row>
    <row r="21" spans="1:8" x14ac:dyDescent="0.25">
      <c r="A21" s="10">
        <v>40815</v>
      </c>
      <c r="B21" s="48">
        <v>0</v>
      </c>
      <c r="C21" s="48">
        <v>46.8</v>
      </c>
      <c r="D21" s="48">
        <v>118.1</v>
      </c>
      <c r="E21" s="48">
        <v>66.599999999999994</v>
      </c>
      <c r="F21" s="48">
        <f t="shared" si="4"/>
        <v>118.1</v>
      </c>
      <c r="G21" s="48">
        <f t="shared" si="4"/>
        <v>113.39999999999999</v>
      </c>
      <c r="H21" s="48"/>
    </row>
    <row r="22" spans="1:8" x14ac:dyDescent="0.25">
      <c r="A22" s="10">
        <v>40822</v>
      </c>
      <c r="B22" s="48">
        <v>0</v>
      </c>
      <c r="C22" s="48">
        <v>55</v>
      </c>
      <c r="D22" s="48">
        <v>571.79999999999995</v>
      </c>
      <c r="E22" s="48">
        <v>0</v>
      </c>
      <c r="F22" s="48">
        <f t="shared" si="4"/>
        <v>571.79999999999995</v>
      </c>
      <c r="G22" s="48">
        <f t="shared" si="4"/>
        <v>55</v>
      </c>
      <c r="H22" s="48"/>
    </row>
    <row r="23" spans="1:8" x14ac:dyDescent="0.25">
      <c r="A23" s="10">
        <v>40829</v>
      </c>
      <c r="B23" s="48">
        <v>0</v>
      </c>
      <c r="C23" s="48">
        <v>155</v>
      </c>
      <c r="D23" s="48">
        <v>571.79999999999995</v>
      </c>
      <c r="E23" s="48">
        <v>102.4</v>
      </c>
      <c r="F23" s="48">
        <f t="shared" si="4"/>
        <v>571.79999999999995</v>
      </c>
      <c r="G23" s="48">
        <f t="shared" si="4"/>
        <v>257.39999999999998</v>
      </c>
      <c r="H23" s="48"/>
    </row>
    <row r="24" spans="1:8" x14ac:dyDescent="0.25">
      <c r="A24" s="10">
        <v>40836</v>
      </c>
      <c r="B24" s="48">
        <v>0</v>
      </c>
      <c r="C24" s="48">
        <v>155</v>
      </c>
      <c r="D24" s="48">
        <v>571.79999999999995</v>
      </c>
      <c r="E24" s="48">
        <v>0</v>
      </c>
      <c r="F24" s="48">
        <f t="shared" ref="F24:G33" si="5">+B24+D24</f>
        <v>571.79999999999995</v>
      </c>
      <c r="G24" s="48">
        <f t="shared" si="5"/>
        <v>155</v>
      </c>
      <c r="H24" s="48"/>
    </row>
    <row r="25" spans="1:8" x14ac:dyDescent="0.25">
      <c r="A25" s="10">
        <v>40843</v>
      </c>
      <c r="B25" s="48">
        <v>0</v>
      </c>
      <c r="C25" s="48">
        <v>100</v>
      </c>
      <c r="D25" s="48">
        <v>571.79999999999995</v>
      </c>
      <c r="E25" s="48">
        <v>49.5</v>
      </c>
      <c r="F25" s="48">
        <f t="shared" si="5"/>
        <v>571.79999999999995</v>
      </c>
      <c r="G25" s="48">
        <f t="shared" si="5"/>
        <v>149.5</v>
      </c>
      <c r="H25" s="48"/>
    </row>
    <row r="26" spans="1:8" x14ac:dyDescent="0.25">
      <c r="A26" s="10">
        <v>40850</v>
      </c>
      <c r="B26" s="48">
        <v>0</v>
      </c>
      <c r="C26" s="48">
        <v>100</v>
      </c>
      <c r="D26" s="48">
        <v>571.79999999999995</v>
      </c>
      <c r="E26" s="48">
        <v>49.5</v>
      </c>
      <c r="F26" s="48">
        <f t="shared" si="5"/>
        <v>571.79999999999995</v>
      </c>
      <c r="G26" s="48">
        <f t="shared" si="5"/>
        <v>149.5</v>
      </c>
      <c r="H26" s="48"/>
    </row>
    <row r="27" spans="1:8" x14ac:dyDescent="0.25">
      <c r="A27" s="10">
        <v>40857</v>
      </c>
      <c r="B27" s="48">
        <v>0</v>
      </c>
      <c r="C27" s="48">
        <v>200</v>
      </c>
      <c r="D27" s="48">
        <v>571.79999999999995</v>
      </c>
      <c r="E27" s="48">
        <v>49.5</v>
      </c>
      <c r="F27" s="48">
        <f t="shared" si="5"/>
        <v>571.79999999999995</v>
      </c>
      <c r="G27" s="48">
        <f t="shared" si="5"/>
        <v>249.5</v>
      </c>
      <c r="H27" s="48"/>
    </row>
    <row r="28" spans="1:8" x14ac:dyDescent="0.25">
      <c r="A28" s="10">
        <v>40864</v>
      </c>
      <c r="B28" s="48">
        <v>0</v>
      </c>
      <c r="C28" s="48">
        <v>200</v>
      </c>
      <c r="D28" s="48">
        <v>571.79999999999995</v>
      </c>
      <c r="E28" s="48"/>
      <c r="F28" s="48">
        <f t="shared" si="5"/>
        <v>571.79999999999995</v>
      </c>
      <c r="G28" s="48">
        <f t="shared" si="5"/>
        <v>200</v>
      </c>
      <c r="H28" s="48"/>
    </row>
    <row r="29" spans="1:8" x14ac:dyDescent="0.25">
      <c r="A29" s="10">
        <v>40871</v>
      </c>
      <c r="B29" s="48">
        <v>0</v>
      </c>
      <c r="C29" s="48">
        <v>200</v>
      </c>
      <c r="D29" s="48">
        <v>571.79999999999995</v>
      </c>
      <c r="E29" s="48">
        <v>49.5</v>
      </c>
      <c r="F29" s="48">
        <f t="shared" ref="F29:F34" si="6">+B29+D29</f>
        <v>571.79999999999995</v>
      </c>
      <c r="G29" s="48">
        <f t="shared" si="5"/>
        <v>249.5</v>
      </c>
      <c r="H29" s="48"/>
    </row>
    <row r="30" spans="1:8" x14ac:dyDescent="0.25">
      <c r="A30" s="10">
        <v>40878</v>
      </c>
      <c r="B30" s="48">
        <v>0</v>
      </c>
      <c r="C30" s="48">
        <v>200</v>
      </c>
      <c r="D30" s="48">
        <v>571.79999999999995</v>
      </c>
      <c r="E30" s="48">
        <v>49.5</v>
      </c>
      <c r="F30" s="48">
        <f t="shared" si="6"/>
        <v>571.79999999999995</v>
      </c>
      <c r="G30" s="48">
        <f t="shared" si="5"/>
        <v>249.5</v>
      </c>
      <c r="H30" s="48"/>
    </row>
    <row r="31" spans="1:8" x14ac:dyDescent="0.25">
      <c r="A31" s="10">
        <v>40885</v>
      </c>
      <c r="B31" s="48">
        <v>0</v>
      </c>
      <c r="C31" s="48">
        <v>200</v>
      </c>
      <c r="D31" s="48">
        <v>571.79999999999995</v>
      </c>
      <c r="E31" s="48">
        <v>49.5</v>
      </c>
      <c r="F31" s="48">
        <f t="shared" si="6"/>
        <v>571.79999999999995</v>
      </c>
      <c r="G31" s="48">
        <f t="shared" si="5"/>
        <v>249.5</v>
      </c>
      <c r="H31" s="48"/>
    </row>
    <row r="32" spans="1:8" x14ac:dyDescent="0.25">
      <c r="A32" s="10">
        <v>40892</v>
      </c>
      <c r="B32">
        <v>0</v>
      </c>
      <c r="C32">
        <v>200</v>
      </c>
      <c r="D32">
        <v>571.79999999999995</v>
      </c>
      <c r="E32">
        <v>49.5</v>
      </c>
      <c r="F32" s="48">
        <f t="shared" si="6"/>
        <v>571.79999999999995</v>
      </c>
      <c r="G32" s="48">
        <f t="shared" si="5"/>
        <v>249.5</v>
      </c>
      <c r="H32" s="48"/>
    </row>
    <row r="33" spans="1:8" x14ac:dyDescent="0.25">
      <c r="A33" s="10">
        <v>40899</v>
      </c>
      <c r="B33" s="48">
        <v>0</v>
      </c>
      <c r="C33" s="48">
        <v>300</v>
      </c>
      <c r="D33" s="48">
        <v>571.79999999999995</v>
      </c>
      <c r="E33" s="48">
        <v>49.5</v>
      </c>
      <c r="F33" s="48">
        <f t="shared" si="6"/>
        <v>571.79999999999995</v>
      </c>
      <c r="G33" s="48">
        <f t="shared" si="5"/>
        <v>349.5</v>
      </c>
      <c r="H33" s="48"/>
    </row>
    <row r="34" spans="1:8" x14ac:dyDescent="0.25">
      <c r="A34" s="10">
        <v>40906</v>
      </c>
      <c r="B34" s="48">
        <v>0</v>
      </c>
      <c r="C34" s="48">
        <v>253</v>
      </c>
      <c r="D34" s="48">
        <v>571.79999999999995</v>
      </c>
      <c r="E34" s="48">
        <v>153.4</v>
      </c>
      <c r="F34" s="48">
        <f t="shared" si="6"/>
        <v>571.79999999999995</v>
      </c>
      <c r="G34" s="48">
        <f t="shared" ref="G34:G39" si="7">+C34+E34</f>
        <v>406.4</v>
      </c>
      <c r="H34" s="48"/>
    </row>
    <row r="35" spans="1:8" x14ac:dyDescent="0.25">
      <c r="A35" s="10">
        <v>40913</v>
      </c>
      <c r="B35">
        <v>0</v>
      </c>
      <c r="C35">
        <v>205</v>
      </c>
      <c r="D35">
        <v>571.79999999999995</v>
      </c>
      <c r="E35">
        <v>205.9</v>
      </c>
      <c r="F35" s="48">
        <f t="shared" ref="F35:F66" si="8">+B35+D35</f>
        <v>571.79999999999995</v>
      </c>
      <c r="G35" s="48">
        <f t="shared" si="7"/>
        <v>410.9</v>
      </c>
      <c r="H35" s="48"/>
    </row>
    <row r="36" spans="1:8" x14ac:dyDescent="0.25">
      <c r="A36" s="10">
        <v>40920</v>
      </c>
      <c r="B36">
        <v>0</v>
      </c>
      <c r="C36">
        <v>205</v>
      </c>
      <c r="D36">
        <v>571.79999999999995</v>
      </c>
      <c r="E36">
        <v>205.9</v>
      </c>
      <c r="F36" s="48">
        <f t="shared" si="8"/>
        <v>571.79999999999995</v>
      </c>
      <c r="G36" s="48">
        <f t="shared" si="7"/>
        <v>410.9</v>
      </c>
      <c r="H36" s="48"/>
    </row>
    <row r="37" spans="1:8" x14ac:dyDescent="0.25">
      <c r="A37" s="10">
        <v>40927</v>
      </c>
      <c r="B37">
        <v>0</v>
      </c>
      <c r="C37">
        <v>205</v>
      </c>
      <c r="D37">
        <v>571.79999999999995</v>
      </c>
      <c r="E37">
        <v>205.9</v>
      </c>
      <c r="F37" s="48">
        <f t="shared" si="8"/>
        <v>571.79999999999995</v>
      </c>
      <c r="G37" s="48">
        <f t="shared" si="7"/>
        <v>410.9</v>
      </c>
      <c r="H37" s="48"/>
    </row>
    <row r="38" spans="1:8" x14ac:dyDescent="0.25">
      <c r="A38" s="10">
        <v>40934</v>
      </c>
      <c r="B38">
        <v>0</v>
      </c>
      <c r="C38">
        <v>150</v>
      </c>
      <c r="D38">
        <v>571.79999999999995</v>
      </c>
      <c r="E38">
        <v>255.9</v>
      </c>
      <c r="F38" s="48">
        <f t="shared" si="8"/>
        <v>571.79999999999995</v>
      </c>
      <c r="G38" s="48">
        <f t="shared" si="7"/>
        <v>405.9</v>
      </c>
      <c r="H38" s="48"/>
    </row>
    <row r="39" spans="1:8" x14ac:dyDescent="0.25">
      <c r="A39" s="10">
        <v>40941</v>
      </c>
      <c r="B39">
        <v>0</v>
      </c>
      <c r="C39">
        <v>210</v>
      </c>
      <c r="D39">
        <v>571.79999999999995</v>
      </c>
      <c r="E39">
        <v>307.89999999999998</v>
      </c>
      <c r="F39" s="48">
        <f t="shared" si="8"/>
        <v>571.79999999999995</v>
      </c>
      <c r="G39" s="48">
        <f t="shared" si="7"/>
        <v>517.9</v>
      </c>
      <c r="H39" s="48"/>
    </row>
    <row r="40" spans="1:8" x14ac:dyDescent="0.25">
      <c r="A40" s="10">
        <v>40948</v>
      </c>
      <c r="B40">
        <v>0</v>
      </c>
      <c r="C40">
        <v>210</v>
      </c>
      <c r="D40">
        <v>571.79999999999995</v>
      </c>
      <c r="E40">
        <v>307.89999999999998</v>
      </c>
      <c r="F40" s="48">
        <f t="shared" si="8"/>
        <v>571.79999999999995</v>
      </c>
      <c r="G40" s="48">
        <f t="shared" ref="G40:G71" si="9">+C40+E40</f>
        <v>517.9</v>
      </c>
      <c r="H40" s="48"/>
    </row>
    <row r="41" spans="1:8" x14ac:dyDescent="0.25">
      <c r="A41" s="10">
        <v>40955</v>
      </c>
      <c r="B41">
        <v>0</v>
      </c>
      <c r="C41">
        <v>260</v>
      </c>
      <c r="D41">
        <v>571.79999999999995</v>
      </c>
      <c r="E41">
        <v>360.4</v>
      </c>
      <c r="F41" s="48">
        <f t="shared" si="8"/>
        <v>571.79999999999995</v>
      </c>
      <c r="G41" s="48">
        <f t="shared" si="9"/>
        <v>620.4</v>
      </c>
      <c r="H41" s="48"/>
    </row>
    <row r="42" spans="1:8" x14ac:dyDescent="0.25">
      <c r="A42" s="10">
        <v>40962</v>
      </c>
      <c r="B42">
        <v>0</v>
      </c>
      <c r="C42">
        <v>260</v>
      </c>
      <c r="D42">
        <v>571.79999999999995</v>
      </c>
      <c r="E42">
        <v>360.4</v>
      </c>
      <c r="F42" s="48">
        <f t="shared" si="8"/>
        <v>571.79999999999995</v>
      </c>
      <c r="G42" s="48">
        <f t="shared" si="9"/>
        <v>620.4</v>
      </c>
      <c r="H42" s="48"/>
    </row>
    <row r="43" spans="1:8" x14ac:dyDescent="0.25">
      <c r="A43" s="10">
        <v>40969</v>
      </c>
      <c r="B43">
        <v>0</v>
      </c>
      <c r="C43">
        <v>260</v>
      </c>
      <c r="D43">
        <v>571.79999999999995</v>
      </c>
      <c r="E43">
        <v>360.4</v>
      </c>
      <c r="F43" s="48">
        <f t="shared" si="8"/>
        <v>571.79999999999995</v>
      </c>
      <c r="G43" s="48">
        <f t="shared" si="9"/>
        <v>620.4</v>
      </c>
      <c r="H43" s="48"/>
    </row>
    <row r="44" spans="1:8" x14ac:dyDescent="0.25">
      <c r="A44" s="10">
        <v>40976</v>
      </c>
      <c r="B44">
        <v>0</v>
      </c>
      <c r="C44">
        <v>560</v>
      </c>
      <c r="D44">
        <v>571.79999999999995</v>
      </c>
      <c r="E44">
        <v>411.1</v>
      </c>
      <c r="F44" s="48">
        <f t="shared" si="8"/>
        <v>571.79999999999995</v>
      </c>
      <c r="G44" s="48">
        <f t="shared" si="9"/>
        <v>971.1</v>
      </c>
      <c r="H44" s="48"/>
    </row>
    <row r="45" spans="1:8" x14ac:dyDescent="0.25">
      <c r="A45" s="10">
        <v>40983</v>
      </c>
      <c r="B45">
        <v>0</v>
      </c>
      <c r="C45">
        <v>505</v>
      </c>
      <c r="D45">
        <v>571.79999999999995</v>
      </c>
      <c r="E45">
        <v>462.1</v>
      </c>
      <c r="F45" s="48">
        <f t="shared" si="8"/>
        <v>571.79999999999995</v>
      </c>
      <c r="G45" s="48">
        <f t="shared" si="9"/>
        <v>967.1</v>
      </c>
      <c r="H45" s="48"/>
    </row>
    <row r="46" spans="1:8" x14ac:dyDescent="0.25">
      <c r="A46" s="10">
        <v>40990</v>
      </c>
      <c r="B46">
        <v>0</v>
      </c>
      <c r="C46">
        <v>400</v>
      </c>
      <c r="D46">
        <v>571.79999999999995</v>
      </c>
      <c r="E46">
        <v>562.1</v>
      </c>
      <c r="F46" s="48">
        <f t="shared" si="8"/>
        <v>571.79999999999995</v>
      </c>
      <c r="G46" s="48">
        <f t="shared" si="9"/>
        <v>962.1</v>
      </c>
      <c r="H46" s="48"/>
    </row>
    <row r="47" spans="1:8" x14ac:dyDescent="0.25">
      <c r="A47" s="10">
        <v>40997</v>
      </c>
      <c r="B47">
        <v>0</v>
      </c>
      <c r="C47">
        <v>500</v>
      </c>
      <c r="D47">
        <v>571.79999999999995</v>
      </c>
      <c r="E47">
        <v>562.1</v>
      </c>
      <c r="F47" s="48">
        <f t="shared" si="8"/>
        <v>571.79999999999995</v>
      </c>
      <c r="G47" s="48">
        <f t="shared" si="9"/>
        <v>1062.0999999999999</v>
      </c>
      <c r="H47" s="48"/>
    </row>
    <row r="48" spans="1:8" x14ac:dyDescent="0.25">
      <c r="A48" s="10">
        <v>41004</v>
      </c>
      <c r="B48">
        <v>0</v>
      </c>
      <c r="C48">
        <v>450</v>
      </c>
      <c r="D48">
        <v>571.79999999999995</v>
      </c>
      <c r="E48">
        <v>612.4</v>
      </c>
      <c r="F48" s="48">
        <f t="shared" si="8"/>
        <v>571.79999999999995</v>
      </c>
      <c r="G48" s="48">
        <f t="shared" si="9"/>
        <v>1062.4000000000001</v>
      </c>
      <c r="H48" s="48"/>
    </row>
    <row r="49" spans="1:8" x14ac:dyDescent="0.25">
      <c r="A49" s="10">
        <v>41011</v>
      </c>
      <c r="B49">
        <v>0</v>
      </c>
      <c r="C49">
        <v>450</v>
      </c>
      <c r="D49">
        <v>571.79999999999995</v>
      </c>
      <c r="E49">
        <v>612.4</v>
      </c>
      <c r="F49" s="48">
        <f t="shared" si="8"/>
        <v>571.79999999999995</v>
      </c>
      <c r="G49" s="48">
        <f t="shared" si="9"/>
        <v>1062.4000000000001</v>
      </c>
      <c r="H49" s="48"/>
    </row>
    <row r="50" spans="1:8" x14ac:dyDescent="0.25">
      <c r="A50" s="10">
        <v>41018</v>
      </c>
      <c r="B50">
        <v>0</v>
      </c>
      <c r="C50">
        <v>397.5</v>
      </c>
      <c r="D50">
        <v>571.79999999999995</v>
      </c>
      <c r="E50">
        <v>664.9</v>
      </c>
      <c r="F50" s="48">
        <f t="shared" si="8"/>
        <v>571.79999999999995</v>
      </c>
      <c r="G50" s="48">
        <f t="shared" si="9"/>
        <v>1062.4000000000001</v>
      </c>
      <c r="H50" s="48"/>
    </row>
    <row r="51" spans="1:8" x14ac:dyDescent="0.25">
      <c r="A51" s="10">
        <v>41025</v>
      </c>
      <c r="B51">
        <v>0</v>
      </c>
      <c r="C51">
        <v>397.5</v>
      </c>
      <c r="D51">
        <v>571.79999999999995</v>
      </c>
      <c r="E51">
        <v>716.6</v>
      </c>
      <c r="F51" s="48">
        <f t="shared" si="8"/>
        <v>571.79999999999995</v>
      </c>
      <c r="G51" s="48">
        <f t="shared" si="9"/>
        <v>1114.0999999999999</v>
      </c>
      <c r="H51" s="48"/>
    </row>
    <row r="52" spans="1:8" x14ac:dyDescent="0.25">
      <c r="A52" s="10">
        <v>41032</v>
      </c>
      <c r="B52">
        <v>0</v>
      </c>
      <c r="C52">
        <v>297.5</v>
      </c>
      <c r="D52">
        <v>571.79999999999995</v>
      </c>
      <c r="E52">
        <v>820.7</v>
      </c>
      <c r="F52" s="48">
        <f t="shared" si="8"/>
        <v>571.79999999999995</v>
      </c>
      <c r="G52" s="48">
        <f t="shared" si="9"/>
        <v>1118.2</v>
      </c>
      <c r="H52" s="48"/>
    </row>
    <row r="53" spans="1:8" x14ac:dyDescent="0.25">
      <c r="A53" s="10">
        <v>41039</v>
      </c>
      <c r="B53">
        <v>0</v>
      </c>
      <c r="C53">
        <v>344.8</v>
      </c>
      <c r="D53">
        <v>571.79999999999995</v>
      </c>
      <c r="E53">
        <v>923.4</v>
      </c>
      <c r="F53" s="48">
        <f t="shared" si="8"/>
        <v>571.79999999999995</v>
      </c>
      <c r="G53" s="48">
        <f t="shared" si="9"/>
        <v>1268.2</v>
      </c>
      <c r="H53" s="48"/>
    </row>
    <row r="54" spans="1:8" x14ac:dyDescent="0.25">
      <c r="A54" s="10">
        <v>41046</v>
      </c>
      <c r="B54">
        <v>0</v>
      </c>
      <c r="C54">
        <v>344.8</v>
      </c>
      <c r="D54">
        <v>571.79999999999995</v>
      </c>
      <c r="E54">
        <v>923.4</v>
      </c>
      <c r="F54" s="48">
        <f t="shared" si="8"/>
        <v>571.79999999999995</v>
      </c>
      <c r="G54" s="48">
        <f t="shared" si="9"/>
        <v>1268.2</v>
      </c>
      <c r="H54" s="48">
        <v>200</v>
      </c>
    </row>
    <row r="55" spans="1:8" x14ac:dyDescent="0.25">
      <c r="A55" s="10">
        <v>41053</v>
      </c>
      <c r="B55">
        <v>0</v>
      </c>
      <c r="C55">
        <v>249.4</v>
      </c>
      <c r="D55">
        <v>571.79999999999995</v>
      </c>
      <c r="E55">
        <v>1027.4000000000001</v>
      </c>
      <c r="F55" s="48">
        <f t="shared" si="8"/>
        <v>571.79999999999995</v>
      </c>
      <c r="G55" s="48">
        <f t="shared" si="9"/>
        <v>1276.8000000000002</v>
      </c>
      <c r="H55" s="48">
        <v>200</v>
      </c>
    </row>
    <row r="56" spans="1:8" x14ac:dyDescent="0.25">
      <c r="A56" s="10">
        <v>41060</v>
      </c>
      <c r="B56">
        <v>0</v>
      </c>
      <c r="C56">
        <v>200</v>
      </c>
      <c r="D56">
        <v>571.79999999999995</v>
      </c>
      <c r="E56">
        <v>1078.4000000000001</v>
      </c>
      <c r="F56" s="48">
        <f t="shared" si="8"/>
        <v>571.79999999999995</v>
      </c>
      <c r="G56" s="48">
        <f t="shared" si="9"/>
        <v>1278.4000000000001</v>
      </c>
      <c r="H56" s="48"/>
    </row>
    <row r="57" spans="1:8" x14ac:dyDescent="0.25">
      <c r="A57" s="10">
        <v>41067</v>
      </c>
      <c r="B57">
        <v>200</v>
      </c>
      <c r="C57">
        <v>147.5</v>
      </c>
      <c r="D57">
        <v>0</v>
      </c>
      <c r="E57">
        <v>52.5</v>
      </c>
      <c r="F57" s="48">
        <f t="shared" si="8"/>
        <v>200</v>
      </c>
      <c r="G57" s="48">
        <f t="shared" si="9"/>
        <v>200</v>
      </c>
      <c r="H57" s="48"/>
    </row>
    <row r="58" spans="1:8" x14ac:dyDescent="0.25">
      <c r="A58" s="10">
        <v>41074</v>
      </c>
      <c r="B58">
        <v>150</v>
      </c>
      <c r="C58">
        <v>147.5</v>
      </c>
      <c r="D58">
        <v>52.5</v>
      </c>
      <c r="E58">
        <v>52.5</v>
      </c>
      <c r="F58" s="48">
        <f t="shared" si="8"/>
        <v>202.5</v>
      </c>
      <c r="G58" s="48">
        <f t="shared" si="9"/>
        <v>200</v>
      </c>
      <c r="H58" s="48"/>
    </row>
    <row r="59" spans="1:8" x14ac:dyDescent="0.25">
      <c r="A59" s="10">
        <v>41081</v>
      </c>
      <c r="B59">
        <v>48.6</v>
      </c>
      <c r="C59">
        <v>145</v>
      </c>
      <c r="D59">
        <v>156.4</v>
      </c>
      <c r="E59">
        <v>105</v>
      </c>
      <c r="F59" s="48">
        <f t="shared" si="8"/>
        <v>205</v>
      </c>
      <c r="G59" s="48">
        <f t="shared" si="9"/>
        <v>250</v>
      </c>
      <c r="H59" s="48"/>
    </row>
    <row r="60" spans="1:8" x14ac:dyDescent="0.25">
      <c r="A60" s="10">
        <v>41088</v>
      </c>
      <c r="B60">
        <v>48.6</v>
      </c>
      <c r="C60">
        <v>245</v>
      </c>
      <c r="D60">
        <v>156.4</v>
      </c>
      <c r="E60">
        <v>105</v>
      </c>
      <c r="F60" s="48">
        <f t="shared" si="8"/>
        <v>205</v>
      </c>
      <c r="G60" s="48">
        <f t="shared" si="9"/>
        <v>350</v>
      </c>
      <c r="H60" s="48"/>
    </row>
    <row r="61" spans="1:8" x14ac:dyDescent="0.25">
      <c r="A61" s="10">
        <v>41095</v>
      </c>
      <c r="B61" s="48">
        <v>0</v>
      </c>
      <c r="C61" s="48">
        <v>245</v>
      </c>
      <c r="D61" s="48">
        <v>208.9</v>
      </c>
      <c r="E61" s="48">
        <v>154.30000000000001</v>
      </c>
      <c r="F61" s="48">
        <f t="shared" si="8"/>
        <v>208.9</v>
      </c>
      <c r="G61" s="48">
        <f t="shared" si="9"/>
        <v>399.3</v>
      </c>
      <c r="H61" s="48"/>
    </row>
    <row r="62" spans="1:8" x14ac:dyDescent="0.25">
      <c r="A62" s="10">
        <v>41102</v>
      </c>
      <c r="B62">
        <v>0</v>
      </c>
      <c r="C62">
        <v>110.8</v>
      </c>
      <c r="D62">
        <v>208.9</v>
      </c>
      <c r="E62">
        <v>237</v>
      </c>
      <c r="F62" s="48">
        <f t="shared" si="8"/>
        <v>208.9</v>
      </c>
      <c r="G62" s="48">
        <f t="shared" si="9"/>
        <v>347.8</v>
      </c>
      <c r="H62" s="48"/>
    </row>
    <row r="63" spans="1:8" x14ac:dyDescent="0.25">
      <c r="A63" s="10">
        <v>41109</v>
      </c>
      <c r="B63" s="48">
        <v>0</v>
      </c>
      <c r="C63" s="48">
        <v>50</v>
      </c>
      <c r="D63" s="48">
        <v>208.9</v>
      </c>
      <c r="E63" s="48">
        <v>362</v>
      </c>
      <c r="F63" s="48">
        <f t="shared" si="8"/>
        <v>208.9</v>
      </c>
      <c r="G63" s="48">
        <f t="shared" si="9"/>
        <v>412</v>
      </c>
      <c r="H63" s="48"/>
    </row>
    <row r="64" spans="1:8" x14ac:dyDescent="0.25">
      <c r="A64" s="10">
        <v>41116</v>
      </c>
      <c r="B64" s="48">
        <v>0</v>
      </c>
      <c r="C64" s="48">
        <v>50</v>
      </c>
      <c r="D64" s="48">
        <v>208.9</v>
      </c>
      <c r="E64" s="48">
        <v>362</v>
      </c>
      <c r="F64" s="48">
        <f t="shared" si="8"/>
        <v>208.9</v>
      </c>
      <c r="G64" s="48">
        <f t="shared" si="9"/>
        <v>412</v>
      </c>
      <c r="H64" s="48"/>
    </row>
    <row r="65" spans="1:8" x14ac:dyDescent="0.25">
      <c r="A65" s="10">
        <v>41123</v>
      </c>
      <c r="B65" s="48">
        <v>0</v>
      </c>
      <c r="C65" s="48">
        <v>100</v>
      </c>
      <c r="D65" s="48">
        <v>208.9</v>
      </c>
      <c r="E65" s="48">
        <v>362</v>
      </c>
      <c r="F65" s="48">
        <f t="shared" si="8"/>
        <v>208.9</v>
      </c>
      <c r="G65" s="48">
        <f t="shared" si="9"/>
        <v>462</v>
      </c>
      <c r="H65" s="48"/>
    </row>
    <row r="66" spans="1:8" x14ac:dyDescent="0.25">
      <c r="A66" s="10">
        <v>41130</v>
      </c>
      <c r="B66">
        <v>0</v>
      </c>
      <c r="C66">
        <v>50</v>
      </c>
      <c r="D66">
        <v>208.9</v>
      </c>
      <c r="E66">
        <v>414.3</v>
      </c>
      <c r="F66" s="48">
        <f t="shared" si="8"/>
        <v>208.9</v>
      </c>
      <c r="G66" s="48">
        <f t="shared" si="9"/>
        <v>464.3</v>
      </c>
      <c r="H66" s="48"/>
    </row>
    <row r="67" spans="1:8" x14ac:dyDescent="0.25">
      <c r="A67" s="10">
        <v>41137</v>
      </c>
      <c r="B67" s="48">
        <v>0</v>
      </c>
      <c r="C67" s="48">
        <v>100</v>
      </c>
      <c r="D67" s="48">
        <v>208.9</v>
      </c>
      <c r="E67" s="48">
        <v>414.3</v>
      </c>
      <c r="F67" s="48">
        <f t="shared" ref="F67:F98" si="10">+B67+D67</f>
        <v>208.9</v>
      </c>
      <c r="G67" s="48">
        <f t="shared" si="9"/>
        <v>514.29999999999995</v>
      </c>
      <c r="H67" s="48"/>
    </row>
    <row r="68" spans="1:8" x14ac:dyDescent="0.25">
      <c r="A68" s="10">
        <v>41144</v>
      </c>
      <c r="B68" s="48">
        <v>0</v>
      </c>
      <c r="C68" s="48">
        <v>150</v>
      </c>
      <c r="D68" s="48">
        <v>208.9</v>
      </c>
      <c r="E68" s="48">
        <v>414.3</v>
      </c>
      <c r="F68" s="48">
        <f t="shared" si="10"/>
        <v>208.9</v>
      </c>
      <c r="G68" s="48">
        <f t="shared" si="9"/>
        <v>564.29999999999995</v>
      </c>
      <c r="H68" s="48"/>
    </row>
    <row r="69" spans="1:8" x14ac:dyDescent="0.25">
      <c r="A69" s="10">
        <v>41151</v>
      </c>
      <c r="B69" s="48">
        <v>0</v>
      </c>
      <c r="C69" s="48">
        <v>47.5</v>
      </c>
      <c r="D69" s="48">
        <v>208.9</v>
      </c>
      <c r="E69" s="48">
        <v>519.29999999999995</v>
      </c>
      <c r="F69" s="48">
        <f t="shared" si="10"/>
        <v>208.9</v>
      </c>
      <c r="G69" s="48">
        <f t="shared" si="9"/>
        <v>566.79999999999995</v>
      </c>
      <c r="H69" s="48"/>
    </row>
    <row r="70" spans="1:8" x14ac:dyDescent="0.25">
      <c r="A70" s="10">
        <v>41158</v>
      </c>
      <c r="B70">
        <v>0</v>
      </c>
      <c r="C70">
        <v>47.5</v>
      </c>
      <c r="D70">
        <v>208.9</v>
      </c>
      <c r="E70">
        <v>519.29999999999995</v>
      </c>
      <c r="F70" s="48">
        <f t="shared" si="10"/>
        <v>208.9</v>
      </c>
      <c r="G70" s="48">
        <f t="shared" si="9"/>
        <v>566.79999999999995</v>
      </c>
      <c r="H70" s="48"/>
    </row>
    <row r="71" spans="1:8" x14ac:dyDescent="0.25">
      <c r="A71" s="10">
        <v>41165</v>
      </c>
      <c r="B71" s="48">
        <v>0</v>
      </c>
      <c r="C71" s="48">
        <v>47.5</v>
      </c>
      <c r="D71" s="48">
        <v>208.9</v>
      </c>
      <c r="E71" s="48">
        <v>519.29999999999995</v>
      </c>
      <c r="F71" s="48">
        <f t="shared" si="10"/>
        <v>208.9</v>
      </c>
      <c r="G71" s="48">
        <f t="shared" si="9"/>
        <v>566.79999999999995</v>
      </c>
      <c r="H71" s="48"/>
    </row>
    <row r="72" spans="1:8" x14ac:dyDescent="0.25">
      <c r="A72" s="10">
        <v>41172</v>
      </c>
      <c r="B72">
        <v>0</v>
      </c>
      <c r="C72">
        <v>0</v>
      </c>
      <c r="D72">
        <v>208.9</v>
      </c>
      <c r="E72">
        <v>571.79999999999995</v>
      </c>
      <c r="F72" s="48">
        <f t="shared" si="10"/>
        <v>208.9</v>
      </c>
      <c r="G72" s="48">
        <f t="shared" ref="G72:G103" si="11">+C72+E72</f>
        <v>571.79999999999995</v>
      </c>
      <c r="H72" s="48"/>
    </row>
    <row r="73" spans="1:8" x14ac:dyDescent="0.25">
      <c r="A73" s="10">
        <v>41179</v>
      </c>
      <c r="B73" s="48">
        <v>0</v>
      </c>
      <c r="C73" s="48">
        <v>0</v>
      </c>
      <c r="D73" s="48">
        <v>208.9</v>
      </c>
      <c r="E73" s="48">
        <v>571.79999999999995</v>
      </c>
      <c r="F73" s="48">
        <f t="shared" si="10"/>
        <v>208.9</v>
      </c>
      <c r="G73" s="48">
        <f t="shared" si="11"/>
        <v>571.79999999999995</v>
      </c>
      <c r="H73" s="48"/>
    </row>
    <row r="74" spans="1:8" x14ac:dyDescent="0.25">
      <c r="A74" s="10">
        <v>41186</v>
      </c>
      <c r="B74" s="48">
        <v>0</v>
      </c>
      <c r="C74" s="48">
        <v>0</v>
      </c>
      <c r="D74" s="48">
        <v>208.9</v>
      </c>
      <c r="E74" s="48">
        <v>571.79999999999995</v>
      </c>
      <c r="F74" s="48">
        <f t="shared" si="10"/>
        <v>208.9</v>
      </c>
      <c r="G74" s="48">
        <f t="shared" si="11"/>
        <v>571.79999999999995</v>
      </c>
      <c r="H74" s="48"/>
    </row>
    <row r="75" spans="1:8" x14ac:dyDescent="0.25">
      <c r="A75" s="10">
        <v>41193</v>
      </c>
      <c r="B75" s="48">
        <v>0</v>
      </c>
      <c r="C75" s="48">
        <v>0</v>
      </c>
      <c r="D75" s="48">
        <v>208.9</v>
      </c>
      <c r="E75" s="48">
        <v>571.79999999999995</v>
      </c>
      <c r="F75" s="48">
        <f t="shared" si="10"/>
        <v>208.9</v>
      </c>
      <c r="G75" s="48">
        <f t="shared" si="11"/>
        <v>571.79999999999995</v>
      </c>
      <c r="H75" s="48"/>
    </row>
    <row r="76" spans="1:8" x14ac:dyDescent="0.25">
      <c r="A76" s="10">
        <v>41200</v>
      </c>
      <c r="B76" s="48">
        <v>0</v>
      </c>
      <c r="C76" s="48">
        <v>0</v>
      </c>
      <c r="D76" s="48">
        <v>208.9</v>
      </c>
      <c r="E76" s="48">
        <v>571.79999999999995</v>
      </c>
      <c r="F76" s="48">
        <f t="shared" si="10"/>
        <v>208.9</v>
      </c>
      <c r="G76" s="48">
        <f t="shared" si="11"/>
        <v>571.79999999999995</v>
      </c>
      <c r="H76" s="48"/>
    </row>
    <row r="77" spans="1:8" x14ac:dyDescent="0.25">
      <c r="A77" s="10">
        <v>41207</v>
      </c>
      <c r="B77">
        <v>0</v>
      </c>
      <c r="C77">
        <v>0</v>
      </c>
      <c r="D77">
        <v>208.9</v>
      </c>
      <c r="E77">
        <v>571.79999999999995</v>
      </c>
      <c r="F77" s="48">
        <f t="shared" si="10"/>
        <v>208.9</v>
      </c>
      <c r="G77" s="48">
        <f t="shared" si="11"/>
        <v>571.79999999999995</v>
      </c>
      <c r="H77" s="48"/>
    </row>
    <row r="78" spans="1:8" x14ac:dyDescent="0.25">
      <c r="A78" s="10">
        <v>41214</v>
      </c>
      <c r="B78" s="48">
        <v>0</v>
      </c>
      <c r="C78" s="48">
        <v>0</v>
      </c>
      <c r="D78" s="48">
        <v>208.9</v>
      </c>
      <c r="E78" s="48">
        <v>571.79999999999995</v>
      </c>
      <c r="F78" s="48">
        <f t="shared" si="10"/>
        <v>208.9</v>
      </c>
      <c r="G78" s="48">
        <f t="shared" si="11"/>
        <v>571.79999999999995</v>
      </c>
      <c r="H78" s="48"/>
    </row>
    <row r="79" spans="1:8" x14ac:dyDescent="0.25">
      <c r="A79" s="10">
        <v>41221</v>
      </c>
      <c r="B79" s="48">
        <v>0</v>
      </c>
      <c r="C79" s="48">
        <v>0</v>
      </c>
      <c r="D79" s="48">
        <v>208.9</v>
      </c>
      <c r="E79" s="48">
        <v>571.79999999999995</v>
      </c>
      <c r="F79" s="48">
        <f t="shared" si="10"/>
        <v>208.9</v>
      </c>
      <c r="G79" s="48">
        <f t="shared" si="11"/>
        <v>571.79999999999995</v>
      </c>
      <c r="H79" s="48"/>
    </row>
    <row r="80" spans="1:8" x14ac:dyDescent="0.25">
      <c r="A80" s="10">
        <v>41228</v>
      </c>
      <c r="B80">
        <v>0</v>
      </c>
      <c r="C80">
        <v>0</v>
      </c>
      <c r="D80">
        <v>208.9</v>
      </c>
      <c r="E80">
        <v>571.79999999999995</v>
      </c>
      <c r="F80" s="48">
        <f t="shared" si="10"/>
        <v>208.9</v>
      </c>
      <c r="G80" s="48">
        <f t="shared" si="11"/>
        <v>571.79999999999995</v>
      </c>
      <c r="H80" s="48"/>
    </row>
    <row r="81" spans="1:8" x14ac:dyDescent="0.25">
      <c r="A81" s="10">
        <v>41235</v>
      </c>
      <c r="B81" s="48">
        <v>0</v>
      </c>
      <c r="C81" s="48">
        <v>0</v>
      </c>
      <c r="D81" s="48">
        <v>208.9</v>
      </c>
      <c r="E81" s="48">
        <v>571.79999999999995</v>
      </c>
      <c r="F81" s="48">
        <f t="shared" si="10"/>
        <v>208.9</v>
      </c>
      <c r="G81" s="48">
        <f t="shared" si="11"/>
        <v>571.79999999999995</v>
      </c>
      <c r="H81" s="48"/>
    </row>
    <row r="82" spans="1:8" x14ac:dyDescent="0.25">
      <c r="A82" s="10">
        <v>41242</v>
      </c>
      <c r="B82">
        <v>0</v>
      </c>
      <c r="C82">
        <v>0</v>
      </c>
      <c r="D82">
        <v>208.9</v>
      </c>
      <c r="E82">
        <v>571.79999999999995</v>
      </c>
      <c r="F82" s="48">
        <f t="shared" si="10"/>
        <v>208.9</v>
      </c>
      <c r="G82" s="48">
        <f t="shared" si="11"/>
        <v>571.79999999999995</v>
      </c>
      <c r="H82" s="48"/>
    </row>
    <row r="83" spans="1:8" x14ac:dyDescent="0.25">
      <c r="A83" s="10">
        <v>41249</v>
      </c>
      <c r="B83">
        <v>0</v>
      </c>
      <c r="C83">
        <v>0</v>
      </c>
      <c r="D83">
        <v>208.9</v>
      </c>
      <c r="E83">
        <v>571.79999999999995</v>
      </c>
      <c r="F83" s="48">
        <f t="shared" si="10"/>
        <v>208.9</v>
      </c>
      <c r="G83" s="48">
        <f t="shared" si="11"/>
        <v>571.79999999999995</v>
      </c>
      <c r="H83" s="48"/>
    </row>
    <row r="84" spans="1:8" x14ac:dyDescent="0.25">
      <c r="A84" s="10">
        <v>41256</v>
      </c>
      <c r="B84">
        <v>0</v>
      </c>
      <c r="C84">
        <v>0</v>
      </c>
      <c r="D84">
        <v>208.9</v>
      </c>
      <c r="E84">
        <v>571.79999999999995</v>
      </c>
      <c r="F84" s="48">
        <f t="shared" si="10"/>
        <v>208.9</v>
      </c>
      <c r="G84" s="48">
        <f t="shared" si="11"/>
        <v>571.79999999999995</v>
      </c>
      <c r="H84" s="48"/>
    </row>
    <row r="85" spans="1:8" x14ac:dyDescent="0.25">
      <c r="A85" s="10">
        <v>41263</v>
      </c>
      <c r="B85">
        <v>0</v>
      </c>
      <c r="C85">
        <v>0</v>
      </c>
      <c r="D85">
        <v>208.9</v>
      </c>
      <c r="E85">
        <v>571.79999999999995</v>
      </c>
      <c r="F85" s="48">
        <f t="shared" si="10"/>
        <v>208.9</v>
      </c>
      <c r="G85" s="48">
        <f t="shared" si="11"/>
        <v>571.79999999999995</v>
      </c>
      <c r="H85" s="48"/>
    </row>
    <row r="86" spans="1:8" x14ac:dyDescent="0.25">
      <c r="A86" s="10">
        <v>41270</v>
      </c>
      <c r="B86">
        <v>0</v>
      </c>
      <c r="C86">
        <v>0</v>
      </c>
      <c r="D86">
        <v>208.9</v>
      </c>
      <c r="E86">
        <v>571.79999999999995</v>
      </c>
      <c r="F86" s="48">
        <f t="shared" si="10"/>
        <v>208.9</v>
      </c>
      <c r="G86" s="48">
        <f t="shared" si="11"/>
        <v>571.79999999999995</v>
      </c>
      <c r="H86" s="48"/>
    </row>
    <row r="87" spans="1:8" x14ac:dyDescent="0.25">
      <c r="A87" s="10">
        <v>41277</v>
      </c>
      <c r="B87">
        <v>0</v>
      </c>
      <c r="C87">
        <v>0</v>
      </c>
      <c r="D87">
        <v>208.9</v>
      </c>
      <c r="E87">
        <v>571.79999999999995</v>
      </c>
      <c r="F87" s="48">
        <f t="shared" si="10"/>
        <v>208.9</v>
      </c>
      <c r="G87" s="48">
        <f t="shared" si="11"/>
        <v>571.79999999999995</v>
      </c>
      <c r="H87" s="48"/>
    </row>
    <row r="88" spans="1:8" x14ac:dyDescent="0.25">
      <c r="A88" s="10">
        <v>41284</v>
      </c>
      <c r="B88">
        <v>0</v>
      </c>
      <c r="C88">
        <v>0</v>
      </c>
      <c r="D88">
        <v>208.9</v>
      </c>
      <c r="E88">
        <v>571.79999999999995</v>
      </c>
      <c r="F88" s="48">
        <f t="shared" si="10"/>
        <v>208.9</v>
      </c>
      <c r="G88" s="48">
        <f t="shared" si="11"/>
        <v>571.79999999999995</v>
      </c>
      <c r="H88" s="48"/>
    </row>
    <row r="89" spans="1:8" x14ac:dyDescent="0.25">
      <c r="A89" s="10">
        <v>41291</v>
      </c>
      <c r="B89">
        <v>0</v>
      </c>
      <c r="C89">
        <v>0</v>
      </c>
      <c r="D89">
        <v>208.9</v>
      </c>
      <c r="E89">
        <v>571.79999999999995</v>
      </c>
      <c r="F89" s="48">
        <f t="shared" si="10"/>
        <v>208.9</v>
      </c>
      <c r="G89" s="48">
        <f t="shared" si="11"/>
        <v>571.79999999999995</v>
      </c>
      <c r="H89" s="48"/>
    </row>
    <row r="90" spans="1:8" x14ac:dyDescent="0.25">
      <c r="A90" s="10">
        <v>41298</v>
      </c>
      <c r="B90">
        <v>0</v>
      </c>
      <c r="C90">
        <v>0</v>
      </c>
      <c r="D90">
        <v>208.9</v>
      </c>
      <c r="E90">
        <v>571.79999999999995</v>
      </c>
      <c r="F90" s="48">
        <f t="shared" si="10"/>
        <v>208.9</v>
      </c>
      <c r="G90" s="48">
        <f t="shared" si="11"/>
        <v>571.79999999999995</v>
      </c>
      <c r="H90" s="48"/>
    </row>
    <row r="91" spans="1:8" x14ac:dyDescent="0.25">
      <c r="A91" s="10">
        <v>41305</v>
      </c>
      <c r="B91">
        <v>0</v>
      </c>
      <c r="C91">
        <v>0</v>
      </c>
      <c r="D91">
        <v>208.9</v>
      </c>
      <c r="E91">
        <v>571.79999999999995</v>
      </c>
      <c r="F91" s="48">
        <f t="shared" si="10"/>
        <v>208.9</v>
      </c>
      <c r="G91" s="48">
        <f t="shared" si="11"/>
        <v>571.79999999999995</v>
      </c>
      <c r="H91" s="48"/>
    </row>
    <row r="92" spans="1:8" x14ac:dyDescent="0.25">
      <c r="A92" s="10">
        <v>41312</v>
      </c>
      <c r="B92">
        <v>0</v>
      </c>
      <c r="C92">
        <v>0</v>
      </c>
      <c r="D92">
        <v>208.9</v>
      </c>
      <c r="E92">
        <v>571.79999999999995</v>
      </c>
      <c r="F92" s="48">
        <f t="shared" si="10"/>
        <v>208.9</v>
      </c>
      <c r="G92" s="48">
        <f t="shared" si="11"/>
        <v>571.79999999999995</v>
      </c>
      <c r="H92" s="48"/>
    </row>
    <row r="93" spans="1:8" x14ac:dyDescent="0.25">
      <c r="A93" s="10">
        <v>41319</v>
      </c>
      <c r="B93">
        <v>0</v>
      </c>
      <c r="C93">
        <v>0</v>
      </c>
      <c r="D93">
        <v>208.9</v>
      </c>
      <c r="E93">
        <v>571.79999999999995</v>
      </c>
      <c r="F93" s="48">
        <f t="shared" si="10"/>
        <v>208.9</v>
      </c>
      <c r="G93" s="48">
        <f t="shared" si="11"/>
        <v>571.79999999999995</v>
      </c>
      <c r="H93" s="48"/>
    </row>
    <row r="94" spans="1:8" x14ac:dyDescent="0.25">
      <c r="A94" s="10">
        <v>41326</v>
      </c>
      <c r="B94">
        <v>0</v>
      </c>
      <c r="C94">
        <v>0</v>
      </c>
      <c r="D94">
        <v>208.9</v>
      </c>
      <c r="E94">
        <v>571.79999999999995</v>
      </c>
      <c r="F94" s="48">
        <f t="shared" si="10"/>
        <v>208.9</v>
      </c>
      <c r="G94" s="48">
        <f t="shared" si="11"/>
        <v>571.79999999999995</v>
      </c>
      <c r="H94" s="48"/>
    </row>
    <row r="95" spans="1:8" x14ac:dyDescent="0.25">
      <c r="A95" s="10">
        <v>41333</v>
      </c>
      <c r="B95">
        <v>0</v>
      </c>
      <c r="C95">
        <v>0</v>
      </c>
      <c r="D95">
        <v>208.9</v>
      </c>
      <c r="E95">
        <v>571.79999999999995</v>
      </c>
      <c r="F95" s="48">
        <f t="shared" si="10"/>
        <v>208.9</v>
      </c>
      <c r="G95" s="48">
        <f t="shared" si="11"/>
        <v>571.79999999999995</v>
      </c>
      <c r="H95" s="48"/>
    </row>
    <row r="96" spans="1:8" x14ac:dyDescent="0.25">
      <c r="A96" s="10">
        <v>41340</v>
      </c>
      <c r="B96">
        <v>0</v>
      </c>
      <c r="C96">
        <v>0</v>
      </c>
      <c r="D96">
        <v>208.9</v>
      </c>
      <c r="E96">
        <v>571.79999999999995</v>
      </c>
      <c r="F96" s="48">
        <f t="shared" si="10"/>
        <v>208.9</v>
      </c>
      <c r="G96" s="48">
        <f t="shared" si="11"/>
        <v>571.79999999999995</v>
      </c>
      <c r="H96" s="48"/>
    </row>
    <row r="97" spans="1:8" x14ac:dyDescent="0.25">
      <c r="A97" s="10">
        <v>41347</v>
      </c>
      <c r="B97">
        <v>0</v>
      </c>
      <c r="C97">
        <v>0</v>
      </c>
      <c r="D97">
        <v>208.9</v>
      </c>
      <c r="E97">
        <v>571.79999999999995</v>
      </c>
      <c r="F97" s="48">
        <f t="shared" si="10"/>
        <v>208.9</v>
      </c>
      <c r="G97" s="48">
        <f t="shared" si="11"/>
        <v>571.79999999999995</v>
      </c>
      <c r="H97" s="48"/>
    </row>
    <row r="98" spans="1:8" x14ac:dyDescent="0.25">
      <c r="A98" s="10">
        <v>41354</v>
      </c>
      <c r="B98">
        <v>0</v>
      </c>
      <c r="C98">
        <v>0</v>
      </c>
      <c r="D98">
        <v>208.9</v>
      </c>
      <c r="E98">
        <v>571.79999999999995</v>
      </c>
      <c r="F98" s="48">
        <f t="shared" si="10"/>
        <v>208.9</v>
      </c>
      <c r="G98" s="48">
        <f t="shared" si="11"/>
        <v>571.79999999999995</v>
      </c>
    </row>
    <row r="99" spans="1:8" x14ac:dyDescent="0.25">
      <c r="A99" s="10">
        <v>41361</v>
      </c>
      <c r="B99">
        <v>0</v>
      </c>
      <c r="C99">
        <v>0</v>
      </c>
      <c r="D99">
        <v>208.9</v>
      </c>
      <c r="E99">
        <v>571.79999999999995</v>
      </c>
      <c r="F99" s="48">
        <f t="shared" ref="F99:F109" si="12">+B99+D99</f>
        <v>208.9</v>
      </c>
      <c r="G99" s="48">
        <f t="shared" si="11"/>
        <v>571.79999999999995</v>
      </c>
    </row>
    <row r="100" spans="1:8" x14ac:dyDescent="0.25">
      <c r="A100" s="10">
        <v>41368</v>
      </c>
      <c r="B100">
        <v>0</v>
      </c>
      <c r="C100">
        <v>0</v>
      </c>
      <c r="D100">
        <v>208.9</v>
      </c>
      <c r="E100">
        <v>571.79999999999995</v>
      </c>
      <c r="F100" s="48">
        <f t="shared" si="12"/>
        <v>208.9</v>
      </c>
      <c r="G100" s="48">
        <f t="shared" si="11"/>
        <v>571.79999999999995</v>
      </c>
    </row>
    <row r="101" spans="1:8" x14ac:dyDescent="0.25">
      <c r="A101" s="10">
        <v>41375</v>
      </c>
      <c r="B101">
        <v>0</v>
      </c>
      <c r="C101">
        <v>0</v>
      </c>
      <c r="D101">
        <v>208.9</v>
      </c>
      <c r="E101">
        <v>571.79999999999995</v>
      </c>
      <c r="F101" s="48">
        <f t="shared" si="12"/>
        <v>208.9</v>
      </c>
      <c r="G101" s="48">
        <f t="shared" si="11"/>
        <v>571.79999999999995</v>
      </c>
    </row>
    <row r="102" spans="1:8" x14ac:dyDescent="0.25">
      <c r="A102" s="10">
        <v>41382</v>
      </c>
      <c r="B102">
        <v>0</v>
      </c>
      <c r="C102">
        <v>0</v>
      </c>
      <c r="D102">
        <v>208.9</v>
      </c>
      <c r="E102">
        <v>571.79999999999995</v>
      </c>
      <c r="F102" s="48">
        <f t="shared" si="12"/>
        <v>208.9</v>
      </c>
      <c r="G102" s="48">
        <f t="shared" si="11"/>
        <v>571.79999999999995</v>
      </c>
    </row>
    <row r="103" spans="1:8" x14ac:dyDescent="0.25">
      <c r="A103" s="10">
        <v>41389</v>
      </c>
      <c r="B103">
        <v>0</v>
      </c>
      <c r="C103">
        <v>0</v>
      </c>
      <c r="D103">
        <v>208.9</v>
      </c>
      <c r="E103">
        <v>571.79999999999995</v>
      </c>
      <c r="F103" s="48">
        <f t="shared" si="12"/>
        <v>208.9</v>
      </c>
      <c r="G103" s="48">
        <f t="shared" si="11"/>
        <v>571.79999999999995</v>
      </c>
    </row>
    <row r="104" spans="1:8" x14ac:dyDescent="0.25">
      <c r="A104" s="10">
        <v>41396</v>
      </c>
      <c r="B104">
        <v>0</v>
      </c>
      <c r="C104">
        <v>0</v>
      </c>
      <c r="D104">
        <v>208.9</v>
      </c>
      <c r="E104">
        <v>571.79999999999995</v>
      </c>
      <c r="F104" s="48">
        <f t="shared" si="12"/>
        <v>208.9</v>
      </c>
      <c r="G104" s="48">
        <f t="shared" ref="G104:G109" si="13">+C104+E104</f>
        <v>571.79999999999995</v>
      </c>
    </row>
    <row r="105" spans="1:8" x14ac:dyDescent="0.25">
      <c r="A105" s="10">
        <v>41403</v>
      </c>
      <c r="B105">
        <v>0</v>
      </c>
      <c r="C105">
        <v>0</v>
      </c>
      <c r="D105">
        <v>208.9</v>
      </c>
      <c r="E105">
        <v>571.79999999999995</v>
      </c>
      <c r="F105" s="48">
        <f t="shared" si="12"/>
        <v>208.9</v>
      </c>
      <c r="G105" s="48">
        <f t="shared" si="13"/>
        <v>571.79999999999995</v>
      </c>
    </row>
    <row r="106" spans="1:8" x14ac:dyDescent="0.25">
      <c r="A106" s="10">
        <v>41410</v>
      </c>
      <c r="B106">
        <v>0</v>
      </c>
      <c r="C106">
        <v>0</v>
      </c>
      <c r="D106">
        <v>208.9</v>
      </c>
      <c r="E106">
        <v>571.79999999999995</v>
      </c>
      <c r="F106" s="48">
        <f t="shared" si="12"/>
        <v>208.9</v>
      </c>
      <c r="G106" s="48">
        <f t="shared" si="13"/>
        <v>571.79999999999995</v>
      </c>
    </row>
    <row r="107" spans="1:8" x14ac:dyDescent="0.25">
      <c r="A107" s="10">
        <v>41417</v>
      </c>
      <c r="B107">
        <v>0</v>
      </c>
      <c r="C107">
        <v>0</v>
      </c>
      <c r="D107">
        <v>208.9</v>
      </c>
      <c r="E107">
        <v>571.79999999999995</v>
      </c>
      <c r="F107" s="48">
        <f t="shared" si="12"/>
        <v>208.9</v>
      </c>
      <c r="G107" s="48">
        <f t="shared" si="13"/>
        <v>571.79999999999995</v>
      </c>
    </row>
    <row r="108" spans="1:8" x14ac:dyDescent="0.25">
      <c r="A108" s="10">
        <v>41424</v>
      </c>
      <c r="B108">
        <v>0</v>
      </c>
      <c r="C108">
        <v>0</v>
      </c>
      <c r="D108">
        <v>208.9</v>
      </c>
      <c r="E108">
        <v>571.79999999999995</v>
      </c>
      <c r="F108" s="48">
        <f t="shared" si="12"/>
        <v>208.9</v>
      </c>
      <c r="G108" s="48">
        <f t="shared" si="13"/>
        <v>571.79999999999995</v>
      </c>
    </row>
    <row r="109" spans="1:8" x14ac:dyDescent="0.25">
      <c r="A109" s="10">
        <v>41431</v>
      </c>
      <c r="B109">
        <v>0</v>
      </c>
      <c r="C109">
        <v>200</v>
      </c>
      <c r="D109">
        <v>0</v>
      </c>
      <c r="E109">
        <v>0</v>
      </c>
      <c r="F109" s="48">
        <f t="shared" si="12"/>
        <v>0</v>
      </c>
      <c r="G109" s="48">
        <f t="shared" si="13"/>
        <v>200</v>
      </c>
    </row>
    <row r="110" spans="1:8" x14ac:dyDescent="0.25">
      <c r="A110" s="10">
        <v>41438</v>
      </c>
    </row>
    <row r="111" spans="1:8" x14ac:dyDescent="0.25">
      <c r="A111" s="10">
        <v>41445</v>
      </c>
      <c r="B111">
        <v>0</v>
      </c>
      <c r="C111">
        <v>48.6</v>
      </c>
      <c r="D111">
        <v>0</v>
      </c>
      <c r="E111">
        <v>156.4</v>
      </c>
      <c r="F111" s="48">
        <f t="shared" ref="F111:G113" si="14">+B111+D111</f>
        <v>0</v>
      </c>
      <c r="G111" s="48">
        <f t="shared" si="14"/>
        <v>205</v>
      </c>
    </row>
    <row r="112" spans="1:8" x14ac:dyDescent="0.25">
      <c r="A112" s="10">
        <v>41452</v>
      </c>
      <c r="B112">
        <v>0</v>
      </c>
      <c r="C112">
        <v>48.6</v>
      </c>
      <c r="D112">
        <v>0</v>
      </c>
      <c r="E112">
        <v>156.4</v>
      </c>
      <c r="F112" s="48">
        <f t="shared" si="14"/>
        <v>0</v>
      </c>
      <c r="G112" s="48">
        <f t="shared" si="14"/>
        <v>205</v>
      </c>
    </row>
    <row r="113" spans="1:10" x14ac:dyDescent="0.25">
      <c r="A113" s="10">
        <v>41459</v>
      </c>
      <c r="B113">
        <v>0</v>
      </c>
      <c r="C113">
        <v>0</v>
      </c>
      <c r="D113">
        <v>0</v>
      </c>
      <c r="E113">
        <v>208.9</v>
      </c>
      <c r="F113" s="48">
        <f t="shared" si="14"/>
        <v>0</v>
      </c>
      <c r="G113" s="48">
        <f t="shared" si="14"/>
        <v>208.9</v>
      </c>
    </row>
    <row r="114" spans="1:10" x14ac:dyDescent="0.25">
      <c r="A114" s="10">
        <v>41466</v>
      </c>
      <c r="B114">
        <v>0</v>
      </c>
      <c r="C114">
        <v>0</v>
      </c>
      <c r="D114">
        <v>0</v>
      </c>
      <c r="E114">
        <v>208.9</v>
      </c>
      <c r="F114" s="48">
        <f>+B114+D114</f>
        <v>0</v>
      </c>
      <c r="G114" s="48">
        <f>+C114+E114</f>
        <v>208.9</v>
      </c>
    </row>
    <row r="115" spans="1:10" x14ac:dyDescent="0.25">
      <c r="A115" s="10">
        <v>41473</v>
      </c>
      <c r="B115">
        <v>0</v>
      </c>
      <c r="C115">
        <v>0</v>
      </c>
      <c r="D115">
        <v>0</v>
      </c>
      <c r="E115">
        <v>208.9</v>
      </c>
      <c r="F115" s="48">
        <f>+B115+D115</f>
        <v>0</v>
      </c>
      <c r="G115" s="48">
        <f>+C115+E115</f>
        <v>208.9</v>
      </c>
    </row>
    <row r="116" spans="1:10" x14ac:dyDescent="0.25">
      <c r="A116" s="10">
        <v>41480</v>
      </c>
    </row>
    <row r="117" spans="1:10" x14ac:dyDescent="0.25">
      <c r="A117" s="10">
        <v>41487</v>
      </c>
      <c r="B117">
        <v>0</v>
      </c>
      <c r="C117">
        <v>0</v>
      </c>
      <c r="D117">
        <v>0</v>
      </c>
      <c r="E117">
        <v>208.9</v>
      </c>
      <c r="F117" s="48">
        <f t="shared" ref="F117:G119" si="15">+B117+D117</f>
        <v>0</v>
      </c>
      <c r="G117" s="48">
        <f t="shared" si="15"/>
        <v>208.9</v>
      </c>
    </row>
    <row r="118" spans="1:10" x14ac:dyDescent="0.25">
      <c r="A118" s="10">
        <v>41494</v>
      </c>
      <c r="B118">
        <v>0</v>
      </c>
      <c r="C118">
        <v>0</v>
      </c>
      <c r="D118">
        <v>0</v>
      </c>
      <c r="E118">
        <v>208.9</v>
      </c>
      <c r="F118" s="48">
        <f t="shared" si="15"/>
        <v>0</v>
      </c>
      <c r="G118" s="48">
        <f t="shared" si="15"/>
        <v>208.9</v>
      </c>
    </row>
    <row r="119" spans="1:10" x14ac:dyDescent="0.25">
      <c r="A119" s="10">
        <v>41501</v>
      </c>
      <c r="B119">
        <v>0</v>
      </c>
      <c r="C119">
        <v>0</v>
      </c>
      <c r="D119">
        <v>0</v>
      </c>
      <c r="E119">
        <v>208.9</v>
      </c>
      <c r="F119" s="48">
        <f t="shared" si="15"/>
        <v>0</v>
      </c>
      <c r="G119" s="48">
        <f t="shared" si="15"/>
        <v>208.9</v>
      </c>
    </row>
    <row r="120" spans="1:10" x14ac:dyDescent="0.25">
      <c r="A120" s="10">
        <v>41508</v>
      </c>
      <c r="B120">
        <v>0</v>
      </c>
      <c r="C120">
        <v>0</v>
      </c>
      <c r="D120">
        <v>0</v>
      </c>
      <c r="E120">
        <v>208.9</v>
      </c>
      <c r="F120" s="48">
        <f t="shared" ref="F120:G124" si="16">+B120+D120</f>
        <v>0</v>
      </c>
      <c r="G120" s="48">
        <f t="shared" si="16"/>
        <v>208.9</v>
      </c>
    </row>
    <row r="121" spans="1:10" x14ac:dyDescent="0.25">
      <c r="A121" s="10">
        <v>41515</v>
      </c>
      <c r="B121">
        <v>0</v>
      </c>
      <c r="C121">
        <v>0</v>
      </c>
      <c r="D121">
        <v>0</v>
      </c>
      <c r="E121">
        <v>208.9</v>
      </c>
      <c r="F121" s="48">
        <f t="shared" si="16"/>
        <v>0</v>
      </c>
      <c r="G121" s="48">
        <f t="shared" si="16"/>
        <v>208.9</v>
      </c>
    </row>
    <row r="122" spans="1:10" x14ac:dyDescent="0.25">
      <c r="A122" s="10">
        <v>41522</v>
      </c>
      <c r="B122">
        <v>0</v>
      </c>
      <c r="C122">
        <v>0</v>
      </c>
      <c r="D122">
        <v>0</v>
      </c>
      <c r="E122">
        <v>208.9</v>
      </c>
      <c r="F122" s="48">
        <f t="shared" si="16"/>
        <v>0</v>
      </c>
      <c r="G122" s="48">
        <f t="shared" si="16"/>
        <v>208.9</v>
      </c>
    </row>
    <row r="123" spans="1:10" x14ac:dyDescent="0.25">
      <c r="A123" s="10">
        <v>41529</v>
      </c>
      <c r="B123">
        <v>0</v>
      </c>
      <c r="C123">
        <v>0</v>
      </c>
      <c r="D123">
        <v>0</v>
      </c>
      <c r="E123">
        <v>208.9</v>
      </c>
      <c r="F123" s="48">
        <f t="shared" si="16"/>
        <v>0</v>
      </c>
      <c r="G123" s="48">
        <f t="shared" si="16"/>
        <v>208.9</v>
      </c>
    </row>
    <row r="124" spans="1:10" x14ac:dyDescent="0.25">
      <c r="A124" s="10">
        <v>41536</v>
      </c>
      <c r="B124">
        <v>0</v>
      </c>
      <c r="C124">
        <v>0</v>
      </c>
      <c r="D124">
        <v>0</v>
      </c>
      <c r="E124">
        <v>208.9</v>
      </c>
      <c r="F124" s="48">
        <f t="shared" si="16"/>
        <v>0</v>
      </c>
      <c r="G124" s="48">
        <f t="shared" si="16"/>
        <v>208.9</v>
      </c>
    </row>
    <row r="125" spans="1:10" ht="15" x14ac:dyDescent="0.25">
      <c r="A125" s="10">
        <v>41543</v>
      </c>
      <c r="B125">
        <v>0</v>
      </c>
      <c r="C125">
        <v>0</v>
      </c>
      <c r="D125">
        <v>0</v>
      </c>
      <c r="E125">
        <v>208.9</v>
      </c>
      <c r="F125" s="48">
        <f t="shared" ref="F125:G129" si="17">+B125+D125</f>
        <v>0</v>
      </c>
      <c r="G125" s="48">
        <f t="shared" si="17"/>
        <v>208.9</v>
      </c>
      <c r="J125" s="75"/>
    </row>
    <row r="126" spans="1:10" x14ac:dyDescent="0.25">
      <c r="A126" s="10">
        <v>41550</v>
      </c>
      <c r="B126">
        <v>0</v>
      </c>
      <c r="C126">
        <v>0</v>
      </c>
      <c r="D126">
        <v>0</v>
      </c>
      <c r="E126">
        <v>208.9</v>
      </c>
      <c r="F126" s="48">
        <f t="shared" si="17"/>
        <v>0</v>
      </c>
      <c r="G126" s="48">
        <f t="shared" si="17"/>
        <v>208.9</v>
      </c>
    </row>
    <row r="127" spans="1:10" x14ac:dyDescent="0.25">
      <c r="A127" s="10">
        <v>41557</v>
      </c>
      <c r="F127" s="48"/>
      <c r="G127" s="48"/>
    </row>
    <row r="128" spans="1:10" x14ac:dyDescent="0.25">
      <c r="A128" s="10">
        <v>41564</v>
      </c>
      <c r="F128" s="48"/>
      <c r="G128" s="48"/>
    </row>
    <row r="129" spans="1:10" x14ac:dyDescent="0.25">
      <c r="A129" s="10">
        <v>41571</v>
      </c>
      <c r="B129">
        <v>0</v>
      </c>
      <c r="C129">
        <v>0</v>
      </c>
      <c r="D129">
        <v>0</v>
      </c>
      <c r="E129">
        <v>208.9</v>
      </c>
      <c r="F129" s="48">
        <f t="shared" si="17"/>
        <v>0</v>
      </c>
      <c r="G129" s="48">
        <f t="shared" si="17"/>
        <v>208.9</v>
      </c>
    </row>
    <row r="130" spans="1:10" x14ac:dyDescent="0.25">
      <c r="A130" s="10">
        <v>41578</v>
      </c>
      <c r="B130">
        <v>0</v>
      </c>
      <c r="C130">
        <v>0</v>
      </c>
      <c r="D130">
        <v>0</v>
      </c>
      <c r="E130">
        <v>208.9</v>
      </c>
      <c r="F130" s="48">
        <f t="shared" ref="F130:G132" si="18">+B130+D130</f>
        <v>0</v>
      </c>
      <c r="G130" s="48">
        <f t="shared" si="18"/>
        <v>208.9</v>
      </c>
    </row>
    <row r="131" spans="1:10" ht="15" x14ac:dyDescent="0.25">
      <c r="A131" s="10">
        <v>41585</v>
      </c>
      <c r="B131">
        <v>0</v>
      </c>
      <c r="C131">
        <v>0</v>
      </c>
      <c r="D131">
        <v>0</v>
      </c>
      <c r="E131">
        <v>208.9</v>
      </c>
      <c r="F131" s="48">
        <f t="shared" si="18"/>
        <v>0</v>
      </c>
      <c r="G131" s="48">
        <f t="shared" si="18"/>
        <v>208.9</v>
      </c>
      <c r="J131" s="75"/>
    </row>
    <row r="132" spans="1:10" x14ac:dyDescent="0.25">
      <c r="A132" s="10">
        <v>41592</v>
      </c>
      <c r="B132">
        <v>0</v>
      </c>
      <c r="C132">
        <v>0</v>
      </c>
      <c r="D132">
        <v>0</v>
      </c>
      <c r="E132">
        <v>208.9</v>
      </c>
      <c r="F132" s="48">
        <f t="shared" si="18"/>
        <v>0</v>
      </c>
      <c r="G132" s="48">
        <f t="shared" si="18"/>
        <v>208.9</v>
      </c>
    </row>
    <row r="133" spans="1:10" x14ac:dyDescent="0.25">
      <c r="A133" s="10">
        <v>41599</v>
      </c>
      <c r="B133">
        <v>0</v>
      </c>
      <c r="C133">
        <v>0</v>
      </c>
      <c r="D133">
        <v>0</v>
      </c>
      <c r="E133">
        <v>208.9</v>
      </c>
      <c r="F133" s="48">
        <f t="shared" ref="F133" si="19">+B133+D133</f>
        <v>0</v>
      </c>
      <c r="G133" s="48">
        <f t="shared" ref="G133" si="20">+C133+E133</f>
        <v>208.9</v>
      </c>
    </row>
    <row r="134" spans="1:10" x14ac:dyDescent="0.25">
      <c r="A134" s="10">
        <v>41606</v>
      </c>
    </row>
    <row r="135" spans="1:10" x14ac:dyDescent="0.25">
      <c r="A135" s="10">
        <v>41613</v>
      </c>
    </row>
    <row r="136" spans="1:10" x14ac:dyDescent="0.25">
      <c r="A136" s="10">
        <v>41620</v>
      </c>
    </row>
    <row r="137" spans="1:10" x14ac:dyDescent="0.25">
      <c r="A137" s="10">
        <v>41627</v>
      </c>
    </row>
    <row r="138" spans="1:10" x14ac:dyDescent="0.25">
      <c r="A138" s="10">
        <v>41634</v>
      </c>
    </row>
    <row r="139" spans="1:10" x14ac:dyDescent="0.25">
      <c r="A139" s="10">
        <v>41641</v>
      </c>
    </row>
    <row r="140" spans="1:10" x14ac:dyDescent="0.25">
      <c r="A140" s="10">
        <v>41648</v>
      </c>
    </row>
    <row r="141" spans="1:10" x14ac:dyDescent="0.25">
      <c r="A141" s="10">
        <v>41655</v>
      </c>
    </row>
    <row r="142" spans="1:10" x14ac:dyDescent="0.25">
      <c r="A142" s="10">
        <v>41662</v>
      </c>
    </row>
    <row r="143" spans="1:10" x14ac:dyDescent="0.25">
      <c r="A143" s="10">
        <v>41669</v>
      </c>
    </row>
    <row r="144" spans="1:10" x14ac:dyDescent="0.25">
      <c r="A144" s="10">
        <v>41676</v>
      </c>
    </row>
    <row r="145" spans="1:1" x14ac:dyDescent="0.25">
      <c r="A145" s="10">
        <v>41683</v>
      </c>
    </row>
    <row r="146" spans="1:1" x14ac:dyDescent="0.25">
      <c r="A146" s="10">
        <v>41690</v>
      </c>
    </row>
    <row r="147" spans="1:1" x14ac:dyDescent="0.25">
      <c r="A147" s="10">
        <v>41697</v>
      </c>
    </row>
    <row r="148" spans="1:1" x14ac:dyDescent="0.25">
      <c r="A148" s="10">
        <v>41704</v>
      </c>
    </row>
    <row r="149" spans="1:1" x14ac:dyDescent="0.25">
      <c r="A149" s="10">
        <v>41711</v>
      </c>
    </row>
    <row r="150" spans="1:1" x14ac:dyDescent="0.25">
      <c r="A150" s="10">
        <v>41718</v>
      </c>
    </row>
    <row r="151" spans="1:1" x14ac:dyDescent="0.25">
      <c r="A151" s="10">
        <v>41725</v>
      </c>
    </row>
    <row r="152" spans="1:1" x14ac:dyDescent="0.25">
      <c r="A152" s="10">
        <v>41732</v>
      </c>
    </row>
    <row r="153" spans="1:1" x14ac:dyDescent="0.25">
      <c r="A153" s="10">
        <v>41739</v>
      </c>
    </row>
    <row r="154" spans="1:1" x14ac:dyDescent="0.25">
      <c r="A154" s="10">
        <v>41746</v>
      </c>
    </row>
    <row r="155" spans="1:1" x14ac:dyDescent="0.25">
      <c r="A155" s="10">
        <v>41753</v>
      </c>
    </row>
    <row r="156" spans="1:1" x14ac:dyDescent="0.25">
      <c r="A156" s="10">
        <v>41760</v>
      </c>
    </row>
    <row r="157" spans="1:1" x14ac:dyDescent="0.25">
      <c r="A157" s="10">
        <v>41767</v>
      </c>
    </row>
    <row r="158" spans="1:1" x14ac:dyDescent="0.25">
      <c r="A158" s="10">
        <v>41774</v>
      </c>
    </row>
    <row r="159" spans="1:1" x14ac:dyDescent="0.25">
      <c r="A159" s="10">
        <v>41781</v>
      </c>
    </row>
    <row r="160" spans="1:1" x14ac:dyDescent="0.25">
      <c r="A160" s="10">
        <v>41788</v>
      </c>
    </row>
    <row r="161" spans="1:1" x14ac:dyDescent="0.25">
      <c r="A161" s="10">
        <v>41795</v>
      </c>
    </row>
    <row r="162" spans="1:1" x14ac:dyDescent="0.25">
      <c r="A162" s="10">
        <v>41802</v>
      </c>
    </row>
    <row r="163" spans="1:1" x14ac:dyDescent="0.25">
      <c r="A163" s="10">
        <v>41809</v>
      </c>
    </row>
    <row r="164" spans="1:1" x14ac:dyDescent="0.25">
      <c r="A164" s="10">
        <v>41816</v>
      </c>
    </row>
    <row r="165" spans="1:1" x14ac:dyDescent="0.25">
      <c r="A165" s="10">
        <v>41823</v>
      </c>
    </row>
    <row r="166" spans="1:1" x14ac:dyDescent="0.25">
      <c r="A166" s="10">
        <v>41830</v>
      </c>
    </row>
    <row r="167" spans="1:1" x14ac:dyDescent="0.25">
      <c r="A167" s="10">
        <v>41837</v>
      </c>
    </row>
    <row r="168" spans="1:1" x14ac:dyDescent="0.25">
      <c r="A168" s="10">
        <v>41844</v>
      </c>
    </row>
    <row r="169" spans="1:1" x14ac:dyDescent="0.25">
      <c r="A169" s="10">
        <v>41851</v>
      </c>
    </row>
    <row r="170" spans="1:1" x14ac:dyDescent="0.25">
      <c r="A170" s="10">
        <v>41858</v>
      </c>
    </row>
    <row r="171" spans="1:1" x14ac:dyDescent="0.25">
      <c r="A171" s="10">
        <v>41865</v>
      </c>
    </row>
    <row r="172" spans="1:1" x14ac:dyDescent="0.25">
      <c r="A172" s="10">
        <v>41872</v>
      </c>
    </row>
    <row r="173" spans="1:1" x14ac:dyDescent="0.25">
      <c r="A173" s="10">
        <v>41879</v>
      </c>
    </row>
    <row r="174" spans="1:1" x14ac:dyDescent="0.25">
      <c r="A174" s="10">
        <v>41886</v>
      </c>
    </row>
    <row r="175" spans="1:1" x14ac:dyDescent="0.25">
      <c r="A175" s="10">
        <v>41893</v>
      </c>
    </row>
    <row r="176" spans="1:1" x14ac:dyDescent="0.25">
      <c r="A176" s="10">
        <v>41900</v>
      </c>
    </row>
    <row r="177" spans="1:1" x14ac:dyDescent="0.25">
      <c r="A177" s="10">
        <v>41907</v>
      </c>
    </row>
    <row r="178" spans="1:1" x14ac:dyDescent="0.25">
      <c r="A178" s="10">
        <v>41914</v>
      </c>
    </row>
    <row r="179" spans="1:1" x14ac:dyDescent="0.25">
      <c r="A179" s="10">
        <v>41921</v>
      </c>
    </row>
    <row r="180" spans="1:1" x14ac:dyDescent="0.25">
      <c r="A180" s="10">
        <v>41928</v>
      </c>
    </row>
    <row r="181" spans="1:1" x14ac:dyDescent="0.25">
      <c r="A181" s="10">
        <v>41935</v>
      </c>
    </row>
    <row r="182" spans="1:1" x14ac:dyDescent="0.25">
      <c r="A182" s="10">
        <v>41942</v>
      </c>
    </row>
    <row r="183" spans="1:1" x14ac:dyDescent="0.25">
      <c r="A183" s="10">
        <v>41949</v>
      </c>
    </row>
    <row r="184" spans="1:1" x14ac:dyDescent="0.25">
      <c r="A184" s="10">
        <v>41956</v>
      </c>
    </row>
    <row r="185" spans="1:1" x14ac:dyDescent="0.25">
      <c r="A185" s="10">
        <v>41963</v>
      </c>
    </row>
    <row r="186" spans="1:1" x14ac:dyDescent="0.25">
      <c r="A186" s="10">
        <v>41970</v>
      </c>
    </row>
    <row r="187" spans="1:1" x14ac:dyDescent="0.25">
      <c r="A187" s="10">
        <v>41977</v>
      </c>
    </row>
    <row r="188" spans="1:1" x14ac:dyDescent="0.25">
      <c r="A188" s="10">
        <v>41984</v>
      </c>
    </row>
    <row r="189" spans="1:1" x14ac:dyDescent="0.25">
      <c r="A189" s="10">
        <v>41991</v>
      </c>
    </row>
    <row r="190" spans="1:1" x14ac:dyDescent="0.25">
      <c r="A190" s="10">
        <v>41998</v>
      </c>
    </row>
    <row r="191" spans="1:1" x14ac:dyDescent="0.25">
      <c r="A191" s="10">
        <v>42005</v>
      </c>
    </row>
    <row r="192" spans="1:1" x14ac:dyDescent="0.25">
      <c r="A192" s="10">
        <v>42012</v>
      </c>
    </row>
    <row r="193" spans="1:1" x14ac:dyDescent="0.25">
      <c r="A193" s="10">
        <v>42019</v>
      </c>
    </row>
    <row r="194" spans="1:1" x14ac:dyDescent="0.25">
      <c r="A194" s="10">
        <v>42026</v>
      </c>
    </row>
    <row r="195" spans="1:1" x14ac:dyDescent="0.25">
      <c r="A195" s="10">
        <v>42033</v>
      </c>
    </row>
    <row r="196" spans="1:1" x14ac:dyDescent="0.25">
      <c r="A196" s="10">
        <v>42040</v>
      </c>
    </row>
    <row r="197" spans="1:1" x14ac:dyDescent="0.25">
      <c r="A197" s="10">
        <v>42047</v>
      </c>
    </row>
    <row r="198" spans="1:1" x14ac:dyDescent="0.25">
      <c r="A198" s="10">
        <v>42054</v>
      </c>
    </row>
    <row r="199" spans="1:1" x14ac:dyDescent="0.25">
      <c r="A199" s="10">
        <v>42061</v>
      </c>
    </row>
    <row r="200" spans="1:1" x14ac:dyDescent="0.25">
      <c r="A200" s="10">
        <v>42068</v>
      </c>
    </row>
    <row r="201" spans="1:1" x14ac:dyDescent="0.25">
      <c r="A201" s="10">
        <v>42075</v>
      </c>
    </row>
    <row r="202" spans="1:1" x14ac:dyDescent="0.25">
      <c r="A202" s="10">
        <v>42082</v>
      </c>
    </row>
    <row r="203" spans="1:1" x14ac:dyDescent="0.25">
      <c r="A203" s="10">
        <v>42089</v>
      </c>
    </row>
    <row r="204" spans="1:1" x14ac:dyDescent="0.25">
      <c r="A204" s="10">
        <v>42096</v>
      </c>
    </row>
    <row r="205" spans="1:1" x14ac:dyDescent="0.25">
      <c r="A205" s="10">
        <v>42103</v>
      </c>
    </row>
    <row r="206" spans="1:1" x14ac:dyDescent="0.25">
      <c r="A206" s="10">
        <v>42110</v>
      </c>
    </row>
    <row r="207" spans="1:1" x14ac:dyDescent="0.25">
      <c r="A207" s="10">
        <v>42117</v>
      </c>
    </row>
    <row r="208" spans="1:1" x14ac:dyDescent="0.25">
      <c r="A208" s="10">
        <v>42124</v>
      </c>
    </row>
    <row r="209" spans="1:1" x14ac:dyDescent="0.25">
      <c r="A209" s="10">
        <v>42131</v>
      </c>
    </row>
    <row r="210" spans="1:1" x14ac:dyDescent="0.25">
      <c r="A210" s="10">
        <v>42138</v>
      </c>
    </row>
    <row r="211" spans="1:1" x14ac:dyDescent="0.25">
      <c r="A211" s="10">
        <v>42145</v>
      </c>
    </row>
    <row r="212" spans="1:1" x14ac:dyDescent="0.25">
      <c r="A212" s="10">
        <v>42152</v>
      </c>
    </row>
    <row r="213" spans="1:1" x14ac:dyDescent="0.25">
      <c r="A213" s="10">
        <v>42159</v>
      </c>
    </row>
    <row r="214" spans="1:1" x14ac:dyDescent="0.25">
      <c r="A214" s="10">
        <v>42166</v>
      </c>
    </row>
    <row r="215" spans="1:1" x14ac:dyDescent="0.25">
      <c r="A215" s="10">
        <v>42173</v>
      </c>
    </row>
    <row r="216" spans="1:1" x14ac:dyDescent="0.25">
      <c r="A216" s="10">
        <v>42180</v>
      </c>
    </row>
    <row r="217" spans="1:1" x14ac:dyDescent="0.25">
      <c r="A217" s="10">
        <v>42187</v>
      </c>
    </row>
    <row r="218" spans="1:1" x14ac:dyDescent="0.25">
      <c r="A218" s="10">
        <v>42194</v>
      </c>
    </row>
    <row r="219" spans="1:1" x14ac:dyDescent="0.25">
      <c r="A219" s="10">
        <v>42201</v>
      </c>
    </row>
    <row r="220" spans="1:1" x14ac:dyDescent="0.25">
      <c r="A220" s="10">
        <v>42208</v>
      </c>
    </row>
    <row r="221" spans="1:1" x14ac:dyDescent="0.25">
      <c r="A221" s="10">
        <v>42215</v>
      </c>
    </row>
    <row r="222" spans="1:1" x14ac:dyDescent="0.25">
      <c r="A222" s="10">
        <v>42222</v>
      </c>
    </row>
    <row r="223" spans="1:1" x14ac:dyDescent="0.25">
      <c r="A223" s="10">
        <v>42229</v>
      </c>
    </row>
    <row r="224" spans="1:1" x14ac:dyDescent="0.25">
      <c r="A224" s="10">
        <v>42236</v>
      </c>
    </row>
    <row r="225" spans="1:1" x14ac:dyDescent="0.25">
      <c r="A225" s="10">
        <v>42243</v>
      </c>
    </row>
    <row r="226" spans="1:1" x14ac:dyDescent="0.25">
      <c r="A226" s="10">
        <v>42250</v>
      </c>
    </row>
    <row r="227" spans="1:1" x14ac:dyDescent="0.25">
      <c r="A227" s="10">
        <v>42257</v>
      </c>
    </row>
    <row r="228" spans="1:1" x14ac:dyDescent="0.25">
      <c r="A228" s="10">
        <v>42264</v>
      </c>
    </row>
    <row r="229" spans="1:1" x14ac:dyDescent="0.25">
      <c r="A229" s="10">
        <v>42271</v>
      </c>
    </row>
    <row r="230" spans="1:1" x14ac:dyDescent="0.25">
      <c r="A230" s="10">
        <v>42278</v>
      </c>
    </row>
    <row r="231" spans="1:1" x14ac:dyDescent="0.25">
      <c r="A231" s="10">
        <v>42285</v>
      </c>
    </row>
    <row r="232" spans="1:1" x14ac:dyDescent="0.25">
      <c r="A232" s="10">
        <v>42292</v>
      </c>
    </row>
    <row r="233" spans="1:1" x14ac:dyDescent="0.25">
      <c r="A233" s="10">
        <v>42299</v>
      </c>
    </row>
    <row r="234" spans="1:1" x14ac:dyDescent="0.25">
      <c r="A234" s="10">
        <v>42306</v>
      </c>
    </row>
    <row r="235" spans="1:1" x14ac:dyDescent="0.25">
      <c r="A235" s="10">
        <v>42313</v>
      </c>
    </row>
    <row r="236" spans="1:1" x14ac:dyDescent="0.25">
      <c r="A236" s="10">
        <v>42320</v>
      </c>
    </row>
    <row r="237" spans="1:1" x14ac:dyDescent="0.25">
      <c r="A237" s="10">
        <v>42327</v>
      </c>
    </row>
    <row r="238" spans="1:1" x14ac:dyDescent="0.25">
      <c r="A238" s="10">
        <v>42334</v>
      </c>
    </row>
    <row r="239" spans="1:1" x14ac:dyDescent="0.25">
      <c r="A239" s="10">
        <v>42341</v>
      </c>
    </row>
    <row r="240" spans="1:1" x14ac:dyDescent="0.25">
      <c r="A240" s="10">
        <v>42348</v>
      </c>
    </row>
    <row r="241" spans="1:1" x14ac:dyDescent="0.25">
      <c r="A241" s="10">
        <v>42355</v>
      </c>
    </row>
    <row r="242" spans="1:1" x14ac:dyDescent="0.25">
      <c r="A242" s="10">
        <v>42362</v>
      </c>
    </row>
    <row r="243" spans="1:1" x14ac:dyDescent="0.25">
      <c r="A243" s="10">
        <v>42369</v>
      </c>
    </row>
    <row r="244" spans="1:1" x14ac:dyDescent="0.25">
      <c r="A244" s="10">
        <v>42376</v>
      </c>
    </row>
    <row r="245" spans="1:1" x14ac:dyDescent="0.25">
      <c r="A245" s="10">
        <v>42383</v>
      </c>
    </row>
    <row r="246" spans="1:1" x14ac:dyDescent="0.25">
      <c r="A246" s="10">
        <v>42390</v>
      </c>
    </row>
    <row r="247" spans="1:1" x14ac:dyDescent="0.25">
      <c r="A247" s="10">
        <v>42397</v>
      </c>
    </row>
    <row r="248" spans="1:1" x14ac:dyDescent="0.25">
      <c r="A248" s="10">
        <v>42404</v>
      </c>
    </row>
    <row r="249" spans="1:1" x14ac:dyDescent="0.25">
      <c r="A249" s="10">
        <v>42411</v>
      </c>
    </row>
    <row r="250" spans="1:1" x14ac:dyDescent="0.25">
      <c r="A250" s="10">
        <v>42418</v>
      </c>
    </row>
    <row r="251" spans="1:1" x14ac:dyDescent="0.25">
      <c r="A251" s="10">
        <v>42425</v>
      </c>
    </row>
    <row r="252" spans="1:1" x14ac:dyDescent="0.25">
      <c r="A252" s="10">
        <v>42432</v>
      </c>
    </row>
    <row r="253" spans="1:1" x14ac:dyDescent="0.25">
      <c r="A253" s="10">
        <v>42439</v>
      </c>
    </row>
    <row r="254" spans="1:1" x14ac:dyDescent="0.25">
      <c r="A254" s="10">
        <v>42446</v>
      </c>
    </row>
    <row r="255" spans="1:1" x14ac:dyDescent="0.25">
      <c r="A255" s="10">
        <v>42453</v>
      </c>
    </row>
    <row r="256" spans="1:1" x14ac:dyDescent="0.25">
      <c r="A256" s="10">
        <v>42460</v>
      </c>
    </row>
    <row r="257" spans="1:1" x14ac:dyDescent="0.25">
      <c r="A257" s="10">
        <v>42467</v>
      </c>
    </row>
    <row r="258" spans="1:1" x14ac:dyDescent="0.25">
      <c r="A258" s="10">
        <v>42474</v>
      </c>
    </row>
    <row r="259" spans="1:1" x14ac:dyDescent="0.25">
      <c r="A259" s="10">
        <v>42481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277"/>
  <sheetViews>
    <sheetView workbookViewId="0"/>
  </sheetViews>
  <sheetFormatPr defaultRowHeight="13.2" x14ac:dyDescent="0.25"/>
  <cols>
    <col min="1" max="1" width="16.44140625" customWidth="1"/>
    <col min="2" max="2" width="1.109375" customWidth="1"/>
    <col min="3" max="4" width="8.33203125" customWidth="1"/>
    <col min="5" max="5" width="8.6640625" customWidth="1"/>
    <col min="6" max="6" width="8.44140625" customWidth="1"/>
    <col min="7" max="7" width="6.33203125" customWidth="1"/>
    <col min="8" max="8" width="9.5546875" bestFit="1" customWidth="1"/>
  </cols>
  <sheetData>
    <row r="1" spans="1:11" x14ac:dyDescent="0.25">
      <c r="A1" s="72" t="s">
        <v>247</v>
      </c>
      <c r="G1" s="10"/>
      <c r="H1" s="10"/>
    </row>
    <row r="2" spans="1:11" x14ac:dyDescent="0.25">
      <c r="A2" s="72" t="s">
        <v>297</v>
      </c>
    </row>
    <row r="3" spans="1:11" x14ac:dyDescent="0.25">
      <c r="A3" s="72" t="s">
        <v>298</v>
      </c>
    </row>
    <row r="4" spans="1:11" x14ac:dyDescent="0.25">
      <c r="A4" s="72" t="s">
        <v>299</v>
      </c>
    </row>
    <row r="5" spans="1:11" x14ac:dyDescent="0.25">
      <c r="A5" s="72"/>
    </row>
    <row r="6" spans="1:11" x14ac:dyDescent="0.25">
      <c r="A6" s="72"/>
    </row>
    <row r="7" spans="1:11" x14ac:dyDescent="0.25">
      <c r="A7" s="72" t="s">
        <v>270</v>
      </c>
      <c r="F7" t="s">
        <v>271</v>
      </c>
      <c r="G7" t="s">
        <v>286</v>
      </c>
      <c r="H7" s="10">
        <f>- 5/31</f>
        <v>-0.16129032258064516</v>
      </c>
      <c r="K7" s="72"/>
    </row>
    <row r="8" spans="1:11" x14ac:dyDescent="0.25">
      <c r="A8" s="72" t="s">
        <v>248</v>
      </c>
      <c r="B8" t="s">
        <v>249</v>
      </c>
      <c r="C8" t="s">
        <v>276</v>
      </c>
      <c r="D8" t="s">
        <v>277</v>
      </c>
      <c r="E8" t="s">
        <v>263</v>
      </c>
      <c r="F8" t="s">
        <v>264</v>
      </c>
      <c r="G8" t="s">
        <v>287</v>
      </c>
      <c r="H8" t="s">
        <v>288</v>
      </c>
      <c r="K8" s="72"/>
    </row>
    <row r="9" spans="1:11" x14ac:dyDescent="0.25">
      <c r="A9" s="72" t="s">
        <v>27</v>
      </c>
      <c r="C9" t="s">
        <v>296</v>
      </c>
      <c r="D9" t="s">
        <v>300</v>
      </c>
      <c r="E9">
        <v>2013</v>
      </c>
      <c r="K9" s="72"/>
    </row>
    <row r="10" spans="1:11" x14ac:dyDescent="0.25">
      <c r="A10" s="72" t="s">
        <v>274</v>
      </c>
      <c r="B10" t="s">
        <v>24</v>
      </c>
      <c r="C10" t="s">
        <v>25</v>
      </c>
      <c r="D10" t="s">
        <v>278</v>
      </c>
      <c r="E10" t="s">
        <v>35</v>
      </c>
      <c r="F10" t="s">
        <v>25</v>
      </c>
      <c r="G10" t="s">
        <v>289</v>
      </c>
      <c r="H10" t="s">
        <v>25</v>
      </c>
      <c r="K10" s="29"/>
    </row>
    <row r="11" spans="1:11" x14ac:dyDescent="0.25">
      <c r="A11" s="72"/>
      <c r="B11" t="s">
        <v>26</v>
      </c>
      <c r="C11" t="s">
        <v>112</v>
      </c>
      <c r="D11" t="s">
        <v>279</v>
      </c>
      <c r="E11" t="s">
        <v>265</v>
      </c>
      <c r="G11" t="s">
        <v>290</v>
      </c>
      <c r="H11" t="s">
        <v>291</v>
      </c>
    </row>
    <row r="12" spans="1:11" x14ac:dyDescent="0.25">
      <c r="A12" s="72"/>
      <c r="C12" t="s">
        <v>25</v>
      </c>
      <c r="D12" t="s">
        <v>278</v>
      </c>
      <c r="E12" t="s">
        <v>35</v>
      </c>
      <c r="F12" t="s">
        <v>25</v>
      </c>
      <c r="G12" t="s">
        <v>289</v>
      </c>
      <c r="H12" t="s">
        <v>25</v>
      </c>
      <c r="K12" s="72"/>
    </row>
    <row r="13" spans="1:11" x14ac:dyDescent="0.25">
      <c r="A13" s="72"/>
      <c r="B13" t="s">
        <v>26</v>
      </c>
      <c r="C13" t="s">
        <v>280</v>
      </c>
      <c r="D13" t="s">
        <v>281</v>
      </c>
      <c r="E13" t="s">
        <v>266</v>
      </c>
      <c r="F13" t="s">
        <v>267</v>
      </c>
      <c r="G13" t="s">
        <v>292</v>
      </c>
      <c r="H13" t="s">
        <v>293</v>
      </c>
      <c r="K13" s="72"/>
    </row>
    <row r="14" spans="1:11" x14ac:dyDescent="0.25">
      <c r="A14" s="72"/>
      <c r="C14" t="s">
        <v>25</v>
      </c>
      <c r="D14" t="s">
        <v>278</v>
      </c>
      <c r="E14" t="s">
        <v>35</v>
      </c>
      <c r="F14" t="s">
        <v>25</v>
      </c>
      <c r="G14" t="s">
        <v>289</v>
      </c>
      <c r="H14" t="s">
        <v>25</v>
      </c>
      <c r="K14" s="72"/>
    </row>
    <row r="15" spans="1:11" x14ac:dyDescent="0.25">
      <c r="A15" s="72" t="s">
        <v>250</v>
      </c>
      <c r="B15" t="s">
        <v>26</v>
      </c>
      <c r="C15" t="s">
        <v>282</v>
      </c>
      <c r="D15" t="s">
        <v>283</v>
      </c>
      <c r="E15" t="s">
        <v>268</v>
      </c>
      <c r="F15" t="s">
        <v>219</v>
      </c>
      <c r="G15" t="s">
        <v>294</v>
      </c>
      <c r="H15" t="s">
        <v>295</v>
      </c>
      <c r="K15" s="29"/>
    </row>
    <row r="16" spans="1:11" x14ac:dyDescent="0.25">
      <c r="A16" s="72" t="s">
        <v>274</v>
      </c>
      <c r="B16" t="s">
        <v>24</v>
      </c>
      <c r="C16" t="s">
        <v>25</v>
      </c>
      <c r="D16" t="s">
        <v>278</v>
      </c>
      <c r="E16" t="s">
        <v>35</v>
      </c>
      <c r="F16" t="s">
        <v>25</v>
      </c>
      <c r="G16" t="s">
        <v>289</v>
      </c>
      <c r="H16" t="s">
        <v>25</v>
      </c>
    </row>
    <row r="17" spans="1:25" x14ac:dyDescent="0.25">
      <c r="A17" s="72"/>
      <c r="B17" t="s">
        <v>26</v>
      </c>
    </row>
    <row r="18" spans="1:25" x14ac:dyDescent="0.25">
      <c r="A18" s="72" t="s">
        <v>251</v>
      </c>
      <c r="B18" t="s">
        <v>26</v>
      </c>
      <c r="C18">
        <v>72.400000000000006</v>
      </c>
      <c r="D18">
        <v>38</v>
      </c>
      <c r="E18">
        <v>170.3</v>
      </c>
      <c r="F18">
        <v>232.8</v>
      </c>
      <c r="G18">
        <v>0</v>
      </c>
      <c r="H18">
        <v>0</v>
      </c>
    </row>
    <row r="19" spans="1:25" x14ac:dyDescent="0.25">
      <c r="A19" s="72" t="s">
        <v>42</v>
      </c>
      <c r="B19" t="s">
        <v>26</v>
      </c>
      <c r="C19">
        <v>0</v>
      </c>
      <c r="D19">
        <v>20</v>
      </c>
      <c r="E19">
        <v>0</v>
      </c>
      <c r="F19">
        <v>18.7</v>
      </c>
      <c r="G19">
        <v>0</v>
      </c>
      <c r="H19">
        <v>0</v>
      </c>
    </row>
    <row r="20" spans="1:25" x14ac:dyDescent="0.25">
      <c r="A20" s="72" t="s">
        <v>44</v>
      </c>
      <c r="B20" t="s">
        <v>26</v>
      </c>
      <c r="C20">
        <v>0</v>
      </c>
      <c r="D20">
        <v>0</v>
      </c>
      <c r="E20">
        <v>0</v>
      </c>
      <c r="F20">
        <v>10.9</v>
      </c>
      <c r="G20">
        <v>0</v>
      </c>
      <c r="H20">
        <v>0</v>
      </c>
    </row>
    <row r="21" spans="1:25" x14ac:dyDescent="0.25">
      <c r="A21" s="72" t="s">
        <v>252</v>
      </c>
      <c r="B21" t="s">
        <v>26</v>
      </c>
      <c r="C21">
        <v>0</v>
      </c>
      <c r="D21">
        <v>0</v>
      </c>
      <c r="E21">
        <v>13.5</v>
      </c>
      <c r="F21">
        <v>0</v>
      </c>
      <c r="G21">
        <v>0</v>
      </c>
      <c r="H21">
        <v>0</v>
      </c>
    </row>
    <row r="22" spans="1:25" x14ac:dyDescent="0.25">
      <c r="A22" s="72" t="s">
        <v>45</v>
      </c>
      <c r="B22" t="s">
        <v>26</v>
      </c>
      <c r="C22">
        <v>43.9</v>
      </c>
      <c r="D22">
        <v>18</v>
      </c>
      <c r="E22">
        <v>130.19999999999999</v>
      </c>
      <c r="F22">
        <v>159.69999999999999</v>
      </c>
      <c r="G22">
        <v>0</v>
      </c>
      <c r="H22">
        <v>0</v>
      </c>
    </row>
    <row r="23" spans="1:25" x14ac:dyDescent="0.25">
      <c r="A23" s="72" t="s">
        <v>48</v>
      </c>
      <c r="B23" t="s">
        <v>26</v>
      </c>
      <c r="C23">
        <v>20</v>
      </c>
      <c r="D23">
        <v>0</v>
      </c>
      <c r="E23">
        <v>0</v>
      </c>
      <c r="F23">
        <v>23.9</v>
      </c>
      <c r="G23">
        <v>0</v>
      </c>
      <c r="H23">
        <v>0</v>
      </c>
    </row>
    <row r="24" spans="1:25" x14ac:dyDescent="0.25">
      <c r="A24" s="72" t="s">
        <v>79</v>
      </c>
      <c r="B24" t="s">
        <v>26</v>
      </c>
      <c r="C24">
        <v>0</v>
      </c>
      <c r="D24">
        <v>0</v>
      </c>
      <c r="E24">
        <v>0</v>
      </c>
      <c r="F24">
        <v>0.3</v>
      </c>
      <c r="G24">
        <v>0</v>
      </c>
      <c r="H24">
        <v>0</v>
      </c>
      <c r="I24" s="32"/>
      <c r="Q24" s="132" t="s">
        <v>41</v>
      </c>
      <c r="R24" s="132"/>
      <c r="S24" s="132"/>
      <c r="T24" s="132"/>
      <c r="U24" s="132"/>
      <c r="V24" s="132"/>
      <c r="W24" s="132"/>
      <c r="X24" s="132"/>
      <c r="Y24" s="132"/>
    </row>
    <row r="25" spans="1:25" ht="15" x14ac:dyDescent="0.35">
      <c r="A25" s="72" t="s">
        <v>49</v>
      </c>
      <c r="B25" t="s">
        <v>26</v>
      </c>
      <c r="C25">
        <v>8.5</v>
      </c>
      <c r="D25">
        <v>0</v>
      </c>
      <c r="E25">
        <v>26.7</v>
      </c>
      <c r="F25">
        <v>19.3</v>
      </c>
      <c r="G25">
        <v>0</v>
      </c>
      <c r="H25" s="32">
        <v>0</v>
      </c>
      <c r="K25" s="29"/>
      <c r="S25" s="35" t="s">
        <v>25</v>
      </c>
      <c r="T25" t="s">
        <v>37</v>
      </c>
      <c r="U25" t="s">
        <v>35</v>
      </c>
      <c r="V25" t="s">
        <v>38</v>
      </c>
    </row>
    <row r="26" spans="1:25" ht="15" x14ac:dyDescent="0.35">
      <c r="A26" s="72"/>
      <c r="B26" t="s">
        <v>26</v>
      </c>
      <c r="K26" s="29"/>
      <c r="S26" s="35" t="s">
        <v>29</v>
      </c>
      <c r="T26" t="s">
        <v>26</v>
      </c>
      <c r="U26">
        <v>3319.4</v>
      </c>
      <c r="V26">
        <v>1</v>
      </c>
    </row>
    <row r="27" spans="1:25" ht="15" x14ac:dyDescent="0.35">
      <c r="A27" s="72" t="s">
        <v>29</v>
      </c>
      <c r="B27" t="s">
        <v>26</v>
      </c>
      <c r="C27" s="29">
        <v>433</v>
      </c>
      <c r="D27">
        <v>406.2</v>
      </c>
      <c r="E27">
        <v>802.8</v>
      </c>
      <c r="F27">
        <v>1175.5999999999999</v>
      </c>
      <c r="G27">
        <v>0</v>
      </c>
      <c r="H27" s="10">
        <v>0</v>
      </c>
      <c r="I27" s="29"/>
      <c r="K27" s="29"/>
      <c r="S27" s="35" t="s">
        <v>30</v>
      </c>
      <c r="T27" t="s">
        <v>26</v>
      </c>
      <c r="U27">
        <v>3276.3</v>
      </c>
      <c r="V27">
        <v>2</v>
      </c>
    </row>
    <row r="28" spans="1:25" ht="15" x14ac:dyDescent="0.35">
      <c r="A28" s="72"/>
      <c r="B28" t="s">
        <v>26</v>
      </c>
      <c r="H28" s="32"/>
      <c r="I28" s="29"/>
      <c r="K28" s="29"/>
      <c r="S28" s="35" t="s">
        <v>31</v>
      </c>
      <c r="T28" t="s">
        <v>26</v>
      </c>
      <c r="U28">
        <v>2596.6999999999998</v>
      </c>
      <c r="V28">
        <v>3</v>
      </c>
    </row>
    <row r="29" spans="1:25" ht="15" x14ac:dyDescent="0.35">
      <c r="A29" s="72" t="s">
        <v>52</v>
      </c>
      <c r="B29" t="s">
        <v>26</v>
      </c>
      <c r="C29">
        <v>92.7</v>
      </c>
      <c r="D29">
        <v>193.5</v>
      </c>
      <c r="E29">
        <v>272.7</v>
      </c>
      <c r="F29">
        <v>302.89999999999998</v>
      </c>
      <c r="G29">
        <v>0</v>
      </c>
      <c r="H29" s="32">
        <v>0</v>
      </c>
      <c r="K29" s="29"/>
      <c r="S29" s="35"/>
    </row>
    <row r="30" spans="1:25" ht="15" x14ac:dyDescent="0.35">
      <c r="A30" s="72"/>
      <c r="B30" t="s">
        <v>26</v>
      </c>
      <c r="H30" s="10"/>
      <c r="K30" s="29"/>
      <c r="S30" s="35"/>
    </row>
    <row r="31" spans="1:25" ht="15" x14ac:dyDescent="0.35">
      <c r="A31" s="72" t="s">
        <v>53</v>
      </c>
      <c r="B31" t="s">
        <v>26</v>
      </c>
      <c r="C31">
        <v>1334.2</v>
      </c>
      <c r="D31">
        <v>2.2000000000000002</v>
      </c>
      <c r="E31">
        <v>2428</v>
      </c>
      <c r="F31">
        <v>406.1</v>
      </c>
      <c r="G31">
        <v>0</v>
      </c>
      <c r="H31">
        <v>0</v>
      </c>
      <c r="K31" s="29"/>
      <c r="S31" s="35"/>
    </row>
    <row r="32" spans="1:25" ht="15" x14ac:dyDescent="0.35">
      <c r="A32" s="72"/>
      <c r="B32" t="s">
        <v>26</v>
      </c>
      <c r="K32" s="29"/>
      <c r="S32" s="35"/>
    </row>
    <row r="33" spans="1:19" s="54" customFormat="1" ht="15" x14ac:dyDescent="0.35">
      <c r="A33" s="72" t="s">
        <v>275</v>
      </c>
      <c r="B33" s="54" t="s">
        <v>26</v>
      </c>
      <c r="C33" s="54">
        <v>960.6</v>
      </c>
      <c r="D33" s="54">
        <v>943.7</v>
      </c>
      <c r="E33" s="54">
        <v>1500.6</v>
      </c>
      <c r="F33" s="54">
        <v>2300.9</v>
      </c>
      <c r="G33" s="54">
        <v>0</v>
      </c>
      <c r="H33" s="54">
        <v>0</v>
      </c>
      <c r="K33" s="125"/>
      <c r="S33" s="126"/>
    </row>
    <row r="34" spans="1:19" ht="15" x14ac:dyDescent="0.35">
      <c r="A34" s="72" t="s">
        <v>253</v>
      </c>
      <c r="B34" t="s">
        <v>26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K34" s="29"/>
      <c r="S34" s="35"/>
    </row>
    <row r="35" spans="1:19" ht="15" x14ac:dyDescent="0.35">
      <c r="A35" s="72" t="s">
        <v>169</v>
      </c>
      <c r="B35" t="s">
        <v>26</v>
      </c>
      <c r="C35">
        <v>1.7</v>
      </c>
      <c r="D35">
        <v>0</v>
      </c>
      <c r="E35">
        <v>1.1000000000000001</v>
      </c>
      <c r="F35">
        <v>0.5</v>
      </c>
      <c r="G35">
        <v>0</v>
      </c>
      <c r="H35">
        <v>0</v>
      </c>
      <c r="K35" s="29"/>
      <c r="S35" s="35"/>
    </row>
    <row r="36" spans="1:19" x14ac:dyDescent="0.25">
      <c r="A36" s="72" t="s">
        <v>54</v>
      </c>
      <c r="B36" t="s">
        <v>26</v>
      </c>
      <c r="C36">
        <v>1.4</v>
      </c>
      <c r="D36">
        <v>2.2000000000000002</v>
      </c>
      <c r="E36">
        <v>1.4</v>
      </c>
      <c r="F36">
        <v>1.7</v>
      </c>
      <c r="G36">
        <v>0</v>
      </c>
      <c r="H36">
        <v>0</v>
      </c>
      <c r="K36" s="29"/>
    </row>
    <row r="37" spans="1:19" x14ac:dyDescent="0.25">
      <c r="A37" s="72" t="s">
        <v>55</v>
      </c>
      <c r="B37" t="s">
        <v>26</v>
      </c>
      <c r="C37">
        <v>160</v>
      </c>
      <c r="D37">
        <v>96.5</v>
      </c>
      <c r="E37">
        <v>185.4</v>
      </c>
      <c r="F37">
        <v>249.2</v>
      </c>
      <c r="G37">
        <v>0</v>
      </c>
      <c r="H37">
        <v>0</v>
      </c>
      <c r="K37" s="29"/>
    </row>
    <row r="38" spans="1:19" x14ac:dyDescent="0.25">
      <c r="A38" s="72" t="s">
        <v>56</v>
      </c>
      <c r="B38" t="s">
        <v>26</v>
      </c>
      <c r="C38">
        <v>0</v>
      </c>
      <c r="D38">
        <v>0</v>
      </c>
      <c r="E38">
        <v>0</v>
      </c>
      <c r="F38">
        <v>59.8</v>
      </c>
      <c r="G38">
        <v>0</v>
      </c>
      <c r="H38">
        <v>0</v>
      </c>
      <c r="K38" s="29"/>
    </row>
    <row r="39" spans="1:19" x14ac:dyDescent="0.25">
      <c r="A39" s="72" t="s">
        <v>82</v>
      </c>
      <c r="B39" t="s">
        <v>26</v>
      </c>
      <c r="C39">
        <v>0</v>
      </c>
      <c r="D39">
        <v>0</v>
      </c>
      <c r="E39">
        <v>0</v>
      </c>
      <c r="F39">
        <v>208.9</v>
      </c>
      <c r="G39">
        <v>0</v>
      </c>
      <c r="H39">
        <v>0</v>
      </c>
      <c r="K39" s="29"/>
      <c r="M39" s="29"/>
    </row>
    <row r="40" spans="1:19" x14ac:dyDescent="0.25">
      <c r="A40" s="72" t="s">
        <v>57</v>
      </c>
      <c r="B40" t="s">
        <v>26</v>
      </c>
      <c r="C40">
        <v>20.100000000000001</v>
      </c>
      <c r="D40">
        <v>20.7</v>
      </c>
      <c r="E40">
        <v>21</v>
      </c>
      <c r="F40">
        <v>59</v>
      </c>
      <c r="G40">
        <v>0</v>
      </c>
      <c r="H40">
        <v>0</v>
      </c>
      <c r="K40" s="29"/>
    </row>
    <row r="41" spans="1:19" x14ac:dyDescent="0.25">
      <c r="A41" s="72" t="s">
        <v>161</v>
      </c>
      <c r="B41" t="s">
        <v>26</v>
      </c>
      <c r="C41">
        <v>0</v>
      </c>
      <c r="D41">
        <v>0</v>
      </c>
      <c r="E41">
        <v>0</v>
      </c>
      <c r="F41">
        <v>47.6</v>
      </c>
      <c r="G41">
        <v>0</v>
      </c>
      <c r="H41">
        <v>0</v>
      </c>
      <c r="K41" s="29"/>
    </row>
    <row r="42" spans="1:19" x14ac:dyDescent="0.25">
      <c r="A42" s="72" t="s">
        <v>58</v>
      </c>
      <c r="B42" t="s">
        <v>26</v>
      </c>
      <c r="C42">
        <v>195.9</v>
      </c>
      <c r="D42">
        <v>320.8</v>
      </c>
      <c r="E42">
        <v>327.3</v>
      </c>
      <c r="F42">
        <v>466.9</v>
      </c>
      <c r="G42">
        <v>0</v>
      </c>
      <c r="H42">
        <v>0</v>
      </c>
      <c r="K42" s="29"/>
    </row>
    <row r="43" spans="1:19" x14ac:dyDescent="0.25">
      <c r="A43" s="72" t="s">
        <v>59</v>
      </c>
      <c r="B43" t="s">
        <v>26</v>
      </c>
      <c r="C43">
        <v>3</v>
      </c>
      <c r="D43">
        <v>1</v>
      </c>
      <c r="E43">
        <v>57.9</v>
      </c>
      <c r="F43">
        <v>42.9</v>
      </c>
      <c r="G43">
        <v>0</v>
      </c>
      <c r="H43">
        <v>0</v>
      </c>
      <c r="K43" s="29"/>
    </row>
    <row r="44" spans="1:19" x14ac:dyDescent="0.25">
      <c r="A44" s="72" t="s">
        <v>60</v>
      </c>
      <c r="B44" t="s">
        <v>26</v>
      </c>
      <c r="C44">
        <v>309.2</v>
      </c>
      <c r="D44">
        <v>374.9</v>
      </c>
      <c r="E44">
        <v>513.5</v>
      </c>
      <c r="F44">
        <v>654.5</v>
      </c>
      <c r="G44">
        <v>0</v>
      </c>
      <c r="H44">
        <v>0</v>
      </c>
      <c r="K44" s="29"/>
    </row>
    <row r="45" spans="1:19" x14ac:dyDescent="0.25">
      <c r="A45" s="72" t="s">
        <v>61</v>
      </c>
      <c r="B45" t="s">
        <v>26</v>
      </c>
      <c r="C45">
        <v>0</v>
      </c>
      <c r="D45">
        <v>0</v>
      </c>
      <c r="E45">
        <v>0</v>
      </c>
      <c r="F45">
        <v>170.2</v>
      </c>
      <c r="G45">
        <v>0</v>
      </c>
      <c r="H45">
        <v>0</v>
      </c>
      <c r="K45" s="29"/>
    </row>
    <row r="46" spans="1:19" x14ac:dyDescent="0.25">
      <c r="A46" s="72" t="s">
        <v>83</v>
      </c>
      <c r="B46" t="s">
        <v>26</v>
      </c>
      <c r="C46">
        <v>0</v>
      </c>
      <c r="D46">
        <v>0</v>
      </c>
      <c r="E46">
        <v>130</v>
      </c>
      <c r="F46">
        <v>0</v>
      </c>
      <c r="G46">
        <v>0</v>
      </c>
      <c r="H46">
        <v>0</v>
      </c>
      <c r="K46" s="29"/>
    </row>
    <row r="47" spans="1:19" x14ac:dyDescent="0.25">
      <c r="A47" s="72" t="s">
        <v>62</v>
      </c>
      <c r="B47" t="s">
        <v>26</v>
      </c>
      <c r="C47">
        <v>25</v>
      </c>
      <c r="D47">
        <v>0</v>
      </c>
      <c r="E47">
        <v>0</v>
      </c>
      <c r="F47">
        <v>21.1</v>
      </c>
      <c r="G47">
        <v>0</v>
      </c>
      <c r="H47">
        <v>0</v>
      </c>
      <c r="K47" s="29"/>
    </row>
    <row r="48" spans="1:19" x14ac:dyDescent="0.25">
      <c r="A48" s="72" t="s">
        <v>63</v>
      </c>
      <c r="B48" t="s">
        <v>26</v>
      </c>
      <c r="C48">
        <v>113.1</v>
      </c>
      <c r="D48">
        <v>48.4</v>
      </c>
      <c r="E48">
        <v>131.5</v>
      </c>
      <c r="F48">
        <v>172.7</v>
      </c>
      <c r="G48">
        <v>0</v>
      </c>
      <c r="H48">
        <v>0</v>
      </c>
      <c r="K48" s="29"/>
    </row>
    <row r="49" spans="1:11" x14ac:dyDescent="0.25">
      <c r="A49" s="72" t="s">
        <v>64</v>
      </c>
      <c r="B49" t="s">
        <v>26</v>
      </c>
      <c r="C49">
        <v>20</v>
      </c>
      <c r="D49">
        <v>20</v>
      </c>
      <c r="E49">
        <v>0</v>
      </c>
      <c r="F49">
        <v>0</v>
      </c>
      <c r="G49">
        <v>0</v>
      </c>
      <c r="H49">
        <v>0</v>
      </c>
      <c r="K49" s="29"/>
    </row>
    <row r="50" spans="1:11" x14ac:dyDescent="0.25">
      <c r="A50" s="72" t="s">
        <v>65</v>
      </c>
      <c r="B50" t="s">
        <v>26</v>
      </c>
      <c r="C50">
        <v>6.3</v>
      </c>
      <c r="D50">
        <v>9.1999999999999993</v>
      </c>
      <c r="E50">
        <v>29.7</v>
      </c>
      <c r="F50">
        <v>41</v>
      </c>
      <c r="G50">
        <v>0</v>
      </c>
      <c r="H50">
        <v>0</v>
      </c>
      <c r="K50" s="29"/>
    </row>
    <row r="51" spans="1:11" x14ac:dyDescent="0.25">
      <c r="A51" s="72" t="s">
        <v>84</v>
      </c>
      <c r="B51" t="s">
        <v>26</v>
      </c>
      <c r="C51">
        <v>105</v>
      </c>
      <c r="D51">
        <v>50</v>
      </c>
      <c r="E51">
        <v>101.9</v>
      </c>
      <c r="F51">
        <v>105</v>
      </c>
      <c r="G51">
        <v>0</v>
      </c>
      <c r="H51">
        <v>0</v>
      </c>
      <c r="K51" s="29"/>
    </row>
    <row r="52" spans="1:11" x14ac:dyDescent="0.25">
      <c r="A52" s="72"/>
      <c r="B52" t="s">
        <v>26</v>
      </c>
      <c r="K52" s="29"/>
    </row>
    <row r="53" spans="1:11" x14ac:dyDescent="0.25">
      <c r="A53" s="72" t="s">
        <v>254</v>
      </c>
      <c r="B53" t="s">
        <v>26</v>
      </c>
      <c r="C53">
        <v>399.4</v>
      </c>
      <c r="D53">
        <v>463.3</v>
      </c>
      <c r="E53">
        <v>1021.9</v>
      </c>
      <c r="F53">
        <v>1382.2</v>
      </c>
      <c r="G53">
        <v>0</v>
      </c>
      <c r="H53">
        <v>0</v>
      </c>
      <c r="K53" s="29"/>
    </row>
    <row r="54" spans="1:11" x14ac:dyDescent="0.25">
      <c r="A54" s="72" t="s">
        <v>85</v>
      </c>
      <c r="B54" t="s">
        <v>26</v>
      </c>
      <c r="C54">
        <v>0</v>
      </c>
      <c r="D54">
        <v>0</v>
      </c>
      <c r="E54">
        <v>0</v>
      </c>
      <c r="F54">
        <v>138.9</v>
      </c>
      <c r="G54">
        <v>0</v>
      </c>
      <c r="H54">
        <v>0</v>
      </c>
      <c r="K54" s="29"/>
    </row>
    <row r="55" spans="1:11" x14ac:dyDescent="0.25">
      <c r="A55" s="72" t="s">
        <v>86</v>
      </c>
      <c r="B55" t="s">
        <v>26</v>
      </c>
      <c r="C55">
        <v>0</v>
      </c>
      <c r="D55">
        <v>0</v>
      </c>
      <c r="E55">
        <v>16.5</v>
      </c>
      <c r="F55">
        <v>0</v>
      </c>
      <c r="G55">
        <v>0</v>
      </c>
      <c r="H55">
        <v>0</v>
      </c>
      <c r="K55" s="29"/>
    </row>
    <row r="56" spans="1:11" x14ac:dyDescent="0.25">
      <c r="A56" s="72" t="s">
        <v>30</v>
      </c>
      <c r="B56" t="s">
        <v>26</v>
      </c>
      <c r="C56">
        <v>0</v>
      </c>
      <c r="D56">
        <v>0</v>
      </c>
      <c r="E56">
        <v>58.1</v>
      </c>
      <c r="F56">
        <v>131</v>
      </c>
      <c r="G56">
        <v>0</v>
      </c>
      <c r="H56">
        <v>0</v>
      </c>
      <c r="K56" s="29"/>
    </row>
    <row r="57" spans="1:11" x14ac:dyDescent="0.25">
      <c r="A57" s="72" t="s">
        <v>272</v>
      </c>
      <c r="B57" t="s">
        <v>26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K57" s="29"/>
    </row>
    <row r="58" spans="1:11" x14ac:dyDescent="0.25">
      <c r="A58" s="72" t="s">
        <v>90</v>
      </c>
      <c r="B58" t="s">
        <v>26</v>
      </c>
      <c r="C58">
        <v>6.5</v>
      </c>
      <c r="D58">
        <v>0</v>
      </c>
      <c r="E58">
        <v>7</v>
      </c>
      <c r="F58">
        <v>40.799999999999997</v>
      </c>
      <c r="G58">
        <v>0</v>
      </c>
      <c r="H58">
        <v>0</v>
      </c>
      <c r="K58" s="29"/>
    </row>
    <row r="59" spans="1:11" x14ac:dyDescent="0.25">
      <c r="A59" s="72" t="s">
        <v>92</v>
      </c>
      <c r="B59" t="s">
        <v>26</v>
      </c>
      <c r="C59">
        <v>0</v>
      </c>
      <c r="D59">
        <v>4.8</v>
      </c>
      <c r="E59">
        <v>5</v>
      </c>
      <c r="F59">
        <v>0</v>
      </c>
      <c r="G59">
        <v>0</v>
      </c>
      <c r="H59">
        <v>0</v>
      </c>
      <c r="K59" s="29"/>
    </row>
    <row r="60" spans="1:11" x14ac:dyDescent="0.25">
      <c r="A60" s="72" t="s">
        <v>66</v>
      </c>
      <c r="B60" t="s">
        <v>26</v>
      </c>
      <c r="C60">
        <v>0</v>
      </c>
      <c r="D60">
        <v>0</v>
      </c>
      <c r="E60" t="s">
        <v>176</v>
      </c>
      <c r="F60">
        <v>0</v>
      </c>
      <c r="G60">
        <v>0</v>
      </c>
      <c r="H60">
        <v>0</v>
      </c>
      <c r="K60" s="29"/>
    </row>
    <row r="61" spans="1:11" x14ac:dyDescent="0.25">
      <c r="A61" s="72" t="s">
        <v>94</v>
      </c>
      <c r="B61" t="s">
        <v>26</v>
      </c>
      <c r="C61">
        <v>0</v>
      </c>
      <c r="D61">
        <v>0</v>
      </c>
      <c r="E61">
        <v>23</v>
      </c>
      <c r="F61">
        <v>17.399999999999999</v>
      </c>
      <c r="G61">
        <v>0</v>
      </c>
      <c r="H61">
        <v>0</v>
      </c>
      <c r="K61" s="29"/>
    </row>
    <row r="62" spans="1:11" x14ac:dyDescent="0.25">
      <c r="A62" s="72" t="s">
        <v>116</v>
      </c>
      <c r="B62" t="s">
        <v>26</v>
      </c>
      <c r="C62">
        <v>0</v>
      </c>
      <c r="D62">
        <v>0</v>
      </c>
      <c r="E62">
        <v>0</v>
      </c>
      <c r="F62">
        <v>12.3</v>
      </c>
      <c r="G62">
        <v>0</v>
      </c>
      <c r="H62">
        <v>0</v>
      </c>
      <c r="K62" s="29"/>
    </row>
    <row r="63" spans="1:11" x14ac:dyDescent="0.25">
      <c r="A63" s="72" t="s">
        <v>31</v>
      </c>
      <c r="B63" t="s">
        <v>26</v>
      </c>
      <c r="C63">
        <v>392.9</v>
      </c>
      <c r="D63">
        <v>458.5</v>
      </c>
      <c r="E63">
        <v>898</v>
      </c>
      <c r="F63">
        <v>1006.1</v>
      </c>
      <c r="G63">
        <v>0</v>
      </c>
      <c r="H63">
        <v>0</v>
      </c>
      <c r="K63" s="29"/>
    </row>
    <row r="64" spans="1:11" x14ac:dyDescent="0.25">
      <c r="A64" s="72" t="s">
        <v>95</v>
      </c>
      <c r="B64" t="s">
        <v>26</v>
      </c>
      <c r="C64" t="s">
        <v>176</v>
      </c>
      <c r="D64">
        <v>0</v>
      </c>
      <c r="E64">
        <v>11.3</v>
      </c>
      <c r="F64">
        <v>26.2</v>
      </c>
      <c r="G64">
        <v>0</v>
      </c>
      <c r="H64">
        <v>0</v>
      </c>
      <c r="K64" s="29"/>
    </row>
    <row r="65" spans="1:11" x14ac:dyDescent="0.25">
      <c r="A65" s="72" t="s">
        <v>67</v>
      </c>
      <c r="B65" t="s">
        <v>26</v>
      </c>
      <c r="C65">
        <v>0</v>
      </c>
      <c r="D65">
        <v>0</v>
      </c>
      <c r="E65">
        <v>0</v>
      </c>
      <c r="F65">
        <v>9.5</v>
      </c>
      <c r="G65">
        <v>0</v>
      </c>
      <c r="H65">
        <v>0</v>
      </c>
      <c r="K65" s="29"/>
    </row>
    <row r="66" spans="1:11" x14ac:dyDescent="0.25">
      <c r="A66" s="72"/>
      <c r="B66" t="s">
        <v>26</v>
      </c>
      <c r="K66" s="29"/>
    </row>
    <row r="67" spans="1:11" x14ac:dyDescent="0.25">
      <c r="A67" s="72" t="s">
        <v>256</v>
      </c>
      <c r="B67" t="s">
        <v>26</v>
      </c>
      <c r="C67">
        <v>1927.9</v>
      </c>
      <c r="D67">
        <v>1767</v>
      </c>
      <c r="E67">
        <v>4852.5</v>
      </c>
      <c r="F67">
        <v>2288</v>
      </c>
      <c r="G67">
        <v>13</v>
      </c>
      <c r="H67">
        <v>0</v>
      </c>
      <c r="K67" s="29"/>
    </row>
    <row r="68" spans="1:11" x14ac:dyDescent="0.25">
      <c r="A68" s="72" t="s">
        <v>257</v>
      </c>
      <c r="B68" t="s">
        <v>26</v>
      </c>
      <c r="C68" t="s">
        <v>176</v>
      </c>
      <c r="D68" t="s">
        <v>176</v>
      </c>
      <c r="E68">
        <v>0</v>
      </c>
      <c r="F68">
        <v>0</v>
      </c>
      <c r="G68">
        <v>0</v>
      </c>
      <c r="H68">
        <v>0</v>
      </c>
      <c r="K68" s="29"/>
    </row>
    <row r="69" spans="1:11" x14ac:dyDescent="0.25">
      <c r="A69" s="72" t="s">
        <v>68</v>
      </c>
      <c r="B69" t="s">
        <v>26</v>
      </c>
      <c r="C69">
        <v>3.6</v>
      </c>
      <c r="D69">
        <v>3.3</v>
      </c>
      <c r="E69">
        <v>2.2000000000000002</v>
      </c>
      <c r="F69">
        <v>2.2000000000000002</v>
      </c>
      <c r="G69">
        <v>0</v>
      </c>
      <c r="H69">
        <v>0</v>
      </c>
      <c r="K69" s="29"/>
    </row>
    <row r="70" spans="1:11" x14ac:dyDescent="0.25">
      <c r="A70" s="72" t="s">
        <v>97</v>
      </c>
      <c r="B70" t="s">
        <v>26</v>
      </c>
      <c r="C70">
        <v>4.2</v>
      </c>
      <c r="D70">
        <v>2</v>
      </c>
      <c r="E70">
        <v>0</v>
      </c>
      <c r="F70">
        <v>5.3</v>
      </c>
      <c r="G70">
        <v>0</v>
      </c>
      <c r="H70">
        <v>0</v>
      </c>
      <c r="K70" s="29"/>
    </row>
    <row r="71" spans="1:11" x14ac:dyDescent="0.25">
      <c r="A71" s="72" t="s">
        <v>98</v>
      </c>
      <c r="B71" t="s">
        <v>26</v>
      </c>
      <c r="C71">
        <v>428.5</v>
      </c>
      <c r="D71">
        <v>0</v>
      </c>
      <c r="E71">
        <v>1961.1</v>
      </c>
      <c r="F71">
        <v>46</v>
      </c>
      <c r="G71">
        <v>0</v>
      </c>
      <c r="H71">
        <v>0</v>
      </c>
      <c r="K71" s="29"/>
    </row>
    <row r="72" spans="1:11" x14ac:dyDescent="0.25">
      <c r="A72" s="72" t="s">
        <v>69</v>
      </c>
      <c r="B72" t="s">
        <v>26</v>
      </c>
      <c r="C72">
        <v>0</v>
      </c>
      <c r="D72">
        <v>23.4</v>
      </c>
      <c r="E72">
        <v>48.5</v>
      </c>
      <c r="F72">
        <v>30</v>
      </c>
      <c r="G72">
        <v>0</v>
      </c>
      <c r="H72">
        <v>0</v>
      </c>
      <c r="K72" s="29"/>
    </row>
    <row r="73" spans="1:11" x14ac:dyDescent="0.25">
      <c r="A73" s="72" t="s">
        <v>70</v>
      </c>
      <c r="B73" t="s">
        <v>26</v>
      </c>
      <c r="C73">
        <v>26</v>
      </c>
      <c r="D73">
        <v>0.5</v>
      </c>
      <c r="E73">
        <v>6.8</v>
      </c>
      <c r="F73">
        <v>3.2</v>
      </c>
      <c r="G73">
        <v>0</v>
      </c>
      <c r="H73">
        <v>0</v>
      </c>
      <c r="K73" s="29"/>
    </row>
    <row r="74" spans="1:11" x14ac:dyDescent="0.25">
      <c r="A74" s="72" t="s">
        <v>99</v>
      </c>
      <c r="B74" t="s">
        <v>26</v>
      </c>
      <c r="C74">
        <v>31</v>
      </c>
      <c r="D74">
        <v>0</v>
      </c>
      <c r="E74">
        <v>272.89999999999998</v>
      </c>
      <c r="F74">
        <v>167.2</v>
      </c>
      <c r="G74">
        <v>0</v>
      </c>
      <c r="H74">
        <v>0</v>
      </c>
      <c r="K74" s="29"/>
    </row>
    <row r="75" spans="1:11" x14ac:dyDescent="0.25">
      <c r="A75" s="72" t="s">
        <v>71</v>
      </c>
      <c r="B75" t="s">
        <v>26</v>
      </c>
      <c r="C75">
        <v>122.6</v>
      </c>
      <c r="D75">
        <v>141.30000000000001</v>
      </c>
      <c r="E75">
        <v>305.60000000000002</v>
      </c>
      <c r="F75">
        <v>165.7</v>
      </c>
      <c r="G75">
        <v>0</v>
      </c>
      <c r="H75">
        <v>0</v>
      </c>
      <c r="K75" s="29"/>
    </row>
    <row r="76" spans="1:11" x14ac:dyDescent="0.25">
      <c r="A76" s="72" t="s">
        <v>100</v>
      </c>
      <c r="B76" t="s">
        <v>26</v>
      </c>
      <c r="C76">
        <v>144.19999999999999</v>
      </c>
      <c r="D76">
        <v>145.1</v>
      </c>
      <c r="E76">
        <v>134.19999999999999</v>
      </c>
      <c r="F76">
        <v>121.9</v>
      </c>
      <c r="G76">
        <v>0</v>
      </c>
      <c r="H76">
        <v>0</v>
      </c>
      <c r="K76" s="29"/>
    </row>
    <row r="77" spans="1:11" x14ac:dyDescent="0.25">
      <c r="A77" s="72" t="s">
        <v>101</v>
      </c>
      <c r="B77" t="s">
        <v>26</v>
      </c>
      <c r="C77">
        <v>0</v>
      </c>
      <c r="D77">
        <v>0</v>
      </c>
      <c r="E77">
        <v>82.4</v>
      </c>
      <c r="F77">
        <v>83.4</v>
      </c>
      <c r="G77">
        <v>0</v>
      </c>
      <c r="H77">
        <v>0</v>
      </c>
      <c r="K77" s="29"/>
    </row>
    <row r="78" spans="1:11" x14ac:dyDescent="0.25">
      <c r="A78" s="72" t="s">
        <v>269</v>
      </c>
      <c r="B78" t="s">
        <v>26</v>
      </c>
      <c r="C78">
        <v>0</v>
      </c>
      <c r="D78">
        <v>5</v>
      </c>
      <c r="E78">
        <v>0</v>
      </c>
      <c r="F78">
        <v>0</v>
      </c>
      <c r="G78">
        <v>0</v>
      </c>
      <c r="H78">
        <v>0</v>
      </c>
      <c r="K78" s="29"/>
    </row>
    <row r="79" spans="1:11" x14ac:dyDescent="0.25">
      <c r="A79" s="72" t="s">
        <v>73</v>
      </c>
      <c r="B79" t="s">
        <v>26</v>
      </c>
      <c r="C79">
        <v>139.69999999999999</v>
      </c>
      <c r="D79">
        <v>141.4</v>
      </c>
      <c r="E79">
        <v>191.7</v>
      </c>
      <c r="F79">
        <v>127.6</v>
      </c>
      <c r="G79">
        <v>0</v>
      </c>
      <c r="H79">
        <v>0</v>
      </c>
      <c r="K79" s="29"/>
    </row>
    <row r="80" spans="1:11" x14ac:dyDescent="0.25">
      <c r="A80" s="72" t="s">
        <v>102</v>
      </c>
      <c r="B80" t="s">
        <v>26</v>
      </c>
      <c r="C80">
        <v>0</v>
      </c>
      <c r="D80">
        <v>0</v>
      </c>
      <c r="E80">
        <v>8</v>
      </c>
      <c r="F80">
        <v>0</v>
      </c>
      <c r="G80">
        <v>0</v>
      </c>
      <c r="H80">
        <v>0</v>
      </c>
      <c r="K80" s="29"/>
    </row>
    <row r="81" spans="1:11" x14ac:dyDescent="0.25">
      <c r="A81" s="72" t="s">
        <v>103</v>
      </c>
      <c r="B81" t="s">
        <v>26</v>
      </c>
      <c r="C81">
        <v>0</v>
      </c>
      <c r="D81">
        <v>0</v>
      </c>
      <c r="E81">
        <v>46</v>
      </c>
      <c r="F81">
        <v>52.1</v>
      </c>
      <c r="G81">
        <v>0</v>
      </c>
      <c r="H81">
        <v>0</v>
      </c>
      <c r="K81" s="29"/>
    </row>
    <row r="82" spans="1:11" x14ac:dyDescent="0.25">
      <c r="A82" s="72" t="s">
        <v>104</v>
      </c>
      <c r="B82" t="s">
        <v>26</v>
      </c>
      <c r="C82">
        <v>45.6</v>
      </c>
      <c r="D82">
        <v>34.9</v>
      </c>
      <c r="E82">
        <v>67.2</v>
      </c>
      <c r="F82">
        <v>52</v>
      </c>
      <c r="G82">
        <v>0</v>
      </c>
      <c r="H82">
        <v>0</v>
      </c>
      <c r="K82" s="29"/>
    </row>
    <row r="83" spans="1:11" x14ac:dyDescent="0.25">
      <c r="A83" s="72" t="s">
        <v>105</v>
      </c>
      <c r="B83" t="s">
        <v>26</v>
      </c>
      <c r="C83">
        <v>45.3</v>
      </c>
      <c r="D83">
        <v>21.5</v>
      </c>
      <c r="E83">
        <v>35.700000000000003</v>
      </c>
      <c r="F83">
        <v>37.9</v>
      </c>
      <c r="G83">
        <v>0</v>
      </c>
      <c r="H83">
        <v>0</v>
      </c>
      <c r="K83" s="29"/>
    </row>
    <row r="84" spans="1:11" x14ac:dyDescent="0.25">
      <c r="A84" s="72" t="s">
        <v>106</v>
      </c>
      <c r="B84" t="s">
        <v>26</v>
      </c>
      <c r="C84">
        <v>19</v>
      </c>
      <c r="D84">
        <v>22.8</v>
      </c>
      <c r="E84">
        <v>15.4</v>
      </c>
      <c r="F84">
        <v>6.4</v>
      </c>
      <c r="G84">
        <v>5.5</v>
      </c>
      <c r="H84">
        <v>0</v>
      </c>
      <c r="K84" s="29"/>
    </row>
    <row r="85" spans="1:11" x14ac:dyDescent="0.25">
      <c r="A85" s="72" t="s">
        <v>74</v>
      </c>
      <c r="B85" t="s">
        <v>26</v>
      </c>
      <c r="C85">
        <v>598.20000000000005</v>
      </c>
      <c r="D85">
        <v>848.4</v>
      </c>
      <c r="E85">
        <v>1082.5</v>
      </c>
      <c r="F85">
        <v>933</v>
      </c>
      <c r="G85">
        <v>7.5</v>
      </c>
      <c r="H85">
        <v>0</v>
      </c>
      <c r="K85" s="29"/>
    </row>
    <row r="86" spans="1:11" x14ac:dyDescent="0.25">
      <c r="A86" s="72" t="s">
        <v>107</v>
      </c>
      <c r="B86" t="s">
        <v>26</v>
      </c>
      <c r="C86">
        <v>3</v>
      </c>
      <c r="D86">
        <v>5.5</v>
      </c>
      <c r="E86">
        <v>37.200000000000003</v>
      </c>
      <c r="F86">
        <v>10.6</v>
      </c>
      <c r="G86">
        <v>0</v>
      </c>
      <c r="H86">
        <v>0</v>
      </c>
      <c r="K86" s="29"/>
    </row>
    <row r="87" spans="1:11" x14ac:dyDescent="0.25">
      <c r="A87" s="72" t="s">
        <v>75</v>
      </c>
      <c r="B87" t="s">
        <v>26</v>
      </c>
      <c r="C87">
        <v>18.3</v>
      </c>
      <c r="D87">
        <v>65.099999999999994</v>
      </c>
      <c r="E87">
        <v>42.2</v>
      </c>
      <c r="F87">
        <v>38.9</v>
      </c>
      <c r="G87">
        <v>0</v>
      </c>
      <c r="H87">
        <v>0</v>
      </c>
      <c r="K87" s="29"/>
    </row>
    <row r="88" spans="1:11" x14ac:dyDescent="0.25">
      <c r="A88" s="72" t="s">
        <v>76</v>
      </c>
      <c r="B88" t="s">
        <v>26</v>
      </c>
      <c r="C88">
        <v>37.5</v>
      </c>
      <c r="D88">
        <v>41.3</v>
      </c>
      <c r="E88">
        <v>330.1</v>
      </c>
      <c r="F88">
        <v>129.19999999999999</v>
      </c>
      <c r="G88">
        <v>0</v>
      </c>
      <c r="H88">
        <v>0</v>
      </c>
      <c r="K88" s="29"/>
    </row>
    <row r="89" spans="1:11" x14ac:dyDescent="0.25">
      <c r="A89" s="72" t="s">
        <v>108</v>
      </c>
      <c r="B89" t="s">
        <v>26</v>
      </c>
      <c r="C89">
        <v>7</v>
      </c>
      <c r="D89">
        <v>3.6</v>
      </c>
      <c r="E89">
        <v>35.9</v>
      </c>
      <c r="F89">
        <v>76</v>
      </c>
      <c r="G89">
        <v>0</v>
      </c>
      <c r="H89">
        <v>0</v>
      </c>
      <c r="K89" s="29"/>
    </row>
    <row r="90" spans="1:11" x14ac:dyDescent="0.25">
      <c r="A90" s="72" t="s">
        <v>110</v>
      </c>
      <c r="B90" t="s">
        <v>26</v>
      </c>
      <c r="C90">
        <v>23</v>
      </c>
      <c r="D90">
        <v>25.8</v>
      </c>
      <c r="E90">
        <v>45.1</v>
      </c>
      <c r="F90">
        <v>40</v>
      </c>
      <c r="G90">
        <v>0</v>
      </c>
      <c r="H90">
        <v>0</v>
      </c>
      <c r="K90" s="29"/>
    </row>
    <row r="91" spans="1:11" x14ac:dyDescent="0.25">
      <c r="A91" s="72" t="s">
        <v>285</v>
      </c>
      <c r="B91" t="s">
        <v>26</v>
      </c>
      <c r="C91">
        <v>0</v>
      </c>
      <c r="D91">
        <v>0</v>
      </c>
      <c r="E91" t="s">
        <v>176</v>
      </c>
      <c r="F91">
        <v>0</v>
      </c>
      <c r="G91">
        <v>0</v>
      </c>
      <c r="H91">
        <v>0</v>
      </c>
      <c r="K91" s="29"/>
    </row>
    <row r="92" spans="1:11" x14ac:dyDescent="0.25">
      <c r="A92" s="72" t="s">
        <v>77</v>
      </c>
      <c r="B92" t="s">
        <v>26</v>
      </c>
      <c r="C92">
        <v>231.3</v>
      </c>
      <c r="D92">
        <v>236</v>
      </c>
      <c r="E92">
        <v>102</v>
      </c>
      <c r="F92">
        <v>159.6</v>
      </c>
      <c r="G92">
        <v>0</v>
      </c>
      <c r="H92">
        <v>0</v>
      </c>
      <c r="K92" s="29"/>
    </row>
    <row r="93" spans="1:11" x14ac:dyDescent="0.25">
      <c r="A93" s="72" t="s">
        <v>274</v>
      </c>
      <c r="B93" t="s">
        <v>24</v>
      </c>
      <c r="C93" t="s">
        <v>25</v>
      </c>
      <c r="D93" t="s">
        <v>278</v>
      </c>
      <c r="E93" t="s">
        <v>35</v>
      </c>
      <c r="F93" t="s">
        <v>25</v>
      </c>
      <c r="G93" t="s">
        <v>289</v>
      </c>
      <c r="H93" t="s">
        <v>25</v>
      </c>
      <c r="K93" s="29"/>
    </row>
    <row r="94" spans="1:11" x14ac:dyDescent="0.25">
      <c r="A94" s="72" t="s">
        <v>258</v>
      </c>
      <c r="B94" t="s">
        <v>26</v>
      </c>
      <c r="C94">
        <v>5220.2</v>
      </c>
      <c r="D94">
        <v>3813.9</v>
      </c>
      <c r="E94">
        <v>11048.9</v>
      </c>
      <c r="F94">
        <v>8088.5</v>
      </c>
      <c r="G94">
        <v>13</v>
      </c>
      <c r="H94">
        <v>0</v>
      </c>
      <c r="K94" s="29"/>
    </row>
    <row r="95" spans="1:11" x14ac:dyDescent="0.25">
      <c r="A95" s="72" t="s">
        <v>259</v>
      </c>
      <c r="B95" t="s">
        <v>26</v>
      </c>
      <c r="C95">
        <v>801.9</v>
      </c>
      <c r="D95">
        <v>445.6</v>
      </c>
      <c r="E95">
        <v>0</v>
      </c>
      <c r="F95">
        <v>0</v>
      </c>
      <c r="G95">
        <v>79</v>
      </c>
      <c r="H95">
        <v>0</v>
      </c>
      <c r="K95" s="29"/>
    </row>
    <row r="96" spans="1:11" x14ac:dyDescent="0.25">
      <c r="A96" s="72" t="s">
        <v>274</v>
      </c>
      <c r="B96" t="s">
        <v>24</v>
      </c>
      <c r="C96" t="s">
        <v>25</v>
      </c>
      <c r="D96" t="s">
        <v>278</v>
      </c>
      <c r="E96" t="s">
        <v>35</v>
      </c>
      <c r="F96" t="s">
        <v>25</v>
      </c>
      <c r="G96" t="s">
        <v>289</v>
      </c>
      <c r="H96" t="s">
        <v>25</v>
      </c>
      <c r="K96" s="29"/>
    </row>
    <row r="97" spans="1:11" x14ac:dyDescent="0.25">
      <c r="A97" s="72" t="s">
        <v>260</v>
      </c>
      <c r="B97" t="s">
        <v>26</v>
      </c>
      <c r="C97">
        <v>6022</v>
      </c>
      <c r="D97">
        <v>4259.5</v>
      </c>
      <c r="E97">
        <v>11048.9</v>
      </c>
      <c r="F97">
        <v>8088.5</v>
      </c>
      <c r="G97">
        <v>92</v>
      </c>
      <c r="H97">
        <v>0</v>
      </c>
      <c r="K97" s="29"/>
    </row>
    <row r="98" spans="1:11" x14ac:dyDescent="0.25">
      <c r="A98" s="72" t="s">
        <v>261</v>
      </c>
      <c r="B98" t="s">
        <v>26</v>
      </c>
      <c r="C98" t="s">
        <v>24</v>
      </c>
      <c r="D98" t="s">
        <v>24</v>
      </c>
      <c r="E98">
        <v>19.3</v>
      </c>
      <c r="F98">
        <v>0</v>
      </c>
      <c r="G98" t="s">
        <v>24</v>
      </c>
      <c r="H98" t="s">
        <v>24</v>
      </c>
      <c r="K98" s="29"/>
    </row>
    <row r="99" spans="1:11" x14ac:dyDescent="0.25">
      <c r="A99" s="72" t="s">
        <v>262</v>
      </c>
      <c r="B99" t="s">
        <v>26</v>
      </c>
      <c r="C99">
        <v>30</v>
      </c>
      <c r="D99">
        <v>20</v>
      </c>
      <c r="E99" t="s">
        <v>24</v>
      </c>
      <c r="F99" t="s">
        <v>24</v>
      </c>
      <c r="G99">
        <v>0</v>
      </c>
      <c r="H99">
        <v>0</v>
      </c>
      <c r="K99" s="29"/>
    </row>
    <row r="100" spans="1:11" x14ac:dyDescent="0.25">
      <c r="A100" s="29" t="s">
        <v>274</v>
      </c>
      <c r="B100" t="s">
        <v>24</v>
      </c>
      <c r="C100" t="s">
        <v>25</v>
      </c>
      <c r="D100" t="s">
        <v>278</v>
      </c>
      <c r="E100" t="s">
        <v>35</v>
      </c>
      <c r="F100" t="s">
        <v>25</v>
      </c>
      <c r="G100" t="s">
        <v>289</v>
      </c>
      <c r="H100" t="s">
        <v>25</v>
      </c>
      <c r="K100" s="29"/>
    </row>
    <row r="101" spans="1:11" x14ac:dyDescent="0.25">
      <c r="A101" s="72"/>
      <c r="K101" s="29"/>
    </row>
    <row r="102" spans="1:11" x14ac:dyDescent="0.25">
      <c r="A102" s="72"/>
      <c r="K102" s="29"/>
    </row>
    <row r="103" spans="1:11" x14ac:dyDescent="0.25">
      <c r="A103" s="72"/>
      <c r="K103" s="29"/>
    </row>
    <row r="104" spans="1:11" x14ac:dyDescent="0.25">
      <c r="A104" s="72"/>
      <c r="K104" s="29"/>
    </row>
    <row r="105" spans="1:11" x14ac:dyDescent="0.25">
      <c r="A105" s="72"/>
      <c r="K105" s="29"/>
    </row>
    <row r="106" spans="1:11" x14ac:dyDescent="0.25">
      <c r="A106" s="72"/>
      <c r="K106" s="29"/>
    </row>
    <row r="107" spans="1:11" x14ac:dyDescent="0.25">
      <c r="A107" s="72"/>
      <c r="K107" s="29"/>
    </row>
    <row r="108" spans="1:11" x14ac:dyDescent="0.25">
      <c r="A108" s="72"/>
      <c r="K108" s="29"/>
    </row>
    <row r="109" spans="1:11" x14ac:dyDescent="0.25">
      <c r="A109" s="72"/>
      <c r="K109" s="29"/>
    </row>
    <row r="110" spans="1:11" x14ac:dyDescent="0.25">
      <c r="A110" s="72"/>
      <c r="K110" s="29"/>
    </row>
    <row r="111" spans="1:11" x14ac:dyDescent="0.25">
      <c r="A111" s="72"/>
      <c r="K111" s="29"/>
    </row>
    <row r="112" spans="1:11" x14ac:dyDescent="0.25">
      <c r="A112" s="72"/>
      <c r="K112" s="29"/>
    </row>
    <row r="113" spans="1:11" x14ac:dyDescent="0.25">
      <c r="A113" s="72"/>
      <c r="K113" s="29"/>
    </row>
    <row r="114" spans="1:11" x14ac:dyDescent="0.25">
      <c r="A114" s="72"/>
      <c r="K114" s="29"/>
    </row>
    <row r="115" spans="1:11" x14ac:dyDescent="0.25">
      <c r="A115" s="72"/>
      <c r="K115" s="29"/>
    </row>
    <row r="116" spans="1:11" x14ac:dyDescent="0.25">
      <c r="A116" s="72"/>
      <c r="K116" s="29"/>
    </row>
    <row r="117" spans="1:11" x14ac:dyDescent="0.25">
      <c r="A117" s="72"/>
      <c r="K117" s="29"/>
    </row>
    <row r="118" spans="1:11" x14ac:dyDescent="0.25">
      <c r="A118" s="72"/>
      <c r="K118" s="29"/>
    </row>
    <row r="119" spans="1:11" x14ac:dyDescent="0.25">
      <c r="A119" s="72"/>
      <c r="K119" s="29"/>
    </row>
    <row r="120" spans="1:11" x14ac:dyDescent="0.25">
      <c r="A120" s="72"/>
      <c r="K120" s="29"/>
    </row>
    <row r="121" spans="1:11" x14ac:dyDescent="0.25">
      <c r="A121" s="72"/>
      <c r="K121" s="29"/>
    </row>
    <row r="122" spans="1:11" x14ac:dyDescent="0.25">
      <c r="A122" s="72"/>
      <c r="K122" s="29"/>
    </row>
    <row r="123" spans="1:11" x14ac:dyDescent="0.25">
      <c r="A123" s="72"/>
      <c r="K123" s="29"/>
    </row>
    <row r="124" spans="1:11" x14ac:dyDescent="0.25">
      <c r="A124" s="72"/>
      <c r="K124" s="29"/>
    </row>
    <row r="125" spans="1:11" x14ac:dyDescent="0.25">
      <c r="A125" s="72"/>
    </row>
    <row r="126" spans="1:11" x14ac:dyDescent="0.25">
      <c r="A126" s="72"/>
    </row>
    <row r="127" spans="1:11" x14ac:dyDescent="0.25">
      <c r="A127" s="72"/>
    </row>
    <row r="128" spans="1:11" x14ac:dyDescent="0.25">
      <c r="A128" s="29"/>
    </row>
    <row r="129" spans="1:1" x14ac:dyDescent="0.25">
      <c r="A129" s="72"/>
    </row>
    <row r="130" spans="1:1" x14ac:dyDescent="0.25">
      <c r="A130" s="72"/>
    </row>
    <row r="131" spans="1:1" x14ac:dyDescent="0.25">
      <c r="A131" s="72"/>
    </row>
    <row r="132" spans="1:1" x14ac:dyDescent="0.25">
      <c r="A132" s="72"/>
    </row>
    <row r="133" spans="1:1" x14ac:dyDescent="0.25">
      <c r="A133" s="72"/>
    </row>
    <row r="134" spans="1:1" x14ac:dyDescent="0.25">
      <c r="A134" s="72"/>
    </row>
    <row r="135" spans="1:1" x14ac:dyDescent="0.25">
      <c r="A135" s="29"/>
    </row>
    <row r="136" spans="1:1" x14ac:dyDescent="0.25">
      <c r="A136" s="29"/>
    </row>
    <row r="137" spans="1:1" x14ac:dyDescent="0.25">
      <c r="A137" s="29"/>
    </row>
    <row r="138" spans="1:1" x14ac:dyDescent="0.25">
      <c r="A138" s="29"/>
    </row>
    <row r="139" spans="1:1" x14ac:dyDescent="0.25">
      <c r="A139" s="29"/>
    </row>
    <row r="140" spans="1:1" x14ac:dyDescent="0.25">
      <c r="A140" s="29"/>
    </row>
    <row r="141" spans="1:1" x14ac:dyDescent="0.25">
      <c r="A141" s="29"/>
    </row>
    <row r="142" spans="1:1" x14ac:dyDescent="0.25">
      <c r="A142" s="29"/>
    </row>
    <row r="143" spans="1:1" x14ac:dyDescent="0.25">
      <c r="A143" s="29"/>
    </row>
    <row r="144" spans="1:1" x14ac:dyDescent="0.25">
      <c r="A144" s="29"/>
    </row>
    <row r="145" spans="1:1" x14ac:dyDescent="0.25">
      <c r="A145" s="29"/>
    </row>
    <row r="146" spans="1:1" x14ac:dyDescent="0.25">
      <c r="A146" s="29"/>
    </row>
    <row r="147" spans="1:1" x14ac:dyDescent="0.25">
      <c r="A147" s="29"/>
    </row>
    <row r="205" spans="1:1" ht="15" x14ac:dyDescent="0.35">
      <c r="A205" s="35"/>
    </row>
    <row r="206" spans="1:1" ht="15" x14ac:dyDescent="0.35">
      <c r="A206" s="35"/>
    </row>
    <row r="207" spans="1:1" ht="15" x14ac:dyDescent="0.35">
      <c r="A207" s="35"/>
    </row>
    <row r="208" spans="1:1" ht="15" x14ac:dyDescent="0.35">
      <c r="A208" s="35"/>
    </row>
    <row r="209" spans="1:1" ht="15" x14ac:dyDescent="0.35">
      <c r="A209" s="35"/>
    </row>
    <row r="210" spans="1:1" ht="15" x14ac:dyDescent="0.35">
      <c r="A210" s="35"/>
    </row>
    <row r="211" spans="1:1" ht="15" x14ac:dyDescent="0.35">
      <c r="A211" s="35"/>
    </row>
    <row r="212" spans="1:1" ht="15" x14ac:dyDescent="0.35">
      <c r="A212" s="35"/>
    </row>
    <row r="213" spans="1:1" ht="15" x14ac:dyDescent="0.35">
      <c r="A213" s="35"/>
    </row>
    <row r="214" spans="1:1" ht="15" x14ac:dyDescent="0.35">
      <c r="A214" s="35"/>
    </row>
    <row r="215" spans="1:1" ht="15" x14ac:dyDescent="0.35">
      <c r="A215" s="35"/>
    </row>
    <row r="216" spans="1:1" ht="15" x14ac:dyDescent="0.35">
      <c r="A216" s="35"/>
    </row>
    <row r="217" spans="1:1" ht="15" x14ac:dyDescent="0.35">
      <c r="A217" s="35"/>
    </row>
    <row r="218" spans="1:1" ht="15" x14ac:dyDescent="0.35">
      <c r="A218" s="35"/>
    </row>
    <row r="219" spans="1:1" ht="15" x14ac:dyDescent="0.35">
      <c r="A219" s="35"/>
    </row>
    <row r="220" spans="1:1" ht="15" x14ac:dyDescent="0.35">
      <c r="A220" s="35"/>
    </row>
    <row r="221" spans="1:1" ht="15" x14ac:dyDescent="0.35">
      <c r="A221" s="35"/>
    </row>
    <row r="222" spans="1:1" ht="15" x14ac:dyDescent="0.35">
      <c r="A222" s="35"/>
    </row>
    <row r="223" spans="1:1" ht="15" x14ac:dyDescent="0.35">
      <c r="A223" s="35"/>
    </row>
    <row r="224" spans="1:1" ht="15" x14ac:dyDescent="0.35">
      <c r="A224" s="35"/>
    </row>
    <row r="225" spans="1:1" ht="15" x14ac:dyDescent="0.35">
      <c r="A225" s="35"/>
    </row>
    <row r="226" spans="1:1" ht="15" x14ac:dyDescent="0.35">
      <c r="A226" s="35"/>
    </row>
    <row r="227" spans="1:1" ht="15" x14ac:dyDescent="0.35">
      <c r="A227" s="35"/>
    </row>
    <row r="228" spans="1:1" ht="15" x14ac:dyDescent="0.35">
      <c r="A228" s="35"/>
    </row>
    <row r="229" spans="1:1" ht="15" x14ac:dyDescent="0.35">
      <c r="A229" s="35"/>
    </row>
    <row r="230" spans="1:1" ht="15" x14ac:dyDescent="0.35">
      <c r="A230" s="35"/>
    </row>
    <row r="231" spans="1:1" ht="15" x14ac:dyDescent="0.35">
      <c r="A231" s="35"/>
    </row>
    <row r="232" spans="1:1" ht="15" x14ac:dyDescent="0.35">
      <c r="A232" s="35"/>
    </row>
    <row r="233" spans="1:1" ht="15" x14ac:dyDescent="0.35">
      <c r="A233" s="35"/>
    </row>
    <row r="234" spans="1:1" ht="15" x14ac:dyDescent="0.35">
      <c r="A234" s="35"/>
    </row>
    <row r="235" spans="1:1" ht="15" x14ac:dyDescent="0.35">
      <c r="A235" s="35"/>
    </row>
    <row r="236" spans="1:1" ht="15" x14ac:dyDescent="0.35">
      <c r="A236" s="35"/>
    </row>
    <row r="237" spans="1:1" ht="15" x14ac:dyDescent="0.35">
      <c r="A237" s="35"/>
    </row>
    <row r="238" spans="1:1" ht="15" x14ac:dyDescent="0.35">
      <c r="A238" s="35"/>
    </row>
    <row r="239" spans="1:1" ht="15" x14ac:dyDescent="0.35">
      <c r="A239" s="35"/>
    </row>
    <row r="240" spans="1:1" ht="15" x14ac:dyDescent="0.35">
      <c r="A240" s="35"/>
    </row>
    <row r="241" spans="1:1" ht="15" x14ac:dyDescent="0.35">
      <c r="A241" s="35"/>
    </row>
    <row r="242" spans="1:1" ht="15" x14ac:dyDescent="0.35">
      <c r="A242" s="35"/>
    </row>
    <row r="243" spans="1:1" ht="15" x14ac:dyDescent="0.35">
      <c r="A243" s="35"/>
    </row>
    <row r="244" spans="1:1" ht="15" x14ac:dyDescent="0.35">
      <c r="A244" s="35"/>
    </row>
    <row r="245" spans="1:1" ht="15" x14ac:dyDescent="0.35">
      <c r="A245" s="35"/>
    </row>
    <row r="246" spans="1:1" ht="15" x14ac:dyDescent="0.35">
      <c r="A246" s="35"/>
    </row>
    <row r="247" spans="1:1" ht="15" x14ac:dyDescent="0.35">
      <c r="A247" s="35"/>
    </row>
    <row r="248" spans="1:1" ht="15" x14ac:dyDescent="0.35">
      <c r="A248" s="35"/>
    </row>
    <row r="249" spans="1:1" ht="15" x14ac:dyDescent="0.35">
      <c r="A249" s="35"/>
    </row>
    <row r="250" spans="1:1" ht="15" x14ac:dyDescent="0.35">
      <c r="A250" s="35"/>
    </row>
    <row r="251" spans="1:1" ht="15" x14ac:dyDescent="0.35">
      <c r="A251" s="35"/>
    </row>
    <row r="252" spans="1:1" ht="15" x14ac:dyDescent="0.35">
      <c r="A252" s="35"/>
    </row>
    <row r="253" spans="1:1" ht="15" x14ac:dyDescent="0.35">
      <c r="A253" s="35"/>
    </row>
    <row r="254" spans="1:1" ht="15" x14ac:dyDescent="0.35">
      <c r="A254" s="35"/>
    </row>
    <row r="255" spans="1:1" ht="15" x14ac:dyDescent="0.35">
      <c r="A255" s="35"/>
    </row>
    <row r="256" spans="1:1" ht="15" x14ac:dyDescent="0.35">
      <c r="A256" s="35"/>
    </row>
    <row r="257" spans="1:1" ht="15" x14ac:dyDescent="0.35">
      <c r="A257" s="35"/>
    </row>
    <row r="258" spans="1:1" ht="15" x14ac:dyDescent="0.35">
      <c r="A258" s="35"/>
    </row>
    <row r="259" spans="1:1" ht="15" x14ac:dyDescent="0.35">
      <c r="A259" s="35"/>
    </row>
    <row r="260" spans="1:1" ht="15" x14ac:dyDescent="0.35">
      <c r="A260" s="35"/>
    </row>
    <row r="261" spans="1:1" ht="15" x14ac:dyDescent="0.35">
      <c r="A261" s="35"/>
    </row>
    <row r="262" spans="1:1" ht="15" x14ac:dyDescent="0.35">
      <c r="A262" s="35"/>
    </row>
    <row r="263" spans="1:1" ht="15" x14ac:dyDescent="0.35">
      <c r="A263" s="35"/>
    </row>
    <row r="264" spans="1:1" ht="15" x14ac:dyDescent="0.35">
      <c r="A264" s="35"/>
    </row>
    <row r="265" spans="1:1" ht="15" x14ac:dyDescent="0.35">
      <c r="A265" s="35"/>
    </row>
    <row r="266" spans="1:1" ht="15" x14ac:dyDescent="0.35">
      <c r="A266" s="35"/>
    </row>
    <row r="267" spans="1:1" ht="15" x14ac:dyDescent="0.35">
      <c r="A267" s="35"/>
    </row>
    <row r="268" spans="1:1" ht="15" x14ac:dyDescent="0.35">
      <c r="A268" s="35"/>
    </row>
    <row r="269" spans="1:1" ht="15" x14ac:dyDescent="0.35">
      <c r="A269" s="35"/>
    </row>
    <row r="270" spans="1:1" ht="15" x14ac:dyDescent="0.35">
      <c r="A270" s="35"/>
    </row>
    <row r="271" spans="1:1" ht="15" x14ac:dyDescent="0.35">
      <c r="A271" s="35"/>
    </row>
    <row r="272" spans="1:1" ht="15" x14ac:dyDescent="0.35">
      <c r="A272" s="35"/>
    </row>
    <row r="273" spans="1:1" ht="15" x14ac:dyDescent="0.35">
      <c r="A273" s="35"/>
    </row>
    <row r="274" spans="1:1" ht="15" x14ac:dyDescent="0.35">
      <c r="A274" s="35"/>
    </row>
    <row r="275" spans="1:1" ht="15" x14ac:dyDescent="0.35">
      <c r="A275" s="35"/>
    </row>
    <row r="276" spans="1:1" ht="15" x14ac:dyDescent="0.35">
      <c r="A276" s="35"/>
    </row>
    <row r="277" spans="1:1" ht="15" x14ac:dyDescent="0.35">
      <c r="A277" s="35"/>
    </row>
  </sheetData>
  <mergeCells count="1">
    <mergeCell ref="Q24:Y24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1"/>
  <sheetViews>
    <sheetView workbookViewId="0"/>
  </sheetViews>
  <sheetFormatPr defaultRowHeight="13.2" x14ac:dyDescent="0.25"/>
  <cols>
    <col min="1" max="1" width="27.6640625" bestFit="1" customWidth="1"/>
    <col min="2" max="2" width="1.6640625" customWidth="1"/>
  </cols>
  <sheetData>
    <row r="1" spans="1:53" ht="15" x14ac:dyDescent="0.35">
      <c r="A1" s="35" t="s">
        <v>210</v>
      </c>
      <c r="M1" s="72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</row>
    <row r="2" spans="1:53" ht="15" x14ac:dyDescent="0.35">
      <c r="A2" s="35"/>
      <c r="M2" s="72"/>
      <c r="O2" t="s">
        <v>125</v>
      </c>
      <c r="P2" t="s">
        <v>185</v>
      </c>
      <c r="Q2" t="s">
        <v>186</v>
      </c>
      <c r="R2" t="s">
        <v>128</v>
      </c>
      <c r="S2" t="s">
        <v>129</v>
      </c>
      <c r="T2" t="s">
        <v>130</v>
      </c>
      <c r="U2" t="s">
        <v>187</v>
      </c>
      <c r="V2" s="68">
        <v>40909</v>
      </c>
    </row>
    <row r="3" spans="1:53" ht="15" x14ac:dyDescent="0.35">
      <c r="A3" s="35" t="s">
        <v>212</v>
      </c>
      <c r="E3" s="67"/>
      <c r="M3" s="72"/>
      <c r="P3" t="s">
        <v>189</v>
      </c>
      <c r="Q3" t="s">
        <v>190</v>
      </c>
      <c r="R3" t="s">
        <v>134</v>
      </c>
      <c r="S3" t="s">
        <v>135</v>
      </c>
      <c r="T3" t="s">
        <v>136</v>
      </c>
      <c r="U3" t="s">
        <v>137</v>
      </c>
    </row>
    <row r="4" spans="1:53" ht="15" x14ac:dyDescent="0.25">
      <c r="A4" s="94" t="s">
        <v>211</v>
      </c>
      <c r="M4" s="72"/>
      <c r="Q4" t="s">
        <v>138</v>
      </c>
      <c r="R4" t="s">
        <v>139</v>
      </c>
      <c r="S4" t="s">
        <v>140</v>
      </c>
      <c r="T4" t="s">
        <v>141</v>
      </c>
      <c r="AP4" s="75" t="s">
        <v>25</v>
      </c>
      <c r="AQ4" t="s">
        <v>37</v>
      </c>
      <c r="AR4" t="s">
        <v>35</v>
      </c>
      <c r="AS4" t="s">
        <v>38</v>
      </c>
      <c r="AT4" t="s">
        <v>35</v>
      </c>
      <c r="AU4" t="s">
        <v>38</v>
      </c>
      <c r="AV4" t="s">
        <v>35</v>
      </c>
      <c r="AW4" t="s">
        <v>38</v>
      </c>
      <c r="AX4" t="s">
        <v>35</v>
      </c>
      <c r="AY4" t="s">
        <v>149</v>
      </c>
      <c r="AZ4" t="s">
        <v>25</v>
      </c>
      <c r="BA4" t="s">
        <v>38</v>
      </c>
    </row>
    <row r="5" spans="1:53" ht="15" x14ac:dyDescent="0.35">
      <c r="A5" s="35" t="s">
        <v>213</v>
      </c>
      <c r="M5" s="72"/>
      <c r="AP5" s="75"/>
      <c r="AR5" t="s">
        <v>171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183</v>
      </c>
      <c r="AY5" t="s">
        <v>184</v>
      </c>
    </row>
    <row r="6" spans="1:53" ht="15" x14ac:dyDescent="0.35">
      <c r="A6" s="35" t="s">
        <v>214</v>
      </c>
      <c r="M6" s="72"/>
      <c r="O6" t="s">
        <v>204</v>
      </c>
      <c r="P6">
        <v>2012</v>
      </c>
      <c r="Q6" t="s">
        <v>191</v>
      </c>
      <c r="R6">
        <v>2011</v>
      </c>
      <c r="S6" t="s">
        <v>142</v>
      </c>
      <c r="T6">
        <v>2010</v>
      </c>
      <c r="U6" t="s">
        <v>143</v>
      </c>
      <c r="V6">
        <v>2009</v>
      </c>
      <c r="W6" t="s">
        <v>144</v>
      </c>
      <c r="X6">
        <v>2008</v>
      </c>
      <c r="AC6" s="35" t="s">
        <v>118</v>
      </c>
      <c r="AD6" t="s">
        <v>112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P6" s="75"/>
      <c r="AR6" t="s">
        <v>125</v>
      </c>
      <c r="AS6" t="s">
        <v>185</v>
      </c>
      <c r="AT6" t="s">
        <v>186</v>
      </c>
      <c r="AU6" t="s">
        <v>128</v>
      </c>
      <c r="AV6" t="s">
        <v>129</v>
      </c>
      <c r="AW6" t="s">
        <v>130</v>
      </c>
      <c r="AX6" t="s">
        <v>187</v>
      </c>
      <c r="AY6" t="s">
        <v>188</v>
      </c>
    </row>
    <row r="7" spans="1:53" ht="15" x14ac:dyDescent="0.35">
      <c r="A7" s="35" t="s">
        <v>215</v>
      </c>
      <c r="M7" s="72" t="s">
        <v>147</v>
      </c>
      <c r="O7" t="s">
        <v>117</v>
      </c>
      <c r="P7" t="s">
        <v>148</v>
      </c>
      <c r="Q7" t="s">
        <v>117</v>
      </c>
      <c r="R7" t="s">
        <v>148</v>
      </c>
      <c r="S7" t="s">
        <v>117</v>
      </c>
      <c r="T7" t="s">
        <v>148</v>
      </c>
      <c r="U7" t="s">
        <v>117</v>
      </c>
      <c r="V7" t="s">
        <v>148</v>
      </c>
      <c r="W7" t="s">
        <v>117</v>
      </c>
      <c r="X7" t="s">
        <v>148</v>
      </c>
      <c r="AC7" s="35"/>
      <c r="AE7" t="s">
        <v>125</v>
      </c>
      <c r="AF7" t="s">
        <v>126</v>
      </c>
      <c r="AG7" t="s">
        <v>127</v>
      </c>
      <c r="AH7" t="s">
        <v>128</v>
      </c>
      <c r="AI7" t="s">
        <v>129</v>
      </c>
      <c r="AJ7" t="s">
        <v>130</v>
      </c>
      <c r="AK7" t="s">
        <v>131</v>
      </c>
      <c r="AL7" s="68">
        <v>40422</v>
      </c>
      <c r="AP7" s="75"/>
      <c r="AS7" t="s">
        <v>189</v>
      </c>
      <c r="AT7" t="s">
        <v>190</v>
      </c>
      <c r="AU7" t="s">
        <v>134</v>
      </c>
      <c r="AV7" t="s">
        <v>135</v>
      </c>
      <c r="AW7" t="s">
        <v>136</v>
      </c>
      <c r="AX7" t="s">
        <v>137</v>
      </c>
    </row>
    <row r="8" spans="1:53" ht="15" x14ac:dyDescent="0.35">
      <c r="A8" s="35" t="s">
        <v>216</v>
      </c>
      <c r="M8" s="72" t="s">
        <v>25</v>
      </c>
      <c r="N8" t="s">
        <v>37</v>
      </c>
      <c r="O8" t="s">
        <v>35</v>
      </c>
      <c r="P8" t="s">
        <v>38</v>
      </c>
      <c r="Q8" t="s">
        <v>35</v>
      </c>
      <c r="R8" t="s">
        <v>38</v>
      </c>
      <c r="S8" t="s">
        <v>35</v>
      </c>
      <c r="T8" t="s">
        <v>38</v>
      </c>
      <c r="U8" t="s">
        <v>35</v>
      </c>
      <c r="V8" t="s">
        <v>149</v>
      </c>
      <c r="W8" t="s">
        <v>25</v>
      </c>
      <c r="X8" t="s">
        <v>38</v>
      </c>
      <c r="AC8" s="35"/>
      <c r="AF8" t="s">
        <v>132</v>
      </c>
      <c r="AG8" t="s">
        <v>133</v>
      </c>
      <c r="AH8" t="s">
        <v>134</v>
      </c>
      <c r="AI8" t="s">
        <v>135</v>
      </c>
      <c r="AJ8" t="s">
        <v>136</v>
      </c>
      <c r="AK8" t="s">
        <v>137</v>
      </c>
      <c r="AP8" s="75"/>
      <c r="AT8" t="s">
        <v>138</v>
      </c>
      <c r="AU8" t="s">
        <v>139</v>
      </c>
      <c r="AV8" t="s">
        <v>140</v>
      </c>
      <c r="AW8" t="s">
        <v>141</v>
      </c>
    </row>
    <row r="9" spans="1:53" ht="15" x14ac:dyDescent="0.35">
      <c r="A9" s="35"/>
      <c r="J9" s="48" t="s">
        <v>0</v>
      </c>
      <c r="K9" s="3" t="s">
        <v>1</v>
      </c>
      <c r="M9" s="72" t="s">
        <v>29</v>
      </c>
      <c r="N9" t="s">
        <v>26</v>
      </c>
      <c r="O9">
        <v>3512.1</v>
      </c>
      <c r="P9">
        <v>1</v>
      </c>
      <c r="Q9">
        <v>3273</v>
      </c>
      <c r="R9">
        <v>3</v>
      </c>
      <c r="S9">
        <v>3148.3</v>
      </c>
      <c r="T9">
        <v>2</v>
      </c>
      <c r="U9">
        <v>3103.2</v>
      </c>
      <c r="V9">
        <v>1</v>
      </c>
      <c r="W9">
        <v>3319.4</v>
      </c>
      <c r="X9">
        <v>1</v>
      </c>
      <c r="AC9" s="35"/>
      <c r="AG9" t="s">
        <v>138</v>
      </c>
      <c r="AH9" t="s">
        <v>139</v>
      </c>
      <c r="AI9" t="s">
        <v>140</v>
      </c>
      <c r="AJ9" t="s">
        <v>141</v>
      </c>
      <c r="AP9" s="74"/>
    </row>
    <row r="10" spans="1:53" ht="15" x14ac:dyDescent="0.35">
      <c r="A10" s="35" t="s">
        <v>217</v>
      </c>
      <c r="J10" s="48" t="s">
        <v>40</v>
      </c>
      <c r="K10" s="3" t="s">
        <v>0</v>
      </c>
      <c r="M10" s="72"/>
      <c r="AP10" s="75"/>
      <c r="AR10" t="s">
        <v>191</v>
      </c>
      <c r="AS10">
        <v>2011</v>
      </c>
      <c r="AT10" t="s">
        <v>142</v>
      </c>
      <c r="AU10">
        <v>2010</v>
      </c>
      <c r="AV10" t="s">
        <v>143</v>
      </c>
      <c r="AW10">
        <v>2009</v>
      </c>
      <c r="AX10" t="s">
        <v>144</v>
      </c>
      <c r="AY10">
        <v>2008</v>
      </c>
      <c r="AZ10" t="s">
        <v>145</v>
      </c>
      <c r="BA10">
        <v>2007</v>
      </c>
    </row>
    <row r="11" spans="1:53" ht="15" x14ac:dyDescent="0.35">
      <c r="A11" s="35"/>
      <c r="J11" s="48" t="s">
        <v>1</v>
      </c>
      <c r="K11" s="3" t="s">
        <v>40</v>
      </c>
      <c r="M11" s="72" t="s">
        <v>74</v>
      </c>
      <c r="N11" t="s">
        <v>26</v>
      </c>
      <c r="O11">
        <v>3495.9</v>
      </c>
      <c r="P11">
        <v>2</v>
      </c>
      <c r="Q11">
        <v>2601</v>
      </c>
      <c r="R11">
        <v>4</v>
      </c>
      <c r="S11">
        <v>1974.6</v>
      </c>
      <c r="T11">
        <v>3</v>
      </c>
      <c r="U11">
        <v>2422.6</v>
      </c>
      <c r="V11">
        <v>3</v>
      </c>
      <c r="W11">
        <v>2568.4</v>
      </c>
      <c r="X11">
        <v>4</v>
      </c>
      <c r="AC11" s="35"/>
      <c r="AE11" t="s">
        <v>142</v>
      </c>
      <c r="AF11">
        <v>2010</v>
      </c>
      <c r="AG11" t="s">
        <v>143</v>
      </c>
      <c r="AH11">
        <v>2009</v>
      </c>
      <c r="AI11" t="s">
        <v>144</v>
      </c>
      <c r="AJ11">
        <v>2008</v>
      </c>
      <c r="AK11" t="s">
        <v>145</v>
      </c>
      <c r="AL11">
        <v>2007</v>
      </c>
      <c r="AM11" t="s">
        <v>146</v>
      </c>
      <c r="AN11">
        <v>2006</v>
      </c>
      <c r="AP11" s="75" t="s">
        <v>147</v>
      </c>
      <c r="AR11" t="s">
        <v>117</v>
      </c>
      <c r="AS11" t="s">
        <v>148</v>
      </c>
      <c r="AT11" t="s">
        <v>117</v>
      </c>
      <c r="AU11" t="s">
        <v>148</v>
      </c>
      <c r="AV11" t="s">
        <v>117</v>
      </c>
      <c r="AW11" t="s">
        <v>148</v>
      </c>
      <c r="AX11" t="s">
        <v>117</v>
      </c>
      <c r="AY11" t="s">
        <v>148</v>
      </c>
      <c r="AZ11" t="s">
        <v>117</v>
      </c>
      <c r="BA11" t="s">
        <v>148</v>
      </c>
    </row>
    <row r="12" spans="1:53" ht="15" x14ac:dyDescent="0.35">
      <c r="A12" s="35" t="s">
        <v>218</v>
      </c>
      <c r="J12" s="48" t="s">
        <v>205</v>
      </c>
      <c r="K12" s="3" t="s">
        <v>113</v>
      </c>
      <c r="M12" s="72"/>
      <c r="AC12" s="35" t="s">
        <v>147</v>
      </c>
      <c r="AE12" t="s">
        <v>117</v>
      </c>
      <c r="AF12" t="s">
        <v>148</v>
      </c>
      <c r="AG12" t="s">
        <v>117</v>
      </c>
      <c r="AH12" t="s">
        <v>148</v>
      </c>
      <c r="AI12" t="s">
        <v>117</v>
      </c>
      <c r="AJ12" t="s">
        <v>148</v>
      </c>
      <c r="AK12" t="s">
        <v>117</v>
      </c>
      <c r="AL12" t="s">
        <v>148</v>
      </c>
      <c r="AM12" t="s">
        <v>117</v>
      </c>
      <c r="AN12" t="s">
        <v>148</v>
      </c>
      <c r="AP12" s="75" t="s">
        <v>25</v>
      </c>
      <c r="AQ12" t="s">
        <v>37</v>
      </c>
      <c r="AR12" t="s">
        <v>35</v>
      </c>
      <c r="AS12" t="s">
        <v>38</v>
      </c>
      <c r="AT12" t="s">
        <v>35</v>
      </c>
      <c r="AU12" t="s">
        <v>38</v>
      </c>
      <c r="AV12" t="s">
        <v>35</v>
      </c>
      <c r="AW12" t="s">
        <v>38</v>
      </c>
      <c r="AX12" t="s">
        <v>35</v>
      </c>
      <c r="AY12" t="s">
        <v>149</v>
      </c>
      <c r="AZ12" t="s">
        <v>25</v>
      </c>
      <c r="BA12" t="s">
        <v>38</v>
      </c>
    </row>
    <row r="13" spans="1:53" ht="15" x14ac:dyDescent="0.35">
      <c r="A13" s="35"/>
      <c r="J13" s="48" t="s">
        <v>192</v>
      </c>
      <c r="K13" s="3" t="s">
        <v>192</v>
      </c>
      <c r="M13" s="72" t="s">
        <v>31</v>
      </c>
      <c r="N13" t="s">
        <v>26</v>
      </c>
      <c r="O13">
        <v>3248</v>
      </c>
      <c r="P13">
        <v>3</v>
      </c>
      <c r="Q13">
        <v>3645.3</v>
      </c>
      <c r="R13">
        <v>2</v>
      </c>
      <c r="S13">
        <v>3233</v>
      </c>
      <c r="T13">
        <v>1</v>
      </c>
      <c r="U13">
        <v>2660.8</v>
      </c>
      <c r="V13">
        <v>2</v>
      </c>
      <c r="W13">
        <v>2596.6999999999998</v>
      </c>
      <c r="X13">
        <v>3</v>
      </c>
      <c r="AC13" s="35" t="s">
        <v>25</v>
      </c>
      <c r="AD13" t="s">
        <v>37</v>
      </c>
      <c r="AE13" t="s">
        <v>35</v>
      </c>
      <c r="AF13" t="s">
        <v>149</v>
      </c>
      <c r="AG13" t="s">
        <v>25</v>
      </c>
      <c r="AH13" t="s">
        <v>38</v>
      </c>
      <c r="AI13" t="s">
        <v>35</v>
      </c>
      <c r="AJ13" t="s">
        <v>38</v>
      </c>
      <c r="AK13" t="s">
        <v>35</v>
      </c>
      <c r="AL13" t="s">
        <v>149</v>
      </c>
      <c r="AM13" t="s">
        <v>25</v>
      </c>
      <c r="AN13" t="s">
        <v>38</v>
      </c>
      <c r="AP13" s="75" t="s">
        <v>30</v>
      </c>
      <c r="AQ13" t="s">
        <v>26</v>
      </c>
      <c r="AR13">
        <v>4021.2</v>
      </c>
      <c r="AS13">
        <v>1</v>
      </c>
      <c r="AT13">
        <v>455.6</v>
      </c>
      <c r="AU13">
        <v>14</v>
      </c>
      <c r="AV13">
        <v>1928.4</v>
      </c>
      <c r="AW13">
        <v>4</v>
      </c>
      <c r="AX13">
        <v>3276.3</v>
      </c>
      <c r="AY13">
        <v>2</v>
      </c>
      <c r="AZ13">
        <v>1981.5</v>
      </c>
      <c r="BA13">
        <v>4</v>
      </c>
    </row>
    <row r="14" spans="1:53" ht="15" x14ac:dyDescent="0.35">
      <c r="A14" s="35"/>
      <c r="J14" s="93" t="s">
        <v>206</v>
      </c>
      <c r="K14" s="13" t="s">
        <v>172</v>
      </c>
      <c r="M14" s="72"/>
      <c r="AC14" s="35" t="s">
        <v>31</v>
      </c>
      <c r="AD14" t="s">
        <v>26</v>
      </c>
      <c r="AE14">
        <v>3233</v>
      </c>
      <c r="AF14">
        <v>1</v>
      </c>
      <c r="AG14">
        <v>2660.8</v>
      </c>
      <c r="AH14">
        <v>2</v>
      </c>
      <c r="AI14">
        <v>2596.6999999999998</v>
      </c>
      <c r="AJ14">
        <v>3</v>
      </c>
      <c r="AK14">
        <v>2441.1999999999998</v>
      </c>
      <c r="AL14">
        <v>2</v>
      </c>
      <c r="AM14">
        <v>3035.6</v>
      </c>
      <c r="AN14">
        <v>1</v>
      </c>
      <c r="AP14" s="74"/>
    </row>
    <row r="15" spans="1:53" ht="15" x14ac:dyDescent="0.35">
      <c r="A15" s="35"/>
      <c r="J15" s="48" t="s">
        <v>2</v>
      </c>
      <c r="K15" s="3" t="s">
        <v>2</v>
      </c>
      <c r="M15" s="72" t="s">
        <v>60</v>
      </c>
      <c r="N15" t="s">
        <v>26</v>
      </c>
      <c r="O15">
        <v>2038.6</v>
      </c>
      <c r="P15">
        <v>4</v>
      </c>
      <c r="Q15">
        <v>1806.3</v>
      </c>
      <c r="R15">
        <v>5</v>
      </c>
      <c r="S15">
        <v>1517.5</v>
      </c>
      <c r="T15">
        <v>4</v>
      </c>
      <c r="U15">
        <v>1480</v>
      </c>
      <c r="V15">
        <v>6</v>
      </c>
      <c r="W15">
        <v>1538</v>
      </c>
      <c r="X15">
        <v>6</v>
      </c>
      <c r="AP15" s="75" t="s">
        <v>31</v>
      </c>
      <c r="AQ15" t="s">
        <v>26</v>
      </c>
      <c r="AR15">
        <v>3645.3</v>
      </c>
      <c r="AS15">
        <v>2</v>
      </c>
      <c r="AT15">
        <v>3233</v>
      </c>
      <c r="AU15">
        <v>1</v>
      </c>
      <c r="AV15">
        <v>2660.8</v>
      </c>
      <c r="AW15">
        <v>2</v>
      </c>
      <c r="AX15">
        <v>2596.6999999999998</v>
      </c>
      <c r="AY15">
        <v>3</v>
      </c>
      <c r="AZ15">
        <v>2441.1999999999998</v>
      </c>
      <c r="BA15">
        <v>2</v>
      </c>
    </row>
    <row r="16" spans="1:53" ht="15" x14ac:dyDescent="0.35">
      <c r="A16" s="35"/>
      <c r="J16" s="48" t="s">
        <v>207</v>
      </c>
      <c r="K16" s="69" t="s">
        <v>111</v>
      </c>
      <c r="M16" s="72"/>
      <c r="AC16" s="35" t="s">
        <v>29</v>
      </c>
      <c r="AD16" t="s">
        <v>26</v>
      </c>
      <c r="AE16">
        <v>3148.3</v>
      </c>
      <c r="AF16">
        <v>2</v>
      </c>
      <c r="AG16">
        <v>3103.2</v>
      </c>
      <c r="AH16">
        <v>1</v>
      </c>
      <c r="AI16">
        <v>3319.4</v>
      </c>
      <c r="AJ16">
        <v>1</v>
      </c>
      <c r="AK16">
        <v>3227.7</v>
      </c>
      <c r="AL16">
        <v>1</v>
      </c>
      <c r="AM16">
        <v>2965.7</v>
      </c>
      <c r="AN16">
        <v>2</v>
      </c>
      <c r="AP16" s="74"/>
    </row>
    <row r="17" spans="1:53" ht="15" x14ac:dyDescent="0.35">
      <c r="A17" s="35"/>
      <c r="J17" s="48" t="s">
        <v>208</v>
      </c>
      <c r="K17" s="3" t="s">
        <v>39</v>
      </c>
      <c r="M17" s="72" t="s">
        <v>58</v>
      </c>
      <c r="N17" t="s">
        <v>26</v>
      </c>
      <c r="O17">
        <v>1983</v>
      </c>
      <c r="P17">
        <v>5</v>
      </c>
      <c r="Q17">
        <v>1640.2</v>
      </c>
      <c r="R17">
        <v>6</v>
      </c>
      <c r="S17">
        <v>1110.7</v>
      </c>
      <c r="T17">
        <v>5</v>
      </c>
      <c r="U17">
        <v>1127.4000000000001</v>
      </c>
      <c r="V17">
        <v>8</v>
      </c>
      <c r="W17">
        <v>1509.4</v>
      </c>
      <c r="X17">
        <v>7</v>
      </c>
      <c r="AP17" s="75" t="s">
        <v>29</v>
      </c>
      <c r="AQ17" t="s">
        <v>26</v>
      </c>
      <c r="AR17">
        <v>3273</v>
      </c>
      <c r="AS17">
        <v>3</v>
      </c>
      <c r="AT17">
        <v>3148.3</v>
      </c>
      <c r="AU17">
        <v>2</v>
      </c>
      <c r="AV17">
        <v>3103.2</v>
      </c>
      <c r="AW17">
        <v>1</v>
      </c>
      <c r="AX17">
        <v>3319.4</v>
      </c>
      <c r="AY17">
        <v>1</v>
      </c>
      <c r="AZ17">
        <v>3227.7</v>
      </c>
      <c r="BA17">
        <v>1</v>
      </c>
    </row>
    <row r="18" spans="1:53" ht="15" x14ac:dyDescent="0.35">
      <c r="A18" s="35"/>
      <c r="J18" s="48" t="s">
        <v>209</v>
      </c>
      <c r="K18" s="3" t="s">
        <v>28</v>
      </c>
      <c r="M18" s="72"/>
      <c r="AC18" s="35" t="s">
        <v>74</v>
      </c>
      <c r="AD18" t="s">
        <v>26</v>
      </c>
      <c r="AE18">
        <v>1974.6</v>
      </c>
      <c r="AF18">
        <v>3</v>
      </c>
      <c r="AG18">
        <v>2422.6</v>
      </c>
      <c r="AH18">
        <v>3</v>
      </c>
      <c r="AI18">
        <v>2568.4</v>
      </c>
      <c r="AJ18">
        <v>4</v>
      </c>
      <c r="AK18">
        <v>2137.6999999999998</v>
      </c>
      <c r="AL18">
        <v>3</v>
      </c>
      <c r="AM18">
        <v>2563.6</v>
      </c>
      <c r="AN18">
        <v>3</v>
      </c>
      <c r="AP18" s="74"/>
    </row>
    <row r="19" spans="1:53" ht="15" x14ac:dyDescent="0.35">
      <c r="A19" s="35"/>
      <c r="M19" s="72" t="s">
        <v>30</v>
      </c>
      <c r="N19" t="s">
        <v>26</v>
      </c>
      <c r="O19">
        <v>949.8</v>
      </c>
      <c r="P19">
        <v>6</v>
      </c>
      <c r="Q19">
        <v>4021.2</v>
      </c>
      <c r="R19">
        <v>1</v>
      </c>
      <c r="S19">
        <v>455.6</v>
      </c>
      <c r="T19">
        <v>14</v>
      </c>
      <c r="U19">
        <v>1928.4</v>
      </c>
      <c r="V19">
        <v>4</v>
      </c>
      <c r="W19">
        <v>3276.3</v>
      </c>
      <c r="X19">
        <v>2</v>
      </c>
      <c r="AP19" s="75" t="s">
        <v>74</v>
      </c>
      <c r="AQ19" t="s">
        <v>26</v>
      </c>
      <c r="AR19">
        <v>2601</v>
      </c>
      <c r="AS19">
        <v>4</v>
      </c>
      <c r="AT19">
        <v>1974.6</v>
      </c>
      <c r="AU19">
        <v>3</v>
      </c>
      <c r="AV19">
        <v>2422.6</v>
      </c>
      <c r="AW19">
        <v>3</v>
      </c>
      <c r="AX19">
        <v>2568.4</v>
      </c>
      <c r="AY19">
        <v>4</v>
      </c>
      <c r="AZ19">
        <v>2137.6999999999998</v>
      </c>
      <c r="BA19">
        <v>3</v>
      </c>
    </row>
    <row r="20" spans="1:53" ht="15" x14ac:dyDescent="0.35">
      <c r="A20" s="35"/>
      <c r="M20" s="72"/>
      <c r="AC20" s="35" t="s">
        <v>60</v>
      </c>
      <c r="AD20" t="s">
        <v>26</v>
      </c>
      <c r="AE20">
        <v>1517.5</v>
      </c>
      <c r="AF20">
        <v>4</v>
      </c>
      <c r="AG20">
        <v>1480</v>
      </c>
      <c r="AH20">
        <v>6</v>
      </c>
      <c r="AI20">
        <v>1538</v>
      </c>
      <c r="AJ20">
        <v>6</v>
      </c>
      <c r="AK20">
        <v>1739.2</v>
      </c>
      <c r="AL20">
        <v>5</v>
      </c>
      <c r="AM20">
        <v>1676.3</v>
      </c>
      <c r="AN20">
        <v>5</v>
      </c>
      <c r="AP20" s="74"/>
    </row>
    <row r="21" spans="1:53" ht="15" x14ac:dyDescent="0.35">
      <c r="A21" s="35"/>
      <c r="M21" s="72" t="s">
        <v>52</v>
      </c>
      <c r="N21" t="s">
        <v>26</v>
      </c>
      <c r="O21">
        <v>887.9</v>
      </c>
      <c r="P21">
        <v>7</v>
      </c>
      <c r="Q21">
        <v>912.9</v>
      </c>
      <c r="R21">
        <v>10</v>
      </c>
      <c r="S21">
        <v>843.6</v>
      </c>
      <c r="T21">
        <v>6</v>
      </c>
      <c r="U21">
        <v>713.7</v>
      </c>
      <c r="V21">
        <v>11</v>
      </c>
      <c r="W21">
        <v>1067.5</v>
      </c>
      <c r="X21">
        <v>9</v>
      </c>
      <c r="AP21" s="75" t="s">
        <v>60</v>
      </c>
      <c r="AQ21" t="s">
        <v>26</v>
      </c>
      <c r="AR21">
        <v>1806.3</v>
      </c>
      <c r="AS21">
        <v>5</v>
      </c>
      <c r="AT21">
        <v>1517.5</v>
      </c>
      <c r="AU21">
        <v>4</v>
      </c>
      <c r="AV21">
        <v>1480</v>
      </c>
      <c r="AW21">
        <v>6</v>
      </c>
      <c r="AX21">
        <v>1538</v>
      </c>
      <c r="AY21">
        <v>6</v>
      </c>
      <c r="AZ21">
        <v>1739.2</v>
      </c>
      <c r="BA21">
        <v>5</v>
      </c>
    </row>
    <row r="22" spans="1:53" ht="15" x14ac:dyDescent="0.35">
      <c r="A22" s="35"/>
      <c r="M22" s="72"/>
      <c r="AC22" s="35" t="s">
        <v>58</v>
      </c>
      <c r="AD22" t="s">
        <v>26</v>
      </c>
      <c r="AE22">
        <v>1110.7</v>
      </c>
      <c r="AF22">
        <v>5</v>
      </c>
      <c r="AG22">
        <v>1127.4000000000001</v>
      </c>
      <c r="AH22">
        <v>8</v>
      </c>
      <c r="AI22">
        <v>1509.4</v>
      </c>
      <c r="AJ22">
        <v>7</v>
      </c>
      <c r="AK22">
        <v>1191.4000000000001</v>
      </c>
      <c r="AL22">
        <v>6</v>
      </c>
      <c r="AM22">
        <v>1142.5</v>
      </c>
      <c r="AN22">
        <v>7</v>
      </c>
      <c r="AP22" s="74"/>
    </row>
    <row r="23" spans="1:53" ht="15" x14ac:dyDescent="0.35">
      <c r="A23" s="35"/>
      <c r="M23" s="72" t="s">
        <v>55</v>
      </c>
      <c r="N23" t="s">
        <v>26</v>
      </c>
      <c r="O23">
        <v>830</v>
      </c>
      <c r="P23">
        <v>8</v>
      </c>
      <c r="Q23">
        <v>781.4</v>
      </c>
      <c r="R23">
        <v>12</v>
      </c>
      <c r="S23">
        <v>528.6</v>
      </c>
      <c r="T23">
        <v>10</v>
      </c>
      <c r="U23">
        <v>709.3</v>
      </c>
      <c r="V23">
        <v>12</v>
      </c>
      <c r="W23">
        <v>1093.3</v>
      </c>
      <c r="X23">
        <v>8</v>
      </c>
      <c r="AP23" s="75" t="s">
        <v>58</v>
      </c>
      <c r="AQ23" t="s">
        <v>26</v>
      </c>
      <c r="AR23">
        <v>1640.2</v>
      </c>
      <c r="AS23">
        <v>6</v>
      </c>
      <c r="AT23">
        <v>1110.7</v>
      </c>
      <c r="AU23">
        <v>5</v>
      </c>
      <c r="AV23">
        <v>1127.4000000000001</v>
      </c>
      <c r="AW23">
        <v>8</v>
      </c>
      <c r="AX23">
        <v>1509.4</v>
      </c>
      <c r="AY23">
        <v>7</v>
      </c>
      <c r="AZ23">
        <v>1191.4000000000001</v>
      </c>
      <c r="BA23">
        <v>6</v>
      </c>
    </row>
    <row r="24" spans="1:53" ht="15" x14ac:dyDescent="0.35">
      <c r="A24" s="35"/>
      <c r="M24" s="72"/>
      <c r="AC24" s="35" t="s">
        <v>52</v>
      </c>
      <c r="AD24" t="s">
        <v>26</v>
      </c>
      <c r="AE24">
        <v>843.6</v>
      </c>
      <c r="AF24">
        <v>6</v>
      </c>
      <c r="AG24">
        <v>713.7</v>
      </c>
      <c r="AH24">
        <v>11</v>
      </c>
      <c r="AI24">
        <v>1067.5</v>
      </c>
      <c r="AJ24">
        <v>9</v>
      </c>
      <c r="AK24">
        <v>999</v>
      </c>
      <c r="AL24">
        <v>7</v>
      </c>
      <c r="AM24">
        <v>914</v>
      </c>
      <c r="AN24">
        <v>9</v>
      </c>
      <c r="AP24" s="74"/>
    </row>
    <row r="25" spans="1:53" ht="15" x14ac:dyDescent="0.35">
      <c r="A25" s="35"/>
      <c r="M25" s="72" t="s">
        <v>48</v>
      </c>
      <c r="N25" t="s">
        <v>26</v>
      </c>
      <c r="O25">
        <v>639.20000000000005</v>
      </c>
      <c r="P25">
        <v>9</v>
      </c>
      <c r="Q25">
        <v>304.2</v>
      </c>
      <c r="R25">
        <v>27</v>
      </c>
      <c r="S25">
        <v>134.80000000000001</v>
      </c>
      <c r="T25">
        <v>29</v>
      </c>
      <c r="U25">
        <v>363.8</v>
      </c>
      <c r="V25">
        <v>21</v>
      </c>
      <c r="W25">
        <v>683.6</v>
      </c>
      <c r="X25">
        <v>15</v>
      </c>
      <c r="AP25" s="75" t="s">
        <v>82</v>
      </c>
      <c r="AQ25" t="s">
        <v>26</v>
      </c>
      <c r="AR25">
        <v>1078.4000000000001</v>
      </c>
      <c r="AS25">
        <v>7</v>
      </c>
      <c r="AT25">
        <v>306.7</v>
      </c>
      <c r="AU25">
        <v>20</v>
      </c>
      <c r="AV25">
        <v>1205</v>
      </c>
      <c r="AW25">
        <v>7</v>
      </c>
      <c r="AX25">
        <v>1964.2</v>
      </c>
      <c r="AY25">
        <v>5</v>
      </c>
      <c r="AZ25">
        <v>798.5</v>
      </c>
      <c r="BA25">
        <v>8</v>
      </c>
    </row>
    <row r="26" spans="1:53" ht="15" x14ac:dyDescent="0.35">
      <c r="A26" s="35"/>
      <c r="M26" s="72"/>
      <c r="AC26" s="35" t="s">
        <v>77</v>
      </c>
      <c r="AD26" t="s">
        <v>26</v>
      </c>
      <c r="AE26">
        <v>657.8</v>
      </c>
      <c r="AF26">
        <v>7</v>
      </c>
      <c r="AG26">
        <v>567.5</v>
      </c>
      <c r="AH26">
        <v>13</v>
      </c>
      <c r="AI26">
        <v>996.8</v>
      </c>
      <c r="AJ26">
        <v>10</v>
      </c>
      <c r="AK26">
        <v>704.8</v>
      </c>
      <c r="AL26">
        <v>10</v>
      </c>
      <c r="AM26">
        <v>1085.3</v>
      </c>
      <c r="AN26">
        <v>8</v>
      </c>
      <c r="AP26" s="74"/>
    </row>
    <row r="27" spans="1:53" ht="15" x14ac:dyDescent="0.35">
      <c r="A27" s="35"/>
      <c r="M27" s="72" t="s">
        <v>77</v>
      </c>
      <c r="N27" t="s">
        <v>26</v>
      </c>
      <c r="O27">
        <v>593.5</v>
      </c>
      <c r="P27">
        <v>10</v>
      </c>
      <c r="Q27">
        <v>615.70000000000005</v>
      </c>
      <c r="R27">
        <v>16</v>
      </c>
      <c r="S27">
        <v>657.8</v>
      </c>
      <c r="T27">
        <v>7</v>
      </c>
      <c r="U27">
        <v>567.5</v>
      </c>
      <c r="V27">
        <v>13</v>
      </c>
      <c r="W27">
        <v>996.8</v>
      </c>
      <c r="X27">
        <v>10</v>
      </c>
      <c r="AP27" s="75" t="s">
        <v>51</v>
      </c>
      <c r="AQ27" t="s">
        <v>26</v>
      </c>
      <c r="AR27">
        <v>928.8</v>
      </c>
      <c r="AS27">
        <v>8</v>
      </c>
      <c r="AT27">
        <v>38</v>
      </c>
      <c r="AU27">
        <v>44</v>
      </c>
      <c r="AV27">
        <v>56.1</v>
      </c>
      <c r="AW27">
        <v>41</v>
      </c>
      <c r="AX27">
        <v>45.7</v>
      </c>
      <c r="AY27">
        <v>49</v>
      </c>
      <c r="AZ27">
        <v>0</v>
      </c>
      <c r="BA27">
        <v>0</v>
      </c>
    </row>
    <row r="28" spans="1:53" ht="15" x14ac:dyDescent="0.35">
      <c r="A28" s="35"/>
      <c r="M28" s="72"/>
      <c r="AC28" s="35" t="s">
        <v>71</v>
      </c>
      <c r="AD28" t="s">
        <v>26</v>
      </c>
      <c r="AE28">
        <v>575.4</v>
      </c>
      <c r="AF28">
        <v>8</v>
      </c>
      <c r="AG28">
        <v>749</v>
      </c>
      <c r="AH28">
        <v>10</v>
      </c>
      <c r="AI28">
        <v>948.3</v>
      </c>
      <c r="AJ28">
        <v>12</v>
      </c>
      <c r="AK28">
        <v>554.5</v>
      </c>
      <c r="AL28">
        <v>12</v>
      </c>
      <c r="AM28">
        <v>711</v>
      </c>
      <c r="AN28">
        <v>11</v>
      </c>
      <c r="AP28" s="74"/>
    </row>
    <row r="29" spans="1:53" ht="15" x14ac:dyDescent="0.35">
      <c r="A29" s="35"/>
      <c r="M29" s="72" t="s">
        <v>82</v>
      </c>
      <c r="N29" t="s">
        <v>26</v>
      </c>
      <c r="O29">
        <v>571.79999999999995</v>
      </c>
      <c r="P29">
        <v>11</v>
      </c>
      <c r="Q29">
        <v>1078.4000000000001</v>
      </c>
      <c r="R29">
        <v>7</v>
      </c>
      <c r="S29">
        <v>306.7</v>
      </c>
      <c r="T29">
        <v>20</v>
      </c>
      <c r="U29">
        <v>1205</v>
      </c>
      <c r="V29">
        <v>7</v>
      </c>
      <c r="W29">
        <v>1964.2</v>
      </c>
      <c r="X29">
        <v>5</v>
      </c>
      <c r="AP29" s="75" t="s">
        <v>76</v>
      </c>
      <c r="AQ29" t="s">
        <v>26</v>
      </c>
      <c r="AR29">
        <v>922.9</v>
      </c>
      <c r="AS29">
        <v>9</v>
      </c>
      <c r="AT29">
        <v>566.79999999999995</v>
      </c>
      <c r="AU29">
        <v>9</v>
      </c>
      <c r="AV29">
        <v>348</v>
      </c>
      <c r="AW29">
        <v>22</v>
      </c>
      <c r="AX29">
        <v>595.6</v>
      </c>
      <c r="AY29">
        <v>17</v>
      </c>
      <c r="AZ29">
        <v>136.4</v>
      </c>
      <c r="BA29">
        <v>28</v>
      </c>
    </row>
    <row r="30" spans="1:53" ht="15" x14ac:dyDescent="0.35">
      <c r="A30" s="35"/>
      <c r="M30" s="72"/>
      <c r="AC30" s="35" t="s">
        <v>76</v>
      </c>
      <c r="AD30" t="s">
        <v>26</v>
      </c>
      <c r="AE30">
        <v>566.79999999999995</v>
      </c>
      <c r="AF30">
        <v>9</v>
      </c>
      <c r="AG30">
        <v>348</v>
      </c>
      <c r="AH30">
        <v>22</v>
      </c>
      <c r="AI30">
        <v>595.6</v>
      </c>
      <c r="AJ30">
        <v>17</v>
      </c>
      <c r="AK30">
        <v>136.4</v>
      </c>
      <c r="AL30">
        <v>28</v>
      </c>
      <c r="AM30">
        <v>457.6</v>
      </c>
      <c r="AN30">
        <v>14</v>
      </c>
      <c r="AP30" s="74"/>
    </row>
    <row r="31" spans="1:53" ht="15" x14ac:dyDescent="0.35">
      <c r="A31" s="35"/>
      <c r="M31" s="72" t="s">
        <v>76</v>
      </c>
      <c r="N31" t="s">
        <v>26</v>
      </c>
      <c r="O31">
        <v>564.79999999999995</v>
      </c>
      <c r="P31">
        <v>12</v>
      </c>
      <c r="Q31">
        <v>922.9</v>
      </c>
      <c r="R31">
        <v>9</v>
      </c>
      <c r="S31">
        <v>566.79999999999995</v>
      </c>
      <c r="T31">
        <v>9</v>
      </c>
      <c r="U31">
        <v>348</v>
      </c>
      <c r="V31">
        <v>22</v>
      </c>
      <c r="W31">
        <v>595.6</v>
      </c>
      <c r="X31">
        <v>17</v>
      </c>
      <c r="AP31" s="75" t="s">
        <v>52</v>
      </c>
      <c r="AQ31" t="s">
        <v>26</v>
      </c>
      <c r="AR31">
        <v>912.9</v>
      </c>
      <c r="AS31">
        <v>10</v>
      </c>
      <c r="AT31">
        <v>843.6</v>
      </c>
      <c r="AU31">
        <v>6</v>
      </c>
      <c r="AV31">
        <v>713.7</v>
      </c>
      <c r="AW31">
        <v>11</v>
      </c>
      <c r="AX31">
        <v>1067.5</v>
      </c>
      <c r="AY31">
        <v>9</v>
      </c>
      <c r="AZ31">
        <v>999</v>
      </c>
      <c r="BA31">
        <v>7</v>
      </c>
    </row>
    <row r="32" spans="1:53" ht="15" x14ac:dyDescent="0.35">
      <c r="A32" s="35"/>
      <c r="M32" s="72"/>
      <c r="AC32" s="35" t="s">
        <v>55</v>
      </c>
      <c r="AD32" t="s">
        <v>26</v>
      </c>
      <c r="AE32">
        <v>528.6</v>
      </c>
      <c r="AF32">
        <v>10</v>
      </c>
      <c r="AG32">
        <v>709.3</v>
      </c>
      <c r="AH32">
        <v>12</v>
      </c>
      <c r="AI32">
        <v>1093.3</v>
      </c>
      <c r="AJ32">
        <v>8</v>
      </c>
      <c r="AK32">
        <v>683.3</v>
      </c>
      <c r="AL32">
        <v>11</v>
      </c>
      <c r="AM32">
        <v>117.2</v>
      </c>
      <c r="AN32">
        <v>30</v>
      </c>
      <c r="AP32" s="74"/>
    </row>
    <row r="33" spans="1:53" ht="15" x14ac:dyDescent="0.35">
      <c r="A33" s="35"/>
      <c r="M33" s="72" t="s">
        <v>100</v>
      </c>
      <c r="N33" t="s">
        <v>26</v>
      </c>
      <c r="O33">
        <v>535.20000000000005</v>
      </c>
      <c r="P33">
        <v>13</v>
      </c>
      <c r="Q33">
        <v>539.9</v>
      </c>
      <c r="R33">
        <v>19</v>
      </c>
      <c r="S33">
        <v>389.5</v>
      </c>
      <c r="T33">
        <v>16</v>
      </c>
      <c r="U33">
        <v>401.8</v>
      </c>
      <c r="V33">
        <v>17</v>
      </c>
      <c r="W33">
        <v>345</v>
      </c>
      <c r="X33">
        <v>24</v>
      </c>
      <c r="AP33" s="75" t="s">
        <v>71</v>
      </c>
      <c r="AQ33" t="s">
        <v>26</v>
      </c>
      <c r="AR33">
        <v>782.7</v>
      </c>
      <c r="AS33">
        <v>11</v>
      </c>
      <c r="AT33">
        <v>575.4</v>
      </c>
      <c r="AU33">
        <v>8</v>
      </c>
      <c r="AV33">
        <v>749</v>
      </c>
      <c r="AW33">
        <v>10</v>
      </c>
      <c r="AX33">
        <v>948.3</v>
      </c>
      <c r="AY33">
        <v>12</v>
      </c>
      <c r="AZ33">
        <v>554.5</v>
      </c>
      <c r="BA33">
        <v>12</v>
      </c>
    </row>
    <row r="34" spans="1:53" ht="15" x14ac:dyDescent="0.35">
      <c r="A34" s="35"/>
      <c r="M34" s="72"/>
      <c r="AC34" s="35" t="s">
        <v>84</v>
      </c>
      <c r="AD34" t="s">
        <v>26</v>
      </c>
      <c r="AE34">
        <v>516.70000000000005</v>
      </c>
      <c r="AF34">
        <v>11</v>
      </c>
      <c r="AG34">
        <v>482.5</v>
      </c>
      <c r="AH34">
        <v>14</v>
      </c>
      <c r="AI34">
        <v>996.6</v>
      </c>
      <c r="AJ34">
        <v>11</v>
      </c>
      <c r="AK34">
        <v>709.3</v>
      </c>
      <c r="AL34">
        <v>9</v>
      </c>
      <c r="AM34">
        <v>500.6</v>
      </c>
      <c r="AN34">
        <v>12</v>
      </c>
      <c r="AP34" s="74"/>
    </row>
    <row r="35" spans="1:53" ht="15" x14ac:dyDescent="0.35">
      <c r="A35" s="35"/>
      <c r="M35" s="72" t="s">
        <v>53</v>
      </c>
      <c r="N35" t="s">
        <v>26</v>
      </c>
      <c r="O35">
        <v>534.29999999999995</v>
      </c>
      <c r="P35">
        <v>14</v>
      </c>
      <c r="Q35">
        <v>120.7</v>
      </c>
      <c r="R35">
        <v>38</v>
      </c>
      <c r="S35">
        <v>290.8</v>
      </c>
      <c r="T35">
        <v>21</v>
      </c>
      <c r="U35">
        <v>171.1</v>
      </c>
      <c r="V35">
        <v>29</v>
      </c>
      <c r="W35">
        <v>11.1</v>
      </c>
      <c r="X35">
        <v>66</v>
      </c>
      <c r="AP35" s="75" t="s">
        <v>55</v>
      </c>
      <c r="AQ35" t="s">
        <v>26</v>
      </c>
      <c r="AR35">
        <v>781.4</v>
      </c>
      <c r="AS35">
        <v>12</v>
      </c>
      <c r="AT35">
        <v>528.6</v>
      </c>
      <c r="AU35">
        <v>10</v>
      </c>
      <c r="AV35">
        <v>709.3</v>
      </c>
      <c r="AW35">
        <v>12</v>
      </c>
      <c r="AX35">
        <v>1093.3</v>
      </c>
      <c r="AY35">
        <v>8</v>
      </c>
      <c r="AZ35">
        <v>683.3</v>
      </c>
      <c r="BA35">
        <v>11</v>
      </c>
    </row>
    <row r="36" spans="1:53" ht="15" x14ac:dyDescent="0.35">
      <c r="A36" s="35"/>
      <c r="M36" s="72"/>
      <c r="AC36" s="35" t="s">
        <v>73</v>
      </c>
      <c r="AD36" t="s">
        <v>26</v>
      </c>
      <c r="AE36">
        <v>472.6</v>
      </c>
      <c r="AF36">
        <v>12</v>
      </c>
      <c r="AG36">
        <v>390.2</v>
      </c>
      <c r="AH36">
        <v>18</v>
      </c>
      <c r="AI36">
        <v>413.7</v>
      </c>
      <c r="AJ36">
        <v>23</v>
      </c>
      <c r="AK36">
        <v>469</v>
      </c>
      <c r="AL36">
        <v>15</v>
      </c>
      <c r="AM36">
        <v>360.4</v>
      </c>
      <c r="AN36">
        <v>17</v>
      </c>
      <c r="AP36" s="74"/>
    </row>
    <row r="37" spans="1:53" ht="15" x14ac:dyDescent="0.35">
      <c r="A37" s="35"/>
      <c r="M37" s="72" t="s">
        <v>63</v>
      </c>
      <c r="N37" t="s">
        <v>26</v>
      </c>
      <c r="O37">
        <v>507.5</v>
      </c>
      <c r="P37">
        <v>15</v>
      </c>
      <c r="Q37">
        <v>481.9</v>
      </c>
      <c r="R37">
        <v>20</v>
      </c>
      <c r="S37">
        <v>459</v>
      </c>
      <c r="T37">
        <v>13</v>
      </c>
      <c r="U37">
        <v>446</v>
      </c>
      <c r="V37">
        <v>16</v>
      </c>
      <c r="W37">
        <v>414.3</v>
      </c>
      <c r="X37">
        <v>22</v>
      </c>
      <c r="AP37" s="75" t="s">
        <v>45</v>
      </c>
      <c r="AQ37" t="s">
        <v>26</v>
      </c>
      <c r="AR37">
        <v>698</v>
      </c>
      <c r="AS37">
        <v>13</v>
      </c>
      <c r="AT37">
        <v>364.4</v>
      </c>
      <c r="AU37">
        <v>17</v>
      </c>
      <c r="AV37">
        <v>372.7</v>
      </c>
      <c r="AW37">
        <v>20</v>
      </c>
      <c r="AX37">
        <v>658.7</v>
      </c>
      <c r="AY37">
        <v>16</v>
      </c>
      <c r="AZ37">
        <v>515.4</v>
      </c>
      <c r="BA37">
        <v>13</v>
      </c>
    </row>
    <row r="38" spans="1:53" ht="15" x14ac:dyDescent="0.35">
      <c r="A38" s="35"/>
      <c r="M38" s="72"/>
      <c r="AC38" s="35" t="s">
        <v>63</v>
      </c>
      <c r="AD38" t="s">
        <v>26</v>
      </c>
      <c r="AE38">
        <v>459</v>
      </c>
      <c r="AF38">
        <v>13</v>
      </c>
      <c r="AG38">
        <v>446</v>
      </c>
      <c r="AH38">
        <v>16</v>
      </c>
      <c r="AI38">
        <v>414.3</v>
      </c>
      <c r="AJ38">
        <v>22</v>
      </c>
      <c r="AK38">
        <v>497.6</v>
      </c>
      <c r="AL38">
        <v>14</v>
      </c>
      <c r="AM38">
        <v>480.7</v>
      </c>
      <c r="AN38">
        <v>13</v>
      </c>
      <c r="AP38" s="74"/>
    </row>
    <row r="39" spans="1:53" ht="15" x14ac:dyDescent="0.35">
      <c r="A39" s="35"/>
      <c r="M39" s="72" t="s">
        <v>71</v>
      </c>
      <c r="N39" t="s">
        <v>26</v>
      </c>
      <c r="O39">
        <v>446.2</v>
      </c>
      <c r="P39">
        <v>16</v>
      </c>
      <c r="Q39">
        <v>782.7</v>
      </c>
      <c r="R39">
        <v>11</v>
      </c>
      <c r="S39">
        <v>575.4</v>
      </c>
      <c r="T39">
        <v>8</v>
      </c>
      <c r="U39">
        <v>749</v>
      </c>
      <c r="V39">
        <v>10</v>
      </c>
      <c r="W39">
        <v>948.3</v>
      </c>
      <c r="X39">
        <v>12</v>
      </c>
      <c r="AP39" s="75" t="s">
        <v>70</v>
      </c>
      <c r="AQ39" t="s">
        <v>26</v>
      </c>
      <c r="AR39">
        <v>692.5</v>
      </c>
      <c r="AS39">
        <v>14</v>
      </c>
      <c r="AT39">
        <v>350.5</v>
      </c>
      <c r="AU39">
        <v>19</v>
      </c>
      <c r="AV39">
        <v>25.6</v>
      </c>
      <c r="AW39">
        <v>48</v>
      </c>
      <c r="AX39">
        <v>12.6</v>
      </c>
      <c r="AY39">
        <v>65</v>
      </c>
      <c r="AZ39">
        <v>5.7</v>
      </c>
      <c r="BA39">
        <v>57</v>
      </c>
    </row>
    <row r="40" spans="1:53" ht="15" x14ac:dyDescent="0.35">
      <c r="A40" s="35"/>
      <c r="M40" s="72"/>
      <c r="AC40" s="35" t="s">
        <v>30</v>
      </c>
      <c r="AD40" t="s">
        <v>26</v>
      </c>
      <c r="AE40">
        <v>455.6</v>
      </c>
      <c r="AF40">
        <v>14</v>
      </c>
      <c r="AG40">
        <v>1928.4</v>
      </c>
      <c r="AH40">
        <v>4</v>
      </c>
      <c r="AI40">
        <v>3276.3</v>
      </c>
      <c r="AJ40">
        <v>2</v>
      </c>
      <c r="AK40">
        <v>1981.5</v>
      </c>
      <c r="AL40">
        <v>4</v>
      </c>
      <c r="AM40">
        <v>1181.3</v>
      </c>
      <c r="AN40">
        <v>6</v>
      </c>
      <c r="AP40" s="74"/>
    </row>
    <row r="41" spans="1:53" ht="15" x14ac:dyDescent="0.35">
      <c r="A41" s="35"/>
      <c r="M41" s="72" t="s">
        <v>84</v>
      </c>
      <c r="N41" t="s">
        <v>26</v>
      </c>
      <c r="O41">
        <v>417.5</v>
      </c>
      <c r="P41">
        <v>17</v>
      </c>
      <c r="Q41">
        <v>659.2</v>
      </c>
      <c r="R41">
        <v>15</v>
      </c>
      <c r="S41">
        <v>516.70000000000005</v>
      </c>
      <c r="T41">
        <v>11</v>
      </c>
      <c r="U41">
        <v>482.5</v>
      </c>
      <c r="V41">
        <v>14</v>
      </c>
      <c r="W41">
        <v>996.6</v>
      </c>
      <c r="X41">
        <v>11</v>
      </c>
      <c r="AP41" s="75" t="s">
        <v>84</v>
      </c>
      <c r="AQ41" t="s">
        <v>26</v>
      </c>
      <c r="AR41">
        <v>659.2</v>
      </c>
      <c r="AS41">
        <v>15</v>
      </c>
      <c r="AT41">
        <v>516.70000000000005</v>
      </c>
      <c r="AU41">
        <v>11</v>
      </c>
      <c r="AV41">
        <v>482.5</v>
      </c>
      <c r="AW41">
        <v>14</v>
      </c>
      <c r="AX41">
        <v>996.6</v>
      </c>
      <c r="AY41">
        <v>11</v>
      </c>
      <c r="AZ41">
        <v>709.3</v>
      </c>
      <c r="BA41">
        <v>9</v>
      </c>
    </row>
    <row r="42" spans="1:53" ht="15" x14ac:dyDescent="0.35">
      <c r="A42" s="35"/>
      <c r="M42" s="72"/>
      <c r="AC42" s="35" t="s">
        <v>66</v>
      </c>
      <c r="AD42" t="s">
        <v>26</v>
      </c>
      <c r="AE42">
        <v>427.9</v>
      </c>
      <c r="AF42">
        <v>15</v>
      </c>
      <c r="AG42">
        <v>19.600000000000001</v>
      </c>
      <c r="AH42">
        <v>50</v>
      </c>
      <c r="AI42">
        <v>834.6</v>
      </c>
      <c r="AJ42">
        <v>14</v>
      </c>
      <c r="AK42">
        <v>412.3</v>
      </c>
      <c r="AL42">
        <v>16</v>
      </c>
      <c r="AM42">
        <v>104.1</v>
      </c>
      <c r="AN42">
        <v>32</v>
      </c>
      <c r="AP42" s="74"/>
    </row>
    <row r="43" spans="1:53" ht="15" x14ac:dyDescent="0.35">
      <c r="A43" s="35"/>
      <c r="M43" s="72" t="s">
        <v>73</v>
      </c>
      <c r="N43" t="s">
        <v>26</v>
      </c>
      <c r="O43">
        <v>413.2</v>
      </c>
      <c r="P43">
        <v>18</v>
      </c>
      <c r="Q43">
        <v>471.8</v>
      </c>
      <c r="R43">
        <v>21</v>
      </c>
      <c r="S43">
        <v>472.6</v>
      </c>
      <c r="T43">
        <v>12</v>
      </c>
      <c r="U43">
        <v>390.2</v>
      </c>
      <c r="V43">
        <v>18</v>
      </c>
      <c r="W43">
        <v>413.7</v>
      </c>
      <c r="X43">
        <v>23</v>
      </c>
      <c r="AP43" s="75" t="s">
        <v>77</v>
      </c>
      <c r="AQ43" t="s">
        <v>26</v>
      </c>
      <c r="AR43">
        <v>615.70000000000005</v>
      </c>
      <c r="AS43">
        <v>16</v>
      </c>
      <c r="AT43">
        <v>657.8</v>
      </c>
      <c r="AU43">
        <v>7</v>
      </c>
      <c r="AV43">
        <v>567.5</v>
      </c>
      <c r="AW43">
        <v>13</v>
      </c>
      <c r="AX43">
        <v>996.8</v>
      </c>
      <c r="AY43">
        <v>10</v>
      </c>
      <c r="AZ43">
        <v>704.8</v>
      </c>
      <c r="BA43">
        <v>10</v>
      </c>
    </row>
    <row r="44" spans="1:53" ht="15" x14ac:dyDescent="0.35">
      <c r="A44" s="35"/>
      <c r="M44" s="72"/>
      <c r="AC44" s="35" t="s">
        <v>100</v>
      </c>
      <c r="AD44" t="s">
        <v>26</v>
      </c>
      <c r="AE44">
        <v>389.5</v>
      </c>
      <c r="AF44">
        <v>16</v>
      </c>
      <c r="AG44">
        <v>401.8</v>
      </c>
      <c r="AH44">
        <v>17</v>
      </c>
      <c r="AI44">
        <v>345</v>
      </c>
      <c r="AJ44">
        <v>24</v>
      </c>
      <c r="AK44">
        <v>354.4</v>
      </c>
      <c r="AL44">
        <v>17</v>
      </c>
      <c r="AM44">
        <v>357.6</v>
      </c>
      <c r="AN44">
        <v>18</v>
      </c>
      <c r="AP44" s="74"/>
    </row>
    <row r="45" spans="1:53" ht="15" x14ac:dyDescent="0.35">
      <c r="A45" s="35"/>
      <c r="M45" s="72" t="s">
        <v>45</v>
      </c>
      <c r="N45" t="s">
        <v>26</v>
      </c>
      <c r="O45">
        <v>360</v>
      </c>
      <c r="P45">
        <v>19</v>
      </c>
      <c r="Q45">
        <v>698</v>
      </c>
      <c r="R45">
        <v>13</v>
      </c>
      <c r="S45">
        <v>364.4</v>
      </c>
      <c r="T45">
        <v>17</v>
      </c>
      <c r="U45">
        <v>372.7</v>
      </c>
      <c r="V45">
        <v>20</v>
      </c>
      <c r="W45">
        <v>658.7</v>
      </c>
      <c r="X45">
        <v>16</v>
      </c>
      <c r="AP45" s="75" t="s">
        <v>95</v>
      </c>
      <c r="AQ45" t="s">
        <v>26</v>
      </c>
      <c r="AR45">
        <v>563.5</v>
      </c>
      <c r="AS45">
        <v>17</v>
      </c>
      <c r="AT45">
        <v>100.6</v>
      </c>
      <c r="AU45">
        <v>36</v>
      </c>
      <c r="AV45">
        <v>284.60000000000002</v>
      </c>
      <c r="AW45">
        <v>24</v>
      </c>
      <c r="AX45">
        <v>490.4</v>
      </c>
      <c r="AY45">
        <v>20</v>
      </c>
      <c r="AZ45">
        <v>95.2</v>
      </c>
      <c r="BA45">
        <v>34</v>
      </c>
    </row>
    <row r="46" spans="1:53" ht="15" x14ac:dyDescent="0.35">
      <c r="A46" s="35"/>
      <c r="M46" s="72"/>
      <c r="AC46" s="35" t="s">
        <v>45</v>
      </c>
      <c r="AD46" t="s">
        <v>26</v>
      </c>
      <c r="AE46">
        <v>364.4</v>
      </c>
      <c r="AF46">
        <v>17</v>
      </c>
      <c r="AG46">
        <v>372.6</v>
      </c>
      <c r="AH46">
        <v>20</v>
      </c>
      <c r="AI46">
        <v>658.7</v>
      </c>
      <c r="AJ46">
        <v>16</v>
      </c>
      <c r="AK46">
        <v>515.4</v>
      </c>
      <c r="AL46">
        <v>13</v>
      </c>
      <c r="AM46">
        <v>747.7</v>
      </c>
      <c r="AN46">
        <v>10</v>
      </c>
      <c r="AP46" s="74"/>
    </row>
    <row r="47" spans="1:53" ht="15" x14ac:dyDescent="0.35">
      <c r="A47" s="35"/>
      <c r="M47" s="72" t="s">
        <v>99</v>
      </c>
      <c r="N47" t="s">
        <v>26</v>
      </c>
      <c r="O47">
        <v>340.8</v>
      </c>
      <c r="P47">
        <v>20</v>
      </c>
      <c r="Q47">
        <v>370.8</v>
      </c>
      <c r="R47">
        <v>25</v>
      </c>
      <c r="S47">
        <v>361.7</v>
      </c>
      <c r="T47">
        <v>18</v>
      </c>
      <c r="U47">
        <v>463.5</v>
      </c>
      <c r="V47">
        <v>15</v>
      </c>
      <c r="W47">
        <v>464.8</v>
      </c>
      <c r="X47">
        <v>21</v>
      </c>
      <c r="AP47" s="75" t="s">
        <v>61</v>
      </c>
      <c r="AQ47" t="s">
        <v>26</v>
      </c>
      <c r="AR47">
        <v>541.6</v>
      </c>
      <c r="AS47">
        <v>18</v>
      </c>
      <c r="AT47">
        <v>0</v>
      </c>
      <c r="AU47">
        <v>0</v>
      </c>
      <c r="AV47">
        <v>59.3</v>
      </c>
      <c r="AW47">
        <v>37</v>
      </c>
      <c r="AX47">
        <v>0</v>
      </c>
      <c r="AY47">
        <v>0</v>
      </c>
      <c r="AZ47">
        <v>0</v>
      </c>
      <c r="BA47">
        <v>0</v>
      </c>
    </row>
    <row r="48" spans="1:53" ht="15" x14ac:dyDescent="0.35">
      <c r="A48" s="35"/>
      <c r="M48" s="72"/>
      <c r="AC48" s="35" t="s">
        <v>99</v>
      </c>
      <c r="AD48" t="s">
        <v>26</v>
      </c>
      <c r="AE48">
        <v>361.7</v>
      </c>
      <c r="AF48">
        <v>18</v>
      </c>
      <c r="AG48">
        <v>463.5</v>
      </c>
      <c r="AH48">
        <v>15</v>
      </c>
      <c r="AI48">
        <v>464.8</v>
      </c>
      <c r="AJ48">
        <v>21</v>
      </c>
      <c r="AK48">
        <v>253.5</v>
      </c>
      <c r="AL48">
        <v>19</v>
      </c>
      <c r="AM48">
        <v>200.8</v>
      </c>
      <c r="AN48">
        <v>25</v>
      </c>
      <c r="AP48" s="74"/>
    </row>
    <row r="49" spans="1:53" ht="15" x14ac:dyDescent="0.35">
      <c r="A49" s="35"/>
      <c r="M49" s="72" t="s">
        <v>59</v>
      </c>
      <c r="N49" t="s">
        <v>26</v>
      </c>
      <c r="O49">
        <v>271.8</v>
      </c>
      <c r="P49">
        <v>21</v>
      </c>
      <c r="Q49">
        <v>269.5</v>
      </c>
      <c r="R49">
        <v>28</v>
      </c>
      <c r="S49">
        <v>36.700000000000003</v>
      </c>
      <c r="T49">
        <v>45</v>
      </c>
      <c r="U49">
        <v>61.7</v>
      </c>
      <c r="V49">
        <v>36</v>
      </c>
      <c r="W49">
        <v>79.099999999999994</v>
      </c>
      <c r="X49">
        <v>44</v>
      </c>
      <c r="AP49" s="75" t="s">
        <v>100</v>
      </c>
      <c r="AQ49" t="s">
        <v>26</v>
      </c>
      <c r="AR49">
        <v>539.9</v>
      </c>
      <c r="AS49">
        <v>19</v>
      </c>
      <c r="AT49">
        <v>389.5</v>
      </c>
      <c r="AU49">
        <v>16</v>
      </c>
      <c r="AV49">
        <v>401.8</v>
      </c>
      <c r="AW49">
        <v>17</v>
      </c>
      <c r="AX49">
        <v>345</v>
      </c>
      <c r="AY49">
        <v>24</v>
      </c>
      <c r="AZ49">
        <v>354.4</v>
      </c>
      <c r="BA49">
        <v>17</v>
      </c>
    </row>
    <row r="50" spans="1:53" ht="15" x14ac:dyDescent="0.35">
      <c r="A50" s="35"/>
      <c r="M50" s="72"/>
      <c r="AC50" s="35" t="s">
        <v>70</v>
      </c>
      <c r="AD50" t="s">
        <v>26</v>
      </c>
      <c r="AE50">
        <v>350.5</v>
      </c>
      <c r="AF50">
        <v>19</v>
      </c>
      <c r="AG50">
        <v>25.6</v>
      </c>
      <c r="AH50">
        <v>48</v>
      </c>
      <c r="AI50">
        <v>12.6</v>
      </c>
      <c r="AJ50">
        <v>65</v>
      </c>
      <c r="AK50">
        <v>5.7</v>
      </c>
      <c r="AL50">
        <v>57</v>
      </c>
      <c r="AM50">
        <v>0.4</v>
      </c>
      <c r="AN50">
        <v>72</v>
      </c>
      <c r="AP50" s="74"/>
    </row>
    <row r="51" spans="1:53" ht="15" x14ac:dyDescent="0.35">
      <c r="A51" s="35"/>
      <c r="M51" s="72" t="s">
        <v>57</v>
      </c>
      <c r="N51" t="s">
        <v>26</v>
      </c>
      <c r="O51">
        <v>266.89999999999998</v>
      </c>
      <c r="P51">
        <v>22</v>
      </c>
      <c r="Q51">
        <v>459</v>
      </c>
      <c r="R51">
        <v>22</v>
      </c>
      <c r="S51">
        <v>174.2</v>
      </c>
      <c r="T51">
        <v>27</v>
      </c>
      <c r="U51">
        <v>377.4</v>
      </c>
      <c r="V51">
        <v>19</v>
      </c>
      <c r="W51">
        <v>287.10000000000002</v>
      </c>
      <c r="X51">
        <v>25</v>
      </c>
      <c r="AP51" s="75" t="s">
        <v>63</v>
      </c>
      <c r="AQ51" t="s">
        <v>26</v>
      </c>
      <c r="AR51">
        <v>481.9</v>
      </c>
      <c r="AS51">
        <v>20</v>
      </c>
      <c r="AT51">
        <v>459</v>
      </c>
      <c r="AU51">
        <v>13</v>
      </c>
      <c r="AV51">
        <v>446</v>
      </c>
      <c r="AW51">
        <v>16</v>
      </c>
      <c r="AX51">
        <v>414.3</v>
      </c>
      <c r="AY51">
        <v>22</v>
      </c>
      <c r="AZ51">
        <v>497.6</v>
      </c>
      <c r="BA51">
        <v>14</v>
      </c>
    </row>
    <row r="52" spans="1:53" ht="15" x14ac:dyDescent="0.35">
      <c r="A52" s="35"/>
      <c r="M52" s="72"/>
      <c r="AC52" s="35" t="s">
        <v>82</v>
      </c>
      <c r="AD52" t="s">
        <v>26</v>
      </c>
      <c r="AE52">
        <v>306.7</v>
      </c>
      <c r="AF52">
        <v>20</v>
      </c>
      <c r="AG52">
        <v>1205</v>
      </c>
      <c r="AH52">
        <v>7</v>
      </c>
      <c r="AI52">
        <v>1964.2</v>
      </c>
      <c r="AJ52">
        <v>5</v>
      </c>
      <c r="AK52">
        <v>798.5</v>
      </c>
      <c r="AL52">
        <v>8</v>
      </c>
      <c r="AM52">
        <v>2337.5</v>
      </c>
      <c r="AN52">
        <v>4</v>
      </c>
      <c r="AP52" s="74"/>
    </row>
    <row r="53" spans="1:53" ht="15" x14ac:dyDescent="0.35">
      <c r="A53" s="35"/>
      <c r="M53" s="72" t="s">
        <v>56</v>
      </c>
      <c r="N53" t="s">
        <v>26</v>
      </c>
      <c r="O53">
        <v>263.39999999999998</v>
      </c>
      <c r="P53">
        <v>23</v>
      </c>
      <c r="Q53">
        <v>0</v>
      </c>
      <c r="R53">
        <v>0</v>
      </c>
      <c r="S53">
        <v>113.2</v>
      </c>
      <c r="T53">
        <v>33</v>
      </c>
      <c r="U53">
        <v>1763.8</v>
      </c>
      <c r="V53">
        <v>5</v>
      </c>
      <c r="W53">
        <v>0</v>
      </c>
      <c r="X53">
        <v>0</v>
      </c>
      <c r="AP53" s="75" t="s">
        <v>73</v>
      </c>
      <c r="AQ53" t="s">
        <v>26</v>
      </c>
      <c r="AR53">
        <v>471.8</v>
      </c>
      <c r="AS53">
        <v>21</v>
      </c>
      <c r="AT53">
        <v>472.6</v>
      </c>
      <c r="AU53">
        <v>12</v>
      </c>
      <c r="AV53">
        <v>390.2</v>
      </c>
      <c r="AW53">
        <v>18</v>
      </c>
      <c r="AX53">
        <v>413.7</v>
      </c>
      <c r="AY53">
        <v>23</v>
      </c>
      <c r="AZ53">
        <v>469</v>
      </c>
      <c r="BA53">
        <v>15</v>
      </c>
    </row>
    <row r="54" spans="1:53" ht="15" x14ac:dyDescent="0.35">
      <c r="A54" s="35"/>
      <c r="M54" s="72"/>
      <c r="AC54" s="35" t="s">
        <v>53</v>
      </c>
      <c r="AD54" t="s">
        <v>26</v>
      </c>
      <c r="AE54">
        <v>290.8</v>
      </c>
      <c r="AF54">
        <v>21</v>
      </c>
      <c r="AG54">
        <v>171.1</v>
      </c>
      <c r="AH54">
        <v>29</v>
      </c>
      <c r="AI54">
        <v>11.1</v>
      </c>
      <c r="AJ54">
        <v>66</v>
      </c>
      <c r="AK54">
        <v>59.7</v>
      </c>
      <c r="AL54">
        <v>39</v>
      </c>
      <c r="AM54">
        <v>373</v>
      </c>
      <c r="AN54">
        <v>16</v>
      </c>
      <c r="AP54" s="74"/>
    </row>
    <row r="55" spans="1:53" ht="15" x14ac:dyDescent="0.35">
      <c r="A55" s="35"/>
      <c r="M55" s="72" t="s">
        <v>95</v>
      </c>
      <c r="N55" t="s">
        <v>26</v>
      </c>
      <c r="O55">
        <v>250.7</v>
      </c>
      <c r="P55">
        <v>24</v>
      </c>
      <c r="Q55">
        <v>563.5</v>
      </c>
      <c r="R55">
        <v>17</v>
      </c>
      <c r="S55">
        <v>100.6</v>
      </c>
      <c r="T55">
        <v>36</v>
      </c>
      <c r="U55">
        <v>284.60000000000002</v>
      </c>
      <c r="V55">
        <v>24</v>
      </c>
      <c r="W55">
        <v>490.4</v>
      </c>
      <c r="X55">
        <v>20</v>
      </c>
      <c r="AP55" s="75" t="s">
        <v>57</v>
      </c>
      <c r="AQ55" t="s">
        <v>26</v>
      </c>
      <c r="AR55">
        <v>459</v>
      </c>
      <c r="AS55">
        <v>22</v>
      </c>
      <c r="AT55">
        <v>174.2</v>
      </c>
      <c r="AU55">
        <v>27</v>
      </c>
      <c r="AV55">
        <v>377.4</v>
      </c>
      <c r="AW55">
        <v>19</v>
      </c>
      <c r="AX55">
        <v>287.10000000000002</v>
      </c>
      <c r="AY55">
        <v>25</v>
      </c>
      <c r="AZ55">
        <v>151.9</v>
      </c>
      <c r="BA55">
        <v>26</v>
      </c>
    </row>
    <row r="56" spans="1:53" ht="15" x14ac:dyDescent="0.35">
      <c r="A56" s="35"/>
      <c r="M56" s="72"/>
      <c r="AC56" s="35" t="s">
        <v>98</v>
      </c>
      <c r="AD56" t="s">
        <v>26</v>
      </c>
      <c r="AE56">
        <v>269.7</v>
      </c>
      <c r="AF56">
        <v>22</v>
      </c>
      <c r="AG56">
        <v>789</v>
      </c>
      <c r="AH56">
        <v>9</v>
      </c>
      <c r="AI56">
        <v>501.4</v>
      </c>
      <c r="AJ56">
        <v>18</v>
      </c>
      <c r="AK56">
        <v>25.4</v>
      </c>
      <c r="AL56">
        <v>43</v>
      </c>
      <c r="AM56">
        <v>20.5</v>
      </c>
      <c r="AN56">
        <v>51</v>
      </c>
      <c r="AP56" s="74"/>
    </row>
    <row r="57" spans="1:53" ht="15" x14ac:dyDescent="0.35">
      <c r="A57" s="35"/>
      <c r="M57" s="72" t="s">
        <v>108</v>
      </c>
      <c r="N57" t="s">
        <v>26</v>
      </c>
      <c r="O57">
        <v>241.3</v>
      </c>
      <c r="P57">
        <v>25</v>
      </c>
      <c r="Q57">
        <v>218.7</v>
      </c>
      <c r="R57">
        <v>29</v>
      </c>
      <c r="S57">
        <v>229.6</v>
      </c>
      <c r="T57">
        <v>24</v>
      </c>
      <c r="U57">
        <v>203.3</v>
      </c>
      <c r="V57">
        <v>26</v>
      </c>
      <c r="W57">
        <v>229</v>
      </c>
      <c r="X57">
        <v>26</v>
      </c>
      <c r="AP57" s="75" t="s">
        <v>161</v>
      </c>
      <c r="AQ57" t="s">
        <v>26</v>
      </c>
      <c r="AR57">
        <v>408.5</v>
      </c>
      <c r="AS57">
        <v>23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96.2</v>
      </c>
      <c r="BA57">
        <v>32</v>
      </c>
    </row>
    <row r="58" spans="1:53" ht="15" x14ac:dyDescent="0.35">
      <c r="A58" s="35"/>
      <c r="M58" s="72"/>
      <c r="AC58" s="35" t="s">
        <v>85</v>
      </c>
      <c r="AD58" t="s">
        <v>26</v>
      </c>
      <c r="AE58">
        <v>248</v>
      </c>
      <c r="AF58">
        <v>23</v>
      </c>
      <c r="AG58">
        <v>56.9</v>
      </c>
      <c r="AH58">
        <v>40</v>
      </c>
      <c r="AI58">
        <v>852.9</v>
      </c>
      <c r="AJ58">
        <v>13</v>
      </c>
      <c r="AK58">
        <v>159.80000000000001</v>
      </c>
      <c r="AL58">
        <v>25</v>
      </c>
      <c r="AM58">
        <v>272.8</v>
      </c>
      <c r="AN58">
        <v>22</v>
      </c>
      <c r="AP58" s="74"/>
    </row>
    <row r="59" spans="1:53" ht="15" x14ac:dyDescent="0.35">
      <c r="A59" s="35"/>
      <c r="M59" s="72" t="s">
        <v>85</v>
      </c>
      <c r="N59" t="s">
        <v>26</v>
      </c>
      <c r="O59">
        <v>178</v>
      </c>
      <c r="P59">
        <v>26</v>
      </c>
      <c r="Q59">
        <v>130.1</v>
      </c>
      <c r="R59">
        <v>36</v>
      </c>
      <c r="S59">
        <v>248</v>
      </c>
      <c r="T59">
        <v>23</v>
      </c>
      <c r="U59">
        <v>56.9</v>
      </c>
      <c r="V59">
        <v>40</v>
      </c>
      <c r="W59">
        <v>852.9</v>
      </c>
      <c r="X59">
        <v>13</v>
      </c>
      <c r="AP59" s="75" t="s">
        <v>98</v>
      </c>
      <c r="AQ59" t="s">
        <v>26</v>
      </c>
      <c r="AR59">
        <v>404</v>
      </c>
      <c r="AS59">
        <v>24</v>
      </c>
      <c r="AT59">
        <v>269.7</v>
      </c>
      <c r="AU59">
        <v>22</v>
      </c>
      <c r="AV59">
        <v>789</v>
      </c>
      <c r="AW59">
        <v>9</v>
      </c>
      <c r="AX59">
        <v>501.4</v>
      </c>
      <c r="AY59">
        <v>18</v>
      </c>
      <c r="AZ59">
        <v>25.4</v>
      </c>
      <c r="BA59">
        <v>43</v>
      </c>
    </row>
    <row r="60" spans="1:53" ht="15" x14ac:dyDescent="0.35">
      <c r="A60" s="35"/>
      <c r="M60" s="72"/>
      <c r="AC60" s="35" t="s">
        <v>108</v>
      </c>
      <c r="AD60" t="s">
        <v>26</v>
      </c>
      <c r="AE60">
        <v>229.6</v>
      </c>
      <c r="AF60">
        <v>24</v>
      </c>
      <c r="AG60">
        <v>203.3</v>
      </c>
      <c r="AH60">
        <v>26</v>
      </c>
      <c r="AI60">
        <v>229</v>
      </c>
      <c r="AJ60">
        <v>26</v>
      </c>
      <c r="AK60">
        <v>193.8</v>
      </c>
      <c r="AL60">
        <v>22</v>
      </c>
      <c r="AM60">
        <v>210.1</v>
      </c>
      <c r="AN60">
        <v>24</v>
      </c>
      <c r="AP60" s="74"/>
    </row>
    <row r="61" spans="1:53" ht="15" x14ac:dyDescent="0.35">
      <c r="A61" s="35"/>
      <c r="M61" s="72" t="s">
        <v>75</v>
      </c>
      <c r="N61" t="s">
        <v>26</v>
      </c>
      <c r="O61">
        <v>157.5</v>
      </c>
      <c r="P61">
        <v>27</v>
      </c>
      <c r="Q61">
        <v>108.5</v>
      </c>
      <c r="R61">
        <v>41</v>
      </c>
      <c r="S61">
        <v>124.7</v>
      </c>
      <c r="T61">
        <v>30</v>
      </c>
      <c r="U61">
        <v>101.2</v>
      </c>
      <c r="V61">
        <v>34</v>
      </c>
      <c r="W61">
        <v>121.5</v>
      </c>
      <c r="X61">
        <v>38</v>
      </c>
      <c r="AP61" s="75" t="s">
        <v>99</v>
      </c>
      <c r="AQ61" t="s">
        <v>26</v>
      </c>
      <c r="AR61">
        <v>370.8</v>
      </c>
      <c r="AS61">
        <v>25</v>
      </c>
      <c r="AT61">
        <v>361.7</v>
      </c>
      <c r="AU61">
        <v>18</v>
      </c>
      <c r="AV61">
        <v>463.5</v>
      </c>
      <c r="AW61">
        <v>15</v>
      </c>
      <c r="AX61">
        <v>464.8</v>
      </c>
      <c r="AY61">
        <v>21</v>
      </c>
      <c r="AZ61">
        <v>253.5</v>
      </c>
      <c r="BA61">
        <v>19</v>
      </c>
    </row>
    <row r="62" spans="1:53" ht="15" x14ac:dyDescent="0.35">
      <c r="A62" s="35"/>
      <c r="M62" s="72"/>
      <c r="AC62" s="35" t="s">
        <v>69</v>
      </c>
      <c r="AD62" t="s">
        <v>26</v>
      </c>
      <c r="AE62">
        <v>206.2</v>
      </c>
      <c r="AF62">
        <v>25</v>
      </c>
      <c r="AG62">
        <v>235.4</v>
      </c>
      <c r="AH62">
        <v>25</v>
      </c>
      <c r="AI62">
        <v>221.2</v>
      </c>
      <c r="AJ62">
        <v>28</v>
      </c>
      <c r="AK62">
        <v>226.1</v>
      </c>
      <c r="AL62">
        <v>20</v>
      </c>
      <c r="AM62">
        <v>248.7</v>
      </c>
      <c r="AN62">
        <v>23</v>
      </c>
      <c r="AP62" s="74"/>
    </row>
    <row r="63" spans="1:53" ht="15" x14ac:dyDescent="0.35">
      <c r="A63" s="35"/>
      <c r="M63" s="72" t="s">
        <v>104</v>
      </c>
      <c r="N63" t="s">
        <v>26</v>
      </c>
      <c r="O63">
        <v>152</v>
      </c>
      <c r="P63">
        <v>28</v>
      </c>
      <c r="Q63">
        <v>176.3</v>
      </c>
      <c r="R63">
        <v>31</v>
      </c>
      <c r="S63">
        <v>196.7</v>
      </c>
      <c r="T63">
        <v>26</v>
      </c>
      <c r="U63">
        <v>193</v>
      </c>
      <c r="V63">
        <v>27</v>
      </c>
      <c r="W63">
        <v>181.4</v>
      </c>
      <c r="X63">
        <v>31</v>
      </c>
      <c r="AP63" s="75" t="s">
        <v>66</v>
      </c>
      <c r="AQ63" t="s">
        <v>26</v>
      </c>
      <c r="AR63">
        <v>334.3</v>
      </c>
      <c r="AS63">
        <v>26</v>
      </c>
      <c r="AT63">
        <v>427.9</v>
      </c>
      <c r="AU63">
        <v>15</v>
      </c>
      <c r="AV63">
        <v>19.600000000000001</v>
      </c>
      <c r="AW63">
        <v>50</v>
      </c>
      <c r="AX63">
        <v>834.6</v>
      </c>
      <c r="AY63">
        <v>14</v>
      </c>
      <c r="AZ63">
        <v>412.3</v>
      </c>
      <c r="BA63">
        <v>16</v>
      </c>
    </row>
    <row r="64" spans="1:53" ht="15" x14ac:dyDescent="0.35">
      <c r="A64" s="35"/>
      <c r="M64" s="72"/>
      <c r="AC64" s="35" t="s">
        <v>104</v>
      </c>
      <c r="AD64" t="s">
        <v>26</v>
      </c>
      <c r="AE64">
        <v>196.6</v>
      </c>
      <c r="AF64">
        <v>26</v>
      </c>
      <c r="AG64">
        <v>193</v>
      </c>
      <c r="AH64">
        <v>27</v>
      </c>
      <c r="AI64">
        <v>181.4</v>
      </c>
      <c r="AJ64">
        <v>31</v>
      </c>
      <c r="AK64">
        <v>194</v>
      </c>
      <c r="AL64">
        <v>21</v>
      </c>
      <c r="AM64">
        <v>138.19999999999999</v>
      </c>
      <c r="AN64">
        <v>28</v>
      </c>
      <c r="AP64" s="74"/>
    </row>
    <row r="65" spans="1:53" ht="15" x14ac:dyDescent="0.35">
      <c r="A65" s="35"/>
      <c r="M65" s="72" t="s">
        <v>105</v>
      </c>
      <c r="N65" t="s">
        <v>26</v>
      </c>
      <c r="O65">
        <v>151.69999999999999</v>
      </c>
      <c r="P65">
        <v>29</v>
      </c>
      <c r="Q65">
        <v>169.8</v>
      </c>
      <c r="R65">
        <v>33</v>
      </c>
      <c r="S65">
        <v>106.2</v>
      </c>
      <c r="T65">
        <v>35</v>
      </c>
      <c r="U65">
        <v>185.9</v>
      </c>
      <c r="V65">
        <v>28</v>
      </c>
      <c r="W65">
        <v>189.5</v>
      </c>
      <c r="X65">
        <v>30</v>
      </c>
      <c r="AP65" s="75" t="s">
        <v>48</v>
      </c>
      <c r="AQ65" t="s">
        <v>26</v>
      </c>
      <c r="AR65">
        <v>304.2</v>
      </c>
      <c r="AS65">
        <v>27</v>
      </c>
      <c r="AT65">
        <v>134.80000000000001</v>
      </c>
      <c r="AU65">
        <v>29</v>
      </c>
      <c r="AV65">
        <v>363.8</v>
      </c>
      <c r="AW65">
        <v>21</v>
      </c>
      <c r="AX65">
        <v>683.6</v>
      </c>
      <c r="AY65">
        <v>15</v>
      </c>
      <c r="AZ65">
        <v>169.5</v>
      </c>
      <c r="BA65">
        <v>24</v>
      </c>
    </row>
    <row r="66" spans="1:53" ht="15" x14ac:dyDescent="0.35">
      <c r="A66" s="35"/>
      <c r="M66" s="72"/>
      <c r="AC66" s="35" t="s">
        <v>57</v>
      </c>
      <c r="AD66" t="s">
        <v>26</v>
      </c>
      <c r="AE66">
        <v>174.2</v>
      </c>
      <c r="AF66">
        <v>27</v>
      </c>
      <c r="AG66">
        <v>377.4</v>
      </c>
      <c r="AH66">
        <v>19</v>
      </c>
      <c r="AI66">
        <v>287.10000000000002</v>
      </c>
      <c r="AJ66">
        <v>25</v>
      </c>
      <c r="AK66">
        <v>151.9</v>
      </c>
      <c r="AL66">
        <v>26</v>
      </c>
      <c r="AM66">
        <v>295.5</v>
      </c>
      <c r="AN66">
        <v>20</v>
      </c>
      <c r="AP66" s="74"/>
    </row>
    <row r="67" spans="1:53" ht="15" x14ac:dyDescent="0.35">
      <c r="A67" s="35"/>
      <c r="M67" s="72" t="s">
        <v>69</v>
      </c>
      <c r="N67" t="s">
        <v>26</v>
      </c>
      <c r="O67">
        <v>148.69999999999999</v>
      </c>
      <c r="P67">
        <v>30</v>
      </c>
      <c r="Q67">
        <v>176.5</v>
      </c>
      <c r="R67">
        <v>30</v>
      </c>
      <c r="S67">
        <v>206.2</v>
      </c>
      <c r="T67">
        <v>25</v>
      </c>
      <c r="U67">
        <v>235.4</v>
      </c>
      <c r="V67">
        <v>25</v>
      </c>
      <c r="W67">
        <v>221.2</v>
      </c>
      <c r="X67">
        <v>28</v>
      </c>
      <c r="AP67" s="75" t="s">
        <v>59</v>
      </c>
      <c r="AQ67" t="s">
        <v>26</v>
      </c>
      <c r="AR67">
        <v>269.5</v>
      </c>
      <c r="AS67">
        <v>28</v>
      </c>
      <c r="AT67">
        <v>36.700000000000003</v>
      </c>
      <c r="AU67">
        <v>45</v>
      </c>
      <c r="AV67">
        <v>61.7</v>
      </c>
      <c r="AW67">
        <v>36</v>
      </c>
      <c r="AX67">
        <v>79.099999999999994</v>
      </c>
      <c r="AY67">
        <v>44</v>
      </c>
      <c r="AZ67">
        <v>148.30000000000001</v>
      </c>
      <c r="BA67">
        <v>27</v>
      </c>
    </row>
    <row r="68" spans="1:53" ht="15" x14ac:dyDescent="0.35">
      <c r="A68" s="35"/>
      <c r="M68" s="72"/>
      <c r="AC68" s="35" t="s">
        <v>101</v>
      </c>
      <c r="AD68" t="s">
        <v>26</v>
      </c>
      <c r="AE68">
        <v>150.19999999999999</v>
      </c>
      <c r="AF68">
        <v>28</v>
      </c>
      <c r="AG68">
        <v>107.8</v>
      </c>
      <c r="AH68">
        <v>33</v>
      </c>
      <c r="AI68">
        <v>139.30000000000001</v>
      </c>
      <c r="AJ68">
        <v>36</v>
      </c>
      <c r="AK68">
        <v>55.6</v>
      </c>
      <c r="AL68">
        <v>40</v>
      </c>
      <c r="AM68">
        <v>122</v>
      </c>
      <c r="AN68">
        <v>29</v>
      </c>
      <c r="AP68" s="74"/>
    </row>
    <row r="69" spans="1:53" ht="15" x14ac:dyDescent="0.35">
      <c r="A69" s="35"/>
      <c r="M69" s="72" t="s">
        <v>83</v>
      </c>
      <c r="N69" t="s">
        <v>26</v>
      </c>
      <c r="O69">
        <v>118.3</v>
      </c>
      <c r="P69">
        <v>31</v>
      </c>
      <c r="Q69">
        <v>115.1</v>
      </c>
      <c r="R69">
        <v>39</v>
      </c>
      <c r="S69">
        <v>82.2</v>
      </c>
      <c r="T69">
        <v>38</v>
      </c>
      <c r="U69">
        <v>125.5</v>
      </c>
      <c r="V69">
        <v>31</v>
      </c>
      <c r="W69">
        <v>87.7</v>
      </c>
      <c r="X69">
        <v>43</v>
      </c>
      <c r="AP69" s="75" t="s">
        <v>108</v>
      </c>
      <c r="AQ69" t="s">
        <v>26</v>
      </c>
      <c r="AR69">
        <v>218.7</v>
      </c>
      <c r="AS69">
        <v>29</v>
      </c>
      <c r="AT69">
        <v>229.6</v>
      </c>
      <c r="AU69">
        <v>24</v>
      </c>
      <c r="AV69">
        <v>203.3</v>
      </c>
      <c r="AW69">
        <v>26</v>
      </c>
      <c r="AX69">
        <v>229</v>
      </c>
      <c r="AY69">
        <v>26</v>
      </c>
      <c r="AZ69">
        <v>193.8</v>
      </c>
      <c r="BA69">
        <v>22</v>
      </c>
    </row>
    <row r="70" spans="1:53" ht="15" x14ac:dyDescent="0.35">
      <c r="A70" s="35"/>
      <c r="M70" s="72"/>
      <c r="AC70" s="35" t="s">
        <v>48</v>
      </c>
      <c r="AD70" t="s">
        <v>26</v>
      </c>
      <c r="AE70">
        <v>134.80000000000001</v>
      </c>
      <c r="AF70">
        <v>29</v>
      </c>
      <c r="AG70">
        <v>363.8</v>
      </c>
      <c r="AH70">
        <v>21</v>
      </c>
      <c r="AI70">
        <v>683.6</v>
      </c>
      <c r="AJ70">
        <v>15</v>
      </c>
      <c r="AK70">
        <v>169.5</v>
      </c>
      <c r="AL70">
        <v>24</v>
      </c>
      <c r="AM70">
        <v>447.7</v>
      </c>
      <c r="AN70">
        <v>15</v>
      </c>
      <c r="AP70" s="74"/>
    </row>
    <row r="71" spans="1:53" ht="15" x14ac:dyDescent="0.35">
      <c r="A71" s="35"/>
      <c r="M71" s="72" t="s">
        <v>110</v>
      </c>
      <c r="N71" t="s">
        <v>26</v>
      </c>
      <c r="O71">
        <v>117.2</v>
      </c>
      <c r="P71">
        <v>32</v>
      </c>
      <c r="Q71">
        <v>124.8</v>
      </c>
      <c r="R71">
        <v>37</v>
      </c>
      <c r="S71">
        <v>122.9</v>
      </c>
      <c r="T71">
        <v>31</v>
      </c>
      <c r="U71">
        <v>132.9</v>
      </c>
      <c r="V71">
        <v>30</v>
      </c>
      <c r="W71">
        <v>113.3</v>
      </c>
      <c r="X71">
        <v>39</v>
      </c>
      <c r="AP71" s="75" t="s">
        <v>69</v>
      </c>
      <c r="AQ71" t="s">
        <v>26</v>
      </c>
      <c r="AR71">
        <v>176.5</v>
      </c>
      <c r="AS71">
        <v>30</v>
      </c>
      <c r="AT71">
        <v>206.2</v>
      </c>
      <c r="AU71">
        <v>25</v>
      </c>
      <c r="AV71">
        <v>235.4</v>
      </c>
      <c r="AW71">
        <v>25</v>
      </c>
      <c r="AX71">
        <v>221.2</v>
      </c>
      <c r="AY71">
        <v>28</v>
      </c>
      <c r="AZ71">
        <v>226.1</v>
      </c>
      <c r="BA71">
        <v>20</v>
      </c>
    </row>
    <row r="72" spans="1:53" ht="15" x14ac:dyDescent="0.35">
      <c r="A72" s="35"/>
      <c r="M72" s="72"/>
      <c r="AC72" s="35" t="s">
        <v>75</v>
      </c>
      <c r="AD72" t="s">
        <v>26</v>
      </c>
      <c r="AE72">
        <v>124.7</v>
      </c>
      <c r="AF72">
        <v>30</v>
      </c>
      <c r="AG72">
        <v>101.2</v>
      </c>
      <c r="AH72">
        <v>34</v>
      </c>
      <c r="AI72">
        <v>121.5</v>
      </c>
      <c r="AJ72">
        <v>38</v>
      </c>
      <c r="AK72">
        <v>118.7</v>
      </c>
      <c r="AL72">
        <v>30</v>
      </c>
      <c r="AM72">
        <v>110.1</v>
      </c>
      <c r="AN72">
        <v>31</v>
      </c>
      <c r="AP72" s="74"/>
    </row>
    <row r="73" spans="1:53" ht="15" x14ac:dyDescent="0.35">
      <c r="A73" s="35"/>
      <c r="M73" s="72" t="s">
        <v>98</v>
      </c>
      <c r="N73" t="s">
        <v>26</v>
      </c>
      <c r="O73">
        <v>112.2</v>
      </c>
      <c r="P73">
        <v>33</v>
      </c>
      <c r="Q73">
        <v>404</v>
      </c>
      <c r="R73">
        <v>24</v>
      </c>
      <c r="S73">
        <v>269.7</v>
      </c>
      <c r="T73">
        <v>22</v>
      </c>
      <c r="U73">
        <v>789</v>
      </c>
      <c r="V73">
        <v>9</v>
      </c>
      <c r="W73">
        <v>501.4</v>
      </c>
      <c r="X73">
        <v>18</v>
      </c>
      <c r="AP73" s="75" t="s">
        <v>104</v>
      </c>
      <c r="AQ73" t="s">
        <v>26</v>
      </c>
      <c r="AR73">
        <v>176.3</v>
      </c>
      <c r="AS73">
        <v>31</v>
      </c>
      <c r="AT73">
        <v>196.7</v>
      </c>
      <c r="AU73">
        <v>26</v>
      </c>
      <c r="AV73">
        <v>193</v>
      </c>
      <c r="AW73">
        <v>27</v>
      </c>
      <c r="AX73">
        <v>181.4</v>
      </c>
      <c r="AY73">
        <v>31</v>
      </c>
      <c r="AZ73">
        <v>194</v>
      </c>
      <c r="BA73">
        <v>21</v>
      </c>
    </row>
    <row r="74" spans="1:53" ht="15" x14ac:dyDescent="0.35">
      <c r="A74" s="35"/>
      <c r="M74" s="72"/>
      <c r="AC74" s="35" t="s">
        <v>110</v>
      </c>
      <c r="AD74" t="s">
        <v>26</v>
      </c>
      <c r="AE74">
        <v>122.8</v>
      </c>
      <c r="AF74">
        <v>31</v>
      </c>
      <c r="AG74">
        <v>132.9</v>
      </c>
      <c r="AH74">
        <v>30</v>
      </c>
      <c r="AI74">
        <v>113.3</v>
      </c>
      <c r="AJ74">
        <v>39</v>
      </c>
      <c r="AK74">
        <v>135.30000000000001</v>
      </c>
      <c r="AL74">
        <v>29</v>
      </c>
      <c r="AM74">
        <v>153.80000000000001</v>
      </c>
      <c r="AN74">
        <v>27</v>
      </c>
      <c r="AP74" s="74"/>
    </row>
    <row r="75" spans="1:53" ht="15" x14ac:dyDescent="0.35">
      <c r="A75" s="35"/>
      <c r="M75" s="72" t="s">
        <v>65</v>
      </c>
      <c r="N75" t="s">
        <v>26</v>
      </c>
      <c r="O75">
        <v>108.6</v>
      </c>
      <c r="P75">
        <v>34</v>
      </c>
      <c r="Q75">
        <v>173.3</v>
      </c>
      <c r="R75">
        <v>32</v>
      </c>
      <c r="S75">
        <v>46.9</v>
      </c>
      <c r="T75">
        <v>41</v>
      </c>
      <c r="U75">
        <v>32.799999999999997</v>
      </c>
      <c r="V75">
        <v>46</v>
      </c>
      <c r="W75">
        <v>103.8</v>
      </c>
      <c r="X75">
        <v>40</v>
      </c>
      <c r="AP75" s="75" t="s">
        <v>65</v>
      </c>
      <c r="AQ75" t="s">
        <v>26</v>
      </c>
      <c r="AR75">
        <v>173.3</v>
      </c>
      <c r="AS75">
        <v>32</v>
      </c>
      <c r="AT75">
        <v>46.9</v>
      </c>
      <c r="AU75">
        <v>41</v>
      </c>
      <c r="AV75">
        <v>32.799999999999997</v>
      </c>
      <c r="AW75">
        <v>46</v>
      </c>
      <c r="AX75">
        <v>103.8</v>
      </c>
      <c r="AY75">
        <v>40</v>
      </c>
      <c r="AZ75">
        <v>67.900000000000006</v>
      </c>
      <c r="BA75">
        <v>37</v>
      </c>
    </row>
    <row r="76" spans="1:53" ht="15" x14ac:dyDescent="0.35">
      <c r="A76" s="35"/>
      <c r="M76" s="72"/>
      <c r="AC76" s="35" t="s">
        <v>72</v>
      </c>
      <c r="AD76" t="s">
        <v>26</v>
      </c>
      <c r="AE76">
        <v>118.6</v>
      </c>
      <c r="AF76">
        <v>32</v>
      </c>
      <c r="AG76">
        <v>339.4</v>
      </c>
      <c r="AH76">
        <v>23</v>
      </c>
      <c r="AI76">
        <v>500</v>
      </c>
      <c r="AJ76">
        <v>19</v>
      </c>
      <c r="AK76">
        <v>263.2</v>
      </c>
      <c r="AL76">
        <v>18</v>
      </c>
      <c r="AM76">
        <v>344.6</v>
      </c>
      <c r="AN76">
        <v>19</v>
      </c>
      <c r="AP76" s="74"/>
    </row>
    <row r="77" spans="1:53" ht="15" x14ac:dyDescent="0.35">
      <c r="A77" s="35"/>
      <c r="M77" s="72" t="s">
        <v>101</v>
      </c>
      <c r="N77" t="s">
        <v>26</v>
      </c>
      <c r="O77">
        <v>103.3</v>
      </c>
      <c r="P77">
        <v>35</v>
      </c>
      <c r="Q77">
        <v>95.4</v>
      </c>
      <c r="R77">
        <v>44</v>
      </c>
      <c r="S77">
        <v>150.19999999999999</v>
      </c>
      <c r="T77">
        <v>28</v>
      </c>
      <c r="U77">
        <v>107.8</v>
      </c>
      <c r="V77">
        <v>33</v>
      </c>
      <c r="W77">
        <v>139.30000000000001</v>
      </c>
      <c r="X77">
        <v>36</v>
      </c>
      <c r="AP77" s="75" t="s">
        <v>105</v>
      </c>
      <c r="AQ77" t="s">
        <v>26</v>
      </c>
      <c r="AR77">
        <v>169.8</v>
      </c>
      <c r="AS77">
        <v>33</v>
      </c>
      <c r="AT77">
        <v>106.2</v>
      </c>
      <c r="AU77">
        <v>35</v>
      </c>
      <c r="AV77">
        <v>185.9</v>
      </c>
      <c r="AW77">
        <v>28</v>
      </c>
      <c r="AX77">
        <v>189.5</v>
      </c>
      <c r="AY77">
        <v>30</v>
      </c>
      <c r="AZ77">
        <v>177.4</v>
      </c>
      <c r="BA77">
        <v>23</v>
      </c>
    </row>
    <row r="78" spans="1:53" ht="15" x14ac:dyDescent="0.35">
      <c r="A78" s="35"/>
      <c r="M78" s="72"/>
      <c r="AC78" s="35" t="s">
        <v>56</v>
      </c>
      <c r="AD78" t="s">
        <v>26</v>
      </c>
      <c r="AE78">
        <v>113.2</v>
      </c>
      <c r="AF78">
        <v>33</v>
      </c>
      <c r="AG78">
        <v>1763.8</v>
      </c>
      <c r="AH78">
        <v>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s="74"/>
    </row>
    <row r="79" spans="1:53" ht="15" x14ac:dyDescent="0.35">
      <c r="A79" s="35"/>
      <c r="M79" s="72" t="s">
        <v>103</v>
      </c>
      <c r="N79" t="s">
        <v>26</v>
      </c>
      <c r="O79">
        <v>84.3</v>
      </c>
      <c r="P79">
        <v>36</v>
      </c>
      <c r="Q79">
        <v>0</v>
      </c>
      <c r="R79">
        <v>0</v>
      </c>
      <c r="S79">
        <v>80.7</v>
      </c>
      <c r="T79">
        <v>39</v>
      </c>
      <c r="U79">
        <v>121.3</v>
      </c>
      <c r="V79">
        <v>32</v>
      </c>
      <c r="W79">
        <v>139</v>
      </c>
      <c r="X79">
        <v>37</v>
      </c>
      <c r="AP79" s="75" t="s">
        <v>163</v>
      </c>
      <c r="AQ79" t="s">
        <v>26</v>
      </c>
      <c r="AR79">
        <v>169.7</v>
      </c>
      <c r="AS79">
        <v>34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11</v>
      </c>
      <c r="BA79">
        <v>54</v>
      </c>
    </row>
    <row r="80" spans="1:53" ht="15" x14ac:dyDescent="0.35">
      <c r="A80" s="35"/>
      <c r="M80" s="72"/>
      <c r="AC80" s="35" t="s">
        <v>107</v>
      </c>
      <c r="AD80" t="s">
        <v>26</v>
      </c>
      <c r="AE80">
        <v>108</v>
      </c>
      <c r="AF80">
        <v>34</v>
      </c>
      <c r="AG80">
        <v>78.099999999999994</v>
      </c>
      <c r="AH80">
        <v>35</v>
      </c>
      <c r="AI80">
        <v>78.2</v>
      </c>
      <c r="AJ80">
        <v>45</v>
      </c>
      <c r="AK80">
        <v>95.3</v>
      </c>
      <c r="AL80">
        <v>33</v>
      </c>
      <c r="AM80">
        <v>99.8</v>
      </c>
      <c r="AN80">
        <v>33</v>
      </c>
      <c r="AP80" s="74"/>
    </row>
    <row r="81" spans="1:53" ht="15" x14ac:dyDescent="0.35">
      <c r="A81" s="35"/>
      <c r="M81" s="72" t="s">
        <v>153</v>
      </c>
      <c r="N81" t="s">
        <v>26</v>
      </c>
      <c r="O81">
        <v>80.7</v>
      </c>
      <c r="P81">
        <v>37</v>
      </c>
      <c r="Q81">
        <v>76</v>
      </c>
      <c r="R81">
        <v>47</v>
      </c>
      <c r="S81">
        <v>0</v>
      </c>
      <c r="T81">
        <v>0</v>
      </c>
      <c r="U81">
        <v>0</v>
      </c>
      <c r="V81">
        <v>0</v>
      </c>
      <c r="W81">
        <v>43</v>
      </c>
      <c r="X81">
        <v>51</v>
      </c>
      <c r="AP81" s="75" t="s">
        <v>91</v>
      </c>
      <c r="AQ81" t="s">
        <v>26</v>
      </c>
      <c r="AR81">
        <v>142.80000000000001</v>
      </c>
      <c r="AS81">
        <v>35</v>
      </c>
      <c r="AT81">
        <v>25.3</v>
      </c>
      <c r="AU81">
        <v>48</v>
      </c>
      <c r="AV81">
        <v>0</v>
      </c>
      <c r="AW81">
        <v>0</v>
      </c>
      <c r="AX81">
        <v>4.7</v>
      </c>
      <c r="AY81">
        <v>76</v>
      </c>
      <c r="AZ81">
        <v>0</v>
      </c>
      <c r="BA81">
        <v>0</v>
      </c>
    </row>
    <row r="82" spans="1:53" ht="15" x14ac:dyDescent="0.35">
      <c r="A82" s="35"/>
      <c r="M82" s="72"/>
      <c r="AC82" s="35" t="s">
        <v>105</v>
      </c>
      <c r="AD82" t="s">
        <v>26</v>
      </c>
      <c r="AE82">
        <v>106.2</v>
      </c>
      <c r="AF82">
        <v>35</v>
      </c>
      <c r="AG82">
        <v>185.9</v>
      </c>
      <c r="AH82">
        <v>28</v>
      </c>
      <c r="AI82">
        <v>189.5</v>
      </c>
      <c r="AJ82">
        <v>30</v>
      </c>
      <c r="AK82">
        <v>177.4</v>
      </c>
      <c r="AL82">
        <v>23</v>
      </c>
      <c r="AM82">
        <v>184.4</v>
      </c>
      <c r="AN82">
        <v>26</v>
      </c>
      <c r="AP82" s="74"/>
    </row>
    <row r="83" spans="1:53" ht="15" x14ac:dyDescent="0.35">
      <c r="A83" s="35"/>
      <c r="M83" s="72" t="s">
        <v>107</v>
      </c>
      <c r="N83" t="s">
        <v>26</v>
      </c>
      <c r="O83">
        <v>72.3</v>
      </c>
      <c r="P83">
        <v>38</v>
      </c>
      <c r="Q83">
        <v>113.8</v>
      </c>
      <c r="R83">
        <v>40</v>
      </c>
      <c r="S83">
        <v>108</v>
      </c>
      <c r="T83">
        <v>34</v>
      </c>
      <c r="U83">
        <v>78.099999999999994</v>
      </c>
      <c r="V83">
        <v>35</v>
      </c>
      <c r="W83">
        <v>78.2</v>
      </c>
      <c r="X83">
        <v>45</v>
      </c>
      <c r="AP83" s="75" t="s">
        <v>85</v>
      </c>
      <c r="AQ83" t="s">
        <v>26</v>
      </c>
      <c r="AR83">
        <v>130.1</v>
      </c>
      <c r="AS83">
        <v>36</v>
      </c>
      <c r="AT83">
        <v>248</v>
      </c>
      <c r="AU83">
        <v>23</v>
      </c>
      <c r="AV83">
        <v>56.9</v>
      </c>
      <c r="AW83">
        <v>40</v>
      </c>
      <c r="AX83">
        <v>852.9</v>
      </c>
      <c r="AY83">
        <v>13</v>
      </c>
      <c r="AZ83">
        <v>159.80000000000001</v>
      </c>
      <c r="BA83">
        <v>25</v>
      </c>
    </row>
    <row r="84" spans="1:53" ht="15" x14ac:dyDescent="0.35">
      <c r="A84" s="35"/>
      <c r="M84" s="72"/>
      <c r="AC84" s="35" t="s">
        <v>95</v>
      </c>
      <c r="AD84" t="s">
        <v>26</v>
      </c>
      <c r="AE84">
        <v>100.6</v>
      </c>
      <c r="AF84">
        <v>36</v>
      </c>
      <c r="AG84">
        <v>284.60000000000002</v>
      </c>
      <c r="AH84">
        <v>24</v>
      </c>
      <c r="AI84">
        <v>490.4</v>
      </c>
      <c r="AJ84">
        <v>20</v>
      </c>
      <c r="AK84">
        <v>95.2</v>
      </c>
      <c r="AL84">
        <v>34</v>
      </c>
      <c r="AM84">
        <v>279.60000000000002</v>
      </c>
      <c r="AN84">
        <v>21</v>
      </c>
      <c r="AP84" s="74"/>
    </row>
    <row r="85" spans="1:53" ht="15" x14ac:dyDescent="0.35">
      <c r="A85" s="35"/>
      <c r="M85" s="72" t="s">
        <v>90</v>
      </c>
      <c r="N85" t="s">
        <v>26</v>
      </c>
      <c r="O85">
        <v>72.2</v>
      </c>
      <c r="P85">
        <v>39</v>
      </c>
      <c r="Q85">
        <v>16.100000000000001</v>
      </c>
      <c r="R85">
        <v>62</v>
      </c>
      <c r="S85">
        <v>10.9</v>
      </c>
      <c r="T85">
        <v>54</v>
      </c>
      <c r="U85">
        <v>16.100000000000001</v>
      </c>
      <c r="V85">
        <v>54</v>
      </c>
      <c r="W85">
        <v>23.4</v>
      </c>
      <c r="X85">
        <v>57</v>
      </c>
      <c r="AP85" s="75" t="s">
        <v>110</v>
      </c>
      <c r="AQ85" t="s">
        <v>26</v>
      </c>
      <c r="AR85">
        <v>124.8</v>
      </c>
      <c r="AS85">
        <v>37</v>
      </c>
      <c r="AT85">
        <v>122.9</v>
      </c>
      <c r="AU85">
        <v>31</v>
      </c>
      <c r="AV85">
        <v>132.9</v>
      </c>
      <c r="AW85">
        <v>30</v>
      </c>
      <c r="AX85">
        <v>113.3</v>
      </c>
      <c r="AY85">
        <v>39</v>
      </c>
      <c r="AZ85">
        <v>135.30000000000001</v>
      </c>
      <c r="BA85">
        <v>29</v>
      </c>
    </row>
    <row r="86" spans="1:53" ht="15" x14ac:dyDescent="0.35">
      <c r="A86" s="35"/>
      <c r="M86" s="72"/>
      <c r="AC86" s="35" t="s">
        <v>94</v>
      </c>
      <c r="AD86" t="s">
        <v>26</v>
      </c>
      <c r="AE86">
        <v>86.3</v>
      </c>
      <c r="AF86">
        <v>37</v>
      </c>
      <c r="AG86">
        <v>6.6</v>
      </c>
      <c r="AH86">
        <v>59</v>
      </c>
      <c r="AI86">
        <v>60.8</v>
      </c>
      <c r="AJ86">
        <v>48</v>
      </c>
      <c r="AK86">
        <v>16.600000000000001</v>
      </c>
      <c r="AL86">
        <v>53</v>
      </c>
      <c r="AM86">
        <v>45</v>
      </c>
      <c r="AN86">
        <v>43</v>
      </c>
      <c r="AP86" s="74"/>
    </row>
    <row r="87" spans="1:53" ht="15" x14ac:dyDescent="0.35">
      <c r="A87" s="35"/>
      <c r="M87" s="72" t="s">
        <v>42</v>
      </c>
      <c r="N87" t="s">
        <v>26</v>
      </c>
      <c r="O87">
        <v>70.7</v>
      </c>
      <c r="P87">
        <v>40</v>
      </c>
      <c r="Q87">
        <v>102.8</v>
      </c>
      <c r="R87">
        <v>43</v>
      </c>
      <c r="S87">
        <v>22.6</v>
      </c>
      <c r="T87">
        <v>49</v>
      </c>
      <c r="U87">
        <v>49</v>
      </c>
      <c r="V87">
        <v>43</v>
      </c>
      <c r="W87">
        <v>68.599999999999994</v>
      </c>
      <c r="X87">
        <v>46</v>
      </c>
      <c r="AP87" s="75" t="s">
        <v>53</v>
      </c>
      <c r="AQ87" t="s">
        <v>26</v>
      </c>
      <c r="AR87">
        <v>120.7</v>
      </c>
      <c r="AS87">
        <v>38</v>
      </c>
      <c r="AT87">
        <v>290.8</v>
      </c>
      <c r="AU87">
        <v>21</v>
      </c>
      <c r="AV87">
        <v>171.1</v>
      </c>
      <c r="AW87">
        <v>29</v>
      </c>
      <c r="AX87">
        <v>11.1</v>
      </c>
      <c r="AY87">
        <v>66</v>
      </c>
      <c r="AZ87">
        <v>59.7</v>
      </c>
      <c r="BA87">
        <v>39</v>
      </c>
    </row>
    <row r="88" spans="1:53" ht="15" x14ac:dyDescent="0.35">
      <c r="A88" s="35"/>
      <c r="M88" s="72"/>
      <c r="AC88" s="35" t="s">
        <v>83</v>
      </c>
      <c r="AD88" t="s">
        <v>26</v>
      </c>
      <c r="AE88">
        <v>82.2</v>
      </c>
      <c r="AF88">
        <v>38</v>
      </c>
      <c r="AG88">
        <v>125.5</v>
      </c>
      <c r="AH88">
        <v>31</v>
      </c>
      <c r="AI88">
        <v>87.7</v>
      </c>
      <c r="AJ88">
        <v>43</v>
      </c>
      <c r="AK88">
        <v>113.8</v>
      </c>
      <c r="AL88">
        <v>31</v>
      </c>
      <c r="AM88">
        <v>0</v>
      </c>
      <c r="AN88">
        <v>0</v>
      </c>
      <c r="AP88" s="74"/>
    </row>
    <row r="89" spans="1:53" ht="15" x14ac:dyDescent="0.35">
      <c r="A89" s="35"/>
      <c r="M89" s="72" t="s">
        <v>49</v>
      </c>
      <c r="N89" t="s">
        <v>26</v>
      </c>
      <c r="O89">
        <v>70.599999999999994</v>
      </c>
      <c r="P89">
        <v>41</v>
      </c>
      <c r="Q89">
        <v>61</v>
      </c>
      <c r="R89">
        <v>53</v>
      </c>
      <c r="S89">
        <v>43.3</v>
      </c>
      <c r="T89">
        <v>42</v>
      </c>
      <c r="U89">
        <v>52.7</v>
      </c>
      <c r="V89">
        <v>42</v>
      </c>
      <c r="W89">
        <v>152.1</v>
      </c>
      <c r="X89">
        <v>33</v>
      </c>
      <c r="AP89" s="75" t="s">
        <v>83</v>
      </c>
      <c r="AQ89" t="s">
        <v>26</v>
      </c>
      <c r="AR89">
        <v>115.1</v>
      </c>
      <c r="AS89">
        <v>39</v>
      </c>
      <c r="AT89">
        <v>82.2</v>
      </c>
      <c r="AU89">
        <v>38</v>
      </c>
      <c r="AV89">
        <v>125.5</v>
      </c>
      <c r="AW89">
        <v>31</v>
      </c>
      <c r="AX89">
        <v>87.7</v>
      </c>
      <c r="AY89">
        <v>43</v>
      </c>
      <c r="AZ89">
        <v>113.8</v>
      </c>
      <c r="BA89">
        <v>31</v>
      </c>
    </row>
    <row r="90" spans="1:53" ht="15" x14ac:dyDescent="0.35">
      <c r="A90" s="35"/>
      <c r="M90" s="72"/>
      <c r="AC90" s="35" t="s">
        <v>103</v>
      </c>
      <c r="AD90" t="s">
        <v>26</v>
      </c>
      <c r="AE90">
        <v>80.7</v>
      </c>
      <c r="AF90">
        <v>39</v>
      </c>
      <c r="AG90">
        <v>121.3</v>
      </c>
      <c r="AH90">
        <v>32</v>
      </c>
      <c r="AI90">
        <v>139</v>
      </c>
      <c r="AJ90">
        <v>37</v>
      </c>
      <c r="AK90">
        <v>78</v>
      </c>
      <c r="AL90">
        <v>35</v>
      </c>
      <c r="AM90">
        <v>92.2</v>
      </c>
      <c r="AN90">
        <v>37</v>
      </c>
      <c r="AP90" s="74"/>
    </row>
    <row r="91" spans="1:53" ht="15" x14ac:dyDescent="0.35">
      <c r="A91" s="35"/>
      <c r="M91" s="72" t="s">
        <v>61</v>
      </c>
      <c r="N91" t="s">
        <v>26</v>
      </c>
      <c r="O91">
        <v>56.8</v>
      </c>
      <c r="P91">
        <v>42</v>
      </c>
      <c r="Q91">
        <v>541.6</v>
      </c>
      <c r="R91">
        <v>18</v>
      </c>
      <c r="S91">
        <v>0</v>
      </c>
      <c r="T91">
        <v>0</v>
      </c>
      <c r="U91">
        <v>59.3</v>
      </c>
      <c r="V91">
        <v>37</v>
      </c>
      <c r="W91">
        <v>0</v>
      </c>
      <c r="X91">
        <v>0</v>
      </c>
      <c r="AP91" s="75" t="s">
        <v>107</v>
      </c>
      <c r="AQ91" t="s">
        <v>26</v>
      </c>
      <c r="AR91">
        <v>113.8</v>
      </c>
      <c r="AS91">
        <v>40</v>
      </c>
      <c r="AT91">
        <v>108</v>
      </c>
      <c r="AU91">
        <v>34</v>
      </c>
      <c r="AV91">
        <v>78.099999999999994</v>
      </c>
      <c r="AW91">
        <v>35</v>
      </c>
      <c r="AX91">
        <v>78.2</v>
      </c>
      <c r="AY91">
        <v>45</v>
      </c>
      <c r="AZ91">
        <v>95.4</v>
      </c>
      <c r="BA91">
        <v>33</v>
      </c>
    </row>
    <row r="92" spans="1:53" ht="15" x14ac:dyDescent="0.35">
      <c r="A92" s="35"/>
      <c r="M92" s="72"/>
      <c r="AC92" s="35" t="s">
        <v>62</v>
      </c>
      <c r="AD92" t="s">
        <v>26</v>
      </c>
      <c r="AE92">
        <v>66</v>
      </c>
      <c r="AF92">
        <v>40</v>
      </c>
      <c r="AG92">
        <v>59.2</v>
      </c>
      <c r="AH92">
        <v>38</v>
      </c>
      <c r="AI92">
        <v>62.6</v>
      </c>
      <c r="AJ92">
        <v>47</v>
      </c>
      <c r="AK92">
        <v>63.5</v>
      </c>
      <c r="AL92">
        <v>38</v>
      </c>
      <c r="AM92">
        <v>64.7</v>
      </c>
      <c r="AN92">
        <v>40</v>
      </c>
      <c r="AP92" s="74"/>
    </row>
    <row r="93" spans="1:53" ht="15" x14ac:dyDescent="0.35">
      <c r="A93" s="35"/>
      <c r="M93" s="72" t="s">
        <v>94</v>
      </c>
      <c r="N93" t="s">
        <v>26</v>
      </c>
      <c r="O93">
        <v>52.7</v>
      </c>
      <c r="P93">
        <v>43</v>
      </c>
      <c r="Q93">
        <v>71.599999999999994</v>
      </c>
      <c r="R93">
        <v>49</v>
      </c>
      <c r="S93">
        <v>86.3</v>
      </c>
      <c r="T93">
        <v>37</v>
      </c>
      <c r="U93">
        <v>6.6</v>
      </c>
      <c r="V93">
        <v>59</v>
      </c>
      <c r="W93">
        <v>60.8</v>
      </c>
      <c r="X93">
        <v>48</v>
      </c>
      <c r="AP93" s="75" t="s">
        <v>75</v>
      </c>
      <c r="AQ93" t="s">
        <v>26</v>
      </c>
      <c r="AR93">
        <v>108.5</v>
      </c>
      <c r="AS93">
        <v>41</v>
      </c>
      <c r="AT93">
        <v>124.7</v>
      </c>
      <c r="AU93">
        <v>30</v>
      </c>
      <c r="AV93">
        <v>101.2</v>
      </c>
      <c r="AW93">
        <v>34</v>
      </c>
      <c r="AX93">
        <v>121.5</v>
      </c>
      <c r="AY93">
        <v>38</v>
      </c>
      <c r="AZ93">
        <v>118.7</v>
      </c>
      <c r="BA93">
        <v>30</v>
      </c>
    </row>
    <row r="94" spans="1:53" ht="15" x14ac:dyDescent="0.35">
      <c r="A94" s="35"/>
      <c r="M94" s="72"/>
      <c r="AC94" s="35" t="s">
        <v>65</v>
      </c>
      <c r="AD94" t="s">
        <v>26</v>
      </c>
      <c r="AE94">
        <v>46.8</v>
      </c>
      <c r="AF94">
        <v>41</v>
      </c>
      <c r="AG94">
        <v>32.799999999999997</v>
      </c>
      <c r="AH94">
        <v>46</v>
      </c>
      <c r="AI94">
        <v>103.8</v>
      </c>
      <c r="AJ94">
        <v>40</v>
      </c>
      <c r="AK94">
        <v>67.900000000000006</v>
      </c>
      <c r="AL94">
        <v>37</v>
      </c>
      <c r="AM94">
        <v>14.1</v>
      </c>
      <c r="AN94">
        <v>55</v>
      </c>
      <c r="AP94" s="74"/>
    </row>
    <row r="95" spans="1:53" ht="15" x14ac:dyDescent="0.35">
      <c r="A95" s="35"/>
      <c r="M95" s="72" t="s">
        <v>161</v>
      </c>
      <c r="N95" t="s">
        <v>26</v>
      </c>
      <c r="O95">
        <v>52.4</v>
      </c>
      <c r="P95">
        <v>44</v>
      </c>
      <c r="Q95">
        <v>408.5</v>
      </c>
      <c r="R95">
        <v>23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AP95" s="75" t="s">
        <v>175</v>
      </c>
      <c r="AQ95" t="s">
        <v>26</v>
      </c>
      <c r="AR95">
        <v>104.9</v>
      </c>
      <c r="AS95">
        <v>42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ht="15" x14ac:dyDescent="0.35">
      <c r="A96" s="35"/>
      <c r="M96" s="72"/>
      <c r="AC96" s="35" t="s">
        <v>49</v>
      </c>
      <c r="AD96" t="s">
        <v>26</v>
      </c>
      <c r="AE96">
        <v>43.3</v>
      </c>
      <c r="AF96">
        <v>42</v>
      </c>
      <c r="AG96">
        <v>52.7</v>
      </c>
      <c r="AH96">
        <v>42</v>
      </c>
      <c r="AI96">
        <v>152.1</v>
      </c>
      <c r="AJ96">
        <v>33</v>
      </c>
      <c r="AK96">
        <v>18.899999999999999</v>
      </c>
      <c r="AL96">
        <v>51</v>
      </c>
      <c r="AM96">
        <v>98.1</v>
      </c>
      <c r="AN96">
        <v>35</v>
      </c>
      <c r="AP96" s="74"/>
    </row>
    <row r="97" spans="1:53" ht="15" x14ac:dyDescent="0.35">
      <c r="A97" s="35"/>
      <c r="M97" s="72" t="s">
        <v>70</v>
      </c>
      <c r="N97" t="s">
        <v>26</v>
      </c>
      <c r="O97">
        <v>52.2</v>
      </c>
      <c r="P97">
        <v>45</v>
      </c>
      <c r="Q97">
        <v>692.5</v>
      </c>
      <c r="R97">
        <v>14</v>
      </c>
      <c r="S97">
        <v>350.5</v>
      </c>
      <c r="T97">
        <v>19</v>
      </c>
      <c r="U97">
        <v>25.6</v>
      </c>
      <c r="V97">
        <v>48</v>
      </c>
      <c r="W97">
        <v>12.6</v>
      </c>
      <c r="X97">
        <v>65</v>
      </c>
      <c r="AP97" s="75" t="s">
        <v>42</v>
      </c>
      <c r="AQ97" t="s">
        <v>26</v>
      </c>
      <c r="AR97">
        <v>102.8</v>
      </c>
      <c r="AS97">
        <v>43</v>
      </c>
      <c r="AT97">
        <v>22.6</v>
      </c>
      <c r="AU97">
        <v>49</v>
      </c>
      <c r="AV97">
        <v>49</v>
      </c>
      <c r="AW97">
        <v>43</v>
      </c>
      <c r="AX97">
        <v>68.599999999999994</v>
      </c>
      <c r="AY97">
        <v>46</v>
      </c>
      <c r="AZ97">
        <v>19.8</v>
      </c>
      <c r="BA97">
        <v>49</v>
      </c>
    </row>
    <row r="98" spans="1:53" ht="15" x14ac:dyDescent="0.35">
      <c r="A98" s="35"/>
      <c r="M98" s="72"/>
      <c r="AC98" s="35" t="s">
        <v>64</v>
      </c>
      <c r="AD98" t="s">
        <v>26</v>
      </c>
      <c r="AE98">
        <v>38.9</v>
      </c>
      <c r="AF98">
        <v>43</v>
      </c>
      <c r="AG98">
        <v>43.8</v>
      </c>
      <c r="AH98">
        <v>44</v>
      </c>
      <c r="AI98">
        <v>149.80000000000001</v>
      </c>
      <c r="AJ98">
        <v>35</v>
      </c>
      <c r="AK98">
        <v>21.8</v>
      </c>
      <c r="AL98">
        <v>47</v>
      </c>
      <c r="AM98">
        <v>7.7</v>
      </c>
      <c r="AN98">
        <v>58</v>
      </c>
      <c r="AP98" s="74"/>
    </row>
    <row r="99" spans="1:53" ht="15" x14ac:dyDescent="0.35">
      <c r="A99" s="35"/>
      <c r="M99" s="72" t="s">
        <v>62</v>
      </c>
      <c r="N99" t="s">
        <v>26</v>
      </c>
      <c r="O99">
        <v>46.1</v>
      </c>
      <c r="P99">
        <v>46</v>
      </c>
      <c r="Q99">
        <v>66</v>
      </c>
      <c r="R99">
        <v>50</v>
      </c>
      <c r="S99">
        <v>66</v>
      </c>
      <c r="T99">
        <v>40</v>
      </c>
      <c r="U99">
        <v>59.2</v>
      </c>
      <c r="V99">
        <v>38</v>
      </c>
      <c r="W99">
        <v>62.6</v>
      </c>
      <c r="X99">
        <v>47</v>
      </c>
      <c r="AP99" s="75" t="s">
        <v>101</v>
      </c>
      <c r="AQ99" t="s">
        <v>26</v>
      </c>
      <c r="AR99">
        <v>95.4</v>
      </c>
      <c r="AS99">
        <v>44</v>
      </c>
      <c r="AT99">
        <v>150.19999999999999</v>
      </c>
      <c r="AU99">
        <v>28</v>
      </c>
      <c r="AV99">
        <v>107.8</v>
      </c>
      <c r="AW99">
        <v>33</v>
      </c>
      <c r="AX99">
        <v>139.30000000000001</v>
      </c>
      <c r="AY99">
        <v>36</v>
      </c>
      <c r="AZ99">
        <v>55.6</v>
      </c>
      <c r="BA99">
        <v>40</v>
      </c>
    </row>
    <row r="100" spans="1:53" ht="15" x14ac:dyDescent="0.35">
      <c r="A100" s="35"/>
      <c r="M100" s="72"/>
      <c r="AC100" s="35" t="s">
        <v>51</v>
      </c>
      <c r="AD100" t="s">
        <v>26</v>
      </c>
      <c r="AE100">
        <v>38</v>
      </c>
      <c r="AF100">
        <v>44</v>
      </c>
      <c r="AG100">
        <v>56.1</v>
      </c>
      <c r="AH100">
        <v>41</v>
      </c>
      <c r="AI100">
        <v>45.7</v>
      </c>
      <c r="AJ100">
        <v>49</v>
      </c>
      <c r="AK100">
        <v>0</v>
      </c>
      <c r="AL100">
        <v>0</v>
      </c>
      <c r="AM100">
        <v>20.399999999999999</v>
      </c>
      <c r="AN100">
        <v>52</v>
      </c>
      <c r="AP100" s="74"/>
    </row>
    <row r="101" spans="1:53" ht="15" x14ac:dyDescent="0.35">
      <c r="A101" s="35"/>
      <c r="M101" s="72" t="s">
        <v>46</v>
      </c>
      <c r="N101" t="s">
        <v>26</v>
      </c>
      <c r="O101">
        <v>44.2</v>
      </c>
      <c r="P101">
        <v>47</v>
      </c>
      <c r="Q101">
        <v>27.2</v>
      </c>
      <c r="R101">
        <v>58</v>
      </c>
      <c r="S101">
        <v>22.5</v>
      </c>
      <c r="T101">
        <v>50</v>
      </c>
      <c r="U101">
        <v>0</v>
      </c>
      <c r="V101">
        <v>0</v>
      </c>
      <c r="W101">
        <v>97.6</v>
      </c>
      <c r="X101">
        <v>42</v>
      </c>
      <c r="AP101" s="75" t="s">
        <v>166</v>
      </c>
      <c r="AQ101" t="s">
        <v>26</v>
      </c>
      <c r="AR101">
        <v>92.8</v>
      </c>
      <c r="AS101">
        <v>45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ht="15" x14ac:dyDescent="0.35">
      <c r="A102" s="35"/>
      <c r="M102" s="72"/>
      <c r="AC102" s="35" t="s">
        <v>59</v>
      </c>
      <c r="AD102" t="s">
        <v>26</v>
      </c>
      <c r="AE102">
        <v>36.700000000000003</v>
      </c>
      <c r="AF102">
        <v>45</v>
      </c>
      <c r="AG102">
        <v>61.7</v>
      </c>
      <c r="AH102">
        <v>36</v>
      </c>
      <c r="AI102">
        <v>79.099999999999994</v>
      </c>
      <c r="AJ102">
        <v>44</v>
      </c>
      <c r="AK102">
        <v>148.30000000000001</v>
      </c>
      <c r="AL102">
        <v>27</v>
      </c>
      <c r="AM102">
        <v>77.3</v>
      </c>
      <c r="AN102">
        <v>38</v>
      </c>
      <c r="AP102" s="74"/>
    </row>
    <row r="103" spans="1:53" ht="15" x14ac:dyDescent="0.35">
      <c r="A103" s="35"/>
      <c r="M103" s="72" t="s">
        <v>163</v>
      </c>
      <c r="N103" t="s">
        <v>26</v>
      </c>
      <c r="O103">
        <v>44</v>
      </c>
      <c r="P103">
        <v>48</v>
      </c>
      <c r="Q103">
        <v>169.7</v>
      </c>
      <c r="R103">
        <v>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AP103" s="75" t="s">
        <v>67</v>
      </c>
      <c r="AQ103" t="s">
        <v>26</v>
      </c>
      <c r="AR103">
        <v>84.5</v>
      </c>
      <c r="AS103">
        <v>46</v>
      </c>
      <c r="AT103">
        <v>34.9</v>
      </c>
      <c r="AU103">
        <v>46</v>
      </c>
      <c r="AV103">
        <v>10</v>
      </c>
      <c r="AW103">
        <v>57</v>
      </c>
      <c r="AX103">
        <v>166.7</v>
      </c>
      <c r="AY103">
        <v>32</v>
      </c>
      <c r="AZ103">
        <v>19.600000000000001</v>
      </c>
      <c r="BA103">
        <v>50</v>
      </c>
    </row>
    <row r="104" spans="1:53" ht="15" x14ac:dyDescent="0.35">
      <c r="A104" s="35"/>
      <c r="M104" s="72"/>
      <c r="AC104" s="35" t="s">
        <v>67</v>
      </c>
      <c r="AD104" t="s">
        <v>26</v>
      </c>
      <c r="AE104">
        <v>34.9</v>
      </c>
      <c r="AF104">
        <v>46</v>
      </c>
      <c r="AG104">
        <v>10</v>
      </c>
      <c r="AH104">
        <v>57</v>
      </c>
      <c r="AI104">
        <v>166.7</v>
      </c>
      <c r="AJ104">
        <v>32</v>
      </c>
      <c r="AK104">
        <v>19.600000000000001</v>
      </c>
      <c r="AL104">
        <v>50</v>
      </c>
      <c r="AM104">
        <v>48.5</v>
      </c>
      <c r="AN104">
        <v>41</v>
      </c>
      <c r="AP104" s="74"/>
    </row>
    <row r="105" spans="1:53" ht="15" x14ac:dyDescent="0.35">
      <c r="A105" s="35"/>
      <c r="M105" s="72" t="s">
        <v>106</v>
      </c>
      <c r="N105" t="s">
        <v>26</v>
      </c>
      <c r="O105">
        <v>42.5</v>
      </c>
      <c r="P105">
        <v>49</v>
      </c>
      <c r="Q105">
        <v>37.5</v>
      </c>
      <c r="R105">
        <v>56</v>
      </c>
      <c r="S105">
        <v>26.1</v>
      </c>
      <c r="T105">
        <v>47</v>
      </c>
      <c r="U105">
        <v>40.5</v>
      </c>
      <c r="V105">
        <v>45</v>
      </c>
      <c r="W105">
        <v>38.799999999999997</v>
      </c>
      <c r="X105">
        <v>52</v>
      </c>
      <c r="AP105" s="75" t="s">
        <v>153</v>
      </c>
      <c r="AQ105" t="s">
        <v>26</v>
      </c>
      <c r="AR105">
        <v>76</v>
      </c>
      <c r="AS105">
        <v>47</v>
      </c>
      <c r="AT105">
        <v>0</v>
      </c>
      <c r="AU105">
        <v>0</v>
      </c>
      <c r="AV105">
        <v>0</v>
      </c>
      <c r="AW105">
        <v>0</v>
      </c>
      <c r="AX105">
        <v>43</v>
      </c>
      <c r="AY105">
        <v>51</v>
      </c>
      <c r="AZ105">
        <v>0</v>
      </c>
      <c r="BA105">
        <v>0</v>
      </c>
    </row>
    <row r="106" spans="1:53" ht="15" x14ac:dyDescent="0.35">
      <c r="M106" s="72"/>
      <c r="AC106" s="35" t="s">
        <v>106</v>
      </c>
      <c r="AD106" t="s">
        <v>26</v>
      </c>
      <c r="AE106">
        <v>26.1</v>
      </c>
      <c r="AF106">
        <v>47</v>
      </c>
      <c r="AG106">
        <v>40.5</v>
      </c>
      <c r="AH106">
        <v>45</v>
      </c>
      <c r="AI106">
        <v>38.799999999999997</v>
      </c>
      <c r="AJ106">
        <v>52</v>
      </c>
      <c r="AK106">
        <v>42.6</v>
      </c>
      <c r="AL106">
        <v>41</v>
      </c>
      <c r="AM106">
        <v>39.200000000000003</v>
      </c>
      <c r="AN106">
        <v>44</v>
      </c>
      <c r="AP106" s="74"/>
    </row>
    <row r="107" spans="1:53" ht="15" x14ac:dyDescent="0.25">
      <c r="M107" s="72" t="s">
        <v>116</v>
      </c>
      <c r="N107" t="s">
        <v>26</v>
      </c>
      <c r="O107">
        <v>36.299999999999997</v>
      </c>
      <c r="P107">
        <v>50</v>
      </c>
      <c r="Q107">
        <v>44.2</v>
      </c>
      <c r="R107">
        <v>55</v>
      </c>
      <c r="S107">
        <v>7.5</v>
      </c>
      <c r="T107">
        <v>55</v>
      </c>
      <c r="U107">
        <v>0</v>
      </c>
      <c r="V107">
        <v>0</v>
      </c>
      <c r="W107">
        <v>14.7</v>
      </c>
      <c r="X107">
        <v>63</v>
      </c>
      <c r="AP107" s="75" t="s">
        <v>174</v>
      </c>
      <c r="AQ107" t="s">
        <v>26</v>
      </c>
      <c r="AR107">
        <v>75.400000000000006</v>
      </c>
      <c r="AS107">
        <v>48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ht="15" x14ac:dyDescent="0.35">
      <c r="M108" s="72"/>
      <c r="AC108" s="35" t="s">
        <v>91</v>
      </c>
      <c r="AD108" t="s">
        <v>26</v>
      </c>
      <c r="AE108">
        <v>25.3</v>
      </c>
      <c r="AF108">
        <v>48</v>
      </c>
      <c r="AG108">
        <v>0</v>
      </c>
      <c r="AH108">
        <v>0</v>
      </c>
      <c r="AI108">
        <v>4.7</v>
      </c>
      <c r="AJ108">
        <v>76</v>
      </c>
      <c r="AK108">
        <v>0</v>
      </c>
      <c r="AL108">
        <v>0</v>
      </c>
      <c r="AM108">
        <v>0</v>
      </c>
      <c r="AN108">
        <v>0</v>
      </c>
      <c r="AP108" s="74"/>
    </row>
    <row r="109" spans="1:53" ht="15" x14ac:dyDescent="0.25">
      <c r="A109" s="75"/>
      <c r="M109" s="72" t="s">
        <v>67</v>
      </c>
      <c r="N109" t="s">
        <v>26</v>
      </c>
      <c r="O109">
        <v>32.799999999999997</v>
      </c>
      <c r="P109">
        <v>51</v>
      </c>
      <c r="Q109">
        <v>84.5</v>
      </c>
      <c r="R109">
        <v>46</v>
      </c>
      <c r="S109">
        <v>34.9</v>
      </c>
      <c r="T109">
        <v>46</v>
      </c>
      <c r="U109">
        <v>10</v>
      </c>
      <c r="V109">
        <v>57</v>
      </c>
      <c r="W109">
        <v>166.7</v>
      </c>
      <c r="X109">
        <v>32</v>
      </c>
      <c r="AP109" s="75" t="s">
        <v>94</v>
      </c>
      <c r="AQ109" t="s">
        <v>26</v>
      </c>
      <c r="AR109">
        <v>71.599999999999994</v>
      </c>
      <c r="AS109">
        <v>49</v>
      </c>
      <c r="AT109">
        <v>86.3</v>
      </c>
      <c r="AU109">
        <v>37</v>
      </c>
      <c r="AV109">
        <v>6.6</v>
      </c>
      <c r="AW109">
        <v>59</v>
      </c>
      <c r="AX109">
        <v>60.8</v>
      </c>
      <c r="AY109">
        <v>48</v>
      </c>
      <c r="AZ109">
        <v>16.600000000000001</v>
      </c>
      <c r="BA109">
        <v>53</v>
      </c>
    </row>
    <row r="110" spans="1:53" ht="15" x14ac:dyDescent="0.35">
      <c r="A110" s="75"/>
      <c r="M110" s="72"/>
      <c r="AC110" s="35" t="s">
        <v>42</v>
      </c>
      <c r="AD110" t="s">
        <v>26</v>
      </c>
      <c r="AE110">
        <v>22.6</v>
      </c>
      <c r="AF110">
        <v>49</v>
      </c>
      <c r="AG110">
        <v>49</v>
      </c>
      <c r="AH110">
        <v>43</v>
      </c>
      <c r="AI110">
        <v>68.599999999999994</v>
      </c>
      <c r="AJ110">
        <v>46</v>
      </c>
      <c r="AK110">
        <v>19.8</v>
      </c>
      <c r="AL110">
        <v>49</v>
      </c>
      <c r="AM110">
        <v>48.3</v>
      </c>
      <c r="AN110">
        <v>42</v>
      </c>
      <c r="AP110" s="74"/>
    </row>
    <row r="111" spans="1:53" ht="15" x14ac:dyDescent="0.25">
      <c r="A111" s="75"/>
      <c r="E111" s="67"/>
      <c r="M111" s="72" t="s">
        <v>64</v>
      </c>
      <c r="N111" t="s">
        <v>26</v>
      </c>
      <c r="O111">
        <v>29.7</v>
      </c>
      <c r="P111">
        <v>52</v>
      </c>
      <c r="Q111">
        <v>65.099999999999994</v>
      </c>
      <c r="R111">
        <v>51</v>
      </c>
      <c r="S111">
        <v>38.9</v>
      </c>
      <c r="T111">
        <v>43</v>
      </c>
      <c r="U111">
        <v>43.8</v>
      </c>
      <c r="V111">
        <v>44</v>
      </c>
      <c r="W111">
        <v>149.80000000000001</v>
      </c>
      <c r="X111">
        <v>35</v>
      </c>
      <c r="AP111" s="75" t="s">
        <v>62</v>
      </c>
      <c r="AQ111" t="s">
        <v>26</v>
      </c>
      <c r="AR111">
        <v>66</v>
      </c>
      <c r="AS111">
        <v>50</v>
      </c>
      <c r="AT111">
        <v>66</v>
      </c>
      <c r="AU111">
        <v>40</v>
      </c>
      <c r="AV111">
        <v>59.2</v>
      </c>
      <c r="AW111">
        <v>38</v>
      </c>
      <c r="AX111">
        <v>62.6</v>
      </c>
      <c r="AY111">
        <v>47</v>
      </c>
      <c r="AZ111">
        <v>63.5</v>
      </c>
      <c r="BA111">
        <v>38</v>
      </c>
    </row>
    <row r="112" spans="1:53" ht="15" x14ac:dyDescent="0.35">
      <c r="A112" s="75"/>
      <c r="M112" s="72"/>
      <c r="AC112" s="35" t="s">
        <v>46</v>
      </c>
      <c r="AD112" t="s">
        <v>26</v>
      </c>
      <c r="AE112">
        <v>22.5</v>
      </c>
      <c r="AF112">
        <v>50</v>
      </c>
      <c r="AG112">
        <v>0</v>
      </c>
      <c r="AH112">
        <v>0</v>
      </c>
      <c r="AI112">
        <v>97.6</v>
      </c>
      <c r="AJ112">
        <v>42</v>
      </c>
      <c r="AK112">
        <v>4</v>
      </c>
      <c r="AL112">
        <v>60</v>
      </c>
      <c r="AM112">
        <v>3.1</v>
      </c>
      <c r="AN112">
        <v>67</v>
      </c>
      <c r="AP112" s="74"/>
    </row>
    <row r="113" spans="1:53" ht="15" x14ac:dyDescent="0.25">
      <c r="A113" s="75"/>
      <c r="M113" s="72" t="s">
        <v>166</v>
      </c>
      <c r="N113" t="s">
        <v>26</v>
      </c>
      <c r="O113">
        <v>26.3</v>
      </c>
      <c r="P113">
        <v>53</v>
      </c>
      <c r="Q113">
        <v>92.8</v>
      </c>
      <c r="R113">
        <v>45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AP113" s="75" t="s">
        <v>64</v>
      </c>
      <c r="AQ113" t="s">
        <v>26</v>
      </c>
      <c r="AR113">
        <v>65.099999999999994</v>
      </c>
      <c r="AS113">
        <v>51</v>
      </c>
      <c r="AT113">
        <v>38.9</v>
      </c>
      <c r="AU113">
        <v>43</v>
      </c>
      <c r="AV113">
        <v>43.8</v>
      </c>
      <c r="AW113">
        <v>44</v>
      </c>
      <c r="AX113">
        <v>149.80000000000001</v>
      </c>
      <c r="AY113">
        <v>35</v>
      </c>
      <c r="AZ113">
        <v>21.8</v>
      </c>
      <c r="BA113">
        <v>47</v>
      </c>
    </row>
    <row r="114" spans="1:53" ht="15" x14ac:dyDescent="0.35">
      <c r="A114" s="75"/>
      <c r="M114" s="72"/>
      <c r="AC114" s="35" t="s">
        <v>92</v>
      </c>
      <c r="AD114" t="s">
        <v>26</v>
      </c>
      <c r="AE114">
        <v>14.2</v>
      </c>
      <c r="AF114">
        <v>51</v>
      </c>
      <c r="AG114">
        <v>4.7</v>
      </c>
      <c r="AH114">
        <v>63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 s="74"/>
    </row>
    <row r="115" spans="1:53" ht="15" x14ac:dyDescent="0.25">
      <c r="A115" s="75"/>
      <c r="M115" s="72" t="s">
        <v>47</v>
      </c>
      <c r="N115" t="s">
        <v>26</v>
      </c>
      <c r="O115">
        <v>22.4</v>
      </c>
      <c r="P115">
        <v>54</v>
      </c>
      <c r="Q115">
        <v>61.5</v>
      </c>
      <c r="R115">
        <v>52</v>
      </c>
      <c r="S115">
        <v>11.3</v>
      </c>
      <c r="T115">
        <v>52</v>
      </c>
      <c r="U115">
        <v>58.5</v>
      </c>
      <c r="V115">
        <v>39</v>
      </c>
      <c r="W115">
        <v>189.7</v>
      </c>
      <c r="X115">
        <v>29</v>
      </c>
      <c r="AP115" s="75" t="s">
        <v>47</v>
      </c>
      <c r="AQ115" t="s">
        <v>26</v>
      </c>
      <c r="AR115">
        <v>61.5</v>
      </c>
      <c r="AS115">
        <v>52</v>
      </c>
      <c r="AT115">
        <v>11.3</v>
      </c>
      <c r="AU115">
        <v>52</v>
      </c>
      <c r="AV115">
        <v>58.5</v>
      </c>
      <c r="AW115">
        <v>39</v>
      </c>
      <c r="AX115">
        <v>189.7</v>
      </c>
      <c r="AY115">
        <v>29</v>
      </c>
      <c r="AZ115">
        <v>9</v>
      </c>
      <c r="BA115">
        <v>55</v>
      </c>
    </row>
    <row r="116" spans="1:53" ht="15" x14ac:dyDescent="0.35">
      <c r="A116" s="75"/>
      <c r="M116" s="72"/>
      <c r="AC116" s="35" t="s">
        <v>47</v>
      </c>
      <c r="AD116" t="s">
        <v>26</v>
      </c>
      <c r="AE116">
        <v>11.3</v>
      </c>
      <c r="AF116">
        <v>52</v>
      </c>
      <c r="AG116">
        <v>58.5</v>
      </c>
      <c r="AH116">
        <v>39</v>
      </c>
      <c r="AI116">
        <v>189.7</v>
      </c>
      <c r="AJ116">
        <v>29</v>
      </c>
      <c r="AK116">
        <v>8.9</v>
      </c>
      <c r="AL116">
        <v>55</v>
      </c>
      <c r="AM116">
        <v>92.6</v>
      </c>
      <c r="AN116">
        <v>36</v>
      </c>
      <c r="AP116" s="74"/>
    </row>
    <row r="117" spans="1:53" ht="15" x14ac:dyDescent="0.25">
      <c r="A117" s="75"/>
      <c r="M117" s="72" t="s">
        <v>44</v>
      </c>
      <c r="N117" t="s">
        <v>26</v>
      </c>
      <c r="O117">
        <v>19.8</v>
      </c>
      <c r="P117">
        <v>55</v>
      </c>
      <c r="Q117">
        <v>52.9</v>
      </c>
      <c r="R117">
        <v>54</v>
      </c>
      <c r="S117">
        <v>0</v>
      </c>
      <c r="T117">
        <v>0</v>
      </c>
      <c r="U117">
        <v>0.2</v>
      </c>
      <c r="V117">
        <v>70</v>
      </c>
      <c r="W117">
        <v>4.8</v>
      </c>
      <c r="X117">
        <v>75</v>
      </c>
      <c r="AP117" s="75" t="s">
        <v>49</v>
      </c>
      <c r="AQ117" t="s">
        <v>26</v>
      </c>
      <c r="AR117">
        <v>61</v>
      </c>
      <c r="AS117">
        <v>53</v>
      </c>
      <c r="AT117">
        <v>43.3</v>
      </c>
      <c r="AU117">
        <v>42</v>
      </c>
      <c r="AV117">
        <v>52.7</v>
      </c>
      <c r="AW117">
        <v>42</v>
      </c>
      <c r="AX117">
        <v>152.1</v>
      </c>
      <c r="AY117">
        <v>33</v>
      </c>
      <c r="AZ117">
        <v>18.899999999999999</v>
      </c>
      <c r="BA117">
        <v>51</v>
      </c>
    </row>
    <row r="118" spans="1:53" ht="15" x14ac:dyDescent="0.35">
      <c r="A118" s="75"/>
      <c r="M118" s="72"/>
      <c r="AC118" s="35" t="s">
        <v>97</v>
      </c>
      <c r="AD118" t="s">
        <v>26</v>
      </c>
      <c r="AE118">
        <v>11.2</v>
      </c>
      <c r="AF118">
        <v>53</v>
      </c>
      <c r="AG118">
        <v>18.7</v>
      </c>
      <c r="AH118">
        <v>52</v>
      </c>
      <c r="AI118">
        <v>19</v>
      </c>
      <c r="AJ118">
        <v>59</v>
      </c>
      <c r="AK118">
        <v>23.4</v>
      </c>
      <c r="AL118">
        <v>46</v>
      </c>
      <c r="AM118">
        <v>21.9</v>
      </c>
      <c r="AN118">
        <v>49</v>
      </c>
      <c r="AP118" s="74"/>
    </row>
    <row r="119" spans="1:53" ht="15" x14ac:dyDescent="0.25">
      <c r="A119" s="75"/>
      <c r="M119" s="72" t="s">
        <v>92</v>
      </c>
      <c r="N119" t="s">
        <v>26</v>
      </c>
      <c r="O119">
        <v>19.600000000000001</v>
      </c>
      <c r="P119">
        <v>56</v>
      </c>
      <c r="Q119">
        <v>0</v>
      </c>
      <c r="R119">
        <v>0</v>
      </c>
      <c r="S119">
        <v>14.2</v>
      </c>
      <c r="T119">
        <v>51</v>
      </c>
      <c r="U119">
        <v>4.7</v>
      </c>
      <c r="V119">
        <v>63</v>
      </c>
      <c r="W119">
        <v>0</v>
      </c>
      <c r="X119">
        <v>0</v>
      </c>
      <c r="AP119" s="75" t="s">
        <v>44</v>
      </c>
      <c r="AQ119" t="s">
        <v>26</v>
      </c>
      <c r="AR119">
        <v>52.9</v>
      </c>
      <c r="AS119">
        <v>54</v>
      </c>
      <c r="AT119">
        <v>0</v>
      </c>
      <c r="AU119">
        <v>0</v>
      </c>
      <c r="AV119">
        <v>0.2</v>
      </c>
      <c r="AW119">
        <v>70</v>
      </c>
      <c r="AX119">
        <v>4.8</v>
      </c>
      <c r="AY119">
        <v>75</v>
      </c>
      <c r="AZ119">
        <v>0</v>
      </c>
      <c r="BA119">
        <v>0</v>
      </c>
    </row>
    <row r="120" spans="1:53" ht="15" x14ac:dyDescent="0.35">
      <c r="A120" s="75"/>
      <c r="M120" s="72"/>
      <c r="AC120" s="35" t="s">
        <v>90</v>
      </c>
      <c r="AD120" t="s">
        <v>26</v>
      </c>
      <c r="AE120">
        <v>10.9</v>
      </c>
      <c r="AF120">
        <v>54</v>
      </c>
      <c r="AG120">
        <v>16.100000000000001</v>
      </c>
      <c r="AH120">
        <v>54</v>
      </c>
      <c r="AI120">
        <v>23.4</v>
      </c>
      <c r="AJ120">
        <v>57</v>
      </c>
      <c r="AK120">
        <v>70.7</v>
      </c>
      <c r="AL120">
        <v>36</v>
      </c>
      <c r="AM120">
        <v>66.8</v>
      </c>
      <c r="AN120">
        <v>39</v>
      </c>
      <c r="AP120" s="74"/>
    </row>
    <row r="121" spans="1:53" ht="15" x14ac:dyDescent="0.25">
      <c r="A121" s="75"/>
      <c r="M121" s="72" t="s">
        <v>91</v>
      </c>
      <c r="N121" t="s">
        <v>26</v>
      </c>
      <c r="O121">
        <v>19.600000000000001</v>
      </c>
      <c r="P121">
        <v>57</v>
      </c>
      <c r="Q121">
        <v>142.80000000000001</v>
      </c>
      <c r="R121">
        <v>35</v>
      </c>
      <c r="S121">
        <v>25.3</v>
      </c>
      <c r="T121">
        <v>48</v>
      </c>
      <c r="U121">
        <v>0</v>
      </c>
      <c r="V121">
        <v>0</v>
      </c>
      <c r="W121">
        <v>4.7</v>
      </c>
      <c r="X121">
        <v>76</v>
      </c>
      <c r="AP121" s="75" t="s">
        <v>116</v>
      </c>
      <c r="AQ121" t="s">
        <v>26</v>
      </c>
      <c r="AR121">
        <v>44.2</v>
      </c>
      <c r="AS121">
        <v>55</v>
      </c>
      <c r="AT121">
        <v>7.5</v>
      </c>
      <c r="AU121">
        <v>55</v>
      </c>
      <c r="AV121">
        <v>0</v>
      </c>
      <c r="AW121">
        <v>0</v>
      </c>
      <c r="AX121">
        <v>14.7</v>
      </c>
      <c r="AY121">
        <v>63</v>
      </c>
      <c r="AZ121">
        <v>25.3</v>
      </c>
      <c r="BA121">
        <v>44</v>
      </c>
    </row>
    <row r="122" spans="1:53" ht="15" x14ac:dyDescent="0.35">
      <c r="A122" s="75"/>
      <c r="M122" s="72"/>
      <c r="AC122" s="35" t="s">
        <v>116</v>
      </c>
      <c r="AD122" t="s">
        <v>26</v>
      </c>
      <c r="AE122">
        <v>7.5</v>
      </c>
      <c r="AF122">
        <v>55</v>
      </c>
      <c r="AG122">
        <v>0</v>
      </c>
      <c r="AH122">
        <v>0</v>
      </c>
      <c r="AI122">
        <v>14.7</v>
      </c>
      <c r="AJ122">
        <v>63</v>
      </c>
      <c r="AK122">
        <v>25.3</v>
      </c>
      <c r="AL122">
        <v>44</v>
      </c>
      <c r="AM122">
        <v>20.8</v>
      </c>
      <c r="AN122">
        <v>50</v>
      </c>
      <c r="AP122" s="74"/>
    </row>
    <row r="123" spans="1:53" ht="15" x14ac:dyDescent="0.25">
      <c r="A123" s="75"/>
      <c r="M123" s="72" t="s">
        <v>68</v>
      </c>
      <c r="N123" t="s">
        <v>26</v>
      </c>
      <c r="O123">
        <v>17.7</v>
      </c>
      <c r="P123">
        <v>58</v>
      </c>
      <c r="Q123">
        <v>14.3</v>
      </c>
      <c r="R123">
        <v>65</v>
      </c>
      <c r="S123">
        <v>5.2</v>
      </c>
      <c r="T123">
        <v>57</v>
      </c>
      <c r="U123">
        <v>20.3</v>
      </c>
      <c r="V123">
        <v>49</v>
      </c>
      <c r="W123">
        <v>25.8</v>
      </c>
      <c r="X123">
        <v>56</v>
      </c>
      <c r="AP123" s="75" t="s">
        <v>106</v>
      </c>
      <c r="AQ123" t="s">
        <v>26</v>
      </c>
      <c r="AR123">
        <v>37.5</v>
      </c>
      <c r="AS123">
        <v>56</v>
      </c>
      <c r="AT123">
        <v>26.1</v>
      </c>
      <c r="AU123">
        <v>47</v>
      </c>
      <c r="AV123">
        <v>40.5</v>
      </c>
      <c r="AW123">
        <v>45</v>
      </c>
      <c r="AX123">
        <v>38.799999999999997</v>
      </c>
      <c r="AY123">
        <v>52</v>
      </c>
      <c r="AZ123">
        <v>42.6</v>
      </c>
      <c r="BA123">
        <v>41</v>
      </c>
    </row>
    <row r="124" spans="1:53" ht="15" x14ac:dyDescent="0.35">
      <c r="A124" s="75"/>
      <c r="M124" s="72"/>
      <c r="AC124" s="35" t="s">
        <v>78</v>
      </c>
      <c r="AD124" t="s">
        <v>26</v>
      </c>
      <c r="AE124">
        <v>7.3</v>
      </c>
      <c r="AF124">
        <v>56</v>
      </c>
      <c r="AG124">
        <v>15.5</v>
      </c>
      <c r="AH124">
        <v>56</v>
      </c>
      <c r="AI124">
        <v>20.5</v>
      </c>
      <c r="AJ124">
        <v>58</v>
      </c>
      <c r="AK124">
        <v>29.8</v>
      </c>
      <c r="AL124">
        <v>42</v>
      </c>
      <c r="AM124">
        <v>27.1</v>
      </c>
      <c r="AN124">
        <v>46</v>
      </c>
      <c r="AP124" s="74"/>
    </row>
    <row r="125" spans="1:53" ht="15" x14ac:dyDescent="0.25">
      <c r="A125" s="75"/>
      <c r="M125" s="72" t="s">
        <v>97</v>
      </c>
      <c r="N125" t="s">
        <v>26</v>
      </c>
      <c r="O125">
        <v>17.2</v>
      </c>
      <c r="P125">
        <v>59</v>
      </c>
      <c r="Q125">
        <v>17.600000000000001</v>
      </c>
      <c r="R125">
        <v>61</v>
      </c>
      <c r="S125">
        <v>11.2</v>
      </c>
      <c r="T125">
        <v>53</v>
      </c>
      <c r="U125">
        <v>18.7</v>
      </c>
      <c r="V125">
        <v>52</v>
      </c>
      <c r="W125">
        <v>19.100000000000001</v>
      </c>
      <c r="X125">
        <v>59</v>
      </c>
      <c r="AP125" s="75" t="s">
        <v>72</v>
      </c>
      <c r="AQ125" t="s">
        <v>26</v>
      </c>
      <c r="AR125">
        <v>27.5</v>
      </c>
      <c r="AS125">
        <v>57</v>
      </c>
      <c r="AT125">
        <v>118.6</v>
      </c>
      <c r="AU125">
        <v>32</v>
      </c>
      <c r="AV125">
        <v>339.4</v>
      </c>
      <c r="AW125">
        <v>23</v>
      </c>
      <c r="AX125">
        <v>500</v>
      </c>
      <c r="AY125">
        <v>19</v>
      </c>
      <c r="AZ125">
        <v>263.2</v>
      </c>
      <c r="BA125">
        <v>18</v>
      </c>
    </row>
    <row r="126" spans="1:53" ht="15" x14ac:dyDescent="0.35">
      <c r="A126" s="75"/>
      <c r="M126" s="72"/>
      <c r="AC126" s="35" t="s">
        <v>68</v>
      </c>
      <c r="AD126" t="s">
        <v>26</v>
      </c>
      <c r="AE126">
        <v>5.2</v>
      </c>
      <c r="AF126">
        <v>57</v>
      </c>
      <c r="AG126">
        <v>20.3</v>
      </c>
      <c r="AH126">
        <v>49</v>
      </c>
      <c r="AI126">
        <v>25.8</v>
      </c>
      <c r="AJ126">
        <v>56</v>
      </c>
      <c r="AK126">
        <v>24.1</v>
      </c>
      <c r="AL126">
        <v>45</v>
      </c>
      <c r="AM126">
        <v>25.8</v>
      </c>
      <c r="AN126">
        <v>48</v>
      </c>
      <c r="AP126" s="74"/>
    </row>
    <row r="127" spans="1:53" ht="15" x14ac:dyDescent="0.25">
      <c r="A127" s="75"/>
      <c r="M127" s="72" t="s">
        <v>169</v>
      </c>
      <c r="N127" t="s">
        <v>26</v>
      </c>
      <c r="O127">
        <v>11.5</v>
      </c>
      <c r="P127">
        <v>60</v>
      </c>
      <c r="Q127">
        <v>15.5</v>
      </c>
      <c r="R127">
        <v>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P127" s="75" t="s">
        <v>46</v>
      </c>
      <c r="AQ127" t="s">
        <v>26</v>
      </c>
      <c r="AR127">
        <v>27.2</v>
      </c>
      <c r="AS127">
        <v>58</v>
      </c>
      <c r="AT127">
        <v>22.5</v>
      </c>
      <c r="AU127">
        <v>50</v>
      </c>
      <c r="AV127">
        <v>0</v>
      </c>
      <c r="AW127">
        <v>0</v>
      </c>
      <c r="AX127">
        <v>97.6</v>
      </c>
      <c r="AY127">
        <v>42</v>
      </c>
      <c r="AZ127">
        <v>4</v>
      </c>
      <c r="BA127">
        <v>60</v>
      </c>
    </row>
    <row r="128" spans="1:53" ht="15" x14ac:dyDescent="0.35">
      <c r="A128" s="75"/>
      <c r="M128" s="72"/>
      <c r="AC128" s="35" t="s">
        <v>54</v>
      </c>
      <c r="AD128" t="s">
        <v>26</v>
      </c>
      <c r="AE128">
        <v>4.8</v>
      </c>
      <c r="AF128">
        <v>58</v>
      </c>
      <c r="AG128">
        <v>5.2</v>
      </c>
      <c r="AH128">
        <v>62</v>
      </c>
      <c r="AI128">
        <v>5.7</v>
      </c>
      <c r="AJ128">
        <v>73</v>
      </c>
      <c r="AK128">
        <v>6.3</v>
      </c>
      <c r="AL128">
        <v>56</v>
      </c>
      <c r="AM128">
        <v>7.1</v>
      </c>
      <c r="AN128">
        <v>59</v>
      </c>
      <c r="AP128" s="74"/>
    </row>
    <row r="129" spans="1:53" ht="15" x14ac:dyDescent="0.25">
      <c r="A129" s="75"/>
      <c r="M129" s="72" t="s">
        <v>87</v>
      </c>
      <c r="N129" t="s">
        <v>26</v>
      </c>
      <c r="O129">
        <v>6.3</v>
      </c>
      <c r="P129">
        <v>61</v>
      </c>
      <c r="Q129">
        <v>14.7</v>
      </c>
      <c r="R129">
        <v>64</v>
      </c>
      <c r="S129">
        <v>2.5</v>
      </c>
      <c r="T129">
        <v>60</v>
      </c>
      <c r="U129">
        <v>0</v>
      </c>
      <c r="V129">
        <v>0</v>
      </c>
      <c r="W129">
        <v>101.6</v>
      </c>
      <c r="X129">
        <v>41</v>
      </c>
      <c r="AP129" s="75" t="s">
        <v>177</v>
      </c>
      <c r="AQ129" t="s">
        <v>26</v>
      </c>
      <c r="AR129">
        <v>26</v>
      </c>
      <c r="AS129">
        <v>59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ht="15" x14ac:dyDescent="0.35">
      <c r="A130" s="75"/>
      <c r="M130" s="72"/>
      <c r="AC130" s="35" t="s">
        <v>96</v>
      </c>
      <c r="AD130" t="s">
        <v>26</v>
      </c>
      <c r="AE130">
        <v>3.9</v>
      </c>
      <c r="AF130">
        <v>59</v>
      </c>
      <c r="AG130">
        <v>6.2</v>
      </c>
      <c r="AH130">
        <v>60</v>
      </c>
      <c r="AI130">
        <v>9.6999999999999993</v>
      </c>
      <c r="AJ130">
        <v>68</v>
      </c>
      <c r="AK130">
        <v>0</v>
      </c>
      <c r="AL130">
        <v>0</v>
      </c>
      <c r="AM130">
        <v>7.1</v>
      </c>
      <c r="AN130">
        <v>60</v>
      </c>
      <c r="AP130" s="74"/>
    </row>
    <row r="131" spans="1:53" ht="15" x14ac:dyDescent="0.25">
      <c r="A131" s="75"/>
      <c r="M131" s="72" t="s">
        <v>96</v>
      </c>
      <c r="N131" t="s">
        <v>26</v>
      </c>
      <c r="O131">
        <v>6.1</v>
      </c>
      <c r="P131">
        <v>62</v>
      </c>
      <c r="Q131">
        <v>8.9</v>
      </c>
      <c r="R131">
        <v>66</v>
      </c>
      <c r="S131">
        <v>3.9</v>
      </c>
      <c r="T131">
        <v>59</v>
      </c>
      <c r="U131">
        <v>6.2</v>
      </c>
      <c r="V131">
        <v>60</v>
      </c>
      <c r="W131">
        <v>9.6999999999999993</v>
      </c>
      <c r="X131">
        <v>68</v>
      </c>
      <c r="AP131" s="75" t="s">
        <v>88</v>
      </c>
      <c r="AQ131" t="s">
        <v>26</v>
      </c>
      <c r="AR131">
        <v>18.399999999999999</v>
      </c>
      <c r="AS131">
        <v>60</v>
      </c>
      <c r="AT131">
        <v>2.2999999999999998</v>
      </c>
      <c r="AU131">
        <v>61</v>
      </c>
      <c r="AV131">
        <v>19.100000000000001</v>
      </c>
      <c r="AW131">
        <v>51</v>
      </c>
      <c r="AX131">
        <v>16.5</v>
      </c>
      <c r="AY131">
        <v>61</v>
      </c>
      <c r="AZ131">
        <v>0</v>
      </c>
      <c r="BA131">
        <v>0</v>
      </c>
    </row>
    <row r="132" spans="1:53" ht="15" x14ac:dyDescent="0.35">
      <c r="A132" s="75"/>
      <c r="M132" s="72"/>
      <c r="AC132" s="35" t="s">
        <v>87</v>
      </c>
      <c r="AD132" t="s">
        <v>26</v>
      </c>
      <c r="AE132">
        <v>2.5</v>
      </c>
      <c r="AF132">
        <v>60</v>
      </c>
      <c r="AG132">
        <v>0</v>
      </c>
      <c r="AH132">
        <v>0</v>
      </c>
      <c r="AI132">
        <v>101.6</v>
      </c>
      <c r="AJ132">
        <v>41</v>
      </c>
      <c r="AK132">
        <v>0</v>
      </c>
      <c r="AL132">
        <v>0</v>
      </c>
      <c r="AM132">
        <v>8.4</v>
      </c>
      <c r="AN132">
        <v>57</v>
      </c>
      <c r="AP132" s="74"/>
    </row>
    <row r="133" spans="1:53" ht="15" x14ac:dyDescent="0.25">
      <c r="A133" s="75"/>
      <c r="M133" s="72" t="s">
        <v>54</v>
      </c>
      <c r="N133" t="s">
        <v>26</v>
      </c>
      <c r="O133">
        <v>5.6</v>
      </c>
      <c r="P133">
        <v>63</v>
      </c>
      <c r="Q133">
        <v>5.2</v>
      </c>
      <c r="R133">
        <v>68</v>
      </c>
      <c r="S133">
        <v>4.8</v>
      </c>
      <c r="T133">
        <v>58</v>
      </c>
      <c r="U133">
        <v>5.2</v>
      </c>
      <c r="V133">
        <v>62</v>
      </c>
      <c r="W133">
        <v>5.7</v>
      </c>
      <c r="X133">
        <v>73</v>
      </c>
      <c r="AP133" s="75" t="s">
        <v>97</v>
      </c>
      <c r="AQ133" t="s">
        <v>26</v>
      </c>
      <c r="AR133">
        <v>17.600000000000001</v>
      </c>
      <c r="AS133">
        <v>61</v>
      </c>
      <c r="AT133">
        <v>11.2</v>
      </c>
      <c r="AU133">
        <v>53</v>
      </c>
      <c r="AV133">
        <v>18.7</v>
      </c>
      <c r="AW133">
        <v>52</v>
      </c>
      <c r="AX133">
        <v>19.100000000000001</v>
      </c>
      <c r="AY133">
        <v>59</v>
      </c>
      <c r="AZ133">
        <v>23.4</v>
      </c>
      <c r="BA133">
        <v>46</v>
      </c>
    </row>
    <row r="134" spans="1:53" ht="15" x14ac:dyDescent="0.35">
      <c r="A134" s="75"/>
      <c r="M134" s="72"/>
      <c r="AC134" s="35" t="s">
        <v>88</v>
      </c>
      <c r="AD134" t="s">
        <v>26</v>
      </c>
      <c r="AE134">
        <v>2.2999999999999998</v>
      </c>
      <c r="AF134">
        <v>61</v>
      </c>
      <c r="AG134">
        <v>19</v>
      </c>
      <c r="AH134">
        <v>51</v>
      </c>
      <c r="AI134">
        <v>16.5</v>
      </c>
      <c r="AJ134">
        <v>61</v>
      </c>
      <c r="AK134">
        <v>0</v>
      </c>
      <c r="AL134">
        <v>0</v>
      </c>
      <c r="AM134">
        <v>15.7</v>
      </c>
      <c r="AN134">
        <v>54</v>
      </c>
      <c r="AP134" s="74"/>
    </row>
    <row r="135" spans="1:53" ht="15" x14ac:dyDescent="0.25">
      <c r="A135" s="75"/>
      <c r="M135" s="72" t="s">
        <v>88</v>
      </c>
      <c r="N135" t="s">
        <v>26</v>
      </c>
      <c r="O135">
        <v>2.5</v>
      </c>
      <c r="P135">
        <v>64</v>
      </c>
      <c r="Q135">
        <v>18.399999999999999</v>
      </c>
      <c r="R135">
        <v>60</v>
      </c>
      <c r="S135">
        <v>2.2999999999999998</v>
      </c>
      <c r="T135">
        <v>61</v>
      </c>
      <c r="U135">
        <v>19.100000000000001</v>
      </c>
      <c r="V135">
        <v>51</v>
      </c>
      <c r="W135">
        <v>16.5</v>
      </c>
      <c r="X135">
        <v>61</v>
      </c>
      <c r="AP135" s="75" t="s">
        <v>90</v>
      </c>
      <c r="AQ135" t="s">
        <v>26</v>
      </c>
      <c r="AR135">
        <v>16.100000000000001</v>
      </c>
      <c r="AS135">
        <v>62</v>
      </c>
      <c r="AT135">
        <v>10.9</v>
      </c>
      <c r="AU135">
        <v>54</v>
      </c>
      <c r="AV135">
        <v>16.100000000000001</v>
      </c>
      <c r="AW135">
        <v>54</v>
      </c>
      <c r="AX135">
        <v>23.4</v>
      </c>
      <c r="AY135">
        <v>57</v>
      </c>
      <c r="AZ135">
        <v>70.7</v>
      </c>
      <c r="BA135">
        <v>36</v>
      </c>
    </row>
    <row r="136" spans="1:53" ht="15" x14ac:dyDescent="0.35">
      <c r="A136" s="75"/>
      <c r="M136" s="72"/>
      <c r="AC136" s="35" t="s">
        <v>61</v>
      </c>
      <c r="AD136" t="s">
        <v>26</v>
      </c>
      <c r="AE136">
        <v>0</v>
      </c>
      <c r="AF136">
        <v>0</v>
      </c>
      <c r="AG136">
        <v>59.3</v>
      </c>
      <c r="AH136">
        <v>37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P136" s="74"/>
    </row>
    <row r="137" spans="1:53" ht="15" x14ac:dyDescent="0.25">
      <c r="A137" s="75"/>
      <c r="M137" s="72" t="s">
        <v>79</v>
      </c>
      <c r="N137" t="s">
        <v>26</v>
      </c>
      <c r="O137">
        <v>1.3</v>
      </c>
      <c r="P137">
        <v>65</v>
      </c>
      <c r="Q137">
        <v>0</v>
      </c>
      <c r="R137">
        <v>0</v>
      </c>
      <c r="S137">
        <v>0</v>
      </c>
      <c r="T137">
        <v>0</v>
      </c>
      <c r="U137">
        <v>2.2000000000000002</v>
      </c>
      <c r="V137">
        <v>68</v>
      </c>
      <c r="W137">
        <v>30.7</v>
      </c>
      <c r="X137">
        <v>54</v>
      </c>
      <c r="AP137" s="75" t="s">
        <v>169</v>
      </c>
      <c r="AQ137" t="s">
        <v>26</v>
      </c>
      <c r="AR137">
        <v>15.5</v>
      </c>
      <c r="AS137">
        <v>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ht="15" x14ac:dyDescent="0.35">
      <c r="A138" s="75"/>
      <c r="M138" s="72"/>
      <c r="AC138" s="35" t="s">
        <v>93</v>
      </c>
      <c r="AD138" t="s">
        <v>26</v>
      </c>
      <c r="AE138">
        <v>0</v>
      </c>
      <c r="AF138">
        <v>0</v>
      </c>
      <c r="AG138">
        <v>26</v>
      </c>
      <c r="AH138">
        <v>47</v>
      </c>
      <c r="AI138">
        <v>26.1</v>
      </c>
      <c r="AJ138">
        <v>55</v>
      </c>
      <c r="AK138">
        <v>0</v>
      </c>
      <c r="AL138">
        <v>0</v>
      </c>
      <c r="AM138">
        <v>0</v>
      </c>
      <c r="AN138">
        <v>0</v>
      </c>
      <c r="AP138" s="74"/>
    </row>
    <row r="139" spans="1:53" ht="15" x14ac:dyDescent="0.25">
      <c r="A139" s="75"/>
      <c r="M139" s="72" t="s">
        <v>50</v>
      </c>
      <c r="N139" t="s">
        <v>26</v>
      </c>
      <c r="O139">
        <v>0.5</v>
      </c>
      <c r="P139">
        <v>66</v>
      </c>
      <c r="Q139">
        <v>0</v>
      </c>
      <c r="R139">
        <v>0</v>
      </c>
      <c r="S139">
        <v>0</v>
      </c>
      <c r="T139">
        <v>0</v>
      </c>
      <c r="U139">
        <v>9.1999999999999993</v>
      </c>
      <c r="V139">
        <v>58</v>
      </c>
      <c r="W139">
        <v>18.7</v>
      </c>
      <c r="X139">
        <v>60</v>
      </c>
      <c r="AP139" s="75" t="s">
        <v>87</v>
      </c>
      <c r="AQ139" t="s">
        <v>26</v>
      </c>
      <c r="AR139">
        <v>14.7</v>
      </c>
      <c r="AS139">
        <v>64</v>
      </c>
      <c r="AT139">
        <v>2.5</v>
      </c>
      <c r="AU139">
        <v>60</v>
      </c>
      <c r="AV139">
        <v>0</v>
      </c>
      <c r="AW139">
        <v>0</v>
      </c>
      <c r="AX139">
        <v>101.6</v>
      </c>
      <c r="AY139">
        <v>41</v>
      </c>
      <c r="AZ139">
        <v>0</v>
      </c>
      <c r="BA139">
        <v>0</v>
      </c>
    </row>
    <row r="140" spans="1:53" ht="15" x14ac:dyDescent="0.35">
      <c r="A140" s="75"/>
      <c r="M140" s="72"/>
      <c r="AC140" s="35" t="s">
        <v>86</v>
      </c>
      <c r="AD140" t="s">
        <v>26</v>
      </c>
      <c r="AE140">
        <v>0</v>
      </c>
      <c r="AF140">
        <v>0</v>
      </c>
      <c r="AG140">
        <v>17.399999999999999</v>
      </c>
      <c r="AH140">
        <v>53</v>
      </c>
      <c r="AI140">
        <v>16.5</v>
      </c>
      <c r="AJ140">
        <v>62</v>
      </c>
      <c r="AK140">
        <v>0</v>
      </c>
      <c r="AL140">
        <v>0</v>
      </c>
      <c r="AM140">
        <v>34.1</v>
      </c>
      <c r="AN140">
        <v>45</v>
      </c>
      <c r="AP140" s="74"/>
    </row>
    <row r="141" spans="1:53" ht="15" x14ac:dyDescent="0.25">
      <c r="A141" s="75"/>
      <c r="M141" s="72" t="s">
        <v>51</v>
      </c>
      <c r="N141" t="s">
        <v>26</v>
      </c>
      <c r="O141">
        <v>0</v>
      </c>
      <c r="P141">
        <v>0</v>
      </c>
      <c r="Q141">
        <v>928.8</v>
      </c>
      <c r="R141">
        <v>8</v>
      </c>
      <c r="S141">
        <v>38</v>
      </c>
      <c r="T141">
        <v>44</v>
      </c>
      <c r="U141">
        <v>56.1</v>
      </c>
      <c r="V141">
        <v>41</v>
      </c>
      <c r="W141">
        <v>45.7</v>
      </c>
      <c r="X141">
        <v>49</v>
      </c>
      <c r="AP141" s="75" t="s">
        <v>68</v>
      </c>
      <c r="AQ141" t="s">
        <v>26</v>
      </c>
      <c r="AR141">
        <v>14.3</v>
      </c>
      <c r="AS141">
        <v>65</v>
      </c>
      <c r="AT141">
        <v>5.2</v>
      </c>
      <c r="AU141">
        <v>57</v>
      </c>
      <c r="AV141">
        <v>20.3</v>
      </c>
      <c r="AW141">
        <v>49</v>
      </c>
      <c r="AX141">
        <v>25.8</v>
      </c>
      <c r="AY141">
        <v>56</v>
      </c>
      <c r="AZ141">
        <v>24.1</v>
      </c>
      <c r="BA141">
        <v>45</v>
      </c>
    </row>
    <row r="142" spans="1:53" ht="15" x14ac:dyDescent="0.35">
      <c r="A142" s="75"/>
      <c r="M142" s="72"/>
      <c r="AC142" s="35" t="s">
        <v>81</v>
      </c>
      <c r="AD142" t="s">
        <v>26</v>
      </c>
      <c r="AE142">
        <v>0</v>
      </c>
      <c r="AF142">
        <v>0</v>
      </c>
      <c r="AG142">
        <v>15.7</v>
      </c>
      <c r="AH142">
        <v>55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P142" s="74"/>
    </row>
    <row r="143" spans="1:53" ht="15" x14ac:dyDescent="0.25">
      <c r="A143" s="75"/>
      <c r="M143" s="72" t="s">
        <v>66</v>
      </c>
      <c r="N143" t="s">
        <v>26</v>
      </c>
      <c r="O143">
        <v>0</v>
      </c>
      <c r="P143">
        <v>0</v>
      </c>
      <c r="Q143">
        <v>334.3</v>
      </c>
      <c r="R143">
        <v>26</v>
      </c>
      <c r="S143">
        <v>427.9</v>
      </c>
      <c r="T143">
        <v>15</v>
      </c>
      <c r="U143">
        <v>19.600000000000001</v>
      </c>
      <c r="V143">
        <v>50</v>
      </c>
      <c r="W143">
        <v>834.6</v>
      </c>
      <c r="X143">
        <v>14</v>
      </c>
      <c r="AP143" s="75" t="s">
        <v>96</v>
      </c>
      <c r="AQ143" t="s">
        <v>26</v>
      </c>
      <c r="AR143">
        <v>8.9</v>
      </c>
      <c r="AS143">
        <v>66</v>
      </c>
      <c r="AT143">
        <v>3.9</v>
      </c>
      <c r="AU143">
        <v>59</v>
      </c>
      <c r="AV143">
        <v>6.2</v>
      </c>
      <c r="AW143">
        <v>60</v>
      </c>
      <c r="AX143">
        <v>9.6999999999999993</v>
      </c>
      <c r="AY143">
        <v>68</v>
      </c>
      <c r="AZ143">
        <v>0</v>
      </c>
      <c r="BA143">
        <v>0</v>
      </c>
    </row>
    <row r="144" spans="1:53" ht="15" x14ac:dyDescent="0.35">
      <c r="A144" s="75"/>
      <c r="M144" s="72"/>
      <c r="AC144" s="35" t="s">
        <v>50</v>
      </c>
      <c r="AD144" t="s">
        <v>26</v>
      </c>
      <c r="AE144">
        <v>0</v>
      </c>
      <c r="AF144">
        <v>0</v>
      </c>
      <c r="AG144">
        <v>9.1999999999999993</v>
      </c>
      <c r="AH144">
        <v>58</v>
      </c>
      <c r="AI144">
        <v>18.7</v>
      </c>
      <c r="AJ144">
        <v>60</v>
      </c>
      <c r="AK144">
        <v>0</v>
      </c>
      <c r="AL144">
        <v>0</v>
      </c>
      <c r="AM144">
        <v>16.399999999999999</v>
      </c>
      <c r="AN144">
        <v>53</v>
      </c>
      <c r="AP144" s="74"/>
    </row>
    <row r="145" spans="1:53" ht="15" x14ac:dyDescent="0.25">
      <c r="A145" s="75"/>
      <c r="M145" s="72" t="s">
        <v>175</v>
      </c>
      <c r="N145" t="s">
        <v>26</v>
      </c>
      <c r="O145">
        <v>0</v>
      </c>
      <c r="P145">
        <v>0</v>
      </c>
      <c r="Q145">
        <v>104.9</v>
      </c>
      <c r="R145">
        <v>42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P145" s="75" t="s">
        <v>86</v>
      </c>
      <c r="AQ145" t="s">
        <v>26</v>
      </c>
      <c r="AR145">
        <v>7.4</v>
      </c>
      <c r="AS145">
        <v>67</v>
      </c>
      <c r="AT145">
        <v>0</v>
      </c>
      <c r="AU145">
        <v>0</v>
      </c>
      <c r="AV145">
        <v>17.399999999999999</v>
      </c>
      <c r="AW145">
        <v>53</v>
      </c>
      <c r="AX145">
        <v>16.5</v>
      </c>
      <c r="AY145">
        <v>62</v>
      </c>
      <c r="AZ145">
        <v>0</v>
      </c>
      <c r="BA145">
        <v>0</v>
      </c>
    </row>
    <row r="146" spans="1:53" ht="15" x14ac:dyDescent="0.35">
      <c r="A146" s="75"/>
      <c r="M146" s="72"/>
      <c r="AC146" s="35" t="s">
        <v>102</v>
      </c>
      <c r="AD146" t="s">
        <v>26</v>
      </c>
      <c r="AE146">
        <v>0</v>
      </c>
      <c r="AF146">
        <v>0</v>
      </c>
      <c r="AG146">
        <v>6.1</v>
      </c>
      <c r="AH146">
        <v>61</v>
      </c>
      <c r="AI146">
        <v>0</v>
      </c>
      <c r="AJ146">
        <v>0</v>
      </c>
      <c r="AK146">
        <v>1.1000000000000001</v>
      </c>
      <c r="AL146">
        <v>64</v>
      </c>
      <c r="AM146">
        <v>27</v>
      </c>
      <c r="AN146">
        <v>47</v>
      </c>
      <c r="AP146" s="74"/>
    </row>
    <row r="147" spans="1:53" ht="15" x14ac:dyDescent="0.25">
      <c r="A147" s="75"/>
      <c r="M147" s="72" t="s">
        <v>174</v>
      </c>
      <c r="N147" t="s">
        <v>26</v>
      </c>
      <c r="O147">
        <v>0</v>
      </c>
      <c r="P147">
        <v>0</v>
      </c>
      <c r="Q147">
        <v>75.400000000000006</v>
      </c>
      <c r="R147">
        <v>48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AP147" s="75" t="s">
        <v>54</v>
      </c>
      <c r="AQ147" t="s">
        <v>26</v>
      </c>
      <c r="AR147">
        <v>5.2</v>
      </c>
      <c r="AS147">
        <v>68</v>
      </c>
      <c r="AT147">
        <v>4.8</v>
      </c>
      <c r="AU147">
        <v>58</v>
      </c>
      <c r="AV147">
        <v>5.2</v>
      </c>
      <c r="AW147">
        <v>62</v>
      </c>
      <c r="AX147">
        <v>5.7</v>
      </c>
      <c r="AY147">
        <v>73</v>
      </c>
      <c r="AZ147">
        <v>6.3</v>
      </c>
      <c r="BA147">
        <v>56</v>
      </c>
    </row>
    <row r="148" spans="1:53" ht="15" x14ac:dyDescent="0.35">
      <c r="A148" s="75"/>
      <c r="M148" s="72"/>
      <c r="AC148" s="35" t="s">
        <v>80</v>
      </c>
      <c r="AD148" t="s">
        <v>26</v>
      </c>
      <c r="AE148">
        <v>0</v>
      </c>
      <c r="AF148">
        <v>0</v>
      </c>
      <c r="AG148">
        <v>3.2</v>
      </c>
      <c r="AH148">
        <v>64</v>
      </c>
      <c r="AI148">
        <v>8.3000000000000007</v>
      </c>
      <c r="AJ148">
        <v>69</v>
      </c>
      <c r="AK148">
        <v>1.5</v>
      </c>
      <c r="AL148">
        <v>63</v>
      </c>
      <c r="AM148">
        <v>0</v>
      </c>
      <c r="AN148">
        <v>0</v>
      </c>
      <c r="AP148" s="74"/>
    </row>
    <row r="149" spans="1:53" ht="15" x14ac:dyDescent="0.25">
      <c r="A149" s="75"/>
      <c r="M149" s="72" t="s">
        <v>72</v>
      </c>
      <c r="N149" t="s">
        <v>26</v>
      </c>
      <c r="O149">
        <v>0</v>
      </c>
      <c r="P149">
        <v>0</v>
      </c>
      <c r="Q149">
        <v>27.5</v>
      </c>
      <c r="R149">
        <v>57</v>
      </c>
      <c r="S149">
        <v>118.6</v>
      </c>
      <c r="T149">
        <v>32</v>
      </c>
      <c r="U149">
        <v>339.4</v>
      </c>
      <c r="V149">
        <v>23</v>
      </c>
      <c r="W149">
        <v>500</v>
      </c>
      <c r="X149">
        <v>19</v>
      </c>
      <c r="AP149" s="75" t="s">
        <v>56</v>
      </c>
      <c r="AQ149" t="s">
        <v>26</v>
      </c>
      <c r="AR149">
        <v>0</v>
      </c>
      <c r="AS149">
        <v>0</v>
      </c>
      <c r="AT149">
        <v>113.2</v>
      </c>
      <c r="AU149">
        <v>33</v>
      </c>
      <c r="AV149">
        <v>1763.8</v>
      </c>
      <c r="AW149">
        <v>5</v>
      </c>
      <c r="AX149">
        <v>0</v>
      </c>
      <c r="AY149">
        <v>0</v>
      </c>
      <c r="AZ149">
        <v>0</v>
      </c>
      <c r="BA149">
        <v>0</v>
      </c>
    </row>
    <row r="150" spans="1:53" ht="15" x14ac:dyDescent="0.35">
      <c r="A150" s="75"/>
      <c r="M150" s="72"/>
      <c r="AC150" s="35" t="s">
        <v>43</v>
      </c>
      <c r="AD150" t="s">
        <v>26</v>
      </c>
      <c r="AE150">
        <v>0</v>
      </c>
      <c r="AF150">
        <v>0</v>
      </c>
      <c r="AG150">
        <v>3.2</v>
      </c>
      <c r="AH150">
        <v>65</v>
      </c>
      <c r="AI150">
        <v>5.7</v>
      </c>
      <c r="AJ150">
        <v>74</v>
      </c>
      <c r="AK150">
        <v>2.1</v>
      </c>
      <c r="AL150">
        <v>62</v>
      </c>
      <c r="AM150">
        <v>6.5</v>
      </c>
      <c r="AN150">
        <v>62</v>
      </c>
      <c r="AP150" s="74"/>
    </row>
    <row r="151" spans="1:53" ht="15" x14ac:dyDescent="0.25">
      <c r="A151" s="75"/>
      <c r="M151" s="72" t="s">
        <v>177</v>
      </c>
      <c r="N151" t="s">
        <v>26</v>
      </c>
      <c r="O151">
        <v>0</v>
      </c>
      <c r="P151">
        <v>0</v>
      </c>
      <c r="Q151">
        <v>26</v>
      </c>
      <c r="R151">
        <v>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AP151" s="75" t="s">
        <v>103</v>
      </c>
      <c r="AQ151" t="s">
        <v>26</v>
      </c>
      <c r="AR151">
        <v>0</v>
      </c>
      <c r="AS151">
        <v>0</v>
      </c>
      <c r="AT151">
        <v>80.7</v>
      </c>
      <c r="AU151">
        <v>39</v>
      </c>
      <c r="AV151">
        <v>121.3</v>
      </c>
      <c r="AW151">
        <v>32</v>
      </c>
      <c r="AX151">
        <v>139</v>
      </c>
      <c r="AY151">
        <v>37</v>
      </c>
      <c r="AZ151">
        <v>78</v>
      </c>
      <c r="BA151">
        <v>35</v>
      </c>
    </row>
    <row r="152" spans="1:53" ht="15" x14ac:dyDescent="0.35">
      <c r="A152" s="75"/>
      <c r="M152" s="72"/>
      <c r="AC152" s="35" t="s">
        <v>109</v>
      </c>
      <c r="AD152" t="s">
        <v>26</v>
      </c>
      <c r="AE152">
        <v>0</v>
      </c>
      <c r="AF152">
        <v>0</v>
      </c>
      <c r="AG152">
        <v>2.8</v>
      </c>
      <c r="AH152">
        <v>66</v>
      </c>
      <c r="AI152">
        <v>1.2</v>
      </c>
      <c r="AJ152">
        <v>78</v>
      </c>
      <c r="AK152">
        <v>5.6</v>
      </c>
      <c r="AL152">
        <v>58</v>
      </c>
      <c r="AM152">
        <v>2.5</v>
      </c>
      <c r="AN152">
        <v>68</v>
      </c>
      <c r="AP152" s="74"/>
    </row>
    <row r="153" spans="1:53" ht="15" x14ac:dyDescent="0.25">
      <c r="A153" s="75"/>
      <c r="M153" s="72" t="s">
        <v>86</v>
      </c>
      <c r="N153" t="s">
        <v>26</v>
      </c>
      <c r="O153">
        <v>0</v>
      </c>
      <c r="P153">
        <v>0</v>
      </c>
      <c r="Q153">
        <v>7.4</v>
      </c>
      <c r="R153">
        <v>67</v>
      </c>
      <c r="S153">
        <v>0</v>
      </c>
      <c r="T153">
        <v>0</v>
      </c>
      <c r="U153">
        <v>17.399999999999999</v>
      </c>
      <c r="V153">
        <v>53</v>
      </c>
      <c r="W153">
        <v>16.5</v>
      </c>
      <c r="X153">
        <v>62</v>
      </c>
      <c r="AP153" s="75" t="s">
        <v>92</v>
      </c>
      <c r="AQ153" t="s">
        <v>26</v>
      </c>
      <c r="AR153">
        <v>0</v>
      </c>
      <c r="AS153">
        <v>0</v>
      </c>
      <c r="AT153">
        <v>14.2</v>
      </c>
      <c r="AU153">
        <v>51</v>
      </c>
      <c r="AV153">
        <v>4.7</v>
      </c>
      <c r="AW153">
        <v>63</v>
      </c>
      <c r="AX153">
        <v>0</v>
      </c>
      <c r="AY153">
        <v>0</v>
      </c>
      <c r="AZ153">
        <v>0</v>
      </c>
      <c r="BA153">
        <v>0</v>
      </c>
    </row>
    <row r="154" spans="1:53" ht="15" x14ac:dyDescent="0.35">
      <c r="A154" s="75"/>
      <c r="M154" s="72"/>
      <c r="AC154" s="35" t="s">
        <v>115</v>
      </c>
      <c r="AD154" t="s">
        <v>26</v>
      </c>
      <c r="AE154">
        <v>0</v>
      </c>
      <c r="AF154">
        <v>0</v>
      </c>
      <c r="AG154">
        <v>2.7</v>
      </c>
      <c r="AH154">
        <v>67</v>
      </c>
      <c r="AI154">
        <v>6</v>
      </c>
      <c r="AJ154">
        <v>72</v>
      </c>
      <c r="AK154">
        <v>0</v>
      </c>
      <c r="AL154">
        <v>0</v>
      </c>
      <c r="AM154">
        <v>5</v>
      </c>
      <c r="AN154">
        <v>64</v>
      </c>
      <c r="AP154" s="74"/>
    </row>
    <row r="155" spans="1:53" ht="15" x14ac:dyDescent="0.25">
      <c r="A155" s="75"/>
      <c r="M155" s="72" t="s">
        <v>78</v>
      </c>
      <c r="N155" t="s">
        <v>26</v>
      </c>
      <c r="O155">
        <v>0</v>
      </c>
      <c r="P155">
        <v>0</v>
      </c>
      <c r="Q155">
        <v>0</v>
      </c>
      <c r="R155">
        <v>0</v>
      </c>
      <c r="S155">
        <v>7.3</v>
      </c>
      <c r="T155">
        <v>56</v>
      </c>
      <c r="U155">
        <v>15.5</v>
      </c>
      <c r="V155">
        <v>56</v>
      </c>
      <c r="W155">
        <v>20.5</v>
      </c>
      <c r="X155">
        <v>58</v>
      </c>
      <c r="AP155" s="75" t="s">
        <v>78</v>
      </c>
      <c r="AQ155" t="s">
        <v>26</v>
      </c>
      <c r="AR155">
        <v>0</v>
      </c>
      <c r="AS155">
        <v>0</v>
      </c>
      <c r="AT155">
        <v>7.3</v>
      </c>
      <c r="AU155">
        <v>56</v>
      </c>
      <c r="AV155">
        <v>15.5</v>
      </c>
      <c r="AW155">
        <v>56</v>
      </c>
      <c r="AX155">
        <v>20.5</v>
      </c>
      <c r="AY155">
        <v>58</v>
      </c>
      <c r="AZ155">
        <v>29.8</v>
      </c>
      <c r="BA155">
        <v>42</v>
      </c>
    </row>
    <row r="156" spans="1:53" ht="15" x14ac:dyDescent="0.35">
      <c r="A156" s="75"/>
      <c r="M156" s="72"/>
      <c r="AC156" s="35" t="s">
        <v>79</v>
      </c>
      <c r="AD156" t="s">
        <v>26</v>
      </c>
      <c r="AE156">
        <v>0</v>
      </c>
      <c r="AF156">
        <v>0</v>
      </c>
      <c r="AG156">
        <v>2.2000000000000002</v>
      </c>
      <c r="AH156">
        <v>68</v>
      </c>
      <c r="AI156">
        <v>30.7</v>
      </c>
      <c r="AJ156">
        <v>54</v>
      </c>
      <c r="AK156">
        <v>17.8</v>
      </c>
      <c r="AL156">
        <v>52</v>
      </c>
      <c r="AM156">
        <v>4.7</v>
      </c>
      <c r="AN156">
        <v>65</v>
      </c>
      <c r="AP156" s="74"/>
    </row>
    <row r="157" spans="1:53" ht="15" x14ac:dyDescent="0.25">
      <c r="A157" s="75"/>
      <c r="M157" s="72" t="s">
        <v>93</v>
      </c>
      <c r="N157" t="s">
        <v>26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26</v>
      </c>
      <c r="V157">
        <v>47</v>
      </c>
      <c r="W157">
        <v>26.1</v>
      </c>
      <c r="X157">
        <v>55</v>
      </c>
      <c r="AP157" s="75" t="s">
        <v>93</v>
      </c>
      <c r="AQ157" t="s">
        <v>26</v>
      </c>
      <c r="AR157">
        <v>0</v>
      </c>
      <c r="AS157">
        <v>0</v>
      </c>
      <c r="AT157">
        <v>0</v>
      </c>
      <c r="AU157">
        <v>0</v>
      </c>
      <c r="AV157">
        <v>26</v>
      </c>
      <c r="AW157">
        <v>47</v>
      </c>
      <c r="AX157">
        <v>26.1</v>
      </c>
      <c r="AY157">
        <v>55</v>
      </c>
      <c r="AZ157">
        <v>0</v>
      </c>
      <c r="BA157">
        <v>0</v>
      </c>
    </row>
    <row r="158" spans="1:53" ht="15" x14ac:dyDescent="0.35">
      <c r="A158" s="75"/>
      <c r="M158" s="72"/>
      <c r="AC158" s="35" t="s">
        <v>89</v>
      </c>
      <c r="AD158" t="s">
        <v>26</v>
      </c>
      <c r="AE158">
        <v>0</v>
      </c>
      <c r="AF158">
        <v>0</v>
      </c>
      <c r="AG158">
        <v>1.5</v>
      </c>
      <c r="AH158">
        <v>69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P158" s="74"/>
    </row>
    <row r="159" spans="1:53" ht="15" x14ac:dyDescent="0.25">
      <c r="A159" s="75"/>
      <c r="M159" s="72" t="s">
        <v>81</v>
      </c>
      <c r="N159" t="s">
        <v>26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15.7</v>
      </c>
      <c r="V159">
        <v>55</v>
      </c>
      <c r="W159">
        <v>0</v>
      </c>
      <c r="X159">
        <v>0</v>
      </c>
      <c r="AP159" s="75" t="s">
        <v>81</v>
      </c>
      <c r="AQ159" t="s">
        <v>26</v>
      </c>
      <c r="AR159">
        <v>0</v>
      </c>
      <c r="AS159">
        <v>0</v>
      </c>
      <c r="AT159">
        <v>0</v>
      </c>
      <c r="AU159">
        <v>0</v>
      </c>
      <c r="AV159">
        <v>15.7</v>
      </c>
      <c r="AW159">
        <v>55</v>
      </c>
      <c r="AX159">
        <v>0</v>
      </c>
      <c r="AY159">
        <v>0</v>
      </c>
      <c r="AZ159">
        <v>0</v>
      </c>
      <c r="BA159">
        <v>0</v>
      </c>
    </row>
    <row r="160" spans="1:53" ht="15" x14ac:dyDescent="0.35">
      <c r="A160" s="75"/>
      <c r="M160" s="72"/>
      <c r="AC160" s="35" t="s">
        <v>44</v>
      </c>
      <c r="AD160" t="s">
        <v>26</v>
      </c>
      <c r="AE160">
        <v>0</v>
      </c>
      <c r="AF160">
        <v>0</v>
      </c>
      <c r="AG160">
        <v>0.2</v>
      </c>
      <c r="AH160">
        <v>70</v>
      </c>
      <c r="AI160">
        <v>4.8</v>
      </c>
      <c r="AJ160">
        <v>75</v>
      </c>
      <c r="AK160">
        <v>0</v>
      </c>
      <c r="AL160">
        <v>0</v>
      </c>
      <c r="AM160">
        <v>1.8</v>
      </c>
      <c r="AN160">
        <v>69</v>
      </c>
      <c r="AP160" s="74"/>
    </row>
    <row r="161" spans="1:53" ht="15" x14ac:dyDescent="0.25">
      <c r="A161" s="75"/>
      <c r="M161" s="72" t="s">
        <v>102</v>
      </c>
      <c r="N161" t="s">
        <v>26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6.1</v>
      </c>
      <c r="V161">
        <v>61</v>
      </c>
      <c r="W161">
        <v>0</v>
      </c>
      <c r="X161">
        <v>0</v>
      </c>
      <c r="AP161" s="75" t="s">
        <v>50</v>
      </c>
      <c r="AQ161" t="s">
        <v>26</v>
      </c>
      <c r="AR161">
        <v>0</v>
      </c>
      <c r="AS161">
        <v>0</v>
      </c>
      <c r="AT161">
        <v>0</v>
      </c>
      <c r="AU161">
        <v>0</v>
      </c>
      <c r="AV161">
        <v>9.1999999999999993</v>
      </c>
      <c r="AW161">
        <v>58</v>
      </c>
      <c r="AX161">
        <v>18.7</v>
      </c>
      <c r="AY161">
        <v>60</v>
      </c>
      <c r="AZ161">
        <v>0</v>
      </c>
      <c r="BA161">
        <v>0</v>
      </c>
    </row>
    <row r="162" spans="1:53" ht="15" x14ac:dyDescent="0.35">
      <c r="A162" s="75"/>
      <c r="M162" s="72"/>
      <c r="AC162" s="35" t="s">
        <v>150</v>
      </c>
      <c r="AD162" t="s">
        <v>26</v>
      </c>
      <c r="AE162">
        <v>0</v>
      </c>
      <c r="AF162">
        <v>0</v>
      </c>
      <c r="AG162">
        <v>0</v>
      </c>
      <c r="AH162">
        <v>0</v>
      </c>
      <c r="AI162">
        <v>228</v>
      </c>
      <c r="AJ162">
        <v>27</v>
      </c>
      <c r="AK162">
        <v>0</v>
      </c>
      <c r="AL162">
        <v>0</v>
      </c>
      <c r="AM162">
        <v>0</v>
      </c>
      <c r="AN162">
        <v>0</v>
      </c>
      <c r="AP162" s="74"/>
    </row>
    <row r="163" spans="1:53" ht="15" x14ac:dyDescent="0.25">
      <c r="A163" s="75"/>
      <c r="M163" s="72" t="s">
        <v>80</v>
      </c>
      <c r="N163" t="s">
        <v>26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</v>
      </c>
      <c r="V163">
        <v>64</v>
      </c>
      <c r="W163">
        <v>8.3000000000000007</v>
      </c>
      <c r="X163">
        <v>69</v>
      </c>
      <c r="AP163" s="75" t="s">
        <v>102</v>
      </c>
      <c r="AQ163" t="s">
        <v>26</v>
      </c>
      <c r="AR163">
        <v>0</v>
      </c>
      <c r="AS163">
        <v>0</v>
      </c>
      <c r="AT163">
        <v>0</v>
      </c>
      <c r="AU163">
        <v>0</v>
      </c>
      <c r="AV163">
        <v>6.1</v>
      </c>
      <c r="AW163">
        <v>61</v>
      </c>
      <c r="AX163">
        <v>0</v>
      </c>
      <c r="AY163">
        <v>0</v>
      </c>
      <c r="AZ163">
        <v>1.1000000000000001</v>
      </c>
      <c r="BA163">
        <v>64</v>
      </c>
    </row>
    <row r="164" spans="1:53" ht="15" x14ac:dyDescent="0.35">
      <c r="A164" s="75"/>
      <c r="M164" s="72"/>
      <c r="AC164" s="35" t="s">
        <v>151</v>
      </c>
      <c r="AD164" t="s">
        <v>26</v>
      </c>
      <c r="AE164">
        <v>0</v>
      </c>
      <c r="AF164">
        <v>0</v>
      </c>
      <c r="AG164">
        <v>0</v>
      </c>
      <c r="AH164">
        <v>0</v>
      </c>
      <c r="AI164">
        <v>150.69999999999999</v>
      </c>
      <c r="AJ164">
        <v>34</v>
      </c>
      <c r="AK164">
        <v>0</v>
      </c>
      <c r="AL164">
        <v>0</v>
      </c>
      <c r="AM164">
        <v>99</v>
      </c>
      <c r="AN164">
        <v>34</v>
      </c>
      <c r="AP164" s="74"/>
    </row>
    <row r="165" spans="1:53" ht="15" x14ac:dyDescent="0.25">
      <c r="A165" s="75"/>
      <c r="M165" s="72" t="s">
        <v>43</v>
      </c>
      <c r="N165" t="s">
        <v>26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</v>
      </c>
      <c r="V165">
        <v>65</v>
      </c>
      <c r="W165">
        <v>5.7</v>
      </c>
      <c r="X165">
        <v>74</v>
      </c>
      <c r="AP165" s="75" t="s">
        <v>80</v>
      </c>
      <c r="AQ165" t="s">
        <v>26</v>
      </c>
      <c r="AR165">
        <v>0</v>
      </c>
      <c r="AS165">
        <v>0</v>
      </c>
      <c r="AT165">
        <v>0</v>
      </c>
      <c r="AU165">
        <v>0</v>
      </c>
      <c r="AV165">
        <v>3.2</v>
      </c>
      <c r="AW165">
        <v>64</v>
      </c>
      <c r="AX165">
        <v>8.3000000000000007</v>
      </c>
      <c r="AY165">
        <v>69</v>
      </c>
      <c r="AZ165">
        <v>1.5</v>
      </c>
      <c r="BA165">
        <v>63</v>
      </c>
    </row>
    <row r="166" spans="1:53" ht="15" x14ac:dyDescent="0.35">
      <c r="A166" s="75"/>
      <c r="M166" s="72"/>
      <c r="AC166" s="35" t="s">
        <v>152</v>
      </c>
      <c r="AD166" t="s">
        <v>26</v>
      </c>
      <c r="AE166">
        <v>0</v>
      </c>
      <c r="AF166">
        <v>0</v>
      </c>
      <c r="AG166">
        <v>0</v>
      </c>
      <c r="AH166">
        <v>0</v>
      </c>
      <c r="AI166">
        <v>44.2</v>
      </c>
      <c r="AJ166">
        <v>50</v>
      </c>
      <c r="AK166">
        <v>0</v>
      </c>
      <c r="AL166">
        <v>0</v>
      </c>
      <c r="AM166">
        <v>0</v>
      </c>
      <c r="AN166">
        <v>0</v>
      </c>
      <c r="AP166" s="74"/>
    </row>
    <row r="167" spans="1:53" ht="15" x14ac:dyDescent="0.25">
      <c r="A167" s="75"/>
      <c r="M167" s="72" t="s">
        <v>109</v>
      </c>
      <c r="N167" t="s">
        <v>26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2.8</v>
      </c>
      <c r="V167">
        <v>66</v>
      </c>
      <c r="W167">
        <v>1.2</v>
      </c>
      <c r="X167">
        <v>78</v>
      </c>
      <c r="AP167" s="75" t="s">
        <v>43</v>
      </c>
      <c r="AQ167" t="s">
        <v>26</v>
      </c>
      <c r="AR167">
        <v>0</v>
      </c>
      <c r="AS167">
        <v>0</v>
      </c>
      <c r="AT167">
        <v>0</v>
      </c>
      <c r="AU167">
        <v>0</v>
      </c>
      <c r="AV167">
        <v>3.2</v>
      </c>
      <c r="AW167">
        <v>65</v>
      </c>
      <c r="AX167">
        <v>5.7</v>
      </c>
      <c r="AY167">
        <v>74</v>
      </c>
      <c r="AZ167">
        <v>2.1</v>
      </c>
      <c r="BA167">
        <v>62</v>
      </c>
    </row>
    <row r="168" spans="1:53" ht="15" x14ac:dyDescent="0.35">
      <c r="A168" s="75"/>
      <c r="M168" s="72"/>
      <c r="AC168" s="35" t="s">
        <v>153</v>
      </c>
      <c r="AD168" t="s">
        <v>26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51</v>
      </c>
      <c r="AK168">
        <v>0</v>
      </c>
      <c r="AL168">
        <v>0</v>
      </c>
      <c r="AM168">
        <v>0</v>
      </c>
      <c r="AN168">
        <v>0</v>
      </c>
      <c r="AP168" s="74"/>
    </row>
    <row r="169" spans="1:53" ht="15" x14ac:dyDescent="0.25">
      <c r="A169" s="75"/>
      <c r="M169" s="72" t="s">
        <v>115</v>
      </c>
      <c r="N169" t="s">
        <v>26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2.7</v>
      </c>
      <c r="V169">
        <v>67</v>
      </c>
      <c r="W169">
        <v>6</v>
      </c>
      <c r="X169">
        <v>72</v>
      </c>
      <c r="AP169" s="75" t="s">
        <v>109</v>
      </c>
      <c r="AQ169" t="s">
        <v>26</v>
      </c>
      <c r="AR169">
        <v>0</v>
      </c>
      <c r="AS169">
        <v>0</v>
      </c>
      <c r="AT169">
        <v>0</v>
      </c>
      <c r="AU169">
        <v>0</v>
      </c>
      <c r="AV169">
        <v>2.8</v>
      </c>
      <c r="AW169">
        <v>66</v>
      </c>
      <c r="AX169">
        <v>1.2</v>
      </c>
      <c r="AY169">
        <v>78</v>
      </c>
      <c r="AZ169">
        <v>5.6</v>
      </c>
      <c r="BA169">
        <v>58</v>
      </c>
    </row>
    <row r="170" spans="1:53" ht="15" x14ac:dyDescent="0.35">
      <c r="A170" s="75"/>
      <c r="M170" s="72"/>
      <c r="AC170" s="35" t="s">
        <v>154</v>
      </c>
      <c r="AD170" t="s">
        <v>26</v>
      </c>
      <c r="AE170">
        <v>0</v>
      </c>
      <c r="AF170">
        <v>0</v>
      </c>
      <c r="AG170">
        <v>0</v>
      </c>
      <c r="AH170">
        <v>0</v>
      </c>
      <c r="AI170">
        <v>38.1</v>
      </c>
      <c r="AJ170">
        <v>53</v>
      </c>
      <c r="AK170">
        <v>0</v>
      </c>
      <c r="AL170">
        <v>0</v>
      </c>
      <c r="AM170">
        <v>4.5</v>
      </c>
      <c r="AN170">
        <v>66</v>
      </c>
      <c r="AP170" s="74"/>
    </row>
    <row r="171" spans="1:53" ht="15" x14ac:dyDescent="0.25">
      <c r="A171" s="75"/>
      <c r="M171" s="72" t="s">
        <v>89</v>
      </c>
      <c r="N171" t="s">
        <v>26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1.5</v>
      </c>
      <c r="V171">
        <v>69</v>
      </c>
      <c r="W171">
        <v>0</v>
      </c>
      <c r="X171">
        <v>0</v>
      </c>
      <c r="AP171" s="75" t="s">
        <v>115</v>
      </c>
      <c r="AQ171" t="s">
        <v>26</v>
      </c>
      <c r="AR171">
        <v>0</v>
      </c>
      <c r="AS171">
        <v>0</v>
      </c>
      <c r="AT171">
        <v>0</v>
      </c>
      <c r="AU171">
        <v>0</v>
      </c>
      <c r="AV171">
        <v>2.7</v>
      </c>
      <c r="AW171">
        <v>67</v>
      </c>
      <c r="AX171">
        <v>6</v>
      </c>
      <c r="AY171">
        <v>72</v>
      </c>
      <c r="AZ171">
        <v>0</v>
      </c>
      <c r="BA171">
        <v>0</v>
      </c>
    </row>
    <row r="172" spans="1:53" ht="15" x14ac:dyDescent="0.35">
      <c r="A172" s="75"/>
      <c r="M172" s="72"/>
      <c r="AC172" s="35" t="s">
        <v>155</v>
      </c>
      <c r="AD172" t="s">
        <v>26</v>
      </c>
      <c r="AE172">
        <v>0</v>
      </c>
      <c r="AF172">
        <v>0</v>
      </c>
      <c r="AG172">
        <v>0</v>
      </c>
      <c r="AH172">
        <v>0</v>
      </c>
      <c r="AI172">
        <v>14.1</v>
      </c>
      <c r="AJ172">
        <v>64</v>
      </c>
      <c r="AK172">
        <v>0</v>
      </c>
      <c r="AL172">
        <v>0</v>
      </c>
      <c r="AM172">
        <v>0</v>
      </c>
      <c r="AN172">
        <v>0</v>
      </c>
      <c r="AP172" s="74"/>
    </row>
    <row r="173" spans="1:53" ht="15" x14ac:dyDescent="0.25">
      <c r="A173" s="75"/>
      <c r="M173" s="72" t="s">
        <v>150</v>
      </c>
      <c r="N173" t="s">
        <v>26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228</v>
      </c>
      <c r="X173">
        <v>27</v>
      </c>
      <c r="AP173" s="75" t="s">
        <v>79</v>
      </c>
      <c r="AQ173" t="s">
        <v>26</v>
      </c>
      <c r="AR173">
        <v>0</v>
      </c>
      <c r="AS173">
        <v>0</v>
      </c>
      <c r="AT173">
        <v>0</v>
      </c>
      <c r="AU173">
        <v>0</v>
      </c>
      <c r="AV173">
        <v>2.2000000000000002</v>
      </c>
      <c r="AW173">
        <v>68</v>
      </c>
      <c r="AX173">
        <v>30.7</v>
      </c>
      <c r="AY173">
        <v>54</v>
      </c>
      <c r="AZ173">
        <v>17.8</v>
      </c>
      <c r="BA173">
        <v>52</v>
      </c>
    </row>
    <row r="174" spans="1:53" ht="15" x14ac:dyDescent="0.35">
      <c r="A174" s="75"/>
      <c r="M174" s="72"/>
      <c r="AC174" s="35" t="s">
        <v>156</v>
      </c>
      <c r="AD174" t="s">
        <v>26</v>
      </c>
      <c r="AE174">
        <v>0</v>
      </c>
      <c r="AF174">
        <v>0</v>
      </c>
      <c r="AG174">
        <v>0</v>
      </c>
      <c r="AH174">
        <v>0</v>
      </c>
      <c r="AI174">
        <v>10.9</v>
      </c>
      <c r="AJ174">
        <v>67</v>
      </c>
      <c r="AK174">
        <v>0</v>
      </c>
      <c r="AL174">
        <v>0</v>
      </c>
      <c r="AM174">
        <v>0</v>
      </c>
      <c r="AN174">
        <v>0</v>
      </c>
      <c r="AP174" s="74"/>
    </row>
    <row r="175" spans="1:53" ht="15" x14ac:dyDescent="0.25">
      <c r="A175" s="75"/>
      <c r="M175" s="72" t="s">
        <v>151</v>
      </c>
      <c r="N175" t="s">
        <v>26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150.69999999999999</v>
      </c>
      <c r="X175">
        <v>34</v>
      </c>
      <c r="AP175" s="75" t="s">
        <v>89</v>
      </c>
      <c r="AQ175" t="s">
        <v>26</v>
      </c>
      <c r="AR175">
        <v>0</v>
      </c>
      <c r="AS175">
        <v>0</v>
      </c>
      <c r="AT175">
        <v>0</v>
      </c>
      <c r="AU175">
        <v>0</v>
      </c>
      <c r="AV175">
        <v>1.5</v>
      </c>
      <c r="AW175">
        <v>69</v>
      </c>
      <c r="AX175">
        <v>0</v>
      </c>
      <c r="AY175">
        <v>0</v>
      </c>
      <c r="AZ175">
        <v>0</v>
      </c>
      <c r="BA175">
        <v>0</v>
      </c>
    </row>
    <row r="176" spans="1:53" ht="15" x14ac:dyDescent="0.35">
      <c r="A176" s="75"/>
      <c r="M176" s="72"/>
      <c r="AC176" s="35" t="s">
        <v>157</v>
      </c>
      <c r="AD176" t="s">
        <v>26</v>
      </c>
      <c r="AE176">
        <v>0</v>
      </c>
      <c r="AF176">
        <v>0</v>
      </c>
      <c r="AG176">
        <v>0</v>
      </c>
      <c r="AH176">
        <v>0</v>
      </c>
      <c r="AI176">
        <v>8</v>
      </c>
      <c r="AJ176">
        <v>70</v>
      </c>
      <c r="AK176">
        <v>0</v>
      </c>
      <c r="AL176">
        <v>0</v>
      </c>
      <c r="AM176">
        <v>0</v>
      </c>
      <c r="AN176">
        <v>0</v>
      </c>
      <c r="AP176" s="74"/>
    </row>
    <row r="177" spans="1:53" ht="15" x14ac:dyDescent="0.25">
      <c r="A177" s="75"/>
      <c r="M177" s="72" t="s">
        <v>152</v>
      </c>
      <c r="N177" t="s">
        <v>26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44.2</v>
      </c>
      <c r="X177">
        <v>50</v>
      </c>
      <c r="AP177" s="75" t="s">
        <v>150</v>
      </c>
      <c r="AQ177" t="s">
        <v>26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228</v>
      </c>
      <c r="AY177">
        <v>27</v>
      </c>
      <c r="AZ177">
        <v>0</v>
      </c>
      <c r="BA177">
        <v>0</v>
      </c>
    </row>
    <row r="178" spans="1:53" ht="15" x14ac:dyDescent="0.35">
      <c r="A178" s="75"/>
      <c r="M178" s="72"/>
      <c r="AC178" s="35" t="s">
        <v>158</v>
      </c>
      <c r="AD178" t="s">
        <v>26</v>
      </c>
      <c r="AE178">
        <v>0</v>
      </c>
      <c r="AF178">
        <v>0</v>
      </c>
      <c r="AG178">
        <v>0</v>
      </c>
      <c r="AH178">
        <v>0</v>
      </c>
      <c r="AI178">
        <v>7.1</v>
      </c>
      <c r="AJ178">
        <v>71</v>
      </c>
      <c r="AK178">
        <v>0</v>
      </c>
      <c r="AL178">
        <v>0</v>
      </c>
      <c r="AM178">
        <v>0</v>
      </c>
      <c r="AN178">
        <v>0</v>
      </c>
      <c r="AP178" s="74"/>
    </row>
    <row r="179" spans="1:53" ht="15" x14ac:dyDescent="0.25">
      <c r="A179" s="75"/>
      <c r="M179" s="72" t="s">
        <v>154</v>
      </c>
      <c r="N179" t="s">
        <v>26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38.1</v>
      </c>
      <c r="X179">
        <v>53</v>
      </c>
      <c r="AP179" s="75" t="s">
        <v>151</v>
      </c>
      <c r="AQ179" t="s">
        <v>26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150.69999999999999</v>
      </c>
      <c r="AY179">
        <v>34</v>
      </c>
      <c r="AZ179">
        <v>0</v>
      </c>
      <c r="BA179">
        <v>0</v>
      </c>
    </row>
    <row r="180" spans="1:53" ht="15" x14ac:dyDescent="0.35">
      <c r="A180" s="75"/>
      <c r="M180" s="72"/>
      <c r="AC180" s="35" t="s">
        <v>159</v>
      </c>
      <c r="AD180" t="s">
        <v>26</v>
      </c>
      <c r="AE180">
        <v>0</v>
      </c>
      <c r="AF180">
        <v>0</v>
      </c>
      <c r="AG180">
        <v>0</v>
      </c>
      <c r="AH180">
        <v>0</v>
      </c>
      <c r="AI180">
        <v>3.1</v>
      </c>
      <c r="AJ180">
        <v>77</v>
      </c>
      <c r="AK180">
        <v>0</v>
      </c>
      <c r="AL180">
        <v>0</v>
      </c>
      <c r="AM180">
        <v>1.3</v>
      </c>
      <c r="AN180">
        <v>70</v>
      </c>
      <c r="AP180" s="74"/>
    </row>
    <row r="181" spans="1:53" ht="15" x14ac:dyDescent="0.25">
      <c r="A181" s="75"/>
      <c r="M181" s="72" t="s">
        <v>155</v>
      </c>
      <c r="N181" t="s">
        <v>26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14.1</v>
      </c>
      <c r="X181">
        <v>64</v>
      </c>
      <c r="AP181" s="75" t="s">
        <v>152</v>
      </c>
      <c r="AQ181" t="s">
        <v>26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44.2</v>
      </c>
      <c r="AY181">
        <v>50</v>
      </c>
      <c r="AZ181">
        <v>0</v>
      </c>
      <c r="BA181">
        <v>0</v>
      </c>
    </row>
    <row r="182" spans="1:53" ht="15" x14ac:dyDescent="0.35">
      <c r="A182" s="75"/>
      <c r="M182" s="72"/>
      <c r="AC182" s="35" t="s">
        <v>160</v>
      </c>
      <c r="AD182" t="s">
        <v>26</v>
      </c>
      <c r="AE182">
        <v>0</v>
      </c>
      <c r="AF182">
        <v>0</v>
      </c>
      <c r="AG182">
        <v>0</v>
      </c>
      <c r="AH182">
        <v>0</v>
      </c>
      <c r="AI182">
        <v>0.7</v>
      </c>
      <c r="AJ182">
        <v>79</v>
      </c>
      <c r="AK182">
        <v>0</v>
      </c>
      <c r="AL182">
        <v>0</v>
      </c>
      <c r="AM182">
        <v>0</v>
      </c>
      <c r="AN182">
        <v>0</v>
      </c>
      <c r="AP182" s="74"/>
    </row>
    <row r="183" spans="1:53" ht="15" x14ac:dyDescent="0.25">
      <c r="A183" s="75"/>
      <c r="M183" s="72" t="s">
        <v>156</v>
      </c>
      <c r="N183" t="s">
        <v>26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</v>
      </c>
      <c r="X183">
        <v>67</v>
      </c>
      <c r="AP183" s="75" t="s">
        <v>154</v>
      </c>
      <c r="AQ183" t="s">
        <v>26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38.1</v>
      </c>
      <c r="AY183">
        <v>53</v>
      </c>
      <c r="AZ183">
        <v>0</v>
      </c>
      <c r="BA183">
        <v>0</v>
      </c>
    </row>
    <row r="184" spans="1:53" ht="15" x14ac:dyDescent="0.35">
      <c r="A184" s="75"/>
      <c r="M184" s="72"/>
      <c r="AC184" s="35" t="s">
        <v>161</v>
      </c>
      <c r="AD184" t="s">
        <v>26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96.2</v>
      </c>
      <c r="AL184">
        <v>32</v>
      </c>
      <c r="AM184">
        <v>0</v>
      </c>
      <c r="AN184">
        <v>0</v>
      </c>
      <c r="AP184" s="74"/>
    </row>
    <row r="185" spans="1:53" ht="15" x14ac:dyDescent="0.25">
      <c r="A185" s="75"/>
      <c r="M185" s="72" t="s">
        <v>157</v>
      </c>
      <c r="N185" t="s">
        <v>26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</v>
      </c>
      <c r="X185">
        <v>70</v>
      </c>
      <c r="AP185" s="75" t="s">
        <v>155</v>
      </c>
      <c r="AQ185" t="s">
        <v>26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14.1</v>
      </c>
      <c r="AY185">
        <v>64</v>
      </c>
      <c r="AZ185">
        <v>0</v>
      </c>
      <c r="BA185">
        <v>0</v>
      </c>
    </row>
    <row r="186" spans="1:53" ht="15" x14ac:dyDescent="0.35">
      <c r="A186" s="75"/>
      <c r="M186" s="72"/>
      <c r="AC186" s="35" t="s">
        <v>162</v>
      </c>
      <c r="AD186" t="s">
        <v>26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21.6</v>
      </c>
      <c r="AL186">
        <v>48</v>
      </c>
      <c r="AM186">
        <v>0</v>
      </c>
      <c r="AN186">
        <v>0</v>
      </c>
      <c r="AP186" s="74"/>
    </row>
    <row r="187" spans="1:53" ht="15" x14ac:dyDescent="0.25">
      <c r="A187" s="75"/>
      <c r="M187" s="72" t="s">
        <v>158</v>
      </c>
      <c r="N187" t="s">
        <v>26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</v>
      </c>
      <c r="X187">
        <v>71</v>
      </c>
      <c r="AP187" s="75" t="s">
        <v>156</v>
      </c>
      <c r="AQ187" t="s">
        <v>26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11</v>
      </c>
      <c r="AY187">
        <v>67</v>
      </c>
      <c r="AZ187">
        <v>0</v>
      </c>
      <c r="BA187">
        <v>0</v>
      </c>
    </row>
    <row r="188" spans="1:53" ht="15" x14ac:dyDescent="0.35">
      <c r="A188" s="75"/>
      <c r="M188" s="72"/>
      <c r="AC188" s="35" t="s">
        <v>163</v>
      </c>
      <c r="AD188" t="s">
        <v>26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11</v>
      </c>
      <c r="AL188">
        <v>54</v>
      </c>
      <c r="AM188">
        <v>6.9</v>
      </c>
      <c r="AN188">
        <v>61</v>
      </c>
      <c r="AP188" s="74"/>
    </row>
    <row r="189" spans="1:53" ht="15" x14ac:dyDescent="0.25">
      <c r="A189" s="75"/>
      <c r="M189" s="72" t="s">
        <v>159</v>
      </c>
      <c r="N189" t="s">
        <v>26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3.1</v>
      </c>
      <c r="X189">
        <v>77</v>
      </c>
      <c r="AP189" s="75" t="s">
        <v>157</v>
      </c>
      <c r="AQ189" t="s">
        <v>26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8</v>
      </c>
      <c r="AY189">
        <v>70</v>
      </c>
      <c r="AZ189">
        <v>0</v>
      </c>
      <c r="BA189">
        <v>0</v>
      </c>
    </row>
    <row r="190" spans="1:53" ht="15" x14ac:dyDescent="0.35">
      <c r="A190" s="75"/>
      <c r="M190" s="72"/>
      <c r="AC190" s="35" t="s">
        <v>164</v>
      </c>
      <c r="AD190" t="s">
        <v>26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</v>
      </c>
      <c r="AL190">
        <v>59</v>
      </c>
      <c r="AM190">
        <v>0</v>
      </c>
      <c r="AN190">
        <v>0</v>
      </c>
      <c r="AP190" s="74"/>
    </row>
    <row r="191" spans="1:53" ht="15" x14ac:dyDescent="0.25">
      <c r="A191" s="75"/>
      <c r="M191" s="72" t="s">
        <v>160</v>
      </c>
      <c r="N191" t="s">
        <v>26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</v>
      </c>
      <c r="X191">
        <v>79</v>
      </c>
      <c r="AP191" s="75" t="s">
        <v>158</v>
      </c>
      <c r="AQ191" t="s">
        <v>26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7.1</v>
      </c>
      <c r="AY191">
        <v>71</v>
      </c>
      <c r="AZ191">
        <v>0</v>
      </c>
      <c r="BA191">
        <v>0</v>
      </c>
    </row>
    <row r="192" spans="1:53" ht="15" x14ac:dyDescent="0.35">
      <c r="A192" s="75"/>
      <c r="M192" s="72"/>
      <c r="AC192" s="35" t="s">
        <v>165</v>
      </c>
      <c r="AD192" t="s">
        <v>26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</v>
      </c>
      <c r="AL192">
        <v>61</v>
      </c>
      <c r="AM192">
        <v>0</v>
      </c>
      <c r="AN192">
        <v>0</v>
      </c>
      <c r="AP192" s="74"/>
    </row>
    <row r="193" spans="1:53" ht="15" x14ac:dyDescent="0.25">
      <c r="A193" s="75"/>
      <c r="M193" s="72" t="s">
        <v>25</v>
      </c>
      <c r="N193" t="s">
        <v>37</v>
      </c>
      <c r="O193" t="s">
        <v>35</v>
      </c>
      <c r="P193" t="s">
        <v>38</v>
      </c>
      <c r="Q193" t="s">
        <v>35</v>
      </c>
      <c r="R193" t="s">
        <v>38</v>
      </c>
      <c r="S193" t="s">
        <v>35</v>
      </c>
      <c r="T193" t="s">
        <v>38</v>
      </c>
      <c r="U193" t="s">
        <v>35</v>
      </c>
      <c r="V193" t="s">
        <v>149</v>
      </c>
      <c r="W193" t="s">
        <v>25</v>
      </c>
      <c r="X193" t="s">
        <v>38</v>
      </c>
      <c r="AP193" s="75" t="s">
        <v>159</v>
      </c>
      <c r="AQ193" t="s">
        <v>26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3.1</v>
      </c>
      <c r="AY193">
        <v>77</v>
      </c>
      <c r="AZ193">
        <v>0</v>
      </c>
      <c r="BA193">
        <v>0</v>
      </c>
    </row>
    <row r="194" spans="1:53" ht="15" x14ac:dyDescent="0.35">
      <c r="A194" s="75"/>
      <c r="M194" s="72" t="s">
        <v>171</v>
      </c>
      <c r="N194" t="s">
        <v>26</v>
      </c>
      <c r="O194">
        <v>26627.3</v>
      </c>
      <c r="Q194">
        <v>33438.5</v>
      </c>
      <c r="S194">
        <v>21686.3</v>
      </c>
      <c r="U194">
        <v>25973</v>
      </c>
      <c r="W194">
        <v>32563.5</v>
      </c>
      <c r="AC194" s="35" t="s">
        <v>166</v>
      </c>
      <c r="AD194" t="s">
        <v>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10.4</v>
      </c>
      <c r="AN194">
        <v>56</v>
      </c>
      <c r="AP194" s="74"/>
    </row>
    <row r="195" spans="1:53" ht="15" x14ac:dyDescent="0.25">
      <c r="A195" s="75"/>
      <c r="M195" s="72"/>
      <c r="AP195" s="75" t="s">
        <v>160</v>
      </c>
      <c r="AQ195" t="s">
        <v>26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0.7</v>
      </c>
      <c r="AY195">
        <v>79</v>
      </c>
      <c r="AZ195">
        <v>0</v>
      </c>
      <c r="BA195">
        <v>0</v>
      </c>
    </row>
    <row r="196" spans="1:53" ht="15" x14ac:dyDescent="0.35">
      <c r="A196" s="75"/>
      <c r="AC196" s="35" t="s">
        <v>167</v>
      </c>
      <c r="AD196" t="s">
        <v>26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6.4</v>
      </c>
      <c r="AN196">
        <v>63</v>
      </c>
      <c r="AP196" s="74"/>
    </row>
    <row r="197" spans="1:53" ht="15" x14ac:dyDescent="0.25">
      <c r="A197" s="75"/>
      <c r="AP197" s="75" t="s">
        <v>162</v>
      </c>
      <c r="AQ197" t="s">
        <v>26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21.7</v>
      </c>
      <c r="BA197">
        <v>48</v>
      </c>
    </row>
    <row r="198" spans="1:53" ht="15" x14ac:dyDescent="0.35">
      <c r="A198" s="75"/>
      <c r="AC198" s="35" t="s">
        <v>168</v>
      </c>
      <c r="AD198" t="s">
        <v>26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0.6</v>
      </c>
      <c r="AN198">
        <v>71</v>
      </c>
      <c r="AP198" s="74"/>
    </row>
    <row r="199" spans="1:53" ht="15" x14ac:dyDescent="0.25">
      <c r="A199" s="75"/>
      <c r="AP199" s="75" t="s">
        <v>164</v>
      </c>
      <c r="AQ199" t="s">
        <v>26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</v>
      </c>
      <c r="BA199">
        <v>59</v>
      </c>
    </row>
    <row r="200" spans="1:53" ht="15" x14ac:dyDescent="0.35">
      <c r="A200" s="75"/>
      <c r="AC200" s="35" t="s">
        <v>169</v>
      </c>
      <c r="AD200" t="s">
        <v>26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0.2</v>
      </c>
      <c r="AN200">
        <v>73</v>
      </c>
      <c r="AP200" s="74"/>
    </row>
    <row r="201" spans="1:53" ht="15" x14ac:dyDescent="0.25">
      <c r="A201" s="75"/>
      <c r="AP201" s="75" t="s">
        <v>165</v>
      </c>
      <c r="AQ201" t="s">
        <v>26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3.6</v>
      </c>
      <c r="BA201">
        <v>61</v>
      </c>
    </row>
    <row r="202" spans="1:53" ht="15" x14ac:dyDescent="0.35">
      <c r="A202" s="75"/>
      <c r="AC202" s="35" t="s">
        <v>170</v>
      </c>
      <c r="AD202" t="s">
        <v>26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0.1</v>
      </c>
      <c r="AN202">
        <v>74</v>
      </c>
      <c r="AP202" s="74"/>
    </row>
    <row r="203" spans="1:53" ht="15" x14ac:dyDescent="0.25">
      <c r="A203" s="75"/>
      <c r="AP203" s="75" t="s">
        <v>25</v>
      </c>
      <c r="AQ203" t="s">
        <v>37</v>
      </c>
      <c r="AR203" t="s">
        <v>35</v>
      </c>
      <c r="AS203" t="s">
        <v>38</v>
      </c>
      <c r="AT203" t="s">
        <v>35</v>
      </c>
      <c r="AU203" t="s">
        <v>38</v>
      </c>
      <c r="AV203" t="s">
        <v>35</v>
      </c>
      <c r="AW203" t="s">
        <v>38</v>
      </c>
      <c r="AX203" t="s">
        <v>35</v>
      </c>
      <c r="AY203" t="s">
        <v>149</v>
      </c>
      <c r="AZ203" t="s">
        <v>25</v>
      </c>
      <c r="BA203" t="s">
        <v>38</v>
      </c>
    </row>
    <row r="204" spans="1:53" ht="15" x14ac:dyDescent="0.35">
      <c r="A204" s="75"/>
      <c r="AC204" s="35" t="s">
        <v>25</v>
      </c>
      <c r="AD204" t="s">
        <v>37</v>
      </c>
      <c r="AE204" t="s">
        <v>35</v>
      </c>
      <c r="AF204" t="s">
        <v>149</v>
      </c>
      <c r="AG204" t="s">
        <v>25</v>
      </c>
      <c r="AH204" t="s">
        <v>38</v>
      </c>
      <c r="AI204" t="s">
        <v>35</v>
      </c>
      <c r="AJ204" t="s">
        <v>38</v>
      </c>
      <c r="AK204" t="s">
        <v>35</v>
      </c>
      <c r="AL204" t="s">
        <v>149</v>
      </c>
      <c r="AM204" t="s">
        <v>25</v>
      </c>
      <c r="AN204" t="s">
        <v>38</v>
      </c>
      <c r="AP204" s="75" t="s">
        <v>171</v>
      </c>
      <c r="AQ204" t="s">
        <v>26</v>
      </c>
      <c r="AR204">
        <v>33438.5</v>
      </c>
      <c r="AT204">
        <v>21686.3</v>
      </c>
      <c r="AV204">
        <v>25973</v>
      </c>
      <c r="AX204">
        <v>32563.5</v>
      </c>
      <c r="AZ204">
        <v>22902.400000000001</v>
      </c>
    </row>
    <row r="205" spans="1:53" ht="15" x14ac:dyDescent="0.35">
      <c r="A205" s="75"/>
      <c r="AC205" s="35" t="s">
        <v>171</v>
      </c>
      <c r="AD205" t="s">
        <v>26</v>
      </c>
      <c r="AE205">
        <v>21686.3</v>
      </c>
      <c r="AG205">
        <v>25973</v>
      </c>
      <c r="AI205">
        <v>32563.5</v>
      </c>
      <c r="AK205">
        <v>22902.400000000001</v>
      </c>
      <c r="AM205">
        <v>25320.1</v>
      </c>
    </row>
    <row r="206" spans="1:53" ht="15" x14ac:dyDescent="0.25">
      <c r="A206" s="75"/>
    </row>
    <row r="207" spans="1:53" ht="15" x14ac:dyDescent="0.25">
      <c r="A207" s="75"/>
    </row>
    <row r="208" spans="1:53" ht="15" x14ac:dyDescent="0.25">
      <c r="A208" s="75"/>
    </row>
    <row r="209" spans="1:1" ht="15" x14ac:dyDescent="0.25">
      <c r="A209" s="75"/>
    </row>
    <row r="210" spans="1:1" ht="15" x14ac:dyDescent="0.25">
      <c r="A210" s="75"/>
    </row>
    <row r="211" spans="1:1" ht="15" x14ac:dyDescent="0.25">
      <c r="A211" s="75"/>
    </row>
  </sheetData>
  <hyperlinks>
    <hyperlink ref="A4" display="http://www.fas.usda.gov/export-sales/myrkmay.htm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opLeftCell="A28" workbookViewId="0">
      <selection activeCell="F45" sqref="F45"/>
    </sheetView>
  </sheetViews>
  <sheetFormatPr defaultRowHeight="13.2" x14ac:dyDescent="0.25"/>
  <cols>
    <col min="3" max="3" width="10.33203125" customWidth="1"/>
    <col min="4" max="5" width="11" customWidth="1"/>
    <col min="6" max="6" width="13" customWidth="1"/>
    <col min="9" max="9" width="9.88671875" customWidth="1"/>
    <col min="10" max="10" width="10.33203125" bestFit="1" customWidth="1"/>
    <col min="11" max="12" width="11.33203125" bestFit="1" customWidth="1"/>
    <col min="13" max="13" width="10.33203125" bestFit="1" customWidth="1"/>
    <col min="14" max="14" width="11.33203125" bestFit="1" customWidth="1"/>
    <col min="15" max="15" width="11.44140625" customWidth="1"/>
    <col min="16" max="19" width="9.109375" bestFit="1" customWidth="1"/>
    <col min="20" max="20" width="10.88671875" customWidth="1"/>
    <col min="21" max="21" width="9.109375" bestFit="1" customWidth="1"/>
  </cols>
  <sheetData>
    <row r="1" spans="3:25" ht="13.2" customHeight="1" x14ac:dyDescent="0.25">
      <c r="C1" s="140" t="s">
        <v>222</v>
      </c>
      <c r="D1" s="141"/>
      <c r="E1" s="107" t="s">
        <v>223</v>
      </c>
      <c r="F1" s="119"/>
      <c r="G1" s="108"/>
      <c r="H1" s="108"/>
      <c r="I1" s="109"/>
      <c r="J1" s="110" t="s">
        <v>224</v>
      </c>
      <c r="K1" s="110"/>
      <c r="L1" s="110"/>
      <c r="M1" s="110"/>
      <c r="N1" s="110"/>
      <c r="O1" s="110"/>
      <c r="P1" s="111" t="s">
        <v>225</v>
      </c>
      <c r="Q1" s="111"/>
      <c r="R1" s="111"/>
      <c r="S1" s="111"/>
      <c r="T1" s="111"/>
      <c r="U1" s="111"/>
    </row>
    <row r="2" spans="3:25" ht="52.8" x14ac:dyDescent="0.25">
      <c r="C2" s="95" t="s">
        <v>226</v>
      </c>
      <c r="D2" s="96" t="s">
        <v>227</v>
      </c>
      <c r="E2" s="114" t="s">
        <v>236</v>
      </c>
      <c r="F2" s="114" t="s">
        <v>237</v>
      </c>
      <c r="G2" s="114" t="s">
        <v>238</v>
      </c>
      <c r="H2" s="115" t="s">
        <v>228</v>
      </c>
      <c r="I2" s="115" t="s">
        <v>229</v>
      </c>
      <c r="J2" s="116" t="s">
        <v>230</v>
      </c>
      <c r="K2" s="116" t="s">
        <v>231</v>
      </c>
      <c r="L2" s="116" t="s">
        <v>232</v>
      </c>
      <c r="M2" s="116" t="s">
        <v>233</v>
      </c>
      <c r="N2" s="116" t="s">
        <v>234</v>
      </c>
      <c r="O2" s="116" t="s">
        <v>233</v>
      </c>
      <c r="P2" s="117" t="s">
        <v>230</v>
      </c>
      <c r="Q2" s="117" t="s">
        <v>231</v>
      </c>
      <c r="R2" s="117" t="s">
        <v>232</v>
      </c>
      <c r="S2" s="117" t="s">
        <v>233</v>
      </c>
      <c r="T2" s="118" t="s">
        <v>239</v>
      </c>
      <c r="U2" s="117" t="s">
        <v>233</v>
      </c>
    </row>
    <row r="10" spans="3:25" x14ac:dyDescent="0.25">
      <c r="D10" s="43" t="s">
        <v>235</v>
      </c>
      <c r="E10" s="43"/>
      <c r="F10" s="43"/>
      <c r="H10" s="43"/>
      <c r="J10" s="43" t="s">
        <v>221</v>
      </c>
    </row>
    <row r="11" spans="3:25" x14ac:dyDescent="0.25">
      <c r="C11" s="140" t="s">
        <v>222</v>
      </c>
      <c r="D11" s="141"/>
      <c r="E11" s="144" t="s">
        <v>223</v>
      </c>
      <c r="F11" s="145"/>
      <c r="G11" s="145"/>
      <c r="H11" s="145"/>
      <c r="I11" s="146"/>
      <c r="J11" s="142" t="s">
        <v>224</v>
      </c>
      <c r="K11" s="142"/>
      <c r="L11" s="142"/>
      <c r="M11" s="142"/>
      <c r="N11" s="142"/>
      <c r="O11" s="142"/>
      <c r="P11" s="143" t="s">
        <v>225</v>
      </c>
      <c r="Q11" s="143"/>
      <c r="R11" s="143"/>
      <c r="S11" s="143"/>
      <c r="T11" s="143"/>
      <c r="U11" s="143"/>
    </row>
    <row r="12" spans="3:25" ht="52.8" x14ac:dyDescent="0.25">
      <c r="C12" s="95" t="s">
        <v>226</v>
      </c>
      <c r="D12" s="96" t="s">
        <v>227</v>
      </c>
      <c r="E12" s="114" t="s">
        <v>236</v>
      </c>
      <c r="F12" s="114" t="s">
        <v>237</v>
      </c>
      <c r="G12" s="114" t="s">
        <v>238</v>
      </c>
      <c r="H12" s="115" t="s">
        <v>228</v>
      </c>
      <c r="I12" s="115" t="s">
        <v>229</v>
      </c>
      <c r="J12" s="97" t="s">
        <v>230</v>
      </c>
      <c r="K12" s="97" t="s">
        <v>231</v>
      </c>
      <c r="L12" s="97" t="s">
        <v>232</v>
      </c>
      <c r="M12" s="97" t="s">
        <v>233</v>
      </c>
      <c r="N12" s="97" t="s">
        <v>234</v>
      </c>
      <c r="O12" s="97" t="s">
        <v>233</v>
      </c>
      <c r="P12" s="98" t="s">
        <v>230</v>
      </c>
      <c r="Q12" s="98" t="s">
        <v>231</v>
      </c>
      <c r="R12" s="98" t="s">
        <v>232</v>
      </c>
      <c r="S12" s="98" t="s">
        <v>233</v>
      </c>
      <c r="T12" s="118" t="s">
        <v>239</v>
      </c>
      <c r="U12" s="98" t="s">
        <v>233</v>
      </c>
    </row>
    <row r="13" spans="3:25" x14ac:dyDescent="0.25">
      <c r="C13">
        <v>52</v>
      </c>
      <c r="D13" s="113">
        <f>+US!A319</f>
        <v>41067</v>
      </c>
      <c r="E13" s="12">
        <f>+US!H319</f>
        <v>5548.3</v>
      </c>
      <c r="F13" s="12">
        <f>+US!F319</f>
        <v>667</v>
      </c>
      <c r="G13" s="112">
        <f>+US!H319</f>
        <v>5548.3</v>
      </c>
      <c r="H13" s="112">
        <f>+US!F319</f>
        <v>667</v>
      </c>
      <c r="I13" s="112">
        <f>+G13-H13</f>
        <v>4881.3</v>
      </c>
      <c r="J13" s="123">
        <f>+'[1]River Analysis'!AM25</f>
        <v>3671</v>
      </c>
      <c r="K13" s="123">
        <f>+'[1]River Analysis'!AN25</f>
        <v>7372</v>
      </c>
      <c r="L13" s="123">
        <f>+'[1]River Analysis'!AO25</f>
        <v>8390</v>
      </c>
      <c r="M13" s="123">
        <f>+'[1]River Analysis'!AP25</f>
        <v>4319</v>
      </c>
      <c r="N13" s="123">
        <f>+'[1]River Analysis'!AQ25</f>
        <v>22398</v>
      </c>
      <c r="O13" s="123">
        <f>+'[1]River Analysis'!AR25</f>
        <v>17056</v>
      </c>
      <c r="P13" s="123">
        <f>+'[1]River Analysis'!AS25</f>
        <v>100.02724795640326</v>
      </c>
      <c r="Q13" s="123">
        <f>+'[1]River Analysis'!AT25</f>
        <v>200.87193460490462</v>
      </c>
      <c r="R13" s="123">
        <f>+'[1]River Analysis'!AU25</f>
        <v>228.61035422343323</v>
      </c>
      <c r="S13" s="123">
        <f>+'[1]River Analysis'!AV25</f>
        <v>117.68392370572207</v>
      </c>
      <c r="T13" s="123">
        <f>+'[1]River Analysis'!AW25</f>
        <v>610.29972752043591</v>
      </c>
      <c r="U13" s="123">
        <f>+'[1]River Analysis'!AX25</f>
        <v>464.7411444141689</v>
      </c>
      <c r="V13" s="12"/>
      <c r="W13" s="12"/>
      <c r="X13" s="12"/>
      <c r="Y13" s="12"/>
    </row>
    <row r="14" spans="3:25" x14ac:dyDescent="0.25">
      <c r="C14">
        <v>51</v>
      </c>
      <c r="D14" s="113">
        <f>+US!A320</f>
        <v>41074</v>
      </c>
      <c r="E14" s="120">
        <f>+E13+E66</f>
        <v>5439.5098039215691</v>
      </c>
      <c r="F14" s="120">
        <f>+F13+F66</f>
        <v>653.92156862745094</v>
      </c>
      <c r="G14" s="112">
        <f>+US!H320</f>
        <v>6390.2999999999993</v>
      </c>
      <c r="H14" s="112">
        <f>+US!F320</f>
        <v>1262.0999999999999</v>
      </c>
      <c r="I14" s="112">
        <f t="shared" ref="I14:I40" si="0">+G14-H14</f>
        <v>5128.1999999999989</v>
      </c>
      <c r="J14" s="123">
        <f>+J13+'[1]River Analysis'!AM26</f>
        <v>7748</v>
      </c>
      <c r="K14" s="123">
        <f>+K13+'[1]River Analysis'!AN26</f>
        <v>13188</v>
      </c>
      <c r="L14" s="123">
        <f>+L13+'[1]River Analysis'!AO26</f>
        <v>19122</v>
      </c>
      <c r="M14" s="123">
        <f>+M13+'[1]River Analysis'!AP26</f>
        <v>6496</v>
      </c>
      <c r="N14" s="123">
        <f>+N13+'[1]River Analysis'!AQ26</f>
        <v>43354</v>
      </c>
      <c r="O14" s="123">
        <f>+O13+'[1]River Analysis'!AR26</f>
        <v>31118</v>
      </c>
      <c r="P14" s="123">
        <f>+P13+'[1]River Analysis'!AS26</f>
        <v>211.11716621253404</v>
      </c>
      <c r="Q14" s="123">
        <f>+Q13+'[1]River Analysis'!AT26</f>
        <v>359.34604904632147</v>
      </c>
      <c r="R14" s="123">
        <f>+R13+'[1]River Analysis'!AU26</f>
        <v>521.03542234332417</v>
      </c>
      <c r="S14" s="123">
        <f>+S13+'[1]River Analysis'!AV26</f>
        <v>177.00272479564032</v>
      </c>
      <c r="T14" s="123">
        <f>+T13+'[1]River Analysis'!AW26</f>
        <v>1181.3079019073568</v>
      </c>
      <c r="U14" s="123">
        <f>+U13+'[1]River Analysis'!AX26</f>
        <v>847.90190735694819</v>
      </c>
      <c r="V14" s="12"/>
      <c r="W14" s="12"/>
      <c r="X14" s="12"/>
      <c r="Y14" s="12"/>
    </row>
    <row r="15" spans="3:25" x14ac:dyDescent="0.25">
      <c r="C15">
        <v>50</v>
      </c>
      <c r="D15" s="113">
        <f>+US!A321</f>
        <v>41081</v>
      </c>
      <c r="E15" s="120">
        <f t="shared" ref="E15:E64" si="1">+E14+$E$66</f>
        <v>5330.719607843138</v>
      </c>
      <c r="F15" s="120">
        <f>+(E$65-F14)/C15+F14</f>
        <v>640.84313725490188</v>
      </c>
      <c r="G15" s="112">
        <f>+US!H321</f>
        <v>6714.8</v>
      </c>
      <c r="H15" s="112">
        <f>+US!F321</f>
        <v>1734.7</v>
      </c>
      <c r="I15" s="112">
        <f t="shared" si="0"/>
        <v>4980.1000000000004</v>
      </c>
      <c r="J15" s="123">
        <f>+J14+'[1]River Analysis'!AM27</f>
        <v>13215</v>
      </c>
      <c r="K15" s="123">
        <f>+K14+'[1]River Analysis'!AN27</f>
        <v>23554</v>
      </c>
      <c r="L15" s="123">
        <f>+L14+'[1]River Analysis'!AO27</f>
        <v>23708</v>
      </c>
      <c r="M15" s="123">
        <f>+M14+'[1]River Analysis'!AP27</f>
        <v>8521</v>
      </c>
      <c r="N15" s="123">
        <f>+N14+'[1]River Analysis'!AQ27</f>
        <v>62890</v>
      </c>
      <c r="O15" s="123">
        <f>+O14+'[1]River Analysis'!AR27</f>
        <v>44824</v>
      </c>
      <c r="P15" s="123">
        <f>+P14+'[1]River Analysis'!AS27</f>
        <v>360.08174386920979</v>
      </c>
      <c r="Q15" s="123">
        <f>+Q14+'[1]River Analysis'!AT27</f>
        <v>641.79836512261568</v>
      </c>
      <c r="R15" s="123">
        <f>+R14+'[1]River Analysis'!AU27</f>
        <v>645.99455040871931</v>
      </c>
      <c r="S15" s="123">
        <f>+S14+'[1]River Analysis'!AV27</f>
        <v>232.17983651226157</v>
      </c>
      <c r="T15" s="123">
        <f>+T14+'[1]River Analysis'!AW27</f>
        <v>1713.6239782016346</v>
      </c>
      <c r="U15" s="123">
        <f>+U14+'[1]River Analysis'!AX27</f>
        <v>1221.3623978201636</v>
      </c>
    </row>
    <row r="16" spans="3:25" x14ac:dyDescent="0.25">
      <c r="C16">
        <v>49</v>
      </c>
      <c r="D16" s="113">
        <f>+US!A322</f>
        <v>41088</v>
      </c>
      <c r="E16" s="120">
        <f t="shared" si="1"/>
        <v>5221.9294117647069</v>
      </c>
      <c r="F16" s="120">
        <f t="shared" ref="F16:F64" si="2">+(E$65-F15)/C16+F15</f>
        <v>627.76470588235281</v>
      </c>
      <c r="G16" s="112">
        <f>+US!H322</f>
        <v>7133.7000000000007</v>
      </c>
      <c r="H16" s="112">
        <f>+US!F322</f>
        <v>2331.6</v>
      </c>
      <c r="I16" s="112">
        <f t="shared" si="0"/>
        <v>4802.1000000000004</v>
      </c>
      <c r="J16" s="123">
        <f>+J15+'[1]River Analysis'!AM28</f>
        <v>16706</v>
      </c>
      <c r="K16" s="123">
        <f>+K15+'[1]River Analysis'!AN28</f>
        <v>32992</v>
      </c>
      <c r="L16" s="123">
        <f>+L15+'[1]River Analysis'!AO28</f>
        <v>29046</v>
      </c>
      <c r="M16" s="123">
        <f>+M15+'[1]River Analysis'!AP28</f>
        <v>11298</v>
      </c>
      <c r="N16" s="123">
        <f>+N15+'[1]River Analysis'!AQ28</f>
        <v>85623</v>
      </c>
      <c r="O16" s="123">
        <f>+O15+'[1]River Analysis'!AR28</f>
        <v>63137</v>
      </c>
      <c r="P16" s="123">
        <f>+P15+'[1]River Analysis'!AS28</f>
        <v>455.2043596730245</v>
      </c>
      <c r="Q16" s="123">
        <f>+Q15+'[1]River Analysis'!AT28</f>
        <v>898.9645776566756</v>
      </c>
      <c r="R16" s="123">
        <f>+R15+'[1]River Analysis'!AU28</f>
        <v>791.44414168937328</v>
      </c>
      <c r="S16" s="123">
        <f>+S15+'[1]River Analysis'!AV28</f>
        <v>307.8474114441417</v>
      </c>
      <c r="T16" s="123">
        <f>+T15+'[1]River Analysis'!AW28</f>
        <v>2333.051771117166</v>
      </c>
      <c r="U16" s="123">
        <f>+U15+'[1]River Analysis'!AX28</f>
        <v>1720.3542234332426</v>
      </c>
    </row>
    <row r="17" spans="3:21" x14ac:dyDescent="0.25">
      <c r="C17">
        <v>48</v>
      </c>
      <c r="D17" s="113">
        <f>+US!A323</f>
        <v>41095</v>
      </c>
      <c r="E17" s="120">
        <f t="shared" si="1"/>
        <v>5113.1392156862757</v>
      </c>
      <c r="F17" s="120">
        <f t="shared" si="2"/>
        <v>614.68627450980375</v>
      </c>
      <c r="G17" s="112">
        <f>+US!H323</f>
        <v>7445.5</v>
      </c>
      <c r="H17" s="112">
        <f>+US!F323</f>
        <v>2742.6</v>
      </c>
      <c r="I17" s="112">
        <f t="shared" si="0"/>
        <v>4702.8999999999996</v>
      </c>
      <c r="J17" s="123">
        <f>+J16+'[1]River Analysis'!AM29</f>
        <v>18232</v>
      </c>
      <c r="K17" s="123">
        <f>+K16+'[1]River Analysis'!AN29</f>
        <v>42379</v>
      </c>
      <c r="L17" s="123">
        <f>+L16+'[1]River Analysis'!AO29</f>
        <v>35551</v>
      </c>
      <c r="M17" s="123">
        <f>+M16+'[1]River Analysis'!AP29</f>
        <v>11901</v>
      </c>
      <c r="N17" s="123">
        <f>+N16+'[1]River Analysis'!AQ29</f>
        <v>100778</v>
      </c>
      <c r="O17" s="123">
        <f>+O16+'[1]River Analysis'!AR29</f>
        <v>81540</v>
      </c>
      <c r="P17" s="123">
        <f>+P16+'[1]River Analysis'!AS29</f>
        <v>496.78474114441417</v>
      </c>
      <c r="Q17" s="123">
        <f>+Q16+'[1]River Analysis'!AT29</f>
        <v>1154.7411444141687</v>
      </c>
      <c r="R17" s="123">
        <f>+R16+'[1]River Analysis'!AU29</f>
        <v>968.69209809264305</v>
      </c>
      <c r="S17" s="123">
        <f>+S16+'[1]River Analysis'!AV29</f>
        <v>324.27792915531336</v>
      </c>
      <c r="T17" s="123">
        <f>+T16+'[1]River Analysis'!AW29</f>
        <v>2745.9945504087191</v>
      </c>
      <c r="U17" s="123">
        <f>+U16+'[1]River Analysis'!AX29</f>
        <v>2221.7983651226159</v>
      </c>
    </row>
    <row r="18" spans="3:21" x14ac:dyDescent="0.25">
      <c r="C18">
        <v>47</v>
      </c>
      <c r="D18" s="113">
        <f>+US!A324</f>
        <v>41102</v>
      </c>
      <c r="E18" s="120">
        <f t="shared" si="1"/>
        <v>5004.3490196078446</v>
      </c>
      <c r="F18" s="120">
        <f t="shared" si="2"/>
        <v>601.60784313725469</v>
      </c>
      <c r="G18" s="112">
        <f>+US!H324</f>
        <v>8034.7000000000007</v>
      </c>
      <c r="H18" s="112">
        <f>+US!F324</f>
        <v>3113.1</v>
      </c>
      <c r="I18" s="112">
        <f t="shared" si="0"/>
        <v>4921.6000000000004</v>
      </c>
      <c r="J18" s="123">
        <f>+J17+'[1]River Analysis'!AM30</f>
        <v>21589</v>
      </c>
      <c r="K18" s="123">
        <f>+K17+'[1]River Analysis'!AN30</f>
        <v>46686</v>
      </c>
      <c r="L18" s="123">
        <f>+L17+'[1]River Analysis'!AO30</f>
        <v>42429</v>
      </c>
      <c r="M18" s="123">
        <f>+M17+'[1]River Analysis'!AP30</f>
        <v>14091</v>
      </c>
      <c r="N18" s="123">
        <f>+N17+'[1]River Analysis'!AQ30</f>
        <v>115993</v>
      </c>
      <c r="O18" s="123">
        <f>+O17+'[1]River Analysis'!AR30</f>
        <v>95770</v>
      </c>
      <c r="P18" s="123">
        <f>+P17+'[1]River Analysis'!AS30</f>
        <v>588.2561307901907</v>
      </c>
      <c r="Q18" s="123">
        <f>+Q17+'[1]River Analysis'!AT30</f>
        <v>1272.0980926430516</v>
      </c>
      <c r="R18" s="123">
        <f>+R17+'[1]River Analysis'!AU30</f>
        <v>1156.1035422343325</v>
      </c>
      <c r="S18" s="123">
        <f>+S17+'[1]River Analysis'!AV30</f>
        <v>383.95095367847409</v>
      </c>
      <c r="T18" s="123">
        <f>+T17+'[1]River Analysis'!AW30</f>
        <v>3160.5722070844686</v>
      </c>
      <c r="U18" s="123">
        <f>+U17+'[1]River Analysis'!AX30</f>
        <v>2609.5367847411444</v>
      </c>
    </row>
    <row r="19" spans="3:21" x14ac:dyDescent="0.25">
      <c r="C19">
        <v>46</v>
      </c>
      <c r="D19" s="113">
        <f>+US!A325</f>
        <v>41109</v>
      </c>
      <c r="E19" s="120">
        <f t="shared" si="1"/>
        <v>4895.5588235294135</v>
      </c>
      <c r="F19" s="120">
        <f t="shared" si="2"/>
        <v>588.52941176470563</v>
      </c>
      <c r="G19" s="112">
        <f>+US!H325</f>
        <v>8401.7000000000007</v>
      </c>
      <c r="H19" s="112">
        <f>+US!F325</f>
        <v>3383</v>
      </c>
      <c r="I19" s="112">
        <f t="shared" si="0"/>
        <v>5018.7000000000007</v>
      </c>
      <c r="J19" s="123">
        <f>+J18+'[1]River Analysis'!AM31</f>
        <v>23412</v>
      </c>
      <c r="K19" s="123">
        <f>+K18+'[1]River Analysis'!AN31</f>
        <v>53264</v>
      </c>
      <c r="L19" s="123">
        <f>+L18+'[1]River Analysis'!AO31</f>
        <v>48052</v>
      </c>
      <c r="M19" s="123">
        <f>+M18+'[1]River Analysis'!AP31</f>
        <v>20027</v>
      </c>
      <c r="N19" s="123">
        <f>+N18+'[1]River Analysis'!AQ31</f>
        <v>127789</v>
      </c>
      <c r="O19" s="123">
        <f>+O18+'[1]River Analysis'!AR31</f>
        <v>119382</v>
      </c>
      <c r="P19" s="123">
        <f>+P18+'[1]River Analysis'!AS31</f>
        <v>637.92915531335143</v>
      </c>
      <c r="Q19" s="123">
        <f>+Q18+'[1]River Analysis'!AT31</f>
        <v>1451.3351498637601</v>
      </c>
      <c r="R19" s="123">
        <f>+R18+'[1]River Analysis'!AU31</f>
        <v>1309.3188010899185</v>
      </c>
      <c r="S19" s="123">
        <f>+S18+'[1]River Analysis'!AV31</f>
        <v>545.6948228882834</v>
      </c>
      <c r="T19" s="123">
        <f>+T18+'[1]River Analysis'!AW31</f>
        <v>3481.9891008174386</v>
      </c>
      <c r="U19" s="123">
        <f>+U18+'[1]River Analysis'!AX31</f>
        <v>3252.9155313351498</v>
      </c>
    </row>
    <row r="20" spans="3:21" x14ac:dyDescent="0.25">
      <c r="C20">
        <v>45</v>
      </c>
      <c r="D20" s="113">
        <f>+US!A326</f>
        <v>41116</v>
      </c>
      <c r="E20" s="120">
        <f t="shared" si="1"/>
        <v>4786.7686274509824</v>
      </c>
      <c r="F20" s="120">
        <f t="shared" si="2"/>
        <v>575.45098039215657</v>
      </c>
      <c r="G20" s="112">
        <f>+US!H326</f>
        <v>8917.9000000000015</v>
      </c>
      <c r="H20" s="112">
        <f>+US!F326</f>
        <v>3846.3</v>
      </c>
      <c r="I20" s="112">
        <f t="shared" si="0"/>
        <v>5071.6000000000013</v>
      </c>
      <c r="J20" s="123">
        <f>+J19+'[1]River Analysis'!AM32</f>
        <v>28603</v>
      </c>
      <c r="K20" s="123">
        <f>+K19+'[1]River Analysis'!AN32</f>
        <v>58592</v>
      </c>
      <c r="L20" s="123">
        <f>+L19+'[1]River Analysis'!AO32</f>
        <v>53358</v>
      </c>
      <c r="M20" s="123">
        <f>+M19+'[1]River Analysis'!AP32</f>
        <v>22793</v>
      </c>
      <c r="N20" s="123">
        <f>+N19+'[1]River Analysis'!AQ32</f>
        <v>146849</v>
      </c>
      <c r="O20" s="123">
        <f>+O19+'[1]River Analysis'!AR32</f>
        <v>135417</v>
      </c>
      <c r="P20" s="123">
        <f>+P19+'[1]River Analysis'!AS32</f>
        <v>779.37329700272471</v>
      </c>
      <c r="Q20" s="123">
        <f>+Q19+'[1]River Analysis'!AT32</f>
        <v>1596.5122615803814</v>
      </c>
      <c r="R20" s="123">
        <f>+R19+'[1]River Analysis'!AU32</f>
        <v>1453.8964577656677</v>
      </c>
      <c r="S20" s="123">
        <f>+S19+'[1]River Analysis'!AV32</f>
        <v>621.06267029972753</v>
      </c>
      <c r="T20" s="123">
        <f>+T19+'[1]River Analysis'!AW32</f>
        <v>4001.3351498637603</v>
      </c>
      <c r="U20" s="123">
        <f>+U19+'[1]River Analysis'!AX32</f>
        <v>3689.8365122615805</v>
      </c>
    </row>
    <row r="21" spans="3:21" x14ac:dyDescent="0.25">
      <c r="C21">
        <v>44</v>
      </c>
      <c r="D21" s="113">
        <f>+US!A327</f>
        <v>41123</v>
      </c>
      <c r="E21" s="120">
        <f t="shared" si="1"/>
        <v>4677.9784313725513</v>
      </c>
      <c r="F21" s="120">
        <f t="shared" si="2"/>
        <v>562.3725490196075</v>
      </c>
      <c r="G21" s="112">
        <f>+US!H327</f>
        <v>9583.1</v>
      </c>
      <c r="H21" s="112">
        <f>+US!F327</f>
        <v>4442.5</v>
      </c>
      <c r="I21" s="112">
        <f t="shared" si="0"/>
        <v>5140.6000000000004</v>
      </c>
      <c r="J21" s="123">
        <f>+J20+'[1]River Analysis'!AM33</f>
        <v>34663</v>
      </c>
      <c r="K21" s="123">
        <f>+K20+'[1]River Analysis'!AN33</f>
        <v>68357</v>
      </c>
      <c r="L21" s="123">
        <f>+L20+'[1]River Analysis'!AO33</f>
        <v>61516</v>
      </c>
      <c r="M21" s="123">
        <f>+M20+'[1]River Analysis'!AP33</f>
        <v>26407</v>
      </c>
      <c r="N21" s="123">
        <f>+N20+'[1]River Analysis'!AQ33</f>
        <v>168058</v>
      </c>
      <c r="O21" s="123">
        <f>+O20+'[1]River Analysis'!AR33</f>
        <v>159534</v>
      </c>
      <c r="P21" s="123">
        <f>+P20+'[1]River Analysis'!AS33</f>
        <v>944.49591280653942</v>
      </c>
      <c r="Q21" s="123">
        <f>+Q20+'[1]River Analysis'!AT33</f>
        <v>1862.5885558583104</v>
      </c>
      <c r="R21" s="123">
        <f>+R20+'[1]River Analysis'!AU33</f>
        <v>1676.1852861035422</v>
      </c>
      <c r="S21" s="123">
        <f>+S20+'[1]River Analysis'!AV33</f>
        <v>719.5367847411444</v>
      </c>
      <c r="T21" s="123">
        <f>+T20+'[1]River Analysis'!AW33</f>
        <v>4579.2370572207083</v>
      </c>
      <c r="U21" s="123">
        <f>+U20+'[1]River Analysis'!AX33</f>
        <v>4346.9754768392377</v>
      </c>
    </row>
    <row r="22" spans="3:21" x14ac:dyDescent="0.25">
      <c r="C22">
        <v>43</v>
      </c>
      <c r="D22" s="113">
        <f>+US!A328</f>
        <v>41130</v>
      </c>
      <c r="E22" s="120">
        <f t="shared" si="1"/>
        <v>4569.1882352941202</v>
      </c>
      <c r="F22" s="120">
        <f t="shared" si="2"/>
        <v>549.29411764705844</v>
      </c>
      <c r="G22" s="112">
        <f>+US!H328</f>
        <v>9979.7999999999993</v>
      </c>
      <c r="H22" s="112">
        <f>+US!F328</f>
        <v>5001.5</v>
      </c>
      <c r="I22" s="112">
        <f t="shared" si="0"/>
        <v>4978.2999999999993</v>
      </c>
      <c r="J22" s="123">
        <f>+J21+'[1]River Analysis'!AM34</f>
        <v>37069</v>
      </c>
      <c r="K22" s="123">
        <f>+K21+'[1]River Analysis'!AN34</f>
        <v>75286</v>
      </c>
      <c r="L22" s="123">
        <f>+L21+'[1]River Analysis'!AO34</f>
        <v>75422</v>
      </c>
      <c r="M22" s="123">
        <f>+M21+'[1]River Analysis'!AP34</f>
        <v>27295</v>
      </c>
      <c r="N22" s="123">
        <f>+N21+'[1]River Analysis'!AQ34</f>
        <v>190343</v>
      </c>
      <c r="O22" s="123">
        <f>+O21+'[1]River Analysis'!AR34</f>
        <v>174386</v>
      </c>
      <c r="P22" s="123">
        <f>+P21+'[1]River Analysis'!AS34</f>
        <v>1010.0544959128065</v>
      </c>
      <c r="Q22" s="123">
        <f>+Q21+'[1]River Analysis'!AT34</f>
        <v>2051.3896457765663</v>
      </c>
      <c r="R22" s="123">
        <f>+R21+'[1]River Analysis'!AU34</f>
        <v>2055.0953678474116</v>
      </c>
      <c r="S22" s="123">
        <f>+S21+'[1]River Analysis'!AV34</f>
        <v>743.73297002724792</v>
      </c>
      <c r="T22" s="123">
        <f>+T21+'[1]River Analysis'!AW34</f>
        <v>5186.4577656675747</v>
      </c>
      <c r="U22" s="123">
        <f>+U21+'[1]River Analysis'!AX34</f>
        <v>4751.6621253406001</v>
      </c>
    </row>
    <row r="23" spans="3:21" x14ac:dyDescent="0.25">
      <c r="C23">
        <v>42</v>
      </c>
      <c r="D23" s="113">
        <f>+US!A329</f>
        <v>41137</v>
      </c>
      <c r="E23" s="120">
        <f t="shared" si="1"/>
        <v>4460.3980392156891</v>
      </c>
      <c r="F23" s="120">
        <f t="shared" si="2"/>
        <v>536.21568627450938</v>
      </c>
      <c r="G23" s="112">
        <f>+US!H329</f>
        <v>10419.9</v>
      </c>
      <c r="H23" s="112">
        <f>+US!F329</f>
        <v>5671</v>
      </c>
      <c r="I23" s="112">
        <f t="shared" si="0"/>
        <v>4748.8999999999996</v>
      </c>
      <c r="J23" s="123">
        <f>+J22+'[1]River Analysis'!AM35</f>
        <v>40530</v>
      </c>
      <c r="K23" s="123">
        <f>+K22+'[1]River Analysis'!AN35</f>
        <v>84285</v>
      </c>
      <c r="L23" s="123">
        <f>+L22+'[1]River Analysis'!AO35</f>
        <v>90834</v>
      </c>
      <c r="M23" s="123">
        <f>+M22+'[1]River Analysis'!AP35</f>
        <v>31305</v>
      </c>
      <c r="N23" s="123">
        <f>+N22+'[1]River Analysis'!AQ35</f>
        <v>213767</v>
      </c>
      <c r="O23" s="123">
        <f>+O22+'[1]River Analysis'!AR35</f>
        <v>196241</v>
      </c>
      <c r="P23" s="123">
        <f>+P22+'[1]River Analysis'!AS35</f>
        <v>1104.3596730245231</v>
      </c>
      <c r="Q23" s="123">
        <f>+Q22+'[1]River Analysis'!AT35</f>
        <v>2296.5940054495909</v>
      </c>
      <c r="R23" s="123">
        <f>+R22+'[1]River Analysis'!AU35</f>
        <v>2475.0408719346051</v>
      </c>
      <c r="S23" s="123">
        <f>+S22+'[1]River Analysis'!AV35</f>
        <v>852.99727520435965</v>
      </c>
      <c r="T23" s="123">
        <f>+T22+'[1]River Analysis'!AW35</f>
        <v>5824.7138964577653</v>
      </c>
      <c r="U23" s="123">
        <f>+U22+'[1]River Analysis'!AX35</f>
        <v>5347.1662125340608</v>
      </c>
    </row>
    <row r="24" spans="3:21" x14ac:dyDescent="0.25">
      <c r="C24">
        <v>41</v>
      </c>
      <c r="D24" s="113">
        <f>+US!A330</f>
        <v>41144</v>
      </c>
      <c r="E24" s="120">
        <f t="shared" si="1"/>
        <v>4351.607843137258</v>
      </c>
      <c r="F24" s="120">
        <f t="shared" si="2"/>
        <v>523.13725490196032</v>
      </c>
      <c r="G24" s="112">
        <f>+US!H330</f>
        <v>10928.4</v>
      </c>
      <c r="H24" s="112">
        <f>+US!F330</f>
        <v>6230.4</v>
      </c>
      <c r="I24" s="112">
        <f t="shared" si="0"/>
        <v>4698</v>
      </c>
      <c r="J24" s="123">
        <f>+J23+'[1]River Analysis'!AM36</f>
        <v>42219</v>
      </c>
      <c r="K24" s="123">
        <f>+K23+'[1]River Analysis'!AN36</f>
        <v>93688</v>
      </c>
      <c r="L24" s="123">
        <f>+L23+'[1]River Analysis'!AO36</f>
        <v>105895</v>
      </c>
      <c r="M24" s="123">
        <f>+M23+'[1]River Analysis'!AP36</f>
        <v>31913</v>
      </c>
      <c r="N24" s="123">
        <f>+N23+'[1]River Analysis'!AQ36</f>
        <v>232655</v>
      </c>
      <c r="O24" s="123">
        <f>+O23+'[1]River Analysis'!AR36</f>
        <v>221008</v>
      </c>
      <c r="P24" s="123">
        <f>+P23+'[1]River Analysis'!AS36</f>
        <v>1150.3814713896456</v>
      </c>
      <c r="Q24" s="123">
        <f>+Q23+'[1]River Analysis'!AT36</f>
        <v>2552.8065395095364</v>
      </c>
      <c r="R24" s="123">
        <f>+R23+'[1]River Analysis'!AU36</f>
        <v>2885.422343324251</v>
      </c>
      <c r="S24" s="123">
        <f>+S23+'[1]River Analysis'!AV36</f>
        <v>869.56403269754765</v>
      </c>
      <c r="T24" s="123">
        <f>+T23+'[1]River Analysis'!AW36</f>
        <v>6339.373297002724</v>
      </c>
      <c r="U24" s="123">
        <f>+U23+'[1]River Analysis'!AX36</f>
        <v>6022.0163487738428</v>
      </c>
    </row>
    <row r="25" spans="3:21" x14ac:dyDescent="0.25">
      <c r="C25">
        <v>40</v>
      </c>
      <c r="D25" s="113">
        <f>+US!A331</f>
        <v>41151</v>
      </c>
      <c r="E25" s="120">
        <f t="shared" si="1"/>
        <v>4242.8176470588269</v>
      </c>
      <c r="F25" s="120">
        <f t="shared" si="2"/>
        <v>510.05882352941131</v>
      </c>
      <c r="G25" s="112">
        <f>+US!H331</f>
        <v>11477.2</v>
      </c>
      <c r="H25" s="112">
        <f>+US!F331</f>
        <v>6825</v>
      </c>
      <c r="I25" s="112">
        <f t="shared" si="0"/>
        <v>4652.2000000000007</v>
      </c>
      <c r="J25" s="123">
        <f>+J24+'[1]River Analysis'!AM37</f>
        <v>46719</v>
      </c>
      <c r="K25" s="123">
        <f>+K24+'[1]River Analysis'!AN37</f>
        <v>103993</v>
      </c>
      <c r="L25" s="123">
        <f>+L24+'[1]River Analysis'!AO37</f>
        <v>122617</v>
      </c>
      <c r="M25" s="123">
        <f>+M24+'[1]River Analysis'!AP37</f>
        <v>35551</v>
      </c>
      <c r="N25" s="123">
        <f>+N24+'[1]River Analysis'!AQ37</f>
        <v>258101</v>
      </c>
      <c r="O25" s="123">
        <f>+O24+'[1]River Analysis'!AR37</f>
        <v>248670</v>
      </c>
      <c r="P25" s="123">
        <f>+P24+'[1]River Analysis'!AS37</f>
        <v>1272.9972752043595</v>
      </c>
      <c r="Q25" s="123">
        <f>+Q24+'[1]River Analysis'!AT37</f>
        <v>2833.5967302452314</v>
      </c>
      <c r="R25" s="123">
        <f>+R24+'[1]River Analysis'!AU37</f>
        <v>3341.0626702997279</v>
      </c>
      <c r="S25" s="123">
        <f>+S24+'[1]River Analysis'!AV37</f>
        <v>968.69209809264305</v>
      </c>
      <c r="T25" s="123">
        <f>+T24+'[1]River Analysis'!AW37</f>
        <v>7032.7247956403262</v>
      </c>
      <c r="U25" s="123">
        <f>+U24+'[1]River Analysis'!AX37</f>
        <v>6775.7493188010903</v>
      </c>
    </row>
    <row r="26" spans="3:21" x14ac:dyDescent="0.25">
      <c r="C26">
        <v>39</v>
      </c>
      <c r="D26" s="113">
        <f>+US!A332</f>
        <v>41158</v>
      </c>
      <c r="E26" s="120">
        <f t="shared" si="1"/>
        <v>4134.0274509803958</v>
      </c>
      <c r="F26" s="120">
        <f t="shared" si="2"/>
        <v>496.98039215686231</v>
      </c>
      <c r="G26" s="112">
        <f>+US!H332</f>
        <v>11859.1</v>
      </c>
      <c r="H26" s="112">
        <f>+US!F332</f>
        <v>7312.5</v>
      </c>
      <c r="I26" s="112">
        <f t="shared" si="0"/>
        <v>4546.6000000000004</v>
      </c>
      <c r="J26" s="123">
        <f>+J25+'[1]River Analysis'!AM38</f>
        <v>47347</v>
      </c>
      <c r="K26" s="123">
        <f>+K25+'[1]River Analysis'!AN38</f>
        <v>111543</v>
      </c>
      <c r="L26" s="123">
        <f>+L25+'[1]River Analysis'!AO38</f>
        <v>135710</v>
      </c>
      <c r="M26" s="123">
        <f>+M25+'[1]River Analysis'!AP38</f>
        <v>40432</v>
      </c>
      <c r="N26" s="123">
        <f>+N25+'[1]River Analysis'!AQ38</f>
        <v>278991</v>
      </c>
      <c r="O26" s="123">
        <f>+O25+'[1]River Analysis'!AR38</f>
        <v>272576</v>
      </c>
      <c r="P26" s="123">
        <f>+P25+'[1]River Analysis'!AS38</f>
        <v>1290.108991825613</v>
      </c>
      <c r="Q26" s="123">
        <f>+Q25+'[1]River Analysis'!AT38</f>
        <v>3039.318801089918</v>
      </c>
      <c r="R26" s="123">
        <f>+R25+'[1]River Analysis'!AU38</f>
        <v>3697.8201634877387</v>
      </c>
      <c r="S26" s="123">
        <f>+S25+'[1]River Analysis'!AV38</f>
        <v>1101.6893732970027</v>
      </c>
      <c r="T26" s="123">
        <f>+T25+'[1]River Analysis'!AW38</f>
        <v>7601.9346049046317</v>
      </c>
      <c r="U26" s="123">
        <f>+U25+'[1]River Analysis'!AX38</f>
        <v>7427.1389645776571</v>
      </c>
    </row>
    <row r="27" spans="3:21" x14ac:dyDescent="0.25">
      <c r="C27">
        <v>38</v>
      </c>
      <c r="D27" s="113">
        <f>+US!A333</f>
        <v>41165</v>
      </c>
      <c r="E27" s="120">
        <f t="shared" si="1"/>
        <v>4025.2372549019642</v>
      </c>
      <c r="F27" s="120">
        <f t="shared" si="2"/>
        <v>483.9019607843133</v>
      </c>
      <c r="G27" s="112">
        <f>+US!H333</f>
        <v>12348</v>
      </c>
      <c r="H27" s="112">
        <f>+US!F333</f>
        <v>8088.5</v>
      </c>
      <c r="I27" s="112">
        <f t="shared" si="0"/>
        <v>4259.5</v>
      </c>
      <c r="J27" s="123">
        <f>+J26+'[1]River Analysis'!AM39</f>
        <v>50919</v>
      </c>
      <c r="K27" s="123">
        <f>+K26+'[1]River Analysis'!AN39</f>
        <v>121349</v>
      </c>
      <c r="L27" s="123">
        <f>+L26+'[1]River Analysis'!AO39</f>
        <v>152162</v>
      </c>
      <c r="M27" s="123">
        <f>+M26+'[1]River Analysis'!AP39</f>
        <v>44598</v>
      </c>
      <c r="N27" s="123">
        <f>+N26+'[1]River Analysis'!AQ39</f>
        <v>308440</v>
      </c>
      <c r="O27" s="123">
        <f>+O26+'[1]River Analysis'!AR39</f>
        <v>304786</v>
      </c>
      <c r="P27" s="123">
        <f>+P26+'[1]River Analysis'!AS39</f>
        <v>1387.4386920980926</v>
      </c>
      <c r="Q27" s="123">
        <f>+Q26+'[1]River Analysis'!AT39</f>
        <v>3306.5122615803812</v>
      </c>
      <c r="R27" s="123">
        <f>+R26+'[1]River Analysis'!AU39</f>
        <v>4146.103542234333</v>
      </c>
      <c r="S27" s="123">
        <f>+S26+'[1]River Analysis'!AV39</f>
        <v>1215.2043596730246</v>
      </c>
      <c r="T27" s="123">
        <f>+T26+'[1]River Analysis'!AW39</f>
        <v>8404.3596730245226</v>
      </c>
      <c r="U27" s="123">
        <f>+U26+'[1]River Analysis'!AX39</f>
        <v>8304.7956403269764</v>
      </c>
    </row>
    <row r="28" spans="3:21" x14ac:dyDescent="0.25">
      <c r="C28">
        <v>37</v>
      </c>
      <c r="D28" s="113">
        <f>+US!A334</f>
        <v>41172</v>
      </c>
      <c r="E28" s="120">
        <f t="shared" si="1"/>
        <v>3916.4470588235326</v>
      </c>
      <c r="F28" s="120">
        <f t="shared" si="2"/>
        <v>470.8235294117643</v>
      </c>
      <c r="G28" s="112">
        <f>+US!H334</f>
        <v>12773.9</v>
      </c>
      <c r="H28" s="112">
        <f>+US!F334</f>
        <v>8630.7999999999993</v>
      </c>
      <c r="I28" s="112">
        <f t="shared" si="0"/>
        <v>4143.1000000000004</v>
      </c>
      <c r="J28" s="123">
        <f>+J27+'[1]River Analysis'!AM40</f>
        <v>55695</v>
      </c>
      <c r="K28" s="123">
        <f>+K27+'[1]River Analysis'!AN40</f>
        <v>135278</v>
      </c>
      <c r="L28" s="123">
        <f>+L27+'[1]River Analysis'!AO40</f>
        <v>163068</v>
      </c>
      <c r="M28" s="123">
        <f>+M27+'[1]River Analysis'!AP40</f>
        <v>47482</v>
      </c>
      <c r="N28" s="123">
        <f>+N27+'[1]River Analysis'!AQ40</f>
        <v>331060</v>
      </c>
      <c r="O28" s="123">
        <f>+O27+'[1]River Analysis'!AR40</f>
        <v>338246</v>
      </c>
      <c r="P28" s="123">
        <f>+P27+'[1]River Analysis'!AS40</f>
        <v>1517.574931880109</v>
      </c>
      <c r="Q28" s="123">
        <f>+Q27+'[1]River Analysis'!AT40</f>
        <v>3686.0490463215256</v>
      </c>
      <c r="R28" s="123">
        <f>+R27+'[1]River Analysis'!AU40</f>
        <v>4443.2697547683929</v>
      </c>
      <c r="S28" s="123">
        <f>+S27+'[1]River Analysis'!AV40</f>
        <v>1293.7874659400545</v>
      </c>
      <c r="T28" s="123">
        <f>+T27+'[1]River Analysis'!AW40</f>
        <v>9020.7084468664852</v>
      </c>
      <c r="U28" s="123">
        <f>+U27+'[1]River Analysis'!AX40</f>
        <v>9216.512261580383</v>
      </c>
    </row>
    <row r="29" spans="3:21" x14ac:dyDescent="0.25">
      <c r="C29">
        <v>36</v>
      </c>
      <c r="D29" s="113">
        <f>+US!A335</f>
        <v>41179</v>
      </c>
      <c r="E29" s="120">
        <f t="shared" si="1"/>
        <v>3807.6568627451011</v>
      </c>
      <c r="F29" s="120">
        <f t="shared" si="2"/>
        <v>457.74509803921529</v>
      </c>
      <c r="G29" s="112">
        <f>+US!H335</f>
        <v>13081</v>
      </c>
      <c r="H29" s="112">
        <f>+US!F335</f>
        <v>9221.7999999999993</v>
      </c>
      <c r="I29" s="112">
        <f t="shared" si="0"/>
        <v>3859.2000000000007</v>
      </c>
      <c r="J29" s="123">
        <f>+J28+'[1]River Analysis'!AM41</f>
        <v>57630</v>
      </c>
      <c r="K29" s="123">
        <f>+K28+'[1]River Analysis'!AN41</f>
        <v>144812</v>
      </c>
      <c r="L29" s="123">
        <f>+L28+'[1]River Analysis'!AO41</f>
        <v>175331</v>
      </c>
      <c r="M29" s="123">
        <f>+M28+'[1]River Analysis'!AP41</f>
        <v>51165</v>
      </c>
      <c r="N29" s="123">
        <f>+N28+'[1]River Analysis'!AQ41</f>
        <v>355613</v>
      </c>
      <c r="O29" s="123">
        <f>+O28+'[1]River Analysis'!AR41</f>
        <v>363244</v>
      </c>
      <c r="P29" s="123">
        <f>+P28+'[1]River Analysis'!AS41</f>
        <v>1570.2997275204359</v>
      </c>
      <c r="Q29" s="123">
        <f>+Q28+'[1]River Analysis'!AT41</f>
        <v>3945.8310626702996</v>
      </c>
      <c r="R29" s="123">
        <f>+R28+'[1]River Analysis'!AU41</f>
        <v>4777.4114441416896</v>
      </c>
      <c r="S29" s="123">
        <f>+S28+'[1]River Analysis'!AV41</f>
        <v>1394.1416893732969</v>
      </c>
      <c r="T29" s="123">
        <f>+T28+'[1]River Analysis'!AW41</f>
        <v>9689.7275204359667</v>
      </c>
      <c r="U29" s="123">
        <f>+U28+'[1]River Analysis'!AX41</f>
        <v>9897.6566757493201</v>
      </c>
    </row>
    <row r="30" spans="3:21" x14ac:dyDescent="0.25">
      <c r="C30">
        <v>35</v>
      </c>
      <c r="D30" s="113">
        <f>+US!A336</f>
        <v>41186</v>
      </c>
      <c r="E30" s="120">
        <f t="shared" si="1"/>
        <v>3698.8666666666695</v>
      </c>
      <c r="F30" s="120">
        <f t="shared" si="2"/>
        <v>444.66666666666629</v>
      </c>
      <c r="G30" s="112">
        <f>+US!H336</f>
        <v>13360.9</v>
      </c>
      <c r="H30" s="112">
        <f>+US!F336</f>
        <v>9604</v>
      </c>
      <c r="I30" s="112">
        <f t="shared" si="0"/>
        <v>3756.8999999999996</v>
      </c>
      <c r="J30" s="123">
        <f>+J29+'[1]River Analysis'!AM42</f>
        <v>60357</v>
      </c>
      <c r="K30" s="123">
        <f>+K29+'[1]River Analysis'!AN42</f>
        <v>156293</v>
      </c>
      <c r="L30" s="123">
        <f>+L29+'[1]River Analysis'!AO42</f>
        <v>178629</v>
      </c>
      <c r="M30" s="123">
        <f>+M29+'[1]River Analysis'!AP42</f>
        <v>53228</v>
      </c>
      <c r="N30" s="123">
        <f>+N29+'[1]River Analysis'!AQ42</f>
        <v>369458</v>
      </c>
      <c r="O30" s="123">
        <f>+O29+'[1]River Analysis'!AR42</f>
        <v>394143</v>
      </c>
      <c r="P30" s="123">
        <f>+P29+'[1]River Analysis'!AS42</f>
        <v>1644.6049046321525</v>
      </c>
      <c r="Q30" s="123">
        <f>+Q29+'[1]River Analysis'!AT42</f>
        <v>4258.6648501362397</v>
      </c>
      <c r="R30" s="123">
        <f>+R29+'[1]River Analysis'!AU42</f>
        <v>4867.2752043596729</v>
      </c>
      <c r="S30" s="123">
        <f>+S29+'[1]River Analysis'!AV42</f>
        <v>1450.3542234332424</v>
      </c>
      <c r="T30" s="123">
        <f>+T29+'[1]River Analysis'!AW42</f>
        <v>10066.975476839236</v>
      </c>
      <c r="U30" s="123">
        <f>+U29+'[1]River Analysis'!AX42</f>
        <v>10739.591280653953</v>
      </c>
    </row>
    <row r="31" spans="3:21" x14ac:dyDescent="0.25">
      <c r="C31">
        <v>34</v>
      </c>
      <c r="D31" s="113">
        <f>+US!A337</f>
        <v>41193</v>
      </c>
      <c r="E31" s="120">
        <f t="shared" si="1"/>
        <v>3590.076470588238</v>
      </c>
      <c r="F31" s="120">
        <f t="shared" si="2"/>
        <v>431.58823529411728</v>
      </c>
      <c r="G31" s="112">
        <f>+US!H337</f>
        <v>13770.9</v>
      </c>
      <c r="H31" s="112">
        <f>+US!F337</f>
        <v>9734.9</v>
      </c>
      <c r="I31" s="112">
        <f t="shared" si="0"/>
        <v>4036</v>
      </c>
      <c r="J31" s="123">
        <f>+J30+'[1]River Analysis'!AM43</f>
        <v>61910</v>
      </c>
      <c r="K31" s="123">
        <f>+K30+'[1]River Analysis'!AN43</f>
        <v>164761</v>
      </c>
      <c r="L31" s="123">
        <f>+L30+'[1]River Analysis'!AO43</f>
        <v>180774</v>
      </c>
      <c r="M31" s="123">
        <f>+M30+'[1]River Analysis'!AP43</f>
        <v>56172</v>
      </c>
      <c r="N31" s="123">
        <f>+N30+'[1]River Analysis'!AQ43</f>
        <v>376462</v>
      </c>
      <c r="O31" s="123">
        <f>+O30+'[1]River Analysis'!AR43</f>
        <v>417614</v>
      </c>
      <c r="P31" s="123">
        <f>+P30+'[1]River Analysis'!AS43</f>
        <v>1686.9209809264305</v>
      </c>
      <c r="Q31" s="123">
        <f>+Q30+'[1]River Analysis'!AT43</f>
        <v>4489.4005449591277</v>
      </c>
      <c r="R31" s="123">
        <f>+R30+'[1]River Analysis'!AU43</f>
        <v>4925.7220708446866</v>
      </c>
      <c r="S31" s="123">
        <f>+S30+'[1]River Analysis'!AV43</f>
        <v>1530.5722070844686</v>
      </c>
      <c r="T31" s="123">
        <f>+T30+'[1]River Analysis'!AW43</f>
        <v>10257.820163487737</v>
      </c>
      <c r="U31" s="123">
        <f>+U30+'[1]River Analysis'!AX43</f>
        <v>11379.128065395096</v>
      </c>
    </row>
    <row r="32" spans="3:21" x14ac:dyDescent="0.25">
      <c r="C32">
        <v>33</v>
      </c>
      <c r="D32" s="113">
        <f>+US!A338</f>
        <v>41200</v>
      </c>
      <c r="E32" s="120">
        <f t="shared" si="1"/>
        <v>3481.2862745098064</v>
      </c>
      <c r="F32" s="120">
        <f t="shared" si="2"/>
        <v>418.50980392156828</v>
      </c>
      <c r="G32" s="112">
        <f>+US!H338</f>
        <v>14342.9</v>
      </c>
      <c r="H32" s="112">
        <f>+US!F338</f>
        <v>10114.5</v>
      </c>
      <c r="I32" s="112">
        <f t="shared" si="0"/>
        <v>4228.3999999999996</v>
      </c>
      <c r="J32" s="123">
        <f>+J31+'[1]River Analysis'!AM44</f>
        <v>66642</v>
      </c>
      <c r="K32" s="123">
        <f>+K31+'[1]River Analysis'!AN44</f>
        <v>169974</v>
      </c>
      <c r="L32" s="123">
        <f>+L31+'[1]River Analysis'!AO44</f>
        <v>186400</v>
      </c>
      <c r="M32" s="123">
        <f>+M31+'[1]River Analysis'!AP44</f>
        <v>59661</v>
      </c>
      <c r="N32" s="123">
        <f>+N31+'[1]River Analysis'!AQ44</f>
        <v>392916</v>
      </c>
      <c r="O32" s="123">
        <f>+O31+'[1]River Analysis'!AR44</f>
        <v>438862</v>
      </c>
      <c r="P32" s="123">
        <f>+P31+'[1]River Analysis'!AS44</f>
        <v>1815.8583106267029</v>
      </c>
      <c r="Q32" s="123">
        <f>+Q31+'[1]River Analysis'!AT44</f>
        <v>4631.4441416893733</v>
      </c>
      <c r="R32" s="123">
        <f>+R31+'[1]River Analysis'!AU44</f>
        <v>5079.0190735694823</v>
      </c>
      <c r="S32" s="123">
        <f>+S31+'[1]River Analysis'!AV44</f>
        <v>1625.6403269754767</v>
      </c>
      <c r="T32" s="123">
        <f>+T31+'[1]River Analysis'!AW44</f>
        <v>10706.158038147138</v>
      </c>
      <c r="U32" s="123">
        <f>+U31+'[1]River Analysis'!AX44</f>
        <v>11958.092643051772</v>
      </c>
    </row>
    <row r="33" spans="1:21" x14ac:dyDescent="0.25">
      <c r="C33">
        <v>32</v>
      </c>
      <c r="D33" s="113">
        <f>+US!A339</f>
        <v>41207</v>
      </c>
      <c r="E33" s="120">
        <f t="shared" si="1"/>
        <v>3372.4960784313748</v>
      </c>
      <c r="F33" s="120">
        <f t="shared" si="2"/>
        <v>405.43137254901927</v>
      </c>
      <c r="G33" s="112">
        <f>+US!H339</f>
        <v>14705.7</v>
      </c>
      <c r="H33" s="112">
        <f>+US!F339</f>
        <v>10409.700000000001</v>
      </c>
      <c r="I33" s="112">
        <f t="shared" si="0"/>
        <v>4296</v>
      </c>
      <c r="J33" s="123">
        <f>+J32+'[1]River Analysis'!AM45</f>
        <v>69172</v>
      </c>
      <c r="K33" s="123">
        <f>+K32+'[1]River Analysis'!AN45</f>
        <v>178846</v>
      </c>
      <c r="L33" s="123">
        <f>+L32+'[1]River Analysis'!AO45</f>
        <v>190679</v>
      </c>
      <c r="M33" s="123">
        <f>+M32+'[1]River Analysis'!AP45</f>
        <v>63391</v>
      </c>
      <c r="N33" s="123">
        <f>+N32+'[1]River Analysis'!AQ45</f>
        <v>402616</v>
      </c>
      <c r="O33" s="123">
        <f>+O32+'[1]River Analysis'!AR45</f>
        <v>462764</v>
      </c>
      <c r="P33" s="123">
        <f>+P32+'[1]River Analysis'!AS45</f>
        <v>1884.7956403269754</v>
      </c>
      <c r="Q33" s="123">
        <f>+Q32+'[1]River Analysis'!AT45</f>
        <v>4873.1880108991827</v>
      </c>
      <c r="R33" s="123">
        <f>+R32+'[1]River Analysis'!AU45</f>
        <v>5195.6130790190737</v>
      </c>
      <c r="S33" s="123">
        <f>+S32+'[1]River Analysis'!AV45</f>
        <v>1727.2752043596729</v>
      </c>
      <c r="T33" s="123">
        <f>+T32+'[1]River Analysis'!AW45</f>
        <v>10970.463215258855</v>
      </c>
      <c r="U33" s="123">
        <f>+U32+'[1]River Analysis'!AX45</f>
        <v>12609.373297002725</v>
      </c>
    </row>
    <row r="34" spans="1:21" x14ac:dyDescent="0.25">
      <c r="C34">
        <v>31</v>
      </c>
      <c r="D34" s="113">
        <f>+US!A340</f>
        <v>41214</v>
      </c>
      <c r="E34" s="120">
        <f t="shared" si="1"/>
        <v>3263.7058823529433</v>
      </c>
      <c r="F34" s="120">
        <f t="shared" si="2"/>
        <v>392.35294117647027</v>
      </c>
      <c r="G34" s="112">
        <f>+US!H340</f>
        <v>14915.2</v>
      </c>
      <c r="H34" s="112">
        <f>+US!F340</f>
        <v>10802</v>
      </c>
      <c r="I34" s="112">
        <f t="shared" si="0"/>
        <v>4113.2000000000007</v>
      </c>
      <c r="J34" s="123">
        <f>+J33+'[1]River Analysis'!AM46</f>
        <v>72797</v>
      </c>
      <c r="K34" s="123">
        <f>+K33+'[1]River Analysis'!AN46</f>
        <v>183719</v>
      </c>
      <c r="L34" s="123">
        <f>+L33+'[1]River Analysis'!AO46</f>
        <v>196203</v>
      </c>
      <c r="M34" s="123">
        <f>+M33+'[1]River Analysis'!AP46</f>
        <v>66759</v>
      </c>
      <c r="N34" s="123">
        <f>+N33+'[1]River Analysis'!AQ46</f>
        <v>416653</v>
      </c>
      <c r="O34" s="123">
        <f>+O33+'[1]River Analysis'!AR46</f>
        <v>480505</v>
      </c>
      <c r="P34" s="123">
        <f>+P33+'[1]River Analysis'!AS46</f>
        <v>1983.5694822888283</v>
      </c>
      <c r="Q34" s="123">
        <f>+Q33+'[1]River Analysis'!AT46</f>
        <v>5005.9673024523163</v>
      </c>
      <c r="R34" s="123">
        <f>+R33+'[1]River Analysis'!AU46</f>
        <v>5346.1307901907358</v>
      </c>
      <c r="S34" s="123">
        <f>+S33+'[1]River Analysis'!AV46</f>
        <v>1819.0463215258853</v>
      </c>
      <c r="T34" s="123">
        <f>+T33+'[1]River Analysis'!AW46</f>
        <v>11352.942779291552</v>
      </c>
      <c r="U34" s="123">
        <f>+U33+'[1]River Analysis'!AX46</f>
        <v>13092.779291553134</v>
      </c>
    </row>
    <row r="35" spans="1:21" x14ac:dyDescent="0.25">
      <c r="C35">
        <v>30</v>
      </c>
      <c r="D35" s="113">
        <f>+US!A341</f>
        <v>41221</v>
      </c>
      <c r="E35" s="120">
        <f t="shared" si="1"/>
        <v>3154.9156862745117</v>
      </c>
      <c r="F35" s="120">
        <f t="shared" si="2"/>
        <v>379.27450980392126</v>
      </c>
      <c r="G35" s="112">
        <f>+US!H341</f>
        <v>15229.7</v>
      </c>
      <c r="H35" s="112">
        <f>+US!F341</f>
        <v>11100.5</v>
      </c>
      <c r="I35" s="112">
        <f t="shared" si="0"/>
        <v>4129.2000000000007</v>
      </c>
      <c r="J35" s="123">
        <f>+J34+'[1]River Analysis'!AM47</f>
        <v>75517</v>
      </c>
      <c r="K35" s="123">
        <f>+K34+'[1]River Analysis'!AN47</f>
        <v>193571</v>
      </c>
      <c r="L35" s="123">
        <f>+L34+'[1]River Analysis'!AO47</f>
        <v>199284</v>
      </c>
      <c r="M35" s="123">
        <f>+M34+'[1]River Analysis'!AP47</f>
        <v>68496</v>
      </c>
      <c r="N35" s="123">
        <f>+N34+'[1]River Analysis'!AQ47</f>
        <v>427111</v>
      </c>
      <c r="O35" s="123">
        <f>+O34+'[1]River Analysis'!AR47</f>
        <v>499884</v>
      </c>
      <c r="P35" s="123">
        <f>+P34+'[1]River Analysis'!AS47</f>
        <v>2057.683923705722</v>
      </c>
      <c r="Q35" s="123">
        <f>+Q34+'[1]River Analysis'!AT47</f>
        <v>5274.41416893733</v>
      </c>
      <c r="R35" s="123">
        <f>+R34+'[1]River Analysis'!AU47</f>
        <v>5430.0817438692102</v>
      </c>
      <c r="S35" s="123">
        <f>+S34+'[1]River Analysis'!AV47</f>
        <v>1866.3760217983649</v>
      </c>
      <c r="T35" s="123">
        <f>+T34+'[1]River Analysis'!AW47</f>
        <v>11637.901907356947</v>
      </c>
      <c r="U35" s="123">
        <f>+U34+'[1]River Analysis'!AX47</f>
        <v>13620.817438692098</v>
      </c>
    </row>
    <row r="36" spans="1:21" x14ac:dyDescent="0.25">
      <c r="C36">
        <v>29</v>
      </c>
      <c r="D36" s="113">
        <f>+US!A342</f>
        <v>41228</v>
      </c>
      <c r="E36" s="120">
        <f t="shared" si="1"/>
        <v>3046.1254901960801</v>
      </c>
      <c r="F36" s="120">
        <f t="shared" si="2"/>
        <v>366.19607843137226</v>
      </c>
      <c r="G36" s="112">
        <f>+US!H342</f>
        <v>15865.2</v>
      </c>
      <c r="H36" s="112">
        <f>+US!F342</f>
        <v>11430.1</v>
      </c>
      <c r="I36" s="112">
        <f t="shared" si="0"/>
        <v>4435.1000000000004</v>
      </c>
      <c r="J36" s="123">
        <f>+J35+'[1]River Analysis'!AM48</f>
        <v>78191</v>
      </c>
      <c r="K36" s="123">
        <f>+K35+'[1]River Analysis'!AN48</f>
        <v>195868</v>
      </c>
      <c r="L36" s="123">
        <f>+L35+'[1]River Analysis'!AO48</f>
        <v>205295</v>
      </c>
      <c r="M36" s="123">
        <f>+M35+'[1]River Analysis'!AP48</f>
        <v>72643</v>
      </c>
      <c r="N36" s="123">
        <f>+N35+'[1]River Analysis'!AQ48</f>
        <v>438487</v>
      </c>
      <c r="O36" s="123">
        <f>+O35+'[1]River Analysis'!AR48</f>
        <v>516747</v>
      </c>
      <c r="P36" s="123">
        <f>+P35+'[1]River Analysis'!AS48</f>
        <v>2130.5449591280653</v>
      </c>
      <c r="Q36" s="123">
        <f>+Q35+'[1]River Analysis'!AT48</f>
        <v>5337.0027247956405</v>
      </c>
      <c r="R36" s="123">
        <f>+R35+'[1]River Analysis'!AU48</f>
        <v>5593.8692098092642</v>
      </c>
      <c r="S36" s="123">
        <f>+S35+'[1]River Analysis'!AV48</f>
        <v>1979.3732970027247</v>
      </c>
      <c r="T36" s="123">
        <f>+T35+'[1]River Analysis'!AW48</f>
        <v>11947.874659400544</v>
      </c>
      <c r="U36" s="123">
        <f>+U35+'[1]River Analysis'!AX48</f>
        <v>14080.299727520436</v>
      </c>
    </row>
    <row r="37" spans="1:21" x14ac:dyDescent="0.25">
      <c r="C37">
        <v>28</v>
      </c>
      <c r="D37" s="113">
        <f>+US!A343</f>
        <v>41235</v>
      </c>
      <c r="E37" s="120">
        <f t="shared" si="1"/>
        <v>2937.3352941176486</v>
      </c>
      <c r="F37" s="120">
        <f t="shared" si="2"/>
        <v>353.11764705882325</v>
      </c>
      <c r="G37" s="112">
        <f>+US!H343</f>
        <v>16144.5</v>
      </c>
      <c r="H37" s="112">
        <f>+US!F343</f>
        <v>11658.7</v>
      </c>
      <c r="I37" s="112">
        <f t="shared" si="0"/>
        <v>4485.7999999999993</v>
      </c>
      <c r="J37" s="123">
        <f>+J36+'[1]River Analysis'!AM49</f>
        <v>80581</v>
      </c>
      <c r="K37" s="123">
        <f>+K36+'[1]River Analysis'!AN49</f>
        <v>202832</v>
      </c>
      <c r="L37" s="123">
        <f>+L36+'[1]River Analysis'!AO49</f>
        <v>210584</v>
      </c>
      <c r="M37" s="123">
        <f>+M36+'[1]River Analysis'!AP49</f>
        <v>73594</v>
      </c>
      <c r="N37" s="123">
        <f>+N36+'[1]River Analysis'!AQ49</f>
        <v>446619</v>
      </c>
      <c r="O37" s="123">
        <f>+O36+'[1]River Analysis'!AR49</f>
        <v>538890</v>
      </c>
      <c r="P37" s="123">
        <f>+P36+'[1]River Analysis'!AS49</f>
        <v>2195.6675749318802</v>
      </c>
      <c r="Q37" s="123">
        <f>+Q36+'[1]River Analysis'!AT49</f>
        <v>5526.7574931880108</v>
      </c>
      <c r="R37" s="123">
        <f>+R36+'[1]River Analysis'!AU49</f>
        <v>5737.9836512261581</v>
      </c>
      <c r="S37" s="123">
        <f>+S36+'[1]River Analysis'!AV49</f>
        <v>2005.2861035422343</v>
      </c>
      <c r="T37" s="123">
        <f>+T36+'[1]River Analysis'!AW49</f>
        <v>12169.455040871933</v>
      </c>
      <c r="U37" s="123">
        <f>+U36+'[1]River Analysis'!AX49</f>
        <v>14683.651226158039</v>
      </c>
    </row>
    <row r="38" spans="1:21" x14ac:dyDescent="0.25">
      <c r="C38">
        <v>27</v>
      </c>
      <c r="D38" s="113">
        <f>+US!A344</f>
        <v>41242</v>
      </c>
      <c r="E38" s="120">
        <f t="shared" si="1"/>
        <v>2828.545098039217</v>
      </c>
      <c r="F38" s="120">
        <f t="shared" si="2"/>
        <v>340.03921568627425</v>
      </c>
      <c r="G38" s="112">
        <f>+US!H344</f>
        <v>16497.5</v>
      </c>
      <c r="H38" s="112">
        <f>+US!F344</f>
        <v>12045.2</v>
      </c>
      <c r="I38" s="112">
        <f t="shared" si="0"/>
        <v>4452.2999999999993</v>
      </c>
      <c r="J38" s="123">
        <f>+J37+'[1]River Analysis'!AM50</f>
        <v>83532</v>
      </c>
      <c r="K38" s="123">
        <f>+K37+'[1]River Analysis'!AN50</f>
        <v>209468</v>
      </c>
      <c r="L38" s="123">
        <f>+L37+'[1]River Analysis'!AO50</f>
        <v>218126</v>
      </c>
      <c r="M38" s="123">
        <f>+M37+'[1]River Analysis'!AP50</f>
        <v>76597</v>
      </c>
      <c r="N38" s="123">
        <f>+N37+'[1]River Analysis'!AQ50</f>
        <v>461267</v>
      </c>
      <c r="O38" s="123">
        <f>+O37+'[1]River Analysis'!AR50</f>
        <v>561207</v>
      </c>
      <c r="P38" s="123">
        <f>+P37+'[1]River Analysis'!AS50</f>
        <v>2276.0762942779293</v>
      </c>
      <c r="Q38" s="123">
        <f>+Q37+'[1]River Analysis'!AT50</f>
        <v>5707.574931880109</v>
      </c>
      <c r="R38" s="123">
        <f>+R37+'[1]River Analysis'!AU50</f>
        <v>5943.4877384196188</v>
      </c>
      <c r="S38" s="123">
        <f>+S37+'[1]River Analysis'!AV50</f>
        <v>2087.1117166212534</v>
      </c>
      <c r="T38" s="123">
        <f>+T37+'[1]River Analysis'!AW50</f>
        <v>12568.58310626703</v>
      </c>
      <c r="U38" s="123">
        <f>+U37+'[1]River Analysis'!AX50</f>
        <v>15291.743869209811</v>
      </c>
    </row>
    <row r="39" spans="1:21" x14ac:dyDescent="0.25">
      <c r="C39">
        <v>26</v>
      </c>
      <c r="D39" s="113">
        <f>+US!A345</f>
        <v>41249</v>
      </c>
      <c r="E39" s="120">
        <f t="shared" si="1"/>
        <v>2719.7549019607854</v>
      </c>
      <c r="F39" s="120">
        <f t="shared" si="2"/>
        <v>326.96078431372524</v>
      </c>
      <c r="G39" s="112">
        <f>+US!H345</f>
        <v>17016.099999999999</v>
      </c>
      <c r="H39" s="112">
        <f>+US!F345</f>
        <v>12354.9</v>
      </c>
      <c r="I39" s="112">
        <f t="shared" si="0"/>
        <v>4661.1999999999989</v>
      </c>
      <c r="J39" s="123">
        <f>+J38+'[1]River Analysis'!AM51</f>
        <v>85926</v>
      </c>
      <c r="K39" s="123">
        <f>+K38+'[1]River Analysis'!AN51</f>
        <v>215860</v>
      </c>
      <c r="L39" s="123">
        <f>+L38+'[1]River Analysis'!AO51</f>
        <v>223066</v>
      </c>
      <c r="M39" s="123">
        <f>+M38+'[1]River Analysis'!AP51</f>
        <v>82654</v>
      </c>
      <c r="N39" s="123">
        <f>+N38+'[1]River Analysis'!AQ51</f>
        <v>475537</v>
      </c>
      <c r="O39" s="123">
        <f>+O38+'[1]River Analysis'!AR51</f>
        <v>582556</v>
      </c>
      <c r="P39" s="123">
        <f>+P38+'[1]River Analysis'!AS51</f>
        <v>2341.3079019073571</v>
      </c>
      <c r="Q39" s="123">
        <f>+Q38+'[1]River Analysis'!AT51</f>
        <v>5881.7438692098094</v>
      </c>
      <c r="R39" s="123">
        <f>+R38+'[1]River Analysis'!AU51</f>
        <v>6078.0926430517711</v>
      </c>
      <c r="S39" s="123">
        <f>+S38+'[1]River Analysis'!AV51</f>
        <v>2252.1525885558585</v>
      </c>
      <c r="T39" s="123">
        <f>+T38+'[1]River Analysis'!AW51</f>
        <v>12957.41144414169</v>
      </c>
      <c r="U39" s="123">
        <f>+U38+'[1]River Analysis'!AX51</f>
        <v>15873.460490463218</v>
      </c>
    </row>
    <row r="40" spans="1:21" x14ac:dyDescent="0.25">
      <c r="A40" s="124" t="e">
        <f t="shared" ref="A40:B43" si="3">+G40/$E$65</f>
        <v>#DIV/0!</v>
      </c>
      <c r="B40" s="124" t="e">
        <f t="shared" si="3"/>
        <v>#DIV/0!</v>
      </c>
      <c r="C40">
        <v>25</v>
      </c>
      <c r="D40" s="113">
        <f>+US!A346</f>
        <v>41256</v>
      </c>
      <c r="E40" s="120">
        <f t="shared" si="1"/>
        <v>2610.9647058823539</v>
      </c>
      <c r="F40" s="120">
        <f t="shared" si="2"/>
        <v>313.88235294117624</v>
      </c>
      <c r="G40" s="112">
        <f>+US!H346</f>
        <v>17667.3</v>
      </c>
      <c r="H40" s="112">
        <f>+US!F346</f>
        <v>12763.1</v>
      </c>
      <c r="I40" s="112">
        <f t="shared" si="0"/>
        <v>4904.1999999999989</v>
      </c>
      <c r="J40" s="123">
        <f>+J39+'[1]River Analysis'!AM52</f>
        <v>87229</v>
      </c>
      <c r="K40" s="123">
        <f>+K39+'[1]River Analysis'!AN52</f>
        <v>226228</v>
      </c>
      <c r="L40" s="123">
        <f>+L39+'[1]River Analysis'!AO52</f>
        <v>234547</v>
      </c>
      <c r="M40" s="123">
        <f>+M39+'[1]River Analysis'!AP52</f>
        <v>86699</v>
      </c>
      <c r="N40" s="123">
        <f>+N39+'[1]River Analysis'!AQ52</f>
        <v>492176</v>
      </c>
      <c r="O40" s="123">
        <f>+O39+'[1]River Analysis'!AR52</f>
        <v>601655</v>
      </c>
      <c r="P40" s="123">
        <f>+P39+'[1]River Analysis'!AS52</f>
        <v>2376.8119891008178</v>
      </c>
      <c r="Q40" s="123">
        <f>+Q39+'[1]River Analysis'!AT52</f>
        <v>6164.2506811989106</v>
      </c>
      <c r="R40" s="123">
        <f>+R39+'[1]River Analysis'!AU52</f>
        <v>6390.9264305177112</v>
      </c>
      <c r="S40" s="123">
        <f>+S39+'[1]River Analysis'!AV52</f>
        <v>2362.3705722070845</v>
      </c>
      <c r="T40" s="123">
        <f>+T39+'[1]River Analysis'!AW52</f>
        <v>13410.790190735695</v>
      </c>
      <c r="U40" s="123">
        <f>+U39+'[1]River Analysis'!AX52</f>
        <v>16393.869209809265</v>
      </c>
    </row>
    <row r="41" spans="1:21" x14ac:dyDescent="0.25">
      <c r="A41" s="124" t="e">
        <f t="shared" si="3"/>
        <v>#DIV/0!</v>
      </c>
      <c r="B41" s="124" t="e">
        <f t="shared" si="3"/>
        <v>#DIV/0!</v>
      </c>
      <c r="C41">
        <v>24</v>
      </c>
      <c r="D41" s="113">
        <f>+US!A347</f>
        <v>41263</v>
      </c>
      <c r="E41" s="120">
        <f t="shared" si="1"/>
        <v>2502.1745098039223</v>
      </c>
      <c r="F41" s="120">
        <f t="shared" si="2"/>
        <v>300.80392156862723</v>
      </c>
      <c r="G41" s="112">
        <f>+US!H347</f>
        <v>18676.3</v>
      </c>
      <c r="H41" s="112">
        <f>+US!F347</f>
        <v>13186.5</v>
      </c>
      <c r="I41" s="112">
        <f>+G41-H41</f>
        <v>5489.7999999999993</v>
      </c>
      <c r="J41" s="123">
        <f>+J40+'[1]River Analysis'!AM53</f>
        <v>90970</v>
      </c>
      <c r="K41" s="123">
        <f>+K40+'[1]River Analysis'!AN53</f>
        <v>234091</v>
      </c>
      <c r="L41" s="123">
        <f>+L40+'[1]River Analysis'!AO53</f>
        <v>240432</v>
      </c>
      <c r="M41" s="123">
        <f>+M40+'[1]River Analysis'!AP53</f>
        <v>90856</v>
      </c>
      <c r="N41" s="123">
        <f>+N40+'[1]River Analysis'!AQ53</f>
        <v>507423</v>
      </c>
      <c r="O41" s="123">
        <f>+O40+'[1]River Analysis'!AR53</f>
        <v>627960</v>
      </c>
      <c r="P41" s="123">
        <f>+P40+'[1]River Analysis'!AS53</f>
        <v>2478.7465940054499</v>
      </c>
      <c r="Q41" s="123">
        <f>+Q40+'[1]River Analysis'!AT53</f>
        <v>6378.5013623978202</v>
      </c>
      <c r="R41" s="123">
        <f>+R40+'[1]River Analysis'!AU53</f>
        <v>6551.2806539509538</v>
      </c>
      <c r="S41" s="123">
        <f>+S40+'[1]River Analysis'!AV53</f>
        <v>2475.6403269754769</v>
      </c>
      <c r="T41" s="123">
        <f>+T40+'[1]River Analysis'!AW53</f>
        <v>13826.23978201635</v>
      </c>
      <c r="U41" s="123">
        <f>+U40+'[1]River Analysis'!AX53</f>
        <v>17110.626702997277</v>
      </c>
    </row>
    <row r="42" spans="1:21" x14ac:dyDescent="0.25">
      <c r="A42" s="124" t="e">
        <f t="shared" si="3"/>
        <v>#DIV/0!</v>
      </c>
      <c r="B42" s="124" t="e">
        <f t="shared" si="3"/>
        <v>#DIV/0!</v>
      </c>
      <c r="C42">
        <v>23</v>
      </c>
      <c r="D42" s="113">
        <f>+[2]Total!A376</f>
        <v>41270</v>
      </c>
      <c r="E42" s="120">
        <f t="shared" si="1"/>
        <v>2393.3843137254908</v>
      </c>
      <c r="F42" s="120">
        <f t="shared" si="2"/>
        <v>287.72549019607823</v>
      </c>
      <c r="G42" s="112">
        <f>+US!H348</f>
        <v>19076.599999999999</v>
      </c>
      <c r="H42" s="112">
        <f>+US!F348</f>
        <v>13345.4</v>
      </c>
      <c r="I42" s="112">
        <f>+G42-H42</f>
        <v>5731.1999999999989</v>
      </c>
      <c r="J42" s="123">
        <f>+J41+'[1]River Analysis'!AM54</f>
        <v>93469</v>
      </c>
      <c r="K42" s="123">
        <f>+K41+'[1]River Analysis'!AN54</f>
        <v>243948</v>
      </c>
      <c r="L42" s="123">
        <f>+L41+'[1]River Analysis'!AO54</f>
        <v>242390</v>
      </c>
      <c r="M42" s="123">
        <f>+M41+'[1]River Analysis'!AP54</f>
        <v>95396</v>
      </c>
      <c r="N42" s="123">
        <f>+N41+'[1]River Analysis'!AQ54</f>
        <v>515186</v>
      </c>
      <c r="O42" s="123">
        <f>+O41+'[1]River Analysis'!AR54</f>
        <v>649161</v>
      </c>
      <c r="P42" s="123">
        <f>+P41+'[1]River Analysis'!AS54</f>
        <v>2546.839237057221</v>
      </c>
      <c r="Q42" s="123">
        <f>+Q41+'[1]River Analysis'!AT54</f>
        <v>6647.0844686648506</v>
      </c>
      <c r="R42" s="123">
        <f>+R41+'[1]River Analysis'!AU54</f>
        <v>6604.632152588556</v>
      </c>
      <c r="S42" s="123">
        <f>+S41+'[1]River Analysis'!AV54</f>
        <v>2599.3460490463217</v>
      </c>
      <c r="T42" s="123">
        <f>+T41+'[1]River Analysis'!AW54</f>
        <v>14037.765667574933</v>
      </c>
      <c r="U42" s="123">
        <f>+U41+'[1]River Analysis'!AX54</f>
        <v>17688.310626702998</v>
      </c>
    </row>
    <row r="43" spans="1:21" x14ac:dyDescent="0.25">
      <c r="A43" s="124" t="e">
        <f t="shared" si="3"/>
        <v>#DIV/0!</v>
      </c>
      <c r="B43" s="124" t="e">
        <f t="shared" si="3"/>
        <v>#DIV/0!</v>
      </c>
      <c r="C43">
        <v>22</v>
      </c>
      <c r="D43" s="113">
        <f>+[2]Total!A377</f>
        <v>41277</v>
      </c>
      <c r="E43" s="120">
        <f t="shared" si="1"/>
        <v>2284.5941176470592</v>
      </c>
      <c r="F43" s="120">
        <f t="shared" si="2"/>
        <v>274.64705882352922</v>
      </c>
      <c r="G43" s="112">
        <f>+US!H349</f>
        <v>19310.400000000001</v>
      </c>
      <c r="H43" s="112">
        <f>+US!F349</f>
        <v>13609.8</v>
      </c>
      <c r="I43" s="112">
        <f>+G43-H43</f>
        <v>5700.6000000000022</v>
      </c>
      <c r="J43" s="123">
        <f>+J42+'[1]River Analysis'!AM55</f>
        <v>95271</v>
      </c>
      <c r="K43" s="123">
        <f>+K42+'[1]River Analysis'!AN55</f>
        <v>248181</v>
      </c>
      <c r="L43" s="123">
        <f>+L42+'[1]River Analysis'!AO55</f>
        <v>248461</v>
      </c>
      <c r="M43" s="123">
        <f>+M42+'[1]River Analysis'!AP55</f>
        <v>96801</v>
      </c>
      <c r="N43" s="123">
        <f>+N42+'[1]River Analysis'!AQ55</f>
        <v>525111</v>
      </c>
      <c r="O43" s="123">
        <f>+O42+'[1]River Analysis'!AR55</f>
        <v>661747</v>
      </c>
      <c r="P43" s="123">
        <f>+P42+'[1]River Analysis'!AS55</f>
        <v>2595.940054495913</v>
      </c>
      <c r="Q43" s="123">
        <f>+Q42+'[1]River Analysis'!AT55</f>
        <v>6762.4250681198919</v>
      </c>
      <c r="R43" s="123">
        <f>+R42+'[1]River Analysis'!AU55</f>
        <v>6770.0544959128065</v>
      </c>
      <c r="S43" s="123">
        <f>+S42+'[1]River Analysis'!AV55</f>
        <v>2637.6294277929155</v>
      </c>
      <c r="T43" s="123">
        <f>+T42+'[1]River Analysis'!AW55</f>
        <v>14308.201634877385</v>
      </c>
      <c r="U43" s="123">
        <f>+U42+'[1]River Analysis'!AX55</f>
        <v>18031.25340599455</v>
      </c>
    </row>
    <row r="44" spans="1:21" x14ac:dyDescent="0.25">
      <c r="C44">
        <v>21</v>
      </c>
      <c r="D44" s="100">
        <f>+[2]Total!A378</f>
        <v>41284</v>
      </c>
      <c r="E44" s="120">
        <f t="shared" si="1"/>
        <v>2175.8039215686276</v>
      </c>
      <c r="F44" s="120">
        <f t="shared" si="2"/>
        <v>261.56862745098022</v>
      </c>
      <c r="G44" s="101"/>
      <c r="H44" s="101"/>
      <c r="I44" s="12"/>
      <c r="J44" s="123"/>
      <c r="K44" s="123">
        <f>+K43+'[1]River Analysis'!AN56</f>
        <v>255327</v>
      </c>
      <c r="L44" s="123"/>
      <c r="M44" s="123">
        <f>+M43+'[1]River Analysis'!AP56</f>
        <v>97350</v>
      </c>
      <c r="N44" s="123"/>
      <c r="O44" s="123">
        <f>+O43+'[1]River Analysis'!AR56</f>
        <v>681099</v>
      </c>
      <c r="P44" s="123"/>
      <c r="Q44" s="123">
        <f>+Q43+'[1]River Analysis'!AT56</f>
        <v>6957.1389645776571</v>
      </c>
      <c r="R44" s="123"/>
      <c r="S44" s="123">
        <f>+S43+'[1]River Analysis'!AV56</f>
        <v>2652.5885558583104</v>
      </c>
      <c r="T44" s="123"/>
      <c r="U44" s="123">
        <f>+U43+'[1]River Analysis'!AX56</f>
        <v>18558.555858310625</v>
      </c>
    </row>
    <row r="45" spans="1:21" x14ac:dyDescent="0.25">
      <c r="C45">
        <v>20</v>
      </c>
      <c r="D45" s="100">
        <f>+[2]Total!A379</f>
        <v>41291</v>
      </c>
      <c r="E45" s="120">
        <f t="shared" si="1"/>
        <v>2067.0137254901961</v>
      </c>
      <c r="F45" s="120">
        <f t="shared" si="2"/>
        <v>248.49019607843121</v>
      </c>
      <c r="G45" s="101"/>
      <c r="H45" s="101"/>
      <c r="I45" s="12"/>
      <c r="J45" s="123"/>
      <c r="K45" s="123">
        <f>+K44+'[1]River Analysis'!AN57</f>
        <v>266789</v>
      </c>
      <c r="L45" s="123"/>
      <c r="M45" s="123">
        <f>+M44+'[1]River Analysis'!AP57</f>
        <v>100507</v>
      </c>
      <c r="N45" s="123"/>
      <c r="O45" s="123">
        <f>+O44+'[1]River Analysis'!AR57</f>
        <v>705173</v>
      </c>
      <c r="P45" s="123"/>
      <c r="Q45" s="123">
        <f>+Q44+'[1]River Analysis'!AT57</f>
        <v>7269.4550408719351</v>
      </c>
      <c r="R45" s="123"/>
      <c r="S45" s="123">
        <f>+S44+'[1]River Analysis'!AV57</f>
        <v>2738.6103542234332</v>
      </c>
      <c r="T45" s="123"/>
      <c r="U45" s="123">
        <f>+U44+'[1]River Analysis'!AX57</f>
        <v>19214.523160762939</v>
      </c>
    </row>
    <row r="46" spans="1:21" x14ac:dyDescent="0.25">
      <c r="C46">
        <v>19</v>
      </c>
      <c r="D46" s="100">
        <f>+[2]Total!A380</f>
        <v>41298</v>
      </c>
      <c r="E46" s="120">
        <f t="shared" si="1"/>
        <v>1958.2235294117647</v>
      </c>
      <c r="F46" s="120">
        <f t="shared" si="2"/>
        <v>235.41176470588221</v>
      </c>
      <c r="G46" s="101"/>
      <c r="H46" s="101"/>
      <c r="I46" s="12"/>
      <c r="J46" s="123"/>
      <c r="K46" s="123">
        <f>+K45+'[1]River Analysis'!AN58</f>
        <v>274084</v>
      </c>
      <c r="L46" s="123"/>
      <c r="M46" s="123">
        <f>+M45+'[1]River Analysis'!AP58</f>
        <v>105910</v>
      </c>
      <c r="N46" s="123"/>
      <c r="O46" s="123">
        <f>+O45+'[1]River Analysis'!AR58</f>
        <v>730200</v>
      </c>
      <c r="P46" s="123"/>
      <c r="Q46" s="123">
        <f>+Q45+'[1]River Analysis'!AT58</f>
        <v>7468.2288828337878</v>
      </c>
      <c r="R46" s="123"/>
      <c r="S46" s="123">
        <f>+S45+'[1]River Analysis'!AV58</f>
        <v>2885.8310626702996</v>
      </c>
      <c r="T46" s="123"/>
      <c r="U46" s="123">
        <f>+U45+'[1]River Analysis'!AX58</f>
        <v>19896.457765667572</v>
      </c>
    </row>
    <row r="47" spans="1:21" x14ac:dyDescent="0.25">
      <c r="C47">
        <v>18</v>
      </c>
      <c r="D47" s="100">
        <f>+[2]Total!A381</f>
        <v>41305</v>
      </c>
      <c r="E47" s="120">
        <f t="shared" si="1"/>
        <v>1849.4333333333334</v>
      </c>
      <c r="F47" s="120">
        <f t="shared" si="2"/>
        <v>222.3333333333332</v>
      </c>
      <c r="G47" s="101"/>
      <c r="H47" s="101"/>
      <c r="I47" s="12"/>
      <c r="J47" s="123"/>
      <c r="K47" s="123">
        <f>+K46+'[1]River Analysis'!AN59</f>
        <v>284842</v>
      </c>
      <c r="L47" s="123"/>
      <c r="M47" s="123">
        <f>+M46+'[1]River Analysis'!AP59</f>
        <v>110908</v>
      </c>
      <c r="N47" s="123"/>
      <c r="O47" s="123">
        <f>+O46+'[1]River Analysis'!AR59</f>
        <v>755330</v>
      </c>
      <c r="P47" s="123"/>
      <c r="Q47" s="123">
        <f>+Q46+'[1]River Analysis'!AT59</f>
        <v>7761.362397820164</v>
      </c>
      <c r="R47" s="123"/>
      <c r="S47" s="123">
        <f>+S46+'[1]River Analysis'!AV59</f>
        <v>3022.0163487738419</v>
      </c>
      <c r="T47" s="123"/>
      <c r="U47" s="123">
        <f>+U46+'[1]River Analysis'!AX59</f>
        <v>20581.198910081741</v>
      </c>
    </row>
    <row r="48" spans="1:21" x14ac:dyDescent="0.25">
      <c r="C48">
        <v>17</v>
      </c>
      <c r="D48" s="100">
        <f>+[2]Total!A382</f>
        <v>41312</v>
      </c>
      <c r="E48" s="120">
        <f t="shared" si="1"/>
        <v>1740.6431372549021</v>
      </c>
      <c r="F48" s="120">
        <f t="shared" si="2"/>
        <v>209.2549019607842</v>
      </c>
      <c r="G48" s="101"/>
      <c r="H48" s="101"/>
      <c r="I48" s="12"/>
      <c r="J48" s="123"/>
      <c r="K48" s="123">
        <f>+K47+'[1]River Analysis'!AN60</f>
        <v>296611</v>
      </c>
      <c r="L48" s="123"/>
      <c r="M48" s="123">
        <f>+M47+'[1]River Analysis'!AP60</f>
        <v>114362</v>
      </c>
      <c r="N48" s="123"/>
      <c r="O48" s="123">
        <f>+O47+'[1]River Analysis'!AR60</f>
        <v>785948</v>
      </c>
      <c r="P48" s="123"/>
      <c r="Q48" s="123">
        <f>+Q47+'[1]River Analysis'!AT60</f>
        <v>8082.0435967302456</v>
      </c>
      <c r="R48" s="123"/>
      <c r="S48" s="123">
        <f>+S47+'[1]River Analysis'!AV60</f>
        <v>3116.1307901907358</v>
      </c>
      <c r="T48" s="123"/>
      <c r="U48" s="123">
        <f>+U47+'[1]River Analysis'!AX60</f>
        <v>21415.476839237053</v>
      </c>
    </row>
    <row r="49" spans="3:21" x14ac:dyDescent="0.25">
      <c r="C49">
        <v>16</v>
      </c>
      <c r="D49" s="100">
        <f>+[2]Total!A383</f>
        <v>41319</v>
      </c>
      <c r="E49" s="120">
        <f t="shared" si="1"/>
        <v>1631.8529411764707</v>
      </c>
      <c r="F49" s="120">
        <f t="shared" si="2"/>
        <v>196.17647058823519</v>
      </c>
      <c r="G49" s="101"/>
      <c r="H49" s="101"/>
      <c r="I49" s="12"/>
      <c r="J49" s="123"/>
      <c r="K49" s="123">
        <f>+K48+'[1]River Analysis'!AN61</f>
        <v>303622</v>
      </c>
      <c r="L49" s="123"/>
      <c r="M49" s="123">
        <f>+M48+'[1]River Analysis'!AP61</f>
        <v>118371</v>
      </c>
      <c r="N49" s="123"/>
      <c r="O49" s="123">
        <f>+O48+'[1]River Analysis'!AR61</f>
        <v>810816</v>
      </c>
      <c r="P49" s="123"/>
      <c r="Q49" s="123">
        <f>+Q48+'[1]River Analysis'!AT61</f>
        <v>8273.0790190735697</v>
      </c>
      <c r="R49" s="123"/>
      <c r="S49" s="123">
        <f>+S48+'[1]River Analysis'!AV61</f>
        <v>3225.367847411444</v>
      </c>
      <c r="T49" s="123"/>
      <c r="U49" s="123">
        <f>+U48+'[1]River Analysis'!AX61</f>
        <v>22093.079019073564</v>
      </c>
    </row>
    <row r="50" spans="3:21" x14ac:dyDescent="0.25">
      <c r="C50">
        <v>15</v>
      </c>
      <c r="D50" s="100">
        <f>+[2]Total!A384</f>
        <v>41326</v>
      </c>
      <c r="E50" s="120">
        <f t="shared" si="1"/>
        <v>1523.0627450980394</v>
      </c>
      <c r="F50" s="120">
        <f t="shared" si="2"/>
        <v>183.09803921568619</v>
      </c>
      <c r="G50" s="101"/>
      <c r="H50" s="101"/>
      <c r="I50" s="12"/>
      <c r="J50" s="123"/>
      <c r="K50" s="123">
        <f>+K49+'[1]River Analysis'!AN62</f>
        <v>315487</v>
      </c>
      <c r="L50" s="123"/>
      <c r="M50" s="123">
        <f>+M49+'[1]River Analysis'!AP62</f>
        <v>120467</v>
      </c>
      <c r="N50" s="123"/>
      <c r="O50" s="123">
        <f>+O49+'[1]River Analysis'!AR62</f>
        <v>842055</v>
      </c>
      <c r="P50" s="123"/>
      <c r="Q50" s="123">
        <f>+Q49+'[1]River Analysis'!AT62</f>
        <v>8596.3760217983654</v>
      </c>
      <c r="R50" s="123"/>
      <c r="S50" s="123">
        <f>+S49+'[1]River Analysis'!AV62</f>
        <v>3282.4795640326975</v>
      </c>
      <c r="T50" s="123"/>
      <c r="U50" s="123">
        <f>+U49+'[1]River Analysis'!AX62</f>
        <v>22944.277929155309</v>
      </c>
    </row>
    <row r="51" spans="3:21" x14ac:dyDescent="0.25">
      <c r="C51">
        <v>14</v>
      </c>
      <c r="D51" s="100">
        <f>+[2]Total!A385</f>
        <v>41333</v>
      </c>
      <c r="E51" s="120">
        <f t="shared" si="1"/>
        <v>1414.2725490196081</v>
      </c>
      <c r="F51" s="120">
        <f t="shared" si="2"/>
        <v>170.01960784313718</v>
      </c>
      <c r="G51" s="101"/>
      <c r="H51" s="101"/>
      <c r="I51" s="12"/>
      <c r="J51" s="123"/>
      <c r="K51" s="123">
        <f>+K50+'[1]River Analysis'!AN63</f>
        <v>323933</v>
      </c>
      <c r="L51" s="123"/>
      <c r="M51" s="123">
        <f>+M50+'[1]River Analysis'!AP63</f>
        <v>124587</v>
      </c>
      <c r="N51" s="123"/>
      <c r="O51" s="123">
        <f>+O50+'[1]River Analysis'!AR63</f>
        <v>861634</v>
      </c>
      <c r="P51" s="123"/>
      <c r="Q51" s="123">
        <f>+Q50+'[1]River Analysis'!AT63</f>
        <v>8826.5122615803812</v>
      </c>
      <c r="R51" s="123"/>
      <c r="S51" s="123">
        <f>+S50+'[1]River Analysis'!AV63</f>
        <v>3394.741144414169</v>
      </c>
      <c r="T51" s="123"/>
      <c r="U51" s="123">
        <f>+U50+'[1]River Analysis'!AX63</f>
        <v>23477.765667574928</v>
      </c>
    </row>
    <row r="52" spans="3:21" x14ac:dyDescent="0.25">
      <c r="C52">
        <v>13</v>
      </c>
      <c r="D52" s="100">
        <f>+[2]Total!A386</f>
        <v>41340</v>
      </c>
      <c r="E52" s="120">
        <f t="shared" si="1"/>
        <v>1305.4823529411767</v>
      </c>
      <c r="F52" s="120">
        <f t="shared" si="2"/>
        <v>156.94117647058818</v>
      </c>
      <c r="G52" s="101"/>
      <c r="H52" s="101"/>
      <c r="I52" s="12"/>
      <c r="J52" s="123"/>
      <c r="K52" s="123">
        <f>+K51+'[1]River Analysis'!AN64</f>
        <v>329565</v>
      </c>
      <c r="L52" s="123"/>
      <c r="M52" s="123">
        <f>+M51+'[1]River Analysis'!AP64</f>
        <v>126838</v>
      </c>
      <c r="N52" s="123"/>
      <c r="O52" s="123">
        <f>+O51+'[1]River Analysis'!AR64</f>
        <v>883281</v>
      </c>
      <c r="P52" s="123"/>
      <c r="Q52" s="123">
        <f>+Q51+'[1]River Analysis'!AT64</f>
        <v>8979.9727520435972</v>
      </c>
      <c r="R52" s="123"/>
      <c r="S52" s="123">
        <f>+S51+'[1]River Analysis'!AV64</f>
        <v>3456.0762942779293</v>
      </c>
      <c r="T52" s="123"/>
      <c r="U52" s="123">
        <f>+U51+'[1]River Analysis'!AX64</f>
        <v>24067.602179836507</v>
      </c>
    </row>
    <row r="53" spans="3:21" x14ac:dyDescent="0.25">
      <c r="C53">
        <v>12</v>
      </c>
      <c r="D53" s="100">
        <f>+[2]Total!A387</f>
        <v>41347</v>
      </c>
      <c r="E53" s="120">
        <f t="shared" si="1"/>
        <v>1196.6921568627454</v>
      </c>
      <c r="F53" s="120">
        <f t="shared" si="2"/>
        <v>143.86274509803917</v>
      </c>
      <c r="G53" s="101"/>
      <c r="H53" s="101"/>
      <c r="I53" s="12"/>
      <c r="J53" s="123"/>
      <c r="K53" s="123">
        <f>+K52+'[1]River Analysis'!AN65</f>
        <v>338931</v>
      </c>
      <c r="L53" s="123"/>
      <c r="M53" s="123">
        <f>+M52+'[1]River Analysis'!AP65</f>
        <v>130095</v>
      </c>
      <c r="N53" s="123"/>
      <c r="O53" s="123">
        <f>+O52+'[1]River Analysis'!AR65</f>
        <v>911849</v>
      </c>
      <c r="P53" s="123"/>
      <c r="Q53" s="123">
        <f>+Q52+'[1]River Analysis'!AT65</f>
        <v>9235.1771117166209</v>
      </c>
      <c r="R53" s="123"/>
      <c r="S53" s="123">
        <f>+S52+'[1]River Analysis'!AV65</f>
        <v>3544.8228882833787</v>
      </c>
      <c r="T53" s="123"/>
      <c r="U53" s="123">
        <f>+U52+'[1]River Analysis'!AX65</f>
        <v>24846.021798365116</v>
      </c>
    </row>
    <row r="54" spans="3:21" x14ac:dyDescent="0.25">
      <c r="C54">
        <v>11</v>
      </c>
      <c r="D54" s="100">
        <f>+[2]Total!A388</f>
        <v>41354</v>
      </c>
      <c r="E54" s="120">
        <f t="shared" si="1"/>
        <v>1087.901960784314</v>
      </c>
      <c r="F54" s="120">
        <f t="shared" si="2"/>
        <v>130.78431372549016</v>
      </c>
      <c r="G54" s="101"/>
      <c r="H54" s="101"/>
      <c r="I54" s="12"/>
      <c r="J54" s="123"/>
      <c r="K54" s="123">
        <f>+K53+'[1]River Analysis'!AN66</f>
        <v>346336</v>
      </c>
      <c r="L54" s="123"/>
      <c r="M54" s="123">
        <f>+M53+'[1]River Analysis'!AP66</f>
        <v>138700</v>
      </c>
      <c r="N54" s="123"/>
      <c r="O54" s="123">
        <f>+O53+'[1]River Analysis'!AR66</f>
        <v>937926</v>
      </c>
      <c r="P54" s="123"/>
      <c r="Q54" s="123">
        <f>+Q53+'[1]River Analysis'!AT66</f>
        <v>9436.9482288828331</v>
      </c>
      <c r="R54" s="123"/>
      <c r="S54" s="123">
        <f>+S53+'[1]River Analysis'!AV66</f>
        <v>3779.2915531335148</v>
      </c>
      <c r="T54" s="123"/>
      <c r="U54" s="123">
        <f>+U53+'[1]River Analysis'!AX66</f>
        <v>25556.566757493183</v>
      </c>
    </row>
    <row r="55" spans="3:21" x14ac:dyDescent="0.25">
      <c r="C55">
        <v>10</v>
      </c>
      <c r="D55" s="100">
        <f>+[2]Total!A389</f>
        <v>41361</v>
      </c>
      <c r="E55" s="120">
        <f t="shared" si="1"/>
        <v>979.11176470588271</v>
      </c>
      <c r="F55" s="120">
        <f t="shared" si="2"/>
        <v>117.70588235294115</v>
      </c>
      <c r="G55" s="101"/>
      <c r="H55" s="101"/>
      <c r="I55" s="12"/>
      <c r="J55" s="123"/>
      <c r="K55" s="123">
        <f>+K54+'[1]River Analysis'!AN67</f>
        <v>360022</v>
      </c>
      <c r="L55" s="123"/>
      <c r="M55" s="123">
        <f>+M54+'[1]River Analysis'!AP67</f>
        <v>142738</v>
      </c>
      <c r="N55" s="123"/>
      <c r="O55" s="123">
        <f>+O54+'[1]River Analysis'!AR67</f>
        <v>967665</v>
      </c>
      <c r="P55" s="123"/>
      <c r="Q55" s="123">
        <f>+Q54+'[1]River Analysis'!AT67</f>
        <v>9809.8637602179824</v>
      </c>
      <c r="R55" s="123"/>
      <c r="S55" s="123">
        <f>+S54+'[1]River Analysis'!AV67</f>
        <v>3889.318801089918</v>
      </c>
      <c r="T55" s="123"/>
      <c r="U55" s="123">
        <f>+U54+'[1]River Analysis'!AX67</f>
        <v>26366.893732970024</v>
      </c>
    </row>
    <row r="56" spans="3:21" x14ac:dyDescent="0.25">
      <c r="C56">
        <v>9</v>
      </c>
      <c r="D56" s="100">
        <f>+[2]Total!A390</f>
        <v>41368</v>
      </c>
      <c r="E56" s="120">
        <f t="shared" si="1"/>
        <v>870.32156862745137</v>
      </c>
      <c r="F56" s="120">
        <f t="shared" si="2"/>
        <v>104.62745098039213</v>
      </c>
      <c r="G56" s="101"/>
      <c r="H56" s="101"/>
      <c r="I56" s="12"/>
      <c r="J56" s="123"/>
      <c r="K56" s="123">
        <f>+K55+'[1]River Analysis'!AN68</f>
        <v>367589</v>
      </c>
      <c r="L56" s="123"/>
      <c r="M56" s="123">
        <f>+M55+'[1]River Analysis'!AP68</f>
        <v>147117</v>
      </c>
      <c r="N56" s="123"/>
      <c r="O56" s="123">
        <f>+O55+'[1]River Analysis'!AR68</f>
        <v>997157</v>
      </c>
      <c r="P56" s="123"/>
      <c r="Q56" s="123">
        <f>+Q55+'[1]River Analysis'!AT68</f>
        <v>10016.049046321525</v>
      </c>
      <c r="R56" s="123"/>
      <c r="S56" s="123">
        <f>+S55+'[1]River Analysis'!AV68</f>
        <v>4008.6376021798364</v>
      </c>
      <c r="T56" s="123"/>
      <c r="U56" s="123">
        <f>+U55+'[1]River Analysis'!AX68</f>
        <v>27170.490463215254</v>
      </c>
    </row>
    <row r="57" spans="3:21" x14ac:dyDescent="0.25">
      <c r="C57">
        <v>8</v>
      </c>
      <c r="D57" s="100">
        <f>+[2]Total!A391</f>
        <v>41375</v>
      </c>
      <c r="E57" s="120">
        <f t="shared" si="1"/>
        <v>761.53137254902003</v>
      </c>
      <c r="F57" s="120">
        <f t="shared" si="2"/>
        <v>91.549019607843107</v>
      </c>
      <c r="G57" s="101"/>
      <c r="H57" s="101"/>
      <c r="I57" s="12"/>
      <c r="J57" s="123"/>
      <c r="K57" s="123">
        <f>+K56+'[1]River Analysis'!AN69</f>
        <v>375757</v>
      </c>
      <c r="L57" s="123"/>
      <c r="M57" s="123">
        <f>+M56+'[1]River Analysis'!AP69</f>
        <v>153326</v>
      </c>
      <c r="N57" s="123"/>
      <c r="O57" s="123">
        <f>+O56+'[1]River Analysis'!AR69</f>
        <v>1025927</v>
      </c>
      <c r="P57" s="123"/>
      <c r="Q57" s="123">
        <f>+Q56+'[1]River Analysis'!AT69</f>
        <v>10238.610354223432</v>
      </c>
      <c r="R57" s="123"/>
      <c r="S57" s="123">
        <f>+S56+'[1]River Analysis'!AV69</f>
        <v>4177.8201634877387</v>
      </c>
      <c r="T57" s="123"/>
      <c r="U57" s="123">
        <f>+U56+'[1]River Analysis'!AX69</f>
        <v>27954.414168937325</v>
      </c>
    </row>
    <row r="58" spans="3:21" x14ac:dyDescent="0.25">
      <c r="C58">
        <v>7</v>
      </c>
      <c r="D58" s="100">
        <f>+[2]Total!A392</f>
        <v>41382</v>
      </c>
      <c r="E58" s="120">
        <f t="shared" si="1"/>
        <v>652.7411764705887</v>
      </c>
      <c r="F58" s="120">
        <f t="shared" si="2"/>
        <v>78.470588235294088</v>
      </c>
      <c r="G58" s="101"/>
      <c r="H58" s="101"/>
      <c r="I58" s="12"/>
      <c r="J58" s="123"/>
      <c r="K58" s="123">
        <f>+K57+'[1]River Analysis'!AN70</f>
        <v>388147</v>
      </c>
      <c r="L58" s="123"/>
      <c r="M58" s="123">
        <f>+M57+'[1]River Analysis'!AP70</f>
        <v>159981</v>
      </c>
      <c r="N58" s="123"/>
      <c r="O58" s="123">
        <f>+O57+'[1]River Analysis'!AR70</f>
        <v>1063970</v>
      </c>
      <c r="P58" s="123"/>
      <c r="Q58" s="123">
        <f>+Q57+'[1]River Analysis'!AT70</f>
        <v>10576.212534059945</v>
      </c>
      <c r="R58" s="123"/>
      <c r="S58" s="123">
        <f>+S57+'[1]River Analysis'!AV70</f>
        <v>4359.155313351499</v>
      </c>
      <c r="T58" s="123"/>
      <c r="U58" s="123">
        <f>+U57+'[1]River Analysis'!AX70</f>
        <v>28991.008174386916</v>
      </c>
    </row>
    <row r="59" spans="3:21" x14ac:dyDescent="0.25">
      <c r="C59">
        <v>6</v>
      </c>
      <c r="D59" s="100">
        <f>+[2]Total!A393</f>
        <v>41389</v>
      </c>
      <c r="E59" s="120">
        <f t="shared" si="1"/>
        <v>543.95098039215736</v>
      </c>
      <c r="F59" s="120">
        <f t="shared" si="2"/>
        <v>65.392156862745068</v>
      </c>
      <c r="G59" s="101"/>
      <c r="H59" s="101"/>
      <c r="I59" s="12"/>
      <c r="J59" s="123"/>
      <c r="K59" s="123">
        <f>+K58+'[1]River Analysis'!AN71</f>
        <v>404088</v>
      </c>
      <c r="L59" s="123"/>
      <c r="M59" s="123">
        <f>+M58+'[1]River Analysis'!AP71</f>
        <v>162191</v>
      </c>
      <c r="N59" s="123"/>
      <c r="O59" s="123">
        <f>+O58+'[1]River Analysis'!AR71</f>
        <v>1091862</v>
      </c>
      <c r="P59" s="123"/>
      <c r="Q59" s="123">
        <f>+Q58+'[1]River Analysis'!AT71</f>
        <v>11010.572207084468</v>
      </c>
      <c r="R59" s="123"/>
      <c r="S59" s="123">
        <f>+S58+'[1]River Analysis'!AV71</f>
        <v>4419.3732970027249</v>
      </c>
      <c r="T59" s="123"/>
      <c r="U59" s="123">
        <f>+U58+'[1]River Analysis'!AX71</f>
        <v>29751.008174386916</v>
      </c>
    </row>
    <row r="60" spans="3:21" x14ac:dyDescent="0.25">
      <c r="C60">
        <v>5</v>
      </c>
      <c r="D60" s="100">
        <f>+[2]Total!A394</f>
        <v>41396</v>
      </c>
      <c r="E60" s="120">
        <f t="shared" si="1"/>
        <v>435.16078431372597</v>
      </c>
      <c r="F60" s="120">
        <f t="shared" si="2"/>
        <v>52.313725490196056</v>
      </c>
      <c r="G60" s="101"/>
      <c r="H60" s="101"/>
      <c r="I60" s="12"/>
      <c r="J60" s="123"/>
      <c r="K60" s="123">
        <f>+K59+'[1]River Analysis'!AN72</f>
        <v>419236</v>
      </c>
      <c r="L60" s="123"/>
      <c r="M60" s="123">
        <f>+M59+'[1]River Analysis'!AP72</f>
        <v>165801</v>
      </c>
      <c r="N60" s="123"/>
      <c r="O60" s="123">
        <f>+O59+'[1]River Analysis'!AR72</f>
        <v>1128517</v>
      </c>
      <c r="P60" s="123"/>
      <c r="Q60" s="123">
        <f>+Q59+'[1]River Analysis'!AT72</f>
        <v>11423.324250681198</v>
      </c>
      <c r="R60" s="123"/>
      <c r="S60" s="123">
        <f>+S59+'[1]River Analysis'!AV72</f>
        <v>4517.7384196185285</v>
      </c>
      <c r="T60" s="123"/>
      <c r="U60" s="123">
        <f>+U59+'[1]River Analysis'!AX72</f>
        <v>30749.78201634877</v>
      </c>
    </row>
    <row r="61" spans="3:21" x14ac:dyDescent="0.25">
      <c r="C61">
        <v>4</v>
      </c>
      <c r="D61" s="100">
        <f>+[2]Total!A395</f>
        <v>41403</v>
      </c>
      <c r="E61" s="120">
        <f t="shared" si="1"/>
        <v>326.37058823529458</v>
      </c>
      <c r="F61" s="120">
        <f t="shared" si="2"/>
        <v>39.235294117647044</v>
      </c>
      <c r="G61" s="101"/>
      <c r="H61" s="101"/>
      <c r="I61" s="12"/>
      <c r="J61" s="123"/>
      <c r="K61" s="123">
        <f>+K60+'[1]River Analysis'!AN73</f>
        <v>432345</v>
      </c>
      <c r="L61" s="123"/>
      <c r="M61" s="123">
        <f>+M60+'[1]River Analysis'!AP73</f>
        <v>172698</v>
      </c>
      <c r="N61" s="123"/>
      <c r="O61" s="123">
        <f>+O60+'[1]River Analysis'!AR73</f>
        <v>1165514</v>
      </c>
      <c r="P61" s="123"/>
      <c r="Q61" s="123">
        <f>+Q60+'[1]River Analysis'!AT73</f>
        <v>11780.517711171662</v>
      </c>
      <c r="R61" s="123"/>
      <c r="S61" s="123">
        <f>+S60+'[1]River Analysis'!AV73</f>
        <v>4705.6675749318802</v>
      </c>
      <c r="T61" s="123"/>
      <c r="U61" s="123">
        <f>+U60+'[1]River Analysis'!AX73</f>
        <v>31757.874659400542</v>
      </c>
    </row>
    <row r="62" spans="3:21" x14ac:dyDescent="0.25">
      <c r="C62">
        <v>3</v>
      </c>
      <c r="D62" s="100">
        <f>+[2]Total!A396</f>
        <v>41410</v>
      </c>
      <c r="E62" s="120">
        <f t="shared" si="1"/>
        <v>217.58039215686318</v>
      </c>
      <c r="F62" s="120">
        <f t="shared" si="2"/>
        <v>26.156862745098032</v>
      </c>
      <c r="G62" s="101"/>
      <c r="H62" s="101"/>
      <c r="I62" s="12"/>
      <c r="J62" s="123"/>
      <c r="K62" s="123">
        <f>+K61+'[1]River Analysis'!AN74</f>
        <v>446617</v>
      </c>
      <c r="L62" s="123"/>
      <c r="M62" s="123">
        <f>+M61+'[1]River Analysis'!AP74</f>
        <v>178694</v>
      </c>
      <c r="N62" s="123"/>
      <c r="O62" s="123">
        <f>+O61+'[1]River Analysis'!AR74</f>
        <v>1195718</v>
      </c>
      <c r="P62" s="123"/>
      <c r="Q62" s="123">
        <f>+Q61+'[1]River Analysis'!AT74</f>
        <v>12169.400544959128</v>
      </c>
      <c r="R62" s="123"/>
      <c r="S62" s="123">
        <f>+S61+'[1]River Analysis'!AV74</f>
        <v>4869.046321525886</v>
      </c>
      <c r="T62" s="123"/>
      <c r="U62" s="123">
        <f>+U61+'[1]River Analysis'!AX74</f>
        <v>32580.871934604904</v>
      </c>
    </row>
    <row r="63" spans="3:21" x14ac:dyDescent="0.25">
      <c r="C63">
        <v>2</v>
      </c>
      <c r="D63" s="100">
        <f>+[2]Total!A397</f>
        <v>41417</v>
      </c>
      <c r="E63" s="120">
        <f t="shared" si="1"/>
        <v>108.7901960784318</v>
      </c>
      <c r="F63" s="120">
        <f t="shared" si="2"/>
        <v>13.078431372549016</v>
      </c>
      <c r="G63" s="101"/>
      <c r="H63" s="101"/>
      <c r="I63" s="12"/>
      <c r="J63" s="123"/>
      <c r="K63" s="123">
        <f>+K62+'[1]River Analysis'!AN75</f>
        <v>462693</v>
      </c>
      <c r="L63" s="123"/>
      <c r="M63" s="123">
        <f>+M62+'[1]River Analysis'!AP75</f>
        <v>180130</v>
      </c>
      <c r="N63" s="123"/>
      <c r="O63" s="123">
        <f>+O62+'[1]River Analysis'!AR75</f>
        <v>1226908</v>
      </c>
      <c r="P63" s="123"/>
      <c r="Q63" s="123">
        <f>+Q62+'[1]River Analysis'!AT75</f>
        <v>12607.438692098092</v>
      </c>
      <c r="R63" s="123"/>
      <c r="S63" s="123">
        <f>+S62+'[1]River Analysis'!AV75</f>
        <v>4908.1743869209813</v>
      </c>
      <c r="T63" s="123"/>
      <c r="U63" s="123">
        <f>+U62+'[1]River Analysis'!AX75</f>
        <v>33430.735694822884</v>
      </c>
    </row>
    <row r="64" spans="3:21" x14ac:dyDescent="0.25">
      <c r="C64">
        <v>1</v>
      </c>
      <c r="D64" s="100">
        <f>+[2]Total!A398</f>
        <v>41424</v>
      </c>
      <c r="E64" s="120">
        <f t="shared" si="1"/>
        <v>4.2632564145606011E-13</v>
      </c>
      <c r="F64" s="120">
        <f t="shared" si="2"/>
        <v>0</v>
      </c>
      <c r="G64" s="101"/>
      <c r="H64" s="101"/>
      <c r="I64" s="12"/>
      <c r="J64" s="123"/>
      <c r="K64" s="123">
        <f>+K63+'[1]River Analysis'!AN76</f>
        <v>472118</v>
      </c>
      <c r="L64" s="123"/>
      <c r="M64" s="123">
        <f>+M63+'[1]River Analysis'!AP76</f>
        <v>182618</v>
      </c>
      <c r="N64" s="123"/>
      <c r="O64" s="123">
        <f>+O63+'[1]River Analysis'!AR76</f>
        <v>1253262</v>
      </c>
      <c r="P64" s="123"/>
      <c r="Q64" s="123">
        <f>+Q63+'[1]River Analysis'!AT76</f>
        <v>12864.25068119891</v>
      </c>
      <c r="R64" s="123"/>
      <c r="S64" s="123">
        <f>+S63+'[1]River Analysis'!AV76</f>
        <v>4975.9673024523163</v>
      </c>
      <c r="T64" s="123"/>
      <c r="U64" s="123">
        <f>+U63+'[1]River Analysis'!AX76</f>
        <v>34148.828337874656</v>
      </c>
    </row>
    <row r="65" spans="3:21" x14ac:dyDescent="0.25">
      <c r="C65" s="52" t="s">
        <v>234</v>
      </c>
      <c r="D65" s="103"/>
      <c r="E65" s="102">
        <f>+G65</f>
        <v>0</v>
      </c>
      <c r="F65" s="122">
        <f>+E65</f>
        <v>0</v>
      </c>
      <c r="G65" s="102">
        <f>+'GTR Wheat Table'!C23</f>
        <v>0</v>
      </c>
      <c r="H65" s="104"/>
      <c r="I65" s="105"/>
      <c r="J65" s="105"/>
      <c r="K65" s="105"/>
      <c r="L65" s="105"/>
      <c r="M65" s="105"/>
      <c r="N65" s="105"/>
      <c r="O65" s="105"/>
      <c r="P65" s="54"/>
      <c r="Q65" s="106"/>
      <c r="R65" s="54"/>
      <c r="S65" s="106"/>
      <c r="T65" s="54"/>
      <c r="U65" s="106"/>
    </row>
    <row r="66" spans="3:21" x14ac:dyDescent="0.25">
      <c r="D66" s="100"/>
      <c r="E66" s="121">
        <f>+(E65-E13)/51</f>
        <v>-108.79019607843138</v>
      </c>
      <c r="F66" s="121">
        <f>+(F65-F13)/51</f>
        <v>-13.078431372549019</v>
      </c>
      <c r="G66" s="101"/>
      <c r="H66" s="101"/>
      <c r="I66" s="12"/>
      <c r="J66" s="12"/>
      <c r="K66" s="12"/>
      <c r="L66" s="12"/>
      <c r="M66" s="12"/>
      <c r="N66" s="12"/>
      <c r="O66" s="12"/>
      <c r="Q66" s="99"/>
      <c r="S66" s="99"/>
      <c r="U66" s="99"/>
    </row>
    <row r="67" spans="3:21" x14ac:dyDescent="0.25">
      <c r="D67" s="100"/>
      <c r="E67" s="100" t="s">
        <v>240</v>
      </c>
      <c r="G67" s="101"/>
      <c r="H67" s="101"/>
      <c r="I67" s="12"/>
      <c r="J67" s="12"/>
      <c r="K67" s="12"/>
      <c r="L67" s="12"/>
      <c r="M67" s="12"/>
      <c r="N67" s="12"/>
      <c r="O67" s="12"/>
      <c r="Q67" s="99"/>
      <c r="S67" s="99"/>
      <c r="U67" s="99"/>
    </row>
    <row r="68" spans="3:21" x14ac:dyDescent="0.25">
      <c r="D68" s="100"/>
      <c r="E68" s="100"/>
      <c r="G68" s="101"/>
      <c r="H68" s="101"/>
      <c r="I68" s="12"/>
      <c r="J68" s="12"/>
      <c r="K68" s="12"/>
      <c r="L68" s="12"/>
      <c r="M68" s="12"/>
      <c r="N68" s="12"/>
      <c r="O68" s="12"/>
      <c r="Q68" s="99"/>
      <c r="S68" s="99"/>
      <c r="U68" s="99"/>
    </row>
    <row r="69" spans="3:21" x14ac:dyDescent="0.25">
      <c r="D69" s="100"/>
      <c r="E69" s="100"/>
      <c r="G69" s="101"/>
      <c r="H69" s="101"/>
      <c r="I69" s="12"/>
      <c r="J69" s="12"/>
      <c r="K69" s="12"/>
      <c r="L69" s="12"/>
      <c r="M69" s="12"/>
      <c r="N69" s="12"/>
      <c r="O69" s="12"/>
      <c r="Q69" s="99"/>
      <c r="S69" s="99"/>
      <c r="U69" s="99"/>
    </row>
    <row r="70" spans="3:21" x14ac:dyDescent="0.25">
      <c r="D70" s="100"/>
      <c r="E70" s="100"/>
      <c r="G70" s="101"/>
      <c r="H70" s="101"/>
      <c r="I70" s="12"/>
      <c r="J70" s="12"/>
      <c r="K70" s="12"/>
      <c r="L70" s="12"/>
      <c r="M70" s="12"/>
      <c r="N70" s="12"/>
      <c r="O70" s="12"/>
      <c r="Q70" s="99"/>
      <c r="S70" s="99"/>
      <c r="U70" s="99"/>
    </row>
    <row r="71" spans="3:21" x14ac:dyDescent="0.25">
      <c r="D71" s="100"/>
      <c r="E71" s="100"/>
      <c r="G71" s="101"/>
      <c r="H71" s="101"/>
      <c r="I71" s="12"/>
      <c r="J71" s="12"/>
      <c r="K71" s="12"/>
      <c r="L71" s="12"/>
      <c r="M71" s="12"/>
      <c r="N71" s="12"/>
      <c r="O71" s="12"/>
      <c r="Q71" s="99"/>
      <c r="S71" s="99"/>
      <c r="U71" s="99"/>
    </row>
    <row r="72" spans="3:21" x14ac:dyDescent="0.25">
      <c r="D72" s="100"/>
      <c r="E72" s="100"/>
      <c r="G72" s="101"/>
      <c r="H72" s="101"/>
      <c r="I72" s="12"/>
      <c r="J72" s="12"/>
      <c r="K72" s="12"/>
      <c r="L72" s="12"/>
      <c r="M72" s="12"/>
      <c r="N72" s="12"/>
      <c r="O72" s="12"/>
      <c r="Q72" s="99"/>
      <c r="S72" s="99"/>
      <c r="U72" s="99"/>
    </row>
    <row r="73" spans="3:21" x14ac:dyDescent="0.25">
      <c r="D73" s="100"/>
      <c r="E73" s="100"/>
      <c r="G73" s="101"/>
      <c r="H73" s="101"/>
      <c r="I73" s="12"/>
      <c r="J73" s="12"/>
      <c r="K73" s="12"/>
      <c r="L73" s="12"/>
      <c r="M73" s="12"/>
      <c r="N73" s="12"/>
      <c r="O73" s="12"/>
      <c r="Q73" s="99"/>
      <c r="S73" s="99"/>
      <c r="U73" s="99"/>
    </row>
    <row r="74" spans="3:21" x14ac:dyDescent="0.25">
      <c r="D74" s="100"/>
      <c r="E74" s="100"/>
      <c r="G74" s="101"/>
      <c r="H74" s="101"/>
      <c r="I74" s="12"/>
      <c r="J74" s="12"/>
      <c r="K74" s="12"/>
      <c r="L74" s="12"/>
      <c r="M74" s="12"/>
      <c r="N74" s="12"/>
      <c r="O74" s="12"/>
      <c r="Q74" s="99"/>
      <c r="S74" s="99"/>
      <c r="U74" s="99"/>
    </row>
    <row r="75" spans="3:21" x14ac:dyDescent="0.25">
      <c r="D75" s="100"/>
      <c r="E75" s="100"/>
      <c r="G75" s="101"/>
      <c r="H75" s="101"/>
      <c r="I75" s="12"/>
      <c r="J75" s="12"/>
      <c r="K75" s="12"/>
      <c r="L75" s="12"/>
      <c r="M75" s="12"/>
      <c r="N75" s="12"/>
      <c r="O75" s="12"/>
      <c r="Q75" s="99"/>
      <c r="S75" s="99"/>
      <c r="U75" s="99"/>
    </row>
    <row r="76" spans="3:21" x14ac:dyDescent="0.25">
      <c r="D76" s="100"/>
      <c r="E76" s="100"/>
      <c r="G76" s="101"/>
      <c r="H76" s="101"/>
      <c r="I76" s="12"/>
      <c r="J76" s="12"/>
      <c r="K76" s="12"/>
      <c r="L76" s="12"/>
      <c r="M76" s="12"/>
      <c r="N76" s="12"/>
      <c r="O76" s="12"/>
      <c r="Q76" s="99"/>
      <c r="S76" s="99"/>
      <c r="U76" s="99"/>
    </row>
    <row r="77" spans="3:21" x14ac:dyDescent="0.25">
      <c r="D77" s="100"/>
      <c r="E77" s="100"/>
      <c r="G77" s="101"/>
      <c r="H77" s="101"/>
      <c r="I77" s="12"/>
      <c r="J77" s="12"/>
      <c r="K77" s="12"/>
      <c r="L77" s="12"/>
      <c r="M77" s="12"/>
      <c r="N77" s="12"/>
      <c r="O77" s="12"/>
      <c r="Q77" s="99"/>
      <c r="S77" s="99"/>
      <c r="U77" s="99"/>
    </row>
  </sheetData>
  <mergeCells count="5">
    <mergeCell ref="C11:D11"/>
    <mergeCell ref="J11:O11"/>
    <mergeCell ref="P11:U11"/>
    <mergeCell ref="C1:D1"/>
    <mergeCell ref="E11:I1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3" sqref="G3"/>
    </sheetView>
  </sheetViews>
  <sheetFormatPr defaultRowHeight="13.2" x14ac:dyDescent="0.25"/>
  <sheetData>
    <row r="1" spans="1:1" x14ac:dyDescent="0.25">
      <c r="A1" s="72" t="s">
        <v>244</v>
      </c>
    </row>
    <row r="2" spans="1:1" x14ac:dyDescent="0.25">
      <c r="A2" s="72" t="s">
        <v>245</v>
      </c>
    </row>
    <row r="3" spans="1:1" x14ac:dyDescent="0.25">
      <c r="A3" s="72" t="s">
        <v>246</v>
      </c>
    </row>
    <row r="4" spans="1:1" x14ac:dyDescent="0.25">
      <c r="A4" s="72" t="s">
        <v>247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workbookViewId="0"/>
  </sheetViews>
  <sheetFormatPr defaultRowHeight="13.2" x14ac:dyDescent="0.25"/>
  <cols>
    <col min="1" max="1" width="7.88671875" bestFit="1" customWidth="1"/>
    <col min="2" max="2" width="2.6640625" customWidth="1"/>
  </cols>
  <sheetData>
    <row r="1" spans="1:12" x14ac:dyDescent="0.25">
      <c r="A1" s="72"/>
      <c r="C1" t="s">
        <v>171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</row>
    <row r="2" spans="1:12" x14ac:dyDescent="0.25">
      <c r="A2" s="72"/>
      <c r="C2" t="s">
        <v>125</v>
      </c>
      <c r="D2" t="s">
        <v>185</v>
      </c>
      <c r="E2" t="s">
        <v>186</v>
      </c>
      <c r="F2" t="s">
        <v>128</v>
      </c>
      <c r="G2" t="s">
        <v>129</v>
      </c>
      <c r="H2" t="s">
        <v>130</v>
      </c>
      <c r="I2" t="s">
        <v>187</v>
      </c>
      <c r="J2" s="68">
        <v>41306</v>
      </c>
    </row>
    <row r="3" spans="1:12" x14ac:dyDescent="0.25">
      <c r="A3" s="72"/>
      <c r="D3" t="s">
        <v>189</v>
      </c>
      <c r="E3" t="s">
        <v>190</v>
      </c>
      <c r="F3" t="s">
        <v>134</v>
      </c>
      <c r="G3" t="s">
        <v>135</v>
      </c>
      <c r="H3" t="s">
        <v>136</v>
      </c>
      <c r="I3" t="s">
        <v>137</v>
      </c>
    </row>
    <row r="4" spans="1:12" x14ac:dyDescent="0.25">
      <c r="A4" s="72"/>
      <c r="E4" t="s">
        <v>138</v>
      </c>
      <c r="F4" t="s">
        <v>139</v>
      </c>
      <c r="G4" t="s">
        <v>140</v>
      </c>
      <c r="H4" t="s">
        <v>141</v>
      </c>
    </row>
    <row r="5" spans="1:12" x14ac:dyDescent="0.25">
      <c r="A5" s="72"/>
    </row>
    <row r="6" spans="1:12" x14ac:dyDescent="0.25">
      <c r="A6" s="72"/>
      <c r="C6" t="s">
        <v>273</v>
      </c>
      <c r="D6">
        <v>2013</v>
      </c>
      <c r="E6" t="s">
        <v>204</v>
      </c>
      <c r="F6">
        <v>2012</v>
      </c>
      <c r="G6" t="s">
        <v>191</v>
      </c>
      <c r="H6">
        <v>2011</v>
      </c>
      <c r="I6" t="s">
        <v>142</v>
      </c>
      <c r="J6">
        <v>2010</v>
      </c>
      <c r="K6" t="s">
        <v>143</v>
      </c>
      <c r="L6">
        <v>2009</v>
      </c>
    </row>
    <row r="7" spans="1:12" x14ac:dyDescent="0.25">
      <c r="A7" s="72" t="s">
        <v>147</v>
      </c>
      <c r="C7" t="s">
        <v>117</v>
      </c>
      <c r="D7" t="s">
        <v>148</v>
      </c>
      <c r="E7" t="s">
        <v>117</v>
      </c>
      <c r="F7" t="s">
        <v>148</v>
      </c>
      <c r="G7" t="s">
        <v>117</v>
      </c>
      <c r="H7" t="s">
        <v>148</v>
      </c>
      <c r="I7" t="s">
        <v>117</v>
      </c>
      <c r="J7" t="s">
        <v>148</v>
      </c>
      <c r="K7" t="s">
        <v>117</v>
      </c>
      <c r="L7" t="s">
        <v>148</v>
      </c>
    </row>
    <row r="8" spans="1:12" x14ac:dyDescent="0.25">
      <c r="A8" s="72" t="s">
        <v>25</v>
      </c>
      <c r="B8" t="s">
        <v>37</v>
      </c>
      <c r="C8" t="s">
        <v>35</v>
      </c>
      <c r="D8" t="s">
        <v>38</v>
      </c>
      <c r="E8" t="s">
        <v>35</v>
      </c>
      <c r="F8" t="s">
        <v>38</v>
      </c>
      <c r="G8" t="s">
        <v>35</v>
      </c>
      <c r="H8" t="s">
        <v>38</v>
      </c>
      <c r="I8" t="s">
        <v>35</v>
      </c>
      <c r="J8" t="s">
        <v>149</v>
      </c>
      <c r="K8" t="s">
        <v>25</v>
      </c>
      <c r="L8" t="s">
        <v>38</v>
      </c>
    </row>
    <row r="9" spans="1:12" x14ac:dyDescent="0.25">
      <c r="A9" s="72" t="s">
        <v>29</v>
      </c>
      <c r="B9" t="s">
        <v>26</v>
      </c>
      <c r="C9">
        <v>3544</v>
      </c>
      <c r="D9">
        <v>1</v>
      </c>
      <c r="E9">
        <v>3512.1</v>
      </c>
      <c r="F9">
        <v>1</v>
      </c>
      <c r="G9">
        <v>3273</v>
      </c>
      <c r="H9">
        <v>3</v>
      </c>
      <c r="I9">
        <v>3148.3</v>
      </c>
      <c r="J9">
        <v>2</v>
      </c>
      <c r="K9">
        <v>3103.2</v>
      </c>
      <c r="L9">
        <v>1</v>
      </c>
    </row>
    <row r="10" spans="1:12" x14ac:dyDescent="0.25">
      <c r="A10" s="72"/>
    </row>
    <row r="11" spans="1:12" x14ac:dyDescent="0.25">
      <c r="A11" s="72" t="s">
        <v>31</v>
      </c>
      <c r="B11" t="s">
        <v>26</v>
      </c>
      <c r="C11">
        <v>3002.1</v>
      </c>
      <c r="D11">
        <v>2</v>
      </c>
      <c r="E11">
        <v>3248</v>
      </c>
      <c r="F11">
        <v>3</v>
      </c>
      <c r="G11">
        <v>3645.3</v>
      </c>
      <c r="H11">
        <v>2</v>
      </c>
      <c r="I11">
        <v>3233</v>
      </c>
      <c r="J11">
        <v>1</v>
      </c>
      <c r="K11">
        <v>2660.8</v>
      </c>
      <c r="L11">
        <v>2</v>
      </c>
    </row>
    <row r="12" spans="1:12" x14ac:dyDescent="0.25">
      <c r="A12" s="72"/>
    </row>
    <row r="13" spans="1:12" x14ac:dyDescent="0.25">
      <c r="A13" s="72" t="s">
        <v>74</v>
      </c>
      <c r="B13" t="s">
        <v>26</v>
      </c>
      <c r="C13">
        <v>2760.5</v>
      </c>
      <c r="D13">
        <v>3</v>
      </c>
      <c r="E13">
        <v>3495.9</v>
      </c>
      <c r="F13">
        <v>2</v>
      </c>
      <c r="G13">
        <v>2601</v>
      </c>
      <c r="H13">
        <v>4</v>
      </c>
      <c r="I13">
        <v>1974.6</v>
      </c>
      <c r="J13">
        <v>3</v>
      </c>
      <c r="K13">
        <v>2422.6</v>
      </c>
      <c r="L13">
        <v>3</v>
      </c>
    </row>
    <row r="14" spans="1:12" x14ac:dyDescent="0.25">
      <c r="A14" s="72"/>
    </row>
    <row r="15" spans="1:12" x14ac:dyDescent="0.25">
      <c r="A15" s="72" t="s">
        <v>60</v>
      </c>
      <c r="B15" t="s">
        <v>26</v>
      </c>
      <c r="C15">
        <v>1965.2</v>
      </c>
      <c r="D15">
        <v>4</v>
      </c>
      <c r="E15">
        <v>2038.6</v>
      </c>
      <c r="F15">
        <v>4</v>
      </c>
      <c r="G15">
        <v>1806.3</v>
      </c>
      <c r="H15">
        <v>5</v>
      </c>
      <c r="I15">
        <v>1517.5</v>
      </c>
      <c r="J15">
        <v>4</v>
      </c>
      <c r="K15">
        <v>1480</v>
      </c>
      <c r="L15">
        <v>6</v>
      </c>
    </row>
    <row r="16" spans="1:12" x14ac:dyDescent="0.25">
      <c r="A16" s="72"/>
    </row>
    <row r="17" spans="1:12" x14ac:dyDescent="0.25">
      <c r="A17" s="72" t="s">
        <v>30</v>
      </c>
      <c r="B17" t="s">
        <v>26</v>
      </c>
      <c r="C17">
        <v>1678</v>
      </c>
      <c r="D17">
        <v>5</v>
      </c>
      <c r="E17">
        <v>949.8</v>
      </c>
      <c r="F17">
        <v>6</v>
      </c>
      <c r="G17">
        <v>4021.2</v>
      </c>
      <c r="H17">
        <v>1</v>
      </c>
      <c r="I17">
        <v>455.6</v>
      </c>
      <c r="J17">
        <v>14</v>
      </c>
      <c r="K17">
        <v>1928.4</v>
      </c>
      <c r="L17">
        <v>4</v>
      </c>
    </row>
    <row r="18" spans="1:12" x14ac:dyDescent="0.25">
      <c r="A18" s="72"/>
    </row>
    <row r="19" spans="1:12" x14ac:dyDescent="0.25">
      <c r="A19" s="72" t="s">
        <v>58</v>
      </c>
      <c r="B19" t="s">
        <v>26</v>
      </c>
      <c r="C19">
        <v>1385</v>
      </c>
      <c r="D19">
        <v>6</v>
      </c>
      <c r="E19">
        <v>1983</v>
      </c>
      <c r="F19">
        <v>5</v>
      </c>
      <c r="G19">
        <v>1640.2</v>
      </c>
      <c r="H19">
        <v>6</v>
      </c>
      <c r="I19">
        <v>1110.7</v>
      </c>
      <c r="J19">
        <v>5</v>
      </c>
      <c r="K19">
        <v>1127.4000000000001</v>
      </c>
      <c r="L19">
        <v>8</v>
      </c>
    </row>
    <row r="20" spans="1:12" x14ac:dyDescent="0.25">
      <c r="A20" s="72"/>
    </row>
    <row r="21" spans="1:12" x14ac:dyDescent="0.25">
      <c r="A21" s="72" t="s">
        <v>52</v>
      </c>
      <c r="B21" t="s">
        <v>26</v>
      </c>
      <c r="C21">
        <v>1038.0999999999999</v>
      </c>
      <c r="D21">
        <v>7</v>
      </c>
      <c r="E21">
        <v>887.9</v>
      </c>
      <c r="F21">
        <v>7</v>
      </c>
      <c r="G21">
        <v>912.9</v>
      </c>
      <c r="H21">
        <v>10</v>
      </c>
      <c r="I21">
        <v>843.6</v>
      </c>
      <c r="J21">
        <v>6</v>
      </c>
      <c r="K21">
        <v>713.7</v>
      </c>
      <c r="L21">
        <v>11</v>
      </c>
    </row>
    <row r="22" spans="1:12" x14ac:dyDescent="0.25">
      <c r="A22" s="72"/>
    </row>
    <row r="23" spans="1:12" x14ac:dyDescent="0.25">
      <c r="A23" s="72" t="s">
        <v>53</v>
      </c>
      <c r="B23" t="s">
        <v>26</v>
      </c>
      <c r="C23">
        <v>742.7</v>
      </c>
      <c r="D23">
        <v>8</v>
      </c>
      <c r="E23">
        <v>534.29999999999995</v>
      </c>
      <c r="F23">
        <v>14</v>
      </c>
      <c r="G23">
        <v>120.7</v>
      </c>
      <c r="H23">
        <v>38</v>
      </c>
      <c r="I23">
        <v>290.8</v>
      </c>
      <c r="J23">
        <v>21</v>
      </c>
      <c r="K23">
        <v>171.1</v>
      </c>
      <c r="L23">
        <v>29</v>
      </c>
    </row>
    <row r="24" spans="1:12" x14ac:dyDescent="0.25">
      <c r="A24" s="72"/>
    </row>
    <row r="25" spans="1:12" x14ac:dyDescent="0.25">
      <c r="A25" s="72" t="s">
        <v>77</v>
      </c>
      <c r="B25" t="s">
        <v>26</v>
      </c>
      <c r="C25">
        <v>631.4</v>
      </c>
      <c r="D25">
        <v>9</v>
      </c>
      <c r="E25">
        <v>593.5</v>
      </c>
      <c r="F25">
        <v>10</v>
      </c>
      <c r="G25">
        <v>615.70000000000005</v>
      </c>
      <c r="H25">
        <v>16</v>
      </c>
      <c r="I25">
        <v>657.8</v>
      </c>
      <c r="J25">
        <v>7</v>
      </c>
      <c r="K25">
        <v>567.5</v>
      </c>
      <c r="L25">
        <v>13</v>
      </c>
    </row>
    <row r="26" spans="1:12" x14ac:dyDescent="0.25">
      <c r="A26" s="72"/>
    </row>
    <row r="27" spans="1:12" x14ac:dyDescent="0.25">
      <c r="A27" s="72" t="s">
        <v>71</v>
      </c>
      <c r="B27" t="s">
        <v>26</v>
      </c>
      <c r="C27">
        <v>600.29999999999995</v>
      </c>
      <c r="D27">
        <v>10</v>
      </c>
      <c r="E27">
        <v>446.2</v>
      </c>
      <c r="F27">
        <v>16</v>
      </c>
      <c r="G27">
        <v>782.7</v>
      </c>
      <c r="H27">
        <v>11</v>
      </c>
      <c r="I27">
        <v>575.4</v>
      </c>
      <c r="J27">
        <v>8</v>
      </c>
      <c r="K27">
        <v>749</v>
      </c>
      <c r="L27">
        <v>10</v>
      </c>
    </row>
    <row r="28" spans="1:12" x14ac:dyDescent="0.25">
      <c r="A28" s="72"/>
    </row>
    <row r="29" spans="1:12" x14ac:dyDescent="0.25">
      <c r="A29" s="72" t="s">
        <v>76</v>
      </c>
      <c r="B29" t="s">
        <v>26</v>
      </c>
      <c r="C29">
        <v>586.5</v>
      </c>
      <c r="D29">
        <v>11</v>
      </c>
      <c r="E29">
        <v>564.79999999999995</v>
      </c>
      <c r="F29">
        <v>12</v>
      </c>
      <c r="G29">
        <v>922.9</v>
      </c>
      <c r="H29">
        <v>9</v>
      </c>
      <c r="I29">
        <v>566.79999999999995</v>
      </c>
      <c r="J29">
        <v>9</v>
      </c>
      <c r="K29">
        <v>348</v>
      </c>
      <c r="L29">
        <v>22</v>
      </c>
    </row>
    <row r="30" spans="1:12" x14ac:dyDescent="0.25">
      <c r="A30" s="72"/>
    </row>
    <row r="31" spans="1:12" x14ac:dyDescent="0.25">
      <c r="A31" s="72" t="s">
        <v>63</v>
      </c>
      <c r="B31" t="s">
        <v>26</v>
      </c>
      <c r="C31">
        <v>564.20000000000005</v>
      </c>
      <c r="D31">
        <v>12</v>
      </c>
      <c r="E31">
        <v>507.5</v>
      </c>
      <c r="F31">
        <v>15</v>
      </c>
      <c r="G31">
        <v>481.9</v>
      </c>
      <c r="H31">
        <v>20</v>
      </c>
      <c r="I31">
        <v>459</v>
      </c>
      <c r="J31">
        <v>13</v>
      </c>
      <c r="K31">
        <v>446</v>
      </c>
      <c r="L31">
        <v>16</v>
      </c>
    </row>
    <row r="32" spans="1:12" x14ac:dyDescent="0.25">
      <c r="A32" s="72"/>
    </row>
    <row r="33" spans="1:12" x14ac:dyDescent="0.25">
      <c r="A33" s="72" t="s">
        <v>99</v>
      </c>
      <c r="B33" t="s">
        <v>26</v>
      </c>
      <c r="C33">
        <v>539</v>
      </c>
      <c r="D33">
        <v>13</v>
      </c>
      <c r="E33">
        <v>340.8</v>
      </c>
      <c r="F33">
        <v>20</v>
      </c>
      <c r="G33">
        <v>370.8</v>
      </c>
      <c r="H33">
        <v>25</v>
      </c>
      <c r="I33">
        <v>361.7</v>
      </c>
      <c r="J33">
        <v>18</v>
      </c>
      <c r="K33">
        <v>463.5</v>
      </c>
      <c r="L33">
        <v>15</v>
      </c>
    </row>
    <row r="34" spans="1:12" x14ac:dyDescent="0.25">
      <c r="A34" s="72"/>
    </row>
    <row r="35" spans="1:12" x14ac:dyDescent="0.25">
      <c r="A35" s="72" t="s">
        <v>55</v>
      </c>
      <c r="B35" t="s">
        <v>26</v>
      </c>
      <c r="C35">
        <v>533.70000000000005</v>
      </c>
      <c r="D35">
        <v>14</v>
      </c>
      <c r="E35">
        <v>830</v>
      </c>
      <c r="F35">
        <v>8</v>
      </c>
      <c r="G35">
        <v>781.4</v>
      </c>
      <c r="H35">
        <v>12</v>
      </c>
      <c r="I35">
        <v>528.6</v>
      </c>
      <c r="J35">
        <v>10</v>
      </c>
      <c r="K35">
        <v>709.3</v>
      </c>
      <c r="L35">
        <v>12</v>
      </c>
    </row>
    <row r="36" spans="1:12" x14ac:dyDescent="0.25">
      <c r="A36" s="72"/>
    </row>
    <row r="37" spans="1:12" x14ac:dyDescent="0.25">
      <c r="A37" s="72" t="s">
        <v>98</v>
      </c>
      <c r="B37" t="s">
        <v>26</v>
      </c>
      <c r="C37">
        <v>526.79999999999995</v>
      </c>
      <c r="D37">
        <v>15</v>
      </c>
      <c r="E37">
        <v>112.2</v>
      </c>
      <c r="F37">
        <v>33</v>
      </c>
      <c r="G37">
        <v>404</v>
      </c>
      <c r="H37">
        <v>24</v>
      </c>
      <c r="I37">
        <v>269.7</v>
      </c>
      <c r="J37">
        <v>22</v>
      </c>
      <c r="K37">
        <v>789</v>
      </c>
      <c r="L37">
        <v>9</v>
      </c>
    </row>
    <row r="38" spans="1:12" x14ac:dyDescent="0.25">
      <c r="A38" s="72"/>
    </row>
    <row r="39" spans="1:12" x14ac:dyDescent="0.25">
      <c r="A39" s="72" t="s">
        <v>73</v>
      </c>
      <c r="B39" t="s">
        <v>26</v>
      </c>
      <c r="C39">
        <v>525</v>
      </c>
      <c r="D39">
        <v>16</v>
      </c>
      <c r="E39">
        <v>413.2</v>
      </c>
      <c r="F39">
        <v>18</v>
      </c>
      <c r="G39">
        <v>471.8</v>
      </c>
      <c r="H39">
        <v>21</v>
      </c>
      <c r="I39">
        <v>472.6</v>
      </c>
      <c r="J39">
        <v>12</v>
      </c>
      <c r="K39">
        <v>390.2</v>
      </c>
      <c r="L39">
        <v>18</v>
      </c>
    </row>
    <row r="40" spans="1:12" x14ac:dyDescent="0.25">
      <c r="A40" s="72"/>
    </row>
    <row r="41" spans="1:12" x14ac:dyDescent="0.25">
      <c r="A41" s="72" t="s">
        <v>45</v>
      </c>
      <c r="B41" t="s">
        <v>26</v>
      </c>
      <c r="C41">
        <v>497.9</v>
      </c>
      <c r="D41">
        <v>17</v>
      </c>
      <c r="E41">
        <v>360</v>
      </c>
      <c r="F41">
        <v>19</v>
      </c>
      <c r="G41">
        <v>698</v>
      </c>
      <c r="H41">
        <v>13</v>
      </c>
      <c r="I41">
        <v>364.4</v>
      </c>
      <c r="J41">
        <v>17</v>
      </c>
      <c r="K41">
        <v>372.7</v>
      </c>
      <c r="L41">
        <v>20</v>
      </c>
    </row>
    <row r="42" spans="1:12" x14ac:dyDescent="0.25">
      <c r="A42" s="72"/>
    </row>
    <row r="43" spans="1:12" x14ac:dyDescent="0.25">
      <c r="A43" s="72" t="s">
        <v>100</v>
      </c>
      <c r="B43" t="s">
        <v>26</v>
      </c>
      <c r="C43">
        <v>481.1</v>
      </c>
      <c r="D43">
        <v>18</v>
      </c>
      <c r="E43">
        <v>535.20000000000005</v>
      </c>
      <c r="F43">
        <v>13</v>
      </c>
      <c r="G43">
        <v>539.9</v>
      </c>
      <c r="H43">
        <v>19</v>
      </c>
      <c r="I43">
        <v>389.5</v>
      </c>
      <c r="J43">
        <v>16</v>
      </c>
      <c r="K43">
        <v>401.8</v>
      </c>
      <c r="L43">
        <v>17</v>
      </c>
    </row>
    <row r="44" spans="1:12" x14ac:dyDescent="0.25">
      <c r="A44" s="72"/>
    </row>
    <row r="45" spans="1:12" x14ac:dyDescent="0.25">
      <c r="A45" s="72" t="s">
        <v>84</v>
      </c>
      <c r="B45" t="s">
        <v>26</v>
      </c>
      <c r="C45">
        <v>422.7</v>
      </c>
      <c r="D45">
        <v>19</v>
      </c>
      <c r="E45">
        <v>417.5</v>
      </c>
      <c r="F45">
        <v>17</v>
      </c>
      <c r="G45">
        <v>659.2</v>
      </c>
      <c r="H45">
        <v>15</v>
      </c>
      <c r="I45">
        <v>516.70000000000005</v>
      </c>
      <c r="J45">
        <v>11</v>
      </c>
      <c r="K45">
        <v>482.5</v>
      </c>
      <c r="L45">
        <v>14</v>
      </c>
    </row>
    <row r="46" spans="1:12" x14ac:dyDescent="0.25">
      <c r="A46" s="72"/>
    </row>
    <row r="47" spans="1:12" x14ac:dyDescent="0.25">
      <c r="A47" s="72" t="s">
        <v>85</v>
      </c>
      <c r="B47" t="s">
        <v>26</v>
      </c>
      <c r="C47">
        <v>364.2</v>
      </c>
      <c r="D47">
        <v>20</v>
      </c>
      <c r="E47">
        <v>178</v>
      </c>
      <c r="F47">
        <v>26</v>
      </c>
      <c r="G47">
        <v>130.1</v>
      </c>
      <c r="H47">
        <v>36</v>
      </c>
      <c r="I47">
        <v>248</v>
      </c>
      <c r="J47">
        <v>23</v>
      </c>
      <c r="K47">
        <v>56.9</v>
      </c>
      <c r="L47">
        <v>40</v>
      </c>
    </row>
    <row r="48" spans="1:12" x14ac:dyDescent="0.25">
      <c r="A48" s="72"/>
    </row>
    <row r="49" spans="1:12" x14ac:dyDescent="0.25">
      <c r="A49" s="72" t="s">
        <v>51</v>
      </c>
      <c r="B49" t="s">
        <v>26</v>
      </c>
      <c r="C49">
        <v>328.4</v>
      </c>
      <c r="D49">
        <v>21</v>
      </c>
      <c r="E49">
        <v>0</v>
      </c>
      <c r="F49">
        <v>0</v>
      </c>
      <c r="G49">
        <v>928.8</v>
      </c>
      <c r="H49">
        <v>8</v>
      </c>
      <c r="I49">
        <v>38</v>
      </c>
      <c r="J49">
        <v>44</v>
      </c>
      <c r="K49">
        <v>56.1</v>
      </c>
      <c r="L49">
        <v>41</v>
      </c>
    </row>
    <row r="50" spans="1:12" x14ac:dyDescent="0.25">
      <c r="A50" s="72"/>
    </row>
    <row r="51" spans="1:12" x14ac:dyDescent="0.25">
      <c r="A51" s="72" t="s">
        <v>48</v>
      </c>
      <c r="B51" t="s">
        <v>26</v>
      </c>
      <c r="C51">
        <v>266.60000000000002</v>
      </c>
      <c r="D51">
        <v>22</v>
      </c>
      <c r="E51">
        <v>639.20000000000005</v>
      </c>
      <c r="F51">
        <v>9</v>
      </c>
      <c r="G51">
        <v>304.2</v>
      </c>
      <c r="H51">
        <v>27</v>
      </c>
      <c r="I51">
        <v>134.80000000000001</v>
      </c>
      <c r="J51">
        <v>29</v>
      </c>
      <c r="K51">
        <v>363.8</v>
      </c>
      <c r="L51">
        <v>21</v>
      </c>
    </row>
    <row r="52" spans="1:12" x14ac:dyDescent="0.25">
      <c r="A52" s="72"/>
    </row>
    <row r="53" spans="1:12" x14ac:dyDescent="0.25">
      <c r="A53" s="72" t="s">
        <v>57</v>
      </c>
      <c r="B53" t="s">
        <v>26</v>
      </c>
      <c r="C53">
        <v>241.9</v>
      </c>
      <c r="D53">
        <v>23</v>
      </c>
      <c r="E53">
        <v>266.89999999999998</v>
      </c>
      <c r="F53">
        <v>22</v>
      </c>
      <c r="G53">
        <v>459</v>
      </c>
      <c r="H53">
        <v>22</v>
      </c>
      <c r="I53">
        <v>174.2</v>
      </c>
      <c r="J53">
        <v>27</v>
      </c>
      <c r="K53">
        <v>377.4</v>
      </c>
      <c r="L53">
        <v>19</v>
      </c>
    </row>
    <row r="54" spans="1:12" x14ac:dyDescent="0.25">
      <c r="A54" s="72"/>
    </row>
    <row r="55" spans="1:12" x14ac:dyDescent="0.25">
      <c r="A55" s="72" t="s">
        <v>61</v>
      </c>
      <c r="B55" t="s">
        <v>26</v>
      </c>
      <c r="C55">
        <v>228</v>
      </c>
      <c r="D55">
        <v>24</v>
      </c>
      <c r="E55">
        <v>56.8</v>
      </c>
      <c r="F55">
        <v>42</v>
      </c>
      <c r="G55">
        <v>541.6</v>
      </c>
      <c r="H55">
        <v>18</v>
      </c>
      <c r="I55">
        <v>0</v>
      </c>
      <c r="J55">
        <v>0</v>
      </c>
      <c r="K55">
        <v>59.3</v>
      </c>
      <c r="L55">
        <v>37</v>
      </c>
    </row>
    <row r="56" spans="1:12" x14ac:dyDescent="0.25">
      <c r="A56" s="72"/>
    </row>
    <row r="57" spans="1:12" x14ac:dyDescent="0.25">
      <c r="A57" s="72" t="s">
        <v>104</v>
      </c>
      <c r="B57" t="s">
        <v>26</v>
      </c>
      <c r="C57">
        <v>226</v>
      </c>
      <c r="D57">
        <v>25</v>
      </c>
      <c r="E57">
        <v>152</v>
      </c>
      <c r="F57">
        <v>28</v>
      </c>
      <c r="G57">
        <v>176.3</v>
      </c>
      <c r="H57">
        <v>31</v>
      </c>
      <c r="I57">
        <v>196.7</v>
      </c>
      <c r="J57">
        <v>26</v>
      </c>
      <c r="K57">
        <v>193</v>
      </c>
      <c r="L57">
        <v>27</v>
      </c>
    </row>
    <row r="58" spans="1:12" x14ac:dyDescent="0.25">
      <c r="A58" s="72"/>
    </row>
    <row r="59" spans="1:12" x14ac:dyDescent="0.25">
      <c r="A59" s="72" t="s">
        <v>82</v>
      </c>
      <c r="B59" t="s">
        <v>26</v>
      </c>
      <c r="C59">
        <v>208.9</v>
      </c>
      <c r="D59">
        <v>26</v>
      </c>
      <c r="E59">
        <v>571.79999999999995</v>
      </c>
      <c r="F59">
        <v>11</v>
      </c>
      <c r="G59">
        <v>1078.4000000000001</v>
      </c>
      <c r="H59">
        <v>7</v>
      </c>
      <c r="I59">
        <v>306.7</v>
      </c>
      <c r="J59">
        <v>20</v>
      </c>
      <c r="K59">
        <v>1205</v>
      </c>
      <c r="L59">
        <v>7</v>
      </c>
    </row>
    <row r="60" spans="1:12" x14ac:dyDescent="0.25">
      <c r="A60" s="72"/>
    </row>
    <row r="61" spans="1:12" x14ac:dyDescent="0.25">
      <c r="A61" s="72" t="s">
        <v>101</v>
      </c>
      <c r="B61" t="s">
        <v>26</v>
      </c>
      <c r="C61">
        <v>205.8</v>
      </c>
      <c r="D61">
        <v>27</v>
      </c>
      <c r="E61">
        <v>103.3</v>
      </c>
      <c r="F61">
        <v>35</v>
      </c>
      <c r="G61">
        <v>95.4</v>
      </c>
      <c r="H61">
        <v>44</v>
      </c>
      <c r="I61">
        <v>150.19999999999999</v>
      </c>
      <c r="J61">
        <v>28</v>
      </c>
      <c r="K61">
        <v>107.8</v>
      </c>
      <c r="L61">
        <v>33</v>
      </c>
    </row>
    <row r="62" spans="1:12" x14ac:dyDescent="0.25">
      <c r="A62" s="72"/>
    </row>
    <row r="63" spans="1:12" x14ac:dyDescent="0.25">
      <c r="A63" s="72" t="s">
        <v>108</v>
      </c>
      <c r="B63" t="s">
        <v>26</v>
      </c>
      <c r="C63">
        <v>204.2</v>
      </c>
      <c r="D63">
        <v>28</v>
      </c>
      <c r="E63">
        <v>241.3</v>
      </c>
      <c r="F63">
        <v>25</v>
      </c>
      <c r="G63">
        <v>218.7</v>
      </c>
      <c r="H63">
        <v>29</v>
      </c>
      <c r="I63">
        <v>229.6</v>
      </c>
      <c r="J63">
        <v>24</v>
      </c>
      <c r="K63">
        <v>203.3</v>
      </c>
      <c r="L63">
        <v>26</v>
      </c>
    </row>
    <row r="64" spans="1:12" x14ac:dyDescent="0.25">
      <c r="A64" s="72"/>
    </row>
    <row r="65" spans="1:12" x14ac:dyDescent="0.25">
      <c r="A65" s="72" t="s">
        <v>103</v>
      </c>
      <c r="B65" t="s">
        <v>26</v>
      </c>
      <c r="C65">
        <v>182</v>
      </c>
      <c r="D65">
        <v>29</v>
      </c>
      <c r="E65">
        <v>84.3</v>
      </c>
      <c r="F65">
        <v>36</v>
      </c>
      <c r="G65">
        <v>0</v>
      </c>
      <c r="H65">
        <v>0</v>
      </c>
      <c r="I65">
        <v>80.7</v>
      </c>
      <c r="J65">
        <v>39</v>
      </c>
      <c r="K65">
        <v>121.3</v>
      </c>
      <c r="L65">
        <v>32</v>
      </c>
    </row>
    <row r="66" spans="1:12" x14ac:dyDescent="0.25">
      <c r="A66" s="72"/>
    </row>
    <row r="67" spans="1:12" x14ac:dyDescent="0.25">
      <c r="A67" s="72" t="s">
        <v>105</v>
      </c>
      <c r="B67" t="s">
        <v>26</v>
      </c>
      <c r="C67">
        <v>154.80000000000001</v>
      </c>
      <c r="D67">
        <v>30</v>
      </c>
      <c r="E67">
        <v>151.69999999999999</v>
      </c>
      <c r="F67">
        <v>29</v>
      </c>
      <c r="G67">
        <v>169.8</v>
      </c>
      <c r="H67">
        <v>33</v>
      </c>
      <c r="I67">
        <v>106.2</v>
      </c>
      <c r="J67">
        <v>35</v>
      </c>
      <c r="K67">
        <v>185.9</v>
      </c>
      <c r="L67">
        <v>28</v>
      </c>
    </row>
    <row r="68" spans="1:12" x14ac:dyDescent="0.25">
      <c r="A68" s="72"/>
    </row>
    <row r="69" spans="1:12" x14ac:dyDescent="0.25">
      <c r="A69" s="72" t="s">
        <v>110</v>
      </c>
      <c r="B69" t="s">
        <v>26</v>
      </c>
      <c r="C69">
        <v>137</v>
      </c>
      <c r="D69">
        <v>31</v>
      </c>
      <c r="E69">
        <v>117.2</v>
      </c>
      <c r="F69">
        <v>32</v>
      </c>
      <c r="G69">
        <v>124.8</v>
      </c>
      <c r="H69">
        <v>37</v>
      </c>
      <c r="I69">
        <v>122.9</v>
      </c>
      <c r="J69">
        <v>31</v>
      </c>
      <c r="K69">
        <v>132.9</v>
      </c>
      <c r="L69">
        <v>30</v>
      </c>
    </row>
    <row r="70" spans="1:12" x14ac:dyDescent="0.25">
      <c r="A70" s="72"/>
    </row>
    <row r="71" spans="1:12" x14ac:dyDescent="0.25">
      <c r="A71" s="72" t="s">
        <v>75</v>
      </c>
      <c r="B71" t="s">
        <v>26</v>
      </c>
      <c r="C71">
        <v>133.69999999999999</v>
      </c>
      <c r="D71">
        <v>32</v>
      </c>
      <c r="E71">
        <v>157.5</v>
      </c>
      <c r="F71">
        <v>27</v>
      </c>
      <c r="G71">
        <v>108.5</v>
      </c>
      <c r="H71">
        <v>41</v>
      </c>
      <c r="I71">
        <v>124.7</v>
      </c>
      <c r="J71">
        <v>30</v>
      </c>
      <c r="K71">
        <v>101.2</v>
      </c>
      <c r="L71">
        <v>34</v>
      </c>
    </row>
    <row r="72" spans="1:12" x14ac:dyDescent="0.25">
      <c r="A72" s="72"/>
    </row>
    <row r="73" spans="1:12" x14ac:dyDescent="0.25">
      <c r="A73" s="72" t="s">
        <v>69</v>
      </c>
      <c r="B73" t="s">
        <v>26</v>
      </c>
      <c r="C73">
        <v>129.30000000000001</v>
      </c>
      <c r="D73">
        <v>33</v>
      </c>
      <c r="E73">
        <v>148.69999999999999</v>
      </c>
      <c r="F73">
        <v>30</v>
      </c>
      <c r="G73">
        <v>176.5</v>
      </c>
      <c r="H73">
        <v>30</v>
      </c>
      <c r="I73">
        <v>206.2</v>
      </c>
      <c r="J73">
        <v>25</v>
      </c>
      <c r="K73">
        <v>235.4</v>
      </c>
      <c r="L73">
        <v>25</v>
      </c>
    </row>
    <row r="74" spans="1:12" x14ac:dyDescent="0.25">
      <c r="A74" s="72"/>
    </row>
    <row r="75" spans="1:12" x14ac:dyDescent="0.25">
      <c r="A75" s="72" t="s">
        <v>65</v>
      </c>
      <c r="B75" t="s">
        <v>26</v>
      </c>
      <c r="C75">
        <v>125.4</v>
      </c>
      <c r="D75">
        <v>34</v>
      </c>
      <c r="E75">
        <v>108.6</v>
      </c>
      <c r="F75">
        <v>34</v>
      </c>
      <c r="G75">
        <v>173.3</v>
      </c>
      <c r="H75">
        <v>32</v>
      </c>
      <c r="I75">
        <v>46.9</v>
      </c>
      <c r="J75">
        <v>41</v>
      </c>
      <c r="K75">
        <v>32.799999999999997</v>
      </c>
      <c r="L75">
        <v>46</v>
      </c>
    </row>
    <row r="76" spans="1:12" x14ac:dyDescent="0.25">
      <c r="A76" s="72"/>
    </row>
    <row r="77" spans="1:12" x14ac:dyDescent="0.25">
      <c r="A77" s="72" t="s">
        <v>59</v>
      </c>
      <c r="B77" t="s">
        <v>26</v>
      </c>
      <c r="C77">
        <v>93</v>
      </c>
      <c r="D77">
        <v>35</v>
      </c>
      <c r="E77">
        <v>271.8</v>
      </c>
      <c r="F77">
        <v>21</v>
      </c>
      <c r="G77">
        <v>269.5</v>
      </c>
      <c r="H77">
        <v>28</v>
      </c>
      <c r="I77">
        <v>36.700000000000003</v>
      </c>
      <c r="J77">
        <v>45</v>
      </c>
      <c r="K77">
        <v>61.7</v>
      </c>
      <c r="L77">
        <v>36</v>
      </c>
    </row>
    <row r="78" spans="1:12" x14ac:dyDescent="0.25">
      <c r="A78" s="72"/>
    </row>
    <row r="79" spans="1:12" x14ac:dyDescent="0.25">
      <c r="A79" s="72" t="s">
        <v>66</v>
      </c>
      <c r="B79" t="s">
        <v>26</v>
      </c>
      <c r="C79">
        <v>87.9</v>
      </c>
      <c r="D79">
        <v>36</v>
      </c>
      <c r="E79">
        <v>0</v>
      </c>
      <c r="F79">
        <v>0</v>
      </c>
      <c r="G79">
        <v>334.3</v>
      </c>
      <c r="H79">
        <v>26</v>
      </c>
      <c r="I79">
        <v>427.9</v>
      </c>
      <c r="J79">
        <v>15</v>
      </c>
      <c r="K79">
        <v>19.600000000000001</v>
      </c>
      <c r="L79">
        <v>50</v>
      </c>
    </row>
    <row r="80" spans="1:12" x14ac:dyDescent="0.25">
      <c r="A80" s="72"/>
    </row>
    <row r="81" spans="1:12" x14ac:dyDescent="0.25">
      <c r="A81" s="72" t="s">
        <v>83</v>
      </c>
      <c r="B81" t="s">
        <v>26</v>
      </c>
      <c r="C81">
        <v>66</v>
      </c>
      <c r="D81">
        <v>37</v>
      </c>
      <c r="E81">
        <v>118.3</v>
      </c>
      <c r="F81">
        <v>31</v>
      </c>
      <c r="G81">
        <v>115.1</v>
      </c>
      <c r="H81">
        <v>39</v>
      </c>
      <c r="I81">
        <v>82.2</v>
      </c>
      <c r="J81">
        <v>38</v>
      </c>
      <c r="K81">
        <v>125.5</v>
      </c>
      <c r="L81">
        <v>31</v>
      </c>
    </row>
    <row r="82" spans="1:12" x14ac:dyDescent="0.25">
      <c r="A82" s="72"/>
    </row>
    <row r="83" spans="1:12" x14ac:dyDescent="0.25">
      <c r="A83" s="72" t="s">
        <v>56</v>
      </c>
      <c r="B83" t="s">
        <v>26</v>
      </c>
      <c r="C83">
        <v>59.8</v>
      </c>
      <c r="D83">
        <v>38</v>
      </c>
      <c r="E83">
        <v>263.39999999999998</v>
      </c>
      <c r="F83">
        <v>23</v>
      </c>
      <c r="G83">
        <v>0</v>
      </c>
      <c r="H83">
        <v>0</v>
      </c>
      <c r="I83">
        <v>113.2</v>
      </c>
      <c r="J83">
        <v>33</v>
      </c>
      <c r="K83">
        <v>1763.8</v>
      </c>
      <c r="L83">
        <v>5</v>
      </c>
    </row>
    <row r="84" spans="1:12" x14ac:dyDescent="0.25">
      <c r="A84" s="72"/>
    </row>
    <row r="85" spans="1:12" x14ac:dyDescent="0.25">
      <c r="A85" s="72" t="s">
        <v>47</v>
      </c>
      <c r="B85" t="s">
        <v>26</v>
      </c>
      <c r="C85">
        <v>59</v>
      </c>
      <c r="D85">
        <v>39</v>
      </c>
      <c r="E85">
        <v>22.4</v>
      </c>
      <c r="F85">
        <v>54</v>
      </c>
      <c r="G85">
        <v>61.5</v>
      </c>
      <c r="H85">
        <v>52</v>
      </c>
      <c r="I85">
        <v>11.3</v>
      </c>
      <c r="J85">
        <v>52</v>
      </c>
      <c r="K85">
        <v>58.5</v>
      </c>
      <c r="L85">
        <v>39</v>
      </c>
    </row>
    <row r="86" spans="1:12" x14ac:dyDescent="0.25">
      <c r="A86" s="72"/>
    </row>
    <row r="87" spans="1:12" x14ac:dyDescent="0.25">
      <c r="A87" s="72" t="s">
        <v>152</v>
      </c>
      <c r="B87" t="s">
        <v>26</v>
      </c>
      <c r="C87">
        <v>58.8</v>
      </c>
      <c r="D87">
        <v>40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72"/>
    </row>
    <row r="89" spans="1:12" x14ac:dyDescent="0.25">
      <c r="A89" s="72" t="s">
        <v>107</v>
      </c>
      <c r="B89" t="s">
        <v>26</v>
      </c>
      <c r="C89">
        <v>58.4</v>
      </c>
      <c r="D89">
        <v>41</v>
      </c>
      <c r="E89">
        <v>72.3</v>
      </c>
      <c r="F89">
        <v>38</v>
      </c>
      <c r="G89">
        <v>113.8</v>
      </c>
      <c r="H89">
        <v>40</v>
      </c>
      <c r="I89">
        <v>108</v>
      </c>
      <c r="J89">
        <v>34</v>
      </c>
      <c r="K89">
        <v>78.099999999999994</v>
      </c>
      <c r="L89">
        <v>35</v>
      </c>
    </row>
    <row r="90" spans="1:12" x14ac:dyDescent="0.25">
      <c r="A90" s="72"/>
    </row>
    <row r="91" spans="1:12" x14ac:dyDescent="0.25">
      <c r="A91" s="72" t="s">
        <v>90</v>
      </c>
      <c r="B91" t="s">
        <v>26</v>
      </c>
      <c r="C91">
        <v>53.7</v>
      </c>
      <c r="D91">
        <v>42</v>
      </c>
      <c r="E91">
        <v>72.2</v>
      </c>
      <c r="F91">
        <v>39</v>
      </c>
      <c r="G91">
        <v>16.100000000000001</v>
      </c>
      <c r="H91">
        <v>62</v>
      </c>
      <c r="I91">
        <v>10.9</v>
      </c>
      <c r="J91">
        <v>54</v>
      </c>
      <c r="K91">
        <v>16.100000000000001</v>
      </c>
      <c r="L91">
        <v>54</v>
      </c>
    </row>
    <row r="92" spans="1:12" x14ac:dyDescent="0.25">
      <c r="A92" s="72"/>
    </row>
    <row r="93" spans="1:12" x14ac:dyDescent="0.25">
      <c r="A93" s="72" t="s">
        <v>49</v>
      </c>
      <c r="B93" t="s">
        <v>26</v>
      </c>
      <c r="C93">
        <v>52.1</v>
      </c>
      <c r="D93">
        <v>43</v>
      </c>
      <c r="E93">
        <v>70.599999999999994</v>
      </c>
      <c r="F93">
        <v>41</v>
      </c>
      <c r="G93">
        <v>61</v>
      </c>
      <c r="H93">
        <v>53</v>
      </c>
      <c r="I93">
        <v>43.3</v>
      </c>
      <c r="J93">
        <v>42</v>
      </c>
      <c r="K93">
        <v>52.7</v>
      </c>
      <c r="L93">
        <v>42</v>
      </c>
    </row>
    <row r="94" spans="1:12" x14ac:dyDescent="0.25">
      <c r="A94" s="72"/>
    </row>
    <row r="95" spans="1:12" x14ac:dyDescent="0.25">
      <c r="A95" s="72" t="s">
        <v>62</v>
      </c>
      <c r="B95" t="s">
        <v>26</v>
      </c>
      <c r="C95">
        <v>47.9</v>
      </c>
      <c r="D95">
        <v>44</v>
      </c>
      <c r="E95">
        <v>46.1</v>
      </c>
      <c r="F95">
        <v>46</v>
      </c>
      <c r="G95">
        <v>66</v>
      </c>
      <c r="H95">
        <v>50</v>
      </c>
      <c r="I95">
        <v>66</v>
      </c>
      <c r="J95">
        <v>40</v>
      </c>
      <c r="K95">
        <v>59.2</v>
      </c>
      <c r="L95">
        <v>38</v>
      </c>
    </row>
    <row r="96" spans="1:12" x14ac:dyDescent="0.25">
      <c r="A96" s="72"/>
    </row>
    <row r="97" spans="1:12" x14ac:dyDescent="0.25">
      <c r="A97" s="72" t="s">
        <v>161</v>
      </c>
      <c r="B97" t="s">
        <v>26</v>
      </c>
      <c r="C97">
        <v>47.6</v>
      </c>
      <c r="D97">
        <v>45</v>
      </c>
      <c r="E97">
        <v>52.4</v>
      </c>
      <c r="F97">
        <v>44</v>
      </c>
      <c r="G97">
        <v>408.5</v>
      </c>
      <c r="H97">
        <v>23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72"/>
    </row>
    <row r="99" spans="1:12" x14ac:dyDescent="0.25">
      <c r="A99" s="72" t="s">
        <v>42</v>
      </c>
      <c r="B99" t="s">
        <v>26</v>
      </c>
      <c r="C99">
        <v>46.6</v>
      </c>
      <c r="D99">
        <v>46</v>
      </c>
      <c r="E99">
        <v>70.7</v>
      </c>
      <c r="F99">
        <v>40</v>
      </c>
      <c r="G99">
        <v>102.8</v>
      </c>
      <c r="H99">
        <v>43</v>
      </c>
      <c r="I99">
        <v>22.6</v>
      </c>
      <c r="J99">
        <v>49</v>
      </c>
      <c r="K99">
        <v>49</v>
      </c>
      <c r="L99">
        <v>43</v>
      </c>
    </row>
    <row r="100" spans="1:12" x14ac:dyDescent="0.25">
      <c r="A100" s="72"/>
    </row>
    <row r="101" spans="1:12" x14ac:dyDescent="0.25">
      <c r="A101" s="72" t="s">
        <v>95</v>
      </c>
      <c r="B101" t="s">
        <v>26</v>
      </c>
      <c r="C101">
        <v>45.9</v>
      </c>
      <c r="D101">
        <v>47</v>
      </c>
      <c r="E101">
        <v>250.7</v>
      </c>
      <c r="F101">
        <v>24</v>
      </c>
      <c r="G101">
        <v>563.5</v>
      </c>
      <c r="H101">
        <v>17</v>
      </c>
      <c r="I101">
        <v>100.6</v>
      </c>
      <c r="J101">
        <v>36</v>
      </c>
      <c r="K101">
        <v>284.60000000000002</v>
      </c>
      <c r="L101">
        <v>24</v>
      </c>
    </row>
    <row r="102" spans="1:12" x14ac:dyDescent="0.25">
      <c r="A102" s="72"/>
    </row>
    <row r="103" spans="1:12" x14ac:dyDescent="0.25">
      <c r="A103" s="72" t="s">
        <v>116</v>
      </c>
      <c r="B103" t="s">
        <v>26</v>
      </c>
      <c r="C103">
        <v>45.3</v>
      </c>
      <c r="D103">
        <v>48</v>
      </c>
      <c r="E103">
        <v>36.299999999999997</v>
      </c>
      <c r="F103">
        <v>50</v>
      </c>
      <c r="G103">
        <v>44.2</v>
      </c>
      <c r="H103">
        <v>55</v>
      </c>
      <c r="I103">
        <v>7.5</v>
      </c>
      <c r="J103">
        <v>55</v>
      </c>
      <c r="K103">
        <v>0</v>
      </c>
      <c r="L103">
        <v>0</v>
      </c>
    </row>
    <row r="104" spans="1:12" x14ac:dyDescent="0.25">
      <c r="A104" s="72"/>
    </row>
    <row r="105" spans="1:12" x14ac:dyDescent="0.25">
      <c r="A105" s="72" t="s">
        <v>94</v>
      </c>
      <c r="B105" t="s">
        <v>26</v>
      </c>
      <c r="C105">
        <v>35.6</v>
      </c>
      <c r="D105">
        <v>49</v>
      </c>
      <c r="E105">
        <v>52.7</v>
      </c>
      <c r="F105">
        <v>43</v>
      </c>
      <c r="G105">
        <v>71.599999999999994</v>
      </c>
      <c r="H105">
        <v>49</v>
      </c>
      <c r="I105">
        <v>86.3</v>
      </c>
      <c r="J105">
        <v>37</v>
      </c>
      <c r="K105">
        <v>6.6</v>
      </c>
      <c r="L105">
        <v>59</v>
      </c>
    </row>
    <row r="106" spans="1:12" x14ac:dyDescent="0.25">
      <c r="A106" s="72"/>
    </row>
    <row r="107" spans="1:12" x14ac:dyDescent="0.25">
      <c r="A107" s="72" t="s">
        <v>252</v>
      </c>
      <c r="B107" t="s">
        <v>26</v>
      </c>
      <c r="C107">
        <v>33.9</v>
      </c>
      <c r="D107">
        <v>50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72"/>
    </row>
    <row r="109" spans="1:12" x14ac:dyDescent="0.25">
      <c r="A109" s="72" t="s">
        <v>106</v>
      </c>
      <c r="B109" t="s">
        <v>26</v>
      </c>
      <c r="C109">
        <v>33.200000000000003</v>
      </c>
      <c r="D109">
        <v>51</v>
      </c>
      <c r="E109">
        <v>42.5</v>
      </c>
      <c r="F109">
        <v>49</v>
      </c>
      <c r="G109">
        <v>37.5</v>
      </c>
      <c r="H109">
        <v>56</v>
      </c>
      <c r="I109">
        <v>26.1</v>
      </c>
      <c r="J109">
        <v>47</v>
      </c>
      <c r="K109">
        <v>40.5</v>
      </c>
      <c r="L109">
        <v>45</v>
      </c>
    </row>
    <row r="110" spans="1:12" x14ac:dyDescent="0.25">
      <c r="A110" s="72"/>
    </row>
    <row r="111" spans="1:12" x14ac:dyDescent="0.25">
      <c r="A111" s="72" t="s">
        <v>255</v>
      </c>
      <c r="B111" t="s">
        <v>26</v>
      </c>
      <c r="C111">
        <v>31.3</v>
      </c>
      <c r="D111">
        <v>52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72"/>
    </row>
    <row r="113" spans="1:12" x14ac:dyDescent="0.25">
      <c r="A113" s="72" t="s">
        <v>88</v>
      </c>
      <c r="B113" t="s">
        <v>26</v>
      </c>
      <c r="C113">
        <v>27.5</v>
      </c>
      <c r="D113">
        <v>53</v>
      </c>
      <c r="E113">
        <v>2.5</v>
      </c>
      <c r="F113">
        <v>64</v>
      </c>
      <c r="G113">
        <v>18.399999999999999</v>
      </c>
      <c r="H113">
        <v>60</v>
      </c>
      <c r="I113">
        <v>2.2999999999999998</v>
      </c>
      <c r="J113">
        <v>61</v>
      </c>
      <c r="K113">
        <v>19.100000000000001</v>
      </c>
      <c r="L113">
        <v>51</v>
      </c>
    </row>
    <row r="114" spans="1:12" x14ac:dyDescent="0.25">
      <c r="A114" s="72"/>
    </row>
    <row r="115" spans="1:12" x14ac:dyDescent="0.25">
      <c r="A115" s="72" t="s">
        <v>70</v>
      </c>
      <c r="B115" t="s">
        <v>26</v>
      </c>
      <c r="C115">
        <v>26.6</v>
      </c>
      <c r="D115">
        <v>54</v>
      </c>
      <c r="E115">
        <v>52.2</v>
      </c>
      <c r="F115">
        <v>45</v>
      </c>
      <c r="G115">
        <v>692.5</v>
      </c>
      <c r="H115">
        <v>14</v>
      </c>
      <c r="I115">
        <v>350.5</v>
      </c>
      <c r="J115">
        <v>19</v>
      </c>
      <c r="K115">
        <v>25.6</v>
      </c>
      <c r="L115">
        <v>48</v>
      </c>
    </row>
    <row r="116" spans="1:12" x14ac:dyDescent="0.25">
      <c r="A116" s="72"/>
    </row>
    <row r="117" spans="1:12" x14ac:dyDescent="0.25">
      <c r="A117" s="72" t="s">
        <v>64</v>
      </c>
      <c r="B117" t="s">
        <v>26</v>
      </c>
      <c r="C117">
        <v>22</v>
      </c>
      <c r="D117">
        <v>55</v>
      </c>
      <c r="E117">
        <v>29.7</v>
      </c>
      <c r="F117">
        <v>52</v>
      </c>
      <c r="G117">
        <v>65.099999999999994</v>
      </c>
      <c r="H117">
        <v>51</v>
      </c>
      <c r="I117">
        <v>38.9</v>
      </c>
      <c r="J117">
        <v>43</v>
      </c>
      <c r="K117">
        <v>43.8</v>
      </c>
      <c r="L117">
        <v>44</v>
      </c>
    </row>
    <row r="118" spans="1:12" x14ac:dyDescent="0.25">
      <c r="A118" s="72"/>
    </row>
    <row r="119" spans="1:12" x14ac:dyDescent="0.25">
      <c r="A119" s="72" t="s">
        <v>97</v>
      </c>
      <c r="B119" t="s">
        <v>26</v>
      </c>
      <c r="C119">
        <v>21</v>
      </c>
      <c r="D119">
        <v>56</v>
      </c>
      <c r="E119">
        <v>17.2</v>
      </c>
      <c r="F119">
        <v>59</v>
      </c>
      <c r="G119">
        <v>17.600000000000001</v>
      </c>
      <c r="H119">
        <v>61</v>
      </c>
      <c r="I119">
        <v>11.2</v>
      </c>
      <c r="J119">
        <v>53</v>
      </c>
      <c r="K119">
        <v>18.7</v>
      </c>
      <c r="L119">
        <v>52</v>
      </c>
    </row>
    <row r="120" spans="1:12" x14ac:dyDescent="0.25">
      <c r="A120" s="72"/>
    </row>
    <row r="121" spans="1:12" x14ac:dyDescent="0.25">
      <c r="A121" s="72" t="s">
        <v>169</v>
      </c>
      <c r="B121" t="s">
        <v>26</v>
      </c>
      <c r="C121">
        <v>19.3</v>
      </c>
      <c r="D121">
        <v>57</v>
      </c>
      <c r="E121">
        <v>11.5</v>
      </c>
      <c r="F121">
        <v>60</v>
      </c>
      <c r="G121">
        <v>15.5</v>
      </c>
      <c r="H121">
        <v>63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72"/>
    </row>
    <row r="123" spans="1:12" x14ac:dyDescent="0.25">
      <c r="A123" s="72" t="s">
        <v>86</v>
      </c>
      <c r="B123" t="s">
        <v>26</v>
      </c>
      <c r="C123">
        <v>16.100000000000001</v>
      </c>
      <c r="D123">
        <v>58</v>
      </c>
      <c r="E123">
        <v>0</v>
      </c>
      <c r="F123">
        <v>0</v>
      </c>
      <c r="G123">
        <v>7.4</v>
      </c>
      <c r="H123">
        <v>67</v>
      </c>
      <c r="I123">
        <v>0</v>
      </c>
      <c r="J123">
        <v>0</v>
      </c>
      <c r="K123">
        <v>17.399999999999999</v>
      </c>
      <c r="L123">
        <v>53</v>
      </c>
    </row>
    <row r="124" spans="1:12" x14ac:dyDescent="0.25">
      <c r="A124" s="72"/>
    </row>
    <row r="125" spans="1:12" x14ac:dyDescent="0.25">
      <c r="A125" s="72" t="s">
        <v>68</v>
      </c>
      <c r="B125" t="s">
        <v>26</v>
      </c>
      <c r="C125">
        <v>11.7</v>
      </c>
      <c r="D125">
        <v>59</v>
      </c>
      <c r="E125">
        <v>17.7</v>
      </c>
      <c r="F125">
        <v>58</v>
      </c>
      <c r="G125">
        <v>14.3</v>
      </c>
      <c r="H125">
        <v>65</v>
      </c>
      <c r="I125">
        <v>5.2</v>
      </c>
      <c r="J125">
        <v>57</v>
      </c>
      <c r="K125">
        <v>20.3</v>
      </c>
      <c r="L125">
        <v>49</v>
      </c>
    </row>
    <row r="126" spans="1:12" x14ac:dyDescent="0.25">
      <c r="A126" s="72"/>
    </row>
    <row r="127" spans="1:12" x14ac:dyDescent="0.25">
      <c r="A127" s="72" t="s">
        <v>154</v>
      </c>
      <c r="B127" t="s">
        <v>26</v>
      </c>
      <c r="C127">
        <v>11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72"/>
    </row>
    <row r="129" spans="1:12" x14ac:dyDescent="0.25">
      <c r="A129" s="72" t="s">
        <v>44</v>
      </c>
      <c r="B129" t="s">
        <v>26</v>
      </c>
      <c r="C129">
        <v>10.9</v>
      </c>
      <c r="D129">
        <v>61</v>
      </c>
      <c r="E129">
        <v>19.8</v>
      </c>
      <c r="F129">
        <v>55</v>
      </c>
      <c r="G129">
        <v>52.9</v>
      </c>
      <c r="H129">
        <v>54</v>
      </c>
      <c r="I129">
        <v>0</v>
      </c>
      <c r="J129">
        <v>0</v>
      </c>
      <c r="K129">
        <v>0.2</v>
      </c>
      <c r="L129">
        <v>70</v>
      </c>
    </row>
    <row r="130" spans="1:12" x14ac:dyDescent="0.25">
      <c r="A130" s="72"/>
    </row>
    <row r="131" spans="1:12" x14ac:dyDescent="0.25">
      <c r="A131" s="72" t="s">
        <v>166</v>
      </c>
      <c r="B131" t="s">
        <v>26</v>
      </c>
      <c r="C131">
        <v>10.7</v>
      </c>
      <c r="D131">
        <v>62</v>
      </c>
      <c r="E131">
        <v>26.3</v>
      </c>
      <c r="F131">
        <v>53</v>
      </c>
      <c r="G131">
        <v>92.8</v>
      </c>
      <c r="H131">
        <v>45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72"/>
    </row>
    <row r="133" spans="1:12" x14ac:dyDescent="0.25">
      <c r="A133" s="72" t="s">
        <v>92</v>
      </c>
      <c r="B133" t="s">
        <v>26</v>
      </c>
      <c r="C133">
        <v>9.6</v>
      </c>
      <c r="D133">
        <v>63</v>
      </c>
      <c r="E133">
        <v>19.600000000000001</v>
      </c>
      <c r="F133">
        <v>56</v>
      </c>
      <c r="G133">
        <v>0</v>
      </c>
      <c r="H133">
        <v>0</v>
      </c>
      <c r="I133">
        <v>14.2</v>
      </c>
      <c r="J133">
        <v>51</v>
      </c>
      <c r="K133">
        <v>4.7</v>
      </c>
      <c r="L133">
        <v>63</v>
      </c>
    </row>
    <row r="134" spans="1:12" x14ac:dyDescent="0.25">
      <c r="A134" s="72"/>
    </row>
    <row r="135" spans="1:12" x14ac:dyDescent="0.25">
      <c r="A135" s="72" t="s">
        <v>67</v>
      </c>
      <c r="B135" t="s">
        <v>26</v>
      </c>
      <c r="C135">
        <v>9.5</v>
      </c>
      <c r="D135">
        <v>64</v>
      </c>
      <c r="E135">
        <v>32.799999999999997</v>
      </c>
      <c r="F135">
        <v>51</v>
      </c>
      <c r="G135">
        <v>84.5</v>
      </c>
      <c r="H135">
        <v>46</v>
      </c>
      <c r="I135">
        <v>34.9</v>
      </c>
      <c r="J135">
        <v>46</v>
      </c>
      <c r="K135">
        <v>10</v>
      </c>
      <c r="L135">
        <v>57</v>
      </c>
    </row>
    <row r="136" spans="1:12" x14ac:dyDescent="0.25">
      <c r="A136" s="72"/>
    </row>
    <row r="137" spans="1:12" x14ac:dyDescent="0.25">
      <c r="A137" s="72" t="s">
        <v>87</v>
      </c>
      <c r="B137" t="s">
        <v>26</v>
      </c>
      <c r="C137">
        <v>8</v>
      </c>
      <c r="D137">
        <v>65</v>
      </c>
      <c r="E137">
        <v>6.3</v>
      </c>
      <c r="F137">
        <v>61</v>
      </c>
      <c r="G137">
        <v>14.7</v>
      </c>
      <c r="H137">
        <v>64</v>
      </c>
      <c r="I137">
        <v>2.5</v>
      </c>
      <c r="J137">
        <v>60</v>
      </c>
      <c r="K137">
        <v>0</v>
      </c>
      <c r="L137">
        <v>0</v>
      </c>
    </row>
    <row r="138" spans="1:12" x14ac:dyDescent="0.25">
      <c r="A138" s="72"/>
    </row>
    <row r="139" spans="1:12" x14ac:dyDescent="0.25">
      <c r="A139" s="72" t="s">
        <v>175</v>
      </c>
      <c r="B139" t="s">
        <v>26</v>
      </c>
      <c r="C139">
        <v>7.7</v>
      </c>
      <c r="D139">
        <v>66</v>
      </c>
      <c r="E139">
        <v>0</v>
      </c>
      <c r="F139">
        <v>0</v>
      </c>
      <c r="G139">
        <v>104.9</v>
      </c>
      <c r="H139">
        <v>42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72"/>
    </row>
    <row r="141" spans="1:12" x14ac:dyDescent="0.25">
      <c r="A141" s="72" t="s">
        <v>102</v>
      </c>
      <c r="B141" t="s">
        <v>26</v>
      </c>
      <c r="C141">
        <v>6.8</v>
      </c>
      <c r="D141">
        <v>67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6.1</v>
      </c>
      <c r="L141">
        <v>61</v>
      </c>
    </row>
    <row r="142" spans="1:12" x14ac:dyDescent="0.25">
      <c r="A142" s="72"/>
    </row>
    <row r="143" spans="1:12" x14ac:dyDescent="0.25">
      <c r="A143" s="72" t="s">
        <v>54</v>
      </c>
      <c r="B143" t="s">
        <v>26</v>
      </c>
      <c r="C143">
        <v>6.6</v>
      </c>
      <c r="D143">
        <v>68</v>
      </c>
      <c r="E143">
        <v>5.6</v>
      </c>
      <c r="F143">
        <v>63</v>
      </c>
      <c r="G143">
        <v>5.2</v>
      </c>
      <c r="H143">
        <v>68</v>
      </c>
      <c r="I143">
        <v>4.8</v>
      </c>
      <c r="J143">
        <v>58</v>
      </c>
      <c r="K143">
        <v>5.2</v>
      </c>
      <c r="L143">
        <v>62</v>
      </c>
    </row>
    <row r="144" spans="1:12" x14ac:dyDescent="0.25">
      <c r="A144" s="72"/>
    </row>
    <row r="145" spans="1:12" x14ac:dyDescent="0.25">
      <c r="A145" s="72" t="s">
        <v>272</v>
      </c>
      <c r="B145" t="s">
        <v>26</v>
      </c>
      <c r="C145">
        <v>3.3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72"/>
    </row>
    <row r="147" spans="1:12" x14ac:dyDescent="0.25">
      <c r="A147" s="72" t="s">
        <v>78</v>
      </c>
      <c r="B147" t="s">
        <v>26</v>
      </c>
      <c r="C147">
        <v>3</v>
      </c>
      <c r="D147">
        <v>70</v>
      </c>
      <c r="E147">
        <v>0</v>
      </c>
      <c r="F147">
        <v>0</v>
      </c>
      <c r="G147">
        <v>0</v>
      </c>
      <c r="H147">
        <v>0</v>
      </c>
      <c r="I147">
        <v>7.3</v>
      </c>
      <c r="J147">
        <v>56</v>
      </c>
      <c r="K147">
        <v>15.5</v>
      </c>
      <c r="L147">
        <v>56</v>
      </c>
    </row>
    <row r="148" spans="1:12" x14ac:dyDescent="0.25">
      <c r="A148" s="72"/>
    </row>
    <row r="149" spans="1:12" x14ac:dyDescent="0.25">
      <c r="A149" s="72" t="s">
        <v>79</v>
      </c>
      <c r="B149" t="s">
        <v>26</v>
      </c>
      <c r="C149">
        <v>0.8</v>
      </c>
      <c r="D149">
        <v>71</v>
      </c>
      <c r="E149">
        <v>1.3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2.2000000000000002</v>
      </c>
      <c r="L149">
        <v>68</v>
      </c>
    </row>
    <row r="150" spans="1:12" x14ac:dyDescent="0.25">
      <c r="A150" s="72"/>
    </row>
    <row r="151" spans="1:12" x14ac:dyDescent="0.25">
      <c r="A151" s="72" t="s">
        <v>153</v>
      </c>
      <c r="B151" t="s">
        <v>26</v>
      </c>
      <c r="C151">
        <v>0</v>
      </c>
      <c r="D151">
        <v>0</v>
      </c>
      <c r="E151">
        <v>80.7</v>
      </c>
      <c r="F151">
        <v>37</v>
      </c>
      <c r="G151">
        <v>76</v>
      </c>
      <c r="H151">
        <v>47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72"/>
    </row>
    <row r="153" spans="1:12" x14ac:dyDescent="0.25">
      <c r="A153" s="72" t="s">
        <v>46</v>
      </c>
      <c r="B153" t="s">
        <v>26</v>
      </c>
      <c r="C153">
        <v>0</v>
      </c>
      <c r="D153">
        <v>0</v>
      </c>
      <c r="E153">
        <v>44.2</v>
      </c>
      <c r="F153">
        <v>47</v>
      </c>
      <c r="G153">
        <v>27.2</v>
      </c>
      <c r="H153">
        <v>58</v>
      </c>
      <c r="I153">
        <v>22.5</v>
      </c>
      <c r="J153">
        <v>50</v>
      </c>
      <c r="K153">
        <v>0</v>
      </c>
      <c r="L153">
        <v>0</v>
      </c>
    </row>
    <row r="154" spans="1:12" x14ac:dyDescent="0.25">
      <c r="A154" s="72"/>
    </row>
    <row r="155" spans="1:12" x14ac:dyDescent="0.25">
      <c r="A155" s="72" t="s">
        <v>163</v>
      </c>
      <c r="B155" t="s">
        <v>26</v>
      </c>
      <c r="C155">
        <v>0</v>
      </c>
      <c r="D155">
        <v>0</v>
      </c>
      <c r="E155">
        <v>44</v>
      </c>
      <c r="F155">
        <v>48</v>
      </c>
      <c r="G155">
        <v>169.7</v>
      </c>
      <c r="H155">
        <v>34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72"/>
    </row>
    <row r="157" spans="1:12" x14ac:dyDescent="0.25">
      <c r="A157" s="72" t="s">
        <v>91</v>
      </c>
      <c r="B157" t="s">
        <v>26</v>
      </c>
      <c r="C157">
        <v>0</v>
      </c>
      <c r="D157">
        <v>0</v>
      </c>
      <c r="E157">
        <v>19.600000000000001</v>
      </c>
      <c r="F157">
        <v>57</v>
      </c>
      <c r="G157">
        <v>142.80000000000001</v>
      </c>
      <c r="H157">
        <v>35</v>
      </c>
      <c r="I157">
        <v>25.3</v>
      </c>
      <c r="J157">
        <v>48</v>
      </c>
      <c r="K157">
        <v>0</v>
      </c>
      <c r="L157">
        <v>0</v>
      </c>
    </row>
    <row r="158" spans="1:12" x14ac:dyDescent="0.25">
      <c r="A158" s="72"/>
    </row>
    <row r="159" spans="1:12" x14ac:dyDescent="0.25">
      <c r="A159" s="72" t="s">
        <v>96</v>
      </c>
      <c r="B159" t="s">
        <v>26</v>
      </c>
      <c r="C159">
        <v>0</v>
      </c>
      <c r="D159">
        <v>0</v>
      </c>
      <c r="E159">
        <v>6.1</v>
      </c>
      <c r="F159">
        <v>62</v>
      </c>
      <c r="G159">
        <v>8.9</v>
      </c>
      <c r="H159">
        <v>66</v>
      </c>
      <c r="I159">
        <v>3.9</v>
      </c>
      <c r="J159">
        <v>59</v>
      </c>
      <c r="K159">
        <v>6.2</v>
      </c>
      <c r="L159">
        <v>60</v>
      </c>
    </row>
    <row r="160" spans="1:12" x14ac:dyDescent="0.25">
      <c r="A160" s="72"/>
    </row>
    <row r="161" spans="1:12" x14ac:dyDescent="0.25">
      <c r="A161" s="72" t="s">
        <v>50</v>
      </c>
      <c r="B161" t="s">
        <v>26</v>
      </c>
      <c r="C161">
        <v>0</v>
      </c>
      <c r="D161">
        <v>0</v>
      </c>
      <c r="E161">
        <v>0.5</v>
      </c>
      <c r="F161">
        <v>66</v>
      </c>
      <c r="G161">
        <v>0</v>
      </c>
      <c r="H161">
        <v>0</v>
      </c>
      <c r="I161">
        <v>0</v>
      </c>
      <c r="J161">
        <v>0</v>
      </c>
      <c r="K161">
        <v>9.1999999999999993</v>
      </c>
      <c r="L161">
        <v>58</v>
      </c>
    </row>
    <row r="162" spans="1:12" x14ac:dyDescent="0.25">
      <c r="A162" s="72"/>
    </row>
    <row r="163" spans="1:12" x14ac:dyDescent="0.25">
      <c r="A163" s="72" t="s">
        <v>174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75.400000000000006</v>
      </c>
      <c r="H163">
        <v>48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72"/>
    </row>
    <row r="165" spans="1:12" x14ac:dyDescent="0.25">
      <c r="A165" s="72" t="s">
        <v>72</v>
      </c>
      <c r="B165" t="s">
        <v>26</v>
      </c>
      <c r="C165">
        <v>0</v>
      </c>
      <c r="D165">
        <v>0</v>
      </c>
      <c r="E165">
        <v>0</v>
      </c>
      <c r="F165">
        <v>0</v>
      </c>
      <c r="G165">
        <v>27.5</v>
      </c>
      <c r="H165">
        <v>57</v>
      </c>
      <c r="I165">
        <v>118.6</v>
      </c>
      <c r="J165">
        <v>32</v>
      </c>
      <c r="K165">
        <v>339.4</v>
      </c>
      <c r="L165">
        <v>23</v>
      </c>
    </row>
    <row r="166" spans="1:12" x14ac:dyDescent="0.25">
      <c r="A166" s="72"/>
    </row>
    <row r="167" spans="1:12" x14ac:dyDescent="0.25">
      <c r="A167" s="72" t="s">
        <v>177</v>
      </c>
      <c r="B167" t="s">
        <v>26</v>
      </c>
      <c r="C167">
        <v>0</v>
      </c>
      <c r="D167">
        <v>0</v>
      </c>
      <c r="E167">
        <v>0</v>
      </c>
      <c r="F167">
        <v>0</v>
      </c>
      <c r="G167">
        <v>26</v>
      </c>
      <c r="H167">
        <v>59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72"/>
    </row>
    <row r="169" spans="1:12" x14ac:dyDescent="0.25">
      <c r="A169" s="72" t="s">
        <v>93</v>
      </c>
      <c r="B169" t="s">
        <v>26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26</v>
      </c>
      <c r="L169">
        <v>47</v>
      </c>
    </row>
    <row r="170" spans="1:12" x14ac:dyDescent="0.25">
      <c r="A170" s="72"/>
    </row>
    <row r="171" spans="1:12" x14ac:dyDescent="0.25">
      <c r="A171" s="72" t="s">
        <v>81</v>
      </c>
      <c r="B171" t="s">
        <v>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15.7</v>
      </c>
      <c r="L171">
        <v>55</v>
      </c>
    </row>
    <row r="172" spans="1:12" x14ac:dyDescent="0.25">
      <c r="A172" s="72"/>
    </row>
    <row r="173" spans="1:12" x14ac:dyDescent="0.25">
      <c r="A173" s="72" t="s">
        <v>80</v>
      </c>
      <c r="B173" t="s">
        <v>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3.2</v>
      </c>
      <c r="L173">
        <v>64</v>
      </c>
    </row>
    <row r="174" spans="1:12" x14ac:dyDescent="0.25">
      <c r="A174" s="72"/>
    </row>
    <row r="175" spans="1:12" x14ac:dyDescent="0.25">
      <c r="A175" s="72" t="s">
        <v>43</v>
      </c>
      <c r="B175" t="s">
        <v>26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3.2</v>
      </c>
      <c r="L175">
        <v>65</v>
      </c>
    </row>
    <row r="176" spans="1:12" x14ac:dyDescent="0.25">
      <c r="A176" s="72"/>
    </row>
    <row r="177" spans="1:12" x14ac:dyDescent="0.25">
      <c r="A177" s="72" t="s">
        <v>109</v>
      </c>
      <c r="B177" t="s">
        <v>26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2.8</v>
      </c>
      <c r="L177">
        <v>66</v>
      </c>
    </row>
    <row r="178" spans="1:12" x14ac:dyDescent="0.25">
      <c r="A178" s="72"/>
    </row>
    <row r="179" spans="1:12" x14ac:dyDescent="0.25">
      <c r="A179" s="72" t="s">
        <v>115</v>
      </c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2.7</v>
      </c>
      <c r="L179">
        <v>67</v>
      </c>
    </row>
    <row r="180" spans="1:12" x14ac:dyDescent="0.25">
      <c r="A180" s="72"/>
    </row>
    <row r="181" spans="1:12" x14ac:dyDescent="0.25">
      <c r="A181" s="72" t="s">
        <v>89</v>
      </c>
      <c r="B181" t="s">
        <v>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1.5</v>
      </c>
      <c r="L181">
        <v>69</v>
      </c>
    </row>
    <row r="182" spans="1:12" x14ac:dyDescent="0.25">
      <c r="A182" s="72"/>
    </row>
    <row r="183" spans="1:12" x14ac:dyDescent="0.25">
      <c r="A183" s="72" t="s">
        <v>25</v>
      </c>
      <c r="B183" t="s">
        <v>37</v>
      </c>
      <c r="C183" t="s">
        <v>35</v>
      </c>
      <c r="D183" t="s">
        <v>38</v>
      </c>
      <c r="E183" t="s">
        <v>35</v>
      </c>
      <c r="F183" t="s">
        <v>38</v>
      </c>
      <c r="G183" t="s">
        <v>35</v>
      </c>
      <c r="H183" t="s">
        <v>38</v>
      </c>
      <c r="I183" t="s">
        <v>35</v>
      </c>
      <c r="J183" t="s">
        <v>149</v>
      </c>
      <c r="K183" t="s">
        <v>25</v>
      </c>
      <c r="L183" t="s">
        <v>38</v>
      </c>
    </row>
    <row r="184" spans="1:12" x14ac:dyDescent="0.25">
      <c r="A184" s="72" t="s">
        <v>171</v>
      </c>
      <c r="B184" t="s">
        <v>26</v>
      </c>
      <c r="C184">
        <v>26348.1</v>
      </c>
      <c r="E184">
        <v>26627.3</v>
      </c>
      <c r="G184">
        <v>33438.5</v>
      </c>
      <c r="I184">
        <v>21686.3</v>
      </c>
      <c r="K184">
        <v>25973</v>
      </c>
    </row>
    <row r="185" spans="1:12" x14ac:dyDescent="0.25">
      <c r="A185" s="7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Egypt</vt:lpstr>
      <vt:lpstr>Venezuela</vt:lpstr>
      <vt:lpstr>CHINA</vt:lpstr>
      <vt:lpstr>Colombia</vt:lpstr>
      <vt:lpstr>Peru</vt:lpstr>
      <vt:lpstr>Brazil</vt:lpstr>
      <vt:lpstr>Indonesia</vt:lpstr>
      <vt:lpstr>Iraq</vt:lpstr>
      <vt:lpstr>Data</vt:lpstr>
      <vt:lpstr>Procedures</vt:lpstr>
      <vt:lpstr>2012-13 weekly pace</vt:lpstr>
      <vt:lpstr>Sheet1</vt:lpstr>
      <vt:lpstr>Sheet2</vt:lpstr>
      <vt:lpstr>Sheet3</vt:lpstr>
      <vt:lpstr>'GTR Wheat Table'!Print_Area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Johnny Hill</cp:lastModifiedBy>
  <cp:lastPrinted>2012-04-19T12:51:38Z</cp:lastPrinted>
  <dcterms:created xsi:type="dcterms:W3CDTF">2006-03-23T17:28:35Z</dcterms:created>
  <dcterms:modified xsi:type="dcterms:W3CDTF">2013-12-03T18:03:38Z</dcterms:modified>
</cp:coreProperties>
</file>