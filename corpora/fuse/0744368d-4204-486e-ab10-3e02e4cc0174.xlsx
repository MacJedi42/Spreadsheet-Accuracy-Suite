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15480" windowHeight="10740"/>
  </bookViews>
  <sheets>
    <sheet name="Primary Layout" sheetId="1" r:id="rId1"/>
  </sheets>
  <definedNames>
    <definedName name="_xlnm.Print_Area" localSheetId="0">'Primary Layout'!$A$1:$AF$73</definedName>
  </definedNames>
  <calcPr calcId="144525"/>
</workbook>
</file>

<file path=xl/sharedStrings.xml><?xml version="1.0" encoding="utf-8"?>
<sst xmlns="http://schemas.openxmlformats.org/spreadsheetml/2006/main" count="103" uniqueCount="103">
  <si>
    <t/>
  </si>
  <si>
    <t>ID:</t>
  </si>
  <si>
    <t>00155480</t>
  </si>
  <si>
    <t>Notes/Supplemental Information:</t>
  </si>
  <si>
    <t>REIT Name:</t>
  </si>
  <si>
    <t>Vornado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</si>
  <si>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</si>
  <si>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</si>
  <si>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</si>
  <si>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</si>
  <si>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</si>
  <si>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</si>
  <si>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</si>
  <si>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</si>
  <si>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</si>
  <si>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</si>
  <si>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</si>
  <si>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</si>
  <si>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</si>
  <si>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</si>
  <si>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</si>
  <si>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</si>
  <si>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</si>
  <si>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</si>
  <si>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</si>
  <si>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</si>
  <si>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</si>
  <si>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</si>
  <si>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</si>
  <si>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</si>
  <si>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</si>
  <si>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</si>
  <si>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</si>
  <si>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</si>
  <si>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</si>
  <si>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</si>
  <si>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</si>
  <si>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</si>
  <si>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</si>
  <si>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</si>
  <si>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</si>
  <si>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</si>
  <si>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</si>
  <si>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</si>
  <si>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</si>
  <si>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</si>
  <si>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</si>
  <si>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</si>
  <si>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</si>
  <si>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</si>
  <si>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</si>
  <si>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</si>
  <si>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</si>
  <si>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</si>
  <si>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</si>
  <si>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</si>
  <si>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</si>
  <si>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</si>
  <si>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</si>
  <si>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</si>
  <si>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</si>
  <si>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</si>
  <si>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</si>
  <si>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</si>
  <si>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</si>
  <si>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</si>
  <si>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</si>
  <si>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</si>
  <si>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</si>
  <si>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</si>
  <si>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</si>
  <si>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</si>
  <si>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</si>
  <si>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</si>
  <si>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</si>
  <si>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</si>
  <si>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</si>
  <si>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</si>
  <si>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</si>
  <si>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</si>
  <si>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</si>
  <si>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</si>
  <si>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</si>
  <si>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</si>
  <si>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Common</t>
  </si>
  <si>
    <t>VNO</t>
  </si>
  <si>
    <t>Series A Preferred</t>
  </si>
  <si>
    <t>VNO-PA</t>
  </si>
  <si>
    <t>Series E Preferred</t>
  </si>
  <si>
    <t>VNO-PE</t>
  </si>
  <si>
    <t>-</t>
  </si>
  <si>
    <t>Series F Preferred</t>
  </si>
  <si>
    <t>VNO-PF</t>
  </si>
  <si>
    <t>Series G Preferred</t>
  </si>
  <si>
    <t>VNO-PG</t>
  </si>
  <si>
    <t>Series H Preferred</t>
  </si>
  <si>
    <t>VNO-PH</t>
  </si>
  <si>
    <t>Series I Preferred</t>
  </si>
  <si>
    <t>VNO-PI</t>
  </si>
  <si>
    <t>Series J Preferred</t>
  </si>
  <si>
    <t>VNO-PJ</t>
  </si>
  <si>
    <t>Series K Preferred</t>
  </si>
  <si>
    <t>VNO-PK</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</si>
</sst>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5">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
      <left style="thin">
        <color indexed="31" tint="0"/>
      </left>
      <right style="thin">
        <color indexed="31" tint="0"/>
      </right>
      <top style="thin">
        <color indexed="64" tint="0"/>
      </top>
      <bottom/>
      <diagonal/>
    </border>
    <border>
      <left/>
      <right/>
      <top/>
      <bottom style="thin">
        <color indexed="31" tint="0"/>
      </bottom>
      <diagonal/>
    </border>
    <border>
      <left/>
      <right/>
      <top style="thin">
        <color indexed="31" tint="0"/>
      </top>
      <bottom style="thin">
        <color indexed="31" tint="0"/>
      </bottom>
      <diagonal/>
    </border>
    <border>
      <left/>
      <right style="thin">
        <color indexed="55" tint="0"/>
      </right>
      <top/>
      <bottom style="thin">
        <color indexed="55" tint="0"/>
      </bottom>
      <diagonal/>
    </border>
    <border>
      <left/>
      <right style="thin">
        <color indexed="55" tint="0"/>
      </right>
      <top style="thin">
        <color indexed="55" tint="0"/>
      </top>
      <bottom style="thin">
        <color indexed="55" tint="0"/>
      </bottom>
      <diagonal/>
    </border>
  </borders>
  <cellStyleXfs count="1">
    <xf numFmtId="0" fontId="0" fillId="0" borderId="0"/>
  </cellStyleXfs>
  <cellXfs count="11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49" fontId="1" fillId="0" borderId="33" xfId="0">
      <alignment horizontal="center"/>
      <protection locked="0"/>
    </xf>
    <xf numFmtId="49" fontId="1" fillId="0" borderId="27" xfId="0">
      <alignment horizontal="center"/>
      <protection locked="0"/>
    </xf>
    <xf numFmtId="0" fontId="1" fillId="0" borderId="0" xfId="0">
      <alignment horizontal="center"/>
      <protection locked="0"/>
    </xf>
    <xf numFmtId="14" fontId="1" fillId="0" borderId="33" xfId="0">
      <alignment horizontal="center"/>
      <protection locked="0"/>
    </xf>
    <xf numFmtId="14" fontId="1" fillId="0" borderId="27" xfId="0">
      <alignment horizontal="center"/>
      <protection locked="0"/>
    </xf>
    <xf numFmtId="164" fontId="1" fillId="0" borderId="40" xfId="0">
      <protection locked="0"/>
    </xf>
    <xf numFmtId="164" fontId="1" fillId="0" borderId="0" xfId="0">
      <protection locked="0"/>
    </xf>
    <xf numFmtId="14" fontId="1" fillId="0" borderId="34" xfId="0">
      <alignment horizontal="center"/>
      <protection locked="0"/>
    </xf>
    <xf numFmtId="164" fontId="1" fillId="0" borderId="41" xfId="0">
      <protection locked="0"/>
    </xf>
    <xf numFmtId="164" fontId="1" fillId="0" borderId="42" xfId="0">
      <protection locked="0"/>
    </xf>
    <xf numFmtId="0" fontId="1" fillId="2" borderId="43" xfId="0"/>
    <xf numFmtId="0" fontId="1" fillId="2" borderId="44" xfId="0"/>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Normal="100" workbookViewId="0">
      <pane ySplit="18" topLeftCell="A19" activePane="bottomLeft" state="frozen"/>
      <selection pane="bottomLeft" activeCell="G69" sqref="G69"/>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102"/>
      <c r="L2" s="103"/>
      <c r="M2" s="103"/>
      <c r="N2" s="103"/>
      <c r="O2" s="103"/>
      <c r="P2" s="103"/>
      <c r="Q2" s="104"/>
    </row>
    <row r="3">
      <c r="A3" s="3" t="s">
        <v>4</v>
      </c>
      <c r="B3" s="8" t="s">
        <v>5</v>
      </c>
      <c r="C3" s="9"/>
      <c r="D3" s="9"/>
      <c r="E3" s="9"/>
      <c r="F3" s="10"/>
      <c r="G3" s="11"/>
      <c r="H3" s="12"/>
      <c r="J3" s="12"/>
      <c r="K3" s="105"/>
      <c r="L3" s="106"/>
      <c r="M3" s="106"/>
      <c r="N3" s="106"/>
      <c r="O3" s="106"/>
      <c r="P3" s="106"/>
      <c r="Q3" s="107"/>
      <c r="R3" s="12"/>
      <c r="S3" s="12"/>
      <c r="T3" s="12"/>
      <c r="U3" s="12"/>
      <c r="V3" s="12"/>
      <c r="W3" s="12"/>
      <c r="X3" s="12"/>
      <c r="Y3" s="12"/>
      <c r="Z3" s="12"/>
      <c r="AA3" s="12"/>
      <c r="AB3" s="12"/>
      <c r="AC3" s="12"/>
      <c r="AD3" s="12"/>
    </row>
    <row r="4">
      <c r="A4" s="3" t="s">
        <v>6</v>
      </c>
      <c r="B4" s="13">
        <v>2012</v>
      </c>
      <c r="C4" s="14"/>
      <c r="D4" s="14"/>
      <c r="E4" s="14"/>
      <c r="F4" s="14"/>
      <c r="G4" s="15"/>
      <c r="K4" s="105"/>
      <c r="L4" s="106"/>
      <c r="M4" s="106"/>
      <c r="N4" s="106"/>
      <c r="O4" s="106"/>
      <c r="P4" s="106"/>
      <c r="Q4" s="107"/>
    </row>
    <row r="5">
      <c r="A5" s="12"/>
      <c r="B5" s="12"/>
      <c r="C5" s="12"/>
      <c r="D5" s="12"/>
      <c r="E5" s="12"/>
      <c r="F5" s="12"/>
      <c r="G5" s="12"/>
      <c r="H5" s="12"/>
      <c r="J5" s="12"/>
      <c r="K5" s="108"/>
      <c r="L5" s="109"/>
      <c r="M5" s="109"/>
      <c r="N5" s="109"/>
      <c r="O5" s="109"/>
      <c r="P5" s="109"/>
      <c r="Q5" s="110"/>
      <c r="R5" s="12"/>
      <c r="S5" s="12"/>
      <c r="T5" s="12"/>
      <c r="U5" s="12"/>
      <c r="V5" s="12"/>
      <c r="W5" s="12"/>
      <c r="X5" s="12"/>
      <c r="Y5" s="12"/>
      <c r="Z5" s="12"/>
      <c r="AA5" s="12"/>
      <c r="AB5" s="12"/>
      <c r="AC5" s="12"/>
      <c r="AD5" s="12"/>
    </row>
    <row r="6">
      <c r="A6" s="7" t="s">
        <v>7</v>
      </c>
      <c r="B6" s="89">
        <v>41274</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11" t="s">
        <v>9</v>
      </c>
      <c r="B9" s="111"/>
      <c r="C9" s="111"/>
      <c r="D9" s="111"/>
      <c r="E9" s="111"/>
      <c r="F9" s="111"/>
      <c r="G9" s="111"/>
      <c r="H9" s="111"/>
      <c r="I9" s="111"/>
      <c r="J9" s="111"/>
      <c r="K9" s="111"/>
      <c r="L9" s="111"/>
      <c r="M9" s="111"/>
      <c r="N9" s="19"/>
      <c r="O9" s="19"/>
      <c r="P9" s="19"/>
      <c r="Q9" s="12"/>
      <c r="R9" s="12"/>
      <c r="S9" s="12"/>
      <c r="T9" s="12"/>
      <c r="U9" s="12"/>
      <c r="V9" s="12"/>
      <c r="W9" s="12"/>
      <c r="X9" s="12"/>
      <c r="Y9" s="12"/>
      <c r="Z9" s="12"/>
      <c r="AA9" s="12"/>
      <c r="AB9" s="12"/>
      <c r="AC9" s="12"/>
      <c r="AD9" s="12"/>
    </row>
    <row r="10">
      <c r="A10" s="111"/>
      <c r="B10" s="111"/>
      <c r="C10" s="111"/>
      <c r="D10" s="111"/>
      <c r="E10" s="111"/>
      <c r="F10" s="111"/>
      <c r="G10" s="111"/>
      <c r="H10" s="111"/>
      <c r="I10" s="111"/>
      <c r="J10" s="111"/>
      <c r="K10" s="111"/>
      <c r="L10" s="111"/>
      <c r="M10" s="111"/>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12" t="s">
        <v>10</v>
      </c>
      <c r="B13" s="112"/>
      <c r="C13" s="112"/>
      <c r="D13" s="112"/>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13" t="s">
        <v>12</v>
      </c>
      <c r="L15" s="114"/>
      <c r="M15" s="115"/>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c r="A19" s="59" t="s">
        <v>84</v>
      </c>
      <c r="B19" s="92">
        <v>929042109</v>
      </c>
      <c r="C19" s="90" t="s">
        <v>85</v>
      </c>
      <c r="D19" s="51"/>
      <c r="E19" s="51"/>
      <c r="F19" s="51"/>
      <c r="G19" s="93">
        <v>40938</v>
      </c>
      <c r="H19" s="93">
        <v>40934</v>
      </c>
      <c r="I19" s="93">
        <v>40960</v>
      </c>
      <c r="J19" s="95">
        <f>K19+L19+M19</f>
      </c>
      <c r="K19" s="53">
        <v>0</v>
      </c>
      <c r="L19" s="53">
        <v>0</v>
      </c>
      <c r="M19" s="53">
        <f>N19+O19+V19+Z19+AB19</f>
      </c>
      <c r="N19" s="95">
        <v>0.589689</v>
      </c>
      <c r="O19" s="54">
        <v>0</v>
      </c>
      <c r="P19" s="55"/>
      <c r="Q19" s="65">
        <f>N19+O19</f>
      </c>
      <c r="R19" s="95">
        <v>0.017542</v>
      </c>
      <c r="S19" s="57"/>
      <c r="T19" s="57"/>
      <c r="U19" s="52">
        <f>R19</f>
      </c>
      <c r="V19" s="95">
        <v>0.100311</v>
      </c>
      <c r="W19" s="95">
        <v>0.098226</v>
      </c>
      <c r="X19" s="57"/>
      <c r="Y19" s="52">
        <v>0</v>
      </c>
      <c r="Z19" s="52">
        <v>0</v>
      </c>
      <c r="AA19" s="57"/>
      <c r="AB19" s="52">
        <v>0</v>
      </c>
      <c r="AC19" s="52">
        <v>0</v>
      </c>
      <c r="AD19" s="57"/>
      <c r="AE19" s="57"/>
      <c r="AF19" s="66"/>
      <c r="AG19" s="58"/>
    </row>
    <row r="20">
      <c r="A20" s="59" t="s">
        <v>84</v>
      </c>
      <c r="B20" s="92">
        <v>929042109</v>
      </c>
      <c r="C20" s="90" t="s">
        <v>85</v>
      </c>
      <c r="D20" s="61"/>
      <c r="E20" s="61"/>
      <c r="F20" s="61"/>
      <c r="G20" s="93">
        <v>41043</v>
      </c>
      <c r="H20" s="93">
        <v>41039</v>
      </c>
      <c r="I20" s="97">
        <v>41053</v>
      </c>
      <c r="J20" s="96">
        <f>K20+L20+M20</f>
      </c>
      <c r="K20" s="69">
        <v>0</v>
      </c>
      <c r="L20" s="53">
        <v>0</v>
      </c>
      <c r="M20" s="67">
        <f>N20+O20+V20+Z20+AB20</f>
      </c>
      <c r="N20" s="96">
        <v>0.589689</v>
      </c>
      <c r="O20" s="98">
        <v>0</v>
      </c>
      <c r="P20" s="55"/>
      <c r="Q20" s="98">
        <f>N20+O20</f>
      </c>
      <c r="R20" s="96">
        <v>0.017542</v>
      </c>
      <c r="S20" s="100"/>
      <c r="T20" s="55"/>
      <c r="U20" s="64">
        <f>R20</f>
      </c>
      <c r="V20" s="96">
        <v>0.100311</v>
      </c>
      <c r="W20" s="96">
        <v>0.098226</v>
      </c>
      <c r="X20" s="100"/>
      <c r="Y20" s="63">
        <v>0</v>
      </c>
      <c r="Z20" s="63">
        <v>0</v>
      </c>
      <c r="AA20" s="55"/>
      <c r="AB20" s="63">
        <v>0</v>
      </c>
      <c r="AC20" s="63">
        <v>0</v>
      </c>
      <c r="AD20" s="55"/>
      <c r="AE20" s="55"/>
      <c r="AF20" s="66"/>
      <c r="AG20" s="37"/>
    </row>
    <row r="21">
      <c r="A21" s="59" t="s">
        <v>84</v>
      </c>
      <c r="B21" s="92">
        <v>929042109</v>
      </c>
      <c r="C21" s="90" t="s">
        <v>85</v>
      </c>
      <c r="D21" s="61"/>
      <c r="E21" s="61"/>
      <c r="F21" s="61"/>
      <c r="G21" s="93">
        <v>41131</v>
      </c>
      <c r="H21" s="93">
        <v>41129</v>
      </c>
      <c r="I21" s="93">
        <v>41142</v>
      </c>
      <c r="J21" s="96">
        <f ref="J21:J23" t="shared" si="1">K21+L21+M21</f>
      </c>
      <c r="K21" s="69">
        <v>0</v>
      </c>
      <c r="L21" s="53">
        <v>0</v>
      </c>
      <c r="M21" s="67">
        <f ref="M21:M23" t="shared" si="2">N21+O21+V21+Z21+AB21</f>
      </c>
      <c r="N21" s="96">
        <v>0.589689</v>
      </c>
      <c r="O21" s="98">
        <v>0</v>
      </c>
      <c r="P21" s="55"/>
      <c r="Q21" s="98">
        <f ref="Q21:Q23" t="shared" si="3">N21+O21</f>
      </c>
      <c r="R21" s="96">
        <v>0.017542</v>
      </c>
      <c r="S21" s="100"/>
      <c r="T21" s="55"/>
      <c r="U21" s="64">
        <f ref="U21:U23" t="shared" si="4">R21</f>
      </c>
      <c r="V21" s="96">
        <v>0.100311</v>
      </c>
      <c r="W21" s="96">
        <v>0.098226</v>
      </c>
      <c r="X21" s="100"/>
      <c r="Y21" s="63">
        <v>0</v>
      </c>
      <c r="Z21" s="63">
        <v>0</v>
      </c>
      <c r="AA21" s="55"/>
      <c r="AB21" s="63">
        <v>0</v>
      </c>
      <c r="AC21" s="63">
        <v>0</v>
      </c>
      <c r="AD21" s="55"/>
      <c r="AE21" s="55"/>
      <c r="AF21" s="66"/>
      <c r="AG21" s="37"/>
    </row>
    <row r="22">
      <c r="A22" s="59" t="s">
        <v>84</v>
      </c>
      <c r="B22" s="92">
        <v>929042109</v>
      </c>
      <c r="C22" s="90" t="s">
        <v>85</v>
      </c>
      <c r="D22" s="61"/>
      <c r="E22" s="61"/>
      <c r="F22" s="61"/>
      <c r="G22" s="93">
        <v>41222</v>
      </c>
      <c r="H22" s="93">
        <v>41220</v>
      </c>
      <c r="I22" s="93">
        <v>41232</v>
      </c>
      <c r="J22" s="96">
        <f t="shared" si="1"/>
      </c>
      <c r="K22" s="69">
        <v>0</v>
      </c>
      <c r="L22" s="53">
        <v>0</v>
      </c>
      <c r="M22" s="67">
        <f t="shared" si="2"/>
      </c>
      <c r="N22" s="96">
        <v>0.589689</v>
      </c>
      <c r="O22" s="99">
        <v>0</v>
      </c>
      <c r="P22" s="68"/>
      <c r="Q22" s="98">
        <f t="shared" si="3"/>
      </c>
      <c r="R22" s="96">
        <v>0.017542</v>
      </c>
      <c r="S22" s="101"/>
      <c r="T22" s="68"/>
      <c r="U22" s="64">
        <f t="shared" si="4"/>
      </c>
      <c r="V22" s="96">
        <v>0.100311</v>
      </c>
      <c r="W22" s="96">
        <v>0.098226</v>
      </c>
      <c r="X22" s="101"/>
      <c r="Y22" s="53">
        <v>0</v>
      </c>
      <c r="Z22" s="53">
        <v>0</v>
      </c>
      <c r="AA22" s="68"/>
      <c r="AB22" s="53">
        <v>0</v>
      </c>
      <c r="AC22" s="53">
        <v>0</v>
      </c>
      <c r="AD22" s="68"/>
      <c r="AE22" s="68"/>
      <c r="AF22" s="70"/>
      <c r="AG22" s="37"/>
    </row>
    <row r="23">
      <c r="A23" s="71" t="s">
        <v>84</v>
      </c>
      <c r="B23" s="92">
        <v>929042109</v>
      </c>
      <c r="C23" s="91" t="s">
        <v>85</v>
      </c>
      <c r="D23" s="73"/>
      <c r="E23" s="73"/>
      <c r="F23" s="73"/>
      <c r="G23" s="94">
        <v>41253</v>
      </c>
      <c r="H23" s="94">
        <v>41249</v>
      </c>
      <c r="I23" s="94">
        <v>41264</v>
      </c>
      <c r="J23" s="96">
        <f t="shared" si="1"/>
      </c>
      <c r="K23" s="69">
        <v>0</v>
      </c>
      <c r="L23" s="53">
        <v>0</v>
      </c>
      <c r="M23" s="53">
        <f t="shared" si="2"/>
      </c>
      <c r="N23" s="63">
        <v>0</v>
      </c>
      <c r="O23" s="67">
        <v>0</v>
      </c>
      <c r="P23" s="68"/>
      <c r="Q23" s="65">
        <f t="shared" si="3"/>
      </c>
      <c r="R23" s="63">
        <v>0</v>
      </c>
      <c r="S23" s="68"/>
      <c r="T23" s="68"/>
      <c r="U23" s="63">
        <f t="shared" si="4"/>
      </c>
      <c r="V23" s="63">
        <v>1</v>
      </c>
      <c r="W23" s="63">
        <v>0.06344</v>
      </c>
      <c r="X23" s="68"/>
      <c r="Y23" s="53">
        <v>0</v>
      </c>
      <c r="Z23" s="53">
        <v>0</v>
      </c>
      <c r="AA23" s="68"/>
      <c r="AB23" s="53">
        <v>0</v>
      </c>
      <c r="AC23" s="5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86</v>
      </c>
      <c r="B26" s="90">
        <v>929042208</v>
      </c>
      <c r="C26" s="90" t="s">
        <v>87</v>
      </c>
      <c r="D26" s="61"/>
      <c r="E26" s="61"/>
      <c r="F26" s="61"/>
      <c r="G26" s="93">
        <v>40983</v>
      </c>
      <c r="H26" s="93">
        <v>40981</v>
      </c>
      <c r="I26" s="93">
        <v>41001</v>
      </c>
      <c r="J26" s="96">
        <f>K26+L26+M26</f>
      </c>
      <c r="K26" s="69">
        <v>0</v>
      </c>
      <c r="L26" s="53">
        <v>0</v>
      </c>
      <c r="M26" s="53">
        <f>N26+O26+V26+Z26+AB26</f>
      </c>
      <c r="N26" s="63">
        <v>0.509214</v>
      </c>
      <c r="O26" s="64">
        <v>0</v>
      </c>
      <c r="P26" s="55"/>
      <c r="Q26" s="65">
        <f>N26+O26</f>
      </c>
      <c r="R26" s="63">
        <v>0.015148</v>
      </c>
      <c r="S26" s="55"/>
      <c r="T26" s="55"/>
      <c r="U26" s="63">
        <f>R26</f>
      </c>
      <c r="V26" s="63">
        <v>0.303286</v>
      </c>
      <c r="W26" s="63">
        <v>0.098566</v>
      </c>
      <c r="X26" s="55"/>
      <c r="Y26" s="63">
        <v>0</v>
      </c>
      <c r="Z26" s="63">
        <v>0</v>
      </c>
      <c r="AA26" s="55"/>
      <c r="AB26" s="63">
        <v>0</v>
      </c>
      <c r="AC26" s="63">
        <v>0</v>
      </c>
      <c r="AD26" s="55"/>
      <c r="AE26" s="55"/>
      <c r="AF26" s="66"/>
      <c r="AG26" s="37"/>
    </row>
    <row r="27">
      <c r="A27" s="59" t="s">
        <v>86</v>
      </c>
      <c r="B27" s="90">
        <v>929042208</v>
      </c>
      <c r="C27" s="90" t="s">
        <v>87</v>
      </c>
      <c r="D27" s="61"/>
      <c r="E27" s="61"/>
      <c r="F27" s="61"/>
      <c r="G27" s="93">
        <v>41075</v>
      </c>
      <c r="H27" s="93">
        <v>41073</v>
      </c>
      <c r="I27" s="93">
        <v>41092</v>
      </c>
      <c r="J27" s="96">
        <f ref="J27:J29" t="shared" si="5">K27+L27+M27</f>
      </c>
      <c r="K27" s="69">
        <v>0</v>
      </c>
      <c r="L27" s="53">
        <v>0</v>
      </c>
      <c r="M27" s="53">
        <f ref="M27:M29" t="shared" si="6">N27+O27+V27+Z27+AB27</f>
      </c>
      <c r="N27" s="63">
        <v>0.509214</v>
      </c>
      <c r="O27" s="64">
        <v>0</v>
      </c>
      <c r="P27" s="55"/>
      <c r="Q27" s="65">
        <f ref="Q27:Q29" t="shared" si="7">N27+O27</f>
      </c>
      <c r="R27" s="63">
        <v>0.015148</v>
      </c>
      <c r="S27" s="55"/>
      <c r="T27" s="55"/>
      <c r="U27" s="63">
        <f ref="U27:U29" t="shared" si="8">R27</f>
      </c>
      <c r="V27" s="63">
        <v>0.303286</v>
      </c>
      <c r="W27" s="63">
        <v>0.098567</v>
      </c>
      <c r="X27" s="55"/>
      <c r="Y27" s="63">
        <v>0</v>
      </c>
      <c r="Z27" s="63">
        <v>0</v>
      </c>
      <c r="AA27" s="55"/>
      <c r="AB27" s="63">
        <v>0</v>
      </c>
      <c r="AC27" s="63">
        <v>0</v>
      </c>
      <c r="AD27" s="55"/>
      <c r="AE27" s="55"/>
      <c r="AF27" s="66"/>
      <c r="AG27" s="37"/>
    </row>
    <row r="28">
      <c r="A28" s="59" t="s">
        <v>86</v>
      </c>
      <c r="B28" s="90">
        <v>929042208</v>
      </c>
      <c r="C28" s="90" t="s">
        <v>87</v>
      </c>
      <c r="D28" s="61"/>
      <c r="E28" s="61"/>
      <c r="F28" s="61"/>
      <c r="G28" s="93">
        <v>41169</v>
      </c>
      <c r="H28" s="93">
        <v>41165</v>
      </c>
      <c r="I28" s="93">
        <v>41183</v>
      </c>
      <c r="J28" s="96">
        <f t="shared" si="5"/>
      </c>
      <c r="K28" s="69">
        <v>0</v>
      </c>
      <c r="L28" s="53">
        <v>0</v>
      </c>
      <c r="M28" s="53">
        <f t="shared" si="6"/>
      </c>
      <c r="N28" s="63">
        <v>0.509214</v>
      </c>
      <c r="O28" s="67">
        <v>0</v>
      </c>
      <c r="P28" s="68"/>
      <c r="Q28" s="65">
        <f t="shared" si="7"/>
      </c>
      <c r="R28" s="63">
        <v>0.015148</v>
      </c>
      <c r="S28" s="68"/>
      <c r="T28" s="68"/>
      <c r="U28" s="63">
        <f t="shared" si="8"/>
      </c>
      <c r="V28" s="63">
        <v>0.303286</v>
      </c>
      <c r="W28" s="63">
        <v>0.098566</v>
      </c>
      <c r="X28" s="68"/>
      <c r="Y28" s="53">
        <v>0</v>
      </c>
      <c r="Z28" s="53">
        <v>0</v>
      </c>
      <c r="AA28" s="68"/>
      <c r="AB28" s="53">
        <v>0</v>
      </c>
      <c r="AC28" s="53">
        <v>0</v>
      </c>
      <c r="AD28" s="68"/>
      <c r="AE28" s="68"/>
      <c r="AF28" s="70"/>
      <c r="AG28" s="37"/>
    </row>
    <row r="29">
      <c r="A29" s="71" t="s">
        <v>86</v>
      </c>
      <c r="B29" s="91">
        <v>929042208</v>
      </c>
      <c r="C29" s="91" t="s">
        <v>87</v>
      </c>
      <c r="D29" s="73"/>
      <c r="E29" s="73"/>
      <c r="F29" s="73"/>
      <c r="G29" s="94">
        <v>41260</v>
      </c>
      <c r="H29" s="94">
        <v>41256</v>
      </c>
      <c r="I29" s="94">
        <v>41276</v>
      </c>
      <c r="J29" s="96">
        <f t="shared" si="5"/>
      </c>
      <c r="K29" s="69">
        <v>0</v>
      </c>
      <c r="L29" s="53">
        <v>0</v>
      </c>
      <c r="M29" s="53">
        <f t="shared" si="6"/>
      </c>
      <c r="N29" s="63">
        <v>0.509214</v>
      </c>
      <c r="O29" s="67">
        <v>0</v>
      </c>
      <c r="P29" s="68"/>
      <c r="Q29" s="65">
        <f t="shared" si="7"/>
      </c>
      <c r="R29" s="63">
        <v>0.015148</v>
      </c>
      <c r="S29" s="68"/>
      <c r="T29" s="68"/>
      <c r="U29" s="63">
        <f t="shared" si="8"/>
      </c>
      <c r="V29" s="63">
        <v>0.303286</v>
      </c>
      <c r="W29" s="63">
        <v>0.098567</v>
      </c>
      <c r="X29" s="68"/>
      <c r="Y29" s="53">
        <v>0</v>
      </c>
      <c r="Z29" s="53">
        <v>0</v>
      </c>
      <c r="AA29" s="68"/>
      <c r="AB29" s="53">
        <v>0</v>
      </c>
      <c r="AC29" s="53">
        <v>0</v>
      </c>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88</v>
      </c>
      <c r="B32" s="90">
        <v>929042604</v>
      </c>
      <c r="C32" s="90" t="s">
        <v>89</v>
      </c>
      <c r="D32" s="61"/>
      <c r="E32" s="61"/>
      <c r="F32" s="61"/>
      <c r="G32" s="93">
        <v>40983</v>
      </c>
      <c r="H32" s="93">
        <v>40981</v>
      </c>
      <c r="I32" s="93">
        <v>41001</v>
      </c>
      <c r="J32" s="96">
        <f>K32+L32+M32</f>
      </c>
      <c r="K32" s="69">
        <v>0</v>
      </c>
      <c r="L32" s="53">
        <v>0</v>
      </c>
      <c r="M32" s="53">
        <f>N32+O32+V32+Z32+AB32</f>
      </c>
      <c r="N32" s="63">
        <v>0.274192</v>
      </c>
      <c r="O32" s="64">
        <v>0</v>
      </c>
      <c r="P32" s="55"/>
      <c r="Q32" s="65">
        <f>N32+O32</f>
      </c>
      <c r="R32" s="63">
        <v>0.008157</v>
      </c>
      <c r="S32" s="55"/>
      <c r="T32" s="55"/>
      <c r="U32" s="63">
        <f>R32</f>
      </c>
      <c r="V32" s="63">
        <v>0.163308</v>
      </c>
      <c r="W32" s="63">
        <v>0.053074</v>
      </c>
      <c r="X32" s="55"/>
      <c r="Y32" s="63">
        <v>0</v>
      </c>
      <c r="Z32" s="63">
        <v>0</v>
      </c>
      <c r="AA32" s="55"/>
      <c r="AB32" s="63">
        <v>0</v>
      </c>
      <c r="AC32" s="63">
        <v>0</v>
      </c>
      <c r="AD32" s="55"/>
      <c r="AE32" s="55"/>
      <c r="AF32" s="66"/>
      <c r="AG32" s="37"/>
    </row>
    <row r="33">
      <c r="A33" s="59" t="s">
        <v>88</v>
      </c>
      <c r="B33" s="90">
        <v>929042604</v>
      </c>
      <c r="C33" s="90" t="s">
        <v>89</v>
      </c>
      <c r="D33" s="61"/>
      <c r="E33" s="61"/>
      <c r="F33" s="61"/>
      <c r="G33" s="93">
        <v>41075</v>
      </c>
      <c r="H33" s="93">
        <v>41073</v>
      </c>
      <c r="I33" s="93">
        <v>41092</v>
      </c>
      <c r="J33" s="96">
        <f ref="J33:J35" t="shared" si="9">K33+L33+M33</f>
      </c>
      <c r="K33" s="69">
        <v>0</v>
      </c>
      <c r="L33" s="53">
        <v>0</v>
      </c>
      <c r="M33" s="53">
        <f ref="M33:M35" t="shared" si="10">N33+O33+V33+Z33+AB33</f>
      </c>
      <c r="N33" s="63">
        <v>0.274192</v>
      </c>
      <c r="O33" s="64">
        <v>0</v>
      </c>
      <c r="P33" s="55"/>
      <c r="Q33" s="65">
        <f ref="Q33:Q35" t="shared" si="11">N33+O33</f>
      </c>
      <c r="R33" s="63">
        <v>0.008157</v>
      </c>
      <c r="S33" s="55"/>
      <c r="T33" s="55"/>
      <c r="U33" s="63">
        <f ref="U33:U35" t="shared" si="12">R33</f>
      </c>
      <c r="V33" s="63">
        <v>0.163308</v>
      </c>
      <c r="W33" s="63">
        <v>0.053074</v>
      </c>
      <c r="X33" s="55"/>
      <c r="Y33" s="63">
        <v>0</v>
      </c>
      <c r="Z33" s="63">
        <v>0</v>
      </c>
      <c r="AA33" s="55"/>
      <c r="AB33" s="63">
        <v>0</v>
      </c>
      <c r="AC33" s="63">
        <v>0</v>
      </c>
      <c r="AD33" s="55"/>
      <c r="AE33" s="55"/>
      <c r="AF33" s="66"/>
      <c r="AG33" s="37"/>
    </row>
    <row r="34">
      <c r="A34" s="71" t="s">
        <v>88</v>
      </c>
      <c r="B34" s="91">
        <v>929042604</v>
      </c>
      <c r="C34" s="91" t="s">
        <v>89</v>
      </c>
      <c r="D34" s="73"/>
      <c r="E34" s="73"/>
      <c r="F34" s="73"/>
      <c r="G34" s="94">
        <v>41137</v>
      </c>
      <c r="H34" s="93" t="s">
        <v>90</v>
      </c>
      <c r="I34" s="94">
        <v>41137</v>
      </c>
      <c r="J34" s="96">
        <f>K34+L34+M34</f>
      </c>
      <c r="K34" s="69">
        <v>0</v>
      </c>
      <c r="L34" s="53">
        <v>0</v>
      </c>
      <c r="M34" s="53">
        <f>N34+O34+V34+Z34+AB34</f>
      </c>
      <c r="N34" s="53">
        <v>0.140143</v>
      </c>
      <c r="O34" s="67">
        <v>0</v>
      </c>
      <c r="P34" s="68"/>
      <c r="Q34" s="65">
        <f t="shared" si="11"/>
      </c>
      <c r="R34" s="53">
        <v>0.004169</v>
      </c>
      <c r="S34" s="68"/>
      <c r="T34" s="68"/>
      <c r="U34" s="63">
        <f t="shared" si="12"/>
      </c>
      <c r="V34" s="53">
        <v>0.083468</v>
      </c>
      <c r="W34" s="53">
        <v>0.027127</v>
      </c>
      <c r="X34" s="68"/>
      <c r="Y34" s="53">
        <v>0</v>
      </c>
      <c r="Z34" s="53">
        <v>0</v>
      </c>
      <c r="AA34" s="68"/>
      <c r="AB34" s="53">
        <v>0</v>
      </c>
      <c r="AC34" s="53">
        <v>0</v>
      </c>
      <c r="AD34" s="68"/>
      <c r="AE34" s="68"/>
      <c r="AF34" s="70"/>
      <c r="AG34" s="37"/>
    </row>
    <row r="35">
      <c r="A35" s="71" t="s">
        <v>88</v>
      </c>
      <c r="B35" s="91">
        <v>929042604</v>
      </c>
      <c r="C35" s="91" t="s">
        <v>89</v>
      </c>
      <c r="D35" s="73"/>
      <c r="E35" s="73"/>
      <c r="F35" s="73"/>
      <c r="G35" s="93" t="s">
        <v>90</v>
      </c>
      <c r="H35" s="93" t="s">
        <v>90</v>
      </c>
      <c r="I35" s="93" t="s">
        <v>90</v>
      </c>
      <c r="J35" s="96">
        <f t="shared" si="9"/>
      </c>
      <c r="K35" s="69">
        <v>0</v>
      </c>
      <c r="L35" s="53">
        <v>0</v>
      </c>
      <c r="M35" s="53">
        <f t="shared" si="10"/>
      </c>
      <c r="N35" s="53">
        <v>0</v>
      </c>
      <c r="O35" s="67">
        <v>0</v>
      </c>
      <c r="P35" s="68"/>
      <c r="Q35" s="65">
        <f t="shared" si="11"/>
      </c>
      <c r="R35" s="53">
        <v>0</v>
      </c>
      <c r="S35" s="68"/>
      <c r="T35" s="68"/>
      <c r="U35" s="63">
        <f t="shared" si="12"/>
      </c>
      <c r="V35" s="53">
        <v>0</v>
      </c>
      <c r="W35" s="53">
        <v>0</v>
      </c>
      <c r="X35" s="68"/>
      <c r="Y35" s="53">
        <v>0</v>
      </c>
      <c r="Z35" s="53">
        <v>0</v>
      </c>
      <c r="AA35" s="68"/>
      <c r="AB35" s="53">
        <v>0</v>
      </c>
      <c r="AC35" s="53">
        <v>0</v>
      </c>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91</v>
      </c>
      <c r="B38" s="90">
        <v>929042703</v>
      </c>
      <c r="C38" s="90" t="s">
        <v>92</v>
      </c>
      <c r="D38" s="61"/>
      <c r="E38" s="61"/>
      <c r="F38" s="61"/>
      <c r="G38" s="93">
        <v>40983</v>
      </c>
      <c r="H38" s="93">
        <v>40981</v>
      </c>
      <c r="I38" s="93">
        <v>41001</v>
      </c>
      <c r="J38" s="96">
        <f>K38+L38+M38</f>
      </c>
      <c r="K38" s="69">
        <v>0</v>
      </c>
      <c r="L38" s="53">
        <v>0</v>
      </c>
      <c r="M38" s="53">
        <f>N38+O38+V38+Z38+AB38</f>
      </c>
      <c r="N38" s="63">
        <v>0.2644</v>
      </c>
      <c r="O38" s="64">
        <v>0</v>
      </c>
      <c r="P38" s="55"/>
      <c r="Q38" s="65">
        <f>N38+O38</f>
      </c>
      <c r="R38" s="63">
        <v>0.007865</v>
      </c>
      <c r="S38" s="55"/>
      <c r="T38" s="55"/>
      <c r="U38" s="63">
        <f>R38</f>
      </c>
      <c r="V38" s="63">
        <v>0.157475</v>
      </c>
      <c r="W38" s="63">
        <v>0.051179</v>
      </c>
      <c r="X38" s="55"/>
      <c r="Y38" s="63">
        <v>0</v>
      </c>
      <c r="Z38" s="63">
        <v>0</v>
      </c>
      <c r="AA38" s="55"/>
      <c r="AB38" s="63">
        <v>0</v>
      </c>
      <c r="AC38" s="63">
        <v>0</v>
      </c>
      <c r="AD38" s="55"/>
      <c r="AE38" s="55"/>
      <c r="AF38" s="66"/>
      <c r="AG38" s="37"/>
    </row>
    <row r="39">
      <c r="A39" s="59" t="s">
        <v>91</v>
      </c>
      <c r="B39" s="90">
        <v>929042703</v>
      </c>
      <c r="C39" s="90" t="s">
        <v>92</v>
      </c>
      <c r="D39" s="61"/>
      <c r="E39" s="61"/>
      <c r="F39" s="61"/>
      <c r="G39" s="93">
        <v>41075</v>
      </c>
      <c r="H39" s="93">
        <v>41073</v>
      </c>
      <c r="I39" s="93">
        <v>41092</v>
      </c>
      <c r="J39" s="96">
        <f ref="J39:J41" t="shared" si="13">K39+L39+M39</f>
      </c>
      <c r="K39" s="69">
        <v>0</v>
      </c>
      <c r="L39" s="53">
        <v>0</v>
      </c>
      <c r="M39" s="53">
        <f ref="M39:M41" t="shared" si="14">N39+O39+V39+Z39+AB39</f>
      </c>
      <c r="N39" s="63">
        <v>0.2644</v>
      </c>
      <c r="O39" s="64">
        <v>0</v>
      </c>
      <c r="P39" s="55"/>
      <c r="Q39" s="65">
        <f ref="Q39:Q41" t="shared" si="15">N39+O39</f>
      </c>
      <c r="R39" s="63">
        <v>0.007865</v>
      </c>
      <c r="S39" s="55"/>
      <c r="T39" s="55"/>
      <c r="U39" s="63">
        <f ref="U39:U41" t="shared" si="16">R39</f>
      </c>
      <c r="V39" s="63">
        <v>0.157475</v>
      </c>
      <c r="W39" s="63">
        <v>0.051179</v>
      </c>
      <c r="X39" s="55"/>
      <c r="Y39" s="63">
        <v>0</v>
      </c>
      <c r="Z39" s="63">
        <v>0</v>
      </c>
      <c r="AA39" s="55"/>
      <c r="AB39" s="63">
        <v>0</v>
      </c>
      <c r="AC39" s="63">
        <v>0</v>
      </c>
      <c r="AD39" s="55"/>
      <c r="AE39" s="55"/>
      <c r="AF39" s="66"/>
      <c r="AG39" s="37"/>
    </row>
    <row r="40">
      <c r="A40" s="71" t="s">
        <v>91</v>
      </c>
      <c r="B40" s="91">
        <v>929042703</v>
      </c>
      <c r="C40" s="91" t="s">
        <v>92</v>
      </c>
      <c r="D40" s="73"/>
      <c r="E40" s="73"/>
      <c r="F40" s="73"/>
      <c r="G40" s="94">
        <v>41169</v>
      </c>
      <c r="H40" s="93">
        <v>41165</v>
      </c>
      <c r="I40" s="94">
        <v>41183</v>
      </c>
      <c r="J40" s="96">
        <f t="shared" si="13"/>
      </c>
      <c r="K40" s="69">
        <v>0</v>
      </c>
      <c r="L40" s="53">
        <v>0</v>
      </c>
      <c r="M40" s="53">
        <f t="shared" si="14"/>
      </c>
      <c r="N40" s="63">
        <v>0.2644</v>
      </c>
      <c r="O40" s="67">
        <v>0</v>
      </c>
      <c r="P40" s="68"/>
      <c r="Q40" s="65">
        <f t="shared" si="15"/>
      </c>
      <c r="R40" s="63">
        <v>0.007865</v>
      </c>
      <c r="S40" s="68"/>
      <c r="T40" s="68"/>
      <c r="U40" s="63">
        <f t="shared" si="16"/>
      </c>
      <c r="V40" s="63">
        <v>0.157475</v>
      </c>
      <c r="W40" s="63">
        <v>0.051179</v>
      </c>
      <c r="X40" s="68"/>
      <c r="Y40" s="53">
        <v>0</v>
      </c>
      <c r="Z40" s="53">
        <v>0</v>
      </c>
      <c r="AA40" s="68"/>
      <c r="AB40" s="53">
        <v>0</v>
      </c>
      <c r="AC40" s="53">
        <v>0</v>
      </c>
      <c r="AD40" s="68"/>
      <c r="AE40" s="68"/>
      <c r="AF40" s="70"/>
      <c r="AG40" s="37"/>
    </row>
    <row r="41">
      <c r="A41" s="71" t="s">
        <v>91</v>
      </c>
      <c r="B41" s="91">
        <v>929042703</v>
      </c>
      <c r="C41" s="91" t="s">
        <v>92</v>
      </c>
      <c r="D41" s="73"/>
      <c r="E41" s="73"/>
      <c r="F41" s="73"/>
      <c r="G41" s="94">
        <v>41260</v>
      </c>
      <c r="H41" s="94">
        <v>41256</v>
      </c>
      <c r="I41" s="94">
        <v>41276</v>
      </c>
      <c r="J41" s="96">
        <f t="shared" si="13"/>
      </c>
      <c r="K41" s="69">
        <v>0</v>
      </c>
      <c r="L41" s="53">
        <v>0</v>
      </c>
      <c r="M41" s="53">
        <f t="shared" si="14"/>
      </c>
      <c r="N41" s="63">
        <v>0.2644</v>
      </c>
      <c r="O41" s="67">
        <v>0</v>
      </c>
      <c r="P41" s="68"/>
      <c r="Q41" s="65">
        <f t="shared" si="15"/>
      </c>
      <c r="R41" s="63">
        <v>0.007865</v>
      </c>
      <c r="S41" s="68"/>
      <c r="T41" s="68"/>
      <c r="U41" s="63">
        <f t="shared" si="16"/>
      </c>
      <c r="V41" s="63">
        <v>0.157475</v>
      </c>
      <c r="W41" s="63">
        <v>0.051179</v>
      </c>
      <c r="X41" s="68"/>
      <c r="Y41" s="53">
        <v>0</v>
      </c>
      <c r="Z41" s="53">
        <v>0</v>
      </c>
      <c r="AA41" s="68"/>
      <c r="AB41" s="53">
        <v>0</v>
      </c>
      <c r="AC41" s="53">
        <v>0</v>
      </c>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93</v>
      </c>
      <c r="B44" s="90">
        <v>929042802</v>
      </c>
      <c r="C44" s="90" t="s">
        <v>94</v>
      </c>
      <c r="D44" s="61"/>
      <c r="E44" s="61"/>
      <c r="F44" s="61"/>
      <c r="G44" s="93">
        <v>40983</v>
      </c>
      <c r="H44" s="93">
        <v>40981</v>
      </c>
      <c r="I44" s="93">
        <v>41001</v>
      </c>
      <c r="J44" s="96">
        <f>K44+L44+M44</f>
      </c>
      <c r="K44" s="69">
        <v>0</v>
      </c>
      <c r="L44" s="53">
        <v>0</v>
      </c>
      <c r="M44" s="53">
        <f>N44+O44+V44+Z44+AB44</f>
      </c>
      <c r="N44" s="63">
        <v>0.259503</v>
      </c>
      <c r="O44" s="64">
        <v>0</v>
      </c>
      <c r="P44" s="55"/>
      <c r="Q44" s="65">
        <f>N44+O44</f>
      </c>
      <c r="R44" s="63">
        <v>0.007719</v>
      </c>
      <c r="S44" s="55"/>
      <c r="T44" s="55"/>
      <c r="U44" s="63">
        <f>R44</f>
      </c>
      <c r="V44" s="63">
        <v>0.154559</v>
      </c>
      <c r="W44" s="63">
        <v>0.050231</v>
      </c>
      <c r="X44" s="55"/>
      <c r="Y44" s="63">
        <v>0</v>
      </c>
      <c r="Z44" s="63">
        <v>0</v>
      </c>
      <c r="AA44" s="55"/>
      <c r="AB44" s="63">
        <v>0</v>
      </c>
      <c r="AC44" s="63">
        <v>0</v>
      </c>
      <c r="AD44" s="55"/>
      <c r="AE44" s="55"/>
      <c r="AF44" s="66"/>
      <c r="AG44" s="37"/>
    </row>
    <row r="45">
      <c r="A45" s="59" t="s">
        <v>93</v>
      </c>
      <c r="B45" s="90">
        <v>929042802</v>
      </c>
      <c r="C45" s="90" t="s">
        <v>94</v>
      </c>
      <c r="D45" s="61"/>
      <c r="E45" s="61"/>
      <c r="F45" s="61"/>
      <c r="G45" s="93">
        <v>41075</v>
      </c>
      <c r="H45" s="93">
        <v>41073</v>
      </c>
      <c r="I45" s="93">
        <v>41092</v>
      </c>
      <c r="J45" s="96">
        <f ref="J45:J47" t="shared" si="17">K45+L45+M45</f>
      </c>
      <c r="K45" s="69">
        <v>0</v>
      </c>
      <c r="L45" s="53">
        <v>0</v>
      </c>
      <c r="M45" s="53">
        <f ref="M45:M47" t="shared" si="18">N45+O45+V45+Z45+AB45</f>
      </c>
      <c r="N45" s="63">
        <v>0.259504</v>
      </c>
      <c r="O45" s="64">
        <v>0</v>
      </c>
      <c r="P45" s="55"/>
      <c r="Q45" s="65">
        <f ref="Q45:Q47" t="shared" si="19">N45+O45</f>
      </c>
      <c r="R45" s="63">
        <v>0.00772</v>
      </c>
      <c r="S45" s="55"/>
      <c r="T45" s="55"/>
      <c r="U45" s="63">
        <f ref="U45:U47" t="shared" si="20">R45</f>
      </c>
      <c r="V45" s="63">
        <v>0.154559</v>
      </c>
      <c r="W45" s="63">
        <v>0.050231</v>
      </c>
      <c r="X45" s="55"/>
      <c r="Y45" s="63">
        <v>0</v>
      </c>
      <c r="Z45" s="63">
        <v>0</v>
      </c>
      <c r="AA45" s="55"/>
      <c r="AB45" s="63">
        <v>0</v>
      </c>
      <c r="AC45" s="63">
        <v>0</v>
      </c>
      <c r="AD45" s="55"/>
      <c r="AE45" s="55"/>
      <c r="AF45" s="66"/>
      <c r="AG45" s="37"/>
    </row>
    <row r="46">
      <c r="A46" s="71" t="s">
        <v>93</v>
      </c>
      <c r="B46" s="91">
        <v>929042802</v>
      </c>
      <c r="C46" s="91" t="s">
        <v>94</v>
      </c>
      <c r="D46" s="73"/>
      <c r="E46" s="73"/>
      <c r="F46" s="73"/>
      <c r="G46" s="94">
        <v>41169</v>
      </c>
      <c r="H46" s="93">
        <v>41165</v>
      </c>
      <c r="I46" s="94">
        <v>41183</v>
      </c>
      <c r="J46" s="96">
        <f t="shared" si="17"/>
      </c>
      <c r="K46" s="69">
        <v>0</v>
      </c>
      <c r="L46" s="53">
        <v>0</v>
      </c>
      <c r="M46" s="53">
        <f t="shared" si="18"/>
      </c>
      <c r="N46" s="63">
        <v>0.259503</v>
      </c>
      <c r="O46" s="67">
        <v>0</v>
      </c>
      <c r="P46" s="68"/>
      <c r="Q46" s="65">
        <f t="shared" si="19"/>
      </c>
      <c r="R46" s="63">
        <v>0.007719</v>
      </c>
      <c r="S46" s="68"/>
      <c r="T46" s="68"/>
      <c r="U46" s="63">
        <f t="shared" si="20"/>
      </c>
      <c r="V46" s="63">
        <v>0.154559</v>
      </c>
      <c r="W46" s="63">
        <v>0.050231</v>
      </c>
      <c r="X46" s="68"/>
      <c r="Y46" s="53">
        <v>0</v>
      </c>
      <c r="Z46" s="53">
        <v>0</v>
      </c>
      <c r="AA46" s="68"/>
      <c r="AB46" s="53">
        <v>0</v>
      </c>
      <c r="AC46" s="53">
        <v>0</v>
      </c>
      <c r="AD46" s="68"/>
      <c r="AE46" s="68"/>
      <c r="AF46" s="70"/>
      <c r="AG46" s="37"/>
    </row>
    <row r="47">
      <c r="A47" s="71" t="s">
        <v>93</v>
      </c>
      <c r="B47" s="91">
        <v>929042802</v>
      </c>
      <c r="C47" s="91" t="s">
        <v>94</v>
      </c>
      <c r="D47" s="73"/>
      <c r="E47" s="73"/>
      <c r="F47" s="73"/>
      <c r="G47" s="94">
        <v>41260</v>
      </c>
      <c r="H47" s="94">
        <v>41256</v>
      </c>
      <c r="I47" s="94">
        <v>41276</v>
      </c>
      <c r="J47" s="96">
        <f t="shared" si="17"/>
      </c>
      <c r="K47" s="69">
        <v>0</v>
      </c>
      <c r="L47" s="53">
        <v>0</v>
      </c>
      <c r="M47" s="53">
        <f t="shared" si="18"/>
      </c>
      <c r="N47" s="63">
        <v>0.259504</v>
      </c>
      <c r="O47" s="67">
        <v>0</v>
      </c>
      <c r="P47" s="68"/>
      <c r="Q47" s="65">
        <f t="shared" si="19"/>
      </c>
      <c r="R47" s="63">
        <v>0.00772</v>
      </c>
      <c r="S47" s="68"/>
      <c r="T47" s="68"/>
      <c r="U47" s="63">
        <f t="shared" si="20"/>
      </c>
      <c r="V47" s="63">
        <v>0.154559</v>
      </c>
      <c r="W47" s="63">
        <v>0.050231</v>
      </c>
      <c r="X47" s="68"/>
      <c r="Y47" s="53">
        <v>0</v>
      </c>
      <c r="Z47" s="53">
        <v>0</v>
      </c>
      <c r="AA47" s="68"/>
      <c r="AB47" s="53">
        <v>0</v>
      </c>
      <c r="AC47" s="53">
        <v>0</v>
      </c>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t="s">
        <v>95</v>
      </c>
      <c r="B50" s="90">
        <v>929042885</v>
      </c>
      <c r="C50" s="90" t="s">
        <v>96</v>
      </c>
      <c r="D50" s="61"/>
      <c r="E50" s="61"/>
      <c r="F50" s="61"/>
      <c r="G50" s="93">
        <v>40983</v>
      </c>
      <c r="H50" s="93">
        <v>40981</v>
      </c>
      <c r="I50" s="93">
        <v>41001</v>
      </c>
      <c r="J50" s="96">
        <f>K50+L50+M50</f>
      </c>
      <c r="K50" s="69">
        <v>0</v>
      </c>
      <c r="L50" s="53">
        <v>0</v>
      </c>
      <c r="M50" s="53">
        <f>N50+O50+V50+Z50+AB50</f>
      </c>
      <c r="N50" s="63">
        <v>0.2644</v>
      </c>
      <c r="O50" s="64">
        <v>0</v>
      </c>
      <c r="P50" s="55"/>
      <c r="Q50" s="65">
        <f>N50+O50</f>
      </c>
      <c r="R50" s="63">
        <v>0.007865</v>
      </c>
      <c r="S50" s="55"/>
      <c r="T50" s="55"/>
      <c r="U50" s="63">
        <f>R50</f>
      </c>
      <c r="V50" s="63">
        <v>0.157475</v>
      </c>
      <c r="W50" s="63">
        <v>0.051179</v>
      </c>
      <c r="X50" s="55"/>
      <c r="Y50" s="63">
        <v>0</v>
      </c>
      <c r="Z50" s="63">
        <v>0</v>
      </c>
      <c r="AA50" s="55"/>
      <c r="AB50" s="63">
        <v>0</v>
      </c>
      <c r="AC50" s="63">
        <v>0</v>
      </c>
      <c r="AD50" s="55"/>
      <c r="AE50" s="55"/>
      <c r="AF50" s="66"/>
      <c r="AG50" s="37"/>
    </row>
    <row r="51">
      <c r="A51" s="59" t="s">
        <v>95</v>
      </c>
      <c r="B51" s="90">
        <v>929042885</v>
      </c>
      <c r="C51" s="90" t="s">
        <v>96</v>
      </c>
      <c r="D51" s="61"/>
      <c r="E51" s="61"/>
      <c r="F51" s="61"/>
      <c r="G51" s="93">
        <v>41075</v>
      </c>
      <c r="H51" s="93">
        <v>41073</v>
      </c>
      <c r="I51" s="93">
        <v>41092</v>
      </c>
      <c r="J51" s="96">
        <f ref="J51:J53" t="shared" si="21">K51+L51+M51</f>
      </c>
      <c r="K51" s="69">
        <v>0</v>
      </c>
      <c r="L51" s="53">
        <v>0</v>
      </c>
      <c r="M51" s="53">
        <f ref="M51:M53" t="shared" si="22">N51+O51+V51+Z51+AB51</f>
      </c>
      <c r="N51" s="63">
        <v>0.2644</v>
      </c>
      <c r="O51" s="64">
        <v>0</v>
      </c>
      <c r="P51" s="55"/>
      <c r="Q51" s="65">
        <f ref="Q51:Q53" t="shared" si="23">N51+O51</f>
      </c>
      <c r="R51" s="63">
        <v>0.007865</v>
      </c>
      <c r="S51" s="55"/>
      <c r="T51" s="55"/>
      <c r="U51" s="63">
        <f ref="U51:U53" t="shared" si="24">R51</f>
      </c>
      <c r="V51" s="63">
        <v>0.157475</v>
      </c>
      <c r="W51" s="63">
        <v>0.051179</v>
      </c>
      <c r="X51" s="55"/>
      <c r="Y51" s="63">
        <v>0</v>
      </c>
      <c r="Z51" s="63">
        <v>0</v>
      </c>
      <c r="AA51" s="55"/>
      <c r="AB51" s="63">
        <v>0</v>
      </c>
      <c r="AC51" s="63">
        <v>0</v>
      </c>
      <c r="AD51" s="55"/>
      <c r="AE51" s="55"/>
      <c r="AF51" s="66"/>
      <c r="AG51" s="37"/>
    </row>
    <row r="52">
      <c r="A52" s="71" t="s">
        <v>95</v>
      </c>
      <c r="B52" s="91">
        <v>929042885</v>
      </c>
      <c r="C52" s="91" t="s">
        <v>96</v>
      </c>
      <c r="D52" s="73"/>
      <c r="E52" s="73"/>
      <c r="F52" s="73"/>
      <c r="G52" s="94">
        <v>41169</v>
      </c>
      <c r="H52" s="93">
        <v>41165</v>
      </c>
      <c r="I52" s="94">
        <v>41183</v>
      </c>
      <c r="J52" s="96">
        <f t="shared" si="21"/>
      </c>
      <c r="K52" s="69">
        <v>0</v>
      </c>
      <c r="L52" s="53">
        <v>0</v>
      </c>
      <c r="M52" s="53">
        <f t="shared" si="22"/>
      </c>
      <c r="N52" s="63">
        <v>0.2644</v>
      </c>
      <c r="O52" s="67">
        <v>0</v>
      </c>
      <c r="P52" s="68"/>
      <c r="Q52" s="65">
        <f t="shared" si="23"/>
      </c>
      <c r="R52" s="63">
        <v>0.007865</v>
      </c>
      <c r="S52" s="68"/>
      <c r="T52" s="68"/>
      <c r="U52" s="63">
        <f t="shared" si="24"/>
      </c>
      <c r="V52" s="63">
        <v>0.157475</v>
      </c>
      <c r="W52" s="63">
        <v>0.051179</v>
      </c>
      <c r="X52" s="68"/>
      <c r="Y52" s="53">
        <v>0</v>
      </c>
      <c r="Z52" s="53">
        <v>0</v>
      </c>
      <c r="AA52" s="68"/>
      <c r="AB52" s="53">
        <v>0</v>
      </c>
      <c r="AC52" s="53">
        <v>0</v>
      </c>
      <c r="AD52" s="68"/>
      <c r="AE52" s="68"/>
      <c r="AF52" s="70"/>
      <c r="AG52" s="37"/>
    </row>
    <row r="53">
      <c r="A53" s="71" t="s">
        <v>95</v>
      </c>
      <c r="B53" s="91">
        <v>929042885</v>
      </c>
      <c r="C53" s="91" t="s">
        <v>96</v>
      </c>
      <c r="D53" s="73"/>
      <c r="E53" s="73"/>
      <c r="F53" s="73"/>
      <c r="G53" s="94">
        <v>41260</v>
      </c>
      <c r="H53" s="94">
        <v>41256</v>
      </c>
      <c r="I53" s="94">
        <v>41276</v>
      </c>
      <c r="J53" s="96">
        <f t="shared" si="21"/>
      </c>
      <c r="K53" s="69">
        <v>0</v>
      </c>
      <c r="L53" s="53">
        <v>0</v>
      </c>
      <c r="M53" s="53">
        <f t="shared" si="22"/>
      </c>
      <c r="N53" s="63">
        <v>0.2644</v>
      </c>
      <c r="O53" s="67">
        <v>0</v>
      </c>
      <c r="P53" s="68"/>
      <c r="Q53" s="65">
        <f t="shared" si="23"/>
      </c>
      <c r="R53" s="63">
        <v>0.007865</v>
      </c>
      <c r="S53" s="68"/>
      <c r="T53" s="68"/>
      <c r="U53" s="63">
        <f t="shared" si="24"/>
      </c>
      <c r="V53" s="63">
        <v>0.157475</v>
      </c>
      <c r="W53" s="63">
        <v>0.051179</v>
      </c>
      <c r="X53" s="68"/>
      <c r="Y53" s="53">
        <v>0</v>
      </c>
      <c r="Z53" s="53">
        <v>0</v>
      </c>
      <c r="AA53" s="68"/>
      <c r="AB53" s="53">
        <v>0</v>
      </c>
      <c r="AC53" s="53">
        <v>0</v>
      </c>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t="s">
        <v>97</v>
      </c>
      <c r="B56" s="90">
        <v>929042877</v>
      </c>
      <c r="C56" s="90" t="s">
        <v>98</v>
      </c>
      <c r="D56" s="61"/>
      <c r="E56" s="61"/>
      <c r="F56" s="61"/>
      <c r="G56" s="93">
        <v>40983</v>
      </c>
      <c r="H56" s="93">
        <v>40981</v>
      </c>
      <c r="I56" s="93">
        <v>41001</v>
      </c>
      <c r="J56" s="96">
        <f>K56+L56+M56</f>
      </c>
      <c r="K56" s="69">
        <v>0</v>
      </c>
      <c r="L56" s="53">
        <v>0</v>
      </c>
      <c r="M56" s="53">
        <f>N56+O56+V56+Z56+AB56</f>
      </c>
      <c r="N56" s="63">
        <v>0.259503</v>
      </c>
      <c r="O56" s="64">
        <v>0</v>
      </c>
      <c r="P56" s="55"/>
      <c r="Q56" s="65">
        <f>N56+O56</f>
      </c>
      <c r="R56" s="63">
        <v>0.007719</v>
      </c>
      <c r="S56" s="55"/>
      <c r="T56" s="55"/>
      <c r="U56" s="63">
        <f>R56</f>
      </c>
      <c r="V56" s="63">
        <v>0.154559</v>
      </c>
      <c r="W56" s="63">
        <v>0.050231</v>
      </c>
      <c r="X56" s="55"/>
      <c r="Y56" s="63">
        <v>0</v>
      </c>
      <c r="Z56" s="63">
        <v>0</v>
      </c>
      <c r="AA56" s="55"/>
      <c r="AB56" s="63">
        <v>0</v>
      </c>
      <c r="AC56" s="63">
        <v>0</v>
      </c>
      <c r="AD56" s="55"/>
      <c r="AE56" s="55"/>
      <c r="AF56" s="66"/>
      <c r="AG56" s="37"/>
    </row>
    <row r="57">
      <c r="A57" s="59" t="s">
        <v>97</v>
      </c>
      <c r="B57" s="90">
        <v>929042877</v>
      </c>
      <c r="C57" s="90" t="s">
        <v>98</v>
      </c>
      <c r="D57" s="61"/>
      <c r="E57" s="61"/>
      <c r="F57" s="61"/>
      <c r="G57" s="93">
        <v>41075</v>
      </c>
      <c r="H57" s="93">
        <v>41073</v>
      </c>
      <c r="I57" s="93">
        <v>41092</v>
      </c>
      <c r="J57" s="96">
        <f ref="J57:J59" t="shared" si="25">K57+L57+M57</f>
      </c>
      <c r="K57" s="69">
        <v>0</v>
      </c>
      <c r="L57" s="53">
        <v>0</v>
      </c>
      <c r="M57" s="53">
        <f ref="M57:M59" t="shared" si="26">N57+O57+V57+Z57+AB57</f>
      </c>
      <c r="N57" s="63">
        <v>0.259504</v>
      </c>
      <c r="O57" s="64">
        <v>0</v>
      </c>
      <c r="P57" s="55"/>
      <c r="Q57" s="65">
        <f ref="Q57:Q59" t="shared" si="27">N57+O57</f>
      </c>
      <c r="R57" s="63">
        <v>0.00772</v>
      </c>
      <c r="S57" s="55"/>
      <c r="T57" s="55"/>
      <c r="U57" s="63">
        <f ref="U57:U59" t="shared" si="28">R57</f>
      </c>
      <c r="V57" s="63">
        <v>0.154559</v>
      </c>
      <c r="W57" s="63">
        <v>0.050231</v>
      </c>
      <c r="X57" s="55"/>
      <c r="Y57" s="63">
        <v>0</v>
      </c>
      <c r="Z57" s="63">
        <v>0</v>
      </c>
      <c r="AA57" s="55"/>
      <c r="AB57" s="63">
        <v>0</v>
      </c>
      <c r="AC57" s="63">
        <v>0</v>
      </c>
      <c r="AD57" s="55"/>
      <c r="AE57" s="55"/>
      <c r="AF57" s="66"/>
      <c r="AG57" s="37"/>
    </row>
    <row r="58">
      <c r="A58" s="71" t="s">
        <v>97</v>
      </c>
      <c r="B58" s="91">
        <v>929042877</v>
      </c>
      <c r="C58" s="91" t="s">
        <v>98</v>
      </c>
      <c r="D58" s="73"/>
      <c r="E58" s="73"/>
      <c r="F58" s="73"/>
      <c r="G58" s="94">
        <v>41169</v>
      </c>
      <c r="H58" s="93">
        <v>41165</v>
      </c>
      <c r="I58" s="94">
        <v>41183</v>
      </c>
      <c r="J58" s="96">
        <f t="shared" si="25"/>
      </c>
      <c r="K58" s="69">
        <v>0</v>
      </c>
      <c r="L58" s="53">
        <v>0</v>
      </c>
      <c r="M58" s="53">
        <f t="shared" si="26"/>
      </c>
      <c r="N58" s="63">
        <v>0.259503</v>
      </c>
      <c r="O58" s="67">
        <v>0</v>
      </c>
      <c r="P58" s="68"/>
      <c r="Q58" s="65">
        <f t="shared" si="27"/>
      </c>
      <c r="R58" s="63">
        <v>0.007719</v>
      </c>
      <c r="S58" s="68"/>
      <c r="T58" s="68"/>
      <c r="U58" s="63">
        <f t="shared" si="28"/>
      </c>
      <c r="V58" s="63">
        <v>0.154559</v>
      </c>
      <c r="W58" s="63">
        <v>0.050231</v>
      </c>
      <c r="X58" s="68"/>
      <c r="Y58" s="53">
        <v>0</v>
      </c>
      <c r="Z58" s="53">
        <v>0</v>
      </c>
      <c r="AA58" s="68"/>
      <c r="AB58" s="53">
        <v>0</v>
      </c>
      <c r="AC58" s="53">
        <v>0</v>
      </c>
      <c r="AD58" s="68"/>
      <c r="AE58" s="68"/>
      <c r="AF58" s="70"/>
      <c r="AG58" s="37"/>
    </row>
    <row r="59">
      <c r="A59" s="71" t="s">
        <v>97</v>
      </c>
      <c r="B59" s="91">
        <v>929042877</v>
      </c>
      <c r="C59" s="91" t="s">
        <v>98</v>
      </c>
      <c r="D59" s="73"/>
      <c r="E59" s="73"/>
      <c r="F59" s="73"/>
      <c r="G59" s="94">
        <v>41260</v>
      </c>
      <c r="H59" s="94">
        <v>41256</v>
      </c>
      <c r="I59" s="94">
        <v>41276</v>
      </c>
      <c r="J59" s="96">
        <f t="shared" si="25"/>
      </c>
      <c r="K59" s="69">
        <v>0</v>
      </c>
      <c r="L59" s="53">
        <v>0</v>
      </c>
      <c r="M59" s="53">
        <f t="shared" si="26"/>
      </c>
      <c r="N59" s="63">
        <v>0.259504</v>
      </c>
      <c r="O59" s="67">
        <v>0</v>
      </c>
      <c r="P59" s="68"/>
      <c r="Q59" s="65">
        <f t="shared" si="27"/>
      </c>
      <c r="R59" s="63">
        <v>0.00772</v>
      </c>
      <c r="S59" s="68"/>
      <c r="T59" s="68"/>
      <c r="U59" s="63">
        <f t="shared" si="28"/>
      </c>
      <c r="V59" s="63">
        <v>0.154559</v>
      </c>
      <c r="W59" s="63">
        <v>0.050231</v>
      </c>
      <c r="X59" s="68"/>
      <c r="Y59" s="53">
        <v>0</v>
      </c>
      <c r="Z59" s="53">
        <v>0</v>
      </c>
      <c r="AA59" s="68"/>
      <c r="AB59" s="53">
        <v>0</v>
      </c>
      <c r="AC59" s="53">
        <v>0</v>
      </c>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t="s">
        <v>99</v>
      </c>
      <c r="B62" s="90">
        <v>929042869</v>
      </c>
      <c r="C62" s="90" t="s">
        <v>100</v>
      </c>
      <c r="D62" s="61"/>
      <c r="E62" s="61"/>
      <c r="F62" s="61"/>
      <c r="G62" s="93">
        <v>40983</v>
      </c>
      <c r="H62" s="93">
        <v>40981</v>
      </c>
      <c r="I62" s="93">
        <v>41001</v>
      </c>
      <c r="J62" s="96">
        <f>K62+L62+M62</f>
      </c>
      <c r="K62" s="69">
        <v>0</v>
      </c>
      <c r="L62" s="53">
        <v>0</v>
      </c>
      <c r="M62" s="53">
        <f>N62+O62+V62+Z62+AB62</f>
      </c>
      <c r="N62" s="63">
        <v>0.269296</v>
      </c>
      <c r="O62" s="64">
        <v>0</v>
      </c>
      <c r="P62" s="55"/>
      <c r="Q62" s="65">
        <f>N62+O62</f>
      </c>
      <c r="R62" s="63">
        <v>0.008011</v>
      </c>
      <c r="S62" s="55"/>
      <c r="T62" s="55"/>
      <c r="U62" s="63">
        <f>R62</f>
      </c>
      <c r="V62" s="63">
        <v>0.160391</v>
      </c>
      <c r="W62" s="63">
        <v>0.052126</v>
      </c>
      <c r="X62" s="55"/>
      <c r="Y62" s="63">
        <v>0</v>
      </c>
      <c r="Z62" s="63">
        <v>0</v>
      </c>
      <c r="AA62" s="55"/>
      <c r="AB62" s="63">
        <v>0</v>
      </c>
      <c r="AC62" s="63">
        <v>0</v>
      </c>
      <c r="AD62" s="55"/>
      <c r="AE62" s="55"/>
      <c r="AF62" s="66"/>
      <c r="AG62" s="37"/>
    </row>
    <row r="63">
      <c r="A63" s="59" t="s">
        <v>99</v>
      </c>
      <c r="B63" s="90">
        <v>929042869</v>
      </c>
      <c r="C63" s="90" t="s">
        <v>100</v>
      </c>
      <c r="D63" s="61"/>
      <c r="E63" s="61"/>
      <c r="F63" s="61"/>
      <c r="G63" s="93">
        <v>41075</v>
      </c>
      <c r="H63" s="93">
        <v>41073</v>
      </c>
      <c r="I63" s="93">
        <v>41092</v>
      </c>
      <c r="J63" s="96">
        <f ref="J63:J65" t="shared" si="29">K63+L63+M63</f>
      </c>
      <c r="K63" s="69">
        <v>0</v>
      </c>
      <c r="L63" s="53">
        <v>0</v>
      </c>
      <c r="M63" s="53">
        <f ref="M63:M65" t="shared" si="30">N63+O63+V63+Z63+AB63</f>
      </c>
      <c r="N63" s="63">
        <v>0.269296</v>
      </c>
      <c r="O63" s="64">
        <v>0</v>
      </c>
      <c r="P63" s="55"/>
      <c r="Q63" s="65">
        <f ref="Q63:Q65" t="shared" si="31">N63+O63</f>
      </c>
      <c r="R63" s="63">
        <v>0.008011</v>
      </c>
      <c r="S63" s="55"/>
      <c r="T63" s="55"/>
      <c r="U63" s="63">
        <f ref="U63:U65" t="shared" si="32">R63</f>
      </c>
      <c r="V63" s="63">
        <v>0.160392</v>
      </c>
      <c r="W63" s="63">
        <v>0.052127</v>
      </c>
      <c r="X63" s="55"/>
      <c r="Y63" s="63">
        <v>0</v>
      </c>
      <c r="Z63" s="63">
        <v>0</v>
      </c>
      <c r="AA63" s="55"/>
      <c r="AB63" s="63">
        <v>0</v>
      </c>
      <c r="AC63" s="63">
        <v>0</v>
      </c>
      <c r="AD63" s="55"/>
      <c r="AE63" s="55"/>
      <c r="AF63" s="66"/>
      <c r="AG63" s="37"/>
    </row>
    <row r="64">
      <c r="A64" s="71" t="s">
        <v>99</v>
      </c>
      <c r="B64" s="91">
        <v>929042869</v>
      </c>
      <c r="C64" s="91" t="s">
        <v>100</v>
      </c>
      <c r="D64" s="73"/>
      <c r="E64" s="73"/>
      <c r="F64" s="73"/>
      <c r="G64" s="94">
        <v>41169</v>
      </c>
      <c r="H64" s="93">
        <v>41165</v>
      </c>
      <c r="I64" s="94">
        <v>41183</v>
      </c>
      <c r="J64" s="96">
        <f t="shared" si="29"/>
      </c>
      <c r="K64" s="69">
        <v>0</v>
      </c>
      <c r="L64" s="53">
        <v>0</v>
      </c>
      <c r="M64" s="53">
        <f t="shared" si="30"/>
      </c>
      <c r="N64" s="63">
        <v>0.269296</v>
      </c>
      <c r="O64" s="67">
        <v>0</v>
      </c>
      <c r="P64" s="68"/>
      <c r="Q64" s="65">
        <f t="shared" si="31"/>
      </c>
      <c r="R64" s="63">
        <v>0.008011</v>
      </c>
      <c r="S64" s="68"/>
      <c r="T64" s="68"/>
      <c r="U64" s="63">
        <f t="shared" si="32"/>
      </c>
      <c r="V64" s="63">
        <v>0.160391</v>
      </c>
      <c r="W64" s="63">
        <v>0.052126</v>
      </c>
      <c r="X64" s="68"/>
      <c r="Y64" s="53">
        <v>0</v>
      </c>
      <c r="Z64" s="53">
        <v>0</v>
      </c>
      <c r="AA64" s="68"/>
      <c r="AB64" s="53">
        <v>0</v>
      </c>
      <c r="AC64" s="53">
        <v>0</v>
      </c>
      <c r="AD64" s="68"/>
      <c r="AE64" s="68"/>
      <c r="AF64" s="70"/>
      <c r="AG64" s="37"/>
    </row>
    <row r="65">
      <c r="A65" s="71" t="s">
        <v>99</v>
      </c>
      <c r="B65" s="91">
        <v>929042869</v>
      </c>
      <c r="C65" s="91" t="s">
        <v>100</v>
      </c>
      <c r="D65" s="73"/>
      <c r="E65" s="73"/>
      <c r="F65" s="73"/>
      <c r="G65" s="94">
        <v>41260</v>
      </c>
      <c r="H65" s="94">
        <v>41256</v>
      </c>
      <c r="I65" s="94">
        <v>41276</v>
      </c>
      <c r="J65" s="96">
        <f t="shared" si="29"/>
      </c>
      <c r="K65" s="69">
        <v>0</v>
      </c>
      <c r="L65" s="53">
        <v>0</v>
      </c>
      <c r="M65" s="53">
        <f t="shared" si="30"/>
      </c>
      <c r="N65" s="63">
        <v>0.269296</v>
      </c>
      <c r="O65" s="67">
        <v>0</v>
      </c>
      <c r="P65" s="68"/>
      <c r="Q65" s="65">
        <f t="shared" si="31"/>
      </c>
      <c r="R65" s="63">
        <v>0.008011</v>
      </c>
      <c r="S65" s="68"/>
      <c r="T65" s="68"/>
      <c r="U65" s="63">
        <f t="shared" si="32"/>
      </c>
      <c r="V65" s="63">
        <v>0.160392</v>
      </c>
      <c r="W65" s="63">
        <v>0.052127</v>
      </c>
      <c r="X65" s="68"/>
      <c r="Y65" s="53">
        <v>0</v>
      </c>
      <c r="Z65" s="53">
        <v>0</v>
      </c>
      <c r="AA65" s="68"/>
      <c r="AB65" s="53">
        <v>0</v>
      </c>
      <c r="AC65" s="53">
        <v>0</v>
      </c>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71" t="s">
        <v>101</v>
      </c>
      <c r="B68" s="91">
        <v>929042851</v>
      </c>
      <c r="C68" s="91" t="s">
        <v>102</v>
      </c>
      <c r="D68" s="61"/>
      <c r="E68" s="61"/>
      <c r="F68" s="61"/>
      <c r="G68" s="93" t="s">
        <v>90</v>
      </c>
      <c r="H68" s="93" t="s">
        <v>90</v>
      </c>
      <c r="I68" s="93" t="s">
        <v>90</v>
      </c>
      <c r="J68" s="96">
        <f>K68+L68+M68</f>
      </c>
      <c r="K68" s="69">
        <v>0</v>
      </c>
      <c r="L68" s="53">
        <v>0</v>
      </c>
      <c r="M68" s="53">
        <f>N68+O68+V68+Z68+AB68</f>
      </c>
      <c r="N68" s="63">
        <v>0</v>
      </c>
      <c r="O68" s="64">
        <v>0</v>
      </c>
      <c r="P68" s="55"/>
      <c r="Q68" s="65">
        <f>N68+O68</f>
      </c>
      <c r="R68" s="63">
        <v>0</v>
      </c>
      <c r="S68" s="55"/>
      <c r="T68" s="55"/>
      <c r="U68" s="63">
        <f>R68</f>
      </c>
      <c r="V68" s="63">
        <v>0</v>
      </c>
      <c r="W68" s="63">
        <v>0</v>
      </c>
      <c r="X68" s="55"/>
      <c r="Y68" s="63">
        <v>0</v>
      </c>
      <c r="Z68" s="63">
        <v>0</v>
      </c>
      <c r="AA68" s="55"/>
      <c r="AB68" s="63">
        <v>0</v>
      </c>
      <c r="AC68" s="63">
        <v>0</v>
      </c>
      <c r="AD68" s="55"/>
      <c r="AE68" s="55"/>
      <c r="AF68" s="66"/>
      <c r="AG68" s="37"/>
    </row>
    <row r="69">
      <c r="A69" s="71" t="s">
        <v>101</v>
      </c>
      <c r="B69" s="91">
        <v>929042851</v>
      </c>
      <c r="C69" s="91" t="s">
        <v>102</v>
      </c>
      <c r="D69" s="61"/>
      <c r="E69" s="61"/>
      <c r="F69" s="61"/>
      <c r="G69" s="93" t="s">
        <v>90</v>
      </c>
      <c r="H69" s="93" t="s">
        <v>90</v>
      </c>
      <c r="I69" s="93" t="s">
        <v>90</v>
      </c>
      <c r="J69" s="96">
        <f ref="J69:J71" t="shared" si="33">K69+L69+M69</f>
      </c>
      <c r="K69" s="69">
        <v>0</v>
      </c>
      <c r="L69" s="53">
        <v>0</v>
      </c>
      <c r="M69" s="53">
        <f ref="M69:M71" t="shared" si="34">N69+O69+V69+Z69+AB69</f>
      </c>
      <c r="N69" s="63">
        <v>0</v>
      </c>
      <c r="O69" s="64">
        <v>0</v>
      </c>
      <c r="P69" s="55"/>
      <c r="Q69" s="65">
        <f ref="Q69:Q71" t="shared" si="35">N69+O69</f>
      </c>
      <c r="R69" s="63">
        <v>0</v>
      </c>
      <c r="S69" s="55"/>
      <c r="T69" s="55"/>
      <c r="U69" s="63">
        <f ref="U69:U71" t="shared" si="36">R69</f>
      </c>
      <c r="V69" s="63">
        <v>0</v>
      </c>
      <c r="W69" s="63">
        <v>0</v>
      </c>
      <c r="X69" s="55"/>
      <c r="Y69" s="63">
        <v>0</v>
      </c>
      <c r="Z69" s="63">
        <v>0</v>
      </c>
      <c r="AA69" s="55"/>
      <c r="AB69" s="63">
        <v>0</v>
      </c>
      <c r="AC69" s="63">
        <v>0</v>
      </c>
      <c r="AD69" s="55"/>
      <c r="AE69" s="55"/>
      <c r="AF69" s="66"/>
      <c r="AG69" s="37"/>
    </row>
    <row r="70">
      <c r="A70" s="71" t="s">
        <v>101</v>
      </c>
      <c r="B70" s="91">
        <v>929042851</v>
      </c>
      <c r="C70" s="91" t="s">
        <v>102</v>
      </c>
      <c r="D70" s="73"/>
      <c r="E70" s="73"/>
      <c r="F70" s="73"/>
      <c r="G70" s="94">
        <v>41169</v>
      </c>
      <c r="H70" s="93">
        <v>41165</v>
      </c>
      <c r="I70" s="94">
        <v>41183</v>
      </c>
      <c r="J70" s="96">
        <f>K70+L70+M70</f>
      </c>
      <c r="K70" s="69">
        <v>0</v>
      </c>
      <c r="L70" s="53">
        <v>0</v>
      </c>
      <c r="M70" s="53">
        <f>N70+O70+V70+Z70+AB70</f>
      </c>
      <c r="N70" s="53">
        <v>0.181097</v>
      </c>
      <c r="O70" s="67">
        <v>0</v>
      </c>
      <c r="P70" s="68"/>
      <c r="Q70" s="65">
        <f t="shared" si="35"/>
      </c>
      <c r="R70" s="53">
        <v>0.005387</v>
      </c>
      <c r="S70" s="68"/>
      <c r="T70" s="68"/>
      <c r="U70" s="63">
        <f t="shared" si="36"/>
      </c>
      <c r="V70" s="53">
        <v>0.107861</v>
      </c>
      <c r="W70" s="53">
        <v>0.035054</v>
      </c>
      <c r="X70" s="68"/>
      <c r="Y70" s="53">
        <v>0</v>
      </c>
      <c r="Z70" s="53">
        <v>0</v>
      </c>
      <c r="AA70" s="68"/>
      <c r="AB70" s="53">
        <v>0</v>
      </c>
      <c r="AC70" s="53">
        <v>0</v>
      </c>
      <c r="AD70" s="68"/>
      <c r="AE70" s="68"/>
      <c r="AF70" s="70"/>
      <c r="AG70" s="37"/>
    </row>
    <row r="71">
      <c r="A71" s="71" t="s">
        <v>101</v>
      </c>
      <c r="B71" s="91">
        <v>929042851</v>
      </c>
      <c r="C71" s="91" t="s">
        <v>102</v>
      </c>
      <c r="D71" s="73"/>
      <c r="E71" s="73"/>
      <c r="F71" s="73"/>
      <c r="G71" s="94">
        <v>41260</v>
      </c>
      <c r="H71" s="94">
        <v>41256</v>
      </c>
      <c r="I71" s="94">
        <v>41276</v>
      </c>
      <c r="J71" s="96">
        <f t="shared" si="33"/>
      </c>
      <c r="K71" s="69">
        <v>0</v>
      </c>
      <c r="L71" s="53">
        <v>0</v>
      </c>
      <c r="M71" s="53">
        <f t="shared" si="34"/>
      </c>
      <c r="N71" s="53">
        <v>0.223271</v>
      </c>
      <c r="O71" s="67">
        <v>0</v>
      </c>
      <c r="P71" s="68"/>
      <c r="Q71" s="65">
        <f t="shared" si="35"/>
      </c>
      <c r="R71" s="53">
        <v>0.006642</v>
      </c>
      <c r="S71" s="68"/>
      <c r="T71" s="68"/>
      <c r="U71" s="63">
        <f t="shared" si="36"/>
      </c>
      <c r="V71" s="53">
        <v>0.132979</v>
      </c>
      <c r="W71" s="53">
        <v>0.043218</v>
      </c>
      <c r="X71" s="68"/>
      <c r="Y71" s="53">
        <v>0</v>
      </c>
      <c r="Z71" s="53">
        <v>0</v>
      </c>
      <c r="AA71" s="68"/>
      <c r="AB71" s="53">
        <v>0</v>
      </c>
      <c r="AC71" s="53">
        <v>0</v>
      </c>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rintOptions horizontalCentered="1"/>
  <pageMargins left="0.2" right="0.2" top="0.75" bottom="0.75" header="0.3" footer="0.3"/>
  <pageSetup paperSize="5" scale="43"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zhang</cp:lastModifiedBy>
  <cp:lastPrinted>2013-01-17T19:22:27Z</cp:lastPrinted>
  <dcterms:created xsi:type="dcterms:W3CDTF">2012-11-27T14:14:45Z</dcterms:created>
  <dcterms:modified xsi:type="dcterms:W3CDTF">2013-01-17T19:23:06Z</dcterms:modified>
</cp:coreProperties>
</file>