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<sst xmlns="http://schemas.openxmlformats.org/spreadsheetml/2006/main" count="61" uniqueCount="59">
  <si>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</si>
  <si>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</si>
  <si>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</si>
  <si>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</si>
  <si>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</si>
  <si>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</si>
  <si>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</si>
  <si>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</si>
  <si>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</si>
  <si>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</si>
  <si>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</si>
  <si>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</si>
  <si>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</si>
  <si>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</si>
  <si>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</si>
  <si>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</si>
  <si>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</si>
  <si>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</si>
  <si>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</si>
  <si>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</si>
  <si>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</si>
  <si>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</si>
  <si>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</si>
  <si>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</si>
  <si>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</si>
  <si>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</si>
  <si>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</si>
  <si>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</si>
  <si>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</si>
  <si>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</si>
  <si>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</si>
  <si>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</si>
  <si>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</si>
  <si>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</si>
  <si>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</si>
  <si>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</si>
  <si>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</si>
  <si>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</si>
  <si>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</si>
  <si>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</si>
  <si>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</si>
  <si>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</si>
  <si>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</si>
  <si>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</si>
  <si>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</si>
  <si>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</si>
  <si>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</si>
  <si>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</si>
  <si>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</si>
  <si>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</si>
  <si>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</si>
  <si>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</si>
  <si>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</si>
  <si>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</si>
  <si>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</si>
  <si>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</si>
  <si>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</si>
  <si>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</si>
  <si>
    <t>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</si>
</sst>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6" val="0"/>
</file>

<file path=xl/ctrlProps/ctrlProp2.xml><?xml version="1.0" encoding="utf-8"?>
<formControlPr xmlns="http://schemas.microsoft.com/office/spreadsheetml/2009/9/main" objectType="Radio" firstButton="1" fmlaLink="$G$1" lockText="1"/>
</file>

<file path=xl/ctrlProps/ctrlProp3.xml><?xml version="1.0" encoding="utf-8"?>
<formControlPr xmlns="http://schemas.microsoft.com/office/spreadsheetml/2009/9/main" objectType="Radio" checked="Checked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P28" sqref="P28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2004</v>
      </c>
      <c r="C1" s="10">
        <v>1</v>
      </c>
      <c r="G1" s="12">
        <v>2</v>
      </c>
      <c r="H1" s="15">
        <f>INDEX(C1:C2,G1)</f>
        <v>16</v>
      </c>
    </row>
    <row r="2" spans="1:18" ht="13.5" hidden="1" customHeight="1" x14ac:dyDescent="0.2">
      <c r="A2" s="10" t="s">
        <v>20</v>
      </c>
      <c r="B2" s="10">
        <f t="shared" ca="1" si="0"/>
        <v>2005</v>
      </c>
      <c r="C2" s="10">
        <v>16</v>
      </c>
      <c r="G2" s="12">
        <v>6</v>
      </c>
      <c r="H2" s="15" t="str">
        <f>INDEX(A1:A12,G2)</f>
        <v>June</v>
      </c>
    </row>
    <row r="3" spans="1:18" ht="13.5" hidden="1" customHeight="1" x14ac:dyDescent="0.2">
      <c r="A3" s="10" t="s">
        <v>21</v>
      </c>
      <c r="B3" s="10">
        <f t="shared" ca="1" si="0"/>
        <v>2006</v>
      </c>
      <c r="G3" s="12">
        <v>11</v>
      </c>
      <c r="H3" s="15">
        <f ca="1">INDEX(B1:B12,G3)</f>
        <v>2014</v>
      </c>
    </row>
    <row r="4" spans="1:18" ht="13.5" hidden="1" customHeight="1" x14ac:dyDescent="0.2">
      <c r="A4" s="10" t="s">
        <v>22</v>
      </c>
      <c r="B4" s="10">
        <f t="shared" ca="1" si="0"/>
        <v>2007</v>
      </c>
    </row>
    <row r="5" spans="1:18" ht="13.5" hidden="1" customHeight="1" x14ac:dyDescent="0.2">
      <c r="A5" s="10" t="s">
        <v>23</v>
      </c>
      <c r="B5" s="10">
        <f t="shared" ca="1" si="0"/>
        <v>2008</v>
      </c>
    </row>
    <row r="6" spans="1:18" ht="13.5" hidden="1" customHeight="1" x14ac:dyDescent="0.2">
      <c r="A6" s="10" t="s">
        <v>24</v>
      </c>
      <c r="B6" s="10">
        <f t="shared" ca="1" si="0"/>
        <v>2009</v>
      </c>
    </row>
    <row r="7" spans="1:18" ht="13.5" hidden="1" customHeight="1" x14ac:dyDescent="0.2">
      <c r="A7" s="10" t="s">
        <v>25</v>
      </c>
      <c r="B7" s="10">
        <f t="shared" ca="1" si="0"/>
        <v>2010</v>
      </c>
    </row>
    <row r="8" spans="1:18" ht="13.5" hidden="1" customHeight="1" x14ac:dyDescent="0.2">
      <c r="A8" s="10" t="s">
        <v>26</v>
      </c>
      <c r="B8" s="10">
        <f t="shared" ca="1" si="0"/>
        <v>2011</v>
      </c>
    </row>
    <row r="9" spans="1:18" ht="13.5" hidden="1" customHeight="1" x14ac:dyDescent="0.2">
      <c r="A9" s="10" t="s">
        <v>27</v>
      </c>
      <c r="B9" s="10">
        <f t="shared" ca="1" si="0"/>
        <v>2012</v>
      </c>
    </row>
    <row r="10" spans="1:18" ht="13.5" hidden="1" customHeight="1" x14ac:dyDescent="0.2">
      <c r="A10" s="10" t="s">
        <v>28</v>
      </c>
      <c r="B10" s="10">
        <f t="shared" ca="1" si="0"/>
        <v>2013</v>
      </c>
    </row>
    <row r="11" spans="1:18" ht="13.5" hidden="1" customHeight="1" x14ac:dyDescent="0.2">
      <c r="A11" s="10" t="s">
        <v>29</v>
      </c>
      <c r="B11" s="10">
        <f ca="1">YEAR(NOW())</f>
        <v>2014</v>
      </c>
    </row>
    <row r="12" spans="1:18" ht="13.5" hidden="1" customHeight="1" x14ac:dyDescent="0.2">
      <c r="A12" s="10" t="s">
        <v>30</v>
      </c>
      <c r="B12" s="10">
        <f t="shared" ref="B12" ca="1" si="1">B11+1</f>
        <v>2015</v>
      </c>
    </row>
    <row r="13" spans="1:18" ht="13.5" hidden="1" customHeight="1" x14ac:dyDescent="0.2"/>
    <row r="14" spans="1:18" ht="13.5" customHeight="1" x14ac:dyDescent="0.2">
      <c r="C14" s="3"/>
      <c r="D14" s="88" t="s">
        <v>0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3"/>
      <c r="Q14" s="84" t="s">
        <v>1</v>
      </c>
      <c r="R14" s="84"/>
    </row>
    <row r="15" spans="1:18" ht="13.5" customHeight="1" x14ac:dyDescent="0.2"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Q15" s="85">
        <v>41211</v>
      </c>
      <c r="R15" s="85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77"/>
      <c r="H17" s="77"/>
      <c r="I17" s="77"/>
      <c r="J17" s="77"/>
      <c r="K17" s="45"/>
      <c r="L17" s="45"/>
      <c r="M17" s="43" t="s">
        <v>38</v>
      </c>
      <c r="N17" s="77"/>
      <c r="O17" s="77"/>
      <c r="P17" s="77"/>
      <c r="Q17" s="77"/>
      <c r="R17" s="46"/>
    </row>
    <row r="18" spans="1:18" ht="13.5" customHeight="1" x14ac:dyDescent="0.2">
      <c r="B18" s="6"/>
      <c r="D18" s="44"/>
      <c r="E18" s="45"/>
      <c r="F18" s="43" t="s">
        <v>36</v>
      </c>
      <c r="G18" s="77"/>
      <c r="H18" s="77"/>
      <c r="I18" s="77"/>
      <c r="J18" s="77"/>
      <c r="K18" s="45"/>
      <c r="L18" s="45"/>
      <c r="M18" s="43" t="s">
        <v>56</v>
      </c>
      <c r="N18" s="77"/>
      <c r="O18" s="77"/>
      <c r="P18" s="77"/>
      <c r="Q18" s="77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77"/>
      <c r="H19" s="77"/>
      <c r="I19" s="77"/>
      <c r="J19" s="77"/>
      <c r="K19" s="45"/>
      <c r="L19" s="45"/>
      <c r="M19" s="43" t="s">
        <v>39</v>
      </c>
      <c r="N19" s="77"/>
      <c r="O19" s="77"/>
      <c r="P19" s="77"/>
      <c r="Q19" s="77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97" t="s">
        <v>55</v>
      </c>
      <c r="P22" s="97"/>
      <c r="Q22" s="97"/>
      <c r="R22" s="98"/>
    </row>
    <row r="23" spans="1:18" ht="13.5" customHeight="1" x14ac:dyDescent="0.2">
      <c r="A23" s="89" t="s">
        <v>33</v>
      </c>
      <c r="B23" s="90"/>
      <c r="C23" s="90"/>
      <c r="D23" s="80" t="str">
        <f ca="1">TEXT(DATE(H3,G2,H1),"mm/dd/yyyy")&amp;" - "&amp;TEXT(IF(DAY(B25)=1,DATE(H3,G2,"15"),DATE(H3,G2+1,0)),"mm/dd/yyyy")</f>
        <v>06/16/2014 - 06/30/2014</v>
      </c>
      <c r="E23" s="80"/>
      <c r="F23" s="80"/>
      <c r="G23" s="80"/>
      <c r="H23" s="80"/>
      <c r="I23" s="28"/>
      <c r="J23" s="93" t="s">
        <v>42</v>
      </c>
      <c r="K23" s="93"/>
      <c r="L23" s="93"/>
      <c r="M23" s="93"/>
      <c r="N23" s="93"/>
      <c r="O23" s="93"/>
      <c r="P23" s="93"/>
      <c r="Q23" s="93"/>
      <c r="R23" s="94"/>
    </row>
    <row r="24" spans="1:18" ht="13.5" customHeight="1" x14ac:dyDescent="0.2">
      <c r="A24" s="91"/>
      <c r="B24" s="92"/>
      <c r="C24" s="92"/>
      <c r="D24" s="81"/>
      <c r="E24" s="81"/>
      <c r="F24" s="81"/>
      <c r="G24" s="81"/>
      <c r="H24" s="81"/>
      <c r="I24" s="29"/>
      <c r="J24" s="95"/>
      <c r="K24" s="95"/>
      <c r="L24" s="95"/>
      <c r="M24" s="95"/>
      <c r="N24" s="95"/>
      <c r="O24" s="95"/>
      <c r="P24" s="95"/>
      <c r="Q24" s="95"/>
      <c r="R24" s="96"/>
    </row>
    <row r="25" spans="1:18" s="5" customFormat="1" ht="13.5" customHeight="1" x14ac:dyDescent="0.2">
      <c r="A25" s="86" t="s">
        <v>2</v>
      </c>
      <c r="B25" s="30">
        <f ca="1">DATE($H$3,$G$2,$H$1)</f>
        <v>41806</v>
      </c>
      <c r="C25" s="30">
        <f ca="1">IF(B25="","",IF(MONTH(B25+1)&gt;MONTH(B25),"",B25+1))</f>
        <v>41807</v>
      </c>
      <c r="D25" s="30">
        <f t="shared" ref="D25:P25" ca="1" si="2">IF(C25="","",IF(MONTH(C25+1)&gt;MONTH(C25),"",C25+1))</f>
        <v>41808</v>
      </c>
      <c r="E25" s="30">
        <f t="shared" ca="1" si="2"/>
        <v>41809</v>
      </c>
      <c r="F25" s="30">
        <f t="shared" ca="1" si="2"/>
        <v>41810</v>
      </c>
      <c r="G25" s="30">
        <f t="shared" ca="1" si="2"/>
        <v>41811</v>
      </c>
      <c r="H25" s="30">
        <f t="shared" ca="1" si="2"/>
        <v>41812</v>
      </c>
      <c r="I25" s="30">
        <f t="shared" ca="1" si="2"/>
        <v>41813</v>
      </c>
      <c r="J25" s="30">
        <f t="shared" ca="1" si="2"/>
        <v>41814</v>
      </c>
      <c r="K25" s="30">
        <f t="shared" ca="1" si="2"/>
        <v>41815</v>
      </c>
      <c r="L25" s="30">
        <f t="shared" ca="1" si="2"/>
        <v>41816</v>
      </c>
      <c r="M25" s="30">
        <f t="shared" ca="1" si="2"/>
        <v>41817</v>
      </c>
      <c r="N25" s="30">
        <f t="shared" ca="1" si="2"/>
        <v>41818</v>
      </c>
      <c r="O25" s="30">
        <f t="shared" ca="1" si="2"/>
        <v>41819</v>
      </c>
      <c r="P25" s="31">
        <f t="shared" ca="1" si="2"/>
        <v>41820</v>
      </c>
      <c r="Q25" s="30" t="str">
        <f ca="1">IF(G1=1,"",IF(P25="","",IF(MONTH(P25+1)&gt;MONTH(P25),"",P25+1)))</f>
        <v/>
      </c>
      <c r="R25" s="99" t="s">
        <v>34</v>
      </c>
    </row>
    <row r="26" spans="1:18" s="5" customFormat="1" ht="13.5" customHeight="1" x14ac:dyDescent="0.2">
      <c r="A26" s="87"/>
      <c r="B26" s="32">
        <f ca="1">B25</f>
        <v>41806</v>
      </c>
      <c r="C26" s="32">
        <f t="shared" ref="C26:Q26" ca="1" si="3">C25</f>
        <v>41807</v>
      </c>
      <c r="D26" s="32">
        <f t="shared" ca="1" si="3"/>
        <v>41808</v>
      </c>
      <c r="E26" s="32">
        <f t="shared" ca="1" si="3"/>
        <v>41809</v>
      </c>
      <c r="F26" s="32">
        <f t="shared" ca="1" si="3"/>
        <v>41810</v>
      </c>
      <c r="G26" s="32">
        <f t="shared" ca="1" si="3"/>
        <v>41811</v>
      </c>
      <c r="H26" s="32">
        <f t="shared" ca="1" si="3"/>
        <v>41812</v>
      </c>
      <c r="I26" s="32">
        <f t="shared" ca="1" si="3"/>
        <v>41813</v>
      </c>
      <c r="J26" s="32">
        <f t="shared" ca="1" si="3"/>
        <v>41814</v>
      </c>
      <c r="K26" s="32">
        <f t="shared" ca="1" si="3"/>
        <v>41815</v>
      </c>
      <c r="L26" s="32">
        <f t="shared" ca="1" si="3"/>
        <v>41816</v>
      </c>
      <c r="M26" s="32">
        <f t="shared" ca="1" si="3"/>
        <v>41817</v>
      </c>
      <c r="N26" s="32">
        <f t="shared" ca="1" si="3"/>
        <v>41818</v>
      </c>
      <c r="O26" s="32">
        <f t="shared" ca="1" si="3"/>
        <v>41819</v>
      </c>
      <c r="P26" s="33">
        <f t="shared" ca="1" si="3"/>
        <v>41820</v>
      </c>
      <c r="Q26" s="33" t="str">
        <f t="shared" ca="1" si="3"/>
        <v/>
      </c>
      <c r="R26" s="100"/>
    </row>
    <row r="27" spans="1:18" s="5" customFormat="1" ht="13.5" customHeight="1" x14ac:dyDescent="0.2">
      <c r="A27" s="16" t="s">
        <v>3</v>
      </c>
      <c r="B27" s="21">
        <v>7.5</v>
      </c>
      <c r="C27" s="21">
        <v>7.5</v>
      </c>
      <c r="D27" s="21">
        <v>7.5</v>
      </c>
      <c r="E27" s="21">
        <v>7.5</v>
      </c>
      <c r="F27" s="21">
        <v>7.5</v>
      </c>
      <c r="G27" s="21"/>
      <c r="H27" s="21"/>
      <c r="I27" s="21">
        <v>7.5</v>
      </c>
      <c r="J27" s="21">
        <v>7.5</v>
      </c>
      <c r="K27" s="21">
        <v>7.5</v>
      </c>
      <c r="L27" s="21">
        <v>7.5</v>
      </c>
      <c r="M27" s="21">
        <v>7.5</v>
      </c>
      <c r="N27" s="21"/>
      <c r="O27" s="21"/>
      <c r="P27" s="22">
        <v>7.5</v>
      </c>
      <c r="Q27" s="23"/>
      <c r="R27" s="18">
        <f>IF(SUM(B27:Q27)=0,"-",SUM(B27:Q27))</f>
        <v>82.5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 t="s">
        <v>58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75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>
        <f>IF(SUM(R27:R39)=0,"-",SUM(R27:R39))</f>
        <v>82.5</v>
      </c>
    </row>
    <row r="41" spans="1:18" s="5" customFormat="1" ht="13.5" customHeight="1" thickBot="1" x14ac:dyDescent="0.25">
      <c r="A41" s="76"/>
      <c r="B41" s="20">
        <f>IF(SUM(B27:B39)=0,"-",SUM(B27:B39))</f>
        <v>7.5</v>
      </c>
      <c r="C41" s="20">
        <f t="shared" ref="C41:Q41" si="5">IF(SUM(C27:C39)=0,"-",SUM(C27:C39))</f>
        <v>7.5</v>
      </c>
      <c r="D41" s="20">
        <f t="shared" si="5"/>
        <v>7.5</v>
      </c>
      <c r="E41" s="20">
        <f t="shared" si="5"/>
        <v>7.5</v>
      </c>
      <c r="F41" s="20">
        <f t="shared" si="5"/>
        <v>7.5</v>
      </c>
      <c r="G41" s="20" t="str">
        <f t="shared" si="5"/>
        <v>-</v>
      </c>
      <c r="H41" s="20" t="str">
        <f t="shared" si="5"/>
        <v>-</v>
      </c>
      <c r="I41" s="20">
        <f t="shared" si="5"/>
        <v>7.5</v>
      </c>
      <c r="J41" s="20">
        <f t="shared" si="5"/>
        <v>7.5</v>
      </c>
      <c r="K41" s="20">
        <f t="shared" si="5"/>
        <v>7.5</v>
      </c>
      <c r="L41" s="20">
        <f t="shared" si="5"/>
        <v>7.5</v>
      </c>
      <c r="M41" s="20">
        <f t="shared" si="5"/>
        <v>7.5</v>
      </c>
      <c r="N41" s="20" t="str">
        <f t="shared" si="5"/>
        <v>-</v>
      </c>
      <c r="O41" s="20" t="str">
        <f t="shared" si="5"/>
        <v>-</v>
      </c>
      <c r="P41" s="20">
        <f t="shared" si="5"/>
        <v>7.5</v>
      </c>
      <c r="Q41" s="20" t="str">
        <f t="shared" si="5"/>
        <v>-</v>
      </c>
      <c r="R41" s="19">
        <f>IF(SUM(B40:Q41)=0,"-",SUM(B40:Q41))</f>
        <v>82.5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82" t="s">
        <v>18</v>
      </c>
      <c r="B43" s="83"/>
      <c r="C43" s="83"/>
      <c r="D43" s="83"/>
      <c r="E43" s="42"/>
      <c r="F43" s="78" t="s">
        <v>15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9"/>
    </row>
    <row r="44" spans="1:18" s="5" customFormat="1" ht="13.5" customHeight="1" x14ac:dyDescent="0.2">
      <c r="A44" s="54" t="s">
        <v>43</v>
      </c>
      <c r="B44" s="53"/>
      <c r="C44" s="53" t="s">
        <v>49</v>
      </c>
      <c r="D44" s="53"/>
      <c r="E44" s="42"/>
      <c r="F44" s="39" t="s">
        <v>14</v>
      </c>
      <c r="G44" s="71" t="s">
        <v>13</v>
      </c>
      <c r="H44" s="72"/>
      <c r="I44" s="71" t="s">
        <v>12</v>
      </c>
      <c r="J44" s="72"/>
      <c r="K44" s="71" t="s">
        <v>11</v>
      </c>
      <c r="L44" s="72"/>
      <c r="M44" s="71" t="s">
        <v>10</v>
      </c>
      <c r="N44" s="73"/>
      <c r="O44" s="73"/>
      <c r="P44" s="73"/>
      <c r="Q44" s="73"/>
      <c r="R44" s="74"/>
    </row>
    <row r="45" spans="1:18" s="5" customFormat="1" ht="13.5" customHeight="1" x14ac:dyDescent="0.2">
      <c r="A45" s="51" t="s">
        <v>44</v>
      </c>
      <c r="B45" s="52"/>
      <c r="C45" s="52" t="s">
        <v>50</v>
      </c>
      <c r="D45" s="52"/>
      <c r="E45" s="42"/>
      <c r="F45" s="40"/>
      <c r="G45" s="55"/>
      <c r="H45" s="56"/>
      <c r="I45" s="59" t="str">
        <f>IF((F45*G45)=0,"-",(F45*G45))</f>
        <v>-</v>
      </c>
      <c r="J45" s="60"/>
      <c r="K45" s="63"/>
      <c r="L45" s="64"/>
      <c r="M45" s="63"/>
      <c r="N45" s="67"/>
      <c r="O45" s="67"/>
      <c r="P45" s="67"/>
      <c r="Q45" s="67"/>
      <c r="R45" s="68"/>
    </row>
    <row r="46" spans="1:18" s="5" customFormat="1" ht="13.5" customHeight="1" x14ac:dyDescent="0.2">
      <c r="A46" s="51" t="s">
        <v>45</v>
      </c>
      <c r="B46" s="52"/>
      <c r="C46" s="52" t="s">
        <v>51</v>
      </c>
      <c r="D46" s="52"/>
      <c r="E46" s="42"/>
      <c r="F46" s="40"/>
      <c r="G46" s="55"/>
      <c r="H46" s="56"/>
      <c r="I46" s="59" t="str">
        <f t="shared" ref="I46:I50" si="6">IF((F46*G46)=0,"-",(F46*G46))</f>
        <v>-</v>
      </c>
      <c r="J46" s="60"/>
      <c r="K46" s="63"/>
      <c r="L46" s="64"/>
      <c r="M46" s="63"/>
      <c r="N46" s="67"/>
      <c r="O46" s="67"/>
      <c r="P46" s="67"/>
      <c r="Q46" s="67"/>
      <c r="R46" s="68"/>
    </row>
    <row r="47" spans="1:18" s="5" customFormat="1" ht="13.5" customHeight="1" x14ac:dyDescent="0.2">
      <c r="A47" s="51" t="s">
        <v>46</v>
      </c>
      <c r="B47" s="52"/>
      <c r="C47" s="52" t="s">
        <v>52</v>
      </c>
      <c r="D47" s="52"/>
      <c r="E47" s="42"/>
      <c r="F47" s="40"/>
      <c r="G47" s="55"/>
      <c r="H47" s="56"/>
      <c r="I47" s="59" t="str">
        <f t="shared" si="6"/>
        <v>-</v>
      </c>
      <c r="J47" s="60"/>
      <c r="K47" s="63"/>
      <c r="L47" s="64"/>
      <c r="M47" s="63"/>
      <c r="N47" s="67"/>
      <c r="O47" s="67"/>
      <c r="P47" s="67"/>
      <c r="Q47" s="67"/>
      <c r="R47" s="68"/>
    </row>
    <row r="48" spans="1:18" s="5" customFormat="1" ht="13.5" customHeight="1" x14ac:dyDescent="0.2">
      <c r="A48" s="51" t="s">
        <v>47</v>
      </c>
      <c r="B48" s="52"/>
      <c r="C48" s="52" t="s">
        <v>54</v>
      </c>
      <c r="D48" s="52"/>
      <c r="E48" s="42"/>
      <c r="F48" s="40"/>
      <c r="G48" s="55"/>
      <c r="H48" s="56"/>
      <c r="I48" s="59" t="str">
        <f t="shared" si="6"/>
        <v>-</v>
      </c>
      <c r="J48" s="60"/>
      <c r="K48" s="63"/>
      <c r="L48" s="64"/>
      <c r="M48" s="63"/>
      <c r="N48" s="67"/>
      <c r="O48" s="67"/>
      <c r="P48" s="67"/>
      <c r="Q48" s="67"/>
      <c r="R48" s="68"/>
    </row>
    <row r="49" spans="1:18" s="5" customFormat="1" ht="13.5" customHeight="1" x14ac:dyDescent="0.2">
      <c r="A49" s="51" t="s">
        <v>48</v>
      </c>
      <c r="B49" s="52"/>
      <c r="C49" s="52"/>
      <c r="D49" s="52"/>
      <c r="E49" s="42"/>
      <c r="F49" s="40"/>
      <c r="G49" s="55"/>
      <c r="H49" s="56"/>
      <c r="I49" s="59" t="str">
        <f t="shared" si="6"/>
        <v>-</v>
      </c>
      <c r="J49" s="60"/>
      <c r="K49" s="63"/>
      <c r="L49" s="64"/>
      <c r="M49" s="63"/>
      <c r="N49" s="67"/>
      <c r="O49" s="67"/>
      <c r="P49" s="67"/>
      <c r="Q49" s="67"/>
      <c r="R49" s="68"/>
    </row>
    <row r="50" spans="1:18" s="5" customFormat="1" ht="13.5" customHeight="1" thickBot="1" x14ac:dyDescent="0.25">
      <c r="A50" s="49" t="s">
        <v>53</v>
      </c>
      <c r="B50" s="50"/>
      <c r="C50" s="50"/>
      <c r="D50" s="50"/>
      <c r="E50" s="42"/>
      <c r="F50" s="41"/>
      <c r="G50" s="57"/>
      <c r="H50" s="58"/>
      <c r="I50" s="61" t="str">
        <f t="shared" si="6"/>
        <v>-</v>
      </c>
      <c r="J50" s="62"/>
      <c r="K50" s="65"/>
      <c r="L50" s="66"/>
      <c r="M50" s="65"/>
      <c r="N50" s="69"/>
      <c r="O50" s="69"/>
      <c r="P50" s="69"/>
      <c r="Q50" s="69"/>
      <c r="R50" s="70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  <mergeCell ref="A40:A41"/>
    <mergeCell ref="G18:J18"/>
    <mergeCell ref="F43:R43"/>
    <mergeCell ref="D23:H24"/>
    <mergeCell ref="A43:D43"/>
    <mergeCell ref="N18:Q18"/>
    <mergeCell ref="N19:Q19"/>
    <mergeCell ref="G44:H44"/>
    <mergeCell ref="I44:J44"/>
    <mergeCell ref="K44:L44"/>
    <mergeCell ref="M44:R44"/>
    <mergeCell ref="M45:R45"/>
    <mergeCell ref="K45:L45"/>
    <mergeCell ref="I45:J45"/>
    <mergeCell ref="G45:H45"/>
    <mergeCell ref="M46:R46"/>
    <mergeCell ref="M47:R47"/>
    <mergeCell ref="M48:R48"/>
    <mergeCell ref="M49:R49"/>
    <mergeCell ref="M50:R50"/>
    <mergeCell ref="K46:L46"/>
    <mergeCell ref="K47:L47"/>
    <mergeCell ref="K48:L48"/>
    <mergeCell ref="K49:L49"/>
    <mergeCell ref="K50:L50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244B816-2D1B-4396-AD58-FE26E10D8A4D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0c37880-e378-4eb8-bd61-09c775efa22c"/>
    <ds:schemaRef ds:uri="38611205-3f66-40b4-ac85-5ae0f08d2f00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2014-06-27T14:11:49Z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