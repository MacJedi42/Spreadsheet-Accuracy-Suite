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530" yWindow="-195" windowWidth="26085" windowHeight="11025" tabRatio="678" activeTab="3"/>
  </bookViews>
  <sheets>
    <sheet name="Holds" sheetId="2" r:id="rId1"/>
    <sheet name="Intakes, Admins, Discharges" sheetId="10" r:id="rId2"/>
    <sheet name="AMH CMH Patients Served" sheetId="11" r:id="rId3"/>
    <sheet name="Invsigtns, Exams, and Commts" sheetId="12" r:id="rId4"/>
    <sheet name="Admissions" sheetId="23" state="hidden" r:id="rId5"/>
    <sheet name="Number SErved" sheetId="24" state="hidden" r:id="rId6"/>
    <sheet name="Sheet1" sheetId="25" state="hidden" r:id="rId7"/>
  </sheets>
  <calcPr calcId="145621"/>
</workbook>
</file>

<file path=xl/calcChain.xml><?xml version="1.0" encoding="utf-8"?>
<calcChain xmlns="http://schemas.openxmlformats.org/spreadsheetml/2006/main">
  <c r="B108" i="12" l="1"/>
  <c r="C108" i="12"/>
  <c r="D39" i="12"/>
  <c r="D33" i="12"/>
  <c r="D25" i="12"/>
  <c r="D21" i="12"/>
  <c r="D15" i="12"/>
  <c r="D10" i="12"/>
  <c r="D5" i="12"/>
  <c r="C39" i="12"/>
  <c r="C33" i="12"/>
  <c r="C25" i="12"/>
  <c r="C21" i="12"/>
  <c r="C15" i="12"/>
  <c r="C10" i="12"/>
  <c r="C5" i="12"/>
  <c r="G39" i="11" l="1"/>
  <c r="F39" i="11"/>
  <c r="G33" i="11"/>
  <c r="F33" i="11"/>
  <c r="G25" i="11"/>
  <c r="F25" i="11"/>
  <c r="G21" i="11"/>
  <c r="F21" i="11"/>
  <c r="G15" i="11"/>
  <c r="F15" i="11"/>
  <c r="G10" i="11"/>
  <c r="F10" i="11"/>
  <c r="G5" i="11"/>
  <c r="F5" i="11"/>
  <c r="D39" i="11" l="1"/>
  <c r="D33" i="11"/>
  <c r="D25" i="11"/>
  <c r="D21" i="11"/>
  <c r="D15" i="11"/>
  <c r="D10" i="11"/>
  <c r="D5" i="11"/>
  <c r="C39" i="11"/>
  <c r="C33" i="11"/>
  <c r="C25" i="11"/>
  <c r="C21" i="11"/>
  <c r="C15" i="11"/>
  <c r="C10" i="11"/>
  <c r="C5" i="11"/>
  <c r="Q39" i="10"/>
  <c r="P39" i="10"/>
  <c r="Q33" i="10"/>
  <c r="P33" i="10"/>
  <c r="Q25" i="10"/>
  <c r="P25" i="10"/>
  <c r="Q21" i="10"/>
  <c r="P21" i="10"/>
  <c r="Q15" i="10"/>
  <c r="P15" i="10"/>
  <c r="Q5" i="10"/>
  <c r="Q10" i="10"/>
  <c r="P10" i="10"/>
  <c r="P5" i="10"/>
  <c r="O39" i="10"/>
  <c r="O33" i="10"/>
  <c r="O25" i="10"/>
  <c r="O21" i="10"/>
  <c r="O15" i="10"/>
  <c r="O10" i="10"/>
  <c r="O5" i="10"/>
  <c r="N39" i="10"/>
  <c r="N33" i="10"/>
  <c r="N25" i="10"/>
  <c r="N21" i="10"/>
  <c r="N15" i="10"/>
  <c r="N10" i="10"/>
  <c r="N5" i="10"/>
  <c r="V39" i="10"/>
  <c r="V33" i="10"/>
  <c r="V25" i="10"/>
  <c r="V21" i="10"/>
  <c r="V15" i="10"/>
  <c r="V10" i="10"/>
  <c r="V5" i="10"/>
  <c r="U39" i="10"/>
  <c r="U33" i="10"/>
  <c r="U25" i="10"/>
  <c r="U21" i="10"/>
  <c r="U15" i="10"/>
  <c r="U10" i="10"/>
  <c r="U5" i="10"/>
  <c r="T39" i="10"/>
  <c r="T33" i="10"/>
  <c r="T25" i="10"/>
  <c r="T21" i="10"/>
  <c r="T15" i="10"/>
  <c r="T10" i="10"/>
  <c r="T5" i="10"/>
  <c r="S39" i="10"/>
  <c r="S33" i="10"/>
  <c r="S25" i="10"/>
  <c r="S21" i="10"/>
  <c r="S15" i="10"/>
  <c r="S10" i="10"/>
  <c r="S5" i="10"/>
  <c r="M50" i="2" l="1"/>
  <c r="G50" i="2"/>
  <c r="D50" i="12" l="1"/>
  <c r="C50" i="12"/>
  <c r="G108" i="11"/>
  <c r="F108" i="11"/>
  <c r="D108" i="11"/>
  <c r="C108" i="11"/>
  <c r="G9" i="23" l="1"/>
  <c r="N50" i="12" l="1"/>
  <c r="I50" i="12"/>
  <c r="G49" i="12" l="1"/>
  <c r="N49" i="12"/>
  <c r="N39" i="12"/>
  <c r="N33" i="12"/>
  <c r="N25" i="12"/>
  <c r="N21" i="12"/>
  <c r="N15" i="12"/>
  <c r="N10" i="12"/>
  <c r="N5" i="12"/>
  <c r="L49" i="12"/>
  <c r="L39" i="12"/>
  <c r="L33" i="12"/>
  <c r="L25" i="12"/>
  <c r="L21" i="12"/>
  <c r="L15" i="12"/>
  <c r="L10" i="12"/>
  <c r="L5" i="12"/>
  <c r="I39" i="12"/>
  <c r="I33" i="12"/>
  <c r="I25" i="12"/>
  <c r="I21" i="12"/>
  <c r="I15" i="12"/>
  <c r="I10" i="12"/>
  <c r="I5" i="12"/>
  <c r="I49" i="12"/>
  <c r="G39" i="12"/>
  <c r="G33" i="12"/>
  <c r="G25" i="12"/>
  <c r="G21" i="12"/>
  <c r="G15" i="12"/>
  <c r="G5" i="12"/>
  <c r="G10" i="12"/>
  <c r="V50" i="10"/>
  <c r="T50" i="10"/>
  <c r="P50" i="10"/>
  <c r="O50" i="10"/>
  <c r="N50" i="10"/>
  <c r="Q50" i="10"/>
  <c r="K39" i="10"/>
  <c r="K33" i="10"/>
  <c r="K25" i="10"/>
  <c r="K21" i="10"/>
  <c r="K15" i="10"/>
  <c r="K10" i="10"/>
  <c r="K5" i="10"/>
  <c r="K49" i="10"/>
  <c r="I49" i="10"/>
  <c r="I39" i="10"/>
  <c r="I33" i="10"/>
  <c r="I25" i="10"/>
  <c r="I21" i="10"/>
  <c r="I15" i="10"/>
  <c r="I5" i="10"/>
  <c r="I10" i="10"/>
  <c r="F49" i="10"/>
  <c r="F39" i="10"/>
  <c r="F33" i="10"/>
  <c r="F25" i="10"/>
  <c r="F21" i="10"/>
  <c r="F15" i="10"/>
  <c r="F10" i="10"/>
  <c r="F5" i="10"/>
  <c r="D49" i="10"/>
  <c r="D39" i="10"/>
  <c r="D33" i="10"/>
  <c r="D25" i="10"/>
  <c r="D21" i="10"/>
  <c r="D15" i="10"/>
  <c r="D10" i="10"/>
  <c r="D5" i="10"/>
  <c r="N39" i="2"/>
  <c r="N33" i="2"/>
  <c r="N25" i="2"/>
  <c r="N21" i="2"/>
  <c r="N15" i="2"/>
  <c r="N10" i="2"/>
  <c r="N5" i="2"/>
  <c r="M49" i="2"/>
  <c r="N49" i="2" s="1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39" i="2"/>
  <c r="H33" i="2"/>
  <c r="H25" i="2"/>
  <c r="H21" i="2"/>
  <c r="H15" i="2"/>
  <c r="H10" i="2"/>
  <c r="H5" i="2"/>
  <c r="G49" i="2"/>
  <c r="H49" i="2" s="1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C2" i="2"/>
  <c r="A1" i="10"/>
  <c r="N3" i="10" s="1"/>
  <c r="A1" i="11"/>
  <c r="A1" i="12"/>
  <c r="H50" i="2" l="1"/>
  <c r="G50" i="11"/>
  <c r="D50" i="11"/>
  <c r="L50" i="12"/>
  <c r="G50" i="12"/>
  <c r="I50" i="10"/>
  <c r="F50" i="10"/>
  <c r="K50" i="10"/>
  <c r="N50" i="2"/>
  <c r="S50" i="10"/>
  <c r="U50" i="10"/>
  <c r="C50" i="11"/>
  <c r="F50" i="11"/>
  <c r="D50" i="10"/>
  <c r="H3" i="10"/>
  <c r="S3" i="10"/>
  <c r="C3" i="10"/>
</calcChain>
</file>

<file path=xl/sharedStrings.xml><?xml version="1.0" encoding="utf-8"?>
<sst xmlns="http://schemas.openxmlformats.org/spreadsheetml/2006/main" count="356" uniqueCount="117">
  <si>
    <t>Region 1</t>
  </si>
  <si>
    <t>Region 2</t>
  </si>
  <si>
    <t>Region 3</t>
  </si>
  <si>
    <t>Region 4</t>
  </si>
  <si>
    <t>Region 5</t>
  </si>
  <si>
    <t>Region 6</t>
  </si>
  <si>
    <t>Region 7</t>
  </si>
  <si>
    <t>Statewide</t>
  </si>
  <si>
    <t>Benewah</t>
  </si>
  <si>
    <t>Bonner</t>
  </si>
  <si>
    <t>Boundary</t>
  </si>
  <si>
    <t>Kootenai</t>
  </si>
  <si>
    <t>Shoshone</t>
  </si>
  <si>
    <t>Unknown</t>
  </si>
  <si>
    <t>Clearwater</t>
  </si>
  <si>
    <t>Idaho</t>
  </si>
  <si>
    <t>Latah</t>
  </si>
  <si>
    <t>Lewis</t>
  </si>
  <si>
    <t>Nez Perce</t>
  </si>
  <si>
    <t>Adams</t>
  </si>
  <si>
    <t>Canyon</t>
  </si>
  <si>
    <t>Gem</t>
  </si>
  <si>
    <t>Owyhee</t>
  </si>
  <si>
    <t>Payette</t>
  </si>
  <si>
    <t>Washington</t>
  </si>
  <si>
    <t>Ada</t>
  </si>
  <si>
    <t>Boise</t>
  </si>
  <si>
    <t>Elmore</t>
  </si>
  <si>
    <t>Valley</t>
  </si>
  <si>
    <t>Blaine</t>
  </si>
  <si>
    <t>Camas</t>
  </si>
  <si>
    <t>Cassia</t>
  </si>
  <si>
    <t>Gooding</t>
  </si>
  <si>
    <t>Jerome</t>
  </si>
  <si>
    <t>Minidoka</t>
  </si>
  <si>
    <t>Twin Falls</t>
  </si>
  <si>
    <t>Bannock</t>
  </si>
  <si>
    <t>Bear Lake</t>
  </si>
  <si>
    <t>Caribou</t>
  </si>
  <si>
    <t>Franklin</t>
  </si>
  <si>
    <t>Oneida</t>
  </si>
  <si>
    <t>Power</t>
  </si>
  <si>
    <t>Bingham</t>
  </si>
  <si>
    <t>Bonneville</t>
  </si>
  <si>
    <t>Butte</t>
  </si>
  <si>
    <t>Clark</t>
  </si>
  <si>
    <t>Custer</t>
  </si>
  <si>
    <t>Fremont</t>
  </si>
  <si>
    <t>Jefferson</t>
  </si>
  <si>
    <t>Lemhi</t>
  </si>
  <si>
    <t>Madison</t>
  </si>
  <si>
    <t>Teton</t>
  </si>
  <si>
    <t>Mental Holds (I.C. 66-326) by Ordering County</t>
  </si>
  <si>
    <t>Monthly</t>
  </si>
  <si>
    <t>24 Hour-MD Hold</t>
  </si>
  <si>
    <t>24 Hour-Police Hold</t>
  </si>
  <si>
    <t>Field Petition</t>
  </si>
  <si>
    <t>Administrative Hold</t>
  </si>
  <si>
    <t>County Total</t>
  </si>
  <si>
    <t>Regional Total</t>
  </si>
  <si>
    <t xml:space="preserve">Monthly County Total </t>
  </si>
  <si>
    <t>Monthly Regional Total</t>
  </si>
  <si>
    <t>Intakes by County of Residence</t>
  </si>
  <si>
    <t>Children's Mental Health</t>
  </si>
  <si>
    <t>Admissions/Discharges</t>
  </si>
  <si>
    <t>Adult Mental Health</t>
  </si>
  <si>
    <t>Number of adults served this Month</t>
  </si>
  <si>
    <t>Number of children served this Month</t>
  </si>
  <si>
    <t>Pre-Sentence Investigation Reports (I.C. 19-2524)</t>
  </si>
  <si>
    <t>Lincoln</t>
  </si>
  <si>
    <t>Admin</t>
  </si>
  <si>
    <t>Disch</t>
  </si>
  <si>
    <t>Out of State and Other</t>
  </si>
  <si>
    <t>Designated Examinations
 by Ordering County</t>
  </si>
  <si>
    <t>Civil Commitments (I.C. 66-329) 
by Ordering County</t>
  </si>
  <si>
    <t>Children's 
Mental Health</t>
  </si>
  <si>
    <t xml:space="preserve">Adult 
Mental Health </t>
  </si>
  <si>
    <t xml:space="preserve"> Region 3</t>
  </si>
  <si>
    <t xml:space="preserve"> Region 4</t>
  </si>
  <si>
    <t>Statewide Total</t>
  </si>
  <si>
    <t>Total</t>
  </si>
  <si>
    <t>IDHW, DBH, Region 1</t>
  </si>
  <si>
    <t>IDHW, DBH, Region 2</t>
  </si>
  <si>
    <t>IDHW, DBH, Region 3</t>
  </si>
  <si>
    <t>IDHW, DBH, Region 4</t>
  </si>
  <si>
    <t>IDHW, DBH, Region 5</t>
  </si>
  <si>
    <t>IDHW, DBH, Region 6</t>
  </si>
  <si>
    <t>IDHW, DBH, Region 7</t>
  </si>
  <si>
    <t>SFY2013 -YTD</t>
  </si>
  <si>
    <t>.</t>
  </si>
  <si>
    <t>CMH Admissions July</t>
  </si>
  <si>
    <t>AMH Admissions July</t>
  </si>
  <si>
    <t>CMH Discharges July</t>
  </si>
  <si>
    <t>AMH Discharges July</t>
  </si>
  <si>
    <t>Statewide Month Totals</t>
  </si>
  <si>
    <t>AMH Clients Served July</t>
  </si>
  <si>
    <t>CMH Clients Served July</t>
  </si>
  <si>
    <t>19 2524 Assessments</t>
  </si>
  <si>
    <t xml:space="preserve"> Region 6</t>
  </si>
  <si>
    <t>Witts July CMH Number Served</t>
  </si>
  <si>
    <t>Witts July AMH Number Served</t>
  </si>
  <si>
    <t>July AMH Number Served</t>
  </si>
  <si>
    <t>AMH FY 13 Clients Served</t>
  </si>
  <si>
    <t>July CMH Number Served</t>
  </si>
  <si>
    <t>CMH FY 13 Clients Served</t>
  </si>
  <si>
    <t>Number of adults served SFY2013</t>
  </si>
  <si>
    <t>Number of children served SFY2013</t>
  </si>
  <si>
    <t>SFY2013</t>
  </si>
  <si>
    <t>SFY2013 County Total</t>
  </si>
  <si>
    <t>SFY2013 Regional Total</t>
  </si>
  <si>
    <t>Admission / Discharge</t>
  </si>
  <si>
    <t>From 8/1/2012 12:00:00 AM To 8/31/2012 12:00:00 AM</t>
  </si>
  <si>
    <t>From 7/1/2012 12:00:00 AM To 8/31/2012 12:00:00 AM</t>
  </si>
  <si>
    <t>AMH Admissions</t>
  </si>
  <si>
    <t>AMH Discharges</t>
  </si>
  <si>
    <t>CMH Admissions</t>
  </si>
  <si>
    <t>CMH Discharges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</si>
</sst>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mmm\-yyyy;@"/>
    <numFmt numFmtId="165" formatCode="_(* #,##0_);_(* \(#,##0\);_(* &quot;-&quot;??_);_(@_)"/>
    <numFmt numFmtId="166" formatCode="[$-10409]#,##0;\-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0"/>
      <color indexed="9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Tahoma"/>
      <charset val="1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sz val="14"/>
      <color theme="1"/>
      <name val="Calibri"/>
      <family val="2"/>
      <scheme val="minor"/>
    </font>
    <font>
      <b/>
      <sz val="20"/>
      <color indexed="8"/>
      <name val="Arial"/>
      <family val="2"/>
    </font>
    <font>
      <sz val="2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rgb="FF003399"/>
        <bgColor indexed="64"/>
      </patternFill>
    </fill>
    <fill>
      <patternFill patternType="solid">
        <fgColor rgb="FF003399"/>
        <bgColor indexed="9"/>
      </patternFill>
    </fill>
    <fill>
      <patternFill patternType="solid">
        <fgColor indexed="14"/>
        <bgColor indexed="9"/>
      </patternFill>
    </fill>
    <fill>
      <patternFill patternType="solid">
        <fgColor indexed="45"/>
        <bgColor indexed="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32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0" xfId="0" applyBorder="1" applyAlignment="1">
      <alignment vertical="center" wrapText="1"/>
    </xf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4" borderId="14" xfId="0" applyFill="1" applyBorder="1"/>
    <xf numFmtId="0" fontId="0" fillId="4" borderId="0" xfId="0" applyFill="1" applyBorder="1"/>
    <xf numFmtId="0" fontId="0" fillId="4" borderId="2" xfId="0" applyFill="1" applyBorder="1"/>
    <xf numFmtId="0" fontId="0" fillId="4" borderId="12" xfId="0" applyFill="1" applyBorder="1"/>
    <xf numFmtId="0" fontId="0" fillId="0" borderId="0" xfId="0" applyAlignment="1">
      <alignment vertic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6" xfId="0" applyFill="1" applyBorder="1"/>
    <xf numFmtId="0" fontId="0" fillId="5" borderId="0" xfId="0" applyFill="1" applyBorder="1"/>
    <xf numFmtId="0" fontId="0" fillId="5" borderId="17" xfId="0" applyFill="1" applyBorder="1"/>
    <xf numFmtId="0" fontId="0" fillId="4" borderId="1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65" fontId="0" fillId="5" borderId="1" xfId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10" xfId="0" applyFill="1" applyBorder="1"/>
    <xf numFmtId="165" fontId="0" fillId="4" borderId="20" xfId="1" applyNumberFormat="1" applyFont="1" applyFill="1" applyBorder="1" applyAlignment="1">
      <alignment vertical="center"/>
    </xf>
    <xf numFmtId="165" fontId="0" fillId="4" borderId="12" xfId="1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wrapText="1"/>
    </xf>
    <xf numFmtId="0" fontId="0" fillId="5" borderId="10" xfId="0" applyFill="1" applyBorder="1"/>
    <xf numFmtId="0" fontId="0" fillId="0" borderId="9" xfId="0" applyFill="1" applyBorder="1" applyAlignment="1">
      <alignment wrapText="1"/>
    </xf>
    <xf numFmtId="164" fontId="0" fillId="0" borderId="14" xfId="0" applyNumberFormat="1" applyFill="1" applyBorder="1" applyAlignment="1"/>
    <xf numFmtId="3" fontId="0" fillId="0" borderId="8" xfId="0" applyNumberFormat="1" applyBorder="1"/>
    <xf numFmtId="0" fontId="3" fillId="5" borderId="14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wrapText="1"/>
    </xf>
    <xf numFmtId="0" fontId="3" fillId="4" borderId="3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vertical="center"/>
    </xf>
    <xf numFmtId="165" fontId="0" fillId="0" borderId="19" xfId="1" applyNumberFormat="1" applyFont="1" applyFill="1" applyBorder="1" applyAlignment="1">
      <alignment horizontal="center" vertical="center"/>
    </xf>
    <xf numFmtId="0" fontId="0" fillId="4" borderId="32" xfId="0" applyFill="1" applyBorder="1"/>
    <xf numFmtId="0" fontId="0" fillId="4" borderId="4" xfId="0" applyFill="1" applyBorder="1"/>
    <xf numFmtId="0" fontId="0" fillId="4" borderId="33" xfId="0" applyFill="1" applyBorder="1"/>
    <xf numFmtId="0" fontId="0" fillId="4" borderId="21" xfId="0" applyFill="1" applyBorder="1"/>
    <xf numFmtId="0" fontId="0" fillId="4" borderId="34" xfId="0" applyFill="1" applyBorder="1"/>
    <xf numFmtId="0" fontId="3" fillId="4" borderId="32" xfId="0" applyFont="1" applyFill="1" applyBorder="1" applyAlignment="1">
      <alignment horizontal="center" wrapText="1"/>
    </xf>
    <xf numFmtId="0" fontId="3" fillId="5" borderId="32" xfId="0" applyFont="1" applyFill="1" applyBorder="1" applyAlignment="1">
      <alignment horizontal="center" wrapText="1"/>
    </xf>
    <xf numFmtId="0" fontId="3" fillId="5" borderId="35" xfId="0" applyFont="1" applyFill="1" applyBorder="1" applyAlignment="1">
      <alignment horizontal="center" wrapText="1"/>
    </xf>
    <xf numFmtId="0" fontId="0" fillId="0" borderId="36" xfId="0" applyBorder="1"/>
    <xf numFmtId="0" fontId="0" fillId="0" borderId="28" xfId="0" applyBorder="1"/>
    <xf numFmtId="0" fontId="3" fillId="4" borderId="36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4" borderId="23" xfId="0" applyNumberFormat="1" applyFill="1" applyBorder="1"/>
    <xf numFmtId="1" fontId="0" fillId="4" borderId="37" xfId="0" applyNumberFormat="1" applyFill="1" applyBorder="1"/>
    <xf numFmtId="0" fontId="3" fillId="5" borderId="16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0" fillId="0" borderId="0" xfId="0" applyFill="1"/>
    <xf numFmtId="0" fontId="3" fillId="4" borderId="25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8" fillId="8" borderId="38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right" vertical="center"/>
    </xf>
    <xf numFmtId="3" fontId="0" fillId="4" borderId="1" xfId="0" applyNumberFormat="1" applyFill="1" applyBorder="1"/>
    <xf numFmtId="3" fontId="0" fillId="5" borderId="1" xfId="0" applyNumberFormat="1" applyFill="1" applyBorder="1"/>
    <xf numFmtId="1" fontId="7" fillId="7" borderId="38" xfId="0" applyNumberFormat="1" applyFont="1" applyFill="1" applyBorder="1" applyAlignment="1">
      <alignment horizontal="right"/>
    </xf>
    <xf numFmtId="1" fontId="7" fillId="7" borderId="38" xfId="0" applyNumberFormat="1" applyFont="1" applyFill="1" applyBorder="1" applyAlignment="1">
      <alignment horizontal="right" vertical="center"/>
    </xf>
    <xf numFmtId="3" fontId="9" fillId="4" borderId="13" xfId="2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9" fillId="5" borderId="13" xfId="2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3" fontId="9" fillId="5" borderId="14" xfId="2" applyNumberFormat="1" applyFont="1" applyFill="1" applyBorder="1" applyAlignment="1">
      <alignment horizontal="center" vertical="center"/>
    </xf>
    <xf numFmtId="1" fontId="0" fillId="4" borderId="1" xfId="1" applyNumberFormat="1" applyFont="1" applyFill="1" applyBorder="1" applyAlignment="1">
      <alignment horizontal="center" vertical="center"/>
    </xf>
    <xf numFmtId="3" fontId="0" fillId="0" borderId="1" xfId="0" applyNumberFormat="1" applyBorder="1"/>
    <xf numFmtId="0" fontId="10" fillId="7" borderId="0" xfId="0" applyFont="1" applyFill="1" applyAlignment="1">
      <alignment vertical="center"/>
    </xf>
    <xf numFmtId="0" fontId="8" fillId="8" borderId="38" xfId="0" applyFont="1" applyFill="1" applyBorder="1" applyAlignment="1">
      <alignment horizontal="left"/>
    </xf>
    <xf numFmtId="0" fontId="10" fillId="7" borderId="0" xfId="0" applyFont="1" applyFill="1" applyAlignment="1">
      <alignment vertical="center" wrapText="1"/>
    </xf>
    <xf numFmtId="1" fontId="0" fillId="5" borderId="1" xfId="0" applyNumberFormat="1" applyFill="1" applyBorder="1" applyAlignment="1">
      <alignment horizontal="center" vertical="center"/>
    </xf>
    <xf numFmtId="3" fontId="7" fillId="7" borderId="38" xfId="0" applyNumberFormat="1" applyFont="1" applyFill="1" applyBorder="1" applyAlignment="1">
      <alignment horizontal="right"/>
    </xf>
    <xf numFmtId="0" fontId="0" fillId="4" borderId="11" xfId="0" applyFill="1" applyBorder="1"/>
    <xf numFmtId="0" fontId="0" fillId="0" borderId="11" xfId="0" applyBorder="1"/>
    <xf numFmtId="3" fontId="6" fillId="0" borderId="1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7" fontId="0" fillId="4" borderId="11" xfId="1" applyNumberFormat="1" applyFont="1" applyFill="1" applyBorder="1" applyAlignment="1">
      <alignment horizontal="center" vertical="center"/>
    </xf>
    <xf numFmtId="37" fontId="0" fillId="4" borderId="40" xfId="1" applyNumberFormat="1" applyFont="1" applyFill="1" applyBorder="1" applyAlignment="1">
      <alignment horizontal="center" vertical="center"/>
    </xf>
    <xf numFmtId="37" fontId="0" fillId="5" borderId="7" xfId="1" applyNumberFormat="1" applyFont="1" applyFill="1" applyBorder="1" applyAlignment="1">
      <alignment horizontal="center" vertical="center"/>
    </xf>
    <xf numFmtId="37" fontId="0" fillId="5" borderId="39" xfId="1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" fontId="0" fillId="4" borderId="11" xfId="1" applyNumberFormat="1" applyFont="1" applyFill="1" applyBorder="1" applyAlignment="1">
      <alignment horizontal="center" vertical="center"/>
    </xf>
    <xf numFmtId="1" fontId="0" fillId="4" borderId="40" xfId="1" applyNumberFormat="1" applyFont="1" applyFill="1" applyBorder="1" applyAlignment="1">
      <alignment horizontal="center" vertical="center"/>
    </xf>
    <xf numFmtId="1" fontId="0" fillId="5" borderId="24" xfId="1" applyNumberFormat="1" applyFont="1" applyFill="1" applyBorder="1" applyAlignment="1">
      <alignment horizontal="center" vertical="center"/>
    </xf>
    <xf numFmtId="1" fontId="0" fillId="5" borderId="39" xfId="1" applyNumberFormat="1" applyFont="1" applyFill="1" applyBorder="1" applyAlignment="1">
      <alignment horizontal="center" vertical="center"/>
    </xf>
    <xf numFmtId="0" fontId="11" fillId="8" borderId="38" xfId="0" applyFont="1" applyFill="1" applyBorder="1" applyAlignment="1">
      <alignment horizontal="left" wrapText="1"/>
    </xf>
    <xf numFmtId="0" fontId="11" fillId="8" borderId="38" xfId="0" applyFont="1" applyFill="1" applyBorder="1" applyAlignment="1">
      <alignment horizontal="left" vertical="center" wrapText="1"/>
    </xf>
    <xf numFmtId="3" fontId="0" fillId="0" borderId="0" xfId="0" applyNumberFormat="1"/>
    <xf numFmtId="3" fontId="9" fillId="5" borderId="1" xfId="2" applyNumberFormat="1" applyFont="1" applyFill="1" applyBorder="1" applyAlignment="1">
      <alignment horizontal="center" vertical="center"/>
    </xf>
    <xf numFmtId="3" fontId="9" fillId="4" borderId="1" xfId="2" applyNumberFormat="1" applyFont="1" applyFill="1" applyBorder="1" applyAlignment="1">
      <alignment horizontal="center" vertical="center"/>
    </xf>
    <xf numFmtId="1" fontId="9" fillId="5" borderId="1" xfId="2" applyNumberFormat="1" applyFont="1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7" fillId="7" borderId="38" xfId="0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12" fillId="9" borderId="0" xfId="0" applyFont="1" applyFill="1" applyAlignment="1">
      <alignment wrapText="1"/>
    </xf>
    <xf numFmtId="0" fontId="8" fillId="10" borderId="38" xfId="0" applyFont="1" applyFill="1" applyBorder="1" applyAlignment="1">
      <alignment horizontal="left" wrapText="1"/>
    </xf>
    <xf numFmtId="0" fontId="8" fillId="10" borderId="38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 applyProtection="1">
      <alignment vertical="top" wrapText="1"/>
      <protection locked="0"/>
    </xf>
    <xf numFmtId="0" fontId="14" fillId="0" borderId="1" xfId="0" applyFont="1" applyFill="1" applyBorder="1" applyAlignment="1" applyProtection="1">
      <alignment vertical="top" wrapText="1" readingOrder="1"/>
      <protection locked="0"/>
    </xf>
    <xf numFmtId="166" fontId="14" fillId="0" borderId="1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Border="1" applyAlignment="1">
      <alignment wrapText="1"/>
    </xf>
    <xf numFmtId="0" fontId="15" fillId="7" borderId="0" xfId="0" applyFont="1" applyFill="1" applyAlignment="1">
      <alignment vertical="center" wrapText="1"/>
    </xf>
    <xf numFmtId="0" fontId="17" fillId="0" borderId="0" xfId="0" applyFont="1" applyAlignment="1">
      <alignment wrapText="1"/>
    </xf>
    <xf numFmtId="0" fontId="16" fillId="8" borderId="38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1" fontId="0" fillId="4" borderId="42" xfId="0" applyNumberFormat="1" applyFill="1" applyBorder="1"/>
    <xf numFmtId="0" fontId="0" fillId="4" borderId="2" xfId="0" applyFill="1" applyBorder="1" applyAlignment="1">
      <alignment horizontal="center" vertical="center"/>
    </xf>
    <xf numFmtId="3" fontId="0" fillId="5" borderId="1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1" fontId="0" fillId="4" borderId="43" xfId="0" applyNumberFormat="1" applyFill="1" applyBorder="1"/>
    <xf numFmtId="0" fontId="4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/>
    </xf>
    <xf numFmtId="3" fontId="0" fillId="0" borderId="8" xfId="0" applyNumberFormat="1" applyFill="1" applyBorder="1"/>
    <xf numFmtId="0" fontId="0" fillId="0" borderId="1" xfId="0" applyBorder="1"/>
    <xf numFmtId="1" fontId="19" fillId="7" borderId="1" xfId="0" applyNumberFormat="1" applyFont="1" applyFill="1" applyBorder="1" applyAlignment="1">
      <alignment horizontal="right" vertical="center" wrapText="1"/>
    </xf>
    <xf numFmtId="0" fontId="19" fillId="7" borderId="1" xfId="0" applyFont="1" applyFill="1" applyBorder="1" applyAlignment="1">
      <alignment horizontal="right" vertical="center" wrapText="1"/>
    </xf>
    <xf numFmtId="1" fontId="19" fillId="7" borderId="38" xfId="0" applyNumberFormat="1" applyFont="1" applyFill="1" applyBorder="1" applyAlignment="1">
      <alignment horizontal="right" vertical="center" wrapText="1"/>
    </xf>
    <xf numFmtId="0" fontId="19" fillId="7" borderId="38" xfId="0" applyFont="1" applyFill="1" applyBorder="1" applyAlignment="1">
      <alignment horizontal="right" vertical="center" wrapText="1"/>
    </xf>
    <xf numFmtId="165" fontId="0" fillId="4" borderId="8" xfId="1" applyNumberFormat="1" applyFont="1" applyFill="1" applyBorder="1" applyAlignment="1">
      <alignment horizontal="center" vertical="center"/>
    </xf>
    <xf numFmtId="165" fontId="0" fillId="4" borderId="9" xfId="1" applyNumberFormat="1" applyFont="1" applyFill="1" applyBorder="1" applyAlignment="1">
      <alignment horizontal="center" vertical="center"/>
    </xf>
    <xf numFmtId="165" fontId="0" fillId="4" borderId="10" xfId="1" applyNumberFormat="1" applyFont="1" applyFill="1" applyBorder="1" applyAlignment="1">
      <alignment horizontal="center" vertical="center"/>
    </xf>
    <xf numFmtId="165" fontId="0" fillId="4" borderId="15" xfId="1" applyNumberFormat="1" applyFont="1" applyFill="1" applyBorder="1" applyAlignment="1">
      <alignment horizontal="center" vertical="center"/>
    </xf>
    <xf numFmtId="165" fontId="0" fillId="4" borderId="17" xfId="1" applyNumberFormat="1" applyFont="1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17" fontId="2" fillId="6" borderId="0" xfId="0" applyNumberFormat="1" applyFont="1" applyFill="1" applyAlignment="1">
      <alignment horizontal="center" vertical="center" wrapText="1"/>
    </xf>
    <xf numFmtId="17" fontId="2" fillId="6" borderId="17" xfId="0" applyNumberFormat="1" applyFont="1" applyFill="1" applyBorder="1" applyAlignment="1">
      <alignment horizontal="center" vertical="center" wrapText="1"/>
    </xf>
    <xf numFmtId="17" fontId="2" fillId="6" borderId="19" xfId="0" applyNumberFormat="1" applyFont="1" applyFill="1" applyBorder="1" applyAlignment="1">
      <alignment horizontal="center" vertical="center" wrapText="1"/>
    </xf>
    <xf numFmtId="17" fontId="2" fillId="6" borderId="20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64" fontId="0" fillId="4" borderId="13" xfId="0" applyNumberForma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7" fontId="2" fillId="0" borderId="0" xfId="0" applyNumberFormat="1" applyFont="1" applyAlignment="1">
      <alignment horizontal="center" vertical="center" wrapText="1"/>
    </xf>
    <xf numFmtId="17" fontId="2" fillId="0" borderId="17" xfId="0" applyNumberFormat="1" applyFont="1" applyBorder="1" applyAlignment="1">
      <alignment horizontal="center" vertical="center" wrapText="1"/>
    </xf>
    <xf numFmtId="17" fontId="2" fillId="0" borderId="0" xfId="0" applyNumberFormat="1" applyFont="1" applyBorder="1" applyAlignment="1">
      <alignment horizontal="center" vertical="center" wrapText="1"/>
    </xf>
    <xf numFmtId="17" fontId="2" fillId="0" borderId="19" xfId="0" applyNumberFormat="1" applyFont="1" applyBorder="1" applyAlignment="1">
      <alignment horizontal="center" vertical="center" wrapText="1"/>
    </xf>
    <xf numFmtId="37" fontId="0" fillId="5" borderId="22" xfId="1" applyNumberFormat="1" applyFont="1" applyFill="1" applyBorder="1" applyAlignment="1">
      <alignment horizontal="center" vertical="center"/>
    </xf>
    <xf numFmtId="37" fontId="0" fillId="5" borderId="5" xfId="1" applyNumberFormat="1" applyFont="1" applyFill="1" applyBorder="1" applyAlignment="1">
      <alignment horizontal="center" vertical="center"/>
    </xf>
    <xf numFmtId="37" fontId="0" fillId="5" borderId="24" xfId="1" applyNumberFormat="1" applyFont="1" applyFill="1" applyBorder="1" applyAlignment="1">
      <alignment horizontal="center" vertical="center"/>
    </xf>
    <xf numFmtId="1" fontId="0" fillId="5" borderId="24" xfId="1" applyNumberFormat="1" applyFont="1" applyFill="1" applyBorder="1" applyAlignment="1">
      <alignment horizontal="center" vertical="center"/>
    </xf>
    <xf numFmtId="1" fontId="0" fillId="5" borderId="7" xfId="1" applyNumberFormat="1" applyFont="1" applyFill="1" applyBorder="1" applyAlignment="1">
      <alignment horizontal="center" vertical="center"/>
    </xf>
    <xf numFmtId="1" fontId="0" fillId="5" borderId="39" xfId="1" applyNumberFormat="1" applyFont="1" applyFill="1" applyBorder="1" applyAlignment="1">
      <alignment horizontal="center" vertical="center"/>
    </xf>
    <xf numFmtId="37" fontId="0" fillId="4" borderId="14" xfId="1" applyNumberFormat="1" applyFont="1" applyFill="1" applyBorder="1" applyAlignment="1">
      <alignment horizontal="center" vertical="center"/>
    </xf>
    <xf numFmtId="37" fontId="0" fillId="4" borderId="0" xfId="1" applyNumberFormat="1" applyFont="1" applyFill="1" applyBorder="1" applyAlignment="1">
      <alignment horizontal="center" vertical="center"/>
    </xf>
    <xf numFmtId="37" fontId="0" fillId="4" borderId="19" xfId="1" applyNumberFormat="1" applyFont="1" applyFill="1" applyBorder="1" applyAlignment="1">
      <alignment horizontal="center" vertical="center"/>
    </xf>
    <xf numFmtId="1" fontId="0" fillId="4" borderId="11" xfId="1" applyNumberFormat="1" applyFont="1" applyFill="1" applyBorder="1" applyAlignment="1">
      <alignment horizontal="center" vertical="center"/>
    </xf>
    <xf numFmtId="1" fontId="0" fillId="5" borderId="41" xfId="1" applyNumberFormat="1" applyFont="1" applyFill="1" applyBorder="1" applyAlignment="1">
      <alignment horizontal="center" vertical="center"/>
    </xf>
    <xf numFmtId="1" fontId="0" fillId="5" borderId="22" xfId="1" applyNumberFormat="1" applyFont="1" applyFill="1" applyBorder="1" applyAlignment="1">
      <alignment horizontal="center" vertical="center"/>
    </xf>
    <xf numFmtId="1" fontId="0" fillId="4" borderId="32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4" borderId="30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31" xfId="0" applyNumberForma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25" xfId="0" applyNumberFormat="1" applyFill="1" applyBorder="1" applyAlignment="1">
      <alignment horizontal="center" vertical="center"/>
    </xf>
    <xf numFmtId="164" fontId="0" fillId="4" borderId="27" xfId="0" applyNumberForma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1" fontId="0" fillId="4" borderId="23" xfId="0" applyNumberForma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8" fillId="11" borderId="38" xfId="0" applyFont="1" applyFill="1" applyBorder="1" applyAlignment="1">
      <alignment horizontal="center" vertical="center" wrapText="1"/>
    </xf>
    <xf numFmtId="0" fontId="18" fillId="12" borderId="38" xfId="0" applyFont="1" applyFill="1" applyBorder="1" applyAlignment="1">
      <alignment horizontal="left" vertical="center" wrapText="1"/>
    </xf>
    <xf numFmtId="3" fontId="0" fillId="4" borderId="8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65" fontId="0" fillId="5" borderId="8" xfId="1" applyNumberFormat="1" applyFont="1" applyFill="1" applyBorder="1" applyAlignment="1">
      <alignment horizontal="center" vertical="center"/>
    </xf>
    <xf numFmtId="165" fontId="0" fillId="5" borderId="9" xfId="1" applyNumberFormat="1" applyFont="1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horizontal="center" vertical="center"/>
    </xf>
    <xf numFmtId="37" fontId="0" fillId="4" borderId="8" xfId="1" applyNumberFormat="1" applyFont="1" applyFill="1" applyBorder="1" applyAlignment="1">
      <alignment horizontal="center" vertical="center"/>
    </xf>
    <xf numFmtId="37" fontId="0" fillId="4" borderId="9" xfId="1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0" fillId="5" borderId="8" xfId="1" applyNumberFormat="1" applyFont="1" applyFill="1" applyBorder="1" applyAlignment="1">
      <alignment horizontal="center" vertical="center"/>
    </xf>
    <xf numFmtId="1" fontId="0" fillId="5" borderId="9" xfId="1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colors>
    <mruColors>
      <color rgb="FF003399"/>
      <color rgb="FFFFCC99"/>
      <color rgb="FFFFCC66"/>
      <color rgb="FF66FF66"/>
      <color rgb="FF99FF66"/>
      <color rgb="FF8AFABF"/>
      <color rgb="FF99FF99"/>
      <color rgb="FFFFFFCC"/>
      <color rgb="FFFFFF99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0"/>
  <sheetViews>
    <sheetView zoomScale="70" zoomScaleNormal="70" workbookViewId="0">
      <selection activeCell="U12" sqref="U12"/>
    </sheetView>
  </sheetViews>
  <sheetFormatPr defaultRowHeight="15" x14ac:dyDescent="0.25"/>
  <cols>
    <col min="1" max="1" width="15.140625" customWidth="1"/>
    <col min="2" max="2" width="12.28515625" bestFit="1" customWidth="1"/>
    <col min="8" max="8" width="10" customWidth="1"/>
    <col min="14" max="14" width="10.7109375" bestFit="1" customWidth="1"/>
  </cols>
  <sheetData>
    <row r="1" spans="1:14" ht="36" customHeight="1" x14ac:dyDescent="0.25">
      <c r="A1" s="145">
        <v>41122</v>
      </c>
      <c r="B1" s="146"/>
      <c r="C1" s="155" t="s">
        <v>52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7"/>
    </row>
    <row r="2" spans="1:14" x14ac:dyDescent="0.25">
      <c r="A2" s="145"/>
      <c r="B2" s="146"/>
      <c r="C2" s="152">
        <f>A1</f>
        <v>41122</v>
      </c>
      <c r="D2" s="153"/>
      <c r="E2" s="153"/>
      <c r="F2" s="153"/>
      <c r="G2" s="153"/>
      <c r="H2" s="154"/>
      <c r="I2" s="158" t="s">
        <v>88</v>
      </c>
      <c r="J2" s="159"/>
      <c r="K2" s="159"/>
      <c r="L2" s="159"/>
      <c r="M2" s="159"/>
      <c r="N2" s="160"/>
    </row>
    <row r="3" spans="1:14" ht="45" x14ac:dyDescent="0.25">
      <c r="A3" s="145"/>
      <c r="B3" s="146"/>
      <c r="C3" s="6" t="s">
        <v>54</v>
      </c>
      <c r="D3" s="7" t="s">
        <v>55</v>
      </c>
      <c r="E3" s="7" t="s">
        <v>56</v>
      </c>
      <c r="F3" s="7" t="s">
        <v>57</v>
      </c>
      <c r="G3" s="30" t="s">
        <v>58</v>
      </c>
      <c r="H3" s="30" t="s">
        <v>59</v>
      </c>
      <c r="I3" s="8" t="s">
        <v>54</v>
      </c>
      <c r="J3" s="8" t="s">
        <v>55</v>
      </c>
      <c r="K3" s="8" t="s">
        <v>56</v>
      </c>
      <c r="L3" s="8" t="s">
        <v>57</v>
      </c>
      <c r="M3" s="34" t="s">
        <v>58</v>
      </c>
      <c r="N3" s="9" t="s">
        <v>59</v>
      </c>
    </row>
    <row r="4" spans="1:14" ht="11.25" customHeight="1" x14ac:dyDescent="0.25">
      <c r="A4" s="147"/>
      <c r="B4" s="148"/>
      <c r="C4" s="20"/>
      <c r="D4" s="11"/>
      <c r="E4" s="11"/>
      <c r="F4" s="11"/>
      <c r="G4" s="31"/>
      <c r="H4" s="31"/>
      <c r="I4" s="21"/>
      <c r="J4" s="21"/>
      <c r="K4" s="21"/>
      <c r="L4" s="21"/>
      <c r="M4" s="35"/>
      <c r="N4" s="22"/>
    </row>
    <row r="5" spans="1:14" x14ac:dyDescent="0.25">
      <c r="A5" s="149" t="s">
        <v>0</v>
      </c>
      <c r="B5" s="10" t="s">
        <v>8</v>
      </c>
      <c r="C5" s="87"/>
      <c r="D5" s="87"/>
      <c r="E5" s="87"/>
      <c r="F5" s="87"/>
      <c r="G5" s="38">
        <f>SUM(C5:F5)</f>
        <v>0</v>
      </c>
      <c r="H5" s="139">
        <f>SUM(C5:F9)</f>
        <v>58</v>
      </c>
      <c r="I5" s="87">
        <v>0</v>
      </c>
      <c r="J5" s="87">
        <v>0</v>
      </c>
      <c r="K5" s="87">
        <v>0</v>
      </c>
      <c r="L5" s="87">
        <v>0</v>
      </c>
      <c r="M5" s="38">
        <f t="shared" ref="M5:M49" si="0">SUM(I5:L5)</f>
        <v>0</v>
      </c>
      <c r="N5" s="142">
        <f>SUM(I5:L9)</f>
        <v>102</v>
      </c>
    </row>
    <row r="6" spans="1:14" x14ac:dyDescent="0.25">
      <c r="A6" s="150"/>
      <c r="B6" s="11" t="s">
        <v>9</v>
      </c>
      <c r="C6" s="87">
        <v>1</v>
      </c>
      <c r="D6" s="87">
        <v>8</v>
      </c>
      <c r="E6" s="87"/>
      <c r="F6" s="87"/>
      <c r="G6" s="38">
        <f t="shared" ref="G6:G49" si="1">SUM(C6:F6)</f>
        <v>9</v>
      </c>
      <c r="H6" s="140"/>
      <c r="I6" s="87">
        <v>1</v>
      </c>
      <c r="J6" s="87">
        <v>14</v>
      </c>
      <c r="K6" s="87">
        <v>0</v>
      </c>
      <c r="L6" s="87">
        <v>0</v>
      </c>
      <c r="M6" s="38">
        <f t="shared" si="0"/>
        <v>15</v>
      </c>
      <c r="N6" s="143"/>
    </row>
    <row r="7" spans="1:14" x14ac:dyDescent="0.25">
      <c r="A7" s="150"/>
      <c r="B7" s="11" t="s">
        <v>10</v>
      </c>
      <c r="C7" s="132"/>
      <c r="D7" s="132"/>
      <c r="E7" s="132"/>
      <c r="F7" s="132"/>
      <c r="G7" s="133">
        <f t="shared" si="1"/>
        <v>0</v>
      </c>
      <c r="H7" s="140"/>
      <c r="I7" s="132">
        <v>0</v>
      </c>
      <c r="J7" s="132">
        <v>0</v>
      </c>
      <c r="K7" s="132">
        <v>0</v>
      </c>
      <c r="L7" s="132">
        <v>0</v>
      </c>
      <c r="M7" s="38">
        <f t="shared" si="0"/>
        <v>0</v>
      </c>
      <c r="N7" s="143"/>
    </row>
    <row r="8" spans="1:14" x14ac:dyDescent="0.25">
      <c r="A8" s="150"/>
      <c r="B8" s="11" t="s">
        <v>11</v>
      </c>
      <c r="C8" s="87">
        <v>15</v>
      </c>
      <c r="D8" s="87">
        <v>27</v>
      </c>
      <c r="E8" s="87">
        <v>1</v>
      </c>
      <c r="F8" s="87">
        <v>5</v>
      </c>
      <c r="G8" s="38">
        <f t="shared" si="1"/>
        <v>48</v>
      </c>
      <c r="H8" s="140"/>
      <c r="I8" s="87">
        <v>20</v>
      </c>
      <c r="J8" s="87">
        <v>48</v>
      </c>
      <c r="K8" s="87">
        <v>1</v>
      </c>
      <c r="L8" s="87">
        <v>15</v>
      </c>
      <c r="M8" s="38">
        <f t="shared" si="0"/>
        <v>84</v>
      </c>
      <c r="N8" s="143"/>
    </row>
    <row r="9" spans="1:14" x14ac:dyDescent="0.25">
      <c r="A9" s="151"/>
      <c r="B9" s="11" t="s">
        <v>12</v>
      </c>
      <c r="C9" s="87">
        <v>1</v>
      </c>
      <c r="D9" s="87"/>
      <c r="E9" s="87"/>
      <c r="F9" s="87"/>
      <c r="G9" s="38">
        <f t="shared" si="1"/>
        <v>1</v>
      </c>
      <c r="H9" s="141"/>
      <c r="I9" s="87">
        <v>2</v>
      </c>
      <c r="J9" s="87">
        <v>1</v>
      </c>
      <c r="K9" s="87">
        <v>0</v>
      </c>
      <c r="L9" s="87">
        <v>0</v>
      </c>
      <c r="M9" s="38">
        <f t="shared" si="0"/>
        <v>3</v>
      </c>
      <c r="N9" s="144"/>
    </row>
    <row r="10" spans="1:14" x14ac:dyDescent="0.25">
      <c r="A10" s="149" t="s">
        <v>1</v>
      </c>
      <c r="B10" s="10" t="s">
        <v>14</v>
      </c>
      <c r="C10" s="87">
        <v>1</v>
      </c>
      <c r="D10" s="87"/>
      <c r="E10" s="87"/>
      <c r="F10" s="87"/>
      <c r="G10" s="38">
        <f t="shared" si="1"/>
        <v>1</v>
      </c>
      <c r="H10" s="139">
        <f>SUM(C10:F14)</f>
        <v>15</v>
      </c>
      <c r="I10" s="87">
        <v>1</v>
      </c>
      <c r="J10" s="87">
        <v>0</v>
      </c>
      <c r="K10" s="87">
        <v>0</v>
      </c>
      <c r="L10" s="87">
        <v>1</v>
      </c>
      <c r="M10" s="38">
        <f t="shared" si="0"/>
        <v>2</v>
      </c>
      <c r="N10" s="142">
        <f>SUM(I10:L14)</f>
        <v>33</v>
      </c>
    </row>
    <row r="11" spans="1:14" x14ac:dyDescent="0.25">
      <c r="A11" s="150"/>
      <c r="B11" s="11" t="s">
        <v>15</v>
      </c>
      <c r="C11" s="87"/>
      <c r="D11" s="87"/>
      <c r="E11" s="87">
        <v>1</v>
      </c>
      <c r="F11" s="87"/>
      <c r="G11" s="38">
        <f t="shared" si="1"/>
        <v>1</v>
      </c>
      <c r="H11" s="140"/>
      <c r="I11" s="87">
        <v>0</v>
      </c>
      <c r="J11" s="87">
        <v>0</v>
      </c>
      <c r="K11" s="87">
        <v>3</v>
      </c>
      <c r="L11" s="87">
        <v>0</v>
      </c>
      <c r="M11" s="38">
        <f t="shared" si="0"/>
        <v>3</v>
      </c>
      <c r="N11" s="143"/>
    </row>
    <row r="12" spans="1:14" x14ac:dyDescent="0.25">
      <c r="A12" s="150"/>
      <c r="B12" s="11" t="s">
        <v>16</v>
      </c>
      <c r="C12" s="87"/>
      <c r="D12" s="87">
        <v>2</v>
      </c>
      <c r="E12" s="87"/>
      <c r="F12" s="87"/>
      <c r="G12" s="38">
        <f t="shared" si="1"/>
        <v>2</v>
      </c>
      <c r="H12" s="140"/>
      <c r="I12" s="87">
        <v>2</v>
      </c>
      <c r="J12" s="87">
        <v>2</v>
      </c>
      <c r="K12" s="87">
        <v>2</v>
      </c>
      <c r="L12" s="87">
        <v>0</v>
      </c>
      <c r="M12" s="38">
        <f t="shared" si="0"/>
        <v>6</v>
      </c>
      <c r="N12" s="143"/>
    </row>
    <row r="13" spans="1:14" x14ac:dyDescent="0.25">
      <c r="A13" s="150"/>
      <c r="B13" s="11" t="s">
        <v>17</v>
      </c>
      <c r="C13" s="87"/>
      <c r="D13" s="87"/>
      <c r="E13" s="87"/>
      <c r="F13" s="87"/>
      <c r="G13" s="38">
        <f t="shared" si="1"/>
        <v>0</v>
      </c>
      <c r="H13" s="140"/>
      <c r="I13" s="87">
        <v>0</v>
      </c>
      <c r="J13" s="87">
        <v>0</v>
      </c>
      <c r="K13" s="87">
        <v>0</v>
      </c>
      <c r="L13" s="87">
        <v>0</v>
      </c>
      <c r="M13" s="38">
        <f t="shared" si="0"/>
        <v>0</v>
      </c>
      <c r="N13" s="143"/>
    </row>
    <row r="14" spans="1:14" x14ac:dyDescent="0.25">
      <c r="A14" s="151"/>
      <c r="B14" s="11" t="s">
        <v>18</v>
      </c>
      <c r="C14" s="87">
        <v>7</v>
      </c>
      <c r="D14" s="87">
        <v>3</v>
      </c>
      <c r="E14" s="87"/>
      <c r="F14" s="87">
        <v>1</v>
      </c>
      <c r="G14" s="38">
        <f t="shared" si="1"/>
        <v>11</v>
      </c>
      <c r="H14" s="141"/>
      <c r="I14" s="87">
        <v>13</v>
      </c>
      <c r="J14" s="87">
        <v>8</v>
      </c>
      <c r="K14" s="87">
        <v>0</v>
      </c>
      <c r="L14" s="87">
        <v>1</v>
      </c>
      <c r="M14" s="38">
        <f t="shared" si="0"/>
        <v>22</v>
      </c>
      <c r="N14" s="144"/>
    </row>
    <row r="15" spans="1:14" x14ac:dyDescent="0.25">
      <c r="A15" s="149" t="s">
        <v>2</v>
      </c>
      <c r="B15" s="10" t="s">
        <v>19</v>
      </c>
      <c r="C15" s="87">
        <v>1</v>
      </c>
      <c r="D15" s="87">
        <v>1</v>
      </c>
      <c r="E15" s="87"/>
      <c r="F15" s="87"/>
      <c r="G15" s="38">
        <f t="shared" si="1"/>
        <v>2</v>
      </c>
      <c r="H15" s="139">
        <f>SUM(C15:F20)</f>
        <v>86</v>
      </c>
      <c r="I15" s="87">
        <v>2</v>
      </c>
      <c r="J15" s="87">
        <v>1</v>
      </c>
      <c r="K15" s="87">
        <v>0</v>
      </c>
      <c r="L15" s="87">
        <v>0</v>
      </c>
      <c r="M15" s="38">
        <f t="shared" si="0"/>
        <v>3</v>
      </c>
      <c r="N15" s="142">
        <f>SUM(I15:L20)</f>
        <v>183</v>
      </c>
    </row>
    <row r="16" spans="1:14" x14ac:dyDescent="0.25">
      <c r="A16" s="150"/>
      <c r="B16" s="11" t="s">
        <v>20</v>
      </c>
      <c r="C16" s="87">
        <v>30</v>
      </c>
      <c r="D16" s="87">
        <v>41</v>
      </c>
      <c r="E16" s="87"/>
      <c r="F16" s="87">
        <v>1</v>
      </c>
      <c r="G16" s="38">
        <f t="shared" si="1"/>
        <v>72</v>
      </c>
      <c r="H16" s="140"/>
      <c r="I16" s="87">
        <v>68</v>
      </c>
      <c r="J16" s="87">
        <v>84</v>
      </c>
      <c r="K16" s="87">
        <v>0</v>
      </c>
      <c r="L16" s="87">
        <v>3</v>
      </c>
      <c r="M16" s="38">
        <f t="shared" si="0"/>
        <v>155</v>
      </c>
      <c r="N16" s="143"/>
    </row>
    <row r="17" spans="1:14" x14ac:dyDescent="0.25">
      <c r="A17" s="150"/>
      <c r="B17" s="11" t="s">
        <v>21</v>
      </c>
      <c r="C17" s="87">
        <v>4</v>
      </c>
      <c r="D17" s="87">
        <v>3</v>
      </c>
      <c r="E17" s="87"/>
      <c r="F17" s="87"/>
      <c r="G17" s="38">
        <f t="shared" si="1"/>
        <v>7</v>
      </c>
      <c r="H17" s="140"/>
      <c r="I17" s="87">
        <v>7</v>
      </c>
      <c r="J17" s="87">
        <v>5</v>
      </c>
      <c r="K17" s="87">
        <v>0</v>
      </c>
      <c r="L17" s="87">
        <v>0</v>
      </c>
      <c r="M17" s="38">
        <f t="shared" si="0"/>
        <v>12</v>
      </c>
      <c r="N17" s="143"/>
    </row>
    <row r="18" spans="1:14" x14ac:dyDescent="0.25">
      <c r="A18" s="150"/>
      <c r="B18" s="11" t="s">
        <v>22</v>
      </c>
      <c r="C18" s="87">
        <v>1</v>
      </c>
      <c r="D18" s="87"/>
      <c r="E18" s="87"/>
      <c r="F18" s="87"/>
      <c r="G18" s="38">
        <f t="shared" si="1"/>
        <v>1</v>
      </c>
      <c r="H18" s="140"/>
      <c r="I18" s="87">
        <v>3</v>
      </c>
      <c r="J18" s="87">
        <v>0</v>
      </c>
      <c r="K18" s="87">
        <v>0</v>
      </c>
      <c r="L18" s="87">
        <v>0</v>
      </c>
      <c r="M18" s="38">
        <f t="shared" si="0"/>
        <v>3</v>
      </c>
      <c r="N18" s="143"/>
    </row>
    <row r="19" spans="1:14" x14ac:dyDescent="0.25">
      <c r="A19" s="150"/>
      <c r="B19" s="11" t="s">
        <v>23</v>
      </c>
      <c r="C19" s="87"/>
      <c r="D19" s="87">
        <v>1</v>
      </c>
      <c r="E19" s="87"/>
      <c r="F19" s="87"/>
      <c r="G19" s="38">
        <f t="shared" si="1"/>
        <v>1</v>
      </c>
      <c r="H19" s="140"/>
      <c r="I19" s="87">
        <v>1</v>
      </c>
      <c r="J19" s="87">
        <v>3</v>
      </c>
      <c r="K19" s="87">
        <v>0</v>
      </c>
      <c r="L19" s="87">
        <v>0</v>
      </c>
      <c r="M19" s="38">
        <f t="shared" si="0"/>
        <v>4</v>
      </c>
      <c r="N19" s="143"/>
    </row>
    <row r="20" spans="1:14" x14ac:dyDescent="0.25">
      <c r="A20" s="151"/>
      <c r="B20" s="11" t="s">
        <v>24</v>
      </c>
      <c r="C20" s="87">
        <v>1</v>
      </c>
      <c r="D20" s="87">
        <v>2</v>
      </c>
      <c r="E20" s="87"/>
      <c r="F20" s="87"/>
      <c r="G20" s="38">
        <f t="shared" si="1"/>
        <v>3</v>
      </c>
      <c r="H20" s="141"/>
      <c r="I20" s="87">
        <v>2</v>
      </c>
      <c r="J20" s="87">
        <v>4</v>
      </c>
      <c r="K20" s="87">
        <v>0</v>
      </c>
      <c r="L20" s="87">
        <v>0</v>
      </c>
      <c r="M20" s="38">
        <f t="shared" si="0"/>
        <v>6</v>
      </c>
      <c r="N20" s="144"/>
    </row>
    <row r="21" spans="1:14" x14ac:dyDescent="0.25">
      <c r="A21" s="149" t="s">
        <v>3</v>
      </c>
      <c r="B21" s="10" t="s">
        <v>25</v>
      </c>
      <c r="C21" s="87">
        <v>97</v>
      </c>
      <c r="D21" s="87">
        <v>53</v>
      </c>
      <c r="E21" s="87">
        <v>10</v>
      </c>
      <c r="F21" s="87">
        <v>1</v>
      </c>
      <c r="G21" s="38">
        <f t="shared" si="1"/>
        <v>161</v>
      </c>
      <c r="H21" s="139">
        <f>SUM(C21:F24)</f>
        <v>173</v>
      </c>
      <c r="I21" s="87">
        <v>195</v>
      </c>
      <c r="J21" s="87">
        <v>109</v>
      </c>
      <c r="K21" s="87">
        <v>23</v>
      </c>
      <c r="L21" s="87">
        <v>2</v>
      </c>
      <c r="M21" s="38">
        <f t="shared" si="0"/>
        <v>329</v>
      </c>
      <c r="N21" s="142">
        <f>SUM(I21:L24)</f>
        <v>344</v>
      </c>
    </row>
    <row r="22" spans="1:14" x14ac:dyDescent="0.25">
      <c r="A22" s="150"/>
      <c r="B22" s="11" t="s">
        <v>26</v>
      </c>
      <c r="C22" s="87"/>
      <c r="D22" s="87">
        <v>1</v>
      </c>
      <c r="E22" s="87"/>
      <c r="F22" s="87"/>
      <c r="G22" s="38">
        <f t="shared" si="1"/>
        <v>1</v>
      </c>
      <c r="H22" s="140"/>
      <c r="I22" s="87">
        <v>0</v>
      </c>
      <c r="J22" s="87">
        <v>1</v>
      </c>
      <c r="K22" s="87">
        <v>0</v>
      </c>
      <c r="L22" s="87">
        <v>0</v>
      </c>
      <c r="M22" s="38">
        <f t="shared" si="0"/>
        <v>1</v>
      </c>
      <c r="N22" s="143"/>
    </row>
    <row r="23" spans="1:14" x14ac:dyDescent="0.25">
      <c r="A23" s="150"/>
      <c r="B23" s="11" t="s">
        <v>27</v>
      </c>
      <c r="C23" s="87">
        <v>3</v>
      </c>
      <c r="D23" s="87">
        <v>6</v>
      </c>
      <c r="E23" s="87">
        <v>2</v>
      </c>
      <c r="F23" s="87"/>
      <c r="G23" s="38">
        <f t="shared" si="1"/>
        <v>11</v>
      </c>
      <c r="H23" s="140"/>
      <c r="I23" s="87">
        <v>3</v>
      </c>
      <c r="J23" s="87">
        <v>7</v>
      </c>
      <c r="K23" s="87">
        <v>2</v>
      </c>
      <c r="L23" s="87">
        <v>0</v>
      </c>
      <c r="M23" s="38">
        <f t="shared" si="0"/>
        <v>12</v>
      </c>
      <c r="N23" s="143"/>
    </row>
    <row r="24" spans="1:14" x14ac:dyDescent="0.25">
      <c r="A24" s="151"/>
      <c r="B24" s="11" t="s">
        <v>28</v>
      </c>
      <c r="C24" s="87"/>
      <c r="D24" s="87"/>
      <c r="E24" s="87"/>
      <c r="F24" s="87"/>
      <c r="G24" s="38">
        <f t="shared" si="1"/>
        <v>0</v>
      </c>
      <c r="H24" s="141"/>
      <c r="I24" s="87">
        <v>1</v>
      </c>
      <c r="J24" s="87">
        <v>1</v>
      </c>
      <c r="K24" s="87">
        <v>0</v>
      </c>
      <c r="L24" s="87">
        <v>0</v>
      </c>
      <c r="M24" s="38">
        <f t="shared" si="0"/>
        <v>2</v>
      </c>
      <c r="N24" s="144"/>
    </row>
    <row r="25" spans="1:14" x14ac:dyDescent="0.25">
      <c r="A25" s="149" t="s">
        <v>4</v>
      </c>
      <c r="B25" s="10" t="s">
        <v>29</v>
      </c>
      <c r="C25" s="87">
        <v>4</v>
      </c>
      <c r="D25" s="87"/>
      <c r="E25" s="87"/>
      <c r="F25" s="87"/>
      <c r="G25" s="38">
        <f t="shared" si="1"/>
        <v>4</v>
      </c>
      <c r="H25" s="139">
        <f>SUM(C25:F32)</f>
        <v>48</v>
      </c>
      <c r="I25" s="87">
        <v>8</v>
      </c>
      <c r="J25" s="87">
        <v>1</v>
      </c>
      <c r="K25" s="87">
        <v>0</v>
      </c>
      <c r="L25" s="87">
        <v>0</v>
      </c>
      <c r="M25" s="38">
        <f t="shared" si="0"/>
        <v>9</v>
      </c>
      <c r="N25" s="142">
        <f>SUM(I25:L32)</f>
        <v>95</v>
      </c>
    </row>
    <row r="26" spans="1:14" x14ac:dyDescent="0.25">
      <c r="A26" s="150"/>
      <c r="B26" s="11" t="s">
        <v>30</v>
      </c>
      <c r="C26" s="87"/>
      <c r="D26" s="87">
        <v>1</v>
      </c>
      <c r="E26" s="87"/>
      <c r="F26" s="87"/>
      <c r="G26" s="38">
        <f t="shared" si="1"/>
        <v>1</v>
      </c>
      <c r="H26" s="140"/>
      <c r="I26" s="87">
        <v>0</v>
      </c>
      <c r="J26" s="87">
        <v>1</v>
      </c>
      <c r="K26" s="87">
        <v>0</v>
      </c>
      <c r="L26" s="87">
        <v>0</v>
      </c>
      <c r="M26" s="38">
        <f t="shared" si="0"/>
        <v>1</v>
      </c>
      <c r="N26" s="143"/>
    </row>
    <row r="27" spans="1:14" x14ac:dyDescent="0.25">
      <c r="A27" s="150"/>
      <c r="B27" s="11" t="s">
        <v>31</v>
      </c>
      <c r="C27" s="87">
        <v>3</v>
      </c>
      <c r="D27" s="87">
        <v>1</v>
      </c>
      <c r="E27" s="87"/>
      <c r="F27" s="87"/>
      <c r="G27" s="38">
        <f t="shared" si="1"/>
        <v>4</v>
      </c>
      <c r="H27" s="140"/>
      <c r="I27" s="87">
        <v>5</v>
      </c>
      <c r="J27" s="87">
        <v>3</v>
      </c>
      <c r="K27" s="87">
        <v>0</v>
      </c>
      <c r="L27" s="87">
        <v>1</v>
      </c>
      <c r="M27" s="38">
        <f t="shared" si="0"/>
        <v>9</v>
      </c>
      <c r="N27" s="143"/>
    </row>
    <row r="28" spans="1:14" x14ac:dyDescent="0.25">
      <c r="A28" s="150"/>
      <c r="B28" s="11" t="s">
        <v>32</v>
      </c>
      <c r="C28" s="87">
        <v>3</v>
      </c>
      <c r="D28" s="87">
        <v>3</v>
      </c>
      <c r="E28" s="87"/>
      <c r="F28" s="87"/>
      <c r="G28" s="38">
        <f t="shared" si="1"/>
        <v>6</v>
      </c>
      <c r="H28" s="140"/>
      <c r="I28" s="87">
        <v>5</v>
      </c>
      <c r="J28" s="87">
        <v>3</v>
      </c>
      <c r="K28" s="87">
        <v>0</v>
      </c>
      <c r="L28" s="87">
        <v>0</v>
      </c>
      <c r="M28" s="38">
        <f t="shared" si="0"/>
        <v>8</v>
      </c>
      <c r="N28" s="143"/>
    </row>
    <row r="29" spans="1:14" x14ac:dyDescent="0.25">
      <c r="A29" s="150"/>
      <c r="B29" s="11" t="s">
        <v>33</v>
      </c>
      <c r="C29" s="87">
        <v>1</v>
      </c>
      <c r="D29" s="87"/>
      <c r="E29" s="87"/>
      <c r="F29" s="87"/>
      <c r="G29" s="38">
        <f t="shared" si="1"/>
        <v>1</v>
      </c>
      <c r="H29" s="140"/>
      <c r="I29" s="87">
        <v>4</v>
      </c>
      <c r="J29" s="87">
        <v>2</v>
      </c>
      <c r="K29" s="87">
        <v>0</v>
      </c>
      <c r="L29" s="87">
        <v>0</v>
      </c>
      <c r="M29" s="38">
        <f t="shared" si="0"/>
        <v>6</v>
      </c>
      <c r="N29" s="143"/>
    </row>
    <row r="30" spans="1:14" x14ac:dyDescent="0.25">
      <c r="A30" s="150"/>
      <c r="B30" s="11" t="s">
        <v>69</v>
      </c>
      <c r="C30" s="87"/>
      <c r="D30" s="87"/>
      <c r="E30" s="87"/>
      <c r="F30" s="87"/>
      <c r="G30" s="38">
        <f t="shared" si="1"/>
        <v>0</v>
      </c>
      <c r="H30" s="140"/>
      <c r="I30" s="87">
        <v>1</v>
      </c>
      <c r="J30" s="87">
        <v>0</v>
      </c>
      <c r="K30" s="87">
        <v>0</v>
      </c>
      <c r="L30" s="87">
        <v>0</v>
      </c>
      <c r="M30" s="38">
        <f t="shared" si="0"/>
        <v>1</v>
      </c>
      <c r="N30" s="143"/>
    </row>
    <row r="31" spans="1:14" x14ac:dyDescent="0.25">
      <c r="A31" s="150"/>
      <c r="B31" s="11" t="s">
        <v>34</v>
      </c>
      <c r="C31" s="87"/>
      <c r="D31" s="87"/>
      <c r="E31" s="87"/>
      <c r="F31" s="87"/>
      <c r="G31" s="38">
        <f t="shared" si="1"/>
        <v>0</v>
      </c>
      <c r="H31" s="140"/>
      <c r="I31" s="87">
        <v>0</v>
      </c>
      <c r="J31" s="87">
        <v>0</v>
      </c>
      <c r="K31" s="87">
        <v>0</v>
      </c>
      <c r="L31" s="87">
        <v>0</v>
      </c>
      <c r="M31" s="38">
        <f t="shared" si="0"/>
        <v>0</v>
      </c>
      <c r="N31" s="143"/>
    </row>
    <row r="32" spans="1:14" x14ac:dyDescent="0.25">
      <c r="A32" s="151"/>
      <c r="B32" s="11" t="s">
        <v>35</v>
      </c>
      <c r="C32" s="87">
        <v>24</v>
      </c>
      <c r="D32" s="87">
        <v>8</v>
      </c>
      <c r="E32" s="87"/>
      <c r="F32" s="87"/>
      <c r="G32" s="38">
        <f t="shared" si="1"/>
        <v>32</v>
      </c>
      <c r="H32" s="141"/>
      <c r="I32" s="87">
        <v>46</v>
      </c>
      <c r="J32" s="87">
        <v>15</v>
      </c>
      <c r="K32" s="87">
        <v>0</v>
      </c>
      <c r="L32" s="87">
        <v>0</v>
      </c>
      <c r="M32" s="38">
        <f t="shared" si="0"/>
        <v>61</v>
      </c>
      <c r="N32" s="144"/>
    </row>
    <row r="33" spans="1:14" x14ac:dyDescent="0.25">
      <c r="A33" s="149" t="s">
        <v>5</v>
      </c>
      <c r="B33" s="10" t="s">
        <v>36</v>
      </c>
      <c r="C33" s="87">
        <v>18</v>
      </c>
      <c r="D33" s="87">
        <v>4</v>
      </c>
      <c r="E33" s="87"/>
      <c r="F33" s="87">
        <v>3</v>
      </c>
      <c r="G33" s="38">
        <f t="shared" si="1"/>
        <v>25</v>
      </c>
      <c r="H33" s="139">
        <f>SUM(C33:F38)</f>
        <v>27</v>
      </c>
      <c r="I33" s="87">
        <v>39</v>
      </c>
      <c r="J33" s="87">
        <v>6</v>
      </c>
      <c r="K33" s="87">
        <v>0</v>
      </c>
      <c r="L33" s="87">
        <v>10</v>
      </c>
      <c r="M33" s="38">
        <f t="shared" si="0"/>
        <v>55</v>
      </c>
      <c r="N33" s="142">
        <f>SUM(I33:L38)</f>
        <v>58</v>
      </c>
    </row>
    <row r="34" spans="1:14" x14ac:dyDescent="0.25">
      <c r="A34" s="150"/>
      <c r="B34" s="11" t="s">
        <v>37</v>
      </c>
      <c r="C34" s="87"/>
      <c r="D34" s="87"/>
      <c r="E34" s="87"/>
      <c r="F34" s="87"/>
      <c r="G34" s="38">
        <f t="shared" si="1"/>
        <v>0</v>
      </c>
      <c r="H34" s="140"/>
      <c r="I34" s="87">
        <v>0</v>
      </c>
      <c r="J34" s="87">
        <v>0</v>
      </c>
      <c r="K34" s="87">
        <v>0</v>
      </c>
      <c r="L34" s="87">
        <v>0</v>
      </c>
      <c r="M34" s="38">
        <f t="shared" si="0"/>
        <v>0</v>
      </c>
      <c r="N34" s="143"/>
    </row>
    <row r="35" spans="1:14" x14ac:dyDescent="0.25">
      <c r="A35" s="150"/>
      <c r="B35" s="11" t="s">
        <v>38</v>
      </c>
      <c r="C35" s="87"/>
      <c r="D35" s="87"/>
      <c r="E35" s="87"/>
      <c r="F35" s="87"/>
      <c r="G35" s="38">
        <f t="shared" si="1"/>
        <v>0</v>
      </c>
      <c r="H35" s="140"/>
      <c r="I35" s="87">
        <v>0</v>
      </c>
      <c r="J35" s="87">
        <v>0</v>
      </c>
      <c r="K35" s="87">
        <v>0</v>
      </c>
      <c r="L35" s="87">
        <v>0</v>
      </c>
      <c r="M35" s="38">
        <f t="shared" si="0"/>
        <v>0</v>
      </c>
      <c r="N35" s="143"/>
    </row>
    <row r="36" spans="1:14" x14ac:dyDescent="0.25">
      <c r="A36" s="150"/>
      <c r="B36" s="11" t="s">
        <v>39</v>
      </c>
      <c r="C36" s="87"/>
      <c r="D36" s="87">
        <v>1</v>
      </c>
      <c r="E36" s="87"/>
      <c r="F36" s="87">
        <v>1</v>
      </c>
      <c r="G36" s="38">
        <f t="shared" si="1"/>
        <v>2</v>
      </c>
      <c r="H36" s="140"/>
      <c r="I36" s="87">
        <v>0</v>
      </c>
      <c r="J36" s="87">
        <v>1</v>
      </c>
      <c r="K36" s="87">
        <v>0</v>
      </c>
      <c r="L36" s="87">
        <v>1</v>
      </c>
      <c r="M36" s="38">
        <f t="shared" si="0"/>
        <v>2</v>
      </c>
      <c r="N36" s="143"/>
    </row>
    <row r="37" spans="1:14" x14ac:dyDescent="0.25">
      <c r="A37" s="150"/>
      <c r="B37" s="11" t="s">
        <v>40</v>
      </c>
      <c r="C37" s="87"/>
      <c r="D37" s="87"/>
      <c r="E37" s="87"/>
      <c r="F37" s="87"/>
      <c r="G37" s="38">
        <f t="shared" si="1"/>
        <v>0</v>
      </c>
      <c r="H37" s="140"/>
      <c r="I37" s="87">
        <v>0</v>
      </c>
      <c r="J37" s="87">
        <v>0</v>
      </c>
      <c r="K37" s="87">
        <v>0</v>
      </c>
      <c r="L37" s="87">
        <v>0</v>
      </c>
      <c r="M37" s="38">
        <f t="shared" si="0"/>
        <v>0</v>
      </c>
      <c r="N37" s="143"/>
    </row>
    <row r="38" spans="1:14" x14ac:dyDescent="0.25">
      <c r="A38" s="151"/>
      <c r="B38" s="11" t="s">
        <v>41</v>
      </c>
      <c r="C38" s="87"/>
      <c r="D38" s="87"/>
      <c r="E38" s="87"/>
      <c r="F38" s="87"/>
      <c r="G38" s="38">
        <f t="shared" si="1"/>
        <v>0</v>
      </c>
      <c r="H38" s="141"/>
      <c r="I38" s="87">
        <v>0</v>
      </c>
      <c r="J38" s="87">
        <v>0</v>
      </c>
      <c r="K38" s="87">
        <v>0</v>
      </c>
      <c r="L38" s="87">
        <v>1</v>
      </c>
      <c r="M38" s="38">
        <f t="shared" si="0"/>
        <v>1</v>
      </c>
      <c r="N38" s="144"/>
    </row>
    <row r="39" spans="1:14" x14ac:dyDescent="0.25">
      <c r="A39" s="149" t="s">
        <v>6</v>
      </c>
      <c r="B39" s="10" t="s">
        <v>42</v>
      </c>
      <c r="C39" s="87">
        <v>2</v>
      </c>
      <c r="D39" s="87">
        <v>1</v>
      </c>
      <c r="E39" s="87"/>
      <c r="F39" s="87">
        <v>11</v>
      </c>
      <c r="G39" s="38">
        <f t="shared" si="1"/>
        <v>14</v>
      </c>
      <c r="H39" s="139">
        <f>SUM(C39:F48)</f>
        <v>44</v>
      </c>
      <c r="I39" s="87">
        <v>4</v>
      </c>
      <c r="J39" s="87">
        <v>1</v>
      </c>
      <c r="K39" s="87">
        <v>0</v>
      </c>
      <c r="L39" s="87">
        <v>15</v>
      </c>
      <c r="M39" s="38">
        <f t="shared" si="0"/>
        <v>20</v>
      </c>
      <c r="N39" s="142">
        <f>SUM(I39:L48)</f>
        <v>84</v>
      </c>
    </row>
    <row r="40" spans="1:14" x14ac:dyDescent="0.25">
      <c r="A40" s="150"/>
      <c r="B40" s="11" t="s">
        <v>43</v>
      </c>
      <c r="C40" s="87"/>
      <c r="D40" s="87">
        <v>1</v>
      </c>
      <c r="E40" s="87"/>
      <c r="F40" s="87">
        <v>23</v>
      </c>
      <c r="G40" s="38">
        <f t="shared" si="1"/>
        <v>24</v>
      </c>
      <c r="H40" s="140"/>
      <c r="I40" s="87">
        <v>3</v>
      </c>
      <c r="J40" s="87">
        <v>6</v>
      </c>
      <c r="K40" s="87">
        <v>0</v>
      </c>
      <c r="L40" s="87">
        <v>35</v>
      </c>
      <c r="M40" s="38">
        <f t="shared" si="0"/>
        <v>44</v>
      </c>
      <c r="N40" s="143"/>
    </row>
    <row r="41" spans="1:14" x14ac:dyDescent="0.25">
      <c r="A41" s="150"/>
      <c r="B41" s="11" t="s">
        <v>44</v>
      </c>
      <c r="C41" s="87"/>
      <c r="D41" s="87"/>
      <c r="E41" s="87"/>
      <c r="F41" s="87"/>
      <c r="G41" s="38">
        <f t="shared" si="1"/>
        <v>0</v>
      </c>
      <c r="H41" s="140"/>
      <c r="I41" s="87">
        <v>0</v>
      </c>
      <c r="J41" s="87">
        <v>0</v>
      </c>
      <c r="K41" s="87">
        <v>0</v>
      </c>
      <c r="L41" s="87">
        <v>0</v>
      </c>
      <c r="M41" s="38">
        <f t="shared" si="0"/>
        <v>0</v>
      </c>
      <c r="N41" s="143"/>
    </row>
    <row r="42" spans="1:14" x14ac:dyDescent="0.25">
      <c r="A42" s="150"/>
      <c r="B42" s="11" t="s">
        <v>45</v>
      </c>
      <c r="C42" s="87"/>
      <c r="D42" s="87"/>
      <c r="E42" s="87"/>
      <c r="F42" s="87"/>
      <c r="G42" s="38">
        <f t="shared" si="1"/>
        <v>0</v>
      </c>
      <c r="H42" s="140"/>
      <c r="I42" s="87">
        <v>0</v>
      </c>
      <c r="J42" s="87">
        <v>0</v>
      </c>
      <c r="K42" s="87">
        <v>0</v>
      </c>
      <c r="L42" s="87">
        <v>0</v>
      </c>
      <c r="M42" s="38">
        <f t="shared" si="0"/>
        <v>0</v>
      </c>
      <c r="N42" s="143"/>
    </row>
    <row r="43" spans="1:14" x14ac:dyDescent="0.25">
      <c r="A43" s="150"/>
      <c r="B43" s="11" t="s">
        <v>46</v>
      </c>
      <c r="C43" s="87"/>
      <c r="D43" s="87"/>
      <c r="E43" s="87"/>
      <c r="F43" s="87"/>
      <c r="G43" s="38">
        <f t="shared" si="1"/>
        <v>0</v>
      </c>
      <c r="H43" s="140"/>
      <c r="I43" s="87">
        <v>0</v>
      </c>
      <c r="J43" s="87">
        <v>0</v>
      </c>
      <c r="K43" s="87">
        <v>0</v>
      </c>
      <c r="L43" s="87">
        <v>1</v>
      </c>
      <c r="M43" s="38">
        <f t="shared" si="0"/>
        <v>1</v>
      </c>
      <c r="N43" s="143"/>
    </row>
    <row r="44" spans="1:14" x14ac:dyDescent="0.25">
      <c r="A44" s="150"/>
      <c r="B44" s="11" t="s">
        <v>47</v>
      </c>
      <c r="C44" s="87"/>
      <c r="D44" s="87"/>
      <c r="E44" s="87"/>
      <c r="F44" s="87"/>
      <c r="G44" s="38">
        <f t="shared" si="1"/>
        <v>0</v>
      </c>
      <c r="H44" s="140"/>
      <c r="I44" s="87">
        <v>0</v>
      </c>
      <c r="J44" s="87">
        <v>1</v>
      </c>
      <c r="K44" s="87">
        <v>0</v>
      </c>
      <c r="L44" s="87">
        <v>2</v>
      </c>
      <c r="M44" s="38">
        <f t="shared" si="0"/>
        <v>3</v>
      </c>
      <c r="N44" s="143"/>
    </row>
    <row r="45" spans="1:14" x14ac:dyDescent="0.25">
      <c r="A45" s="150"/>
      <c r="B45" s="11" t="s">
        <v>48</v>
      </c>
      <c r="C45" s="87">
        <v>1</v>
      </c>
      <c r="D45" s="87"/>
      <c r="E45" s="87"/>
      <c r="F45" s="87">
        <v>2</v>
      </c>
      <c r="G45" s="38">
        <f t="shared" si="1"/>
        <v>3</v>
      </c>
      <c r="H45" s="140"/>
      <c r="I45" s="87">
        <v>3</v>
      </c>
      <c r="J45" s="87">
        <v>0</v>
      </c>
      <c r="K45" s="87">
        <v>0</v>
      </c>
      <c r="L45" s="87">
        <v>2</v>
      </c>
      <c r="M45" s="38">
        <f t="shared" si="0"/>
        <v>5</v>
      </c>
      <c r="N45" s="143"/>
    </row>
    <row r="46" spans="1:14" x14ac:dyDescent="0.25">
      <c r="A46" s="150"/>
      <c r="B46" s="11" t="s">
        <v>49</v>
      </c>
      <c r="C46" s="87">
        <v>1</v>
      </c>
      <c r="D46" s="87">
        <v>1</v>
      </c>
      <c r="E46" s="87"/>
      <c r="F46" s="87">
        <v>1</v>
      </c>
      <c r="G46" s="38">
        <f t="shared" si="1"/>
        <v>3</v>
      </c>
      <c r="H46" s="140"/>
      <c r="I46" s="87">
        <v>1</v>
      </c>
      <c r="J46" s="87">
        <v>2</v>
      </c>
      <c r="K46" s="87">
        <v>0</v>
      </c>
      <c r="L46" s="87">
        <v>3</v>
      </c>
      <c r="M46" s="38">
        <f t="shared" si="0"/>
        <v>6</v>
      </c>
      <c r="N46" s="143"/>
    </row>
    <row r="47" spans="1:14" x14ac:dyDescent="0.25">
      <c r="A47" s="150"/>
      <c r="B47" s="11" t="s">
        <v>50</v>
      </c>
      <c r="C47" s="87"/>
      <c r="D47" s="87"/>
      <c r="E47" s="87"/>
      <c r="F47" s="87"/>
      <c r="G47" s="38">
        <f t="shared" si="1"/>
        <v>0</v>
      </c>
      <c r="H47" s="140"/>
      <c r="I47" s="87">
        <v>1</v>
      </c>
      <c r="J47" s="87">
        <v>0</v>
      </c>
      <c r="K47" s="87">
        <v>0</v>
      </c>
      <c r="L47" s="87">
        <v>4</v>
      </c>
      <c r="M47" s="38">
        <f t="shared" si="0"/>
        <v>5</v>
      </c>
      <c r="N47" s="143"/>
    </row>
    <row r="48" spans="1:14" x14ac:dyDescent="0.25">
      <c r="A48" s="151"/>
      <c r="B48" s="11" t="s">
        <v>51</v>
      </c>
      <c r="C48" s="87"/>
      <c r="D48" s="87"/>
      <c r="E48" s="87"/>
      <c r="F48" s="87"/>
      <c r="G48" s="38">
        <f t="shared" si="1"/>
        <v>0</v>
      </c>
      <c r="H48" s="141"/>
      <c r="I48" s="87">
        <v>0</v>
      </c>
      <c r="J48" s="87">
        <v>0</v>
      </c>
      <c r="K48" s="87">
        <v>0</v>
      </c>
      <c r="L48" s="87">
        <v>0</v>
      </c>
      <c r="M48" s="38">
        <f t="shared" si="0"/>
        <v>0</v>
      </c>
      <c r="N48" s="144"/>
    </row>
    <row r="49" spans="1:14" x14ac:dyDescent="0.25">
      <c r="A49" s="12" t="s">
        <v>72</v>
      </c>
      <c r="B49" s="85"/>
      <c r="C49" s="87">
        <v>2</v>
      </c>
      <c r="D49" s="87"/>
      <c r="E49" s="87"/>
      <c r="F49" s="87"/>
      <c r="G49" s="38">
        <f t="shared" si="1"/>
        <v>2</v>
      </c>
      <c r="H49" s="106">
        <f>G49</f>
        <v>2</v>
      </c>
      <c r="I49" s="87">
        <v>3</v>
      </c>
      <c r="J49" s="87">
        <v>0</v>
      </c>
      <c r="K49" s="87">
        <v>0</v>
      </c>
      <c r="L49" s="87">
        <v>0</v>
      </c>
      <c r="M49" s="38">
        <f t="shared" si="0"/>
        <v>3</v>
      </c>
      <c r="N49" s="32">
        <f>M49</f>
        <v>3</v>
      </c>
    </row>
    <row r="50" spans="1:14" x14ac:dyDescent="0.25">
      <c r="A50" s="4" t="s">
        <v>7</v>
      </c>
      <c r="B50" s="86"/>
      <c r="C50" s="134">
        <v>221</v>
      </c>
      <c r="D50" s="134">
        <v>169</v>
      </c>
      <c r="E50" s="134">
        <v>14</v>
      </c>
      <c r="F50" s="134">
        <v>49</v>
      </c>
      <c r="G50" s="79">
        <f>SUM(C50:F50)</f>
        <v>453</v>
      </c>
      <c r="H50" s="19">
        <f>SUM(H5:H49)</f>
        <v>453</v>
      </c>
      <c r="I50" s="134">
        <v>444</v>
      </c>
      <c r="J50" s="134">
        <v>330</v>
      </c>
      <c r="K50" s="134">
        <v>31</v>
      </c>
      <c r="L50" s="134">
        <v>97</v>
      </c>
      <c r="M50" s="79">
        <f>SUM(I50:L50)</f>
        <v>902</v>
      </c>
      <c r="N50" s="33">
        <f>SUM(N5:N49)</f>
        <v>902</v>
      </c>
    </row>
  </sheetData>
  <sheetProtection password="8A47" sheet="1" objects="1" scenarios="1" selectLockedCells="1" selectUnlockedCells="1"/>
  <mergeCells count="25">
    <mergeCell ref="C2:H2"/>
    <mergeCell ref="C1:N1"/>
    <mergeCell ref="H5:H9"/>
    <mergeCell ref="N5:N9"/>
    <mergeCell ref="H33:H38"/>
    <mergeCell ref="H25:H32"/>
    <mergeCell ref="H21:H24"/>
    <mergeCell ref="H15:H20"/>
    <mergeCell ref="I2:N2"/>
    <mergeCell ref="H39:H48"/>
    <mergeCell ref="N39:N48"/>
    <mergeCell ref="A1:B4"/>
    <mergeCell ref="A5:A9"/>
    <mergeCell ref="A10:A14"/>
    <mergeCell ref="A15:A20"/>
    <mergeCell ref="A21:A24"/>
    <mergeCell ref="A25:A32"/>
    <mergeCell ref="A33:A38"/>
    <mergeCell ref="A39:A48"/>
    <mergeCell ref="H10:H14"/>
    <mergeCell ref="N10:N14"/>
    <mergeCell ref="N15:N20"/>
    <mergeCell ref="N21:N24"/>
    <mergeCell ref="N25:N32"/>
    <mergeCell ref="N33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111"/>
  <sheetViews>
    <sheetView zoomScale="60" zoomScaleNormal="60" workbookViewId="0">
      <selection activeCell="Z13" sqref="Z13"/>
    </sheetView>
  </sheetViews>
  <sheetFormatPr defaultRowHeight="15" x14ac:dyDescent="0.25"/>
  <cols>
    <col min="1" max="1" width="17.28515625" customWidth="1"/>
    <col min="2" max="2" width="12.5703125" bestFit="1" customWidth="1"/>
    <col min="3" max="6" width="11.7109375" customWidth="1"/>
    <col min="7" max="7" width="3.140625" customWidth="1"/>
    <col min="8" max="10" width="11.7109375" customWidth="1"/>
    <col min="11" max="11" width="11.85546875" customWidth="1"/>
    <col min="12" max="17" width="8.42578125" customWidth="1"/>
    <col min="18" max="18" width="3.5703125" customWidth="1"/>
    <col min="19" max="20" width="8.42578125" customWidth="1"/>
  </cols>
  <sheetData>
    <row r="1" spans="1:25" ht="34.5" customHeight="1" thickBot="1" x14ac:dyDescent="0.3">
      <c r="A1" s="161">
        <f>Holds!A1</f>
        <v>41122</v>
      </c>
      <c r="B1" s="162"/>
      <c r="C1" s="199" t="s">
        <v>62</v>
      </c>
      <c r="D1" s="200"/>
      <c r="E1" s="200"/>
      <c r="F1" s="200"/>
      <c r="G1" s="200"/>
      <c r="H1" s="200"/>
      <c r="I1" s="200"/>
      <c r="J1" s="200"/>
      <c r="K1" s="201"/>
      <c r="N1" s="187" t="s">
        <v>64</v>
      </c>
      <c r="O1" s="188"/>
      <c r="P1" s="188"/>
      <c r="Q1" s="188"/>
      <c r="R1" s="188"/>
      <c r="S1" s="188"/>
      <c r="T1" s="188"/>
      <c r="U1" s="188"/>
      <c r="V1" s="189"/>
    </row>
    <row r="2" spans="1:25" ht="45.75" customHeight="1" thickBot="1" x14ac:dyDescent="0.3">
      <c r="A2" s="161"/>
      <c r="B2" s="163"/>
      <c r="C2" s="192" t="s">
        <v>75</v>
      </c>
      <c r="D2" s="193"/>
      <c r="E2" s="193"/>
      <c r="F2" s="194"/>
      <c r="G2" s="37"/>
      <c r="H2" s="192" t="s">
        <v>76</v>
      </c>
      <c r="I2" s="193"/>
      <c r="J2" s="193"/>
      <c r="K2" s="194"/>
      <c r="N2" s="184" t="s">
        <v>63</v>
      </c>
      <c r="O2" s="185"/>
      <c r="P2" s="185"/>
      <c r="Q2" s="186"/>
      <c r="S2" s="184" t="s">
        <v>65</v>
      </c>
      <c r="T2" s="185"/>
      <c r="U2" s="185"/>
      <c r="V2" s="186"/>
    </row>
    <row r="3" spans="1:25" s="2" customFormat="1" ht="62.25" customHeight="1" thickBot="1" x14ac:dyDescent="0.3">
      <c r="A3" s="161"/>
      <c r="B3" s="163"/>
      <c r="C3" s="197">
        <f>A1</f>
        <v>41122</v>
      </c>
      <c r="D3" s="198"/>
      <c r="E3" s="195" t="s">
        <v>107</v>
      </c>
      <c r="F3" s="196"/>
      <c r="G3" s="36"/>
      <c r="H3" s="197">
        <f>A1</f>
        <v>41122</v>
      </c>
      <c r="I3" s="198"/>
      <c r="J3" s="195" t="s">
        <v>107</v>
      </c>
      <c r="K3" s="196"/>
      <c r="L3"/>
      <c r="N3" s="202">
        <f>A1</f>
        <v>41122</v>
      </c>
      <c r="O3" s="203"/>
      <c r="P3" s="195" t="s">
        <v>107</v>
      </c>
      <c r="Q3" s="196"/>
      <c r="S3" s="204">
        <f>A1</f>
        <v>41122</v>
      </c>
      <c r="T3" s="205"/>
      <c r="U3" s="206" t="s">
        <v>107</v>
      </c>
      <c r="V3" s="207"/>
    </row>
    <row r="4" spans="1:25" s="3" customFormat="1" ht="32.25" customHeight="1" thickBot="1" x14ac:dyDescent="0.3">
      <c r="A4" s="164"/>
      <c r="B4" s="163"/>
      <c r="C4" s="43" t="s">
        <v>58</v>
      </c>
      <c r="D4" s="43" t="s">
        <v>59</v>
      </c>
      <c r="E4" s="39" t="s">
        <v>58</v>
      </c>
      <c r="F4" s="42" t="s">
        <v>59</v>
      </c>
      <c r="G4" s="44"/>
      <c r="H4" s="43" t="s">
        <v>58</v>
      </c>
      <c r="I4" s="40" t="s">
        <v>59</v>
      </c>
      <c r="J4" s="42" t="s">
        <v>58</v>
      </c>
      <c r="K4" s="42" t="s">
        <v>59</v>
      </c>
      <c r="L4" s="1"/>
      <c r="M4" s="58"/>
      <c r="N4" s="52" t="s">
        <v>70</v>
      </c>
      <c r="O4" s="57" t="s">
        <v>71</v>
      </c>
      <c r="P4" s="53" t="s">
        <v>70</v>
      </c>
      <c r="Q4" s="54" t="s">
        <v>71</v>
      </c>
      <c r="S4" s="64" t="s">
        <v>70</v>
      </c>
      <c r="T4" s="65" t="s">
        <v>71</v>
      </c>
      <c r="U4" s="61" t="s">
        <v>70</v>
      </c>
      <c r="V4" s="62" t="s">
        <v>71</v>
      </c>
    </row>
    <row r="5" spans="1:25" x14ac:dyDescent="0.25">
      <c r="A5" s="149" t="s">
        <v>0</v>
      </c>
      <c r="B5" s="47" t="s">
        <v>8</v>
      </c>
      <c r="C5" s="88"/>
      <c r="D5" s="171">
        <f>SUM(C5:C9)</f>
        <v>8</v>
      </c>
      <c r="E5" s="93"/>
      <c r="F5" s="165">
        <f>SUM(E5:E9)</f>
        <v>16</v>
      </c>
      <c r="G5" s="41"/>
      <c r="H5" s="88">
        <v>1</v>
      </c>
      <c r="I5" s="174">
        <f>SUM(H5:H9)</f>
        <v>80</v>
      </c>
      <c r="J5" s="93">
        <v>1</v>
      </c>
      <c r="K5" s="175">
        <f>SUM(J5:J9)</f>
        <v>139</v>
      </c>
      <c r="L5" s="1"/>
      <c r="M5" s="1"/>
      <c r="N5" s="181">
        <f>I104</f>
        <v>4</v>
      </c>
      <c r="O5" s="181">
        <f>J104</f>
        <v>8</v>
      </c>
      <c r="P5" s="181">
        <f>K104</f>
        <v>12</v>
      </c>
      <c r="Q5" s="181">
        <f>L104</f>
        <v>13</v>
      </c>
      <c r="R5" s="55"/>
      <c r="S5" s="177">
        <f>A104</f>
        <v>18</v>
      </c>
      <c r="T5" s="177">
        <f>B104</f>
        <v>17</v>
      </c>
      <c r="U5" s="177">
        <f>C104</f>
        <v>40</v>
      </c>
      <c r="V5" s="181">
        <f>D104</f>
        <v>50</v>
      </c>
    </row>
    <row r="6" spans="1:25" x14ac:dyDescent="0.25">
      <c r="A6" s="150"/>
      <c r="B6" s="48" t="s">
        <v>9</v>
      </c>
      <c r="C6" s="88">
        <v>1</v>
      </c>
      <c r="D6" s="172"/>
      <c r="E6" s="93">
        <v>2</v>
      </c>
      <c r="F6" s="166"/>
      <c r="G6" s="41"/>
      <c r="H6" s="88">
        <v>12</v>
      </c>
      <c r="I6" s="174"/>
      <c r="J6" s="93">
        <v>21</v>
      </c>
      <c r="K6" s="169"/>
      <c r="L6" s="1"/>
      <c r="M6" s="1"/>
      <c r="N6" s="182"/>
      <c r="O6" s="182"/>
      <c r="P6" s="182"/>
      <c r="Q6" s="182"/>
      <c r="R6" s="1"/>
      <c r="S6" s="178"/>
      <c r="T6" s="178"/>
      <c r="U6" s="178"/>
      <c r="V6" s="190"/>
    </row>
    <row r="7" spans="1:25" x14ac:dyDescent="0.25">
      <c r="A7" s="150"/>
      <c r="B7" s="48" t="s">
        <v>10</v>
      </c>
      <c r="C7" s="88"/>
      <c r="D7" s="172"/>
      <c r="E7" s="93"/>
      <c r="F7" s="166"/>
      <c r="G7" s="41"/>
      <c r="H7" s="88">
        <v>2</v>
      </c>
      <c r="I7" s="174"/>
      <c r="J7" s="93">
        <v>3</v>
      </c>
      <c r="K7" s="169"/>
      <c r="L7" s="1"/>
      <c r="M7" s="1"/>
      <c r="N7" s="182"/>
      <c r="O7" s="182"/>
      <c r="P7" s="182"/>
      <c r="Q7" s="182"/>
      <c r="R7" s="1"/>
      <c r="S7" s="178"/>
      <c r="T7" s="178"/>
      <c r="U7" s="178"/>
      <c r="V7" s="190"/>
      <c r="Y7" s="63"/>
    </row>
    <row r="8" spans="1:25" x14ac:dyDescent="0.25">
      <c r="A8" s="150"/>
      <c r="B8" s="48" t="s">
        <v>11</v>
      </c>
      <c r="C8" s="88">
        <v>7</v>
      </c>
      <c r="D8" s="172"/>
      <c r="E8" s="93">
        <v>14</v>
      </c>
      <c r="F8" s="166"/>
      <c r="G8" s="41"/>
      <c r="H8" s="88">
        <v>62</v>
      </c>
      <c r="I8" s="174"/>
      <c r="J8" s="93">
        <v>107</v>
      </c>
      <c r="K8" s="169"/>
      <c r="L8" s="1"/>
      <c r="M8" s="1"/>
      <c r="N8" s="182"/>
      <c r="O8" s="182"/>
      <c r="P8" s="182"/>
      <c r="Q8" s="182"/>
      <c r="R8" s="1"/>
      <c r="S8" s="178"/>
      <c r="T8" s="178"/>
      <c r="U8" s="178"/>
      <c r="V8" s="190"/>
    </row>
    <row r="9" spans="1:25" ht="15.75" thickBot="1" x14ac:dyDescent="0.3">
      <c r="A9" s="151"/>
      <c r="B9" s="48" t="s">
        <v>12</v>
      </c>
      <c r="C9" s="88"/>
      <c r="D9" s="173"/>
      <c r="E9" s="93"/>
      <c r="F9" s="167"/>
      <c r="G9" s="41"/>
      <c r="H9" s="88">
        <v>3</v>
      </c>
      <c r="I9" s="174"/>
      <c r="J9" s="93">
        <v>7</v>
      </c>
      <c r="K9" s="170"/>
      <c r="L9" s="1"/>
      <c r="M9" s="1"/>
      <c r="N9" s="183"/>
      <c r="O9" s="183"/>
      <c r="P9" s="183"/>
      <c r="Q9" s="183"/>
      <c r="R9" s="56"/>
      <c r="S9" s="179"/>
      <c r="T9" s="179"/>
      <c r="U9" s="179"/>
      <c r="V9" s="191"/>
    </row>
    <row r="10" spans="1:25" x14ac:dyDescent="0.25">
      <c r="A10" s="149" t="s">
        <v>1</v>
      </c>
      <c r="B10" s="49" t="s">
        <v>14</v>
      </c>
      <c r="C10" s="88">
        <v>1</v>
      </c>
      <c r="D10" s="171">
        <f>SUM(C10:C14)</f>
        <v>7</v>
      </c>
      <c r="E10" s="93">
        <v>1</v>
      </c>
      <c r="F10" s="165">
        <f>SUM(E10:E14)</f>
        <v>10</v>
      </c>
      <c r="G10" s="41"/>
      <c r="H10" s="88">
        <v>4</v>
      </c>
      <c r="I10" s="174">
        <f>SUM(H10:H14)</f>
        <v>35</v>
      </c>
      <c r="J10" s="93">
        <v>5</v>
      </c>
      <c r="K10" s="175">
        <f>SUM(J10:J14)</f>
        <v>58</v>
      </c>
      <c r="L10" s="1"/>
      <c r="M10" s="1"/>
      <c r="N10" s="177">
        <f>I105</f>
        <v>1</v>
      </c>
      <c r="O10" s="177">
        <f>J105</f>
        <v>2</v>
      </c>
      <c r="P10" s="177">
        <f>K105</f>
        <v>2</v>
      </c>
      <c r="Q10" s="181">
        <f>L105</f>
        <v>4</v>
      </c>
      <c r="R10" s="55"/>
      <c r="S10" s="181">
        <f>A105</f>
        <v>2</v>
      </c>
      <c r="T10" s="177">
        <f>B105</f>
        <v>15</v>
      </c>
      <c r="U10" s="177">
        <f>C105</f>
        <v>10</v>
      </c>
      <c r="V10" s="181">
        <f>D105</f>
        <v>34</v>
      </c>
    </row>
    <row r="11" spans="1:25" x14ac:dyDescent="0.25">
      <c r="A11" s="150"/>
      <c r="B11" s="48" t="s">
        <v>15</v>
      </c>
      <c r="C11" s="88">
        <v>1</v>
      </c>
      <c r="D11" s="172"/>
      <c r="E11" s="93">
        <v>2</v>
      </c>
      <c r="F11" s="166"/>
      <c r="G11" s="41"/>
      <c r="H11" s="88">
        <v>4</v>
      </c>
      <c r="I11" s="174"/>
      <c r="J11" s="93">
        <v>4</v>
      </c>
      <c r="K11" s="169"/>
      <c r="L11" s="1"/>
      <c r="M11" s="1"/>
      <c r="N11" s="180"/>
      <c r="O11" s="180"/>
      <c r="P11" s="180"/>
      <c r="Q11" s="182"/>
      <c r="R11" s="1"/>
      <c r="S11" s="182"/>
      <c r="T11" s="178"/>
      <c r="U11" s="178"/>
      <c r="V11" s="190"/>
    </row>
    <row r="12" spans="1:25" x14ac:dyDescent="0.25">
      <c r="A12" s="150"/>
      <c r="B12" s="48" t="s">
        <v>16</v>
      </c>
      <c r="C12" s="88">
        <v>4</v>
      </c>
      <c r="D12" s="172"/>
      <c r="E12" s="93">
        <v>5</v>
      </c>
      <c r="F12" s="166"/>
      <c r="G12" s="41"/>
      <c r="H12" s="88">
        <v>4</v>
      </c>
      <c r="I12" s="174"/>
      <c r="J12" s="93">
        <v>14</v>
      </c>
      <c r="K12" s="169"/>
      <c r="L12" s="1"/>
      <c r="M12" s="1"/>
      <c r="N12" s="180"/>
      <c r="O12" s="180"/>
      <c r="P12" s="180"/>
      <c r="Q12" s="182"/>
      <c r="R12" s="1"/>
      <c r="S12" s="182"/>
      <c r="T12" s="178"/>
      <c r="U12" s="178"/>
      <c r="V12" s="190"/>
    </row>
    <row r="13" spans="1:25" x14ac:dyDescent="0.25">
      <c r="A13" s="150"/>
      <c r="B13" s="48" t="s">
        <v>17</v>
      </c>
      <c r="C13" s="88"/>
      <c r="D13" s="172"/>
      <c r="E13" s="93">
        <v>1</v>
      </c>
      <c r="F13" s="166"/>
      <c r="G13" s="41"/>
      <c r="H13" s="88"/>
      <c r="I13" s="174"/>
      <c r="J13" s="93"/>
      <c r="K13" s="169"/>
      <c r="L13" s="1"/>
      <c r="M13" s="1"/>
      <c r="N13" s="180"/>
      <c r="O13" s="180"/>
      <c r="P13" s="180"/>
      <c r="Q13" s="182"/>
      <c r="R13" s="1"/>
      <c r="S13" s="182"/>
      <c r="T13" s="178"/>
      <c r="U13" s="178"/>
      <c r="V13" s="190"/>
    </row>
    <row r="14" spans="1:25" ht="15.75" thickBot="1" x14ac:dyDescent="0.3">
      <c r="A14" s="151"/>
      <c r="B14" s="48" t="s">
        <v>18</v>
      </c>
      <c r="C14" s="88">
        <v>1</v>
      </c>
      <c r="D14" s="173"/>
      <c r="E14" s="93">
        <v>1</v>
      </c>
      <c r="F14" s="167"/>
      <c r="G14" s="41"/>
      <c r="H14" s="88">
        <v>23</v>
      </c>
      <c r="I14" s="174"/>
      <c r="J14" s="93">
        <v>35</v>
      </c>
      <c r="K14" s="176"/>
      <c r="L14" s="1"/>
      <c r="M14" s="1"/>
      <c r="N14" s="208"/>
      <c r="O14" s="208"/>
      <c r="P14" s="208"/>
      <c r="Q14" s="183"/>
      <c r="R14" s="1"/>
      <c r="S14" s="183"/>
      <c r="T14" s="179"/>
      <c r="U14" s="179"/>
      <c r="V14" s="191"/>
    </row>
    <row r="15" spans="1:25" x14ac:dyDescent="0.25">
      <c r="A15" s="149" t="s">
        <v>2</v>
      </c>
      <c r="B15" s="49" t="s">
        <v>19</v>
      </c>
      <c r="C15" s="88"/>
      <c r="D15" s="171">
        <f>SUM(C15:C20)</f>
        <v>9</v>
      </c>
      <c r="E15" s="93"/>
      <c r="F15" s="165">
        <f>SUM(E15:E20)</f>
        <v>19</v>
      </c>
      <c r="G15" s="41"/>
      <c r="H15" s="88">
        <v>3</v>
      </c>
      <c r="I15" s="174">
        <f>SUM(H15:H20)</f>
        <v>148</v>
      </c>
      <c r="J15" s="93">
        <v>4</v>
      </c>
      <c r="K15" s="175">
        <f>SUM(J15:J20)</f>
        <v>275</v>
      </c>
      <c r="L15" s="1"/>
      <c r="M15" s="1"/>
      <c r="N15" s="177">
        <f>I106</f>
        <v>2</v>
      </c>
      <c r="O15" s="177">
        <f>J106</f>
        <v>11</v>
      </c>
      <c r="P15" s="177">
        <f>K106</f>
        <v>9</v>
      </c>
      <c r="Q15" s="181">
        <f>L106</f>
        <v>13</v>
      </c>
      <c r="R15" s="55"/>
      <c r="S15" s="177">
        <f>A106</f>
        <v>10</v>
      </c>
      <c r="T15" s="177">
        <f>B106</f>
        <v>23</v>
      </c>
      <c r="U15" s="177">
        <f>C106</f>
        <v>29</v>
      </c>
      <c r="V15" s="181">
        <f>D106</f>
        <v>37</v>
      </c>
    </row>
    <row r="16" spans="1:25" x14ac:dyDescent="0.25">
      <c r="A16" s="150"/>
      <c r="B16" s="48" t="s">
        <v>20</v>
      </c>
      <c r="C16" s="88">
        <v>7</v>
      </c>
      <c r="D16" s="172"/>
      <c r="E16" s="93">
        <v>15</v>
      </c>
      <c r="F16" s="166"/>
      <c r="G16" s="41"/>
      <c r="H16" s="88">
        <v>120</v>
      </c>
      <c r="I16" s="174"/>
      <c r="J16" s="93">
        <v>226</v>
      </c>
      <c r="K16" s="169"/>
      <c r="L16" s="1"/>
      <c r="M16" s="1"/>
      <c r="N16" s="178"/>
      <c r="O16" s="178"/>
      <c r="P16" s="178"/>
      <c r="Q16" s="190"/>
      <c r="R16" s="1"/>
      <c r="S16" s="178"/>
      <c r="T16" s="178"/>
      <c r="U16" s="178"/>
      <c r="V16" s="190"/>
    </row>
    <row r="17" spans="1:22" x14ac:dyDescent="0.25">
      <c r="A17" s="150"/>
      <c r="B17" s="48" t="s">
        <v>21</v>
      </c>
      <c r="C17" s="88"/>
      <c r="D17" s="172"/>
      <c r="E17" s="93">
        <v>1</v>
      </c>
      <c r="F17" s="166"/>
      <c r="G17" s="41"/>
      <c r="H17" s="88">
        <v>7</v>
      </c>
      <c r="I17" s="174"/>
      <c r="J17" s="93">
        <v>14</v>
      </c>
      <c r="K17" s="169"/>
      <c r="L17" s="1"/>
      <c r="M17" s="1"/>
      <c r="N17" s="178"/>
      <c r="O17" s="178"/>
      <c r="P17" s="178"/>
      <c r="Q17" s="190"/>
      <c r="R17" s="1"/>
      <c r="S17" s="178"/>
      <c r="T17" s="178"/>
      <c r="U17" s="178"/>
      <c r="V17" s="190"/>
    </row>
    <row r="18" spans="1:22" x14ac:dyDescent="0.25">
      <c r="A18" s="150"/>
      <c r="B18" s="48" t="s">
        <v>22</v>
      </c>
      <c r="C18" s="88">
        <v>1</v>
      </c>
      <c r="D18" s="172"/>
      <c r="E18" s="93">
        <v>1</v>
      </c>
      <c r="F18" s="166"/>
      <c r="G18" s="41"/>
      <c r="H18" s="88">
        <v>4</v>
      </c>
      <c r="I18" s="174"/>
      <c r="J18" s="93">
        <v>6</v>
      </c>
      <c r="K18" s="169"/>
      <c r="L18" s="1"/>
      <c r="M18" s="1"/>
      <c r="N18" s="178"/>
      <c r="O18" s="178"/>
      <c r="P18" s="178"/>
      <c r="Q18" s="190"/>
      <c r="R18" s="1"/>
      <c r="S18" s="178"/>
      <c r="T18" s="178"/>
      <c r="U18" s="178"/>
      <c r="V18" s="190"/>
    </row>
    <row r="19" spans="1:22" x14ac:dyDescent="0.25">
      <c r="A19" s="150"/>
      <c r="B19" s="48" t="s">
        <v>23</v>
      </c>
      <c r="C19" s="88"/>
      <c r="D19" s="172"/>
      <c r="E19" s="93"/>
      <c r="F19" s="166"/>
      <c r="G19" s="41"/>
      <c r="H19" s="88">
        <v>9</v>
      </c>
      <c r="I19" s="174"/>
      <c r="J19" s="93">
        <v>15</v>
      </c>
      <c r="K19" s="169"/>
      <c r="L19" s="1"/>
      <c r="M19" s="1"/>
      <c r="N19" s="178"/>
      <c r="O19" s="178"/>
      <c r="P19" s="178"/>
      <c r="Q19" s="190"/>
      <c r="R19" s="1"/>
      <c r="S19" s="178"/>
      <c r="T19" s="178"/>
      <c r="U19" s="178"/>
      <c r="V19" s="190"/>
    </row>
    <row r="20" spans="1:22" ht="15.75" thickBot="1" x14ac:dyDescent="0.3">
      <c r="A20" s="151"/>
      <c r="B20" s="48" t="s">
        <v>24</v>
      </c>
      <c r="C20" s="88">
        <v>1</v>
      </c>
      <c r="D20" s="173"/>
      <c r="E20" s="93">
        <v>2</v>
      </c>
      <c r="F20" s="167"/>
      <c r="G20" s="41"/>
      <c r="H20" s="88">
        <v>5</v>
      </c>
      <c r="I20" s="174"/>
      <c r="J20" s="93">
        <v>10</v>
      </c>
      <c r="K20" s="170"/>
      <c r="L20" s="1"/>
      <c r="M20" s="1"/>
      <c r="N20" s="179"/>
      <c r="O20" s="179"/>
      <c r="P20" s="179"/>
      <c r="Q20" s="191"/>
      <c r="R20" s="56"/>
      <c r="S20" s="179"/>
      <c r="T20" s="179"/>
      <c r="U20" s="179"/>
      <c r="V20" s="191"/>
    </row>
    <row r="21" spans="1:22" x14ac:dyDescent="0.25">
      <c r="A21" s="149" t="s">
        <v>3</v>
      </c>
      <c r="B21" s="49" t="s">
        <v>25</v>
      </c>
      <c r="C21" s="88">
        <v>23</v>
      </c>
      <c r="D21" s="171">
        <f>SUM(C21:C24)</f>
        <v>24</v>
      </c>
      <c r="E21" s="93">
        <v>47</v>
      </c>
      <c r="F21" s="165">
        <f>SUM(E21:E24)</f>
        <v>53</v>
      </c>
      <c r="G21" s="41"/>
      <c r="H21" s="88">
        <v>182</v>
      </c>
      <c r="I21" s="174">
        <f>SUM(H21:H24)</f>
        <v>200</v>
      </c>
      <c r="J21" s="93">
        <v>353</v>
      </c>
      <c r="K21" s="175">
        <f>SUM(J21:J24)</f>
        <v>383</v>
      </c>
      <c r="L21" s="1"/>
      <c r="M21" s="1"/>
      <c r="N21" s="177">
        <f>I107</f>
        <v>9</v>
      </c>
      <c r="O21" s="177">
        <f>J107</f>
        <v>3</v>
      </c>
      <c r="P21" s="177">
        <f>K107</f>
        <v>20</v>
      </c>
      <c r="Q21" s="181">
        <f>L107</f>
        <v>18</v>
      </c>
      <c r="R21" s="55"/>
      <c r="S21" s="177">
        <f>A107</f>
        <v>19</v>
      </c>
      <c r="T21" s="177">
        <f>B107</f>
        <v>25</v>
      </c>
      <c r="U21" s="177">
        <f>C107</f>
        <v>35</v>
      </c>
      <c r="V21" s="181">
        <f>D107</f>
        <v>39</v>
      </c>
    </row>
    <row r="22" spans="1:22" x14ac:dyDescent="0.25">
      <c r="A22" s="150"/>
      <c r="B22" s="48" t="s">
        <v>26</v>
      </c>
      <c r="C22" s="88"/>
      <c r="D22" s="172"/>
      <c r="E22" s="93">
        <v>1</v>
      </c>
      <c r="F22" s="166"/>
      <c r="G22" s="41"/>
      <c r="H22" s="88">
        <v>2</v>
      </c>
      <c r="I22" s="174"/>
      <c r="J22" s="93">
        <v>3</v>
      </c>
      <c r="K22" s="169"/>
      <c r="L22" s="1"/>
      <c r="M22" s="1"/>
      <c r="N22" s="178"/>
      <c r="O22" s="178"/>
      <c r="P22" s="178"/>
      <c r="Q22" s="190"/>
      <c r="R22" s="1"/>
      <c r="S22" s="178"/>
      <c r="T22" s="178"/>
      <c r="U22" s="178"/>
      <c r="V22" s="190"/>
    </row>
    <row r="23" spans="1:22" x14ac:dyDescent="0.25">
      <c r="A23" s="150"/>
      <c r="B23" s="48" t="s">
        <v>27</v>
      </c>
      <c r="C23" s="88"/>
      <c r="D23" s="172"/>
      <c r="E23" s="93">
        <v>4</v>
      </c>
      <c r="F23" s="166"/>
      <c r="G23" s="41"/>
      <c r="H23" s="88">
        <v>9</v>
      </c>
      <c r="I23" s="174"/>
      <c r="J23" s="93">
        <v>15</v>
      </c>
      <c r="K23" s="169"/>
      <c r="L23" s="1"/>
      <c r="M23" s="1"/>
      <c r="N23" s="178"/>
      <c r="O23" s="178"/>
      <c r="P23" s="178"/>
      <c r="Q23" s="190"/>
      <c r="R23" s="1"/>
      <c r="S23" s="178"/>
      <c r="T23" s="178"/>
      <c r="U23" s="178"/>
      <c r="V23" s="190"/>
    </row>
    <row r="24" spans="1:22" ht="15.75" thickBot="1" x14ac:dyDescent="0.3">
      <c r="A24" s="151"/>
      <c r="B24" s="48" t="s">
        <v>28</v>
      </c>
      <c r="C24" s="88">
        <v>1</v>
      </c>
      <c r="D24" s="173"/>
      <c r="E24" s="93">
        <v>1</v>
      </c>
      <c r="F24" s="167"/>
      <c r="G24" s="41"/>
      <c r="H24" s="88">
        <v>7</v>
      </c>
      <c r="I24" s="174"/>
      <c r="J24" s="93">
        <v>12</v>
      </c>
      <c r="K24" s="176"/>
      <c r="L24" s="1"/>
      <c r="M24" s="1"/>
      <c r="N24" s="178"/>
      <c r="O24" s="178"/>
      <c r="P24" s="178"/>
      <c r="Q24" s="190"/>
      <c r="R24" s="1"/>
      <c r="S24" s="179"/>
      <c r="T24" s="179"/>
      <c r="U24" s="179"/>
      <c r="V24" s="191"/>
    </row>
    <row r="25" spans="1:22" x14ac:dyDescent="0.25">
      <c r="A25" s="149" t="s">
        <v>4</v>
      </c>
      <c r="B25" s="49" t="s">
        <v>29</v>
      </c>
      <c r="C25" s="88"/>
      <c r="D25" s="171">
        <f>SUM(C25:C32)</f>
        <v>15</v>
      </c>
      <c r="E25" s="93"/>
      <c r="F25" s="165">
        <f>SUM(E25:E32)</f>
        <v>25</v>
      </c>
      <c r="G25" s="41"/>
      <c r="H25" s="88">
        <v>7</v>
      </c>
      <c r="I25" s="174">
        <f>SUM(H25:H32)</f>
        <v>76</v>
      </c>
      <c r="J25" s="93">
        <v>12</v>
      </c>
      <c r="K25" s="175">
        <f>SUM(J25:J32)</f>
        <v>148</v>
      </c>
      <c r="L25" s="1"/>
      <c r="M25" s="1"/>
      <c r="N25" s="177">
        <f>I108</f>
        <v>2</v>
      </c>
      <c r="O25" s="177">
        <f>J108</f>
        <v>3</v>
      </c>
      <c r="P25" s="177">
        <f>K108</f>
        <v>4</v>
      </c>
      <c r="Q25" s="181">
        <f>L108</f>
        <v>11</v>
      </c>
      <c r="R25" s="55"/>
      <c r="S25" s="177">
        <f>A108</f>
        <v>11</v>
      </c>
      <c r="T25" s="177">
        <f>B108</f>
        <v>19</v>
      </c>
      <c r="U25" s="177">
        <f>C108</f>
        <v>20</v>
      </c>
      <c r="V25" s="181">
        <f>D108</f>
        <v>37</v>
      </c>
    </row>
    <row r="26" spans="1:22" x14ac:dyDescent="0.25">
      <c r="A26" s="150"/>
      <c r="B26" s="48" t="s">
        <v>30</v>
      </c>
      <c r="C26" s="88"/>
      <c r="D26" s="172"/>
      <c r="E26" s="93"/>
      <c r="F26" s="166"/>
      <c r="G26" s="41"/>
      <c r="H26" s="88">
        <v>1</v>
      </c>
      <c r="I26" s="174"/>
      <c r="J26" s="93">
        <v>3</v>
      </c>
      <c r="K26" s="169"/>
      <c r="L26" s="1"/>
      <c r="M26" s="1"/>
      <c r="N26" s="178"/>
      <c r="O26" s="178"/>
      <c r="P26" s="178"/>
      <c r="Q26" s="190"/>
      <c r="R26" s="1"/>
      <c r="S26" s="178"/>
      <c r="T26" s="178"/>
      <c r="U26" s="178"/>
      <c r="V26" s="190"/>
    </row>
    <row r="27" spans="1:22" x14ac:dyDescent="0.25">
      <c r="A27" s="150"/>
      <c r="B27" s="48" t="s">
        <v>31</v>
      </c>
      <c r="C27" s="88">
        <v>1</v>
      </c>
      <c r="D27" s="172"/>
      <c r="E27" s="93">
        <v>2</v>
      </c>
      <c r="F27" s="166"/>
      <c r="G27" s="41"/>
      <c r="H27" s="88">
        <v>9</v>
      </c>
      <c r="I27" s="174"/>
      <c r="J27" s="93">
        <v>16</v>
      </c>
      <c r="K27" s="169"/>
      <c r="L27" s="1"/>
      <c r="M27" s="1"/>
      <c r="N27" s="178"/>
      <c r="O27" s="178"/>
      <c r="P27" s="178"/>
      <c r="Q27" s="190"/>
      <c r="R27" s="1"/>
      <c r="S27" s="178"/>
      <c r="T27" s="178"/>
      <c r="U27" s="178"/>
      <c r="V27" s="190"/>
    </row>
    <row r="28" spans="1:22" x14ac:dyDescent="0.25">
      <c r="A28" s="150"/>
      <c r="B28" s="48" t="s">
        <v>32</v>
      </c>
      <c r="C28" s="88">
        <v>1</v>
      </c>
      <c r="D28" s="172"/>
      <c r="E28" s="93">
        <v>2</v>
      </c>
      <c r="F28" s="166"/>
      <c r="G28" s="41"/>
      <c r="H28" s="88">
        <v>5</v>
      </c>
      <c r="I28" s="174"/>
      <c r="J28" s="93">
        <v>9</v>
      </c>
      <c r="K28" s="169"/>
      <c r="L28" s="1"/>
      <c r="M28" s="1"/>
      <c r="N28" s="178"/>
      <c r="O28" s="178"/>
      <c r="P28" s="178"/>
      <c r="Q28" s="190"/>
      <c r="R28" s="1"/>
      <c r="S28" s="178"/>
      <c r="T28" s="178"/>
      <c r="U28" s="178"/>
      <c r="V28" s="190"/>
    </row>
    <row r="29" spans="1:22" x14ac:dyDescent="0.25">
      <c r="A29" s="150"/>
      <c r="B29" s="48" t="s">
        <v>33</v>
      </c>
      <c r="C29" s="88">
        <v>3</v>
      </c>
      <c r="D29" s="172"/>
      <c r="E29" s="93">
        <v>7</v>
      </c>
      <c r="F29" s="166"/>
      <c r="G29" s="41"/>
      <c r="H29" s="88">
        <v>5</v>
      </c>
      <c r="I29" s="174"/>
      <c r="J29" s="93">
        <v>12</v>
      </c>
      <c r="K29" s="169"/>
      <c r="L29" s="1"/>
      <c r="M29" s="1"/>
      <c r="N29" s="178"/>
      <c r="O29" s="178"/>
      <c r="P29" s="178"/>
      <c r="Q29" s="190"/>
      <c r="R29" s="1"/>
      <c r="S29" s="178"/>
      <c r="T29" s="178"/>
      <c r="U29" s="178"/>
      <c r="V29" s="190"/>
    </row>
    <row r="30" spans="1:22" x14ac:dyDescent="0.25">
      <c r="A30" s="150"/>
      <c r="B30" s="48" t="s">
        <v>69</v>
      </c>
      <c r="C30" s="88"/>
      <c r="D30" s="172"/>
      <c r="E30" s="93"/>
      <c r="F30" s="166"/>
      <c r="G30" s="41"/>
      <c r="H30" s="88"/>
      <c r="I30" s="174"/>
      <c r="J30" s="93">
        <v>2</v>
      </c>
      <c r="K30" s="169"/>
      <c r="L30" s="1"/>
      <c r="M30" s="1"/>
      <c r="N30" s="178"/>
      <c r="O30" s="178"/>
      <c r="P30" s="178"/>
      <c r="Q30" s="190"/>
      <c r="R30" s="1"/>
      <c r="S30" s="178"/>
      <c r="T30" s="178"/>
      <c r="U30" s="178"/>
      <c r="V30" s="190"/>
    </row>
    <row r="31" spans="1:22" x14ac:dyDescent="0.25">
      <c r="A31" s="150"/>
      <c r="B31" s="48" t="s">
        <v>34</v>
      </c>
      <c r="C31" s="88">
        <v>1</v>
      </c>
      <c r="D31" s="172"/>
      <c r="E31" s="93">
        <v>1</v>
      </c>
      <c r="F31" s="166"/>
      <c r="G31" s="41"/>
      <c r="H31" s="88">
        <v>7</v>
      </c>
      <c r="I31" s="174"/>
      <c r="J31" s="93">
        <v>10</v>
      </c>
      <c r="K31" s="169"/>
      <c r="L31" s="1"/>
      <c r="M31" s="1"/>
      <c r="N31" s="178"/>
      <c r="O31" s="178"/>
      <c r="P31" s="178"/>
      <c r="Q31" s="190"/>
      <c r="R31" s="1"/>
      <c r="S31" s="178"/>
      <c r="T31" s="178"/>
      <c r="U31" s="178"/>
      <c r="V31" s="190"/>
    </row>
    <row r="32" spans="1:22" ht="12.75" customHeight="1" thickBot="1" x14ac:dyDescent="0.3">
      <c r="A32" s="151"/>
      <c r="B32" s="48" t="s">
        <v>35</v>
      </c>
      <c r="C32" s="88">
        <v>9</v>
      </c>
      <c r="D32" s="173"/>
      <c r="E32" s="93">
        <v>13</v>
      </c>
      <c r="F32" s="167"/>
      <c r="G32" s="41"/>
      <c r="H32" s="88">
        <v>42</v>
      </c>
      <c r="I32" s="174"/>
      <c r="J32" s="93">
        <v>84</v>
      </c>
      <c r="K32" s="176"/>
      <c r="L32" s="1"/>
      <c r="M32" s="1"/>
      <c r="N32" s="178"/>
      <c r="O32" s="178"/>
      <c r="P32" s="178"/>
      <c r="Q32" s="190"/>
      <c r="R32" s="1"/>
      <c r="S32" s="179"/>
      <c r="T32" s="179"/>
      <c r="U32" s="179"/>
      <c r="V32" s="191"/>
    </row>
    <row r="33" spans="1:22" x14ac:dyDescent="0.25">
      <c r="A33" s="149" t="s">
        <v>5</v>
      </c>
      <c r="B33" s="49" t="s">
        <v>36</v>
      </c>
      <c r="C33" s="88">
        <v>11</v>
      </c>
      <c r="D33" s="171">
        <f>SUM(C33:C38)</f>
        <v>12</v>
      </c>
      <c r="E33" s="93">
        <v>16</v>
      </c>
      <c r="F33" s="165">
        <f>SUM(E33:E38)</f>
        <v>17</v>
      </c>
      <c r="G33" s="41"/>
      <c r="H33" s="88">
        <v>45</v>
      </c>
      <c r="I33" s="174">
        <f>SUM(H33:H38)</f>
        <v>52</v>
      </c>
      <c r="J33" s="93">
        <v>90</v>
      </c>
      <c r="K33" s="175">
        <f>SUM(J33:J38)</f>
        <v>103</v>
      </c>
      <c r="L33" s="1"/>
      <c r="M33" s="1"/>
      <c r="N33" s="177">
        <f>I109</f>
        <v>8</v>
      </c>
      <c r="O33" s="177">
        <f>J109</f>
        <v>6</v>
      </c>
      <c r="P33" s="177">
        <f>K109</f>
        <v>11</v>
      </c>
      <c r="Q33" s="181">
        <f>L109</f>
        <v>15</v>
      </c>
      <c r="R33" s="55"/>
      <c r="S33" s="177">
        <f>A109</f>
        <v>4</v>
      </c>
      <c r="T33" s="177">
        <f>B109</f>
        <v>9</v>
      </c>
      <c r="U33" s="177">
        <f>C109</f>
        <v>14</v>
      </c>
      <c r="V33" s="181">
        <f>D109</f>
        <v>25</v>
      </c>
    </row>
    <row r="34" spans="1:22" x14ac:dyDescent="0.25">
      <c r="A34" s="150"/>
      <c r="B34" s="48" t="s">
        <v>37</v>
      </c>
      <c r="C34" s="88"/>
      <c r="D34" s="172"/>
      <c r="E34" s="93"/>
      <c r="F34" s="166"/>
      <c r="G34" s="41"/>
      <c r="H34" s="88">
        <v>2</v>
      </c>
      <c r="I34" s="174"/>
      <c r="J34" s="93">
        <v>2</v>
      </c>
      <c r="K34" s="169"/>
      <c r="L34" s="1"/>
      <c r="M34" s="1"/>
      <c r="N34" s="178"/>
      <c r="O34" s="178"/>
      <c r="P34" s="178"/>
      <c r="Q34" s="190"/>
      <c r="R34" s="1"/>
      <c r="S34" s="178"/>
      <c r="T34" s="178"/>
      <c r="U34" s="178"/>
      <c r="V34" s="190"/>
    </row>
    <row r="35" spans="1:22" x14ac:dyDescent="0.25">
      <c r="A35" s="150"/>
      <c r="B35" s="48" t="s">
        <v>38</v>
      </c>
      <c r="C35" s="88"/>
      <c r="D35" s="172"/>
      <c r="E35" s="93"/>
      <c r="F35" s="166"/>
      <c r="G35" s="41"/>
      <c r="H35" s="88"/>
      <c r="I35" s="174"/>
      <c r="J35" s="93">
        <v>2</v>
      </c>
      <c r="K35" s="169"/>
      <c r="L35" s="1"/>
      <c r="M35" s="1"/>
      <c r="N35" s="178"/>
      <c r="O35" s="178"/>
      <c r="P35" s="178"/>
      <c r="Q35" s="190"/>
      <c r="R35" s="1"/>
      <c r="S35" s="178"/>
      <c r="T35" s="178"/>
      <c r="U35" s="178"/>
      <c r="V35" s="190"/>
    </row>
    <row r="36" spans="1:22" x14ac:dyDescent="0.25">
      <c r="A36" s="150"/>
      <c r="B36" s="48" t="s">
        <v>39</v>
      </c>
      <c r="C36" s="88"/>
      <c r="D36" s="172"/>
      <c r="E36" s="93"/>
      <c r="F36" s="166"/>
      <c r="G36" s="41"/>
      <c r="H36" s="88">
        <v>3</v>
      </c>
      <c r="I36" s="174"/>
      <c r="J36" s="93">
        <v>3</v>
      </c>
      <c r="K36" s="169"/>
      <c r="L36" s="1"/>
      <c r="M36" s="1"/>
      <c r="N36" s="178"/>
      <c r="O36" s="178"/>
      <c r="P36" s="178"/>
      <c r="Q36" s="190"/>
      <c r="R36" s="1"/>
      <c r="S36" s="178"/>
      <c r="T36" s="178"/>
      <c r="U36" s="178"/>
      <c r="V36" s="190"/>
    </row>
    <row r="37" spans="1:22" x14ac:dyDescent="0.25">
      <c r="A37" s="150"/>
      <c r="B37" s="48" t="s">
        <v>40</v>
      </c>
      <c r="C37" s="88"/>
      <c r="D37" s="172"/>
      <c r="E37" s="93"/>
      <c r="F37" s="166"/>
      <c r="G37" s="41"/>
      <c r="H37" s="88">
        <v>1</v>
      </c>
      <c r="I37" s="174"/>
      <c r="J37" s="93">
        <v>1</v>
      </c>
      <c r="K37" s="169"/>
      <c r="L37" s="1"/>
      <c r="M37" s="1"/>
      <c r="N37" s="178"/>
      <c r="O37" s="178"/>
      <c r="P37" s="178"/>
      <c r="Q37" s="190"/>
      <c r="R37" s="1"/>
      <c r="S37" s="178"/>
      <c r="T37" s="178"/>
      <c r="U37" s="178"/>
      <c r="V37" s="190"/>
    </row>
    <row r="38" spans="1:22" ht="15.75" thickBot="1" x14ac:dyDescent="0.3">
      <c r="A38" s="151"/>
      <c r="B38" s="48" t="s">
        <v>41</v>
      </c>
      <c r="C38" s="88">
        <v>1</v>
      </c>
      <c r="D38" s="173"/>
      <c r="E38" s="93">
        <v>1</v>
      </c>
      <c r="F38" s="167"/>
      <c r="G38" s="41"/>
      <c r="H38" s="88">
        <v>1</v>
      </c>
      <c r="I38" s="174"/>
      <c r="J38" s="93">
        <v>5</v>
      </c>
      <c r="K38" s="170"/>
      <c r="L38" s="1"/>
      <c r="M38" s="1"/>
      <c r="N38" s="179"/>
      <c r="O38" s="179"/>
      <c r="P38" s="179"/>
      <c r="Q38" s="191"/>
      <c r="R38" s="56"/>
      <c r="S38" s="179"/>
      <c r="T38" s="179"/>
      <c r="U38" s="179"/>
      <c r="V38" s="191"/>
    </row>
    <row r="39" spans="1:22" x14ac:dyDescent="0.25">
      <c r="A39" s="149" t="s">
        <v>6</v>
      </c>
      <c r="B39" s="49" t="s">
        <v>42</v>
      </c>
      <c r="C39" s="88">
        <v>3</v>
      </c>
      <c r="D39" s="171">
        <f>SUM(C39:C48)</f>
        <v>33</v>
      </c>
      <c r="E39" s="93">
        <v>5</v>
      </c>
      <c r="F39" s="165">
        <f>SUM(E39:E48)</f>
        <v>58</v>
      </c>
      <c r="G39" s="41"/>
      <c r="H39" s="88">
        <v>17</v>
      </c>
      <c r="I39" s="174">
        <f>SUM(H39:H48)</f>
        <v>93</v>
      </c>
      <c r="J39" s="93">
        <v>35</v>
      </c>
      <c r="K39" s="168">
        <f>SUM(J39:J48)</f>
        <v>166</v>
      </c>
      <c r="L39" s="1"/>
      <c r="M39" s="1"/>
      <c r="N39" s="180">
        <f>I110</f>
        <v>9</v>
      </c>
      <c r="O39" s="180">
        <f>J110</f>
        <v>11</v>
      </c>
      <c r="P39" s="180">
        <f>K110</f>
        <v>15</v>
      </c>
      <c r="Q39" s="182">
        <f>L110</f>
        <v>22</v>
      </c>
      <c r="R39" s="1"/>
      <c r="S39" s="177">
        <f>A110</f>
        <v>31</v>
      </c>
      <c r="T39" s="177">
        <f>B110</f>
        <v>54</v>
      </c>
      <c r="U39" s="177">
        <f>C110</f>
        <v>59</v>
      </c>
      <c r="V39" s="181">
        <f>D110</f>
        <v>87</v>
      </c>
    </row>
    <row r="40" spans="1:22" x14ac:dyDescent="0.25">
      <c r="A40" s="150"/>
      <c r="B40" s="48" t="s">
        <v>43</v>
      </c>
      <c r="C40" s="88">
        <v>18</v>
      </c>
      <c r="D40" s="172"/>
      <c r="E40" s="93">
        <v>31</v>
      </c>
      <c r="F40" s="166"/>
      <c r="G40" s="41"/>
      <c r="H40" s="88">
        <v>57</v>
      </c>
      <c r="I40" s="174"/>
      <c r="J40" s="93">
        <v>96</v>
      </c>
      <c r="K40" s="169"/>
      <c r="L40" s="1"/>
      <c r="M40" s="1"/>
      <c r="N40" s="178"/>
      <c r="O40" s="178"/>
      <c r="P40" s="178"/>
      <c r="Q40" s="190"/>
      <c r="R40" s="1"/>
      <c r="S40" s="178"/>
      <c r="T40" s="178"/>
      <c r="U40" s="178"/>
      <c r="V40" s="190"/>
    </row>
    <row r="41" spans="1:22" x14ac:dyDescent="0.25">
      <c r="A41" s="150"/>
      <c r="B41" s="48" t="s">
        <v>44</v>
      </c>
      <c r="C41" s="88">
        <v>1</v>
      </c>
      <c r="D41" s="172"/>
      <c r="E41" s="93">
        <v>1</v>
      </c>
      <c r="F41" s="166"/>
      <c r="G41" s="41"/>
      <c r="H41" s="88"/>
      <c r="I41" s="174"/>
      <c r="J41" s="93">
        <v>2</v>
      </c>
      <c r="K41" s="169"/>
      <c r="L41" s="1"/>
      <c r="M41" s="1"/>
      <c r="N41" s="178"/>
      <c r="O41" s="178"/>
      <c r="P41" s="178"/>
      <c r="Q41" s="190"/>
      <c r="R41" s="1"/>
      <c r="S41" s="178"/>
      <c r="T41" s="178"/>
      <c r="U41" s="178"/>
      <c r="V41" s="190"/>
    </row>
    <row r="42" spans="1:22" x14ac:dyDescent="0.25">
      <c r="A42" s="150"/>
      <c r="B42" s="48" t="s">
        <v>45</v>
      </c>
      <c r="C42" s="88"/>
      <c r="D42" s="172"/>
      <c r="E42" s="93"/>
      <c r="F42" s="166"/>
      <c r="G42" s="41"/>
      <c r="H42" s="88"/>
      <c r="I42" s="174"/>
      <c r="J42" s="93"/>
      <c r="K42" s="169"/>
      <c r="L42" s="1"/>
      <c r="M42" s="1"/>
      <c r="N42" s="178"/>
      <c r="O42" s="178"/>
      <c r="P42" s="178"/>
      <c r="Q42" s="190"/>
      <c r="R42" s="1"/>
      <c r="S42" s="178"/>
      <c r="T42" s="178"/>
      <c r="U42" s="178"/>
      <c r="V42" s="190"/>
    </row>
    <row r="43" spans="1:22" x14ac:dyDescent="0.25">
      <c r="A43" s="150"/>
      <c r="B43" s="48" t="s">
        <v>46</v>
      </c>
      <c r="C43" s="88"/>
      <c r="D43" s="172"/>
      <c r="E43" s="93"/>
      <c r="F43" s="166"/>
      <c r="G43" s="41"/>
      <c r="H43" s="88"/>
      <c r="I43" s="174"/>
      <c r="J43" s="93">
        <v>1</v>
      </c>
      <c r="K43" s="169"/>
      <c r="L43" s="1"/>
      <c r="M43" s="1"/>
      <c r="N43" s="178"/>
      <c r="O43" s="178"/>
      <c r="P43" s="178"/>
      <c r="Q43" s="190"/>
      <c r="R43" s="1"/>
      <c r="S43" s="178"/>
      <c r="T43" s="178"/>
      <c r="U43" s="178"/>
      <c r="V43" s="190"/>
    </row>
    <row r="44" spans="1:22" x14ac:dyDescent="0.25">
      <c r="A44" s="150"/>
      <c r="B44" s="48" t="s">
        <v>47</v>
      </c>
      <c r="C44" s="88">
        <v>2</v>
      </c>
      <c r="D44" s="172"/>
      <c r="E44" s="93">
        <v>3</v>
      </c>
      <c r="F44" s="166"/>
      <c r="G44" s="41"/>
      <c r="H44" s="88">
        <v>1</v>
      </c>
      <c r="I44" s="174"/>
      <c r="J44" s="93">
        <v>4</v>
      </c>
      <c r="K44" s="169"/>
      <c r="L44" s="1"/>
      <c r="M44" s="1"/>
      <c r="N44" s="178"/>
      <c r="O44" s="178"/>
      <c r="P44" s="178"/>
      <c r="Q44" s="190"/>
      <c r="R44" s="1"/>
      <c r="S44" s="178"/>
      <c r="T44" s="178"/>
      <c r="U44" s="178"/>
      <c r="V44" s="190"/>
    </row>
    <row r="45" spans="1:22" x14ac:dyDescent="0.25">
      <c r="A45" s="150"/>
      <c r="B45" s="48" t="s">
        <v>48</v>
      </c>
      <c r="C45" s="88">
        <v>3</v>
      </c>
      <c r="D45" s="172"/>
      <c r="E45" s="93">
        <v>7</v>
      </c>
      <c r="F45" s="166"/>
      <c r="G45" s="41"/>
      <c r="H45" s="88">
        <v>9</v>
      </c>
      <c r="I45" s="174"/>
      <c r="J45" s="93">
        <v>11</v>
      </c>
      <c r="K45" s="169"/>
      <c r="L45" s="1"/>
      <c r="M45" s="1"/>
      <c r="N45" s="178"/>
      <c r="O45" s="178"/>
      <c r="P45" s="178"/>
      <c r="Q45" s="190"/>
      <c r="R45" s="1"/>
      <c r="S45" s="178"/>
      <c r="T45" s="178"/>
      <c r="U45" s="178"/>
      <c r="V45" s="190"/>
    </row>
    <row r="46" spans="1:22" x14ac:dyDescent="0.25">
      <c r="A46" s="150"/>
      <c r="B46" s="48" t="s">
        <v>49</v>
      </c>
      <c r="C46" s="88">
        <v>1</v>
      </c>
      <c r="D46" s="172"/>
      <c r="E46" s="93">
        <v>3</v>
      </c>
      <c r="F46" s="166"/>
      <c r="G46" s="41"/>
      <c r="H46" s="88">
        <v>3</v>
      </c>
      <c r="I46" s="174"/>
      <c r="J46" s="93">
        <v>6</v>
      </c>
      <c r="K46" s="169"/>
      <c r="L46" s="1"/>
      <c r="M46" s="1"/>
      <c r="N46" s="178"/>
      <c r="O46" s="178"/>
      <c r="P46" s="178"/>
      <c r="Q46" s="190"/>
      <c r="R46" s="1"/>
      <c r="S46" s="178"/>
      <c r="T46" s="178"/>
      <c r="U46" s="178"/>
      <c r="V46" s="190"/>
    </row>
    <row r="47" spans="1:22" x14ac:dyDescent="0.25">
      <c r="A47" s="150"/>
      <c r="B47" s="48" t="s">
        <v>50</v>
      </c>
      <c r="C47" s="88">
        <v>5</v>
      </c>
      <c r="D47" s="172"/>
      <c r="E47" s="93">
        <v>7</v>
      </c>
      <c r="F47" s="166"/>
      <c r="G47" s="41"/>
      <c r="H47" s="88">
        <v>5</v>
      </c>
      <c r="I47" s="174"/>
      <c r="J47" s="93">
        <v>9</v>
      </c>
      <c r="K47" s="169"/>
      <c r="L47" s="1"/>
      <c r="M47" s="1"/>
      <c r="N47" s="178"/>
      <c r="O47" s="178"/>
      <c r="P47" s="178"/>
      <c r="Q47" s="190"/>
      <c r="R47" s="1"/>
      <c r="S47" s="178"/>
      <c r="T47" s="178"/>
      <c r="U47" s="178"/>
      <c r="V47" s="190"/>
    </row>
    <row r="48" spans="1:22" ht="15.75" thickBot="1" x14ac:dyDescent="0.3">
      <c r="A48" s="151"/>
      <c r="B48" s="48" t="s">
        <v>51</v>
      </c>
      <c r="C48" s="88"/>
      <c r="D48" s="173"/>
      <c r="E48" s="93">
        <v>1</v>
      </c>
      <c r="F48" s="167"/>
      <c r="G48" s="41"/>
      <c r="H48" s="88">
        <v>1</v>
      </c>
      <c r="I48" s="174"/>
      <c r="J48" s="93">
        <v>2</v>
      </c>
      <c r="K48" s="170"/>
      <c r="L48" s="1"/>
      <c r="M48" s="1"/>
      <c r="N48" s="179"/>
      <c r="O48" s="179"/>
      <c r="P48" s="179"/>
      <c r="Q48" s="191"/>
      <c r="R48" s="56"/>
      <c r="S48" s="179"/>
      <c r="T48" s="179"/>
      <c r="U48" s="179"/>
      <c r="V48" s="191"/>
    </row>
    <row r="49" spans="1:22" ht="15.75" thickBot="1" x14ac:dyDescent="0.3">
      <c r="A49" s="12" t="s">
        <v>13</v>
      </c>
      <c r="B49" s="50"/>
      <c r="C49" s="88">
        <v>1</v>
      </c>
      <c r="D49" s="89">
        <f>C49</f>
        <v>1</v>
      </c>
      <c r="E49" s="94">
        <v>1</v>
      </c>
      <c r="F49" s="91">
        <f>E49</f>
        <v>1</v>
      </c>
      <c r="G49" s="45"/>
      <c r="H49" s="95">
        <v>19</v>
      </c>
      <c r="I49" s="96">
        <f>H49</f>
        <v>19</v>
      </c>
      <c r="J49" s="94">
        <v>33</v>
      </c>
      <c r="K49" s="98">
        <f>J49</f>
        <v>33</v>
      </c>
      <c r="L49" s="1"/>
      <c r="M49" s="1"/>
      <c r="N49" s="127" t="s">
        <v>89</v>
      </c>
      <c r="O49" s="127" t="s">
        <v>89</v>
      </c>
      <c r="P49" s="128" t="s">
        <v>89</v>
      </c>
      <c r="Q49" s="108" t="s">
        <v>89</v>
      </c>
      <c r="R49" s="126"/>
      <c r="S49" s="127" t="s">
        <v>89</v>
      </c>
      <c r="T49" s="127" t="s">
        <v>89</v>
      </c>
      <c r="U49" s="128" t="s">
        <v>89</v>
      </c>
      <c r="V49" s="107" t="s">
        <v>89</v>
      </c>
    </row>
    <row r="50" spans="1:22" ht="15.75" thickBot="1" x14ac:dyDescent="0.3">
      <c r="A50" s="12" t="s">
        <v>7</v>
      </c>
      <c r="B50" s="51"/>
      <c r="C50" s="88">
        <v>109</v>
      </c>
      <c r="D50" s="90">
        <f>SUM(D5:D49)</f>
        <v>109</v>
      </c>
      <c r="E50" s="93">
        <v>199</v>
      </c>
      <c r="F50" s="92">
        <f>SUM(F5:F49)</f>
        <v>199</v>
      </c>
      <c r="G50" s="46"/>
      <c r="H50" s="88">
        <v>103</v>
      </c>
      <c r="I50" s="97">
        <f>SUM(I5:I49)</f>
        <v>703</v>
      </c>
      <c r="J50" s="93">
        <v>1305</v>
      </c>
      <c r="K50" s="99">
        <f>SUM(K5:K49)</f>
        <v>1305</v>
      </c>
      <c r="L50" s="1"/>
      <c r="M50" s="1"/>
      <c r="N50" s="59">
        <f>SUM(N5:N49)</f>
        <v>35</v>
      </c>
      <c r="O50" s="129">
        <f t="shared" ref="O50:Q50" si="0">SUM(O5:O49)</f>
        <v>44</v>
      </c>
      <c r="P50" s="59">
        <f t="shared" si="0"/>
        <v>73</v>
      </c>
      <c r="Q50" s="60">
        <f t="shared" si="0"/>
        <v>96</v>
      </c>
      <c r="R50" s="56"/>
      <c r="S50" s="59">
        <f>SUM(S5:S49)</f>
        <v>95</v>
      </c>
      <c r="T50" s="59">
        <f t="shared" ref="T50:V50" si="1">SUM(T5:T49)</f>
        <v>162</v>
      </c>
      <c r="U50" s="59">
        <f t="shared" si="1"/>
        <v>207</v>
      </c>
      <c r="V50" s="122">
        <f t="shared" si="1"/>
        <v>309</v>
      </c>
    </row>
    <row r="51" spans="1:22" x14ac:dyDescent="0.25">
      <c r="L51" s="1"/>
      <c r="M51" s="1"/>
    </row>
    <row r="59" spans="1:22" ht="26.25" customHeight="1" x14ac:dyDescent="0.25"/>
    <row r="60" spans="1:22" ht="15" customHeight="1" x14ac:dyDescent="0.25"/>
    <row r="61" spans="1:22" ht="115.5" customHeight="1" x14ac:dyDescent="0.25"/>
    <row r="100" spans="1:12" ht="26.25" hidden="1" x14ac:dyDescent="0.25">
      <c r="A100" s="209" t="s">
        <v>110</v>
      </c>
      <c r="B100" s="209"/>
      <c r="C100" s="209"/>
      <c r="D100" s="209"/>
      <c r="I100" s="211" t="s">
        <v>110</v>
      </c>
      <c r="J100" s="211"/>
      <c r="K100" s="211"/>
      <c r="L100" s="211"/>
    </row>
    <row r="101" spans="1:12" ht="26.25" hidden="1" x14ac:dyDescent="0.25">
      <c r="A101" s="209" t="s">
        <v>111</v>
      </c>
      <c r="B101" s="209"/>
      <c r="C101" s="209" t="s">
        <v>112</v>
      </c>
      <c r="D101" s="209"/>
      <c r="I101" s="211" t="s">
        <v>111</v>
      </c>
      <c r="J101" s="211"/>
      <c r="K101" s="211" t="s">
        <v>112</v>
      </c>
      <c r="L101" s="211"/>
    </row>
    <row r="102" spans="1:12" hidden="1" x14ac:dyDescent="0.25">
      <c r="A102" s="210" t="s">
        <v>113</v>
      </c>
      <c r="B102" s="210" t="s">
        <v>114</v>
      </c>
      <c r="C102" s="210" t="s">
        <v>113</v>
      </c>
      <c r="D102" s="210" t="s">
        <v>114</v>
      </c>
      <c r="I102" s="212" t="s">
        <v>115</v>
      </c>
      <c r="J102" s="212" t="s">
        <v>116</v>
      </c>
      <c r="K102" s="212" t="s">
        <v>115</v>
      </c>
      <c r="L102" s="212" t="s">
        <v>116</v>
      </c>
    </row>
    <row r="103" spans="1:12" hidden="1" x14ac:dyDescent="0.25">
      <c r="A103" s="210"/>
      <c r="B103" s="210"/>
      <c r="C103" s="210"/>
      <c r="D103" s="210"/>
      <c r="I103" s="212"/>
      <c r="J103" s="212"/>
      <c r="K103" s="212"/>
      <c r="L103" s="212"/>
    </row>
    <row r="104" spans="1:12" ht="25.5" hidden="1" x14ac:dyDescent="0.25">
      <c r="A104" s="135">
        <v>18</v>
      </c>
      <c r="B104" s="136">
        <v>17</v>
      </c>
      <c r="C104" s="135">
        <v>40</v>
      </c>
      <c r="D104" s="136">
        <v>50</v>
      </c>
      <c r="I104" s="137">
        <v>4</v>
      </c>
      <c r="J104" s="138">
        <v>8</v>
      </c>
      <c r="K104" s="137">
        <v>12</v>
      </c>
      <c r="L104" s="138">
        <v>13</v>
      </c>
    </row>
    <row r="105" spans="1:12" ht="25.5" hidden="1" x14ac:dyDescent="0.25">
      <c r="A105" s="135">
        <v>2</v>
      </c>
      <c r="B105" s="136">
        <v>15</v>
      </c>
      <c r="C105" s="135">
        <v>10</v>
      </c>
      <c r="D105" s="136">
        <v>34</v>
      </c>
      <c r="I105" s="137">
        <v>1</v>
      </c>
      <c r="J105" s="138">
        <v>2</v>
      </c>
      <c r="K105" s="137">
        <v>2</v>
      </c>
      <c r="L105" s="138">
        <v>4</v>
      </c>
    </row>
    <row r="106" spans="1:12" ht="25.5" hidden="1" x14ac:dyDescent="0.25">
      <c r="A106" s="135">
        <v>10</v>
      </c>
      <c r="B106" s="136">
        <v>23</v>
      </c>
      <c r="C106" s="135">
        <v>29</v>
      </c>
      <c r="D106" s="136">
        <v>37</v>
      </c>
      <c r="I106" s="137">
        <v>2</v>
      </c>
      <c r="J106" s="138">
        <v>11</v>
      </c>
      <c r="K106" s="137">
        <v>9</v>
      </c>
      <c r="L106" s="138">
        <v>13</v>
      </c>
    </row>
    <row r="107" spans="1:12" ht="25.5" hidden="1" x14ac:dyDescent="0.25">
      <c r="A107" s="135">
        <v>19</v>
      </c>
      <c r="B107" s="136">
        <v>25</v>
      </c>
      <c r="C107" s="135">
        <v>35</v>
      </c>
      <c r="D107" s="136">
        <v>39</v>
      </c>
      <c r="I107" s="137">
        <v>9</v>
      </c>
      <c r="J107" s="138">
        <v>3</v>
      </c>
      <c r="K107" s="137">
        <v>20</v>
      </c>
      <c r="L107" s="138">
        <v>18</v>
      </c>
    </row>
    <row r="108" spans="1:12" ht="25.5" hidden="1" x14ac:dyDescent="0.25">
      <c r="A108" s="135">
        <v>11</v>
      </c>
      <c r="B108" s="136">
        <v>19</v>
      </c>
      <c r="C108" s="135">
        <v>20</v>
      </c>
      <c r="D108" s="136">
        <v>37</v>
      </c>
      <c r="I108" s="137">
        <v>2</v>
      </c>
      <c r="J108" s="138">
        <v>3</v>
      </c>
      <c r="K108" s="137">
        <v>4</v>
      </c>
      <c r="L108" s="138">
        <v>11</v>
      </c>
    </row>
    <row r="109" spans="1:12" ht="25.5" hidden="1" x14ac:dyDescent="0.25">
      <c r="A109" s="135">
        <v>4</v>
      </c>
      <c r="B109" s="136">
        <v>9</v>
      </c>
      <c r="C109" s="135">
        <v>14</v>
      </c>
      <c r="D109" s="136">
        <v>25</v>
      </c>
      <c r="I109" s="137">
        <v>8</v>
      </c>
      <c r="J109" s="138">
        <v>6</v>
      </c>
      <c r="K109" s="137">
        <v>11</v>
      </c>
      <c r="L109" s="138">
        <v>15</v>
      </c>
    </row>
    <row r="110" spans="1:12" ht="25.5" hidden="1" x14ac:dyDescent="0.25">
      <c r="A110" s="135">
        <v>31</v>
      </c>
      <c r="B110" s="136">
        <v>54</v>
      </c>
      <c r="C110" s="135">
        <v>59</v>
      </c>
      <c r="D110" s="136">
        <v>87</v>
      </c>
      <c r="I110" s="137">
        <v>9</v>
      </c>
      <c r="J110" s="138">
        <v>11</v>
      </c>
      <c r="K110" s="137">
        <v>15</v>
      </c>
      <c r="L110" s="138">
        <v>22</v>
      </c>
    </row>
    <row r="111" spans="1:12" ht="25.5" hidden="1" x14ac:dyDescent="0.25">
      <c r="A111" s="135">
        <v>95</v>
      </c>
      <c r="B111" s="136">
        <v>162</v>
      </c>
      <c r="C111" s="135">
        <v>207</v>
      </c>
      <c r="D111" s="136">
        <v>309</v>
      </c>
      <c r="I111" s="137">
        <v>35</v>
      </c>
      <c r="J111" s="138">
        <v>44</v>
      </c>
      <c r="K111" s="137">
        <v>73</v>
      </c>
      <c r="L111" s="138">
        <v>96</v>
      </c>
    </row>
  </sheetData>
  <sheetProtection password="8A47" sheet="1" objects="1" scenarios="1" selectLockedCells="1" selectUnlockedCells="1"/>
  <mergeCells count="120">
    <mergeCell ref="A100:D100"/>
    <mergeCell ref="A101:B101"/>
    <mergeCell ref="C101:D101"/>
    <mergeCell ref="A102:A103"/>
    <mergeCell ref="B102:B103"/>
    <mergeCell ref="C102:C103"/>
    <mergeCell ref="D102:D103"/>
    <mergeCell ref="I100:L100"/>
    <mergeCell ref="I101:J101"/>
    <mergeCell ref="K101:L101"/>
    <mergeCell ref="I102:I103"/>
    <mergeCell ref="J102:J103"/>
    <mergeCell ref="K102:K103"/>
    <mergeCell ref="L102:L103"/>
    <mergeCell ref="V10:V14"/>
    <mergeCell ref="V15:V20"/>
    <mergeCell ref="V21:V24"/>
    <mergeCell ref="V25:V32"/>
    <mergeCell ref="V33:V38"/>
    <mergeCell ref="V39:V48"/>
    <mergeCell ref="N10:N14"/>
    <mergeCell ref="O10:O14"/>
    <mergeCell ref="N15:N20"/>
    <mergeCell ref="O15:O20"/>
    <mergeCell ref="N21:N24"/>
    <mergeCell ref="O21:O24"/>
    <mergeCell ref="P10:P14"/>
    <mergeCell ref="Q10:Q14"/>
    <mergeCell ref="N25:N32"/>
    <mergeCell ref="O25:O32"/>
    <mergeCell ref="N33:N38"/>
    <mergeCell ref="S39:S48"/>
    <mergeCell ref="T10:T14"/>
    <mergeCell ref="U10:U14"/>
    <mergeCell ref="T15:T20"/>
    <mergeCell ref="U15:U20"/>
    <mergeCell ref="T25:T32"/>
    <mergeCell ref="U25:U32"/>
    <mergeCell ref="T33:T38"/>
    <mergeCell ref="U33:U38"/>
    <mergeCell ref="T39:T48"/>
    <mergeCell ref="U39:U48"/>
    <mergeCell ref="T21:T24"/>
    <mergeCell ref="U21:U24"/>
    <mergeCell ref="S21:S24"/>
    <mergeCell ref="S25:S32"/>
    <mergeCell ref="S33:S38"/>
    <mergeCell ref="S10:S14"/>
    <mergeCell ref="S15:S20"/>
    <mergeCell ref="S2:V2"/>
    <mergeCell ref="N1:V1"/>
    <mergeCell ref="P5:P9"/>
    <mergeCell ref="Q5:Q9"/>
    <mergeCell ref="V5:V9"/>
    <mergeCell ref="N2:Q2"/>
    <mergeCell ref="C2:F2"/>
    <mergeCell ref="H2:K2"/>
    <mergeCell ref="J3:K3"/>
    <mergeCell ref="H3:I3"/>
    <mergeCell ref="C1:K1"/>
    <mergeCell ref="C3:D3"/>
    <mergeCell ref="E3:F3"/>
    <mergeCell ref="N3:O3"/>
    <mergeCell ref="P3:Q3"/>
    <mergeCell ref="S5:S9"/>
    <mergeCell ref="N5:N9"/>
    <mergeCell ref="O5:O9"/>
    <mergeCell ref="T5:T9"/>
    <mergeCell ref="U5:U9"/>
    <mergeCell ref="S3:T3"/>
    <mergeCell ref="U3:V3"/>
    <mergeCell ref="D15:D20"/>
    <mergeCell ref="D21:D24"/>
    <mergeCell ref="D25:D32"/>
    <mergeCell ref="D33:D38"/>
    <mergeCell ref="I5:I9"/>
    <mergeCell ref="I10:I14"/>
    <mergeCell ref="I15:I20"/>
    <mergeCell ref="I21:I24"/>
    <mergeCell ref="K5:K9"/>
    <mergeCell ref="F5:F9"/>
    <mergeCell ref="K10:K14"/>
    <mergeCell ref="F10:F14"/>
    <mergeCell ref="O33:O38"/>
    <mergeCell ref="N39:N48"/>
    <mergeCell ref="O39:O48"/>
    <mergeCell ref="P15:P20"/>
    <mergeCell ref="Q15:Q20"/>
    <mergeCell ref="P21:P24"/>
    <mergeCell ref="Q21:Q24"/>
    <mergeCell ref="P25:P32"/>
    <mergeCell ref="Q25:Q32"/>
    <mergeCell ref="P33:P38"/>
    <mergeCell ref="Q33:Q38"/>
    <mergeCell ref="P39:P48"/>
    <mergeCell ref="Q39:Q48"/>
    <mergeCell ref="A39:A48"/>
    <mergeCell ref="A1:B4"/>
    <mergeCell ref="F39:F48"/>
    <mergeCell ref="K39:K48"/>
    <mergeCell ref="D39:D48"/>
    <mergeCell ref="I39:I48"/>
    <mergeCell ref="A5:A9"/>
    <mergeCell ref="A10:A14"/>
    <mergeCell ref="A15:A20"/>
    <mergeCell ref="A21:A24"/>
    <mergeCell ref="A25:A32"/>
    <mergeCell ref="A33:A38"/>
    <mergeCell ref="K33:K38"/>
    <mergeCell ref="F33:F38"/>
    <mergeCell ref="K15:K20"/>
    <mergeCell ref="F15:F20"/>
    <mergeCell ref="K21:K24"/>
    <mergeCell ref="F21:F24"/>
    <mergeCell ref="K25:K32"/>
    <mergeCell ref="F25:F32"/>
    <mergeCell ref="I25:I32"/>
    <mergeCell ref="I33:I38"/>
    <mergeCell ref="D5:D9"/>
    <mergeCell ref="D10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11"/>
  <sheetViews>
    <sheetView zoomScale="70" zoomScaleNormal="70" workbookViewId="0">
      <selection activeCell="A67" sqref="A67:XFD90"/>
    </sheetView>
  </sheetViews>
  <sheetFormatPr defaultRowHeight="15" x14ac:dyDescent="0.25"/>
  <cols>
    <col min="1" max="1" width="16.85546875" customWidth="1"/>
    <col min="2" max="2" width="11.5703125" customWidth="1"/>
    <col min="3" max="4" width="21.28515625" customWidth="1"/>
    <col min="5" max="5" width="4.140625" customWidth="1"/>
    <col min="6" max="7" width="21.28515625" customWidth="1"/>
  </cols>
  <sheetData>
    <row r="1" spans="1:7" ht="45.75" customHeight="1" x14ac:dyDescent="0.25">
      <c r="A1" s="161">
        <f>Holds!A1</f>
        <v>41122</v>
      </c>
      <c r="B1" s="161"/>
      <c r="C1" s="216" t="s">
        <v>65</v>
      </c>
      <c r="D1" s="217"/>
      <c r="E1" s="14"/>
      <c r="F1" s="216" t="s">
        <v>63</v>
      </c>
      <c r="G1" s="217"/>
    </row>
    <row r="2" spans="1:7" s="3" customFormat="1" ht="36.75" customHeight="1" x14ac:dyDescent="0.25">
      <c r="A2" s="161"/>
      <c r="B2" s="161"/>
      <c r="C2" s="23" t="s">
        <v>66</v>
      </c>
      <c r="D2" s="24" t="s">
        <v>105</v>
      </c>
      <c r="F2" s="23" t="s">
        <v>67</v>
      </c>
      <c r="G2" s="24" t="s">
        <v>106</v>
      </c>
    </row>
    <row r="3" spans="1:7" ht="5.25" customHeight="1" x14ac:dyDescent="0.25">
      <c r="A3" s="161"/>
      <c r="B3" s="161"/>
    </row>
    <row r="4" spans="1:7" ht="5.25" customHeight="1" x14ac:dyDescent="0.25">
      <c r="A4" s="164"/>
      <c r="B4" s="164"/>
    </row>
    <row r="5" spans="1:7" x14ac:dyDescent="0.25">
      <c r="A5" s="149" t="s">
        <v>0</v>
      </c>
      <c r="B5" s="10" t="s">
        <v>8</v>
      </c>
      <c r="C5" s="213">
        <f>C67</f>
        <v>326</v>
      </c>
      <c r="D5" s="213">
        <f>D67</f>
        <v>414</v>
      </c>
      <c r="F5" s="213">
        <f t="shared" ref="F5:G5" si="0">F67</f>
        <v>63</v>
      </c>
      <c r="G5" s="213">
        <f t="shared" si="0"/>
        <v>80</v>
      </c>
    </row>
    <row r="6" spans="1:7" x14ac:dyDescent="0.25">
      <c r="A6" s="150"/>
      <c r="B6" s="11" t="s">
        <v>9</v>
      </c>
      <c r="C6" s="214"/>
      <c r="D6" s="214"/>
      <c r="F6" s="214"/>
      <c r="G6" s="214"/>
    </row>
    <row r="7" spans="1:7" x14ac:dyDescent="0.25">
      <c r="A7" s="150"/>
      <c r="B7" s="11" t="s">
        <v>10</v>
      </c>
      <c r="C7" s="214"/>
      <c r="D7" s="214"/>
      <c r="F7" s="214"/>
      <c r="G7" s="214"/>
    </row>
    <row r="8" spans="1:7" x14ac:dyDescent="0.25">
      <c r="A8" s="150"/>
      <c r="B8" s="11" t="s">
        <v>11</v>
      </c>
      <c r="C8" s="214"/>
      <c r="D8" s="214"/>
      <c r="F8" s="214"/>
      <c r="G8" s="214"/>
    </row>
    <row r="9" spans="1:7" x14ac:dyDescent="0.25">
      <c r="A9" s="151"/>
      <c r="B9" s="11" t="s">
        <v>12</v>
      </c>
      <c r="C9" s="215"/>
      <c r="D9" s="215"/>
      <c r="F9" s="215"/>
      <c r="G9" s="215"/>
    </row>
    <row r="10" spans="1:7" x14ac:dyDescent="0.25">
      <c r="A10" s="149" t="s">
        <v>1</v>
      </c>
      <c r="B10" s="10" t="s">
        <v>14</v>
      </c>
      <c r="C10" s="213">
        <f>C68</f>
        <v>205</v>
      </c>
      <c r="D10" s="213">
        <f>D68</f>
        <v>266</v>
      </c>
      <c r="F10" s="213">
        <f t="shared" ref="F10:G10" si="1">F68</f>
        <v>69</v>
      </c>
      <c r="G10" s="213">
        <f t="shared" si="1"/>
        <v>75</v>
      </c>
    </row>
    <row r="11" spans="1:7" x14ac:dyDescent="0.25">
      <c r="A11" s="150"/>
      <c r="B11" s="11" t="s">
        <v>15</v>
      </c>
      <c r="C11" s="214"/>
      <c r="D11" s="214"/>
      <c r="F11" s="214"/>
      <c r="G11" s="214"/>
    </row>
    <row r="12" spans="1:7" x14ac:dyDescent="0.25">
      <c r="A12" s="150"/>
      <c r="B12" s="11" t="s">
        <v>16</v>
      </c>
      <c r="C12" s="214"/>
      <c r="D12" s="214"/>
      <c r="F12" s="214"/>
      <c r="G12" s="214"/>
    </row>
    <row r="13" spans="1:7" x14ac:dyDescent="0.25">
      <c r="A13" s="150"/>
      <c r="B13" s="11" t="s">
        <v>17</v>
      </c>
      <c r="C13" s="214"/>
      <c r="D13" s="214"/>
      <c r="F13" s="214"/>
      <c r="G13" s="214"/>
    </row>
    <row r="14" spans="1:7" x14ac:dyDescent="0.25">
      <c r="A14" s="151"/>
      <c r="B14" s="11" t="s">
        <v>18</v>
      </c>
      <c r="C14" s="215"/>
      <c r="D14" s="215"/>
      <c r="F14" s="215"/>
      <c r="G14" s="215"/>
    </row>
    <row r="15" spans="1:7" x14ac:dyDescent="0.25">
      <c r="A15" s="149" t="s">
        <v>2</v>
      </c>
      <c r="B15" s="10" t="s">
        <v>19</v>
      </c>
      <c r="C15" s="213">
        <f>C69</f>
        <v>430</v>
      </c>
      <c r="D15" s="213">
        <f>D69</f>
        <v>527</v>
      </c>
      <c r="F15" s="213">
        <f t="shared" ref="F15:G15" si="2">F69</f>
        <v>76</v>
      </c>
      <c r="G15" s="213">
        <f t="shared" si="2"/>
        <v>83</v>
      </c>
    </row>
    <row r="16" spans="1:7" x14ac:dyDescent="0.25">
      <c r="A16" s="150"/>
      <c r="B16" s="11" t="s">
        <v>20</v>
      </c>
      <c r="C16" s="214"/>
      <c r="D16" s="214"/>
      <c r="F16" s="214"/>
      <c r="G16" s="214"/>
    </row>
    <row r="17" spans="1:7" x14ac:dyDescent="0.25">
      <c r="A17" s="150"/>
      <c r="B17" s="11" t="s">
        <v>21</v>
      </c>
      <c r="C17" s="214"/>
      <c r="D17" s="214"/>
      <c r="F17" s="214"/>
      <c r="G17" s="214"/>
    </row>
    <row r="18" spans="1:7" x14ac:dyDescent="0.25">
      <c r="A18" s="150"/>
      <c r="B18" s="11" t="s">
        <v>22</v>
      </c>
      <c r="C18" s="214"/>
      <c r="D18" s="214"/>
      <c r="F18" s="214"/>
      <c r="G18" s="214"/>
    </row>
    <row r="19" spans="1:7" x14ac:dyDescent="0.25">
      <c r="A19" s="150"/>
      <c r="B19" s="11" t="s">
        <v>23</v>
      </c>
      <c r="C19" s="214"/>
      <c r="D19" s="214"/>
      <c r="F19" s="214"/>
      <c r="G19" s="214"/>
    </row>
    <row r="20" spans="1:7" x14ac:dyDescent="0.25">
      <c r="A20" s="151"/>
      <c r="B20" s="11" t="s">
        <v>24</v>
      </c>
      <c r="C20" s="215"/>
      <c r="D20" s="215"/>
      <c r="F20" s="215"/>
      <c r="G20" s="215"/>
    </row>
    <row r="21" spans="1:7" x14ac:dyDescent="0.25">
      <c r="A21" s="149" t="s">
        <v>3</v>
      </c>
      <c r="B21" s="10" t="s">
        <v>25</v>
      </c>
      <c r="C21" s="213">
        <f>C70</f>
        <v>605</v>
      </c>
      <c r="D21" s="213">
        <f>D70</f>
        <v>830</v>
      </c>
      <c r="F21" s="213">
        <f t="shared" ref="F21:G21" si="3">F70</f>
        <v>114</v>
      </c>
      <c r="G21" s="213">
        <f t="shared" si="3"/>
        <v>147</v>
      </c>
    </row>
    <row r="22" spans="1:7" x14ac:dyDescent="0.25">
      <c r="A22" s="150"/>
      <c r="B22" s="11" t="s">
        <v>26</v>
      </c>
      <c r="C22" s="214"/>
      <c r="D22" s="214"/>
      <c r="F22" s="214"/>
      <c r="G22" s="214"/>
    </row>
    <row r="23" spans="1:7" x14ac:dyDescent="0.25">
      <c r="A23" s="150"/>
      <c r="B23" s="11" t="s">
        <v>27</v>
      </c>
      <c r="C23" s="214"/>
      <c r="D23" s="214"/>
      <c r="F23" s="214"/>
      <c r="G23" s="214"/>
    </row>
    <row r="24" spans="1:7" x14ac:dyDescent="0.25">
      <c r="A24" s="151"/>
      <c r="B24" s="11" t="s">
        <v>28</v>
      </c>
      <c r="C24" s="215"/>
      <c r="D24" s="215"/>
      <c r="F24" s="215"/>
      <c r="G24" s="215"/>
    </row>
    <row r="25" spans="1:7" x14ac:dyDescent="0.25">
      <c r="A25" s="149" t="s">
        <v>4</v>
      </c>
      <c r="B25" s="10" t="s">
        <v>29</v>
      </c>
      <c r="C25" s="213">
        <f>C71</f>
        <v>236</v>
      </c>
      <c r="D25" s="213">
        <f>D71</f>
        <v>362</v>
      </c>
      <c r="F25" s="213">
        <f t="shared" ref="F25:G25" si="4">F71</f>
        <v>45</v>
      </c>
      <c r="G25" s="213">
        <f t="shared" si="4"/>
        <v>68</v>
      </c>
    </row>
    <row r="26" spans="1:7" x14ac:dyDescent="0.25">
      <c r="A26" s="150"/>
      <c r="B26" s="11" t="s">
        <v>30</v>
      </c>
      <c r="C26" s="214"/>
      <c r="D26" s="214"/>
      <c r="F26" s="214"/>
      <c r="G26" s="214"/>
    </row>
    <row r="27" spans="1:7" x14ac:dyDescent="0.25">
      <c r="A27" s="150"/>
      <c r="B27" s="11" t="s">
        <v>31</v>
      </c>
      <c r="C27" s="214"/>
      <c r="D27" s="214"/>
      <c r="F27" s="214"/>
      <c r="G27" s="214"/>
    </row>
    <row r="28" spans="1:7" x14ac:dyDescent="0.25">
      <c r="A28" s="150"/>
      <c r="B28" s="11" t="s">
        <v>32</v>
      </c>
      <c r="C28" s="214"/>
      <c r="D28" s="214"/>
      <c r="F28" s="214"/>
      <c r="G28" s="214"/>
    </row>
    <row r="29" spans="1:7" x14ac:dyDescent="0.25">
      <c r="A29" s="150"/>
      <c r="B29" s="11" t="s">
        <v>33</v>
      </c>
      <c r="C29" s="214"/>
      <c r="D29" s="214"/>
      <c r="F29" s="214"/>
      <c r="G29" s="214"/>
    </row>
    <row r="30" spans="1:7" x14ac:dyDescent="0.25">
      <c r="A30" s="150"/>
      <c r="B30" s="11" t="s">
        <v>69</v>
      </c>
      <c r="C30" s="214"/>
      <c r="D30" s="214"/>
      <c r="F30" s="214"/>
      <c r="G30" s="214"/>
    </row>
    <row r="31" spans="1:7" x14ac:dyDescent="0.25">
      <c r="A31" s="150"/>
      <c r="B31" s="11" t="s">
        <v>34</v>
      </c>
      <c r="C31" s="214"/>
      <c r="D31" s="214"/>
      <c r="F31" s="214"/>
      <c r="G31" s="214"/>
    </row>
    <row r="32" spans="1:7" x14ac:dyDescent="0.25">
      <c r="A32" s="151"/>
      <c r="B32" s="11" t="s">
        <v>35</v>
      </c>
      <c r="C32" s="215"/>
      <c r="D32" s="215"/>
      <c r="F32" s="215"/>
      <c r="G32" s="215"/>
    </row>
    <row r="33" spans="1:7" x14ac:dyDescent="0.25">
      <c r="A33" s="149" t="s">
        <v>5</v>
      </c>
      <c r="B33" s="10" t="s">
        <v>36</v>
      </c>
      <c r="C33" s="213">
        <f>C72</f>
        <v>244</v>
      </c>
      <c r="D33" s="213">
        <f>D72</f>
        <v>315</v>
      </c>
      <c r="F33" s="213">
        <f t="shared" ref="F33:G33" si="5">F72</f>
        <v>48</v>
      </c>
      <c r="G33" s="213">
        <f t="shared" si="5"/>
        <v>66</v>
      </c>
    </row>
    <row r="34" spans="1:7" x14ac:dyDescent="0.25">
      <c r="A34" s="150"/>
      <c r="B34" s="11" t="s">
        <v>37</v>
      </c>
      <c r="C34" s="214"/>
      <c r="D34" s="214"/>
      <c r="F34" s="214"/>
      <c r="G34" s="214"/>
    </row>
    <row r="35" spans="1:7" x14ac:dyDescent="0.25">
      <c r="A35" s="150"/>
      <c r="B35" s="11" t="s">
        <v>38</v>
      </c>
      <c r="C35" s="214"/>
      <c r="D35" s="214"/>
      <c r="F35" s="214"/>
      <c r="G35" s="214"/>
    </row>
    <row r="36" spans="1:7" x14ac:dyDescent="0.25">
      <c r="A36" s="150"/>
      <c r="B36" s="11" t="s">
        <v>39</v>
      </c>
      <c r="C36" s="214"/>
      <c r="D36" s="214"/>
      <c r="F36" s="214"/>
      <c r="G36" s="214"/>
    </row>
    <row r="37" spans="1:7" x14ac:dyDescent="0.25">
      <c r="A37" s="150"/>
      <c r="B37" s="11" t="s">
        <v>40</v>
      </c>
      <c r="C37" s="214"/>
      <c r="D37" s="214"/>
      <c r="F37" s="214"/>
      <c r="G37" s="214"/>
    </row>
    <row r="38" spans="1:7" x14ac:dyDescent="0.25">
      <c r="A38" s="151"/>
      <c r="B38" s="11" t="s">
        <v>41</v>
      </c>
      <c r="C38" s="215"/>
      <c r="D38" s="215"/>
      <c r="F38" s="215"/>
      <c r="G38" s="215"/>
    </row>
    <row r="39" spans="1:7" x14ac:dyDescent="0.25">
      <c r="A39" s="149" t="s">
        <v>6</v>
      </c>
      <c r="B39" s="10" t="s">
        <v>42</v>
      </c>
      <c r="C39" s="213">
        <f>C73</f>
        <v>543</v>
      </c>
      <c r="D39" s="213">
        <f>D73</f>
        <v>656</v>
      </c>
      <c r="F39" s="213">
        <f t="shared" ref="F39:G39" si="6">F73</f>
        <v>186</v>
      </c>
      <c r="G39" s="213">
        <f t="shared" si="6"/>
        <v>213</v>
      </c>
    </row>
    <row r="40" spans="1:7" x14ac:dyDescent="0.25">
      <c r="A40" s="150"/>
      <c r="B40" s="11" t="s">
        <v>43</v>
      </c>
      <c r="C40" s="214"/>
      <c r="D40" s="214"/>
      <c r="F40" s="214"/>
      <c r="G40" s="214"/>
    </row>
    <row r="41" spans="1:7" x14ac:dyDescent="0.25">
      <c r="A41" s="150"/>
      <c r="B41" s="11" t="s">
        <v>44</v>
      </c>
      <c r="C41" s="214"/>
      <c r="D41" s="214"/>
      <c r="F41" s="214"/>
      <c r="G41" s="214"/>
    </row>
    <row r="42" spans="1:7" x14ac:dyDescent="0.25">
      <c r="A42" s="150"/>
      <c r="B42" s="11" t="s">
        <v>45</v>
      </c>
      <c r="C42" s="214"/>
      <c r="D42" s="214"/>
      <c r="F42" s="214"/>
      <c r="G42" s="214"/>
    </row>
    <row r="43" spans="1:7" x14ac:dyDescent="0.25">
      <c r="A43" s="150"/>
      <c r="B43" s="11" t="s">
        <v>46</v>
      </c>
      <c r="C43" s="214"/>
      <c r="D43" s="214"/>
      <c r="F43" s="214"/>
      <c r="G43" s="214"/>
    </row>
    <row r="44" spans="1:7" x14ac:dyDescent="0.25">
      <c r="A44" s="150"/>
      <c r="B44" s="11" t="s">
        <v>47</v>
      </c>
      <c r="C44" s="214"/>
      <c r="D44" s="214"/>
      <c r="F44" s="214"/>
      <c r="G44" s="214"/>
    </row>
    <row r="45" spans="1:7" x14ac:dyDescent="0.25">
      <c r="A45" s="150"/>
      <c r="B45" s="11" t="s">
        <v>48</v>
      </c>
      <c r="C45" s="214"/>
      <c r="D45" s="214"/>
      <c r="F45" s="214"/>
      <c r="G45" s="214"/>
    </row>
    <row r="46" spans="1:7" x14ac:dyDescent="0.25">
      <c r="A46" s="150"/>
      <c r="B46" s="11" t="s">
        <v>49</v>
      </c>
      <c r="C46" s="214"/>
      <c r="D46" s="214"/>
      <c r="F46" s="214"/>
      <c r="G46" s="214"/>
    </row>
    <row r="47" spans="1:7" x14ac:dyDescent="0.25">
      <c r="A47" s="150"/>
      <c r="B47" s="11" t="s">
        <v>50</v>
      </c>
      <c r="C47" s="214"/>
      <c r="D47" s="214"/>
      <c r="F47" s="214"/>
      <c r="G47" s="214"/>
    </row>
    <row r="48" spans="1:7" x14ac:dyDescent="0.25">
      <c r="A48" s="151"/>
      <c r="B48" s="11" t="s">
        <v>51</v>
      </c>
      <c r="C48" s="215"/>
      <c r="D48" s="215"/>
      <c r="F48" s="215"/>
      <c r="G48" s="215"/>
    </row>
    <row r="49" spans="1:7" x14ac:dyDescent="0.25">
      <c r="A49" s="12" t="s">
        <v>13</v>
      </c>
      <c r="B49" s="13"/>
      <c r="C49" s="95" t="s">
        <v>89</v>
      </c>
      <c r="D49" s="124" t="s">
        <v>89</v>
      </c>
      <c r="E49" s="125"/>
      <c r="F49" s="95" t="s">
        <v>89</v>
      </c>
      <c r="G49" s="124" t="s">
        <v>89</v>
      </c>
    </row>
    <row r="50" spans="1:7" x14ac:dyDescent="0.25">
      <c r="A50" s="12" t="s">
        <v>7</v>
      </c>
      <c r="B50" s="13"/>
      <c r="C50" s="68">
        <f>SUM(C5:C49)</f>
        <v>2589</v>
      </c>
      <c r="D50" s="69">
        <f>SUM(D5:D49)</f>
        <v>3370</v>
      </c>
      <c r="F50" s="68">
        <f>SUM(F5:F49)</f>
        <v>601</v>
      </c>
      <c r="G50" s="69">
        <f>SUM(G5:G49)</f>
        <v>732</v>
      </c>
    </row>
    <row r="67" spans="3:14" hidden="1" x14ac:dyDescent="0.25">
      <c r="C67">
        <v>326</v>
      </c>
      <c r="D67">
        <v>414</v>
      </c>
      <c r="F67">
        <v>63</v>
      </c>
      <c r="G67">
        <v>80</v>
      </c>
    </row>
    <row r="68" spans="3:14" hidden="1" x14ac:dyDescent="0.25">
      <c r="C68">
        <v>205</v>
      </c>
      <c r="D68">
        <v>266</v>
      </c>
      <c r="F68">
        <v>69</v>
      </c>
      <c r="G68">
        <v>75</v>
      </c>
    </row>
    <row r="69" spans="3:14" hidden="1" x14ac:dyDescent="0.25">
      <c r="C69">
        <v>430</v>
      </c>
      <c r="D69">
        <v>527</v>
      </c>
      <c r="F69">
        <v>76</v>
      </c>
      <c r="G69">
        <v>83</v>
      </c>
    </row>
    <row r="70" spans="3:14" hidden="1" x14ac:dyDescent="0.25">
      <c r="C70">
        <v>605</v>
      </c>
      <c r="D70">
        <v>830</v>
      </c>
      <c r="F70">
        <v>114</v>
      </c>
      <c r="G70">
        <v>147</v>
      </c>
      <c r="H70">
        <v>63</v>
      </c>
      <c r="I70">
        <v>69</v>
      </c>
      <c r="J70">
        <v>76</v>
      </c>
      <c r="K70">
        <v>114</v>
      </c>
      <c r="L70">
        <v>45</v>
      </c>
      <c r="M70">
        <v>48</v>
      </c>
      <c r="N70">
        <v>186</v>
      </c>
    </row>
    <row r="71" spans="3:14" hidden="1" x14ac:dyDescent="0.25">
      <c r="C71">
        <v>236</v>
      </c>
      <c r="D71">
        <v>362</v>
      </c>
      <c r="F71">
        <v>45</v>
      </c>
      <c r="G71">
        <v>68</v>
      </c>
      <c r="H71">
        <v>80</v>
      </c>
      <c r="I71">
        <v>75</v>
      </c>
      <c r="J71">
        <v>83</v>
      </c>
      <c r="K71">
        <v>147</v>
      </c>
      <c r="L71">
        <v>68</v>
      </c>
      <c r="M71">
        <v>66</v>
      </c>
      <c r="N71">
        <v>213</v>
      </c>
    </row>
    <row r="72" spans="3:14" hidden="1" x14ac:dyDescent="0.25">
      <c r="C72">
        <v>244</v>
      </c>
      <c r="D72">
        <v>315</v>
      </c>
      <c r="F72">
        <v>48</v>
      </c>
      <c r="G72">
        <v>66</v>
      </c>
    </row>
    <row r="73" spans="3:14" hidden="1" x14ac:dyDescent="0.25">
      <c r="C73">
        <v>543</v>
      </c>
      <c r="D73">
        <v>656</v>
      </c>
      <c r="F73">
        <v>186</v>
      </c>
      <c r="G73">
        <v>213</v>
      </c>
    </row>
    <row r="74" spans="3:14" hidden="1" x14ac:dyDescent="0.25"/>
    <row r="75" spans="3:14" hidden="1" x14ac:dyDescent="0.25"/>
    <row r="76" spans="3:14" hidden="1" x14ac:dyDescent="0.25"/>
    <row r="77" spans="3:14" hidden="1" x14ac:dyDescent="0.25"/>
    <row r="78" spans="3:14" hidden="1" x14ac:dyDescent="0.25"/>
    <row r="79" spans="3:14" hidden="1" x14ac:dyDescent="0.25"/>
    <row r="80" spans="3:14" hidden="1" x14ac:dyDescent="0.25"/>
    <row r="81" spans="8:14" hidden="1" x14ac:dyDescent="0.25">
      <c r="H81">
        <v>326</v>
      </c>
      <c r="I81">
        <v>205</v>
      </c>
      <c r="J81">
        <v>430</v>
      </c>
      <c r="K81">
        <v>605</v>
      </c>
      <c r="L81">
        <v>236</v>
      </c>
      <c r="M81">
        <v>244</v>
      </c>
      <c r="N81">
        <v>543</v>
      </c>
    </row>
    <row r="82" spans="8:14" hidden="1" x14ac:dyDescent="0.25">
      <c r="H82">
        <v>414</v>
      </c>
      <c r="I82">
        <v>266</v>
      </c>
      <c r="J82">
        <v>527</v>
      </c>
      <c r="K82">
        <v>830</v>
      </c>
      <c r="L82">
        <v>362</v>
      </c>
      <c r="M82">
        <v>315</v>
      </c>
      <c r="N82">
        <v>656</v>
      </c>
    </row>
    <row r="83" spans="8:14" hidden="1" x14ac:dyDescent="0.25"/>
    <row r="84" spans="8:14" hidden="1" x14ac:dyDescent="0.25">
      <c r="H84">
        <v>326</v>
      </c>
      <c r="I84">
        <v>414</v>
      </c>
    </row>
    <row r="85" spans="8:14" hidden="1" x14ac:dyDescent="0.25">
      <c r="H85">
        <v>205</v>
      </c>
      <c r="I85">
        <v>266</v>
      </c>
    </row>
    <row r="86" spans="8:14" hidden="1" x14ac:dyDescent="0.25">
      <c r="H86">
        <v>430</v>
      </c>
      <c r="I86">
        <v>527</v>
      </c>
    </row>
    <row r="87" spans="8:14" hidden="1" x14ac:dyDescent="0.25">
      <c r="H87">
        <v>605</v>
      </c>
      <c r="I87">
        <v>830</v>
      </c>
    </row>
    <row r="88" spans="8:14" hidden="1" x14ac:dyDescent="0.25">
      <c r="H88">
        <v>236</v>
      </c>
      <c r="I88">
        <v>362</v>
      </c>
    </row>
    <row r="89" spans="8:14" hidden="1" x14ac:dyDescent="0.25">
      <c r="H89">
        <v>244</v>
      </c>
      <c r="I89">
        <v>315</v>
      </c>
    </row>
    <row r="90" spans="8:14" hidden="1" x14ac:dyDescent="0.25">
      <c r="H90">
        <v>543</v>
      </c>
      <c r="I90">
        <v>656</v>
      </c>
    </row>
    <row r="97" spans="1:7" ht="43.5" customHeight="1" x14ac:dyDescent="0.25"/>
    <row r="98" spans="1:7" ht="44.25" customHeight="1" x14ac:dyDescent="0.25"/>
    <row r="99" spans="1:7" ht="37.5" customHeight="1" x14ac:dyDescent="0.25"/>
    <row r="100" spans="1:7" ht="37.5" hidden="1" customHeight="1" x14ac:dyDescent="0.25">
      <c r="C100" s="100" t="s">
        <v>101</v>
      </c>
      <c r="D100" s="101" t="s">
        <v>102</v>
      </c>
      <c r="E100" s="101"/>
      <c r="F100" s="100" t="s">
        <v>103</v>
      </c>
      <c r="G100" s="101" t="s">
        <v>104</v>
      </c>
    </row>
    <row r="101" spans="1:7" ht="37.5" hidden="1" customHeight="1" x14ac:dyDescent="0.25">
      <c r="A101" s="66"/>
      <c r="B101" s="66" t="s">
        <v>0</v>
      </c>
      <c r="C101" s="116">
        <v>323</v>
      </c>
      <c r="D101" s="116">
        <v>323</v>
      </c>
      <c r="E101" s="67"/>
      <c r="F101" s="116">
        <v>68</v>
      </c>
      <c r="G101" s="116">
        <v>68</v>
      </c>
    </row>
    <row r="102" spans="1:7" ht="37.5" hidden="1" customHeight="1" x14ac:dyDescent="0.25">
      <c r="A102" s="66"/>
      <c r="B102" s="66" t="s">
        <v>1</v>
      </c>
      <c r="C102" s="116">
        <v>219</v>
      </c>
      <c r="D102" s="116">
        <v>219</v>
      </c>
      <c r="E102" s="67"/>
      <c r="F102" s="116">
        <v>67</v>
      </c>
      <c r="G102" s="116">
        <v>67</v>
      </c>
    </row>
    <row r="103" spans="1:7" ht="37.5" hidden="1" customHeight="1" x14ac:dyDescent="0.25">
      <c r="A103" s="66"/>
      <c r="B103" s="66" t="s">
        <v>77</v>
      </c>
      <c r="C103" s="116">
        <v>438</v>
      </c>
      <c r="D103" s="116">
        <v>438</v>
      </c>
      <c r="E103" s="67"/>
      <c r="F103" s="116">
        <v>70</v>
      </c>
      <c r="G103" s="116">
        <v>70</v>
      </c>
    </row>
    <row r="104" spans="1:7" ht="37.5" hidden="1" customHeight="1" x14ac:dyDescent="0.25">
      <c r="A104" s="66"/>
      <c r="B104" s="66" t="s">
        <v>78</v>
      </c>
      <c r="C104" s="116">
        <v>599</v>
      </c>
      <c r="D104" s="116">
        <v>599</v>
      </c>
      <c r="E104" s="67"/>
      <c r="F104" s="116">
        <v>125</v>
      </c>
      <c r="G104" s="116">
        <v>125</v>
      </c>
    </row>
    <row r="105" spans="1:7" ht="37.5" hidden="1" customHeight="1" x14ac:dyDescent="0.25">
      <c r="A105" s="66"/>
      <c r="B105" s="66" t="s">
        <v>4</v>
      </c>
      <c r="C105" s="116">
        <v>301</v>
      </c>
      <c r="D105" s="116">
        <v>301</v>
      </c>
      <c r="E105" s="67"/>
      <c r="F105" s="116">
        <v>53</v>
      </c>
      <c r="G105" s="116">
        <v>53</v>
      </c>
    </row>
    <row r="106" spans="1:7" ht="37.5" hidden="1" customHeight="1" x14ac:dyDescent="0.25">
      <c r="A106" s="66"/>
      <c r="B106" s="66" t="s">
        <v>5</v>
      </c>
      <c r="C106" s="116">
        <v>268</v>
      </c>
      <c r="D106" s="116">
        <v>268</v>
      </c>
      <c r="E106" s="67"/>
      <c r="F106" s="116">
        <v>54</v>
      </c>
      <c r="G106" s="116">
        <v>54</v>
      </c>
    </row>
    <row r="107" spans="1:7" ht="37.5" hidden="1" customHeight="1" x14ac:dyDescent="0.25">
      <c r="A107" s="66"/>
      <c r="B107" s="66" t="s">
        <v>6</v>
      </c>
      <c r="C107" s="116">
        <v>478</v>
      </c>
      <c r="D107" s="116">
        <v>478</v>
      </c>
      <c r="E107" s="67"/>
      <c r="F107" s="116">
        <v>167</v>
      </c>
      <c r="G107" s="116">
        <v>167</v>
      </c>
    </row>
    <row r="108" spans="1:7" ht="37.5" hidden="1" customHeight="1" x14ac:dyDescent="0.25">
      <c r="A108" s="66"/>
      <c r="B108" s="66" t="s">
        <v>79</v>
      </c>
      <c r="C108" s="84">
        <f>SUM(C101:C107)</f>
        <v>2626</v>
      </c>
      <c r="D108" s="84">
        <f>SUM(D101:D107)</f>
        <v>2626</v>
      </c>
      <c r="E108" s="67"/>
      <c r="F108" s="84">
        <f>SUM(F101:F107)</f>
        <v>604</v>
      </c>
      <c r="G108" s="84">
        <f>SUM(G101:G107)</f>
        <v>604</v>
      </c>
    </row>
    <row r="109" spans="1:7" ht="37.5" customHeight="1" x14ac:dyDescent="0.25"/>
    <row r="110" spans="1:7" ht="37.5" customHeight="1" x14ac:dyDescent="0.25"/>
    <row r="111" spans="1:7" ht="37.5" customHeight="1" x14ac:dyDescent="0.25"/>
  </sheetData>
  <sheetProtection password="8A47" sheet="1" objects="1" scenarios="1" selectLockedCells="1" selectUnlockedCells="1"/>
  <mergeCells count="38">
    <mergeCell ref="C10:C14"/>
    <mergeCell ref="D10:D14"/>
    <mergeCell ref="F10:F14"/>
    <mergeCell ref="G10:G14"/>
    <mergeCell ref="C1:D1"/>
    <mergeCell ref="F1:G1"/>
    <mergeCell ref="C5:C9"/>
    <mergeCell ref="D5:D9"/>
    <mergeCell ref="F5:F9"/>
    <mergeCell ref="G5:G9"/>
    <mergeCell ref="C21:C24"/>
    <mergeCell ref="D21:D24"/>
    <mergeCell ref="F21:F24"/>
    <mergeCell ref="G21:G24"/>
    <mergeCell ref="G15:G20"/>
    <mergeCell ref="F15:F20"/>
    <mergeCell ref="D15:D20"/>
    <mergeCell ref="C15:C20"/>
    <mergeCell ref="G25:G32"/>
    <mergeCell ref="G33:G38"/>
    <mergeCell ref="F33:F38"/>
    <mergeCell ref="F25:F32"/>
    <mergeCell ref="F39:F48"/>
    <mergeCell ref="G39:G48"/>
    <mergeCell ref="D25:D32"/>
    <mergeCell ref="D33:D38"/>
    <mergeCell ref="C33:C38"/>
    <mergeCell ref="C25:C32"/>
    <mergeCell ref="D39:D48"/>
    <mergeCell ref="C39:C48"/>
    <mergeCell ref="A39:A48"/>
    <mergeCell ref="A1:B4"/>
    <mergeCell ref="A5:A9"/>
    <mergeCell ref="A10:A14"/>
    <mergeCell ref="A15:A20"/>
    <mergeCell ref="A21:A24"/>
    <mergeCell ref="A25:A32"/>
    <mergeCell ref="A33:A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08"/>
  <sheetViews>
    <sheetView tabSelected="1" zoomScale="70" zoomScaleNormal="70" workbookViewId="0">
      <selection activeCell="S47" sqref="S47"/>
    </sheetView>
  </sheetViews>
  <sheetFormatPr defaultRowHeight="15" x14ac:dyDescent="0.25"/>
  <cols>
    <col min="1" max="1" width="14.42578125" customWidth="1"/>
    <col min="2" max="2" width="12.5703125" bestFit="1" customWidth="1"/>
    <col min="3" max="4" width="13.5703125" customWidth="1"/>
    <col min="5" max="5" width="9.140625" style="1"/>
    <col min="6" max="9" width="11.140625" customWidth="1"/>
    <col min="10" max="10" width="9.140625" style="1"/>
    <col min="11" max="11" width="12.140625" customWidth="1"/>
    <col min="12" max="12" width="11.140625" style="125" customWidth="1"/>
    <col min="13" max="14" width="11.140625" customWidth="1"/>
  </cols>
  <sheetData>
    <row r="1" spans="1:14" s="2" customFormat="1" ht="81" customHeight="1" x14ac:dyDescent="0.25">
      <c r="A1" s="161">
        <f>Holds!A1</f>
        <v>41122</v>
      </c>
      <c r="B1" s="161"/>
      <c r="C1" s="216" t="s">
        <v>68</v>
      </c>
      <c r="D1" s="217"/>
      <c r="E1" s="5"/>
      <c r="F1" s="216" t="s">
        <v>73</v>
      </c>
      <c r="G1" s="228"/>
      <c r="H1" s="228"/>
      <c r="I1" s="217"/>
      <c r="J1" s="5"/>
      <c r="K1" s="216" t="s">
        <v>74</v>
      </c>
      <c r="L1" s="228"/>
      <c r="M1" s="228"/>
      <c r="N1" s="217"/>
    </row>
    <row r="2" spans="1:14" s="2" customFormat="1" ht="36.75" x14ac:dyDescent="0.25">
      <c r="A2" s="161"/>
      <c r="B2" s="161"/>
      <c r="C2" s="25" t="s">
        <v>53</v>
      </c>
      <c r="D2" s="26" t="s">
        <v>107</v>
      </c>
      <c r="E2" s="15"/>
      <c r="F2" s="17" t="s">
        <v>60</v>
      </c>
      <c r="G2" s="18" t="s">
        <v>61</v>
      </c>
      <c r="H2" s="28" t="s">
        <v>108</v>
      </c>
      <c r="I2" s="29" t="s">
        <v>109</v>
      </c>
      <c r="J2" s="16"/>
      <c r="K2" s="17" t="s">
        <v>60</v>
      </c>
      <c r="L2" s="130" t="s">
        <v>61</v>
      </c>
      <c r="M2" s="28" t="s">
        <v>108</v>
      </c>
      <c r="N2" s="29" t="s">
        <v>109</v>
      </c>
    </row>
    <row r="3" spans="1:14" ht="3" customHeight="1" x14ac:dyDescent="0.25">
      <c r="A3" s="161"/>
      <c r="B3" s="161"/>
    </row>
    <row r="4" spans="1:14" ht="3" customHeight="1" x14ac:dyDescent="0.25">
      <c r="A4" s="164"/>
      <c r="B4" s="164"/>
    </row>
    <row r="5" spans="1:14" x14ac:dyDescent="0.25">
      <c r="A5" s="149" t="s">
        <v>0</v>
      </c>
      <c r="B5" s="10" t="s">
        <v>8</v>
      </c>
      <c r="C5" s="227">
        <f>B101</f>
        <v>6</v>
      </c>
      <c r="D5" s="230">
        <f>C101</f>
        <v>9</v>
      </c>
      <c r="F5" s="72"/>
      <c r="G5" s="221">
        <f>SUM(F5:F9)</f>
        <v>58</v>
      </c>
      <c r="H5" s="74"/>
      <c r="I5" s="224">
        <f>SUM(H5:H9)</f>
        <v>102</v>
      </c>
      <c r="K5" s="72"/>
      <c r="L5" s="139">
        <f>SUM(K5:K9)</f>
        <v>9</v>
      </c>
      <c r="M5" s="77"/>
      <c r="N5" s="218">
        <f>SUM(M5:M9)</f>
        <v>23</v>
      </c>
    </row>
    <row r="6" spans="1:14" x14ac:dyDescent="0.25">
      <c r="A6" s="150"/>
      <c r="B6" s="11" t="s">
        <v>9</v>
      </c>
      <c r="C6" s="150"/>
      <c r="D6" s="231"/>
      <c r="F6" s="72">
        <v>9</v>
      </c>
      <c r="G6" s="222"/>
      <c r="H6" s="74">
        <v>15</v>
      </c>
      <c r="I6" s="225"/>
      <c r="K6" s="72">
        <v>1</v>
      </c>
      <c r="L6" s="140"/>
      <c r="M6" s="77">
        <v>4</v>
      </c>
      <c r="N6" s="219"/>
    </row>
    <row r="7" spans="1:14" x14ac:dyDescent="0.25">
      <c r="A7" s="150"/>
      <c r="B7" s="11" t="s">
        <v>10</v>
      </c>
      <c r="C7" s="150"/>
      <c r="D7" s="231"/>
      <c r="F7" s="72"/>
      <c r="G7" s="222"/>
      <c r="H7" s="74"/>
      <c r="I7" s="225"/>
      <c r="K7" s="72"/>
      <c r="L7" s="140"/>
      <c r="M7" s="77"/>
      <c r="N7" s="219"/>
    </row>
    <row r="8" spans="1:14" x14ac:dyDescent="0.25">
      <c r="A8" s="150"/>
      <c r="B8" s="11" t="s">
        <v>11</v>
      </c>
      <c r="C8" s="150"/>
      <c r="D8" s="231"/>
      <c r="F8" s="72">
        <v>48</v>
      </c>
      <c r="G8" s="222"/>
      <c r="H8" s="74">
        <v>84</v>
      </c>
      <c r="I8" s="225"/>
      <c r="K8" s="72">
        <v>7</v>
      </c>
      <c r="L8" s="140"/>
      <c r="M8" s="77">
        <v>17</v>
      </c>
      <c r="N8" s="219"/>
    </row>
    <row r="9" spans="1:14" x14ac:dyDescent="0.25">
      <c r="A9" s="151"/>
      <c r="B9" s="11" t="s">
        <v>12</v>
      </c>
      <c r="C9" s="150"/>
      <c r="D9" s="231"/>
      <c r="F9" s="72">
        <v>1</v>
      </c>
      <c r="G9" s="223"/>
      <c r="H9" s="74">
        <v>3</v>
      </c>
      <c r="I9" s="226"/>
      <c r="K9" s="72">
        <v>1</v>
      </c>
      <c r="L9" s="141"/>
      <c r="M9" s="77">
        <v>2</v>
      </c>
      <c r="N9" s="220"/>
    </row>
    <row r="10" spans="1:14" x14ac:dyDescent="0.25">
      <c r="A10" s="149" t="s">
        <v>1</v>
      </c>
      <c r="B10" s="10" t="s">
        <v>14</v>
      </c>
      <c r="C10" s="227">
        <f>B102</f>
        <v>0</v>
      </c>
      <c r="D10" s="230">
        <f>C102</f>
        <v>1</v>
      </c>
      <c r="F10" s="72">
        <v>1</v>
      </c>
      <c r="G10" s="221">
        <f>SUM(F10:F14)</f>
        <v>15</v>
      </c>
      <c r="H10" s="74">
        <v>2</v>
      </c>
      <c r="I10" s="224">
        <f>SUM(H10:H14)</f>
        <v>33</v>
      </c>
      <c r="K10" s="72"/>
      <c r="L10" s="139">
        <f>SUM(K10:K14)</f>
        <v>5</v>
      </c>
      <c r="M10" s="77">
        <v>1</v>
      </c>
      <c r="N10" s="218">
        <f>SUM(M10:M14)</f>
        <v>13</v>
      </c>
    </row>
    <row r="11" spans="1:14" x14ac:dyDescent="0.25">
      <c r="A11" s="150"/>
      <c r="B11" s="11" t="s">
        <v>15</v>
      </c>
      <c r="C11" s="150"/>
      <c r="D11" s="231"/>
      <c r="F11" s="72">
        <v>1</v>
      </c>
      <c r="G11" s="222"/>
      <c r="H11" s="74">
        <v>3</v>
      </c>
      <c r="I11" s="225"/>
      <c r="K11" s="72"/>
      <c r="L11" s="140"/>
      <c r="M11" s="77">
        <v>1</v>
      </c>
      <c r="N11" s="219"/>
    </row>
    <row r="12" spans="1:14" x14ac:dyDescent="0.25">
      <c r="A12" s="150"/>
      <c r="B12" s="11" t="s">
        <v>16</v>
      </c>
      <c r="C12" s="150"/>
      <c r="D12" s="231"/>
      <c r="F12" s="72">
        <v>2</v>
      </c>
      <c r="G12" s="222"/>
      <c r="H12" s="74">
        <v>6</v>
      </c>
      <c r="I12" s="225"/>
      <c r="K12" s="72">
        <v>1</v>
      </c>
      <c r="L12" s="140"/>
      <c r="M12" s="77">
        <v>3</v>
      </c>
      <c r="N12" s="219"/>
    </row>
    <row r="13" spans="1:14" x14ac:dyDescent="0.25">
      <c r="A13" s="150"/>
      <c r="B13" s="11" t="s">
        <v>17</v>
      </c>
      <c r="C13" s="150"/>
      <c r="D13" s="231"/>
      <c r="F13" s="72"/>
      <c r="G13" s="222"/>
      <c r="H13" s="74"/>
      <c r="I13" s="225"/>
      <c r="K13" s="72"/>
      <c r="L13" s="140"/>
      <c r="M13" s="77"/>
      <c r="N13" s="219"/>
    </row>
    <row r="14" spans="1:14" x14ac:dyDescent="0.25">
      <c r="A14" s="151"/>
      <c r="B14" s="11" t="s">
        <v>18</v>
      </c>
      <c r="C14" s="150"/>
      <c r="D14" s="231"/>
      <c r="F14" s="72">
        <v>11</v>
      </c>
      <c r="G14" s="223"/>
      <c r="H14" s="74">
        <v>22</v>
      </c>
      <c r="I14" s="226"/>
      <c r="K14" s="72">
        <v>4</v>
      </c>
      <c r="L14" s="141"/>
      <c r="M14" s="77">
        <v>8</v>
      </c>
      <c r="N14" s="220"/>
    </row>
    <row r="15" spans="1:14" x14ac:dyDescent="0.25">
      <c r="A15" s="149" t="s">
        <v>2</v>
      </c>
      <c r="B15" s="10" t="s">
        <v>19</v>
      </c>
      <c r="C15" s="227">
        <f>B103</f>
        <v>14</v>
      </c>
      <c r="D15" s="230">
        <f>C103</f>
        <v>34</v>
      </c>
      <c r="F15" s="72">
        <v>1</v>
      </c>
      <c r="G15" s="221">
        <f>SUM(F15:F20)</f>
        <v>79</v>
      </c>
      <c r="H15" s="74">
        <v>2</v>
      </c>
      <c r="I15" s="224">
        <f>SUM(H15:H20)</f>
        <v>169</v>
      </c>
      <c r="K15" s="72">
        <v>1</v>
      </c>
      <c r="L15" s="139">
        <f>SUM(K15:K20)</f>
        <v>18</v>
      </c>
      <c r="M15" s="77">
        <v>1</v>
      </c>
      <c r="N15" s="218">
        <f>SUM(M15:M20)</f>
        <v>28</v>
      </c>
    </row>
    <row r="16" spans="1:14" x14ac:dyDescent="0.25">
      <c r="A16" s="150"/>
      <c r="B16" s="11" t="s">
        <v>20</v>
      </c>
      <c r="C16" s="150"/>
      <c r="D16" s="231"/>
      <c r="F16" s="72">
        <v>68</v>
      </c>
      <c r="G16" s="222"/>
      <c r="H16" s="74">
        <v>146</v>
      </c>
      <c r="I16" s="225"/>
      <c r="K16" s="72">
        <v>14</v>
      </c>
      <c r="L16" s="140"/>
      <c r="M16" s="77">
        <v>23</v>
      </c>
      <c r="N16" s="219"/>
    </row>
    <row r="17" spans="1:14" x14ac:dyDescent="0.25">
      <c r="A17" s="150"/>
      <c r="B17" s="11" t="s">
        <v>21</v>
      </c>
      <c r="C17" s="150"/>
      <c r="D17" s="231"/>
      <c r="F17" s="72">
        <v>6</v>
      </c>
      <c r="G17" s="222"/>
      <c r="H17" s="74">
        <v>10</v>
      </c>
      <c r="I17" s="225"/>
      <c r="K17" s="72">
        <v>2</v>
      </c>
      <c r="L17" s="140"/>
      <c r="M17" s="77">
        <v>2</v>
      </c>
      <c r="N17" s="219"/>
    </row>
    <row r="18" spans="1:14" x14ac:dyDescent="0.25">
      <c r="A18" s="150"/>
      <c r="B18" s="11" t="s">
        <v>22</v>
      </c>
      <c r="C18" s="150"/>
      <c r="D18" s="231"/>
      <c r="F18" s="72">
        <v>1</v>
      </c>
      <c r="G18" s="222"/>
      <c r="H18" s="74">
        <v>3</v>
      </c>
      <c r="I18" s="225"/>
      <c r="K18" s="72"/>
      <c r="L18" s="140"/>
      <c r="M18" s="77">
        <v>1</v>
      </c>
      <c r="N18" s="219"/>
    </row>
    <row r="19" spans="1:14" x14ac:dyDescent="0.25">
      <c r="A19" s="150"/>
      <c r="B19" s="11" t="s">
        <v>23</v>
      </c>
      <c r="C19" s="150"/>
      <c r="D19" s="231"/>
      <c r="F19" s="72"/>
      <c r="G19" s="222"/>
      <c r="H19" s="74">
        <v>2</v>
      </c>
      <c r="I19" s="225"/>
      <c r="K19" s="72"/>
      <c r="L19" s="140"/>
      <c r="M19" s="77"/>
      <c r="N19" s="219"/>
    </row>
    <row r="20" spans="1:14" x14ac:dyDescent="0.25">
      <c r="A20" s="151"/>
      <c r="B20" s="11" t="s">
        <v>24</v>
      </c>
      <c r="C20" s="150"/>
      <c r="D20" s="231"/>
      <c r="F20" s="72">
        <v>3</v>
      </c>
      <c r="G20" s="223"/>
      <c r="H20" s="74">
        <v>6</v>
      </c>
      <c r="I20" s="226"/>
      <c r="K20" s="72">
        <v>1</v>
      </c>
      <c r="L20" s="141"/>
      <c r="M20" s="77">
        <v>1</v>
      </c>
      <c r="N20" s="220"/>
    </row>
    <row r="21" spans="1:14" x14ac:dyDescent="0.25">
      <c r="A21" s="149" t="s">
        <v>3</v>
      </c>
      <c r="B21" s="10" t="s">
        <v>25</v>
      </c>
      <c r="C21" s="227">
        <f>B104</f>
        <v>20</v>
      </c>
      <c r="D21" s="230">
        <f>C104</f>
        <v>43</v>
      </c>
      <c r="F21" s="72">
        <v>148</v>
      </c>
      <c r="G21" s="221">
        <f>SUM(F21:F24)</f>
        <v>160</v>
      </c>
      <c r="H21" s="74">
        <v>311</v>
      </c>
      <c r="I21" s="224">
        <f>SUM(H21:H24)</f>
        <v>326</v>
      </c>
      <c r="K21" s="72">
        <v>35</v>
      </c>
      <c r="L21" s="139">
        <f>SUM(K21:K24)</f>
        <v>37</v>
      </c>
      <c r="M21" s="77">
        <v>66</v>
      </c>
      <c r="N21" s="218">
        <f>SUM(M21:M24)</f>
        <v>68</v>
      </c>
    </row>
    <row r="22" spans="1:14" x14ac:dyDescent="0.25">
      <c r="A22" s="150"/>
      <c r="B22" s="11" t="s">
        <v>26</v>
      </c>
      <c r="C22" s="150"/>
      <c r="D22" s="231"/>
      <c r="F22" s="72">
        <v>1</v>
      </c>
      <c r="G22" s="222"/>
      <c r="H22" s="74">
        <v>1</v>
      </c>
      <c r="I22" s="225"/>
      <c r="K22" s="72"/>
      <c r="L22" s="140"/>
      <c r="M22" s="77"/>
      <c r="N22" s="219"/>
    </row>
    <row r="23" spans="1:14" x14ac:dyDescent="0.25">
      <c r="A23" s="150"/>
      <c r="B23" s="11" t="s">
        <v>27</v>
      </c>
      <c r="C23" s="150"/>
      <c r="D23" s="231"/>
      <c r="F23" s="72">
        <v>11</v>
      </c>
      <c r="G23" s="222"/>
      <c r="H23" s="74">
        <v>12</v>
      </c>
      <c r="I23" s="225"/>
      <c r="K23" s="72">
        <v>2</v>
      </c>
      <c r="L23" s="140"/>
      <c r="M23" s="77">
        <v>2</v>
      </c>
      <c r="N23" s="219"/>
    </row>
    <row r="24" spans="1:14" x14ac:dyDescent="0.25">
      <c r="A24" s="151"/>
      <c r="B24" s="11" t="s">
        <v>28</v>
      </c>
      <c r="C24" s="150"/>
      <c r="D24" s="231"/>
      <c r="F24" s="72"/>
      <c r="G24" s="223"/>
      <c r="H24" s="74">
        <v>2</v>
      </c>
      <c r="I24" s="226"/>
      <c r="K24" s="72"/>
      <c r="L24" s="141"/>
      <c r="M24" s="77"/>
      <c r="N24" s="220"/>
    </row>
    <row r="25" spans="1:14" x14ac:dyDescent="0.25">
      <c r="A25" s="149" t="s">
        <v>4</v>
      </c>
      <c r="B25" s="10" t="s">
        <v>29</v>
      </c>
      <c r="C25" s="227">
        <f>B105</f>
        <v>7</v>
      </c>
      <c r="D25" s="230">
        <f>C105</f>
        <v>17</v>
      </c>
      <c r="F25" s="72">
        <v>4</v>
      </c>
      <c r="G25" s="221">
        <f>SUM(F25:F32)</f>
        <v>48</v>
      </c>
      <c r="H25" s="74">
        <v>9</v>
      </c>
      <c r="I25" s="224">
        <f>SUM(H25:H32)</f>
        <v>95</v>
      </c>
      <c r="K25" s="72"/>
      <c r="L25" s="139">
        <f>SUM(K25:K32)</f>
        <v>7</v>
      </c>
      <c r="M25" s="77">
        <v>1</v>
      </c>
      <c r="N25" s="218">
        <f>SUM(M25:M32)</f>
        <v>12</v>
      </c>
    </row>
    <row r="26" spans="1:14" x14ac:dyDescent="0.25">
      <c r="A26" s="150"/>
      <c r="B26" s="11" t="s">
        <v>30</v>
      </c>
      <c r="C26" s="150"/>
      <c r="D26" s="231"/>
      <c r="F26" s="72">
        <v>1</v>
      </c>
      <c r="G26" s="222"/>
      <c r="H26" s="74">
        <v>1</v>
      </c>
      <c r="I26" s="225"/>
      <c r="K26" s="72"/>
      <c r="L26" s="140"/>
      <c r="M26" s="77"/>
      <c r="N26" s="219"/>
    </row>
    <row r="27" spans="1:14" x14ac:dyDescent="0.25">
      <c r="A27" s="150"/>
      <c r="B27" s="11" t="s">
        <v>31</v>
      </c>
      <c r="C27" s="150"/>
      <c r="D27" s="231"/>
      <c r="F27" s="72">
        <v>4</v>
      </c>
      <c r="G27" s="222"/>
      <c r="H27" s="74">
        <v>9</v>
      </c>
      <c r="I27" s="225"/>
      <c r="K27" s="72"/>
      <c r="L27" s="140"/>
      <c r="M27" s="77">
        <v>1</v>
      </c>
      <c r="N27" s="219"/>
    </row>
    <row r="28" spans="1:14" x14ac:dyDescent="0.25">
      <c r="A28" s="150"/>
      <c r="B28" s="11" t="s">
        <v>32</v>
      </c>
      <c r="C28" s="150"/>
      <c r="D28" s="231"/>
      <c r="F28" s="72">
        <v>6</v>
      </c>
      <c r="G28" s="222"/>
      <c r="H28" s="74">
        <v>8</v>
      </c>
      <c r="I28" s="225"/>
      <c r="K28" s="72">
        <v>2</v>
      </c>
      <c r="L28" s="140"/>
      <c r="M28" s="77">
        <v>3</v>
      </c>
      <c r="N28" s="219"/>
    </row>
    <row r="29" spans="1:14" x14ac:dyDescent="0.25">
      <c r="A29" s="150"/>
      <c r="B29" s="11" t="s">
        <v>33</v>
      </c>
      <c r="C29" s="150"/>
      <c r="D29" s="231"/>
      <c r="F29" s="72">
        <v>1</v>
      </c>
      <c r="G29" s="222"/>
      <c r="H29" s="74">
        <v>6</v>
      </c>
      <c r="I29" s="225"/>
      <c r="K29" s="72"/>
      <c r="L29" s="140"/>
      <c r="M29" s="77">
        <v>1</v>
      </c>
      <c r="N29" s="219"/>
    </row>
    <row r="30" spans="1:14" x14ac:dyDescent="0.25">
      <c r="A30" s="150"/>
      <c r="B30" s="11" t="s">
        <v>69</v>
      </c>
      <c r="C30" s="150"/>
      <c r="D30" s="231"/>
      <c r="F30" s="72"/>
      <c r="G30" s="222"/>
      <c r="H30" s="74">
        <v>1</v>
      </c>
      <c r="I30" s="225"/>
      <c r="K30" s="72"/>
      <c r="L30" s="140"/>
      <c r="M30" s="77"/>
      <c r="N30" s="219"/>
    </row>
    <row r="31" spans="1:14" x14ac:dyDescent="0.25">
      <c r="A31" s="150"/>
      <c r="B31" s="11" t="s">
        <v>34</v>
      </c>
      <c r="C31" s="150"/>
      <c r="D31" s="231"/>
      <c r="F31" s="72"/>
      <c r="G31" s="222"/>
      <c r="H31" s="74"/>
      <c r="I31" s="225"/>
      <c r="K31" s="72"/>
      <c r="L31" s="140"/>
      <c r="M31" s="77"/>
      <c r="N31" s="219"/>
    </row>
    <row r="32" spans="1:14" x14ac:dyDescent="0.25">
      <c r="A32" s="151"/>
      <c r="B32" s="11" t="s">
        <v>35</v>
      </c>
      <c r="C32" s="150"/>
      <c r="D32" s="231"/>
      <c r="F32" s="72">
        <v>32</v>
      </c>
      <c r="G32" s="223"/>
      <c r="H32" s="74">
        <v>61</v>
      </c>
      <c r="I32" s="226"/>
      <c r="K32" s="72">
        <v>5</v>
      </c>
      <c r="L32" s="141"/>
      <c r="M32" s="77">
        <v>6</v>
      </c>
      <c r="N32" s="220"/>
    </row>
    <row r="33" spans="1:14" x14ac:dyDescent="0.25">
      <c r="A33" s="149" t="s">
        <v>5</v>
      </c>
      <c r="B33" s="10" t="s">
        <v>36</v>
      </c>
      <c r="C33" s="227">
        <f>B106</f>
        <v>9</v>
      </c>
      <c r="D33" s="230">
        <f>C106</f>
        <v>20</v>
      </c>
      <c r="F33" s="72">
        <v>23</v>
      </c>
      <c r="G33" s="221">
        <f>SUM(F33:F38)</f>
        <v>25</v>
      </c>
      <c r="H33" s="74">
        <v>52</v>
      </c>
      <c r="I33" s="224">
        <f>SUM(H33:H38)</f>
        <v>55</v>
      </c>
      <c r="K33" s="72">
        <v>11</v>
      </c>
      <c r="L33" s="139">
        <f>SUM(K33:K38)</f>
        <v>11</v>
      </c>
      <c r="M33" s="77">
        <v>19</v>
      </c>
      <c r="N33" s="218">
        <f>SUM(M33:M38)</f>
        <v>19</v>
      </c>
    </row>
    <row r="34" spans="1:14" x14ac:dyDescent="0.25">
      <c r="A34" s="150"/>
      <c r="B34" s="11" t="s">
        <v>37</v>
      </c>
      <c r="C34" s="150"/>
      <c r="D34" s="231"/>
      <c r="F34" s="72"/>
      <c r="G34" s="222"/>
      <c r="H34" s="74"/>
      <c r="I34" s="225"/>
      <c r="K34" s="72"/>
      <c r="L34" s="140"/>
      <c r="M34" s="77"/>
      <c r="N34" s="219"/>
    </row>
    <row r="35" spans="1:14" x14ac:dyDescent="0.25">
      <c r="A35" s="150"/>
      <c r="B35" s="11" t="s">
        <v>38</v>
      </c>
      <c r="C35" s="150"/>
      <c r="D35" s="231"/>
      <c r="F35" s="72"/>
      <c r="G35" s="222"/>
      <c r="H35" s="74"/>
      <c r="I35" s="225"/>
      <c r="K35" s="72"/>
      <c r="L35" s="140"/>
      <c r="M35" s="77"/>
      <c r="N35" s="219"/>
    </row>
    <row r="36" spans="1:14" x14ac:dyDescent="0.25">
      <c r="A36" s="150"/>
      <c r="B36" s="11" t="s">
        <v>39</v>
      </c>
      <c r="C36" s="150"/>
      <c r="D36" s="231"/>
      <c r="F36" s="72">
        <v>2</v>
      </c>
      <c r="G36" s="222"/>
      <c r="H36" s="74">
        <v>2</v>
      </c>
      <c r="I36" s="225"/>
      <c r="K36" s="72"/>
      <c r="L36" s="140"/>
      <c r="M36" s="77"/>
      <c r="N36" s="219"/>
    </row>
    <row r="37" spans="1:14" x14ac:dyDescent="0.25">
      <c r="A37" s="150"/>
      <c r="B37" s="11" t="s">
        <v>40</v>
      </c>
      <c r="C37" s="150"/>
      <c r="D37" s="231"/>
      <c r="F37" s="72"/>
      <c r="G37" s="222"/>
      <c r="H37" s="74"/>
      <c r="I37" s="225"/>
      <c r="K37" s="72"/>
      <c r="L37" s="140"/>
      <c r="M37" s="77"/>
      <c r="N37" s="219"/>
    </row>
    <row r="38" spans="1:14" x14ac:dyDescent="0.25">
      <c r="A38" s="151"/>
      <c r="B38" s="11" t="s">
        <v>41</v>
      </c>
      <c r="C38" s="150"/>
      <c r="D38" s="231"/>
      <c r="F38" s="72"/>
      <c r="G38" s="223"/>
      <c r="H38" s="74">
        <v>1</v>
      </c>
      <c r="I38" s="226"/>
      <c r="K38" s="72"/>
      <c r="L38" s="141"/>
      <c r="M38" s="77"/>
      <c r="N38" s="220"/>
    </row>
    <row r="39" spans="1:14" x14ac:dyDescent="0.25">
      <c r="A39" s="149" t="s">
        <v>6</v>
      </c>
      <c r="B39" s="10" t="s">
        <v>42</v>
      </c>
      <c r="C39" s="227">
        <f>B107</f>
        <v>16</v>
      </c>
      <c r="D39" s="230">
        <f>C107</f>
        <v>31</v>
      </c>
      <c r="F39" s="72">
        <v>14</v>
      </c>
      <c r="G39" s="221">
        <f>SUM(F39:F48)</f>
        <v>43</v>
      </c>
      <c r="H39" s="74">
        <v>20</v>
      </c>
      <c r="I39" s="224">
        <f>SUM(H39:H48)</f>
        <v>81</v>
      </c>
      <c r="K39" s="72">
        <v>6</v>
      </c>
      <c r="L39" s="139">
        <f>SUM(K39:K48)</f>
        <v>14</v>
      </c>
      <c r="M39" s="77">
        <v>7</v>
      </c>
      <c r="N39" s="218">
        <f>SUM(M39:M48)</f>
        <v>25</v>
      </c>
    </row>
    <row r="40" spans="1:14" x14ac:dyDescent="0.25">
      <c r="A40" s="150"/>
      <c r="B40" s="11" t="s">
        <v>43</v>
      </c>
      <c r="C40" s="150"/>
      <c r="D40" s="231"/>
      <c r="F40" s="72">
        <v>23</v>
      </c>
      <c r="G40" s="222"/>
      <c r="H40" s="74">
        <v>42</v>
      </c>
      <c r="I40" s="225"/>
      <c r="K40" s="72">
        <v>7</v>
      </c>
      <c r="L40" s="140"/>
      <c r="M40" s="77">
        <v>13</v>
      </c>
      <c r="N40" s="219"/>
    </row>
    <row r="41" spans="1:14" x14ac:dyDescent="0.25">
      <c r="A41" s="150"/>
      <c r="B41" s="11" t="s">
        <v>44</v>
      </c>
      <c r="C41" s="150"/>
      <c r="D41" s="231"/>
      <c r="F41" s="72"/>
      <c r="G41" s="222"/>
      <c r="H41" s="74"/>
      <c r="I41" s="225"/>
      <c r="K41" s="72"/>
      <c r="L41" s="140"/>
      <c r="M41" s="77"/>
      <c r="N41" s="219"/>
    </row>
    <row r="42" spans="1:14" x14ac:dyDescent="0.25">
      <c r="A42" s="150"/>
      <c r="B42" s="11" t="s">
        <v>45</v>
      </c>
      <c r="C42" s="150"/>
      <c r="D42" s="231"/>
      <c r="F42" s="72"/>
      <c r="G42" s="222"/>
      <c r="H42" s="74"/>
      <c r="I42" s="225"/>
      <c r="K42" s="72"/>
      <c r="L42" s="140"/>
      <c r="M42" s="77"/>
      <c r="N42" s="219"/>
    </row>
    <row r="43" spans="1:14" x14ac:dyDescent="0.25">
      <c r="A43" s="150"/>
      <c r="B43" s="11" t="s">
        <v>46</v>
      </c>
      <c r="C43" s="150"/>
      <c r="D43" s="231"/>
      <c r="F43" s="72"/>
      <c r="G43" s="222"/>
      <c r="H43" s="74"/>
      <c r="I43" s="225"/>
      <c r="K43" s="72"/>
      <c r="L43" s="140"/>
      <c r="M43" s="77"/>
      <c r="N43" s="219"/>
    </row>
    <row r="44" spans="1:14" x14ac:dyDescent="0.25">
      <c r="A44" s="150"/>
      <c r="B44" s="11" t="s">
        <v>47</v>
      </c>
      <c r="C44" s="150"/>
      <c r="D44" s="231"/>
      <c r="F44" s="72"/>
      <c r="G44" s="222"/>
      <c r="H44" s="74">
        <v>3</v>
      </c>
      <c r="I44" s="225"/>
      <c r="K44" s="72"/>
      <c r="L44" s="140"/>
      <c r="M44" s="77"/>
      <c r="N44" s="219"/>
    </row>
    <row r="45" spans="1:14" x14ac:dyDescent="0.25">
      <c r="A45" s="150"/>
      <c r="B45" s="11" t="s">
        <v>48</v>
      </c>
      <c r="C45" s="150"/>
      <c r="D45" s="231"/>
      <c r="F45" s="72">
        <v>3</v>
      </c>
      <c r="G45" s="222"/>
      <c r="H45" s="74">
        <v>5</v>
      </c>
      <c r="I45" s="225"/>
      <c r="K45" s="72"/>
      <c r="L45" s="140"/>
      <c r="M45" s="77"/>
      <c r="N45" s="219"/>
    </row>
    <row r="46" spans="1:14" x14ac:dyDescent="0.25">
      <c r="A46" s="150"/>
      <c r="B46" s="11" t="s">
        <v>49</v>
      </c>
      <c r="C46" s="150"/>
      <c r="D46" s="231"/>
      <c r="F46" s="72">
        <v>3</v>
      </c>
      <c r="G46" s="222"/>
      <c r="H46" s="74">
        <v>6</v>
      </c>
      <c r="I46" s="225"/>
      <c r="K46" s="72">
        <v>1</v>
      </c>
      <c r="L46" s="140"/>
      <c r="M46" s="77">
        <v>3</v>
      </c>
      <c r="N46" s="219"/>
    </row>
    <row r="47" spans="1:14" x14ac:dyDescent="0.25">
      <c r="A47" s="150"/>
      <c r="B47" s="11" t="s">
        <v>50</v>
      </c>
      <c r="C47" s="150"/>
      <c r="D47" s="231"/>
      <c r="F47" s="72"/>
      <c r="G47" s="222"/>
      <c r="H47" s="74">
        <v>5</v>
      </c>
      <c r="I47" s="225"/>
      <c r="K47" s="72"/>
      <c r="L47" s="140"/>
      <c r="M47" s="77">
        <v>2</v>
      </c>
      <c r="N47" s="219"/>
    </row>
    <row r="48" spans="1:14" x14ac:dyDescent="0.25">
      <c r="A48" s="151"/>
      <c r="B48" s="11" t="s">
        <v>51</v>
      </c>
      <c r="C48" s="151"/>
      <c r="D48" s="231"/>
      <c r="F48" s="72"/>
      <c r="G48" s="223"/>
      <c r="H48" s="74"/>
      <c r="I48" s="226"/>
      <c r="K48" s="72"/>
      <c r="L48" s="141"/>
      <c r="M48" s="77"/>
      <c r="N48" s="220"/>
    </row>
    <row r="49" spans="1:14" x14ac:dyDescent="0.25">
      <c r="A49" s="12" t="s">
        <v>13</v>
      </c>
      <c r="B49" s="13"/>
      <c r="C49" s="123" t="s">
        <v>89</v>
      </c>
      <c r="D49" s="229" t="s">
        <v>89</v>
      </c>
      <c r="F49" s="72">
        <v>2</v>
      </c>
      <c r="G49" s="73">
        <f>F49</f>
        <v>2</v>
      </c>
      <c r="H49" s="74">
        <v>3</v>
      </c>
      <c r="I49" s="75">
        <f>H49</f>
        <v>3</v>
      </c>
      <c r="K49" s="72"/>
      <c r="L49" s="78">
        <f>K49</f>
        <v>0</v>
      </c>
      <c r="M49" s="77"/>
      <c r="N49" s="27">
        <f>M49</f>
        <v>0</v>
      </c>
    </row>
    <row r="50" spans="1:14" x14ac:dyDescent="0.25">
      <c r="A50" s="12" t="s">
        <v>7</v>
      </c>
      <c r="B50" s="13"/>
      <c r="C50" s="76">
        <f>SUM(C5:C49)</f>
        <v>72</v>
      </c>
      <c r="D50" s="76">
        <f>SUM(D5:D49)</f>
        <v>155</v>
      </c>
      <c r="F50" s="104">
        <v>430</v>
      </c>
      <c r="G50" s="73">
        <f>SUM(G5:G49)</f>
        <v>430</v>
      </c>
      <c r="H50" s="105">
        <v>864</v>
      </c>
      <c r="I50" s="83">
        <f>H50</f>
        <v>864</v>
      </c>
      <c r="K50" s="104">
        <v>101</v>
      </c>
      <c r="L50" s="19">
        <f>SUM(L5:L49)</f>
        <v>101</v>
      </c>
      <c r="M50" s="103">
        <v>188</v>
      </c>
      <c r="N50" s="27">
        <f>M50</f>
        <v>188</v>
      </c>
    </row>
    <row r="51" spans="1:14" x14ac:dyDescent="0.25">
      <c r="H51" s="1"/>
      <c r="I51" s="1"/>
    </row>
    <row r="98" spans="1:12" ht="18" customHeight="1" x14ac:dyDescent="0.25"/>
    <row r="99" spans="1:12" ht="25.5" customHeight="1" x14ac:dyDescent="0.25"/>
    <row r="100" spans="1:12" s="2" customFormat="1" ht="71.25" hidden="1" customHeight="1" x14ac:dyDescent="0.3">
      <c r="A100" s="118"/>
      <c r="B100" s="119" t="s">
        <v>97</v>
      </c>
      <c r="C100" s="117"/>
      <c r="H100" s="117"/>
      <c r="L100" s="131"/>
    </row>
    <row r="101" spans="1:12" ht="54" hidden="1" x14ac:dyDescent="0.25">
      <c r="A101" s="120" t="s">
        <v>81</v>
      </c>
      <c r="B101" s="125">
        <v>6</v>
      </c>
      <c r="C101" s="125">
        <v>9</v>
      </c>
      <c r="E101"/>
      <c r="H101" s="1"/>
      <c r="J101"/>
    </row>
    <row r="102" spans="1:12" ht="54" hidden="1" x14ac:dyDescent="0.25">
      <c r="A102" s="120" t="s">
        <v>82</v>
      </c>
      <c r="B102" s="125">
        <v>0</v>
      </c>
      <c r="C102" s="125">
        <v>1</v>
      </c>
      <c r="E102"/>
      <c r="H102" s="1"/>
      <c r="J102"/>
    </row>
    <row r="103" spans="1:12" ht="54" hidden="1" x14ac:dyDescent="0.25">
      <c r="A103" s="120" t="s">
        <v>83</v>
      </c>
      <c r="B103" s="125">
        <v>14</v>
      </c>
      <c r="C103" s="125">
        <v>34</v>
      </c>
      <c r="E103"/>
      <c r="H103" s="1"/>
      <c r="J103" s="102"/>
    </row>
    <row r="104" spans="1:12" ht="54" hidden="1" x14ac:dyDescent="0.25">
      <c r="A104" s="120" t="s">
        <v>84</v>
      </c>
      <c r="B104" s="125">
        <v>20</v>
      </c>
      <c r="C104" s="126">
        <v>43</v>
      </c>
      <c r="E104"/>
      <c r="H104" s="1"/>
      <c r="J104"/>
    </row>
    <row r="105" spans="1:12" ht="54" hidden="1" x14ac:dyDescent="0.25">
      <c r="A105" s="120" t="s">
        <v>85</v>
      </c>
      <c r="B105" s="126">
        <v>7</v>
      </c>
      <c r="C105" s="125">
        <v>17</v>
      </c>
      <c r="E105"/>
      <c r="H105" s="1"/>
      <c r="J105"/>
    </row>
    <row r="106" spans="1:12" ht="54" hidden="1" x14ac:dyDescent="0.25">
      <c r="A106" s="120" t="s">
        <v>86</v>
      </c>
      <c r="B106" s="125">
        <v>9</v>
      </c>
      <c r="C106" s="125">
        <v>20</v>
      </c>
      <c r="E106"/>
      <c r="H106" s="1"/>
      <c r="J106"/>
    </row>
    <row r="107" spans="1:12" ht="54" hidden="1" x14ac:dyDescent="0.25">
      <c r="A107" s="120" t="s">
        <v>87</v>
      </c>
      <c r="B107" s="125">
        <v>16</v>
      </c>
      <c r="C107" s="125">
        <v>31</v>
      </c>
      <c r="E107"/>
      <c r="H107" s="1"/>
      <c r="J107"/>
    </row>
    <row r="108" spans="1:12" ht="54" hidden="1" x14ac:dyDescent="0.25">
      <c r="A108" s="120" t="s">
        <v>94</v>
      </c>
      <c r="B108" s="121">
        <f>SUM(B101:B107)</f>
        <v>72</v>
      </c>
      <c r="C108" s="1">
        <f>SUM(C101:C107)</f>
        <v>155</v>
      </c>
      <c r="E108"/>
      <c r="H108" s="1"/>
      <c r="J108"/>
    </row>
  </sheetData>
  <sheetProtection password="8A47" sheet="1" objects="1" scenarios="1" selectLockedCells="1" selectUnlockedCells="1"/>
  <mergeCells count="53">
    <mergeCell ref="G5:G9"/>
    <mergeCell ref="G10:G14"/>
    <mergeCell ref="G15:G20"/>
    <mergeCell ref="I5:I9"/>
    <mergeCell ref="I10:I14"/>
    <mergeCell ref="I15:I20"/>
    <mergeCell ref="N21:N24"/>
    <mergeCell ref="N25:N32"/>
    <mergeCell ref="N33:N38"/>
    <mergeCell ref="D25:D32"/>
    <mergeCell ref="C1:D1"/>
    <mergeCell ref="C5:C9"/>
    <mergeCell ref="D5:D9"/>
    <mergeCell ref="C10:C14"/>
    <mergeCell ref="D10:D14"/>
    <mergeCell ref="C15:C20"/>
    <mergeCell ref="D15:D20"/>
    <mergeCell ref="F1:I1"/>
    <mergeCell ref="K1:N1"/>
    <mergeCell ref="L5:L9"/>
    <mergeCell ref="L10:L14"/>
    <mergeCell ref="L15:L20"/>
    <mergeCell ref="C39:C48"/>
    <mergeCell ref="D39:D48"/>
    <mergeCell ref="G33:G38"/>
    <mergeCell ref="G39:G48"/>
    <mergeCell ref="I39:I48"/>
    <mergeCell ref="G21:G24"/>
    <mergeCell ref="G25:G32"/>
    <mergeCell ref="I33:I38"/>
    <mergeCell ref="C33:C38"/>
    <mergeCell ref="D33:D38"/>
    <mergeCell ref="C21:C24"/>
    <mergeCell ref="D21:D24"/>
    <mergeCell ref="C25:C32"/>
    <mergeCell ref="I21:I24"/>
    <mergeCell ref="I25:I32"/>
    <mergeCell ref="L39:L48"/>
    <mergeCell ref="N39:N48"/>
    <mergeCell ref="A39:A48"/>
    <mergeCell ref="A1:B4"/>
    <mergeCell ref="A33:A38"/>
    <mergeCell ref="A25:A32"/>
    <mergeCell ref="A21:A24"/>
    <mergeCell ref="A15:A20"/>
    <mergeCell ref="A10:A14"/>
    <mergeCell ref="A5:A9"/>
    <mergeCell ref="L21:L24"/>
    <mergeCell ref="L25:L32"/>
    <mergeCell ref="L33:L38"/>
    <mergeCell ref="N5:N9"/>
    <mergeCell ref="N10:N14"/>
    <mergeCell ref="N15:N20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31" sqref="I31"/>
    </sheetView>
  </sheetViews>
  <sheetFormatPr defaultRowHeight="15" x14ac:dyDescent="0.25"/>
  <cols>
    <col min="1" max="1" width="17.85546875" customWidth="1"/>
    <col min="2" max="2" width="11.28515625" customWidth="1"/>
    <col min="3" max="3" width="11" customWidth="1"/>
    <col min="4" max="4" width="10.28515625" customWidth="1"/>
    <col min="5" max="5" width="11.140625" customWidth="1"/>
    <col min="6" max="6" width="12.7109375" customWidth="1"/>
    <col min="7" max="7" width="11.28515625" customWidth="1"/>
    <col min="8" max="8" width="12.42578125" customWidth="1"/>
    <col min="12" max="12" width="14.28515625" customWidth="1"/>
  </cols>
  <sheetData>
    <row r="1" spans="1:9" ht="45" x14ac:dyDescent="0.25">
      <c r="A1" s="82"/>
      <c r="B1" s="112" t="s">
        <v>90</v>
      </c>
      <c r="C1" s="112" t="s">
        <v>92</v>
      </c>
      <c r="D1" s="112" t="s">
        <v>91</v>
      </c>
      <c r="E1" s="112" t="s">
        <v>93</v>
      </c>
      <c r="F1" s="112" t="s">
        <v>95</v>
      </c>
      <c r="G1" s="111" t="s">
        <v>96</v>
      </c>
      <c r="H1" s="111" t="s">
        <v>97</v>
      </c>
      <c r="I1" s="2"/>
    </row>
    <row r="2" spans="1:9" x14ac:dyDescent="0.25">
      <c r="A2" s="113" t="s">
        <v>0</v>
      </c>
      <c r="B2" s="70">
        <v>7</v>
      </c>
      <c r="C2" s="70">
        <v>5</v>
      </c>
      <c r="D2" s="70">
        <v>22</v>
      </c>
      <c r="E2" s="70">
        <v>33</v>
      </c>
      <c r="F2" s="109">
        <v>1636</v>
      </c>
      <c r="G2" s="110">
        <v>64</v>
      </c>
      <c r="H2" s="110">
        <v>3</v>
      </c>
    </row>
    <row r="3" spans="1:9" x14ac:dyDescent="0.25">
      <c r="A3" s="113" t="s">
        <v>1</v>
      </c>
      <c r="B3" s="70">
        <v>1</v>
      </c>
      <c r="C3" s="70">
        <v>2</v>
      </c>
      <c r="D3" s="70">
        <v>8</v>
      </c>
      <c r="E3" s="70">
        <v>19</v>
      </c>
      <c r="F3" s="109">
        <v>1409</v>
      </c>
      <c r="G3" s="110">
        <v>67</v>
      </c>
      <c r="H3" s="110">
        <v>1</v>
      </c>
    </row>
    <row r="4" spans="1:9" x14ac:dyDescent="0.25">
      <c r="A4" s="113" t="s">
        <v>2</v>
      </c>
      <c r="B4" s="70">
        <v>7</v>
      </c>
      <c r="C4" s="70">
        <v>2</v>
      </c>
      <c r="D4" s="70">
        <v>19</v>
      </c>
      <c r="E4" s="70">
        <v>14</v>
      </c>
      <c r="F4" s="109">
        <v>2683</v>
      </c>
      <c r="G4" s="110">
        <v>70</v>
      </c>
      <c r="H4" s="110">
        <v>19</v>
      </c>
    </row>
    <row r="5" spans="1:9" x14ac:dyDescent="0.25">
      <c r="A5" s="113" t="s">
        <v>3</v>
      </c>
      <c r="B5" s="70">
        <v>10</v>
      </c>
      <c r="C5" s="70">
        <v>15</v>
      </c>
      <c r="D5" s="70">
        <v>16</v>
      </c>
      <c r="E5" s="70">
        <v>14</v>
      </c>
      <c r="F5" s="109">
        <v>2673</v>
      </c>
      <c r="G5" s="110">
        <v>121</v>
      </c>
      <c r="H5" s="110">
        <v>22</v>
      </c>
    </row>
    <row r="6" spans="1:9" x14ac:dyDescent="0.25">
      <c r="A6" s="113" t="s">
        <v>4</v>
      </c>
      <c r="B6" s="70">
        <v>2</v>
      </c>
      <c r="C6" s="70">
        <v>7</v>
      </c>
      <c r="D6" s="70">
        <v>7</v>
      </c>
      <c r="E6" s="70">
        <v>18</v>
      </c>
      <c r="F6" s="109">
        <v>1250</v>
      </c>
      <c r="G6" s="110">
        <v>45</v>
      </c>
      <c r="H6" s="110">
        <v>10</v>
      </c>
    </row>
    <row r="7" spans="1:9" x14ac:dyDescent="0.25">
      <c r="A7" s="113" t="s">
        <v>98</v>
      </c>
      <c r="B7" s="70">
        <v>3</v>
      </c>
      <c r="C7" s="70">
        <v>8</v>
      </c>
      <c r="D7" s="70">
        <v>10</v>
      </c>
      <c r="E7" s="70">
        <v>14</v>
      </c>
      <c r="F7" s="109">
        <v>1514</v>
      </c>
      <c r="G7" s="110">
        <v>54</v>
      </c>
      <c r="H7" s="110">
        <v>11</v>
      </c>
    </row>
    <row r="8" spans="1:9" x14ac:dyDescent="0.25">
      <c r="A8" s="113" t="s">
        <v>6</v>
      </c>
      <c r="B8" s="70">
        <v>4</v>
      </c>
      <c r="C8" s="70">
        <v>11</v>
      </c>
      <c r="D8" s="70">
        <v>26</v>
      </c>
      <c r="E8" s="70">
        <v>33</v>
      </c>
      <c r="F8" s="109">
        <v>3126</v>
      </c>
      <c r="G8" s="110">
        <v>165</v>
      </c>
      <c r="H8" s="110">
        <v>15</v>
      </c>
    </row>
    <row r="9" spans="1:9" x14ac:dyDescent="0.25">
      <c r="A9" s="113" t="s">
        <v>79</v>
      </c>
      <c r="B9" s="71">
        <v>34</v>
      </c>
      <c r="C9" s="71">
        <v>50</v>
      </c>
      <c r="D9" s="71">
        <v>108</v>
      </c>
      <c r="E9" s="71">
        <v>145</v>
      </c>
      <c r="F9" s="67">
        <v>14291</v>
      </c>
      <c r="G9" s="110">
        <f>SUM(G2:G8)</f>
        <v>586</v>
      </c>
      <c r="H9" s="110">
        <v>81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cols>
    <col min="1" max="1" width="26.140625" customWidth="1"/>
  </cols>
  <sheetData>
    <row r="1" spans="1:9" ht="36" x14ac:dyDescent="0.25">
      <c r="A1" s="80"/>
      <c r="B1" s="66" t="s">
        <v>81</v>
      </c>
      <c r="C1" s="66" t="s">
        <v>82</v>
      </c>
      <c r="D1" s="66" t="s">
        <v>83</v>
      </c>
      <c r="E1" s="66" t="s">
        <v>84</v>
      </c>
      <c r="F1" s="66" t="s">
        <v>85</v>
      </c>
      <c r="G1" s="66" t="s">
        <v>86</v>
      </c>
      <c r="H1" s="66" t="s">
        <v>87</v>
      </c>
      <c r="I1" s="66" t="s">
        <v>94</v>
      </c>
    </row>
    <row r="2" spans="1:9" x14ac:dyDescent="0.25">
      <c r="A2" s="81" t="s">
        <v>95</v>
      </c>
      <c r="B2" s="109">
        <v>1636</v>
      </c>
      <c r="C2" s="109">
        <v>1409</v>
      </c>
      <c r="D2" s="109">
        <v>2683</v>
      </c>
      <c r="E2" s="109">
        <v>2673</v>
      </c>
      <c r="F2" s="109">
        <v>1250</v>
      </c>
      <c r="G2" s="109">
        <v>1514</v>
      </c>
      <c r="H2" s="109">
        <v>3126</v>
      </c>
      <c r="I2" s="67">
        <v>14291</v>
      </c>
    </row>
    <row r="3" spans="1:9" x14ac:dyDescent="0.25">
      <c r="A3" t="s">
        <v>96</v>
      </c>
      <c r="B3" s="110">
        <v>64</v>
      </c>
      <c r="C3" s="110">
        <v>67</v>
      </c>
      <c r="D3" s="110">
        <v>70</v>
      </c>
      <c r="E3" s="110">
        <v>121</v>
      </c>
      <c r="F3" s="110">
        <v>45</v>
      </c>
      <c r="G3" s="110">
        <v>54</v>
      </c>
      <c r="H3" s="110">
        <v>165</v>
      </c>
      <c r="I3" s="110"/>
    </row>
    <row r="4" spans="1:9" x14ac:dyDescent="0.25">
      <c r="A4" t="s">
        <v>97</v>
      </c>
      <c r="B4" s="110">
        <v>3</v>
      </c>
      <c r="C4" s="110">
        <v>1</v>
      </c>
      <c r="D4" s="110">
        <v>19</v>
      </c>
      <c r="E4" s="110">
        <v>22</v>
      </c>
      <c r="F4" s="110">
        <v>10</v>
      </c>
      <c r="G4" s="110">
        <v>11</v>
      </c>
      <c r="H4" s="110">
        <v>15</v>
      </c>
      <c r="I4" s="110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>
      <selection activeCell="D28" sqref="D28"/>
    </sheetView>
  </sheetViews>
  <sheetFormatPr defaultRowHeight="15" x14ac:dyDescent="0.25"/>
  <cols>
    <col min="1" max="1" width="15" customWidth="1"/>
    <col min="2" max="2" width="13.42578125" customWidth="1"/>
    <col min="3" max="3" width="16.7109375" customWidth="1"/>
  </cols>
  <sheetData>
    <row r="1" spans="1:3" ht="21" x14ac:dyDescent="0.25">
      <c r="A1" s="114"/>
      <c r="B1" s="115" t="s">
        <v>99</v>
      </c>
      <c r="C1" s="115" t="s">
        <v>100</v>
      </c>
    </row>
    <row r="2" spans="1:3" ht="21" x14ac:dyDescent="0.25">
      <c r="A2" s="115" t="s">
        <v>81</v>
      </c>
      <c r="B2" s="116">
        <v>68</v>
      </c>
      <c r="C2" s="116">
        <v>323</v>
      </c>
    </row>
    <row r="3" spans="1:3" ht="21" x14ac:dyDescent="0.25">
      <c r="A3" s="115" t="s">
        <v>82</v>
      </c>
      <c r="B3" s="116">
        <v>67</v>
      </c>
      <c r="C3" s="116">
        <v>219</v>
      </c>
    </row>
    <row r="4" spans="1:3" ht="21" x14ac:dyDescent="0.25">
      <c r="A4" s="115" t="s">
        <v>83</v>
      </c>
      <c r="B4" s="116">
        <v>70</v>
      </c>
      <c r="C4" s="116">
        <v>438</v>
      </c>
    </row>
    <row r="5" spans="1:3" ht="21" x14ac:dyDescent="0.25">
      <c r="A5" s="115" t="s">
        <v>84</v>
      </c>
      <c r="B5" s="116">
        <v>125</v>
      </c>
      <c r="C5" s="116">
        <v>599</v>
      </c>
    </row>
    <row r="6" spans="1:3" ht="21" x14ac:dyDescent="0.25">
      <c r="A6" s="115" t="s">
        <v>85</v>
      </c>
      <c r="B6" s="116">
        <v>53</v>
      </c>
      <c r="C6" s="116">
        <v>301</v>
      </c>
    </row>
    <row r="7" spans="1:3" ht="21" x14ac:dyDescent="0.25">
      <c r="A7" s="115" t="s">
        <v>86</v>
      </c>
      <c r="B7" s="116">
        <v>54</v>
      </c>
      <c r="C7" s="116">
        <v>268</v>
      </c>
    </row>
    <row r="8" spans="1:3" ht="21" x14ac:dyDescent="0.25">
      <c r="A8" s="115" t="s">
        <v>87</v>
      </c>
      <c r="B8" s="116">
        <v>167</v>
      </c>
      <c r="C8" s="116">
        <v>478</v>
      </c>
    </row>
    <row r="9" spans="1:3" x14ac:dyDescent="0.25">
      <c r="A9" s="115" t="s">
        <v>80</v>
      </c>
      <c r="B9" s="116">
        <v>604</v>
      </c>
      <c r="C9" s="116">
        <v>2626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AC72FF4AEF4DACAD84F54EF6EBF6" ma:contentTypeVersion="0" ma:contentTypeDescription="Create a new document." ma:contentTypeScope="" ma:versionID="c17ca01ceaf579f6bef8eb80b870818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9AD497E-8824-461D-A689-6BA8B937C506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E43EFAE-94F7-4F62-AC73-4DC922ABE8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C8723-4899-4A31-A790-D592B38C6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Holds</vt:lpstr>
      <vt:lpstr>Intakes, Admins, Discharges</vt:lpstr>
      <vt:lpstr>AMH CMH Patients Served</vt:lpstr>
      <vt:lpstr>Invsigtns, Exams, and Commts</vt:lpstr>
      <vt:lpstr>Admissions</vt:lpstr>
      <vt:lpstr>Number SErved</vt:lpstr>
      <vt:lpstr>Sheet1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Wilmoth, Boyd E. - CO 3rd</cp:lastModifiedBy>
  <cp:lastPrinted>2012-08-29T13:59:03Z</cp:lastPrinted>
  <dcterms:created xsi:type="dcterms:W3CDTF">2012-01-06T15:16:49Z</dcterms:created>
  <dcterms:modified xsi:type="dcterms:W3CDTF">2012-10-02T16:33:01Z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0x010100E36BAC72FF4AEF4DACAD84F54EF6EBF6</vt:lpwstr>
  </property>
  <property fmtid="{D5CDD505-2E9C-101B-9397-08002B2CF9AE}" pid="3" name="Order">
    <vt:r8>6900</vt:r8>
  </property>
</Properties>
</file>