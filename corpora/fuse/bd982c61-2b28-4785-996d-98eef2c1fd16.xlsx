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8400" windowHeight="2400"/>
  </bookViews>
  <sheets>
    <sheet name="All Students &lt;60, 70s, 80s, 90s" sheetId="7" r:id="rId1"/>
    <sheet name="AMI - By Percent" sheetId="13" r:id="rId2"/>
    <sheet name="API - By Percent " sheetId="14" r:id="rId3"/>
    <sheet name="Hispanic - By Percent" sheetId="15" r:id="rId4"/>
    <sheet name="Black - By Percent" sheetId="16" r:id="rId5"/>
    <sheet name="White - By Percent" sheetId="17" r:id="rId6"/>
  </sheets>
  <calcPr calcId="145621"/>
</workbook>
</file>

<file path=xl/calcChain.xml><?xml version="1.0" encoding="utf-8"?>
<calcChain xmlns="http://schemas.openxmlformats.org/spreadsheetml/2006/main">
  <c r="L286" i="7" l="1"/>
  <c r="K286" i="7"/>
  <c r="L285" i="7"/>
  <c r="K285" i="7"/>
  <c r="L284" i="7"/>
  <c r="K284" i="7"/>
  <c r="L283" i="7"/>
  <c r="K283" i="7"/>
  <c r="L282" i="7"/>
  <c r="K282" i="7"/>
  <c r="L281" i="7"/>
  <c r="K281" i="7"/>
  <c r="L280" i="7"/>
  <c r="K280" i="7"/>
  <c r="L279" i="7"/>
  <c r="K279" i="7"/>
  <c r="L278" i="7"/>
  <c r="K278" i="7"/>
  <c r="L277" i="7"/>
  <c r="K277" i="7"/>
  <c r="L276" i="7"/>
  <c r="K276" i="7"/>
  <c r="L275" i="7"/>
  <c r="K275" i="7"/>
  <c r="L274" i="7"/>
  <c r="K274" i="7"/>
  <c r="L273" i="7"/>
  <c r="K273" i="7"/>
  <c r="L272" i="7"/>
  <c r="K272" i="7"/>
  <c r="L271" i="7"/>
  <c r="K271" i="7"/>
  <c r="L270" i="7"/>
  <c r="K270" i="7"/>
  <c r="L269" i="7"/>
  <c r="K269" i="7"/>
  <c r="L268" i="7"/>
  <c r="K268" i="7"/>
  <c r="L267" i="7"/>
  <c r="K267" i="7"/>
  <c r="L266" i="7"/>
  <c r="K266" i="7"/>
  <c r="L265" i="7"/>
  <c r="K265" i="7"/>
  <c r="L264" i="7"/>
  <c r="K264" i="7"/>
  <c r="L263" i="7"/>
  <c r="K263" i="7"/>
  <c r="L262" i="7"/>
  <c r="K262" i="7"/>
  <c r="L261" i="7"/>
  <c r="K261" i="7"/>
  <c r="L260" i="7"/>
  <c r="K260" i="7"/>
  <c r="L259" i="7"/>
  <c r="K259" i="7"/>
  <c r="L258" i="7"/>
  <c r="K258" i="7"/>
  <c r="L257" i="7"/>
  <c r="K257" i="7"/>
  <c r="L256" i="7"/>
  <c r="K256" i="7"/>
  <c r="L255" i="7"/>
  <c r="K255" i="7"/>
  <c r="L254" i="7"/>
  <c r="K254" i="7"/>
  <c r="L253" i="7"/>
  <c r="K253" i="7"/>
  <c r="L252" i="7"/>
  <c r="K252" i="7"/>
  <c r="L251" i="7"/>
  <c r="K251" i="7"/>
  <c r="L250" i="7"/>
  <c r="K250" i="7"/>
  <c r="L249" i="7"/>
  <c r="K249" i="7"/>
  <c r="L248" i="7"/>
  <c r="K248" i="7"/>
  <c r="L247" i="7"/>
  <c r="K247" i="7"/>
  <c r="L246" i="7"/>
  <c r="K246" i="7"/>
  <c r="L245" i="7"/>
  <c r="K245" i="7"/>
  <c r="L244" i="7"/>
  <c r="K244" i="7"/>
  <c r="L243" i="7"/>
  <c r="K243" i="7"/>
  <c r="L242" i="7"/>
  <c r="K242" i="7"/>
  <c r="L241" i="7"/>
  <c r="K241" i="7"/>
  <c r="L240" i="7"/>
  <c r="K240" i="7"/>
  <c r="L239" i="7"/>
  <c r="K239" i="7"/>
  <c r="L238" i="7"/>
  <c r="K238" i="7"/>
  <c r="K237" i="7"/>
  <c r="L237" i="7" s="1"/>
  <c r="K236" i="7"/>
  <c r="L236" i="7" s="1"/>
  <c r="K235" i="7"/>
  <c r="L235" i="7" s="1"/>
  <c r="K234" i="7"/>
  <c r="L234" i="7" s="1"/>
  <c r="K233" i="7"/>
  <c r="L233" i="7" s="1"/>
  <c r="K232" i="7"/>
  <c r="L232" i="7" s="1"/>
  <c r="K231" i="7"/>
  <c r="L231" i="7" s="1"/>
  <c r="K230" i="7"/>
  <c r="L230" i="7" s="1"/>
  <c r="K229" i="7"/>
  <c r="L229" i="7" s="1"/>
  <c r="K228" i="7"/>
  <c r="L228" i="7" s="1"/>
  <c r="K227" i="7"/>
  <c r="L227" i="7" s="1"/>
  <c r="K226" i="7"/>
  <c r="L226" i="7" s="1"/>
  <c r="K225" i="7"/>
  <c r="L225" i="7" s="1"/>
  <c r="K224" i="7"/>
  <c r="L224" i="7" s="1"/>
  <c r="K223" i="7"/>
  <c r="L223" i="7" s="1"/>
  <c r="K222" i="7"/>
  <c r="L222" i="7" s="1"/>
  <c r="K221" i="7"/>
  <c r="L221" i="7" s="1"/>
  <c r="K220" i="7"/>
  <c r="L220" i="7" s="1"/>
  <c r="K219" i="7"/>
  <c r="L219" i="7" s="1"/>
  <c r="K218" i="7"/>
  <c r="L218" i="7" s="1"/>
  <c r="K217" i="7"/>
  <c r="L217" i="7" s="1"/>
  <c r="K216" i="7"/>
  <c r="L216" i="7" s="1"/>
  <c r="K215" i="7"/>
  <c r="L215" i="7" s="1"/>
  <c r="K214" i="7"/>
  <c r="L214" i="7" s="1"/>
  <c r="K213" i="7"/>
  <c r="L213" i="7" s="1"/>
  <c r="K212" i="7"/>
  <c r="L212" i="7" s="1"/>
  <c r="K211" i="7"/>
  <c r="L211" i="7" s="1"/>
  <c r="K210" i="7"/>
  <c r="L210" i="7" s="1"/>
  <c r="K209" i="7"/>
  <c r="L209" i="7" s="1"/>
  <c r="K208" i="7"/>
  <c r="L208" i="7" s="1"/>
  <c r="K207" i="7"/>
  <c r="L207" i="7" s="1"/>
  <c r="K206" i="7"/>
  <c r="L206" i="7" s="1"/>
  <c r="K205" i="7"/>
  <c r="L205" i="7" s="1"/>
  <c r="K204" i="7"/>
  <c r="L204" i="7" s="1"/>
  <c r="K203" i="7"/>
  <c r="L203" i="7" s="1"/>
  <c r="K202" i="7"/>
  <c r="L202" i="7" s="1"/>
  <c r="K201" i="7"/>
  <c r="L201" i="7" s="1"/>
  <c r="K200" i="7"/>
  <c r="L200" i="7" s="1"/>
  <c r="K199" i="7"/>
  <c r="L199" i="7" s="1"/>
  <c r="K198" i="7"/>
  <c r="L198" i="7" s="1"/>
  <c r="K197" i="7"/>
  <c r="L197" i="7" s="1"/>
  <c r="K196" i="7"/>
  <c r="L196" i="7" s="1"/>
  <c r="K195" i="7"/>
  <c r="L195" i="7" s="1"/>
  <c r="K194" i="7"/>
  <c r="L194" i="7" s="1"/>
  <c r="K193" i="7"/>
  <c r="L193" i="7" s="1"/>
  <c r="K192" i="7"/>
  <c r="L192" i="7" s="1"/>
  <c r="K191" i="7"/>
  <c r="L191" i="7" s="1"/>
  <c r="K190" i="7"/>
  <c r="L190" i="7" s="1"/>
  <c r="K189" i="7"/>
  <c r="L189" i="7" s="1"/>
  <c r="K188" i="7"/>
  <c r="L188" i="7" s="1"/>
  <c r="K187" i="7"/>
  <c r="L187" i="7" s="1"/>
  <c r="K186" i="7"/>
  <c r="L186" i="7" s="1"/>
  <c r="K185" i="7"/>
  <c r="L185" i="7" s="1"/>
  <c r="K184" i="7"/>
  <c r="L184" i="7" s="1"/>
  <c r="K183" i="7"/>
  <c r="L183" i="7" s="1"/>
  <c r="K182" i="7"/>
  <c r="L182" i="7" s="1"/>
  <c r="K181" i="7"/>
  <c r="L181" i="7" s="1"/>
  <c r="K180" i="7"/>
  <c r="L180" i="7" s="1"/>
  <c r="K179" i="7"/>
  <c r="L179" i="7" s="1"/>
  <c r="K178" i="7"/>
  <c r="L178" i="7" s="1"/>
  <c r="K177" i="7"/>
  <c r="L177" i="7" s="1"/>
  <c r="K176" i="7"/>
  <c r="L176" i="7" s="1"/>
  <c r="K175" i="7"/>
  <c r="L175" i="7" s="1"/>
  <c r="K174" i="7"/>
  <c r="L174" i="7" s="1"/>
  <c r="K173" i="7"/>
  <c r="L173" i="7" s="1"/>
  <c r="K172" i="7"/>
  <c r="L172" i="7" s="1"/>
  <c r="K171" i="7"/>
  <c r="L171" i="7" s="1"/>
  <c r="K170" i="7"/>
  <c r="L170" i="7" s="1"/>
  <c r="K169" i="7"/>
  <c r="L169" i="7" s="1"/>
  <c r="K168" i="7"/>
  <c r="L168" i="7" s="1"/>
  <c r="K167" i="7"/>
  <c r="L167" i="7" s="1"/>
  <c r="K166" i="7"/>
  <c r="L166" i="7" s="1"/>
  <c r="K165" i="7"/>
  <c r="L165" i="7" s="1"/>
  <c r="K164" i="7"/>
  <c r="L164" i="7" s="1"/>
  <c r="K163" i="7"/>
  <c r="L163" i="7" s="1"/>
  <c r="K162" i="7"/>
  <c r="L162" i="7" s="1"/>
  <c r="K161" i="7"/>
  <c r="L161" i="7" s="1"/>
  <c r="K160" i="7"/>
  <c r="L160" i="7" s="1"/>
  <c r="K159" i="7"/>
  <c r="L159" i="7" s="1"/>
  <c r="K158" i="7"/>
  <c r="L158" i="7" s="1"/>
  <c r="K157" i="7"/>
  <c r="L157" i="7" s="1"/>
  <c r="K156" i="7"/>
  <c r="L156" i="7" s="1"/>
  <c r="K155" i="7"/>
  <c r="L155" i="7" s="1"/>
  <c r="K154" i="7"/>
  <c r="L154" i="7" s="1"/>
  <c r="K153" i="7"/>
  <c r="L153" i="7" s="1"/>
  <c r="K152" i="7"/>
  <c r="L152" i="7" s="1"/>
  <c r="K151" i="7"/>
  <c r="L151" i="7" s="1"/>
  <c r="K150" i="7"/>
  <c r="L150" i="7" s="1"/>
  <c r="K149" i="7"/>
  <c r="L149" i="7" s="1"/>
  <c r="K148" i="7"/>
  <c r="L148" i="7" s="1"/>
  <c r="K147" i="7"/>
  <c r="L147" i="7" s="1"/>
  <c r="K146" i="7"/>
  <c r="L146" i="7" s="1"/>
  <c r="K145" i="7"/>
  <c r="L145" i="7" s="1"/>
  <c r="K144" i="7"/>
  <c r="L144" i="7" s="1"/>
  <c r="K143" i="7"/>
  <c r="L143" i="7" s="1"/>
  <c r="K142" i="7"/>
  <c r="L142" i="7" s="1"/>
  <c r="K141" i="7"/>
  <c r="L141" i="7" s="1"/>
  <c r="K140" i="7"/>
  <c r="L140" i="7" s="1"/>
  <c r="K139" i="7"/>
  <c r="L139" i="7" s="1"/>
  <c r="K138" i="7"/>
  <c r="L138" i="7" s="1"/>
  <c r="K137" i="7"/>
  <c r="L137" i="7" s="1"/>
  <c r="K136" i="7"/>
  <c r="L136" i="7" s="1"/>
  <c r="K135" i="7"/>
  <c r="L135" i="7" s="1"/>
  <c r="K134" i="7"/>
  <c r="L134" i="7" s="1"/>
  <c r="K133" i="7"/>
  <c r="L133" i="7" s="1"/>
  <c r="K132" i="7"/>
  <c r="L132" i="7" s="1"/>
  <c r="K131" i="7"/>
  <c r="L131" i="7" s="1"/>
  <c r="K130" i="7"/>
  <c r="L130" i="7" s="1"/>
  <c r="K129" i="7"/>
  <c r="L129" i="7" s="1"/>
  <c r="K128" i="7"/>
  <c r="L128" i="7" s="1"/>
  <c r="K127" i="7"/>
  <c r="L127" i="7" s="1"/>
  <c r="K126" i="7"/>
  <c r="L126" i="7" s="1"/>
  <c r="K125" i="7"/>
  <c r="L125" i="7" s="1"/>
  <c r="K124" i="7"/>
  <c r="L124" i="7" s="1"/>
  <c r="K123" i="7"/>
  <c r="L123" i="7" s="1"/>
  <c r="K122" i="7"/>
  <c r="L122" i="7" s="1"/>
  <c r="K121" i="7"/>
  <c r="L121" i="7" s="1"/>
  <c r="K120" i="7"/>
  <c r="L120" i="7" s="1"/>
  <c r="K119" i="7"/>
  <c r="L119" i="7" s="1"/>
  <c r="K118" i="7"/>
  <c r="L118" i="7" s="1"/>
  <c r="K117" i="7"/>
  <c r="L117" i="7" s="1"/>
  <c r="K116" i="7"/>
  <c r="L116" i="7" s="1"/>
  <c r="K115" i="7"/>
  <c r="L115" i="7" s="1"/>
  <c r="K114" i="7"/>
  <c r="L114" i="7" s="1"/>
  <c r="K113" i="7"/>
  <c r="L113" i="7" s="1"/>
  <c r="K112" i="7"/>
  <c r="L112" i="7" s="1"/>
  <c r="K111" i="7"/>
  <c r="L111" i="7" s="1"/>
  <c r="K110" i="7"/>
  <c r="L110" i="7" s="1"/>
  <c r="K109" i="7"/>
  <c r="L109" i="7" s="1"/>
  <c r="K108" i="7"/>
  <c r="L108" i="7" s="1"/>
  <c r="K107" i="7"/>
  <c r="L107" i="7" s="1"/>
  <c r="K106" i="7"/>
  <c r="L106" i="7" s="1"/>
  <c r="K134" i="17" l="1"/>
  <c r="L134" i="17" s="1"/>
  <c r="K135" i="17"/>
  <c r="L135" i="17" s="1"/>
  <c r="K136" i="17"/>
  <c r="L136" i="17" s="1"/>
  <c r="K137" i="17"/>
  <c r="L137" i="17" s="1"/>
  <c r="K138" i="17"/>
  <c r="L138" i="17" s="1"/>
  <c r="K139" i="17"/>
  <c r="L139" i="17" s="1"/>
  <c r="K140" i="17"/>
  <c r="L140" i="17" s="1"/>
  <c r="K141" i="17"/>
  <c r="L141" i="17" s="1"/>
  <c r="K142" i="17"/>
  <c r="L142" i="17" s="1"/>
  <c r="K143" i="17"/>
  <c r="L143" i="17" s="1"/>
  <c r="K144" i="17"/>
  <c r="L144" i="17" s="1"/>
  <c r="K145" i="17"/>
  <c r="L145" i="17" s="1"/>
  <c r="K146" i="17"/>
  <c r="L146" i="17" s="1"/>
  <c r="K147" i="17"/>
  <c r="L147" i="17" s="1"/>
  <c r="K148" i="17"/>
  <c r="L148" i="17" s="1"/>
  <c r="K149" i="17"/>
  <c r="L149" i="17" s="1"/>
  <c r="K150" i="17"/>
  <c r="L150" i="17" s="1"/>
  <c r="K151" i="17"/>
  <c r="L151" i="17" s="1"/>
  <c r="K152" i="17"/>
  <c r="L152" i="17" s="1"/>
  <c r="K153" i="17"/>
  <c r="L153" i="17" s="1"/>
  <c r="K154" i="17"/>
  <c r="L154" i="17" s="1"/>
  <c r="K155" i="17"/>
  <c r="L155" i="17" s="1"/>
  <c r="K156" i="17"/>
  <c r="L156" i="17" s="1"/>
  <c r="K157" i="17"/>
  <c r="L157" i="17" s="1"/>
  <c r="K158" i="17"/>
  <c r="L158" i="17" s="1"/>
  <c r="K159" i="17"/>
  <c r="L159" i="17" s="1"/>
  <c r="K160" i="17"/>
  <c r="L160" i="17" s="1"/>
  <c r="K161" i="17"/>
  <c r="L161" i="17" s="1"/>
  <c r="K162" i="17"/>
  <c r="L162" i="17" s="1"/>
  <c r="K163" i="17"/>
  <c r="L163" i="17" s="1"/>
  <c r="K164" i="17"/>
  <c r="L164" i="17" s="1"/>
  <c r="K165" i="17"/>
  <c r="L165" i="17" s="1"/>
  <c r="K166" i="17"/>
  <c r="L166" i="17" s="1"/>
  <c r="K167" i="17"/>
  <c r="L167" i="17" s="1"/>
  <c r="K168" i="17"/>
  <c r="L168" i="17" s="1"/>
  <c r="K169" i="17"/>
  <c r="L169" i="17" s="1"/>
  <c r="K170" i="17"/>
  <c r="L170" i="17" s="1"/>
  <c r="K171" i="17"/>
  <c r="L171" i="17" s="1"/>
  <c r="K172" i="17"/>
  <c r="L172" i="17" s="1"/>
  <c r="K173" i="17"/>
  <c r="L173" i="17" s="1"/>
  <c r="K174" i="17"/>
  <c r="L174" i="17" s="1"/>
  <c r="K175" i="17"/>
  <c r="L175" i="17" s="1"/>
  <c r="K176" i="17"/>
  <c r="L176" i="17" s="1"/>
  <c r="K177" i="17"/>
  <c r="L177" i="17" s="1"/>
  <c r="K178" i="17"/>
  <c r="L178" i="17" s="1"/>
  <c r="K179" i="17"/>
  <c r="L179" i="17" s="1"/>
  <c r="K180" i="17"/>
  <c r="L180" i="17" s="1"/>
  <c r="K181" i="17"/>
  <c r="L181" i="17" s="1"/>
  <c r="K182" i="17"/>
  <c r="L182" i="17" s="1"/>
  <c r="K183" i="17"/>
  <c r="L183" i="17" s="1"/>
  <c r="K184" i="17"/>
  <c r="L184" i="17" s="1"/>
  <c r="K185" i="17"/>
  <c r="L185" i="17" s="1"/>
  <c r="K186" i="17"/>
  <c r="L186" i="17" s="1"/>
  <c r="K187" i="17"/>
  <c r="L187" i="17" s="1"/>
  <c r="K188" i="17"/>
  <c r="L188" i="17" s="1"/>
  <c r="K189" i="17"/>
  <c r="L189" i="17" s="1"/>
  <c r="K190" i="17"/>
  <c r="L190" i="17" s="1"/>
  <c r="K191" i="17"/>
  <c r="L191" i="17" s="1"/>
  <c r="K192" i="17"/>
  <c r="L192" i="17" s="1"/>
  <c r="K193" i="17"/>
  <c r="L193" i="17" s="1"/>
  <c r="K194" i="17"/>
  <c r="L194" i="17" s="1"/>
  <c r="K195" i="17"/>
  <c r="L195" i="17" s="1"/>
  <c r="K196" i="17"/>
  <c r="L196" i="17" s="1"/>
  <c r="K197" i="17"/>
  <c r="L197" i="17" s="1"/>
  <c r="K198" i="17"/>
  <c r="L198" i="17" s="1"/>
  <c r="K199" i="17"/>
  <c r="L199" i="17" s="1"/>
  <c r="K200" i="17"/>
  <c r="L200" i="17" s="1"/>
  <c r="K201" i="17"/>
  <c r="L201" i="17" s="1"/>
  <c r="K202" i="17"/>
  <c r="L202" i="17" s="1"/>
  <c r="K203" i="17"/>
  <c r="L203" i="17" s="1"/>
  <c r="K204" i="17"/>
  <c r="L204" i="17" s="1"/>
  <c r="K205" i="17"/>
  <c r="L205" i="17" s="1"/>
  <c r="K206" i="17"/>
  <c r="L206" i="17" s="1"/>
  <c r="K207" i="17"/>
  <c r="L207" i="17" s="1"/>
  <c r="K208" i="17"/>
  <c r="L208" i="17" s="1"/>
  <c r="K209" i="17"/>
  <c r="L209" i="17" s="1"/>
  <c r="K210" i="17"/>
  <c r="L210" i="17" s="1"/>
  <c r="K211" i="17"/>
  <c r="L211" i="17" s="1"/>
  <c r="K212" i="17"/>
  <c r="L212" i="17" s="1"/>
  <c r="K213" i="17"/>
  <c r="L213" i="17" s="1"/>
  <c r="K214" i="17"/>
  <c r="L214" i="17" s="1"/>
  <c r="K215" i="17"/>
  <c r="L215" i="17" s="1"/>
  <c r="K216" i="17"/>
  <c r="L216" i="17" s="1"/>
  <c r="K217" i="17"/>
  <c r="L217" i="17" s="1"/>
  <c r="K218" i="17"/>
  <c r="L218" i="17" s="1"/>
  <c r="K219" i="17"/>
  <c r="L219" i="17" s="1"/>
  <c r="K220" i="17"/>
  <c r="L220" i="17" s="1"/>
  <c r="K221" i="17"/>
  <c r="L221" i="17" s="1"/>
  <c r="K222" i="17"/>
  <c r="L222" i="17" s="1"/>
  <c r="K223" i="17"/>
  <c r="L223" i="17" s="1"/>
  <c r="K224" i="17"/>
  <c r="L224" i="17" s="1"/>
  <c r="K225" i="17"/>
  <c r="L225" i="17" s="1"/>
  <c r="K226" i="17"/>
  <c r="L226" i="17" s="1"/>
  <c r="K227" i="17"/>
  <c r="L227" i="17" s="1"/>
  <c r="K228" i="17"/>
  <c r="L228" i="17" s="1"/>
  <c r="K229" i="17"/>
  <c r="L229" i="17" s="1"/>
  <c r="K230" i="17"/>
  <c r="L230" i="17" s="1"/>
  <c r="K231" i="17"/>
  <c r="L231" i="17" s="1"/>
  <c r="K232" i="17"/>
  <c r="L232" i="17" s="1"/>
  <c r="K233" i="17"/>
  <c r="L233" i="17" s="1"/>
  <c r="K234" i="17"/>
  <c r="L234" i="17" s="1"/>
  <c r="K235" i="17"/>
  <c r="L235" i="17" s="1"/>
  <c r="K236" i="17"/>
  <c r="L236" i="17" s="1"/>
  <c r="K237" i="17"/>
  <c r="L237" i="17" s="1"/>
  <c r="K238" i="17"/>
  <c r="L238" i="17" s="1"/>
  <c r="K239" i="17"/>
  <c r="L239" i="17" s="1"/>
  <c r="K240" i="17"/>
  <c r="L240" i="17" s="1"/>
  <c r="K241" i="17"/>
  <c r="L241" i="17" s="1"/>
  <c r="K242" i="17"/>
  <c r="L242" i="17" s="1"/>
  <c r="K243" i="17"/>
  <c r="L243" i="17" s="1"/>
  <c r="K244" i="17"/>
  <c r="L244" i="17" s="1"/>
  <c r="K245" i="17"/>
  <c r="L245" i="17" s="1"/>
  <c r="K246" i="17"/>
  <c r="L246" i="17" s="1"/>
  <c r="K247" i="17"/>
  <c r="L247" i="17" s="1"/>
  <c r="K248" i="17"/>
  <c r="L248" i="17" s="1"/>
  <c r="K249" i="17"/>
  <c r="L249" i="17" s="1"/>
  <c r="K250" i="17"/>
  <c r="L250" i="17" s="1"/>
  <c r="K251" i="17"/>
  <c r="L251" i="17" s="1"/>
  <c r="K252" i="17"/>
  <c r="L252" i="17" s="1"/>
  <c r="K253" i="17"/>
  <c r="L253" i="17" s="1"/>
  <c r="K254" i="17"/>
  <c r="L254" i="17" s="1"/>
  <c r="K255" i="17"/>
  <c r="L255" i="17" s="1"/>
  <c r="K256" i="17"/>
  <c r="L256" i="17" s="1"/>
  <c r="K257" i="17"/>
  <c r="L257" i="17" s="1"/>
  <c r="K258" i="17"/>
  <c r="L258" i="17" s="1"/>
  <c r="K259" i="17"/>
  <c r="L259" i="17" s="1"/>
  <c r="L3" i="16"/>
  <c r="L5" i="16"/>
  <c r="L7" i="16"/>
  <c r="L9" i="16"/>
  <c r="L11" i="16"/>
  <c r="L13" i="16"/>
  <c r="L15" i="16"/>
  <c r="L17" i="16"/>
  <c r="L19" i="16"/>
  <c r="L21" i="16"/>
  <c r="L23" i="16"/>
  <c r="L25" i="16"/>
  <c r="L27" i="16"/>
  <c r="L29" i="16"/>
  <c r="L31" i="16"/>
  <c r="L2" i="16"/>
  <c r="K3" i="16"/>
  <c r="K4" i="16"/>
  <c r="L4" i="16" s="1"/>
  <c r="K5" i="16"/>
  <c r="K6" i="16"/>
  <c r="L6" i="16" s="1"/>
  <c r="K7" i="16"/>
  <c r="K8" i="16"/>
  <c r="L8" i="16" s="1"/>
  <c r="K9" i="16"/>
  <c r="K10" i="16"/>
  <c r="L10" i="16" s="1"/>
  <c r="K11" i="16"/>
  <c r="K12" i="16"/>
  <c r="L12" i="16" s="1"/>
  <c r="K13" i="16"/>
  <c r="K14" i="16"/>
  <c r="L14" i="16" s="1"/>
  <c r="K15" i="16"/>
  <c r="K16" i="16"/>
  <c r="L16" i="16" s="1"/>
  <c r="K17" i="16"/>
  <c r="K18" i="16"/>
  <c r="L18" i="16" s="1"/>
  <c r="K19" i="16"/>
  <c r="K20" i="16"/>
  <c r="L20" i="16" s="1"/>
  <c r="K21" i="16"/>
  <c r="K22" i="16"/>
  <c r="L22" i="16" s="1"/>
  <c r="K23" i="16"/>
  <c r="K24" i="16"/>
  <c r="L24" i="16" s="1"/>
  <c r="K25" i="16"/>
  <c r="K26" i="16"/>
  <c r="L26" i="16" s="1"/>
  <c r="K27" i="16"/>
  <c r="K28" i="16"/>
  <c r="L28" i="16" s="1"/>
  <c r="K29" i="16"/>
  <c r="K30" i="16"/>
  <c r="L30" i="16" s="1"/>
  <c r="K31" i="16"/>
  <c r="K32" i="16"/>
  <c r="L32" i="16" s="1"/>
  <c r="K2" i="16"/>
  <c r="K3" i="15"/>
  <c r="L3" i="15" s="1"/>
  <c r="K4" i="15"/>
  <c r="L4" i="15" s="1"/>
  <c r="K5" i="15"/>
  <c r="L5" i="15" s="1"/>
  <c r="K6" i="15"/>
  <c r="L6" i="15" s="1"/>
  <c r="K7" i="15"/>
  <c r="L7" i="15" s="1"/>
  <c r="K8" i="15"/>
  <c r="L8" i="15" s="1"/>
  <c r="K9" i="15"/>
  <c r="L9" i="15" s="1"/>
  <c r="K10" i="15"/>
  <c r="L10" i="15" s="1"/>
  <c r="K11" i="15"/>
  <c r="L11" i="15" s="1"/>
  <c r="K12" i="15"/>
  <c r="L12" i="15" s="1"/>
  <c r="K13" i="15"/>
  <c r="L13" i="15" s="1"/>
  <c r="K14" i="15"/>
  <c r="L14" i="15" s="1"/>
  <c r="K15" i="15"/>
  <c r="L15" i="15" s="1"/>
  <c r="K16" i="15"/>
  <c r="L16" i="15" s="1"/>
  <c r="K17" i="15"/>
  <c r="L17" i="15" s="1"/>
  <c r="K18" i="15"/>
  <c r="L18" i="15" s="1"/>
  <c r="K19" i="15"/>
  <c r="L19" i="15" s="1"/>
  <c r="K20" i="15"/>
  <c r="L20" i="15" s="1"/>
  <c r="K21" i="15"/>
  <c r="L21" i="15" s="1"/>
  <c r="K22" i="15"/>
  <c r="L22" i="15" s="1"/>
  <c r="K23" i="15"/>
  <c r="L23" i="15" s="1"/>
  <c r="K24" i="15"/>
  <c r="L24" i="15" s="1"/>
  <c r="K25" i="15"/>
  <c r="L25" i="15" s="1"/>
  <c r="K2" i="15"/>
  <c r="L2" i="15" s="1"/>
  <c r="K20" i="14"/>
  <c r="L20" i="14" s="1"/>
  <c r="K4" i="14"/>
  <c r="L4" i="14" s="1"/>
  <c r="K5" i="14"/>
  <c r="L5" i="14" s="1"/>
  <c r="K6" i="14"/>
  <c r="L6" i="14" s="1"/>
  <c r="K7" i="14"/>
  <c r="L7" i="14" s="1"/>
  <c r="K8" i="14"/>
  <c r="L8" i="14" s="1"/>
  <c r="K9" i="14"/>
  <c r="L9" i="14" s="1"/>
  <c r="K10" i="14"/>
  <c r="L10" i="14" s="1"/>
  <c r="K11" i="14"/>
  <c r="L11" i="14" s="1"/>
  <c r="K12" i="14"/>
  <c r="L12" i="14" s="1"/>
  <c r="K13" i="14"/>
  <c r="L13" i="14" s="1"/>
  <c r="K14" i="14"/>
  <c r="L14" i="14" s="1"/>
  <c r="K15" i="14"/>
  <c r="L15" i="14" s="1"/>
  <c r="K16" i="14"/>
  <c r="L16" i="14" s="1"/>
  <c r="K17" i="14"/>
  <c r="L17" i="14" s="1"/>
  <c r="K18" i="14"/>
  <c r="L18" i="14" s="1"/>
  <c r="K19" i="14"/>
  <c r="L19" i="14" s="1"/>
  <c r="K3" i="13"/>
  <c r="L3" i="13" s="1"/>
  <c r="K5" i="13"/>
  <c r="L5" i="13" s="1"/>
  <c r="K4" i="13"/>
  <c r="L4" i="13" s="1"/>
  <c r="K2" i="13"/>
  <c r="L2" i="13" s="1"/>
  <c r="K6" i="13"/>
  <c r="L6" i="13" s="1"/>
  <c r="K8" i="13"/>
  <c r="L8" i="13" s="1"/>
  <c r="K7" i="13"/>
  <c r="L7" i="13" s="1"/>
</calcChain>
</file>

<file path=xl/sharedStrings.xml><?xml version="1.0" encoding="utf-8"?>
<sst xmlns="http://schemas.openxmlformats.org/spreadsheetml/2006/main" count="3225" uniqueCount="669">
  <si>
    <t>69</t>
  </si>
  <si>
    <t>0712</t>
  </si>
  <si>
    <t>01</t>
  </si>
  <si>
    <t>MOUNTAIN IRON-BUHL SCHOOL DISTRICT</t>
  </si>
  <si>
    <t>All Students</t>
  </si>
  <si>
    <t>23</t>
  </si>
  <si>
    <t>0239</t>
  </si>
  <si>
    <t>RUSHFORD-PETERSON PUBLIC SCHOOLS</t>
  </si>
  <si>
    <t>73</t>
  </si>
  <si>
    <t>6074</t>
  </si>
  <si>
    <t>50</t>
  </si>
  <si>
    <t>CENTRAL MINNESOTA JT. POWERS DIST.</t>
  </si>
  <si>
    <t>08</t>
  </si>
  <si>
    <t>0084</t>
  </si>
  <si>
    <t>SLEEPY EYE PUBLIC SCHOOL DISTRICT</t>
  </si>
  <si>
    <t>19</t>
  </si>
  <si>
    <t>0195</t>
  </si>
  <si>
    <t>RANDOLPH PUBLIC SCHOOL DISTRICT</t>
  </si>
  <si>
    <t>04</t>
  </si>
  <si>
    <t>0038</t>
  </si>
  <si>
    <t>RED LAKE PUBLIC SCHOOL DISTRICT</t>
  </si>
  <si>
    <t>2711</t>
  </si>
  <si>
    <t>MESABI EAST SCHOOL DISTRICT</t>
  </si>
  <si>
    <t>11</t>
  </si>
  <si>
    <t>0115</t>
  </si>
  <si>
    <t>CASS LAKE-BENA PUBLIC SCHOOLS</t>
  </si>
  <si>
    <t>74</t>
  </si>
  <si>
    <t>0763</t>
  </si>
  <si>
    <t>MEDFORD PUBLIC SCHOOL DISTRICT</t>
  </si>
  <si>
    <t>56</t>
  </si>
  <si>
    <t>0548</t>
  </si>
  <si>
    <t>PELICAN RAPIDS PUBLIC SCHOOL DIST.</t>
  </si>
  <si>
    <t>27</t>
  </si>
  <si>
    <t>0283</t>
  </si>
  <si>
    <t>ST. LOUIS PARK PUBLIC SCHOOL DIST.</t>
  </si>
  <si>
    <t>4110</t>
  </si>
  <si>
    <t>07</t>
  </si>
  <si>
    <t>MAIN STREET SCHOOL PERFORMING ARTS</t>
  </si>
  <si>
    <t>48</t>
  </si>
  <si>
    <t>0473</t>
  </si>
  <si>
    <t>ISLE PUBLIC SCHOOL DISTRICT</t>
  </si>
  <si>
    <t>4085</t>
  </si>
  <si>
    <t>HARBOR CITY INTERNATIONAL CHARTER</t>
  </si>
  <si>
    <t>79</t>
  </si>
  <si>
    <t>0813</t>
  </si>
  <si>
    <t>LAKE CITY PUBLIC SCHOOL DISTRICT</t>
  </si>
  <si>
    <t>17</t>
  </si>
  <si>
    <t>0177</t>
  </si>
  <si>
    <t>WINDOM PUBLIC SCHOOL DISTRICT</t>
  </si>
  <si>
    <t>12</t>
  </si>
  <si>
    <t>0129</t>
  </si>
  <si>
    <t>MONTEVIDEO PUBLIC SCHOOL DISTRICT</t>
  </si>
  <si>
    <t>70</t>
  </si>
  <si>
    <t>0716</t>
  </si>
  <si>
    <t>BELLE PLAINE PUBLIC SCHOOL DISTRICT</t>
  </si>
  <si>
    <t>0116</t>
  </si>
  <si>
    <t>PILLAGER PUBLIC SCHOOL DISTRICT</t>
  </si>
  <si>
    <t>0286</t>
  </si>
  <si>
    <t>BROOKLYN CENTER SCHOOL DISTRICT</t>
  </si>
  <si>
    <t>62</t>
  </si>
  <si>
    <t>4015</t>
  </si>
  <si>
    <t>COMMUNITY OF PEACE ACADEMY</t>
  </si>
  <si>
    <t>66</t>
  </si>
  <si>
    <t>0659</t>
  </si>
  <si>
    <t>NORTHFIELD PUBLIC SCHOOL DISTRICT</t>
  </si>
  <si>
    <t>14</t>
  </si>
  <si>
    <t>2164</t>
  </si>
  <si>
    <t>DILWORTH-GLYNDON-FELTON</t>
  </si>
  <si>
    <t>83</t>
  </si>
  <si>
    <t>0840</t>
  </si>
  <si>
    <t>ST. JAMES PUBLIC SCHOOL DISTRICT</t>
  </si>
  <si>
    <t>09</t>
  </si>
  <si>
    <t>0094</t>
  </si>
  <si>
    <t>CLOQUET PUBLIC SCHOOL DISTRICT</t>
  </si>
  <si>
    <t>77</t>
  </si>
  <si>
    <t>0787</t>
  </si>
  <si>
    <t>BROWERVILLE PUBLIC SCHOOL DISTRICT</t>
  </si>
  <si>
    <t>18</t>
  </si>
  <si>
    <t>0186</t>
  </si>
  <si>
    <t>PEQUOT LAKES PUBLIC SCHOOLS</t>
  </si>
  <si>
    <t>0837</t>
  </si>
  <si>
    <t>MADELIA PUBLIC SCHOOL DISTRICT</t>
  </si>
  <si>
    <t>40</t>
  </si>
  <si>
    <t>2143</t>
  </si>
  <si>
    <t>WATERVILLE-ELYSIAN-MORRISTOWN</t>
  </si>
  <si>
    <t>57</t>
  </si>
  <si>
    <t>0564</t>
  </si>
  <si>
    <t>THIEF RIVER FALLS SCHOOL DISTRICT</t>
  </si>
  <si>
    <t>85</t>
  </si>
  <si>
    <t>0858</t>
  </si>
  <si>
    <t>ST. CHARLES PUBLIC SCHOOL DISTRICT</t>
  </si>
  <si>
    <t>2170</t>
  </si>
  <si>
    <t>STAPLES-MOTLEY SCHOOL DISTRICT</t>
  </si>
  <si>
    <t>51</t>
  </si>
  <si>
    <t>2169</t>
  </si>
  <si>
    <t>MURRAY COUNTY CENTRAL SCHOOL DIST.</t>
  </si>
  <si>
    <t>49</t>
  </si>
  <si>
    <t>0485</t>
  </si>
  <si>
    <t>ROYALTON PUBLIC SCHOOL DISTRICT</t>
  </si>
  <si>
    <t>28</t>
  </si>
  <si>
    <t>0294</t>
  </si>
  <si>
    <t>HOUSTON PUBLIC SCHOOL DISTRICT</t>
  </si>
  <si>
    <t>53</t>
  </si>
  <si>
    <t>0518</t>
  </si>
  <si>
    <t>WORTHINGTON PUBLIC SCHOOL DISTRICT</t>
  </si>
  <si>
    <t>02</t>
  </si>
  <si>
    <t>0012</t>
  </si>
  <si>
    <t>CENTENNIAL PUBLIC SCHOOL DISTRICT</t>
  </si>
  <si>
    <t>0500</t>
  </si>
  <si>
    <t>SOUTHLAND PUBLIC SCHOOL DISTRICT</t>
  </si>
  <si>
    <t>0392</t>
  </si>
  <si>
    <t>39</t>
  </si>
  <si>
    <t>0390</t>
  </si>
  <si>
    <t>LAKE OF THE WOODS SCHOOL DISTRICT</t>
  </si>
  <si>
    <t>10</t>
  </si>
  <si>
    <t>0112</t>
  </si>
  <si>
    <t>EASTERN CARVER COUNTY PUBLIC SCHOOL</t>
  </si>
  <si>
    <t>0739</t>
  </si>
  <si>
    <t>KIMBALL PUBLIC SCHOOL DISTRICT</t>
  </si>
  <si>
    <t>0031</t>
  </si>
  <si>
    <t>BEMIDJI PUBLIC SCHOOL DISTRICT</t>
  </si>
  <si>
    <t>03</t>
  </si>
  <si>
    <t>0023</t>
  </si>
  <si>
    <t>FRAZEE-VERGAS PUBLIC SCHOOL DIST.</t>
  </si>
  <si>
    <t>0088</t>
  </si>
  <si>
    <t>NEW ULM PUBLIC SCHOOL DISTRICT</t>
  </si>
  <si>
    <t>0280</t>
  </si>
  <si>
    <t>RICHFIELD PUBLIC SCHOOL DISTRICT</t>
  </si>
  <si>
    <t>86</t>
  </si>
  <si>
    <t>0876</t>
  </si>
  <si>
    <t>ANNANDALE PUBLIC SCHOOL DISTRICT</t>
  </si>
  <si>
    <t>4000</t>
  </si>
  <si>
    <t>CITY ACADEMY</t>
  </si>
  <si>
    <t>30</t>
  </si>
  <si>
    <t>0314</t>
  </si>
  <si>
    <t>BRAHAM PUBLIC SCHOOL DISTRICT</t>
  </si>
  <si>
    <t>81</t>
  </si>
  <si>
    <t>0829</t>
  </si>
  <si>
    <t>WASECA PUBLIC SCHOOL DISTRICT</t>
  </si>
  <si>
    <t>0300</t>
  </si>
  <si>
    <t>72</t>
  </si>
  <si>
    <t>2310</t>
  </si>
  <si>
    <t>SIBLEY EAST SCHOOL DISTRICT</t>
  </si>
  <si>
    <t>34</t>
  </si>
  <si>
    <t>0345</t>
  </si>
  <si>
    <t>NEW LONDON-SPICER SCHOOL DISTRICT</t>
  </si>
  <si>
    <t>0482</t>
  </si>
  <si>
    <t>LITTLE FALLS PUBLIC SCHOOL DISTRICT</t>
  </si>
  <si>
    <t>21</t>
  </si>
  <si>
    <t>6014</t>
  </si>
  <si>
    <t>61</t>
  </si>
  <si>
    <t>RUNESTONE AREA ED. DISTRICT</t>
  </si>
  <si>
    <t>0347</t>
  </si>
  <si>
    <t>WILLMAR PUBLIC SCHOOL DISTRICT</t>
  </si>
  <si>
    <t>2154</t>
  </si>
  <si>
    <t>EVELETH-GILBERT SCHOOL DISTRICT</t>
  </si>
  <si>
    <t>75</t>
  </si>
  <si>
    <t>0769</t>
  </si>
  <si>
    <t>MORRIS PUBLIC SCHOOL DISTRICT</t>
  </si>
  <si>
    <t>43</t>
  </si>
  <si>
    <t>2859</t>
  </si>
  <si>
    <t>GLENCOE-SILVER LAKE SCHOOL DISTRICT</t>
  </si>
  <si>
    <t>80</t>
  </si>
  <si>
    <t>0820</t>
  </si>
  <si>
    <t>SEBEKA PUBLIC SCHOOL DISTRICT</t>
  </si>
  <si>
    <t>0001</t>
  </si>
  <si>
    <t>MINNEAPOLIS PUBLIC SCHOOL DIST.</t>
  </si>
  <si>
    <t>2397</t>
  </si>
  <si>
    <t>0113</t>
  </si>
  <si>
    <t>WALKER-HACKENSACK-AKELEY SCHL. DIST</t>
  </si>
  <si>
    <t>0199</t>
  </si>
  <si>
    <t>INVER GROVE HEIGHTS SCHOOLS</t>
  </si>
  <si>
    <t>47</t>
  </si>
  <si>
    <t>0463</t>
  </si>
  <si>
    <t>EDEN VALLEY-WATKINS SCHOOL DISTRICT</t>
  </si>
  <si>
    <t>71</t>
  </si>
  <si>
    <t>0726</t>
  </si>
  <si>
    <t>BECKER PUBLIC SCHOOL DISTRICT</t>
  </si>
  <si>
    <t>1000</t>
  </si>
  <si>
    <t>PERPICH CENTER FOR ARTS EDUCATION</t>
  </si>
  <si>
    <t>2198</t>
  </si>
  <si>
    <t>FILLMORE CENTRAL</t>
  </si>
  <si>
    <t>0196</t>
  </si>
  <si>
    <t>ROSEMOUNT-APPLE VALLEY-EAGAN</t>
  </si>
  <si>
    <t>46</t>
  </si>
  <si>
    <t>2752</t>
  </si>
  <si>
    <t>FAIRMONT AREA SCHOOL DISTRICT</t>
  </si>
  <si>
    <t>0966</t>
  </si>
  <si>
    <t>WRIGHT TECHNICAL CENTER</t>
  </si>
  <si>
    <t>0466</t>
  </si>
  <si>
    <t>DASSEL-COKATO PUBLIC SCHOOL DIST.</t>
  </si>
  <si>
    <t>2071</t>
  </si>
  <si>
    <t>LAKE CRYSTAL-WELLCOME MEMORIAL</t>
  </si>
  <si>
    <t>0625</t>
  </si>
  <si>
    <t>ST. PAUL PUBLIC SCHOOL DISTRICT</t>
  </si>
  <si>
    <t>0423</t>
  </si>
  <si>
    <t>HUTCHINSON PUBLIC SCHOOL DISTRICT</t>
  </si>
  <si>
    <t>0511</t>
  </si>
  <si>
    <t>ADRIAN PUBLIC SCHOOL DISTRICT</t>
  </si>
  <si>
    <t>0077</t>
  </si>
  <si>
    <t>MANKATO PUBLIC SCHOOL DISTRICT</t>
  </si>
  <si>
    <t>2155</t>
  </si>
  <si>
    <t>WADENA-DEER CREEK SCHOOL DISTRICT</t>
  </si>
  <si>
    <t>2687</t>
  </si>
  <si>
    <t>HOWARD LAKE-WAVERLY-WINSTED</t>
  </si>
  <si>
    <t>0721</t>
  </si>
  <si>
    <t>NEW PRAGUE AREA SCHOOLS</t>
  </si>
  <si>
    <t>13</t>
  </si>
  <si>
    <t>0139</t>
  </si>
  <si>
    <t>RUSH CITY PUBLIC SCHOOL DISTRICT</t>
  </si>
  <si>
    <t>25</t>
  </si>
  <si>
    <t>0256</t>
  </si>
  <si>
    <t>RED WING PUBLIC SCHOOL DISTRICT</t>
  </si>
  <si>
    <t>55</t>
  </si>
  <si>
    <t>0535</t>
  </si>
  <si>
    <t>ROCHESTER PUBLIC SCHOOL DISTRICT</t>
  </si>
  <si>
    <t>0857</t>
  </si>
  <si>
    <t>LEWISTON-ALTURA PUBLIC SCHOOL DIST.</t>
  </si>
  <si>
    <t>0227</t>
  </si>
  <si>
    <t>CHATFIELD PUBLIC SCHOOLS</t>
  </si>
  <si>
    <t>87</t>
  </si>
  <si>
    <t>0891</t>
  </si>
  <si>
    <t>CANBY PUBLIC SCHOOL DISTRICT</t>
  </si>
  <si>
    <t>05</t>
  </si>
  <si>
    <t>0047</t>
  </si>
  <si>
    <t>SAUK RAPIDS-RICE PUBLIC SCHOOLS</t>
  </si>
  <si>
    <t>2899</t>
  </si>
  <si>
    <t>PLAINVIEW-ELGIN-MILLVILLE</t>
  </si>
  <si>
    <t>58</t>
  </si>
  <si>
    <t>2580</t>
  </si>
  <si>
    <t>EAST CENTRAL SCHOOL DISTRICT</t>
  </si>
  <si>
    <t>0150</t>
  </si>
  <si>
    <t>HAWLEY PUBLIC SCHOOL DISTRICT</t>
  </si>
  <si>
    <t>0477</t>
  </si>
  <si>
    <t>PRINCETON PUBLIC SCHOOL DISTRICT</t>
  </si>
  <si>
    <t>0277</t>
  </si>
  <si>
    <t>WESTONKA PUBLIC SCHOOL DISTRICT</t>
  </si>
  <si>
    <t>0111</t>
  </si>
  <si>
    <t>WATERTOWN-MAYER PUBLIC SCHOOL DIST.</t>
  </si>
  <si>
    <t>4111</t>
  </si>
  <si>
    <t>AUGSBURG FAIRVIEW ACADEMY</t>
  </si>
  <si>
    <t>0656</t>
  </si>
  <si>
    <t>FARIBAULT PUBLIC SCHOOL DISTRICT</t>
  </si>
  <si>
    <t>0252</t>
  </si>
  <si>
    <t>CANNON FALLS PUBLIC SCHOOL DISTRICT</t>
  </si>
  <si>
    <t>20</t>
  </si>
  <si>
    <t>2125</t>
  </si>
  <si>
    <t>TRITON SCHOOL DISTRICT</t>
  </si>
  <si>
    <t>0278</t>
  </si>
  <si>
    <t>ORONO PUBLIC SCHOOL DISTRICT</t>
  </si>
  <si>
    <t>0740</t>
  </si>
  <si>
    <t>MELROSE PUBLIC SCHOOL DISTRICT</t>
  </si>
  <si>
    <t>0213</t>
  </si>
  <si>
    <t>OSAKIS PUBLIC SCHOOL DISTRICT</t>
  </si>
  <si>
    <t>22</t>
  </si>
  <si>
    <t>2134</t>
  </si>
  <si>
    <t>UNITED SOUTH CENTRAL SCHOOL DIST.</t>
  </si>
  <si>
    <t>0701</t>
  </si>
  <si>
    <t>HIBBING PUBLIC SCHOOL DISTRICT</t>
  </si>
  <si>
    <t>0492</t>
  </si>
  <si>
    <t>AUSTIN PUBLIC SCHOOL DISTRICT</t>
  </si>
  <si>
    <t>52</t>
  </si>
  <si>
    <t>0508</t>
  </si>
  <si>
    <t>ST. PETER PUBLIC SCHOOL DISTRICT</t>
  </si>
  <si>
    <t>0051</t>
  </si>
  <si>
    <t>FOLEY PUBLIC SCHOOL DISTRICT</t>
  </si>
  <si>
    <t>4104</t>
  </si>
  <si>
    <t>PALADIN ACADEMY</t>
  </si>
  <si>
    <t>4017</t>
  </si>
  <si>
    <t>MINNESOTA TRANSITIONS CHARTER SCH</t>
  </si>
  <si>
    <t>0273</t>
  </si>
  <si>
    <t>EDINA PUBLIC SCHOOL DISTRICT</t>
  </si>
  <si>
    <t>0022</t>
  </si>
  <si>
    <t>DETROIT LAKES PUBLIC SCHOOL DIST.</t>
  </si>
  <si>
    <t>54</t>
  </si>
  <si>
    <t>2854</t>
  </si>
  <si>
    <t>ADA-BORUP PUBLIC SCHOOL DISTRICT</t>
  </si>
  <si>
    <t>0276</t>
  </si>
  <si>
    <t>MINNETONKA PUBLIC SCHOOL DISTRICT</t>
  </si>
  <si>
    <t>0624</t>
  </si>
  <si>
    <t>WHITE BEAR LAKE SCHOOL DISTRICT</t>
  </si>
  <si>
    <t>0553</t>
  </si>
  <si>
    <t>NEW YORK MILLS PUBLIC SCHOOL DIST.</t>
  </si>
  <si>
    <t>0016</t>
  </si>
  <si>
    <t>SPRING LAKE PARK PUBLIC SCHOOLS</t>
  </si>
  <si>
    <t>0911</t>
  </si>
  <si>
    <t>CAMBRIDGE-ISANTI PUBLIC SCHOOL DIST</t>
  </si>
  <si>
    <t>60</t>
  </si>
  <si>
    <t>0593</t>
  </si>
  <si>
    <t>CROOKSTON PUBLIC SCHOOL DISTRICT</t>
  </si>
  <si>
    <t>0741</t>
  </si>
  <si>
    <t>PAYNESVILLE PUBLIC SCHOOL DISTRICT</t>
  </si>
  <si>
    <t>0549</t>
  </si>
  <si>
    <t>PERHAM-DENT PUBLIC SCHOOL DISTRICT</t>
  </si>
  <si>
    <t>2396</t>
  </si>
  <si>
    <t>A.C.G.C.</t>
  </si>
  <si>
    <t>0099</t>
  </si>
  <si>
    <t>ESKO PUBLIC SCHOOL DISTRICT</t>
  </si>
  <si>
    <t>84</t>
  </si>
  <si>
    <t>0846</t>
  </si>
  <si>
    <t>BRECKENRIDGE PUBLIC SCHOOL DISTRICT</t>
  </si>
  <si>
    <t>0957</t>
  </si>
  <si>
    <t>OAK LAND VOCATIONAL COOPERATVE</t>
  </si>
  <si>
    <t>2142</t>
  </si>
  <si>
    <t>ST. LOUIS COUNTY SCHOOL DISTRICT</t>
  </si>
  <si>
    <t>33</t>
  </si>
  <si>
    <t>0332</t>
  </si>
  <si>
    <t>MORA PUBLIC SCHOOL DISTRICT</t>
  </si>
  <si>
    <t>0484</t>
  </si>
  <si>
    <t>PIERZ PUBLIC SCHOOL DISTRICT</t>
  </si>
  <si>
    <t>0882</t>
  </si>
  <si>
    <t>MONTICELLO PUBLIC SCHOOL DISTRICT</t>
  </si>
  <si>
    <t>2174</t>
  </si>
  <si>
    <t>PINE RIVER-BACKUS SCHOOL DISTRICT</t>
  </si>
  <si>
    <t>2190</t>
  </si>
  <si>
    <t>YELLOW MEDICINE EAST</t>
  </si>
  <si>
    <t>0811</t>
  </si>
  <si>
    <t>WABASHA-KELLOGG PUBLIC SCHOOL DIST.</t>
  </si>
  <si>
    <t>76</t>
  </si>
  <si>
    <t>0777</t>
  </si>
  <si>
    <t>BENSON PUBLIC SCHOOL DISTRICT</t>
  </si>
  <si>
    <t>0621</t>
  </si>
  <si>
    <t>MOUNDS VIEW PUBLIC SCHOOL DISTRICT</t>
  </si>
  <si>
    <t>0146</t>
  </si>
  <si>
    <t>BARNESVILLE PUBLIC SCHOOL DIST.</t>
  </si>
  <si>
    <t>0578</t>
  </si>
  <si>
    <t>PINE CITY PUBLIC SCHOOL DISTRICT</t>
  </si>
  <si>
    <t>0138</t>
  </si>
  <si>
    <t>NORTH BRANCH PUBLIC SCHOOLS</t>
  </si>
  <si>
    <t>0720</t>
  </si>
  <si>
    <t>SHAKOPEE PUBLIC SCHOOL DISTRICT</t>
  </si>
  <si>
    <t>0696</t>
  </si>
  <si>
    <t>ELY PUBLIC SCHOOL DISTRICT</t>
  </si>
  <si>
    <t>4049</t>
  </si>
  <si>
    <t>NORTHWEST PASSAGE HIGH SCHOOL</t>
  </si>
  <si>
    <t>0197</t>
  </si>
  <si>
    <t>WEST ST. PAUL-MENDOTA HTS.-EAGAN</t>
  </si>
  <si>
    <t>4103</t>
  </si>
  <si>
    <t>HMONG COLLEGE PREP ACADEMY</t>
  </si>
  <si>
    <t>0200</t>
  </si>
  <si>
    <t>HASTINGS PUBLIC SCHOOL DISTRICT</t>
  </si>
  <si>
    <t>0253</t>
  </si>
  <si>
    <t>GOODHUE PUBLIC SCHOOL DISTRICT</t>
  </si>
  <si>
    <t>0728</t>
  </si>
  <si>
    <t>ELK RIVER PUBLIC SCHOOL DISTRICT</t>
  </si>
  <si>
    <t>82</t>
  </si>
  <si>
    <t>0832</t>
  </si>
  <si>
    <t>MAHTOMEDI PUBLIC SCHOOL DISTRICT</t>
  </si>
  <si>
    <t>0833</t>
  </si>
  <si>
    <t>SOUTH WASHINGTON COUNTY SCHOOL DIST</t>
  </si>
  <si>
    <t>0719</t>
  </si>
  <si>
    <t>PRIOR LAKE-SAVAGE AREA SCHOOLS</t>
  </si>
  <si>
    <t>2137</t>
  </si>
  <si>
    <t>KINGSLAND PUBLIC SCHOOL DISTRICT</t>
  </si>
  <si>
    <t>0881</t>
  </si>
  <si>
    <t>MAPLE LAKE PUBLIC SCHOOL DISTRICT</t>
  </si>
  <si>
    <t>0015</t>
  </si>
  <si>
    <t>ST. FRANCIS PUBLIC SCHOOL DISTRICT</t>
  </si>
  <si>
    <t>0738</t>
  </si>
  <si>
    <t>HOLDINGFORD PUBLIC SCHOOL DISTRICT</t>
  </si>
  <si>
    <t>0281</t>
  </si>
  <si>
    <t>ROBBINSDALE PUBLIC SCHOOL DISTRICT</t>
  </si>
  <si>
    <t>0761</t>
  </si>
  <si>
    <t>OWATONNA PUBLIC SCHOOL DISTRICT</t>
  </si>
  <si>
    <t>42</t>
  </si>
  <si>
    <t>0413</t>
  </si>
  <si>
    <t>MARSHALL PUBLIC SCHOOL DISTRICT</t>
  </si>
  <si>
    <t>0204</t>
  </si>
  <si>
    <t>KASSON-MANTORVILLE SCHOOL DISTRICT</t>
  </si>
  <si>
    <t>0750</t>
  </si>
  <si>
    <t>ROCORI PUBLIC SCHOOL DISTRICT</t>
  </si>
  <si>
    <t>0279</t>
  </si>
  <si>
    <t>OSSEO PUBLIC SCHOOL DISTRICT</t>
  </si>
  <si>
    <t>0194</t>
  </si>
  <si>
    <t>LAKEVILLE PUBLIC SCHOOL DISTRICT</t>
  </si>
  <si>
    <t>32</t>
  </si>
  <si>
    <t>2895</t>
  </si>
  <si>
    <t>JACKSON COUNTY CENTRAL SCHOOL DIST.</t>
  </si>
  <si>
    <t>0013</t>
  </si>
  <si>
    <t>COLUMBIA HEIGHTS PUBLIC SCHOOL DIST</t>
  </si>
  <si>
    <t>2172</t>
  </si>
  <si>
    <t>KENYON-WANAMINGO SCHOOL DISTRICT</t>
  </si>
  <si>
    <t>0014</t>
  </si>
  <si>
    <t>FRIDLEY PUBLIC SCHOOL DISTRICT</t>
  </si>
  <si>
    <t>0706</t>
  </si>
  <si>
    <t>VIRGINIA PUBLIC SCHOOL DISTRICT</t>
  </si>
  <si>
    <t>0861</t>
  </si>
  <si>
    <t>WINONA AREA PUBLIC SCHOOL DISTRICT</t>
  </si>
  <si>
    <t>0110</t>
  </si>
  <si>
    <t>WACONIA PUBLIC SCHOOL DISTRICT</t>
  </si>
  <si>
    <t>0011</t>
  </si>
  <si>
    <t>ANOKA-HENNEPIN PUBLIC SCHOOL DIST.</t>
  </si>
  <si>
    <t>2144</t>
  </si>
  <si>
    <t>CHISAGO LAKES SCHOOL DISTRICT</t>
  </si>
  <si>
    <t>0192</t>
  </si>
  <si>
    <t>FARMINGTON PUBLIC SCHOOL DISTRICT</t>
  </si>
  <si>
    <t>0108</t>
  </si>
  <si>
    <t>CENTRAL PUBLIC SCHOOL DISTRICT</t>
  </si>
  <si>
    <t>0272</t>
  </si>
  <si>
    <t>EDEN PRAIRIE PUBLIC SCHOOL DISTRICT</t>
  </si>
  <si>
    <t>2898</t>
  </si>
  <si>
    <t>WESTBROOK-WALNUT GROVE SCHOOLS</t>
  </si>
  <si>
    <t>0700</t>
  </si>
  <si>
    <t>HERMANTOWN PUBLIC SCHOOL DISTRICT</t>
  </si>
  <si>
    <t>0879</t>
  </si>
  <si>
    <t>DELANO PUBLIC SCHOOL DISTRICT</t>
  </si>
  <si>
    <t>31</t>
  </si>
  <si>
    <t>0318</t>
  </si>
  <si>
    <t>GRAND RAPIDS PUBLIC SCHOOL DISTRICT</t>
  </si>
  <si>
    <t>2753</t>
  </si>
  <si>
    <t>LONG PRAIRIE-GREY EAGLE SCHOOL DIST</t>
  </si>
  <si>
    <t>59</t>
  </si>
  <si>
    <t>2689</t>
  </si>
  <si>
    <t>PIPESTONE AREA SCHOOL DISTRICT</t>
  </si>
  <si>
    <t>0206</t>
  </si>
  <si>
    <t>ALEXANDRIA PUBLIC SCHOOL DISTRICT</t>
  </si>
  <si>
    <t>0191</t>
  </si>
  <si>
    <t>BURNSVILLE PUBLIC SCHOOL DISTRICT</t>
  </si>
  <si>
    <t>4102</t>
  </si>
  <si>
    <t>MINNESOTA INTERNSHIP CENTER</t>
  </si>
  <si>
    <t>0255</t>
  </si>
  <si>
    <t>PINE ISLAND PUBLIC SCHOOL DIST.</t>
  </si>
  <si>
    <t>0622</t>
  </si>
  <si>
    <t>NORTH ST PAUL-MAPLEWOOD SCHOOL DIST</t>
  </si>
  <si>
    <t>0595</t>
  </si>
  <si>
    <t>EAST GRAND FORKS PUBLIC SCHOOL DIST</t>
  </si>
  <si>
    <t>0091</t>
  </si>
  <si>
    <t>BARNUM PUBLIC SCHOOL DISTRICT</t>
  </si>
  <si>
    <t>0284</t>
  </si>
  <si>
    <t>WAYZATA PUBLIC SCHOOL DISTRICT</t>
  </si>
  <si>
    <t>0547</t>
  </si>
  <si>
    <t>PARKERS PRAIRIE PUBLIC SCHOOL DIST.</t>
  </si>
  <si>
    <t>0623</t>
  </si>
  <si>
    <t>ROSEVILLE PUBLIC SCHOOL DISTRICT</t>
  </si>
  <si>
    <t>0704</t>
  </si>
  <si>
    <t>PROCTOR PUBLIC SCHOOL DISTRICT</t>
  </si>
  <si>
    <t>0270</t>
  </si>
  <si>
    <t>HOPKINS PUBLIC SCHOOL DISTRICT</t>
  </si>
  <si>
    <t>0834</t>
  </si>
  <si>
    <t>STILLWATER AREA PUBLIC SCHOOL DIST.</t>
  </si>
  <si>
    <t>0831</t>
  </si>
  <si>
    <t>FOREST LAKE PUBLIC SCHOOL DISTRICT</t>
  </si>
  <si>
    <t>0877</t>
  </si>
  <si>
    <t>BUFFALO-HANOVER-MONTROSE PUBLIC SCH</t>
  </si>
  <si>
    <t>0742</t>
  </si>
  <si>
    <t>ST. CLOUD PUBLIC SCHOOL DISTRICT</t>
  </si>
  <si>
    <t>0709</t>
  </si>
  <si>
    <t>DULUTH PUBLIC SCHOOL DISTRICT</t>
  </si>
  <si>
    <t>0912</t>
  </si>
  <si>
    <t>MILACA PUBLIC SCHOOL DISTRICT</t>
  </si>
  <si>
    <t>68</t>
  </si>
  <si>
    <t>0682</t>
  </si>
  <si>
    <t>ROSEAU PUBLIC SCHOOL DISTRICT</t>
  </si>
  <si>
    <t>6004</t>
  </si>
  <si>
    <t>FRESHWATER ED. DIST.</t>
  </si>
  <si>
    <t>2135</t>
  </si>
  <si>
    <t>MAPLE RIVER SCHOOL DISTRICT</t>
  </si>
  <si>
    <t>37</t>
  </si>
  <si>
    <t>2853</t>
  </si>
  <si>
    <t>LAC QUI PARLE VALLEY SCHOOL DIST.</t>
  </si>
  <si>
    <t>0534</t>
  </si>
  <si>
    <t>STEWARTVILLE PUBLIC SCHOOL DISTRICT</t>
  </si>
  <si>
    <t>2180</t>
  </si>
  <si>
    <t>M.A.C.C.R.A.Y. SCHOOL DISTRICT</t>
  </si>
  <si>
    <t>0333</t>
  </si>
  <si>
    <t>OGILVIE PUBLIC SCHOOL DISTRICT</t>
  </si>
  <si>
    <t>38</t>
  </si>
  <si>
    <t>0381</t>
  </si>
  <si>
    <t>LAKE SUPERIOR PUBLIC SCHOOL DIST.</t>
  </si>
  <si>
    <t>4160</t>
  </si>
  <si>
    <t>SPECTRUM HIGH SCHOOL</t>
  </si>
  <si>
    <t>0317</t>
  </si>
  <si>
    <t>DEER RIVER PUBLIC SCHOOL DISTRICT</t>
  </si>
  <si>
    <t>0916</t>
  </si>
  <si>
    <t>06</t>
  </si>
  <si>
    <t>2365</t>
  </si>
  <si>
    <t>G.F.W.</t>
  </si>
  <si>
    <t>0299</t>
  </si>
  <si>
    <t>CALEDONIA PUBLIC SCHOOL DISTRICT</t>
  </si>
  <si>
    <t>2904</t>
  </si>
  <si>
    <t>TRACY AREA PUBLIC SCHOOL DISTRICT</t>
  </si>
  <si>
    <t>0748</t>
  </si>
  <si>
    <t>SARTELL-ST. STEPHEN SCHOOL DISTRICT</t>
  </si>
  <si>
    <t>0885</t>
  </si>
  <si>
    <t>ST. MICHAEL-ALBERTVILLE SCHOOL DIST</t>
  </si>
  <si>
    <t>0533</t>
  </si>
  <si>
    <t>DOVER-EYOTA PUBLIC SCHOOL DISTRICT</t>
  </si>
  <si>
    <t>0203</t>
  </si>
  <si>
    <t>HAYFIELD PUBLIC SCHOOL DISTRICT</t>
  </si>
  <si>
    <t>36</t>
  </si>
  <si>
    <t>0361</t>
  </si>
  <si>
    <t>INTERNATIONAL FALLS SCHOOL DISTRICT</t>
  </si>
  <si>
    <t>2168</t>
  </si>
  <si>
    <t>NRHEG SCHOOL DISTRICT</t>
  </si>
  <si>
    <t>0917</t>
  </si>
  <si>
    <t>INTERMEDIATE SCHOOL DISTRICT 917</t>
  </si>
  <si>
    <t>4178</t>
  </si>
  <si>
    <t>LINCOLN INTERNATIONAL SCHOOL</t>
  </si>
  <si>
    <t>0271</t>
  </si>
  <si>
    <t>BLOOMINGTON PUBLIC SCHOOL DISTRICT</t>
  </si>
  <si>
    <t>0006</t>
  </si>
  <si>
    <t>SOUTH ST. PAUL PUBLIC SCHOOL DIST.</t>
  </si>
  <si>
    <t>0930</t>
  </si>
  <si>
    <t>CARVER-SCOTT EDUCATIONAL COOP.</t>
  </si>
  <si>
    <t>0152</t>
  </si>
  <si>
    <t>MOORHEAD PUBLIC SCHOOL DISTRICT</t>
  </si>
  <si>
    <t>0181</t>
  </si>
  <si>
    <t>BRAINERD PUBLIC SCHOOL DISTRICT</t>
  </si>
  <si>
    <t>2364</t>
  </si>
  <si>
    <t>BELGRADE-BROOTEN-ELROSA SCHOOL DIST</t>
  </si>
  <si>
    <t>4150</t>
  </si>
  <si>
    <t>MINNESOTA ONLINE HIGH SCHOOL</t>
  </si>
  <si>
    <t>2805</t>
  </si>
  <si>
    <t>ZUMBROTA-MAZEPPA SCHOOL DISTRICT</t>
  </si>
  <si>
    <t>24</t>
  </si>
  <si>
    <t>0241</t>
  </si>
  <si>
    <t>ALBERT LEA PUBLIC SCHOOL DISTRICT</t>
  </si>
  <si>
    <t>0695</t>
  </si>
  <si>
    <t>CHISHOLM PUBLIC SCHOOL DISTRICT</t>
  </si>
  <si>
    <t>0316</t>
  </si>
  <si>
    <t>GREENWAY PUBLIC SCHOOL DISTRICT</t>
  </si>
  <si>
    <t>0745</t>
  </si>
  <si>
    <t>ALBANY PUBLIC SCHOOL DISTRICT</t>
  </si>
  <si>
    <t>0727</t>
  </si>
  <si>
    <t>BIG LAKE PUBLIC SCHOOL DISTRICT</t>
  </si>
  <si>
    <t>0717</t>
  </si>
  <si>
    <t>JORDAN PUBLIC SCHOOL DISTRICT</t>
  </si>
  <si>
    <t>2149</t>
  </si>
  <si>
    <t>MINNEWASKA SCHOOL DISTRICT</t>
  </si>
  <si>
    <t>0743</t>
  </si>
  <si>
    <t>SAUK CENTRE PUBLIC SCHOOL DISTRICT</t>
  </si>
  <si>
    <t>0085</t>
  </si>
  <si>
    <t>SPRINGFIELD PUBLIC SCHOOL DISTRICT</t>
  </si>
  <si>
    <t>64</t>
  </si>
  <si>
    <t>2897</t>
  </si>
  <si>
    <t>REDWOOD AREA SCHOOL DISTRICT</t>
  </si>
  <si>
    <t>0531</t>
  </si>
  <si>
    <t>BYRON PUBLIC SCHOOL DISTRICT</t>
  </si>
  <si>
    <t>29</t>
  </si>
  <si>
    <t>0309</t>
  </si>
  <si>
    <t>PARK RAPIDS PUBLIC SCHOOL DISTRICT</t>
  </si>
  <si>
    <t>0394</t>
  </si>
  <si>
    <t>MONTGOMERY-LONSDALE SCHOOL DISTRICT</t>
  </si>
  <si>
    <t>67</t>
  </si>
  <si>
    <t>2184</t>
  </si>
  <si>
    <t>LUVERNE PUBLIC SCHOOL DISTRICT</t>
  </si>
  <si>
    <t>65</t>
  </si>
  <si>
    <t>2534</t>
  </si>
  <si>
    <t>BIRD ISLAND-OLIVIA-LAKE LILLIAN</t>
  </si>
  <si>
    <t>0282</t>
  </si>
  <si>
    <t>ST. ANTHONY-NEW BRIGHTON SCHOOLS</t>
  </si>
  <si>
    <t>2165</t>
  </si>
  <si>
    <t>HINCKLEY-FINLAYSON SCHOOL DISTRICT</t>
  </si>
  <si>
    <t>0505</t>
  </si>
  <si>
    <t>FULDA PUBLIC SCHOOL DISTRICT</t>
  </si>
  <si>
    <t>0690</t>
  </si>
  <si>
    <t>WARROAD PUBLIC SCHOOL DISTRICT</t>
  </si>
  <si>
    <t>AITKIN PUBLIC SCHOOL DISTRICT</t>
  </si>
  <si>
    <t>0287</t>
  </si>
  <si>
    <t>INTERMEDIATE SCHOOL DISTRICT 287</t>
  </si>
  <si>
    <t>2448</t>
  </si>
  <si>
    <t>MARTIN COUNTY WEST SCHOOL DISTRICT</t>
  </si>
  <si>
    <t>4112</t>
  </si>
  <si>
    <t>ST PAUL CONSERVATORY PERFORMING ART</t>
  </si>
  <si>
    <t>4082</t>
  </si>
  <si>
    <t>BLUESKY CHARTER SCHOOL</t>
  </si>
  <si>
    <t>0756</t>
  </si>
  <si>
    <t>BLOOMING PRAIRIE PUBLIC SCHOOL DIST</t>
  </si>
  <si>
    <t>0465</t>
  </si>
  <si>
    <t>LITCHFIELD PUBLIC SCHOOL DISTRICT</t>
  </si>
  <si>
    <t>0480</t>
  </si>
  <si>
    <t>ONAMIA PUBLIC SCHOOL DISTRICT</t>
  </si>
  <si>
    <t>2903</t>
  </si>
  <si>
    <t>ORTONVILLE PUBLIC SCHOOLS</t>
  </si>
  <si>
    <t>4121</t>
  </si>
  <si>
    <t>UBAH MEDICAL ACADEMY CHARTER SCHOOL</t>
  </si>
  <si>
    <t>0097</t>
  </si>
  <si>
    <t>MOOSE LAKE PUBLIC SCHOOL DISTRICT</t>
  </si>
  <si>
    <t>4074</t>
  </si>
  <si>
    <t>AFSA HIGH SCHOOL</t>
  </si>
  <si>
    <t>4008</t>
  </si>
  <si>
    <t>PACT CHARTER SCHOOL</t>
  </si>
  <si>
    <t>0544</t>
  </si>
  <si>
    <t>FERGUS FALLS PUBLIC SCHOOL DISTRICT</t>
  </si>
  <si>
    <t>15</t>
  </si>
  <si>
    <t>0162</t>
  </si>
  <si>
    <t>BAGLEY PUBLIC SCHOOL DISTRICT</t>
  </si>
  <si>
    <t>0821</t>
  </si>
  <si>
    <t>MENAHGA PUBLIC SCHOOL DISTRICT</t>
  </si>
  <si>
    <t>2860</t>
  </si>
  <si>
    <t>BLUE EARTH AREA PUBLIC SCHOOL</t>
  </si>
  <si>
    <t>0883</t>
  </si>
  <si>
    <t>ROCKFORD PUBLIC SCHOOL DISTRICT</t>
  </si>
  <si>
    <t>0182</t>
  </si>
  <si>
    <t>CROSBY-IRONTON PUBLIC SCHOOL DIST.</t>
  </si>
  <si>
    <t>4131</t>
  </si>
  <si>
    <t>LIGHTHOUSE ACADEMY OF NATIONS</t>
  </si>
  <si>
    <t>26</t>
  </si>
  <si>
    <t>2342</t>
  </si>
  <si>
    <t>WEST CENTRAL AREA</t>
  </si>
  <si>
    <t>4039</t>
  </si>
  <si>
    <t>HIGH SCHOOL FOR RECORDING ARTS</t>
  </si>
  <si>
    <t>4095</t>
  </si>
  <si>
    <t>TRIO WOLF CREEK DISTANCE LEARNING</t>
  </si>
  <si>
    <t>4166</t>
  </si>
  <si>
    <t>EAST RANGE ACADEMY OF TECH-SCIENCE</t>
  </si>
  <si>
    <t>6018</t>
  </si>
  <si>
    <t>MN RIVER VALLEY EDUCATION DISTRICT</t>
  </si>
  <si>
    <t>0319</t>
  </si>
  <si>
    <t>NASHWAUK-KEEWATIN SCHOOL DISTRICT</t>
  </si>
  <si>
    <t>44</t>
  </si>
  <si>
    <t>0435</t>
  </si>
  <si>
    <t>WAUBUN-OGEMA-WHITE EARTH PUBLIC SCH</t>
  </si>
  <si>
    <t>0004</t>
  </si>
  <si>
    <t>MCGREGOR PUBLIC SCHOOL DISTRICT</t>
  </si>
  <si>
    <t>0308</t>
  </si>
  <si>
    <t>NEVIS PUBLIC SCHOOL DISTRICT</t>
  </si>
  <si>
    <t>0486</t>
  </si>
  <si>
    <t>SWANVILLE PUBLIC SCHOOL DISTRICT</t>
  </si>
  <si>
    <t>0599</t>
  </si>
  <si>
    <t>FERTILE-BELTRAMI SCHOOL DISTRICT</t>
  </si>
  <si>
    <t>0640</t>
  </si>
  <si>
    <t>WABASSO PUBLIC SCHOOL DISTRICT</t>
  </si>
  <si>
    <t>0786</t>
  </si>
  <si>
    <t>BERTHA-HEWITT PUBLIC SCHOOL DIST.</t>
  </si>
  <si>
    <t>2159</t>
  </si>
  <si>
    <t>BUFFALO LK-HECTOR-STEWART PUBLIC SC</t>
  </si>
  <si>
    <t>2167</t>
  </si>
  <si>
    <t>LAKEVIEW SCHOOL DISTRICT</t>
  </si>
  <si>
    <t>2609</t>
  </si>
  <si>
    <t>WIN-E-MAC SCHOOL DISTRICT</t>
  </si>
  <si>
    <t>2759</t>
  </si>
  <si>
    <t>EAGLE VALLEY PUBLIC SCHOOL DISTRICT</t>
  </si>
  <si>
    <t>2835</t>
  </si>
  <si>
    <t>JANESVILLE-WALDORF-PEMBERTON</t>
  </si>
  <si>
    <t>2889</t>
  </si>
  <si>
    <t>LAKE PARK AUDUBON SCHOOL DISTRICT</t>
  </si>
  <si>
    <t>4075</t>
  </si>
  <si>
    <t>AVALON SCHOOL</t>
  </si>
  <si>
    <t>4105</t>
  </si>
  <si>
    <t>GREAT RIVER SCHOOL</t>
  </si>
  <si>
    <t>4126</t>
  </si>
  <si>
    <t>PRAIRIE SEEDS ACADEMY</t>
  </si>
  <si>
    <t>0915</t>
  </si>
  <si>
    <t>SOUTHERN PLAINS EDUCATION COOP.</t>
  </si>
  <si>
    <t>6049</t>
  </si>
  <si>
    <t>RIVER BEND EDUCATION DISTRICT</t>
  </si>
  <si>
    <t>American Indian/Alaskan Native</t>
  </si>
  <si>
    <t>Asian/Pacific Islander</t>
  </si>
  <si>
    <t>Hispanic</t>
  </si>
  <si>
    <t>Black, not of Hispanic origin</t>
  </si>
  <si>
    <t>White, not of Hispanic origin</t>
  </si>
  <si>
    <t>LE CENTER PUBLIC SCHOOL DISTRICT</t>
  </si>
  <si>
    <t>LA CRESCENT-HOKAH SCHOOL DISTRICT</t>
  </si>
  <si>
    <t>LE SUEUR-HENDERSON SCHOOL DISTRICT</t>
  </si>
  <si>
    <t>District County Number</t>
  </si>
  <si>
    <t>District Number</t>
  </si>
  <si>
    <t>District Type</t>
  </si>
  <si>
    <t>District Name</t>
  </si>
  <si>
    <t>Demographic Group</t>
  </si>
  <si>
    <t>Four Year Count 2011</t>
  </si>
  <si>
    <t>Four Year Percent 2011</t>
  </si>
  <si>
    <t>Four Year Count 2012</t>
  </si>
  <si>
    <t>Four Year Percent 2012</t>
  </si>
  <si>
    <t>Percent Increase</t>
  </si>
  <si>
    <t>.</t>
  </si>
  <si>
    <t>NORTHEAST METRO 916</t>
  </si>
  <si>
    <t>Average Annual Increase Needed to Reach 90% Goal by 2020</t>
  </si>
  <si>
    <t>Total Increase Needed to Reach 90% Goal by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</si>
</sst>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2" fontId="0" fillId="3" borderId="0" xfId="0" applyNumberFormat="1" applyFill="1"/>
    <xf numFmtId="49" fontId="0" fillId="4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quotePrefix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2" fontId="0" fillId="5" borderId="0" xfId="0" applyNumberFormat="1" applyFill="1"/>
    <xf numFmtId="49" fontId="0" fillId="6" borderId="0" xfId="0" quotePrefix="1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/>
    <xf numFmtId="2" fontId="0" fillId="6" borderId="0" xfId="0" applyNumberFormat="1" applyFill="1"/>
    <xf numFmtId="49" fontId="0" fillId="6" borderId="0" xfId="0" applyNumberFormat="1" applyFill="1" applyAlignment="1">
      <alignment vertical="center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/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2" fontId="0" fillId="3" borderId="0" xfId="0" applyNumberFormat="1" applyFill="1" applyAlignment="1"/>
    <xf numFmtId="0" fontId="0" fillId="5" borderId="0" xfId="0" applyFill="1" applyAlignment="1"/>
    <xf numFmtId="2" fontId="0" fillId="5" borderId="0" xfId="0" applyNumberFormat="1" applyFill="1" applyAlignment="1"/>
    <xf numFmtId="0" fontId="0" fillId="6" borderId="0" xfId="0" quotePrefix="1" applyFill="1" applyAlignment="1">
      <alignment vertical="center"/>
    </xf>
    <xf numFmtId="0" fontId="0" fillId="6" borderId="0" xfId="0" applyFill="1" applyAlignment="1"/>
    <xf numFmtId="2" fontId="0" fillId="6" borderId="0" xfId="0" applyNumberFormat="1" applyFill="1" applyAlignment="1"/>
    <xf numFmtId="0" fontId="0" fillId="4" borderId="0" xfId="0" quotePrefix="1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9.140625" style="1"/>
    <col min="4" max="4" width="40.85546875" style="1" bestFit="1" customWidth="1"/>
    <col min="11" max="11" width="13.5703125" customWidth="1"/>
    <col min="12" max="12" width="14.7109375" customWidth="1"/>
  </cols>
  <sheetData>
    <row r="1" spans="1:12" s="22" customFormat="1" ht="90" x14ac:dyDescent="0.25">
      <c r="A1" s="19" t="s">
        <v>655</v>
      </c>
      <c r="B1" s="19" t="s">
        <v>656</v>
      </c>
      <c r="C1" s="19" t="s">
        <v>657</v>
      </c>
      <c r="D1" s="19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664</v>
      </c>
      <c r="K1" s="20" t="s">
        <v>668</v>
      </c>
      <c r="L1" s="21" t="s">
        <v>667</v>
      </c>
    </row>
    <row r="2" spans="1:12" s="3" customFormat="1" x14ac:dyDescent="0.25">
      <c r="A2" s="2" t="s">
        <v>5</v>
      </c>
      <c r="B2" s="2" t="s">
        <v>6</v>
      </c>
      <c r="C2" s="2" t="s">
        <v>2</v>
      </c>
      <c r="D2" s="2" t="s">
        <v>7</v>
      </c>
      <c r="E2" s="3" t="s">
        <v>4</v>
      </c>
      <c r="F2" s="3">
        <v>33</v>
      </c>
      <c r="G2" s="3">
        <v>80.489999999999995</v>
      </c>
      <c r="H2" s="3">
        <v>44</v>
      </c>
      <c r="I2" s="3">
        <v>100</v>
      </c>
      <c r="J2" s="3">
        <v>19.510000000000002</v>
      </c>
    </row>
    <row r="3" spans="1:12" s="3" customFormat="1" x14ac:dyDescent="0.25">
      <c r="A3" s="2" t="s">
        <v>32</v>
      </c>
      <c r="B3" s="2" t="s">
        <v>178</v>
      </c>
      <c r="C3" s="2" t="s">
        <v>52</v>
      </c>
      <c r="D3" s="2" t="s">
        <v>179</v>
      </c>
      <c r="E3" s="3" t="s">
        <v>4</v>
      </c>
      <c r="F3" s="3">
        <v>134</v>
      </c>
      <c r="G3" s="3">
        <v>97.1</v>
      </c>
      <c r="H3" s="3">
        <v>150</v>
      </c>
      <c r="I3" s="3">
        <v>100</v>
      </c>
      <c r="J3" s="3">
        <v>2.9</v>
      </c>
    </row>
    <row r="4" spans="1:12" s="3" customFormat="1" x14ac:dyDescent="0.25">
      <c r="A4" s="2" t="s">
        <v>220</v>
      </c>
      <c r="B4" s="2" t="s">
        <v>221</v>
      </c>
      <c r="C4" s="2" t="s">
        <v>2</v>
      </c>
      <c r="D4" s="2" t="s">
        <v>222</v>
      </c>
      <c r="E4" s="3" t="s">
        <v>4</v>
      </c>
      <c r="F4" s="3">
        <v>51</v>
      </c>
      <c r="G4" s="3">
        <v>98.08</v>
      </c>
      <c r="H4" s="3">
        <v>41</v>
      </c>
      <c r="I4" s="3">
        <v>100</v>
      </c>
      <c r="J4" s="3">
        <v>1.92</v>
      </c>
    </row>
    <row r="5" spans="1:12" s="3" customFormat="1" x14ac:dyDescent="0.25">
      <c r="A5" s="2" t="s">
        <v>23</v>
      </c>
      <c r="B5" s="2" t="s">
        <v>55</v>
      </c>
      <c r="C5" s="2" t="s">
        <v>2</v>
      </c>
      <c r="D5" s="2" t="s">
        <v>56</v>
      </c>
      <c r="E5" s="3" t="s">
        <v>4</v>
      </c>
      <c r="F5" s="3">
        <v>54</v>
      </c>
      <c r="G5" s="3">
        <v>88.52</v>
      </c>
      <c r="H5" s="3">
        <v>57</v>
      </c>
      <c r="I5" s="3">
        <v>98.28</v>
      </c>
      <c r="J5" s="3">
        <v>9.76</v>
      </c>
    </row>
    <row r="6" spans="1:12" s="3" customFormat="1" x14ac:dyDescent="0.25">
      <c r="A6" s="2" t="s">
        <v>26</v>
      </c>
      <c r="B6" s="2" t="s">
        <v>27</v>
      </c>
      <c r="C6" s="2" t="s">
        <v>2</v>
      </c>
      <c r="D6" s="2" t="s">
        <v>28</v>
      </c>
      <c r="E6" s="3" t="s">
        <v>4</v>
      </c>
      <c r="F6" s="3">
        <v>40</v>
      </c>
      <c r="G6" s="3">
        <v>85.11</v>
      </c>
      <c r="H6" s="3">
        <v>55</v>
      </c>
      <c r="I6" s="3">
        <v>98.21</v>
      </c>
      <c r="J6" s="3">
        <v>13.1</v>
      </c>
    </row>
    <row r="7" spans="1:12" s="3" customFormat="1" x14ac:dyDescent="0.25">
      <c r="A7" s="2" t="s">
        <v>36</v>
      </c>
      <c r="B7" s="2" t="s">
        <v>191</v>
      </c>
      <c r="C7" s="2" t="s">
        <v>2</v>
      </c>
      <c r="D7" s="2" t="s">
        <v>192</v>
      </c>
      <c r="E7" s="3" t="s">
        <v>4</v>
      </c>
      <c r="F7" s="3">
        <v>63</v>
      </c>
      <c r="G7" s="3">
        <v>95.45</v>
      </c>
      <c r="H7" s="3">
        <v>53</v>
      </c>
      <c r="I7" s="3">
        <v>98.15</v>
      </c>
      <c r="J7" s="3">
        <v>2.7</v>
      </c>
    </row>
    <row r="8" spans="1:12" s="3" customFormat="1" x14ac:dyDescent="0.25">
      <c r="A8" s="2" t="s">
        <v>49</v>
      </c>
      <c r="B8" s="2" t="s">
        <v>50</v>
      </c>
      <c r="C8" s="2" t="s">
        <v>2</v>
      </c>
      <c r="D8" s="2" t="s">
        <v>51</v>
      </c>
      <c r="E8" s="3" t="s">
        <v>4</v>
      </c>
      <c r="F8" s="3">
        <v>89</v>
      </c>
      <c r="G8" s="3">
        <v>87.25</v>
      </c>
      <c r="H8" s="3">
        <v>94</v>
      </c>
      <c r="I8" s="3">
        <v>97.92</v>
      </c>
      <c r="J8" s="3">
        <v>10.67</v>
      </c>
    </row>
    <row r="9" spans="1:12" s="3" customFormat="1" x14ac:dyDescent="0.25">
      <c r="A9" s="2" t="s">
        <v>102</v>
      </c>
      <c r="B9" s="2" t="s">
        <v>197</v>
      </c>
      <c r="C9" s="2" t="s">
        <v>2</v>
      </c>
      <c r="D9" s="2" t="s">
        <v>198</v>
      </c>
      <c r="E9" s="3" t="s">
        <v>4</v>
      </c>
      <c r="F9" s="3">
        <v>41</v>
      </c>
      <c r="G9" s="3">
        <v>95.35</v>
      </c>
      <c r="H9" s="3">
        <v>46</v>
      </c>
      <c r="I9" s="3">
        <v>97.87</v>
      </c>
      <c r="J9" s="3">
        <v>2.52</v>
      </c>
    </row>
    <row r="10" spans="1:12" s="3" customFormat="1" x14ac:dyDescent="0.25">
      <c r="A10" s="2" t="s">
        <v>121</v>
      </c>
      <c r="B10" s="2" t="s">
        <v>635</v>
      </c>
      <c r="C10" s="2" t="s">
        <v>2</v>
      </c>
      <c r="D10" s="2" t="s">
        <v>636</v>
      </c>
      <c r="E10" s="3" t="s">
        <v>4</v>
      </c>
      <c r="H10" s="3">
        <v>45</v>
      </c>
      <c r="I10" s="3">
        <v>97.83</v>
      </c>
    </row>
    <row r="11" spans="1:12" s="3" customFormat="1" x14ac:dyDescent="0.25">
      <c r="A11" s="2" t="s">
        <v>15</v>
      </c>
      <c r="B11" s="2" t="s">
        <v>16</v>
      </c>
      <c r="C11" s="2" t="s">
        <v>2</v>
      </c>
      <c r="D11" s="2" t="s">
        <v>17</v>
      </c>
      <c r="E11" s="3" t="s">
        <v>4</v>
      </c>
      <c r="F11" s="3">
        <v>40</v>
      </c>
      <c r="G11" s="3">
        <v>83.33</v>
      </c>
      <c r="H11" s="3">
        <v>41</v>
      </c>
      <c r="I11" s="3">
        <v>97.62</v>
      </c>
      <c r="J11" s="3">
        <v>14.29</v>
      </c>
    </row>
    <row r="12" spans="1:12" s="3" customFormat="1" x14ac:dyDescent="0.25">
      <c r="A12" s="2" t="s">
        <v>345</v>
      </c>
      <c r="B12" s="2" t="s">
        <v>346</v>
      </c>
      <c r="C12" s="2" t="s">
        <v>2</v>
      </c>
      <c r="D12" s="2" t="s">
        <v>347</v>
      </c>
      <c r="E12" s="3" t="s">
        <v>4</v>
      </c>
      <c r="F12" s="3">
        <v>286</v>
      </c>
      <c r="G12" s="3">
        <v>97.61</v>
      </c>
      <c r="H12" s="3">
        <v>292</v>
      </c>
      <c r="I12" s="3">
        <v>97.33</v>
      </c>
      <c r="J12" s="3">
        <v>-0.28000000000000003</v>
      </c>
    </row>
    <row r="13" spans="1:12" s="3" customFormat="1" x14ac:dyDescent="0.25">
      <c r="A13" s="2" t="s">
        <v>8</v>
      </c>
      <c r="B13" s="2" t="s">
        <v>250</v>
      </c>
      <c r="C13" s="2" t="s">
        <v>2</v>
      </c>
      <c r="D13" s="2" t="s">
        <v>251</v>
      </c>
      <c r="E13" s="3" t="s">
        <v>4</v>
      </c>
      <c r="F13" s="3">
        <v>116</v>
      </c>
      <c r="G13" s="3">
        <v>95.87</v>
      </c>
      <c r="H13" s="3">
        <v>109</v>
      </c>
      <c r="I13" s="3">
        <v>97.32</v>
      </c>
      <c r="J13" s="3">
        <v>1.45</v>
      </c>
    </row>
    <row r="14" spans="1:12" s="3" customFormat="1" x14ac:dyDescent="0.25">
      <c r="A14" s="2" t="s">
        <v>8</v>
      </c>
      <c r="B14" s="2" t="s">
        <v>358</v>
      </c>
      <c r="C14" s="2" t="s">
        <v>2</v>
      </c>
      <c r="D14" s="2" t="s">
        <v>359</v>
      </c>
      <c r="E14" s="3" t="s">
        <v>4</v>
      </c>
      <c r="F14" s="3">
        <v>81</v>
      </c>
      <c r="G14" s="3">
        <v>97.59</v>
      </c>
      <c r="H14" s="3">
        <v>70</v>
      </c>
      <c r="I14" s="3">
        <v>97.22</v>
      </c>
      <c r="J14" s="3">
        <v>-0.37</v>
      </c>
    </row>
    <row r="15" spans="1:12" s="3" customFormat="1" x14ac:dyDescent="0.25">
      <c r="A15" s="2" t="s">
        <v>8</v>
      </c>
      <c r="B15" s="2" t="s">
        <v>117</v>
      </c>
      <c r="C15" s="2" t="s">
        <v>2</v>
      </c>
      <c r="D15" s="2" t="s">
        <v>118</v>
      </c>
      <c r="E15" s="3" t="s">
        <v>4</v>
      </c>
      <c r="F15" s="3">
        <v>55</v>
      </c>
      <c r="G15" s="3">
        <v>91.67</v>
      </c>
      <c r="H15" s="3">
        <v>61</v>
      </c>
      <c r="I15" s="3">
        <v>96.83</v>
      </c>
      <c r="J15" s="3">
        <v>5.16</v>
      </c>
    </row>
    <row r="16" spans="1:12" s="3" customFormat="1" x14ac:dyDescent="0.25">
      <c r="A16" s="2" t="s">
        <v>32</v>
      </c>
      <c r="B16" s="2" t="s">
        <v>277</v>
      </c>
      <c r="C16" s="2" t="s">
        <v>2</v>
      </c>
      <c r="D16" s="2" t="s">
        <v>278</v>
      </c>
      <c r="E16" s="3" t="s">
        <v>4</v>
      </c>
      <c r="F16" s="3">
        <v>654</v>
      </c>
      <c r="G16" s="3">
        <v>95.34</v>
      </c>
      <c r="H16" s="3">
        <v>703</v>
      </c>
      <c r="I16" s="3">
        <v>96.3</v>
      </c>
      <c r="J16" s="3">
        <v>0.96</v>
      </c>
    </row>
    <row r="17" spans="1:10" s="3" customFormat="1" x14ac:dyDescent="0.25">
      <c r="A17" s="2" t="s">
        <v>12</v>
      </c>
      <c r="B17" s="2" t="s">
        <v>13</v>
      </c>
      <c r="C17" s="2" t="s">
        <v>2</v>
      </c>
      <c r="D17" s="2" t="s">
        <v>14</v>
      </c>
      <c r="E17" s="3" t="s">
        <v>4</v>
      </c>
      <c r="F17" s="3">
        <v>40</v>
      </c>
      <c r="G17" s="3">
        <v>78.430000000000007</v>
      </c>
      <c r="H17" s="3">
        <v>51</v>
      </c>
      <c r="I17" s="3">
        <v>96.23</v>
      </c>
      <c r="J17" s="3">
        <v>17.8</v>
      </c>
    </row>
    <row r="18" spans="1:10" s="3" customFormat="1" x14ac:dyDescent="0.25">
      <c r="A18" s="2" t="s">
        <v>375</v>
      </c>
      <c r="B18" s="2" t="s">
        <v>376</v>
      </c>
      <c r="C18" s="2" t="s">
        <v>2</v>
      </c>
      <c r="D18" s="2" t="s">
        <v>377</v>
      </c>
      <c r="E18" s="3" t="s">
        <v>4</v>
      </c>
      <c r="F18" s="3">
        <v>90</v>
      </c>
      <c r="G18" s="3">
        <v>96.77</v>
      </c>
      <c r="H18" s="3">
        <v>74</v>
      </c>
      <c r="I18" s="3">
        <v>96.1</v>
      </c>
      <c r="J18" s="3">
        <v>-0.67</v>
      </c>
    </row>
    <row r="19" spans="1:10" s="3" customFormat="1" x14ac:dyDescent="0.25">
      <c r="A19" s="2" t="s">
        <v>162</v>
      </c>
      <c r="B19" s="2" t="s">
        <v>163</v>
      </c>
      <c r="C19" s="2" t="s">
        <v>2</v>
      </c>
      <c r="D19" s="2" t="s">
        <v>164</v>
      </c>
      <c r="E19" s="3" t="s">
        <v>4</v>
      </c>
      <c r="F19" s="3">
        <v>37</v>
      </c>
      <c r="G19" s="3">
        <v>92.5</v>
      </c>
      <c r="H19" s="3">
        <v>49</v>
      </c>
      <c r="I19" s="3">
        <v>96.08</v>
      </c>
      <c r="J19" s="3">
        <v>3.58</v>
      </c>
    </row>
    <row r="20" spans="1:10" s="3" customFormat="1" x14ac:dyDescent="0.25">
      <c r="A20" s="2" t="s">
        <v>0</v>
      </c>
      <c r="B20" s="2" t="s">
        <v>331</v>
      </c>
      <c r="C20" s="2" t="s">
        <v>2</v>
      </c>
      <c r="D20" s="2" t="s">
        <v>332</v>
      </c>
      <c r="E20" s="3" t="s">
        <v>4</v>
      </c>
      <c r="F20" s="3">
        <v>48</v>
      </c>
      <c r="G20" s="3">
        <v>96</v>
      </c>
      <c r="H20" s="3">
        <v>48</v>
      </c>
      <c r="I20" s="3">
        <v>96</v>
      </c>
      <c r="J20" s="3">
        <v>0</v>
      </c>
    </row>
    <row r="21" spans="1:10" s="3" customFormat="1" x14ac:dyDescent="0.25">
      <c r="A21" s="2" t="s">
        <v>32</v>
      </c>
      <c r="B21" s="2" t="s">
        <v>248</v>
      </c>
      <c r="C21" s="2" t="s">
        <v>2</v>
      </c>
      <c r="D21" s="2" t="s">
        <v>249</v>
      </c>
      <c r="E21" s="3" t="s">
        <v>4</v>
      </c>
      <c r="F21" s="3">
        <v>224</v>
      </c>
      <c r="G21" s="3">
        <v>94.51</v>
      </c>
      <c r="H21" s="3">
        <v>190</v>
      </c>
      <c r="I21" s="3">
        <v>95.96</v>
      </c>
      <c r="J21" s="3">
        <v>1.45</v>
      </c>
    </row>
    <row r="22" spans="1:10" s="3" customFormat="1" x14ac:dyDescent="0.25">
      <c r="A22" s="2" t="s">
        <v>245</v>
      </c>
      <c r="B22" s="2" t="s">
        <v>367</v>
      </c>
      <c r="C22" s="2" t="s">
        <v>2</v>
      </c>
      <c r="D22" s="2" t="s">
        <v>368</v>
      </c>
      <c r="E22" s="3" t="s">
        <v>4</v>
      </c>
      <c r="F22" s="3">
        <v>131</v>
      </c>
      <c r="G22" s="3">
        <v>96.32</v>
      </c>
      <c r="H22" s="3">
        <v>139</v>
      </c>
      <c r="I22" s="3">
        <v>95.86</v>
      </c>
      <c r="J22" s="3">
        <v>-0.46</v>
      </c>
    </row>
    <row r="23" spans="1:10" s="3" customFormat="1" x14ac:dyDescent="0.25">
      <c r="A23" s="2" t="s">
        <v>82</v>
      </c>
      <c r="B23" s="2" t="s">
        <v>83</v>
      </c>
      <c r="C23" s="2" t="s">
        <v>2</v>
      </c>
      <c r="D23" s="2" t="s">
        <v>84</v>
      </c>
      <c r="E23" s="3" t="s">
        <v>4</v>
      </c>
      <c r="F23" s="3">
        <v>70</v>
      </c>
      <c r="G23" s="3">
        <v>88.61</v>
      </c>
      <c r="H23" s="3">
        <v>67</v>
      </c>
      <c r="I23" s="3">
        <v>95.71</v>
      </c>
      <c r="J23" s="3">
        <v>7.1</v>
      </c>
    </row>
    <row r="24" spans="1:10" s="3" customFormat="1" x14ac:dyDescent="0.25">
      <c r="A24" s="2" t="s">
        <v>65</v>
      </c>
      <c r="B24" s="2" t="s">
        <v>66</v>
      </c>
      <c r="C24" s="2" t="s">
        <v>2</v>
      </c>
      <c r="D24" s="2" t="s">
        <v>67</v>
      </c>
      <c r="E24" s="3" t="s">
        <v>4</v>
      </c>
      <c r="F24" s="3">
        <v>78</v>
      </c>
      <c r="G24" s="3">
        <v>86.67</v>
      </c>
      <c r="H24" s="3">
        <v>86</v>
      </c>
      <c r="I24" s="3">
        <v>95.56</v>
      </c>
      <c r="J24" s="3">
        <v>8.89</v>
      </c>
    </row>
    <row r="25" spans="1:10" s="3" customFormat="1" x14ac:dyDescent="0.25">
      <c r="A25" s="2" t="s">
        <v>8</v>
      </c>
      <c r="B25" s="2" t="s">
        <v>290</v>
      </c>
      <c r="C25" s="2" t="s">
        <v>2</v>
      </c>
      <c r="D25" s="2" t="s">
        <v>291</v>
      </c>
      <c r="E25" s="3" t="s">
        <v>4</v>
      </c>
      <c r="F25" s="3">
        <v>73</v>
      </c>
      <c r="G25" s="3">
        <v>94.81</v>
      </c>
      <c r="H25" s="3">
        <v>64</v>
      </c>
      <c r="I25" s="3">
        <v>95.52</v>
      </c>
      <c r="J25" s="3">
        <v>0.71</v>
      </c>
    </row>
    <row r="26" spans="1:10" s="3" customFormat="1" x14ac:dyDescent="0.25">
      <c r="A26" s="2" t="s">
        <v>43</v>
      </c>
      <c r="B26" s="2" t="s">
        <v>44</v>
      </c>
      <c r="C26" s="2" t="s">
        <v>2</v>
      </c>
      <c r="D26" s="2" t="s">
        <v>45</v>
      </c>
      <c r="E26" s="3" t="s">
        <v>4</v>
      </c>
      <c r="F26" s="3">
        <v>85</v>
      </c>
      <c r="G26" s="3">
        <v>84.16</v>
      </c>
      <c r="H26" s="3">
        <v>84</v>
      </c>
      <c r="I26" s="3">
        <v>95.45</v>
      </c>
      <c r="J26" s="3">
        <v>11.29</v>
      </c>
    </row>
    <row r="27" spans="1:10" s="3" customFormat="1" x14ac:dyDescent="0.25">
      <c r="A27" s="2" t="s">
        <v>140</v>
      </c>
      <c r="B27" s="2" t="s">
        <v>141</v>
      </c>
      <c r="C27" s="2" t="s">
        <v>2</v>
      </c>
      <c r="D27" s="2" t="s">
        <v>142</v>
      </c>
      <c r="E27" s="3" t="s">
        <v>4</v>
      </c>
      <c r="F27" s="3">
        <v>84</v>
      </c>
      <c r="G27" s="3">
        <v>91.3</v>
      </c>
      <c r="H27" s="3">
        <v>81</v>
      </c>
      <c r="I27" s="3">
        <v>95.29</v>
      </c>
      <c r="J27" s="3">
        <v>3.99</v>
      </c>
    </row>
    <row r="28" spans="1:10" s="3" customFormat="1" x14ac:dyDescent="0.25">
      <c r="A28" s="2" t="s">
        <v>71</v>
      </c>
      <c r="B28" s="2" t="s">
        <v>296</v>
      </c>
      <c r="C28" s="2" t="s">
        <v>2</v>
      </c>
      <c r="D28" s="2" t="s">
        <v>297</v>
      </c>
      <c r="E28" s="3" t="s">
        <v>4</v>
      </c>
      <c r="F28" s="3">
        <v>89</v>
      </c>
      <c r="G28" s="3">
        <v>94.68</v>
      </c>
      <c r="H28" s="3">
        <v>81</v>
      </c>
      <c r="I28" s="3">
        <v>95.29</v>
      </c>
      <c r="J28" s="3">
        <v>0.61</v>
      </c>
    </row>
    <row r="29" spans="1:10" s="3" customFormat="1" x14ac:dyDescent="0.25">
      <c r="A29" s="2" t="s">
        <v>220</v>
      </c>
      <c r="B29" s="2" t="s">
        <v>314</v>
      </c>
      <c r="C29" s="2" t="s">
        <v>2</v>
      </c>
      <c r="D29" s="2" t="s">
        <v>315</v>
      </c>
      <c r="E29" s="3" t="s">
        <v>4</v>
      </c>
      <c r="F29" s="3">
        <v>73</v>
      </c>
      <c r="G29" s="3">
        <v>94.81</v>
      </c>
      <c r="H29" s="3">
        <v>79</v>
      </c>
      <c r="I29" s="3">
        <v>95.18</v>
      </c>
      <c r="J29" s="3">
        <v>0.37</v>
      </c>
    </row>
    <row r="30" spans="1:10" s="3" customFormat="1" x14ac:dyDescent="0.25">
      <c r="A30" s="2" t="s">
        <v>46</v>
      </c>
      <c r="B30" s="2" t="s">
        <v>47</v>
      </c>
      <c r="C30" s="2" t="s">
        <v>2</v>
      </c>
      <c r="D30" s="2" t="s">
        <v>48</v>
      </c>
      <c r="E30" s="3" t="s">
        <v>4</v>
      </c>
      <c r="F30" s="3">
        <v>69</v>
      </c>
      <c r="G30" s="3">
        <v>84.15</v>
      </c>
      <c r="H30" s="3">
        <v>56</v>
      </c>
      <c r="I30" s="3">
        <v>94.92</v>
      </c>
      <c r="J30" s="3">
        <v>10.77</v>
      </c>
    </row>
    <row r="31" spans="1:10" s="3" customFormat="1" x14ac:dyDescent="0.25">
      <c r="A31" s="2" t="s">
        <v>128</v>
      </c>
      <c r="B31" s="2" t="s">
        <v>354</v>
      </c>
      <c r="C31" s="2" t="s">
        <v>2</v>
      </c>
      <c r="D31" s="2" t="s">
        <v>355</v>
      </c>
      <c r="E31" s="3" t="s">
        <v>4</v>
      </c>
      <c r="F31" s="3">
        <v>80</v>
      </c>
      <c r="G31" s="3">
        <v>95.24</v>
      </c>
      <c r="H31" s="3">
        <v>74</v>
      </c>
      <c r="I31" s="3">
        <v>94.87</v>
      </c>
      <c r="J31" s="3">
        <v>-0.37</v>
      </c>
    </row>
    <row r="32" spans="1:10" s="3" customFormat="1" x14ac:dyDescent="0.25">
      <c r="A32" s="2" t="s">
        <v>99</v>
      </c>
      <c r="B32" s="2" t="s">
        <v>477</v>
      </c>
      <c r="C32" s="2" t="s">
        <v>2</v>
      </c>
      <c r="D32" s="2" t="s">
        <v>478</v>
      </c>
      <c r="E32" s="3" t="s">
        <v>4</v>
      </c>
      <c r="F32" s="3">
        <v>93</v>
      </c>
      <c r="G32" s="3">
        <v>97.89</v>
      </c>
      <c r="H32" s="3">
        <v>71</v>
      </c>
      <c r="I32" s="3">
        <v>94.67</v>
      </c>
      <c r="J32" s="3">
        <v>-3.22</v>
      </c>
    </row>
    <row r="33" spans="1:10" s="3" customFormat="1" x14ac:dyDescent="0.25">
      <c r="A33" s="2" t="s">
        <v>114</v>
      </c>
      <c r="B33" s="2" t="s">
        <v>237</v>
      </c>
      <c r="C33" s="2" t="s">
        <v>2</v>
      </c>
      <c r="D33" s="2" t="s">
        <v>238</v>
      </c>
      <c r="E33" s="3" t="s">
        <v>4</v>
      </c>
      <c r="F33" s="3">
        <v>119</v>
      </c>
      <c r="G33" s="3">
        <v>92.97</v>
      </c>
      <c r="H33" s="3">
        <v>105</v>
      </c>
      <c r="I33" s="3">
        <v>94.59</v>
      </c>
      <c r="J33" s="3">
        <v>1.62</v>
      </c>
    </row>
    <row r="34" spans="1:10" s="3" customFormat="1" x14ac:dyDescent="0.25">
      <c r="A34" s="2" t="s">
        <v>88</v>
      </c>
      <c r="B34" s="2" t="s">
        <v>89</v>
      </c>
      <c r="C34" s="2" t="s">
        <v>2</v>
      </c>
      <c r="D34" s="2" t="s">
        <v>90</v>
      </c>
      <c r="E34" s="3" t="s">
        <v>4</v>
      </c>
      <c r="F34" s="3">
        <v>63</v>
      </c>
      <c r="G34" s="3">
        <v>87.5</v>
      </c>
      <c r="H34" s="3">
        <v>68</v>
      </c>
      <c r="I34" s="3">
        <v>94.44</v>
      </c>
      <c r="J34" s="3">
        <v>6.94</v>
      </c>
    </row>
    <row r="35" spans="1:10" s="3" customFormat="1" x14ac:dyDescent="0.25">
      <c r="A35" s="2" t="s">
        <v>223</v>
      </c>
      <c r="B35" s="2" t="s">
        <v>264</v>
      </c>
      <c r="C35" s="2" t="s">
        <v>2</v>
      </c>
      <c r="D35" s="2" t="s">
        <v>265</v>
      </c>
      <c r="E35" s="3" t="s">
        <v>4</v>
      </c>
      <c r="F35" s="3">
        <v>107</v>
      </c>
      <c r="G35" s="3">
        <v>93.04</v>
      </c>
      <c r="H35" s="3">
        <v>133</v>
      </c>
      <c r="I35" s="3">
        <v>94.33</v>
      </c>
      <c r="J35" s="3">
        <v>1.29</v>
      </c>
    </row>
    <row r="36" spans="1:10" s="3" customFormat="1" x14ac:dyDescent="0.25">
      <c r="A36" s="2" t="s">
        <v>114</v>
      </c>
      <c r="B36" s="2" t="s">
        <v>396</v>
      </c>
      <c r="C36" s="2" t="s">
        <v>2</v>
      </c>
      <c r="D36" s="2" t="s">
        <v>397</v>
      </c>
      <c r="E36" s="3" t="s">
        <v>4</v>
      </c>
      <c r="F36" s="3">
        <v>82</v>
      </c>
      <c r="G36" s="3">
        <v>95.35</v>
      </c>
      <c r="H36" s="3">
        <v>83</v>
      </c>
      <c r="I36" s="3">
        <v>94.32</v>
      </c>
      <c r="J36" s="3">
        <v>-1.03</v>
      </c>
    </row>
    <row r="37" spans="1:10" s="3" customFormat="1" x14ac:dyDescent="0.25">
      <c r="A37" s="2" t="s">
        <v>32</v>
      </c>
      <c r="B37" s="2" t="s">
        <v>270</v>
      </c>
      <c r="C37" s="2" t="s">
        <v>2</v>
      </c>
      <c r="D37" s="2" t="s">
        <v>271</v>
      </c>
      <c r="E37" s="3" t="s">
        <v>4</v>
      </c>
      <c r="F37" s="3">
        <v>574</v>
      </c>
      <c r="G37" s="3">
        <v>93.18</v>
      </c>
      <c r="H37" s="3">
        <v>597</v>
      </c>
      <c r="I37" s="3">
        <v>94.31</v>
      </c>
      <c r="J37" s="3">
        <v>1.1299999999999999</v>
      </c>
    </row>
    <row r="38" spans="1:10" s="3" customFormat="1" x14ac:dyDescent="0.25">
      <c r="A38" s="2" t="s">
        <v>29</v>
      </c>
      <c r="B38" s="2" t="s">
        <v>30</v>
      </c>
      <c r="C38" s="2" t="s">
        <v>2</v>
      </c>
      <c r="D38" s="2" t="s">
        <v>31</v>
      </c>
      <c r="E38" s="3" t="s">
        <v>4</v>
      </c>
      <c r="F38" s="3">
        <v>78</v>
      </c>
      <c r="G38" s="3">
        <v>81.25</v>
      </c>
      <c r="H38" s="3">
        <v>66</v>
      </c>
      <c r="I38" s="3">
        <v>94.29</v>
      </c>
      <c r="J38" s="3">
        <v>13.04</v>
      </c>
    </row>
    <row r="39" spans="1:10" s="3" customFormat="1" x14ac:dyDescent="0.25">
      <c r="A39" s="2" t="s">
        <v>175</v>
      </c>
      <c r="B39" s="2" t="s">
        <v>176</v>
      </c>
      <c r="C39" s="2" t="s">
        <v>2</v>
      </c>
      <c r="D39" s="2" t="s">
        <v>177</v>
      </c>
      <c r="E39" s="3" t="s">
        <v>4</v>
      </c>
      <c r="F39" s="3">
        <v>178</v>
      </c>
      <c r="G39" s="3">
        <v>91.28</v>
      </c>
      <c r="H39" s="3">
        <v>180</v>
      </c>
      <c r="I39" s="3">
        <v>94.24</v>
      </c>
      <c r="J39" s="3">
        <v>2.96</v>
      </c>
    </row>
    <row r="40" spans="1:10" s="3" customFormat="1" x14ac:dyDescent="0.25">
      <c r="A40" s="2" t="s">
        <v>128</v>
      </c>
      <c r="B40" s="2" t="s">
        <v>203</v>
      </c>
      <c r="C40" s="2" t="s">
        <v>2</v>
      </c>
      <c r="D40" s="2" t="s">
        <v>204</v>
      </c>
      <c r="E40" s="3" t="s">
        <v>4</v>
      </c>
      <c r="F40" s="3">
        <v>90</v>
      </c>
      <c r="G40" s="3">
        <v>91.84</v>
      </c>
      <c r="H40" s="3">
        <v>81</v>
      </c>
      <c r="I40" s="3">
        <v>94.19</v>
      </c>
      <c r="J40" s="3">
        <v>2.35</v>
      </c>
    </row>
    <row r="41" spans="1:10" s="3" customFormat="1" x14ac:dyDescent="0.25">
      <c r="A41" s="2" t="s">
        <v>213</v>
      </c>
      <c r="B41" s="2" t="s">
        <v>218</v>
      </c>
      <c r="C41" s="2" t="s">
        <v>2</v>
      </c>
      <c r="D41" s="2" t="s">
        <v>219</v>
      </c>
      <c r="E41" s="3" t="s">
        <v>4</v>
      </c>
      <c r="F41" s="3">
        <v>69</v>
      </c>
      <c r="G41" s="3">
        <v>92</v>
      </c>
      <c r="H41" s="3">
        <v>63</v>
      </c>
      <c r="I41" s="3">
        <v>94.03</v>
      </c>
      <c r="J41" s="3">
        <v>2.0299999999999998</v>
      </c>
    </row>
    <row r="42" spans="1:10" s="3" customFormat="1" x14ac:dyDescent="0.25">
      <c r="A42" s="2" t="s">
        <v>65</v>
      </c>
      <c r="B42" s="2" t="s">
        <v>323</v>
      </c>
      <c r="C42" s="2" t="s">
        <v>2</v>
      </c>
      <c r="D42" s="2" t="s">
        <v>324</v>
      </c>
      <c r="E42" s="3" t="s">
        <v>4</v>
      </c>
      <c r="F42" s="3">
        <v>61</v>
      </c>
      <c r="G42" s="3">
        <v>93.85</v>
      </c>
      <c r="H42" s="3">
        <v>47</v>
      </c>
      <c r="I42" s="3">
        <v>94</v>
      </c>
      <c r="J42" s="3">
        <v>0.15</v>
      </c>
    </row>
    <row r="43" spans="1:10" s="3" customFormat="1" x14ac:dyDescent="0.25">
      <c r="A43" s="2" t="s">
        <v>105</v>
      </c>
      <c r="B43" s="2" t="s">
        <v>106</v>
      </c>
      <c r="C43" s="2" t="s">
        <v>2</v>
      </c>
      <c r="D43" s="2" t="s">
        <v>107</v>
      </c>
      <c r="E43" s="3" t="s">
        <v>4</v>
      </c>
      <c r="F43" s="3">
        <v>513</v>
      </c>
      <c r="G43" s="3">
        <v>88.3</v>
      </c>
      <c r="H43" s="3">
        <v>518</v>
      </c>
      <c r="I43" s="3">
        <v>93.84</v>
      </c>
      <c r="J43" s="3">
        <v>5.54</v>
      </c>
    </row>
    <row r="44" spans="1:10" s="3" customFormat="1" x14ac:dyDescent="0.25">
      <c r="A44" s="2" t="s">
        <v>210</v>
      </c>
      <c r="B44" s="2" t="s">
        <v>420</v>
      </c>
      <c r="C44" s="2" t="s">
        <v>2</v>
      </c>
      <c r="D44" s="2" t="s">
        <v>421</v>
      </c>
      <c r="E44" s="3" t="s">
        <v>4</v>
      </c>
      <c r="F44" s="3">
        <v>82</v>
      </c>
      <c r="G44" s="3">
        <v>95.35</v>
      </c>
      <c r="H44" s="3">
        <v>76</v>
      </c>
      <c r="I44" s="3">
        <v>93.83</v>
      </c>
      <c r="J44" s="3">
        <v>-1.52</v>
      </c>
    </row>
    <row r="45" spans="1:10" s="3" customFormat="1" x14ac:dyDescent="0.25">
      <c r="A45" s="2" t="s">
        <v>82</v>
      </c>
      <c r="B45" s="2" t="s">
        <v>167</v>
      </c>
      <c r="C45" s="2" t="s">
        <v>2</v>
      </c>
      <c r="D45" s="2" t="s">
        <v>654</v>
      </c>
      <c r="E45" s="3" t="s">
        <v>4</v>
      </c>
      <c r="F45" s="3">
        <v>105</v>
      </c>
      <c r="G45" s="3">
        <v>90.52</v>
      </c>
      <c r="H45" s="3">
        <v>90</v>
      </c>
      <c r="I45" s="3">
        <v>93.75</v>
      </c>
      <c r="J45" s="3">
        <v>3.23</v>
      </c>
    </row>
    <row r="46" spans="1:10" s="3" customFormat="1" x14ac:dyDescent="0.25">
      <c r="A46" s="2" t="s">
        <v>77</v>
      </c>
      <c r="B46" s="2" t="s">
        <v>78</v>
      </c>
      <c r="C46" s="2" t="s">
        <v>2</v>
      </c>
      <c r="D46" s="2" t="s">
        <v>79</v>
      </c>
      <c r="E46" s="3" t="s">
        <v>4</v>
      </c>
      <c r="F46" s="3">
        <v>93</v>
      </c>
      <c r="G46" s="3">
        <v>86.11</v>
      </c>
      <c r="H46" s="3">
        <v>119</v>
      </c>
      <c r="I46" s="3">
        <v>93.7</v>
      </c>
      <c r="J46" s="3">
        <v>7.59</v>
      </c>
    </row>
    <row r="47" spans="1:10" s="3" customFormat="1" x14ac:dyDescent="0.25">
      <c r="A47" s="2" t="s">
        <v>71</v>
      </c>
      <c r="B47" s="2" t="s">
        <v>426</v>
      </c>
      <c r="C47" s="2" t="s">
        <v>2</v>
      </c>
      <c r="D47" s="2" t="s">
        <v>427</v>
      </c>
      <c r="E47" s="3" t="s">
        <v>4</v>
      </c>
      <c r="F47" s="3">
        <v>41</v>
      </c>
      <c r="G47" s="3">
        <v>95.35</v>
      </c>
      <c r="H47" s="3">
        <v>44</v>
      </c>
      <c r="I47" s="3">
        <v>93.62</v>
      </c>
      <c r="J47" s="3">
        <v>-1.73</v>
      </c>
    </row>
    <row r="48" spans="1:10" s="3" customFormat="1" x14ac:dyDescent="0.25">
      <c r="A48" s="2" t="s">
        <v>128</v>
      </c>
      <c r="B48" s="2" t="s">
        <v>404</v>
      </c>
      <c r="C48" s="2" t="s">
        <v>2</v>
      </c>
      <c r="D48" s="2" t="s">
        <v>405</v>
      </c>
      <c r="E48" s="3" t="s">
        <v>4</v>
      </c>
      <c r="F48" s="3">
        <v>196</v>
      </c>
      <c r="G48" s="3">
        <v>94.69</v>
      </c>
      <c r="H48" s="3">
        <v>160</v>
      </c>
      <c r="I48" s="3">
        <v>93.57</v>
      </c>
      <c r="J48" s="3">
        <v>-1.1200000000000001</v>
      </c>
    </row>
    <row r="49" spans="1:10" s="3" customFormat="1" x14ac:dyDescent="0.25">
      <c r="A49" s="2" t="s">
        <v>213</v>
      </c>
      <c r="B49" s="2" t="s">
        <v>485</v>
      </c>
      <c r="C49" s="2" t="s">
        <v>2</v>
      </c>
      <c r="D49" s="2" t="s">
        <v>486</v>
      </c>
      <c r="E49" s="3" t="s">
        <v>4</v>
      </c>
      <c r="F49" s="3">
        <v>65</v>
      </c>
      <c r="G49" s="3">
        <v>97.01</v>
      </c>
      <c r="H49" s="3">
        <v>58</v>
      </c>
      <c r="I49" s="3">
        <v>93.55</v>
      </c>
      <c r="J49" s="3">
        <v>-3.46</v>
      </c>
    </row>
    <row r="50" spans="1:10" s="3" customFormat="1" x14ac:dyDescent="0.25">
      <c r="A50" s="2" t="s">
        <v>93</v>
      </c>
      <c r="B50" s="2" t="s">
        <v>553</v>
      </c>
      <c r="C50" s="2" t="s">
        <v>2</v>
      </c>
      <c r="D50" s="2" t="s">
        <v>554</v>
      </c>
      <c r="E50" s="3" t="s">
        <v>4</v>
      </c>
      <c r="F50" s="3">
        <v>46</v>
      </c>
      <c r="G50" s="3">
        <v>100</v>
      </c>
      <c r="H50" s="3">
        <v>43</v>
      </c>
      <c r="I50" s="3">
        <v>93.48</v>
      </c>
      <c r="J50" s="3">
        <v>-6.52</v>
      </c>
    </row>
    <row r="51" spans="1:10" s="3" customFormat="1" x14ac:dyDescent="0.25">
      <c r="A51" s="2" t="s">
        <v>8</v>
      </c>
      <c r="B51" s="2" t="s">
        <v>481</v>
      </c>
      <c r="C51" s="2" t="s">
        <v>2</v>
      </c>
      <c r="D51" s="2" t="s">
        <v>482</v>
      </c>
      <c r="E51" s="3" t="s">
        <v>4</v>
      </c>
      <c r="F51" s="3">
        <v>227</v>
      </c>
      <c r="G51" s="3">
        <v>96.6</v>
      </c>
      <c r="H51" s="3">
        <v>237</v>
      </c>
      <c r="I51" s="3">
        <v>93.31</v>
      </c>
      <c r="J51" s="3">
        <v>-3.29</v>
      </c>
    </row>
    <row r="52" spans="1:10" s="3" customFormat="1" x14ac:dyDescent="0.25">
      <c r="A52" s="2" t="s">
        <v>0</v>
      </c>
      <c r="B52" s="2" t="s">
        <v>402</v>
      </c>
      <c r="C52" s="2" t="s">
        <v>2</v>
      </c>
      <c r="D52" s="2" t="s">
        <v>403</v>
      </c>
      <c r="E52" s="3" t="s">
        <v>4</v>
      </c>
      <c r="F52" s="3">
        <v>152</v>
      </c>
      <c r="G52" s="3">
        <v>94.41</v>
      </c>
      <c r="H52" s="3">
        <v>167</v>
      </c>
      <c r="I52" s="3">
        <v>93.3</v>
      </c>
      <c r="J52" s="3">
        <v>-1.1100000000000001</v>
      </c>
    </row>
    <row r="53" spans="1:10" s="3" customFormat="1" x14ac:dyDescent="0.25">
      <c r="A53" s="2" t="s">
        <v>65</v>
      </c>
      <c r="B53" s="2" t="s">
        <v>231</v>
      </c>
      <c r="C53" s="2" t="s">
        <v>2</v>
      </c>
      <c r="D53" s="2" t="s">
        <v>232</v>
      </c>
      <c r="E53" s="3" t="s">
        <v>4</v>
      </c>
      <c r="F53" s="3">
        <v>76</v>
      </c>
      <c r="G53" s="3">
        <v>91.57</v>
      </c>
      <c r="H53" s="3">
        <v>69</v>
      </c>
      <c r="I53" s="3">
        <v>93.24</v>
      </c>
      <c r="J53" s="3">
        <v>1.67</v>
      </c>
    </row>
    <row r="54" spans="1:10" s="3" customFormat="1" x14ac:dyDescent="0.25">
      <c r="A54" s="2" t="s">
        <v>29</v>
      </c>
      <c r="B54" s="2" t="s">
        <v>281</v>
      </c>
      <c r="C54" s="2" t="s">
        <v>2</v>
      </c>
      <c r="D54" s="2" t="s">
        <v>282</v>
      </c>
      <c r="E54" s="3" t="s">
        <v>4</v>
      </c>
      <c r="F54" s="3">
        <v>48</v>
      </c>
      <c r="G54" s="3">
        <v>92.31</v>
      </c>
      <c r="H54" s="3">
        <v>41</v>
      </c>
      <c r="I54" s="3">
        <v>93.18</v>
      </c>
      <c r="J54" s="3">
        <v>0.87</v>
      </c>
    </row>
    <row r="55" spans="1:10" s="3" customFormat="1" x14ac:dyDescent="0.25">
      <c r="A55" s="2" t="s">
        <v>12</v>
      </c>
      <c r="B55" s="2" t="s">
        <v>531</v>
      </c>
      <c r="C55" s="2" t="s">
        <v>2</v>
      </c>
      <c r="D55" s="2" t="s">
        <v>532</v>
      </c>
      <c r="E55" s="3" t="s">
        <v>4</v>
      </c>
      <c r="F55" s="3">
        <v>58</v>
      </c>
      <c r="G55" s="3">
        <v>98.31</v>
      </c>
      <c r="H55" s="3">
        <v>41</v>
      </c>
      <c r="I55" s="3">
        <v>93.18</v>
      </c>
      <c r="J55" s="3">
        <v>-5.13</v>
      </c>
    </row>
    <row r="56" spans="1:10" s="3" customFormat="1" x14ac:dyDescent="0.25">
      <c r="A56" s="2" t="s">
        <v>207</v>
      </c>
      <c r="B56" s="2" t="s">
        <v>208</v>
      </c>
      <c r="C56" s="2" t="s">
        <v>2</v>
      </c>
      <c r="D56" s="2" t="s">
        <v>209</v>
      </c>
      <c r="E56" s="3" t="s">
        <v>4</v>
      </c>
      <c r="F56" s="3">
        <v>60</v>
      </c>
      <c r="G56" s="3">
        <v>90.91</v>
      </c>
      <c r="H56" s="3">
        <v>68</v>
      </c>
      <c r="I56" s="3">
        <v>93.15</v>
      </c>
      <c r="J56" s="3">
        <v>2.2400000000000002</v>
      </c>
    </row>
    <row r="57" spans="1:10" s="3" customFormat="1" x14ac:dyDescent="0.25">
      <c r="A57" s="2" t="s">
        <v>172</v>
      </c>
      <c r="B57" s="2" t="s">
        <v>173</v>
      </c>
      <c r="C57" s="2" t="s">
        <v>2</v>
      </c>
      <c r="D57" s="2" t="s">
        <v>174</v>
      </c>
      <c r="E57" s="3" t="s">
        <v>4</v>
      </c>
      <c r="F57" s="3">
        <v>73</v>
      </c>
      <c r="G57" s="3">
        <v>90.12</v>
      </c>
      <c r="H57" s="3">
        <v>54</v>
      </c>
      <c r="I57" s="3">
        <v>93.1</v>
      </c>
      <c r="J57" s="3">
        <v>2.98</v>
      </c>
    </row>
    <row r="58" spans="1:10" s="3" customFormat="1" x14ac:dyDescent="0.25">
      <c r="A58" s="2" t="s">
        <v>8</v>
      </c>
      <c r="B58" s="2" t="s">
        <v>369</v>
      </c>
      <c r="C58" s="2" t="s">
        <v>2</v>
      </c>
      <c r="D58" s="2" t="s">
        <v>370</v>
      </c>
      <c r="E58" s="3" t="s">
        <v>4</v>
      </c>
      <c r="F58" s="3">
        <v>188</v>
      </c>
      <c r="G58" s="3">
        <v>93.53</v>
      </c>
      <c r="H58" s="3">
        <v>188</v>
      </c>
      <c r="I58" s="3">
        <v>93.07</v>
      </c>
      <c r="J58" s="3">
        <v>-0.46</v>
      </c>
    </row>
    <row r="59" spans="1:10" s="3" customFormat="1" x14ac:dyDescent="0.25">
      <c r="A59" s="2" t="s">
        <v>148</v>
      </c>
      <c r="B59" s="2" t="s">
        <v>252</v>
      </c>
      <c r="C59" s="2" t="s">
        <v>2</v>
      </c>
      <c r="D59" s="2" t="s">
        <v>253</v>
      </c>
      <c r="E59" s="3" t="s">
        <v>4</v>
      </c>
      <c r="F59" s="3">
        <v>55</v>
      </c>
      <c r="G59" s="3">
        <v>91.67</v>
      </c>
      <c r="H59" s="3">
        <v>67</v>
      </c>
      <c r="I59" s="3">
        <v>93.06</v>
      </c>
      <c r="J59" s="3">
        <v>1.39</v>
      </c>
    </row>
    <row r="60" spans="1:10" s="3" customFormat="1" x14ac:dyDescent="0.25">
      <c r="A60" s="2" t="s">
        <v>82</v>
      </c>
      <c r="B60" s="2" t="s">
        <v>110</v>
      </c>
      <c r="C60" s="2" t="s">
        <v>2</v>
      </c>
      <c r="D60" s="2" t="s">
        <v>652</v>
      </c>
      <c r="E60" s="3" t="s">
        <v>4</v>
      </c>
      <c r="F60" s="3">
        <v>43</v>
      </c>
      <c r="G60" s="3">
        <v>87.76</v>
      </c>
      <c r="H60" s="3">
        <v>40</v>
      </c>
      <c r="I60" s="3">
        <v>93.02</v>
      </c>
      <c r="J60" s="3">
        <v>5.26</v>
      </c>
    </row>
    <row r="61" spans="1:10" s="3" customFormat="1" x14ac:dyDescent="0.25">
      <c r="A61" s="2" t="s">
        <v>12</v>
      </c>
      <c r="B61" s="2" t="s">
        <v>124</v>
      </c>
      <c r="C61" s="2" t="s">
        <v>2</v>
      </c>
      <c r="D61" s="2" t="s">
        <v>125</v>
      </c>
      <c r="E61" s="3" t="s">
        <v>4</v>
      </c>
      <c r="F61" s="3">
        <v>148</v>
      </c>
      <c r="G61" s="3">
        <v>88.1</v>
      </c>
      <c r="H61" s="3">
        <v>160</v>
      </c>
      <c r="I61" s="3">
        <v>93.02</v>
      </c>
      <c r="J61" s="3">
        <v>4.92</v>
      </c>
    </row>
    <row r="62" spans="1:10" s="3" customFormat="1" x14ac:dyDescent="0.25">
      <c r="A62" s="2" t="s">
        <v>15</v>
      </c>
      <c r="B62" s="2" t="s">
        <v>394</v>
      </c>
      <c r="C62" s="2" t="s">
        <v>2</v>
      </c>
      <c r="D62" s="2" t="s">
        <v>395</v>
      </c>
      <c r="E62" s="3" t="s">
        <v>4</v>
      </c>
      <c r="F62" s="3">
        <v>339</v>
      </c>
      <c r="G62" s="3">
        <v>93.91</v>
      </c>
      <c r="H62" s="3">
        <v>366</v>
      </c>
      <c r="I62" s="3">
        <v>92.89</v>
      </c>
      <c r="J62" s="3">
        <v>-1.02</v>
      </c>
    </row>
    <row r="63" spans="1:10" s="3" customFormat="1" x14ac:dyDescent="0.25">
      <c r="A63" s="2" t="s">
        <v>52</v>
      </c>
      <c r="B63" s="2" t="s">
        <v>53</v>
      </c>
      <c r="C63" s="2" t="s">
        <v>2</v>
      </c>
      <c r="D63" s="2" t="s">
        <v>54</v>
      </c>
      <c r="E63" s="3" t="s">
        <v>4</v>
      </c>
      <c r="F63" s="3">
        <v>97</v>
      </c>
      <c r="G63" s="3">
        <v>82.91</v>
      </c>
      <c r="H63" s="3">
        <v>104</v>
      </c>
      <c r="I63" s="3">
        <v>92.86</v>
      </c>
      <c r="J63" s="3">
        <v>9.9499999999999993</v>
      </c>
    </row>
    <row r="64" spans="1:10" s="3" customFormat="1" x14ac:dyDescent="0.25">
      <c r="A64" s="2" t="s">
        <v>159</v>
      </c>
      <c r="B64" s="2" t="s">
        <v>160</v>
      </c>
      <c r="C64" s="2" t="s">
        <v>2</v>
      </c>
      <c r="D64" s="2" t="s">
        <v>161</v>
      </c>
      <c r="E64" s="3" t="s">
        <v>4</v>
      </c>
      <c r="F64" s="3">
        <v>139</v>
      </c>
      <c r="G64" s="3">
        <v>89.1</v>
      </c>
      <c r="H64" s="3">
        <v>128</v>
      </c>
      <c r="I64" s="3">
        <v>92.75</v>
      </c>
      <c r="J64" s="3">
        <v>3.65</v>
      </c>
    </row>
    <row r="65" spans="1:10" s="3" customFormat="1" x14ac:dyDescent="0.25">
      <c r="A65" s="2" t="s">
        <v>287</v>
      </c>
      <c r="B65" s="2" t="s">
        <v>619</v>
      </c>
      <c r="C65" s="2" t="s">
        <v>2</v>
      </c>
      <c r="D65" s="2" t="s">
        <v>620</v>
      </c>
      <c r="E65" s="3" t="s">
        <v>4</v>
      </c>
      <c r="H65" s="3">
        <v>38</v>
      </c>
      <c r="I65" s="3">
        <v>92.68</v>
      </c>
    </row>
    <row r="66" spans="1:10" s="3" customFormat="1" x14ac:dyDescent="0.25">
      <c r="A66" s="2" t="s">
        <v>74</v>
      </c>
      <c r="B66" s="2" t="s">
        <v>631</v>
      </c>
      <c r="C66" s="2" t="s">
        <v>2</v>
      </c>
      <c r="D66" s="2" t="s">
        <v>632</v>
      </c>
      <c r="E66" s="3" t="s">
        <v>4</v>
      </c>
      <c r="H66" s="3">
        <v>38</v>
      </c>
      <c r="I66" s="3">
        <v>92.68</v>
      </c>
    </row>
    <row r="67" spans="1:10" s="3" customFormat="1" x14ac:dyDescent="0.25">
      <c r="A67" s="2" t="s">
        <v>223</v>
      </c>
      <c r="B67" s="2" t="s">
        <v>224</v>
      </c>
      <c r="C67" s="2" t="s">
        <v>2</v>
      </c>
      <c r="D67" s="2" t="s">
        <v>225</v>
      </c>
      <c r="E67" s="3" t="s">
        <v>4</v>
      </c>
      <c r="F67" s="3">
        <v>241</v>
      </c>
      <c r="G67" s="3">
        <v>90.6</v>
      </c>
      <c r="H67" s="3">
        <v>258</v>
      </c>
      <c r="I67" s="3">
        <v>92.47</v>
      </c>
      <c r="J67" s="3">
        <v>1.87</v>
      </c>
    </row>
    <row r="68" spans="1:10" s="3" customFormat="1" x14ac:dyDescent="0.25">
      <c r="A68" s="2" t="s">
        <v>121</v>
      </c>
      <c r="B68" s="2" t="s">
        <v>122</v>
      </c>
      <c r="C68" s="2" t="s">
        <v>2</v>
      </c>
      <c r="D68" s="2" t="s">
        <v>123</v>
      </c>
      <c r="E68" s="3" t="s">
        <v>4</v>
      </c>
      <c r="F68" s="3">
        <v>63</v>
      </c>
      <c r="G68" s="3">
        <v>87.5</v>
      </c>
      <c r="H68" s="3">
        <v>49</v>
      </c>
      <c r="I68" s="3">
        <v>92.45</v>
      </c>
      <c r="J68" s="3">
        <v>4.95</v>
      </c>
    </row>
    <row r="69" spans="1:10" s="3" customFormat="1" x14ac:dyDescent="0.25">
      <c r="A69" s="2" t="s">
        <v>38</v>
      </c>
      <c r="B69" s="2" t="s">
        <v>233</v>
      </c>
      <c r="C69" s="2" t="s">
        <v>2</v>
      </c>
      <c r="D69" s="2" t="s">
        <v>234</v>
      </c>
      <c r="E69" s="3" t="s">
        <v>4</v>
      </c>
      <c r="F69" s="3">
        <v>215</v>
      </c>
      <c r="G69" s="3">
        <v>90.72</v>
      </c>
      <c r="H69" s="3">
        <v>230</v>
      </c>
      <c r="I69" s="3">
        <v>92.37</v>
      </c>
      <c r="J69" s="3">
        <v>1.65</v>
      </c>
    </row>
    <row r="70" spans="1:10" s="3" customFormat="1" x14ac:dyDescent="0.25">
      <c r="A70" s="2" t="s">
        <v>133</v>
      </c>
      <c r="B70" s="2" t="s">
        <v>134</v>
      </c>
      <c r="C70" s="2" t="s">
        <v>2</v>
      </c>
      <c r="D70" s="2" t="s">
        <v>135</v>
      </c>
      <c r="E70" s="3" t="s">
        <v>4</v>
      </c>
      <c r="F70" s="3">
        <v>65</v>
      </c>
      <c r="G70" s="3">
        <v>87.84</v>
      </c>
      <c r="H70" s="3">
        <v>72</v>
      </c>
      <c r="I70" s="3">
        <v>92.31</v>
      </c>
      <c r="J70" s="3">
        <v>4.47</v>
      </c>
    </row>
    <row r="71" spans="1:10" s="3" customFormat="1" x14ac:dyDescent="0.25">
      <c r="A71" s="2" t="s">
        <v>450</v>
      </c>
      <c r="B71" s="2" t="s">
        <v>451</v>
      </c>
      <c r="C71" s="2" t="s">
        <v>2</v>
      </c>
      <c r="D71" s="2" t="s">
        <v>452</v>
      </c>
      <c r="E71" s="3" t="s">
        <v>4</v>
      </c>
      <c r="F71" s="3">
        <v>94</v>
      </c>
      <c r="G71" s="3">
        <v>94.95</v>
      </c>
      <c r="H71" s="3">
        <v>107</v>
      </c>
      <c r="I71" s="3">
        <v>92.24</v>
      </c>
      <c r="J71" s="3">
        <v>-2.71</v>
      </c>
    </row>
    <row r="72" spans="1:10" s="3" customFormat="1" x14ac:dyDescent="0.25">
      <c r="A72" s="2" t="s">
        <v>93</v>
      </c>
      <c r="B72" s="2" t="s">
        <v>94</v>
      </c>
      <c r="C72" s="2" t="s">
        <v>2</v>
      </c>
      <c r="D72" s="2" t="s">
        <v>95</v>
      </c>
      <c r="E72" s="3" t="s">
        <v>4</v>
      </c>
      <c r="F72" s="3">
        <v>53</v>
      </c>
      <c r="G72" s="3">
        <v>85.48</v>
      </c>
      <c r="H72" s="3">
        <v>59</v>
      </c>
      <c r="I72" s="3">
        <v>92.19</v>
      </c>
      <c r="J72" s="3">
        <v>6.71</v>
      </c>
    </row>
    <row r="73" spans="1:10" s="3" customFormat="1" x14ac:dyDescent="0.25">
      <c r="A73" s="2" t="s">
        <v>213</v>
      </c>
      <c r="B73" s="2" t="s">
        <v>536</v>
      </c>
      <c r="C73" s="2" t="s">
        <v>2</v>
      </c>
      <c r="D73" s="2" t="s">
        <v>537</v>
      </c>
      <c r="E73" s="3" t="s">
        <v>4</v>
      </c>
      <c r="F73" s="3">
        <v>125</v>
      </c>
      <c r="G73" s="3">
        <v>97.66</v>
      </c>
      <c r="H73" s="3">
        <v>118</v>
      </c>
      <c r="I73" s="3">
        <v>92.19</v>
      </c>
      <c r="J73" s="3">
        <v>-5.47</v>
      </c>
    </row>
    <row r="74" spans="1:10" s="3" customFormat="1" x14ac:dyDescent="0.25">
      <c r="A74" s="2" t="s">
        <v>62</v>
      </c>
      <c r="B74" s="2" t="s">
        <v>63</v>
      </c>
      <c r="C74" s="2" t="s">
        <v>2</v>
      </c>
      <c r="D74" s="2" t="s">
        <v>64</v>
      </c>
      <c r="E74" s="3" t="s">
        <v>4</v>
      </c>
      <c r="F74" s="3">
        <v>293</v>
      </c>
      <c r="G74" s="3">
        <v>83</v>
      </c>
      <c r="H74" s="3">
        <v>293</v>
      </c>
      <c r="I74" s="3">
        <v>92.14</v>
      </c>
      <c r="J74" s="3">
        <v>9.14</v>
      </c>
    </row>
    <row r="75" spans="1:10" s="3" customFormat="1" x14ac:dyDescent="0.25">
      <c r="A75" s="2" t="s">
        <v>0</v>
      </c>
      <c r="B75" s="2" t="s">
        <v>154</v>
      </c>
      <c r="C75" s="2" t="s">
        <v>2</v>
      </c>
      <c r="D75" s="2" t="s">
        <v>155</v>
      </c>
      <c r="E75" s="3" t="s">
        <v>4</v>
      </c>
      <c r="F75" s="3">
        <v>76</v>
      </c>
      <c r="G75" s="3">
        <v>88.37</v>
      </c>
      <c r="H75" s="3">
        <v>70</v>
      </c>
      <c r="I75" s="3">
        <v>92.11</v>
      </c>
      <c r="J75" s="3">
        <v>3.74</v>
      </c>
    </row>
    <row r="76" spans="1:10" s="3" customFormat="1" x14ac:dyDescent="0.25">
      <c r="A76" s="2" t="s">
        <v>136</v>
      </c>
      <c r="B76" s="2" t="s">
        <v>492</v>
      </c>
      <c r="C76" s="2" t="s">
        <v>2</v>
      </c>
      <c r="D76" s="2" t="s">
        <v>493</v>
      </c>
      <c r="E76" s="3" t="s">
        <v>4</v>
      </c>
      <c r="F76" s="3">
        <v>65</v>
      </c>
      <c r="G76" s="3">
        <v>95.59</v>
      </c>
      <c r="H76" s="3">
        <v>69</v>
      </c>
      <c r="I76" s="3">
        <v>92</v>
      </c>
      <c r="J76" s="3">
        <v>-3.59</v>
      </c>
    </row>
    <row r="77" spans="1:10" s="3" customFormat="1" x14ac:dyDescent="0.25">
      <c r="A77" s="2" t="s">
        <v>10</v>
      </c>
      <c r="B77" s="2" t="s">
        <v>108</v>
      </c>
      <c r="C77" s="2" t="s">
        <v>2</v>
      </c>
      <c r="D77" s="2" t="s">
        <v>109</v>
      </c>
      <c r="E77" s="3" t="s">
        <v>4</v>
      </c>
      <c r="F77" s="3">
        <v>51</v>
      </c>
      <c r="G77" s="3">
        <v>86.44</v>
      </c>
      <c r="H77" s="3">
        <v>68</v>
      </c>
      <c r="I77" s="3">
        <v>91.89</v>
      </c>
      <c r="J77" s="3">
        <v>5.45</v>
      </c>
    </row>
    <row r="78" spans="1:10" s="3" customFormat="1" x14ac:dyDescent="0.25">
      <c r="A78" s="2" t="s">
        <v>52</v>
      </c>
      <c r="B78" s="2" t="s">
        <v>205</v>
      </c>
      <c r="C78" s="2" t="s">
        <v>2</v>
      </c>
      <c r="D78" s="2" t="s">
        <v>206</v>
      </c>
      <c r="E78" s="3" t="s">
        <v>4</v>
      </c>
      <c r="F78" s="3">
        <v>249</v>
      </c>
      <c r="G78" s="3">
        <v>89.57</v>
      </c>
      <c r="H78" s="3">
        <v>249</v>
      </c>
      <c r="I78" s="3">
        <v>91.88</v>
      </c>
      <c r="J78" s="3">
        <v>2.31</v>
      </c>
    </row>
    <row r="79" spans="1:10" s="3" customFormat="1" x14ac:dyDescent="0.25">
      <c r="A79" s="2" t="s">
        <v>74</v>
      </c>
      <c r="B79" s="2" t="s">
        <v>75</v>
      </c>
      <c r="C79" s="2" t="s">
        <v>2</v>
      </c>
      <c r="D79" s="2" t="s">
        <v>76</v>
      </c>
      <c r="E79" s="3" t="s">
        <v>4</v>
      </c>
      <c r="F79" s="3">
        <v>47</v>
      </c>
      <c r="G79" s="3">
        <v>83.93</v>
      </c>
      <c r="H79" s="3">
        <v>45</v>
      </c>
      <c r="I79" s="3">
        <v>91.84</v>
      </c>
      <c r="J79" s="3">
        <v>7.91</v>
      </c>
    </row>
    <row r="80" spans="1:10" s="3" customFormat="1" x14ac:dyDescent="0.25">
      <c r="A80" s="2" t="s">
        <v>68</v>
      </c>
      <c r="B80" s="2" t="s">
        <v>69</v>
      </c>
      <c r="C80" s="2" t="s">
        <v>2</v>
      </c>
      <c r="D80" s="2" t="s">
        <v>70</v>
      </c>
      <c r="E80" s="3" t="s">
        <v>4</v>
      </c>
      <c r="F80" s="3">
        <v>84</v>
      </c>
      <c r="G80" s="3">
        <v>83.17</v>
      </c>
      <c r="H80" s="3">
        <v>78</v>
      </c>
      <c r="I80" s="3">
        <v>91.76</v>
      </c>
      <c r="J80" s="3">
        <v>8.59</v>
      </c>
    </row>
    <row r="81" spans="1:10" s="3" customFormat="1" x14ac:dyDescent="0.25">
      <c r="A81" s="2" t="s">
        <v>52</v>
      </c>
      <c r="B81" s="2" t="s">
        <v>525</v>
      </c>
      <c r="C81" s="2" t="s">
        <v>2</v>
      </c>
      <c r="D81" s="2" t="s">
        <v>526</v>
      </c>
      <c r="E81" s="3" t="s">
        <v>4</v>
      </c>
      <c r="F81" s="3">
        <v>112</v>
      </c>
      <c r="G81" s="3">
        <v>96.55</v>
      </c>
      <c r="H81" s="3">
        <v>119</v>
      </c>
      <c r="I81" s="3">
        <v>91.54</v>
      </c>
      <c r="J81" s="3">
        <v>-5.01</v>
      </c>
    </row>
    <row r="82" spans="1:10" s="3" customFormat="1" x14ac:dyDescent="0.25">
      <c r="A82" s="2" t="s">
        <v>49</v>
      </c>
      <c r="B82" s="2" t="s">
        <v>462</v>
      </c>
      <c r="C82" s="2" t="s">
        <v>2</v>
      </c>
      <c r="D82" s="2" t="s">
        <v>463</v>
      </c>
      <c r="E82" s="3" t="s">
        <v>4</v>
      </c>
      <c r="F82" s="3">
        <v>50</v>
      </c>
      <c r="G82" s="3">
        <v>94.34</v>
      </c>
      <c r="H82" s="3">
        <v>53</v>
      </c>
      <c r="I82" s="3">
        <v>91.38</v>
      </c>
      <c r="J82" s="3">
        <v>-2.96</v>
      </c>
    </row>
    <row r="83" spans="1:10" s="3" customFormat="1" x14ac:dyDescent="0.25">
      <c r="A83" s="2" t="s">
        <v>59</v>
      </c>
      <c r="B83" s="2" t="s">
        <v>279</v>
      </c>
      <c r="C83" s="2" t="s">
        <v>2</v>
      </c>
      <c r="D83" s="2" t="s">
        <v>280</v>
      </c>
      <c r="E83" s="3" t="s">
        <v>4</v>
      </c>
      <c r="F83" s="3">
        <v>650</v>
      </c>
      <c r="G83" s="3">
        <v>90.4</v>
      </c>
      <c r="H83" s="3">
        <v>598</v>
      </c>
      <c r="I83" s="3">
        <v>91.3</v>
      </c>
      <c r="J83" s="3">
        <v>0.9</v>
      </c>
    </row>
    <row r="84" spans="1:10" s="3" customFormat="1" x14ac:dyDescent="0.25">
      <c r="A84" s="2" t="s">
        <v>43</v>
      </c>
      <c r="B84" s="2" t="s">
        <v>226</v>
      </c>
      <c r="C84" s="2" t="s">
        <v>2</v>
      </c>
      <c r="D84" s="2" t="s">
        <v>227</v>
      </c>
      <c r="E84" s="3" t="s">
        <v>4</v>
      </c>
      <c r="F84" s="3">
        <v>110</v>
      </c>
      <c r="G84" s="3">
        <v>89.43</v>
      </c>
      <c r="H84" s="3">
        <v>115</v>
      </c>
      <c r="I84" s="3">
        <v>91.27</v>
      </c>
      <c r="J84" s="3">
        <v>1.84</v>
      </c>
    </row>
    <row r="85" spans="1:10" s="3" customFormat="1" x14ac:dyDescent="0.25">
      <c r="A85" s="2" t="s">
        <v>128</v>
      </c>
      <c r="B85" s="2" t="s">
        <v>310</v>
      </c>
      <c r="C85" s="2" t="s">
        <v>2</v>
      </c>
      <c r="D85" s="2" t="s">
        <v>311</v>
      </c>
      <c r="E85" s="3" t="s">
        <v>4</v>
      </c>
      <c r="F85" s="3">
        <v>276</v>
      </c>
      <c r="G85" s="3">
        <v>90.79</v>
      </c>
      <c r="H85" s="3">
        <v>279</v>
      </c>
      <c r="I85" s="3">
        <v>91.18</v>
      </c>
      <c r="J85" s="3">
        <v>0.39</v>
      </c>
    </row>
    <row r="86" spans="1:10" s="3" customFormat="1" x14ac:dyDescent="0.25">
      <c r="A86" s="2" t="s">
        <v>5</v>
      </c>
      <c r="B86" s="2" t="s">
        <v>352</v>
      </c>
      <c r="C86" s="2" t="s">
        <v>2</v>
      </c>
      <c r="D86" s="2" t="s">
        <v>353</v>
      </c>
      <c r="E86" s="3" t="s">
        <v>4</v>
      </c>
      <c r="F86" s="3">
        <v>64</v>
      </c>
      <c r="G86" s="3">
        <v>91.43</v>
      </c>
      <c r="H86" s="3">
        <v>51</v>
      </c>
      <c r="I86" s="3">
        <v>91.07</v>
      </c>
      <c r="J86" s="3">
        <v>-0.36</v>
      </c>
    </row>
    <row r="87" spans="1:10" s="3" customFormat="1" x14ac:dyDescent="0.25">
      <c r="A87" s="2" t="s">
        <v>15</v>
      </c>
      <c r="B87" s="2" t="s">
        <v>373</v>
      </c>
      <c r="C87" s="2" t="s">
        <v>2</v>
      </c>
      <c r="D87" s="2" t="s">
        <v>374</v>
      </c>
      <c r="E87" s="3" t="s">
        <v>4</v>
      </c>
      <c r="F87" s="3">
        <v>845</v>
      </c>
      <c r="G87" s="3">
        <v>91.65</v>
      </c>
      <c r="H87" s="3">
        <v>909</v>
      </c>
      <c r="I87" s="3">
        <v>90.99</v>
      </c>
      <c r="J87" s="3">
        <v>-0.66</v>
      </c>
    </row>
    <row r="88" spans="1:10" s="3" customFormat="1" x14ac:dyDescent="0.25">
      <c r="A88" s="2" t="s">
        <v>128</v>
      </c>
      <c r="B88" s="2" t="s">
        <v>483</v>
      </c>
      <c r="C88" s="2" t="s">
        <v>2</v>
      </c>
      <c r="D88" s="2" t="s">
        <v>484</v>
      </c>
      <c r="E88" s="3" t="s">
        <v>4</v>
      </c>
      <c r="F88" s="3">
        <v>299</v>
      </c>
      <c r="G88" s="3">
        <v>94.32</v>
      </c>
      <c r="H88" s="3">
        <v>291</v>
      </c>
      <c r="I88" s="3">
        <v>90.94</v>
      </c>
      <c r="J88" s="3">
        <v>-3.38</v>
      </c>
    </row>
    <row r="89" spans="1:10" s="3" customFormat="1" x14ac:dyDescent="0.25">
      <c r="A89" s="2" t="s">
        <v>111</v>
      </c>
      <c r="B89" s="2" t="s">
        <v>112</v>
      </c>
      <c r="C89" s="2" t="s">
        <v>2</v>
      </c>
      <c r="D89" s="2" t="s">
        <v>113</v>
      </c>
      <c r="E89" s="3" t="s">
        <v>4</v>
      </c>
      <c r="F89" s="3">
        <v>42</v>
      </c>
      <c r="G89" s="3">
        <v>85.71</v>
      </c>
      <c r="H89" s="3">
        <v>50</v>
      </c>
      <c r="I89" s="3">
        <v>90.91</v>
      </c>
      <c r="J89" s="3">
        <v>5.2</v>
      </c>
    </row>
    <row r="90" spans="1:10" s="3" customFormat="1" x14ac:dyDescent="0.25">
      <c r="A90" s="2" t="s">
        <v>143</v>
      </c>
      <c r="B90" s="2" t="s">
        <v>144</v>
      </c>
      <c r="C90" s="2" t="s">
        <v>2</v>
      </c>
      <c r="D90" s="2" t="s">
        <v>145</v>
      </c>
      <c r="E90" s="3" t="s">
        <v>4</v>
      </c>
      <c r="F90" s="3">
        <v>120</v>
      </c>
      <c r="G90" s="3">
        <v>86.96</v>
      </c>
      <c r="H90" s="3">
        <v>110</v>
      </c>
      <c r="I90" s="3">
        <v>90.91</v>
      </c>
      <c r="J90" s="3">
        <v>3.95</v>
      </c>
    </row>
    <row r="91" spans="1:10" s="3" customFormat="1" x14ac:dyDescent="0.25">
      <c r="A91" s="2" t="s">
        <v>406</v>
      </c>
      <c r="B91" s="2" t="s">
        <v>471</v>
      </c>
      <c r="C91" s="2" t="s">
        <v>2</v>
      </c>
      <c r="D91" s="2" t="s">
        <v>472</v>
      </c>
      <c r="E91" s="3" t="s">
        <v>4</v>
      </c>
      <c r="F91" s="3">
        <v>63</v>
      </c>
      <c r="G91" s="3">
        <v>94.03</v>
      </c>
      <c r="H91" s="3">
        <v>50</v>
      </c>
      <c r="I91" s="3">
        <v>90.91</v>
      </c>
      <c r="J91" s="3">
        <v>-3.12</v>
      </c>
    </row>
    <row r="92" spans="1:10" s="3" customFormat="1" x14ac:dyDescent="0.25">
      <c r="A92" s="2" t="s">
        <v>148</v>
      </c>
      <c r="B92" s="2" t="s">
        <v>414</v>
      </c>
      <c r="C92" s="2" t="s">
        <v>2</v>
      </c>
      <c r="D92" s="2" t="s">
        <v>415</v>
      </c>
      <c r="E92" s="3" t="s">
        <v>4</v>
      </c>
      <c r="F92" s="3">
        <v>273</v>
      </c>
      <c r="G92" s="3">
        <v>92.23</v>
      </c>
      <c r="H92" s="3">
        <v>258</v>
      </c>
      <c r="I92" s="3">
        <v>90.85</v>
      </c>
      <c r="J92" s="3">
        <v>-1.38</v>
      </c>
    </row>
    <row r="93" spans="1:10" s="3" customFormat="1" x14ac:dyDescent="0.25">
      <c r="A93" s="2" t="s">
        <v>0</v>
      </c>
      <c r="B93" s="2" t="s">
        <v>21</v>
      </c>
      <c r="C93" s="2" t="s">
        <v>2</v>
      </c>
      <c r="D93" s="2" t="s">
        <v>22</v>
      </c>
      <c r="E93" s="3" t="s">
        <v>4</v>
      </c>
      <c r="F93" s="3">
        <v>33</v>
      </c>
      <c r="G93" s="3">
        <v>76.739999999999995</v>
      </c>
      <c r="H93" s="3">
        <v>49</v>
      </c>
      <c r="I93" s="3">
        <v>90.74</v>
      </c>
      <c r="J93" s="3">
        <v>14</v>
      </c>
    </row>
    <row r="94" spans="1:10" s="3" customFormat="1" x14ac:dyDescent="0.25">
      <c r="A94" s="2" t="s">
        <v>345</v>
      </c>
      <c r="B94" s="2" t="s">
        <v>348</v>
      </c>
      <c r="C94" s="2" t="s">
        <v>2</v>
      </c>
      <c r="D94" s="2" t="s">
        <v>349</v>
      </c>
      <c r="E94" s="3" t="s">
        <v>4</v>
      </c>
      <c r="F94" s="3">
        <v>1142</v>
      </c>
      <c r="G94" s="3">
        <v>91</v>
      </c>
      <c r="H94" s="3">
        <v>1174</v>
      </c>
      <c r="I94" s="3">
        <v>90.66</v>
      </c>
      <c r="J94" s="3">
        <v>-0.34</v>
      </c>
    </row>
    <row r="95" spans="1:10" s="3" customFormat="1" x14ac:dyDescent="0.25">
      <c r="A95" s="2" t="s">
        <v>128</v>
      </c>
      <c r="B95" s="2" t="s">
        <v>442</v>
      </c>
      <c r="C95" s="2" t="s">
        <v>2</v>
      </c>
      <c r="D95" s="2" t="s">
        <v>443</v>
      </c>
      <c r="E95" s="3" t="s">
        <v>4</v>
      </c>
      <c r="F95" s="3">
        <v>424</v>
      </c>
      <c r="G95" s="3">
        <v>92.98</v>
      </c>
      <c r="H95" s="3">
        <v>417</v>
      </c>
      <c r="I95" s="3">
        <v>90.65</v>
      </c>
      <c r="J95" s="3">
        <v>-2.33</v>
      </c>
    </row>
    <row r="96" spans="1:10" s="3" customFormat="1" x14ac:dyDescent="0.25">
      <c r="A96" s="2" t="s">
        <v>114</v>
      </c>
      <c r="B96" s="2" t="s">
        <v>388</v>
      </c>
      <c r="C96" s="2" t="s">
        <v>2</v>
      </c>
      <c r="D96" s="2" t="s">
        <v>389</v>
      </c>
      <c r="E96" s="3" t="s">
        <v>4</v>
      </c>
      <c r="F96" s="3">
        <v>224</v>
      </c>
      <c r="G96" s="3">
        <v>91.43</v>
      </c>
      <c r="H96" s="3">
        <v>221</v>
      </c>
      <c r="I96" s="3">
        <v>90.57</v>
      </c>
      <c r="J96" s="3">
        <v>-0.86</v>
      </c>
    </row>
    <row r="97" spans="1:12" s="3" customFormat="1" x14ac:dyDescent="0.25">
      <c r="A97" s="2" t="s">
        <v>156</v>
      </c>
      <c r="B97" s="2" t="s">
        <v>157</v>
      </c>
      <c r="C97" s="2" t="s">
        <v>2</v>
      </c>
      <c r="D97" s="2" t="s">
        <v>158</v>
      </c>
      <c r="E97" s="3" t="s">
        <v>4</v>
      </c>
      <c r="F97" s="3">
        <v>79</v>
      </c>
      <c r="G97" s="3">
        <v>86.81</v>
      </c>
      <c r="H97" s="3">
        <v>67</v>
      </c>
      <c r="I97" s="3">
        <v>90.54</v>
      </c>
      <c r="J97" s="3">
        <v>3.73</v>
      </c>
    </row>
    <row r="98" spans="1:12" s="3" customFormat="1" x14ac:dyDescent="0.25">
      <c r="A98" s="2" t="s">
        <v>184</v>
      </c>
      <c r="B98" s="2" t="s">
        <v>185</v>
      </c>
      <c r="C98" s="2" t="s">
        <v>2</v>
      </c>
      <c r="D98" s="2" t="s">
        <v>186</v>
      </c>
      <c r="E98" s="3" t="s">
        <v>4</v>
      </c>
      <c r="F98" s="3">
        <v>129</v>
      </c>
      <c r="G98" s="3">
        <v>87.76</v>
      </c>
      <c r="H98" s="3">
        <v>134</v>
      </c>
      <c r="I98" s="3">
        <v>90.54</v>
      </c>
      <c r="J98" s="3">
        <v>2.78</v>
      </c>
    </row>
    <row r="99" spans="1:12" s="3" customFormat="1" x14ac:dyDescent="0.25">
      <c r="A99" s="2" t="s">
        <v>99</v>
      </c>
      <c r="B99" s="2" t="s">
        <v>139</v>
      </c>
      <c r="C99" s="2" t="s">
        <v>2</v>
      </c>
      <c r="D99" s="2" t="s">
        <v>653</v>
      </c>
      <c r="E99" s="3" t="s">
        <v>4</v>
      </c>
      <c r="F99" s="3">
        <v>128</v>
      </c>
      <c r="G99" s="3">
        <v>86.49</v>
      </c>
      <c r="H99" s="3">
        <v>114</v>
      </c>
      <c r="I99" s="3">
        <v>90.48</v>
      </c>
      <c r="J99" s="3">
        <v>3.99</v>
      </c>
    </row>
    <row r="100" spans="1:12" s="3" customFormat="1" x14ac:dyDescent="0.25">
      <c r="A100" s="2" t="s">
        <v>210</v>
      </c>
      <c r="B100" s="2" t="s">
        <v>341</v>
      </c>
      <c r="C100" s="2" t="s">
        <v>2</v>
      </c>
      <c r="D100" s="2" t="s">
        <v>342</v>
      </c>
      <c r="E100" s="3" t="s">
        <v>4</v>
      </c>
      <c r="F100" s="3">
        <v>58</v>
      </c>
      <c r="G100" s="3">
        <v>90.63</v>
      </c>
      <c r="H100" s="3">
        <v>47</v>
      </c>
      <c r="I100" s="3">
        <v>90.38</v>
      </c>
      <c r="J100" s="3">
        <v>-0.25</v>
      </c>
    </row>
    <row r="101" spans="1:12" s="3" customFormat="1" x14ac:dyDescent="0.25">
      <c r="A101" s="2" t="s">
        <v>96</v>
      </c>
      <c r="B101" s="2" t="s">
        <v>97</v>
      </c>
      <c r="C101" s="2" t="s">
        <v>2</v>
      </c>
      <c r="D101" s="2" t="s">
        <v>98</v>
      </c>
      <c r="E101" s="3" t="s">
        <v>4</v>
      </c>
      <c r="F101" s="3">
        <v>52</v>
      </c>
      <c r="G101" s="3">
        <v>83.87</v>
      </c>
      <c r="H101" s="3">
        <v>56</v>
      </c>
      <c r="I101" s="3">
        <v>90.32</v>
      </c>
      <c r="J101" s="3">
        <v>6.45</v>
      </c>
    </row>
    <row r="102" spans="1:12" s="3" customFormat="1" x14ac:dyDescent="0.25">
      <c r="A102" s="2" t="s">
        <v>457</v>
      </c>
      <c r="B102" s="2" t="s">
        <v>458</v>
      </c>
      <c r="C102" s="2" t="s">
        <v>2</v>
      </c>
      <c r="D102" s="2" t="s">
        <v>459</v>
      </c>
      <c r="E102" s="3" t="s">
        <v>4</v>
      </c>
      <c r="F102" s="3">
        <v>82</v>
      </c>
      <c r="G102" s="3">
        <v>93.18</v>
      </c>
      <c r="H102" s="3">
        <v>56</v>
      </c>
      <c r="I102" s="3">
        <v>90.32</v>
      </c>
      <c r="J102" s="3">
        <v>-2.86</v>
      </c>
    </row>
    <row r="103" spans="1:12" s="3" customFormat="1" x14ac:dyDescent="0.25">
      <c r="A103" s="2" t="s">
        <v>364</v>
      </c>
      <c r="B103" s="2" t="s">
        <v>627</v>
      </c>
      <c r="C103" s="2" t="s">
        <v>2</v>
      </c>
      <c r="D103" s="2" t="s">
        <v>628</v>
      </c>
      <c r="E103" s="3" t="s">
        <v>4</v>
      </c>
      <c r="H103" s="3">
        <v>46</v>
      </c>
      <c r="I103" s="3">
        <v>90.2</v>
      </c>
    </row>
    <row r="104" spans="1:12" s="3" customFormat="1" x14ac:dyDescent="0.25">
      <c r="A104" s="2" t="s">
        <v>184</v>
      </c>
      <c r="B104" s="2" t="s">
        <v>560</v>
      </c>
      <c r="C104" s="2" t="s">
        <v>2</v>
      </c>
      <c r="D104" s="2" t="s">
        <v>561</v>
      </c>
      <c r="E104" s="3" t="s">
        <v>4</v>
      </c>
      <c r="F104" s="3">
        <v>70</v>
      </c>
      <c r="G104" s="3">
        <v>97.22</v>
      </c>
      <c r="H104" s="3">
        <v>55</v>
      </c>
      <c r="I104" s="3">
        <v>90.16</v>
      </c>
      <c r="J104" s="3">
        <v>-7.06</v>
      </c>
    </row>
    <row r="105" spans="1:12" s="3" customFormat="1" x14ac:dyDescent="0.25">
      <c r="A105" s="2" t="s">
        <v>0</v>
      </c>
      <c r="B105" s="2" t="s">
        <v>384</v>
      </c>
      <c r="C105" s="2" t="s">
        <v>2</v>
      </c>
      <c r="D105" s="2" t="s">
        <v>385</v>
      </c>
      <c r="E105" s="3" t="s">
        <v>4</v>
      </c>
      <c r="F105" s="3">
        <v>110</v>
      </c>
      <c r="G105" s="3">
        <v>90.91</v>
      </c>
      <c r="H105" s="3">
        <v>109</v>
      </c>
      <c r="I105" s="3">
        <v>90.08</v>
      </c>
      <c r="J105" s="3">
        <v>-0.83</v>
      </c>
    </row>
    <row r="106" spans="1:12" s="5" customFormat="1" x14ac:dyDescent="0.25">
      <c r="A106" s="4" t="s">
        <v>43</v>
      </c>
      <c r="B106" s="4" t="s">
        <v>316</v>
      </c>
      <c r="C106" s="4" t="s">
        <v>2</v>
      </c>
      <c r="D106" s="5" t="s">
        <v>317</v>
      </c>
      <c r="E106" s="5" t="s">
        <v>4</v>
      </c>
      <c r="F106" s="5">
        <v>51</v>
      </c>
      <c r="G106" s="5">
        <v>89.47</v>
      </c>
      <c r="H106" s="5">
        <v>53</v>
      </c>
      <c r="I106" s="5">
        <v>89.83</v>
      </c>
      <c r="J106" s="5">
        <v>0.36</v>
      </c>
      <c r="K106" s="5">
        <f t="shared" ref="K106:K169" si="0">90-I106</f>
        <v>0.17000000000000171</v>
      </c>
      <c r="L106" s="6">
        <f t="shared" ref="L106:L169" si="1">K106/8</f>
        <v>2.1250000000000213E-2</v>
      </c>
    </row>
    <row r="107" spans="1:12" s="5" customFormat="1" x14ac:dyDescent="0.25">
      <c r="A107" s="4" t="s">
        <v>5</v>
      </c>
      <c r="B107" s="4" t="s">
        <v>180</v>
      </c>
      <c r="C107" s="4" t="s">
        <v>2</v>
      </c>
      <c r="D107" s="5" t="s">
        <v>181</v>
      </c>
      <c r="E107" s="5" t="s">
        <v>4</v>
      </c>
      <c r="F107" s="5">
        <v>40</v>
      </c>
      <c r="G107" s="5">
        <v>86.96</v>
      </c>
      <c r="H107" s="5">
        <v>44</v>
      </c>
      <c r="I107" s="5">
        <v>89.8</v>
      </c>
      <c r="J107" s="5">
        <v>2.84</v>
      </c>
      <c r="K107" s="5">
        <f t="shared" si="0"/>
        <v>0.20000000000000284</v>
      </c>
      <c r="L107" s="6">
        <f t="shared" si="1"/>
        <v>2.5000000000000355E-2</v>
      </c>
    </row>
    <row r="108" spans="1:12" s="5" customFormat="1" x14ac:dyDescent="0.25">
      <c r="A108" s="4" t="s">
        <v>8</v>
      </c>
      <c r="B108" s="4" t="s">
        <v>529</v>
      </c>
      <c r="C108" s="4" t="s">
        <v>2</v>
      </c>
      <c r="D108" s="5" t="s">
        <v>530</v>
      </c>
      <c r="E108" s="5" t="s">
        <v>4</v>
      </c>
      <c r="F108" s="5">
        <v>93</v>
      </c>
      <c r="G108" s="5">
        <v>94.9</v>
      </c>
      <c r="H108" s="5">
        <v>88</v>
      </c>
      <c r="I108" s="5">
        <v>89.8</v>
      </c>
      <c r="J108" s="5">
        <v>-5.0999999999999996</v>
      </c>
      <c r="K108" s="5">
        <f t="shared" si="0"/>
        <v>0.20000000000000284</v>
      </c>
      <c r="L108" s="6">
        <f t="shared" si="1"/>
        <v>2.5000000000000355E-2</v>
      </c>
    </row>
    <row r="109" spans="1:12" s="5" customFormat="1" x14ac:dyDescent="0.25">
      <c r="A109" s="4" t="s">
        <v>128</v>
      </c>
      <c r="B109" s="4" t="s">
        <v>129</v>
      </c>
      <c r="C109" s="4" t="s">
        <v>2</v>
      </c>
      <c r="D109" s="5" t="s">
        <v>130</v>
      </c>
      <c r="E109" s="5" t="s">
        <v>4</v>
      </c>
      <c r="F109" s="5">
        <v>125</v>
      </c>
      <c r="G109" s="5">
        <v>85.03</v>
      </c>
      <c r="H109" s="5">
        <v>123</v>
      </c>
      <c r="I109" s="5">
        <v>89.78</v>
      </c>
      <c r="J109" s="5">
        <v>4.75</v>
      </c>
      <c r="K109" s="5">
        <f t="shared" si="0"/>
        <v>0.21999999999999886</v>
      </c>
      <c r="L109" s="6">
        <f t="shared" si="1"/>
        <v>2.7499999999999858E-2</v>
      </c>
    </row>
    <row r="110" spans="1:12" s="5" customFormat="1" x14ac:dyDescent="0.25">
      <c r="A110" s="4" t="s">
        <v>364</v>
      </c>
      <c r="B110" s="4" t="s">
        <v>479</v>
      </c>
      <c r="C110" s="4" t="s">
        <v>2</v>
      </c>
      <c r="D110" s="5" t="s">
        <v>480</v>
      </c>
      <c r="E110" s="5" t="s">
        <v>4</v>
      </c>
      <c r="F110" s="5">
        <v>66</v>
      </c>
      <c r="G110" s="5">
        <v>92.96</v>
      </c>
      <c r="H110" s="5">
        <v>61</v>
      </c>
      <c r="I110" s="5">
        <v>89.71</v>
      </c>
      <c r="J110" s="5">
        <v>-3.25</v>
      </c>
      <c r="K110" s="5">
        <f t="shared" si="0"/>
        <v>0.29000000000000625</v>
      </c>
      <c r="L110" s="6">
        <f t="shared" si="1"/>
        <v>3.6250000000000782E-2</v>
      </c>
    </row>
    <row r="111" spans="1:12" s="5" customFormat="1" x14ac:dyDescent="0.25">
      <c r="A111" s="4" t="s">
        <v>114</v>
      </c>
      <c r="B111" s="4" t="s">
        <v>115</v>
      </c>
      <c r="C111" s="4" t="s">
        <v>2</v>
      </c>
      <c r="D111" s="5" t="s">
        <v>116</v>
      </c>
      <c r="E111" s="5" t="s">
        <v>4</v>
      </c>
      <c r="F111" s="5">
        <v>540</v>
      </c>
      <c r="G111" s="5">
        <v>84.51</v>
      </c>
      <c r="H111" s="5">
        <v>547</v>
      </c>
      <c r="I111" s="5">
        <v>89.67</v>
      </c>
      <c r="J111" s="5">
        <v>5.16</v>
      </c>
      <c r="K111" s="5">
        <f t="shared" si="0"/>
        <v>0.32999999999999829</v>
      </c>
      <c r="L111" s="6">
        <f t="shared" si="1"/>
        <v>4.1249999999999787E-2</v>
      </c>
    </row>
    <row r="112" spans="1:12" s="5" customFormat="1" x14ac:dyDescent="0.25">
      <c r="A112" s="4" t="s">
        <v>474</v>
      </c>
      <c r="B112" s="4" t="s">
        <v>572</v>
      </c>
      <c r="C112" s="4" t="s">
        <v>2</v>
      </c>
      <c r="D112" s="5" t="s">
        <v>573</v>
      </c>
      <c r="E112" s="5" t="s">
        <v>4</v>
      </c>
      <c r="F112" s="5">
        <v>52</v>
      </c>
      <c r="G112" s="5">
        <v>98.11</v>
      </c>
      <c r="H112" s="5">
        <v>43</v>
      </c>
      <c r="I112" s="5">
        <v>89.58</v>
      </c>
      <c r="J112" s="5">
        <v>-8.5299999999999994</v>
      </c>
      <c r="K112" s="5">
        <f t="shared" si="0"/>
        <v>0.42000000000000171</v>
      </c>
      <c r="L112" s="6">
        <f t="shared" si="1"/>
        <v>5.2500000000000213E-2</v>
      </c>
    </row>
    <row r="113" spans="1:12" s="5" customFormat="1" x14ac:dyDescent="0.25">
      <c r="A113" s="4" t="s">
        <v>175</v>
      </c>
      <c r="B113" s="4" t="s">
        <v>343</v>
      </c>
      <c r="C113" s="4" t="s">
        <v>2</v>
      </c>
      <c r="D113" s="5" t="s">
        <v>344</v>
      </c>
      <c r="E113" s="5" t="s">
        <v>4</v>
      </c>
      <c r="F113" s="5">
        <v>851</v>
      </c>
      <c r="G113" s="5">
        <v>89.77</v>
      </c>
      <c r="H113" s="5">
        <v>837</v>
      </c>
      <c r="I113" s="5">
        <v>89.52</v>
      </c>
      <c r="J113" s="5">
        <v>-0.25</v>
      </c>
      <c r="K113" s="5">
        <f t="shared" si="0"/>
        <v>0.48000000000000398</v>
      </c>
      <c r="L113" s="6">
        <f t="shared" si="1"/>
        <v>6.0000000000000497E-2</v>
      </c>
    </row>
    <row r="114" spans="1:12" s="5" customFormat="1" x14ac:dyDescent="0.25">
      <c r="A114" s="4" t="s">
        <v>298</v>
      </c>
      <c r="B114" s="4" t="s">
        <v>299</v>
      </c>
      <c r="C114" s="4" t="s">
        <v>2</v>
      </c>
      <c r="D114" s="5" t="s">
        <v>300</v>
      </c>
      <c r="E114" s="5" t="s">
        <v>4</v>
      </c>
      <c r="F114" s="5">
        <v>72</v>
      </c>
      <c r="G114" s="5">
        <v>88.89</v>
      </c>
      <c r="H114" s="5">
        <v>85</v>
      </c>
      <c r="I114" s="5">
        <v>89.47</v>
      </c>
      <c r="J114" s="5">
        <v>0.57999999999999996</v>
      </c>
      <c r="K114" s="5">
        <f t="shared" si="0"/>
        <v>0.53000000000000114</v>
      </c>
      <c r="L114" s="6">
        <f t="shared" si="1"/>
        <v>6.6250000000000142E-2</v>
      </c>
    </row>
    <row r="115" spans="1:12" s="5" customFormat="1" x14ac:dyDescent="0.25">
      <c r="A115" s="4" t="s">
        <v>128</v>
      </c>
      <c r="B115" s="4" t="s">
        <v>189</v>
      </c>
      <c r="C115" s="4" t="s">
        <v>2</v>
      </c>
      <c r="D115" s="5" t="s">
        <v>190</v>
      </c>
      <c r="E115" s="5" t="s">
        <v>4</v>
      </c>
      <c r="F115" s="5">
        <v>137</v>
      </c>
      <c r="G115" s="5">
        <v>86.71</v>
      </c>
      <c r="H115" s="5">
        <v>152</v>
      </c>
      <c r="I115" s="5">
        <v>89.41</v>
      </c>
      <c r="J115" s="5">
        <v>2.7</v>
      </c>
      <c r="K115" s="5">
        <f t="shared" si="0"/>
        <v>0.59000000000000341</v>
      </c>
      <c r="L115" s="6">
        <f t="shared" si="1"/>
        <v>7.3750000000000426E-2</v>
      </c>
    </row>
    <row r="116" spans="1:12" s="5" customFormat="1" x14ac:dyDescent="0.25">
      <c r="A116" s="4" t="s">
        <v>546</v>
      </c>
      <c r="B116" s="4" t="s">
        <v>547</v>
      </c>
      <c r="C116" s="4" t="s">
        <v>2</v>
      </c>
      <c r="D116" s="5" t="s">
        <v>548</v>
      </c>
      <c r="E116" s="5" t="s">
        <v>4</v>
      </c>
      <c r="F116" s="5">
        <v>63</v>
      </c>
      <c r="G116" s="5">
        <v>95.45</v>
      </c>
      <c r="H116" s="5">
        <v>59</v>
      </c>
      <c r="I116" s="5">
        <v>89.39</v>
      </c>
      <c r="J116" s="5">
        <v>-6.06</v>
      </c>
      <c r="K116" s="5">
        <f t="shared" si="0"/>
        <v>0.60999999999999943</v>
      </c>
      <c r="L116" s="6">
        <f t="shared" si="1"/>
        <v>7.6249999999999929E-2</v>
      </c>
    </row>
    <row r="117" spans="1:12" s="5" customFormat="1" x14ac:dyDescent="0.25">
      <c r="A117" s="4" t="s">
        <v>210</v>
      </c>
      <c r="B117" s="4" t="s">
        <v>243</v>
      </c>
      <c r="C117" s="4" t="s">
        <v>2</v>
      </c>
      <c r="D117" s="5" t="s">
        <v>244</v>
      </c>
      <c r="E117" s="5" t="s">
        <v>4</v>
      </c>
      <c r="F117" s="5">
        <v>94</v>
      </c>
      <c r="G117" s="5">
        <v>87.85</v>
      </c>
      <c r="H117" s="5">
        <v>92</v>
      </c>
      <c r="I117" s="5">
        <v>89.32</v>
      </c>
      <c r="J117" s="5">
        <v>1.47</v>
      </c>
      <c r="K117" s="5">
        <f t="shared" si="0"/>
        <v>0.68000000000000682</v>
      </c>
      <c r="L117" s="6">
        <f t="shared" si="1"/>
        <v>8.5000000000000853E-2</v>
      </c>
    </row>
    <row r="118" spans="1:12" s="5" customFormat="1" x14ac:dyDescent="0.25">
      <c r="A118" s="4" t="s">
        <v>88</v>
      </c>
      <c r="B118" s="4" t="s">
        <v>216</v>
      </c>
      <c r="C118" s="4" t="s">
        <v>2</v>
      </c>
      <c r="D118" s="5" t="s">
        <v>217</v>
      </c>
      <c r="E118" s="5" t="s">
        <v>4</v>
      </c>
      <c r="F118" s="5">
        <v>54</v>
      </c>
      <c r="G118" s="5">
        <v>87.1</v>
      </c>
      <c r="H118" s="5">
        <v>58</v>
      </c>
      <c r="I118" s="5">
        <v>89.23</v>
      </c>
      <c r="J118" s="5">
        <v>2.13</v>
      </c>
      <c r="K118" s="5">
        <f t="shared" si="0"/>
        <v>0.76999999999999602</v>
      </c>
      <c r="L118" s="6">
        <f t="shared" si="1"/>
        <v>9.6249999999999503E-2</v>
      </c>
    </row>
    <row r="119" spans="1:12" s="5" customFormat="1" x14ac:dyDescent="0.25">
      <c r="A119" s="4" t="s">
        <v>46</v>
      </c>
      <c r="B119" s="4" t="s">
        <v>400</v>
      </c>
      <c r="C119" s="4" t="s">
        <v>2</v>
      </c>
      <c r="D119" s="5" t="s">
        <v>401</v>
      </c>
      <c r="E119" s="5" t="s">
        <v>4</v>
      </c>
      <c r="F119" s="5">
        <v>46</v>
      </c>
      <c r="G119" s="5">
        <v>90.2</v>
      </c>
      <c r="H119" s="5">
        <v>41</v>
      </c>
      <c r="I119" s="5">
        <v>89.13</v>
      </c>
      <c r="J119" s="5">
        <v>-1.07</v>
      </c>
      <c r="K119" s="5">
        <f t="shared" si="0"/>
        <v>0.87000000000000455</v>
      </c>
      <c r="L119" s="6">
        <f t="shared" si="1"/>
        <v>0.10875000000000057</v>
      </c>
    </row>
    <row r="120" spans="1:12" s="5" customFormat="1" x14ac:dyDescent="0.25">
      <c r="A120" s="4" t="s">
        <v>15</v>
      </c>
      <c r="B120" s="4" t="s">
        <v>339</v>
      </c>
      <c r="C120" s="4" t="s">
        <v>2</v>
      </c>
      <c r="D120" s="5" t="s">
        <v>340</v>
      </c>
      <c r="E120" s="5" t="s">
        <v>4</v>
      </c>
      <c r="F120" s="5">
        <v>367</v>
      </c>
      <c r="G120" s="5">
        <v>89.29</v>
      </c>
      <c r="H120" s="5">
        <v>358</v>
      </c>
      <c r="I120" s="5">
        <v>89.05</v>
      </c>
      <c r="J120" s="5">
        <v>-0.24</v>
      </c>
      <c r="K120" s="5">
        <f t="shared" si="0"/>
        <v>0.95000000000000284</v>
      </c>
      <c r="L120" s="6">
        <f t="shared" si="1"/>
        <v>0.11875000000000036</v>
      </c>
    </row>
    <row r="121" spans="1:12" s="5" customFormat="1" x14ac:dyDescent="0.25">
      <c r="A121" s="4" t="s">
        <v>133</v>
      </c>
      <c r="B121" s="4" t="s">
        <v>285</v>
      </c>
      <c r="C121" s="4" t="s">
        <v>2</v>
      </c>
      <c r="D121" s="5" t="s">
        <v>286</v>
      </c>
      <c r="E121" s="5" t="s">
        <v>4</v>
      </c>
      <c r="F121" s="5">
        <v>317</v>
      </c>
      <c r="G121" s="5">
        <v>88.3</v>
      </c>
      <c r="H121" s="5">
        <v>333</v>
      </c>
      <c r="I121" s="5">
        <v>89.04</v>
      </c>
      <c r="J121" s="5">
        <v>0.74</v>
      </c>
      <c r="K121" s="5">
        <f t="shared" si="0"/>
        <v>0.95999999999999375</v>
      </c>
      <c r="L121" s="6">
        <f t="shared" si="1"/>
        <v>0.11999999999999922</v>
      </c>
    </row>
    <row r="122" spans="1:12" s="5" customFormat="1" x14ac:dyDescent="0.25">
      <c r="A122" s="4" t="s">
        <v>0</v>
      </c>
      <c r="B122" s="4" t="s">
        <v>434</v>
      </c>
      <c r="C122" s="4" t="s">
        <v>2</v>
      </c>
      <c r="D122" s="5" t="s">
        <v>435</v>
      </c>
      <c r="E122" s="5" t="s">
        <v>4</v>
      </c>
      <c r="F122" s="5">
        <v>111</v>
      </c>
      <c r="G122" s="5">
        <v>90.98</v>
      </c>
      <c r="H122" s="5">
        <v>121</v>
      </c>
      <c r="I122" s="5">
        <v>88.97</v>
      </c>
      <c r="J122" s="5">
        <v>-2.0099999999999998</v>
      </c>
      <c r="K122" s="5">
        <f t="shared" si="0"/>
        <v>1.0300000000000011</v>
      </c>
      <c r="L122" s="6">
        <f t="shared" si="1"/>
        <v>0.12875000000000014</v>
      </c>
    </row>
    <row r="123" spans="1:12" s="5" customFormat="1" x14ac:dyDescent="0.25">
      <c r="A123" s="4" t="s">
        <v>32</v>
      </c>
      <c r="B123" s="4" t="s">
        <v>235</v>
      </c>
      <c r="C123" s="4" t="s">
        <v>2</v>
      </c>
      <c r="D123" s="5" t="s">
        <v>236</v>
      </c>
      <c r="E123" s="5" t="s">
        <v>4</v>
      </c>
      <c r="F123" s="5">
        <v>143</v>
      </c>
      <c r="G123" s="5">
        <v>87.2</v>
      </c>
      <c r="H123" s="5">
        <v>159</v>
      </c>
      <c r="I123" s="5">
        <v>88.83</v>
      </c>
      <c r="J123" s="5">
        <v>1.63</v>
      </c>
      <c r="K123" s="5">
        <f t="shared" si="0"/>
        <v>1.1700000000000017</v>
      </c>
      <c r="L123" s="6">
        <f t="shared" si="1"/>
        <v>0.14625000000000021</v>
      </c>
    </row>
    <row r="124" spans="1:12" s="5" customFormat="1" x14ac:dyDescent="0.25">
      <c r="A124" s="4" t="s">
        <v>105</v>
      </c>
      <c r="B124" s="4" t="s">
        <v>356</v>
      </c>
      <c r="C124" s="4" t="s">
        <v>2</v>
      </c>
      <c r="D124" s="5" t="s">
        <v>357</v>
      </c>
      <c r="E124" s="5" t="s">
        <v>4</v>
      </c>
      <c r="F124" s="5">
        <v>355</v>
      </c>
      <c r="G124" s="5">
        <v>89.2</v>
      </c>
      <c r="H124" s="5">
        <v>358</v>
      </c>
      <c r="I124" s="5">
        <v>88.83</v>
      </c>
      <c r="J124" s="5">
        <v>-0.37</v>
      </c>
      <c r="K124" s="5">
        <f t="shared" si="0"/>
        <v>1.1700000000000017</v>
      </c>
      <c r="L124" s="6">
        <f t="shared" si="1"/>
        <v>0.14625000000000021</v>
      </c>
    </row>
    <row r="125" spans="1:12" s="5" customFormat="1" x14ac:dyDescent="0.25">
      <c r="A125" s="4" t="s">
        <v>59</v>
      </c>
      <c r="B125" s="4" t="s">
        <v>321</v>
      </c>
      <c r="C125" s="4" t="s">
        <v>2</v>
      </c>
      <c r="D125" s="5" t="s">
        <v>322</v>
      </c>
      <c r="E125" s="5" t="s">
        <v>4</v>
      </c>
      <c r="F125" s="5">
        <v>793</v>
      </c>
      <c r="G125" s="5">
        <v>88.5</v>
      </c>
      <c r="H125" s="5">
        <v>805</v>
      </c>
      <c r="I125" s="5">
        <v>88.75</v>
      </c>
      <c r="J125" s="5">
        <v>0.25</v>
      </c>
      <c r="K125" s="5">
        <f t="shared" si="0"/>
        <v>1.25</v>
      </c>
      <c r="L125" s="6">
        <f t="shared" si="1"/>
        <v>0.15625</v>
      </c>
    </row>
    <row r="126" spans="1:12" s="5" customFormat="1" x14ac:dyDescent="0.25">
      <c r="A126" s="4" t="s">
        <v>546</v>
      </c>
      <c r="B126" s="4" t="s">
        <v>625</v>
      </c>
      <c r="C126" s="4" t="s">
        <v>2</v>
      </c>
      <c r="D126" s="5" t="s">
        <v>626</v>
      </c>
      <c r="E126" s="5" t="s">
        <v>4</v>
      </c>
      <c r="H126" s="5">
        <v>47</v>
      </c>
      <c r="I126" s="5">
        <v>88.68</v>
      </c>
      <c r="K126" s="5">
        <f t="shared" si="0"/>
        <v>1.3199999999999932</v>
      </c>
      <c r="L126" s="6">
        <f t="shared" si="1"/>
        <v>0.16499999999999915</v>
      </c>
    </row>
    <row r="127" spans="1:12" s="5" customFormat="1" x14ac:dyDescent="0.25">
      <c r="A127" s="4" t="s">
        <v>15</v>
      </c>
      <c r="B127" s="4" t="s">
        <v>182</v>
      </c>
      <c r="C127" s="4" t="s">
        <v>2</v>
      </c>
      <c r="D127" s="5" t="s">
        <v>183</v>
      </c>
      <c r="E127" s="5" t="s">
        <v>4</v>
      </c>
      <c r="F127" s="5">
        <v>1900</v>
      </c>
      <c r="G127" s="5">
        <v>85.82</v>
      </c>
      <c r="H127" s="5">
        <v>1992</v>
      </c>
      <c r="I127" s="5">
        <v>88.65</v>
      </c>
      <c r="J127" s="5">
        <v>2.83</v>
      </c>
      <c r="K127" s="5">
        <f t="shared" si="0"/>
        <v>1.3499999999999943</v>
      </c>
      <c r="L127" s="6">
        <f t="shared" si="1"/>
        <v>0.16874999999999929</v>
      </c>
    </row>
    <row r="128" spans="1:12" s="5" customFormat="1" x14ac:dyDescent="0.25">
      <c r="A128" s="4" t="s">
        <v>0</v>
      </c>
      <c r="B128" s="4" t="s">
        <v>303</v>
      </c>
      <c r="C128" s="4" t="s">
        <v>2</v>
      </c>
      <c r="D128" s="5" t="s">
        <v>304</v>
      </c>
      <c r="E128" s="5" t="s">
        <v>4</v>
      </c>
      <c r="F128" s="5">
        <v>171</v>
      </c>
      <c r="G128" s="5">
        <v>88.14</v>
      </c>
      <c r="H128" s="5">
        <v>140</v>
      </c>
      <c r="I128" s="5">
        <v>88.61</v>
      </c>
      <c r="J128" s="5">
        <v>0.47</v>
      </c>
      <c r="K128" s="5">
        <f t="shared" si="0"/>
        <v>1.3900000000000006</v>
      </c>
      <c r="L128" s="6">
        <f t="shared" si="1"/>
        <v>0.17375000000000007</v>
      </c>
    </row>
    <row r="129" spans="1:12" s="5" customFormat="1" x14ac:dyDescent="0.25">
      <c r="A129" s="4" t="s">
        <v>172</v>
      </c>
      <c r="B129" s="4" t="s">
        <v>568</v>
      </c>
      <c r="C129" s="4" t="s">
        <v>2</v>
      </c>
      <c r="D129" s="5" t="s">
        <v>569</v>
      </c>
      <c r="E129" s="5" t="s">
        <v>4</v>
      </c>
      <c r="F129" s="5">
        <v>136</v>
      </c>
      <c r="G129" s="5">
        <v>96.45</v>
      </c>
      <c r="H129" s="5">
        <v>124</v>
      </c>
      <c r="I129" s="5">
        <v>88.57</v>
      </c>
      <c r="J129" s="5">
        <v>-7.88</v>
      </c>
      <c r="K129" s="5">
        <f t="shared" si="0"/>
        <v>1.4300000000000068</v>
      </c>
      <c r="L129" s="6">
        <f t="shared" si="1"/>
        <v>0.17875000000000085</v>
      </c>
    </row>
    <row r="130" spans="1:12" s="5" customFormat="1" x14ac:dyDescent="0.25">
      <c r="A130" s="4" t="s">
        <v>43</v>
      </c>
      <c r="B130" s="4" t="s">
        <v>512</v>
      </c>
      <c r="C130" s="4" t="s">
        <v>2</v>
      </c>
      <c r="D130" s="5" t="s">
        <v>513</v>
      </c>
      <c r="E130" s="5" t="s">
        <v>4</v>
      </c>
      <c r="F130" s="5">
        <v>103</v>
      </c>
      <c r="G130" s="5">
        <v>92.79</v>
      </c>
      <c r="H130" s="5">
        <v>77</v>
      </c>
      <c r="I130" s="5">
        <v>88.51</v>
      </c>
      <c r="J130" s="5">
        <v>-4.28</v>
      </c>
      <c r="K130" s="5">
        <f t="shared" si="0"/>
        <v>1.4899999999999949</v>
      </c>
      <c r="L130" s="6">
        <f t="shared" si="1"/>
        <v>0.18624999999999936</v>
      </c>
    </row>
    <row r="131" spans="1:12" s="5" customFormat="1" x14ac:dyDescent="0.25">
      <c r="A131" s="4" t="s">
        <v>8</v>
      </c>
      <c r="B131" s="4" t="s">
        <v>508</v>
      </c>
      <c r="C131" s="4" t="s">
        <v>2</v>
      </c>
      <c r="D131" s="5" t="s">
        <v>509</v>
      </c>
      <c r="E131" s="5" t="s">
        <v>4</v>
      </c>
      <c r="F131" s="5">
        <v>49</v>
      </c>
      <c r="G131" s="5">
        <v>92.45</v>
      </c>
      <c r="H131" s="5">
        <v>61</v>
      </c>
      <c r="I131" s="5">
        <v>88.41</v>
      </c>
      <c r="J131" s="5">
        <v>-4.04</v>
      </c>
      <c r="K131" s="5">
        <f t="shared" si="0"/>
        <v>1.5900000000000034</v>
      </c>
      <c r="L131" s="6">
        <f t="shared" si="1"/>
        <v>0.19875000000000043</v>
      </c>
    </row>
    <row r="132" spans="1:12" s="5" customFormat="1" x14ac:dyDescent="0.25">
      <c r="A132" s="4" t="s">
        <v>406</v>
      </c>
      <c r="B132" s="4" t="s">
        <v>519</v>
      </c>
      <c r="C132" s="4" t="s">
        <v>2</v>
      </c>
      <c r="D132" s="5" t="s">
        <v>520</v>
      </c>
      <c r="E132" s="5" t="s">
        <v>4</v>
      </c>
      <c r="F132" s="5">
        <v>67</v>
      </c>
      <c r="G132" s="5">
        <v>93.06</v>
      </c>
      <c r="H132" s="5">
        <v>61</v>
      </c>
      <c r="I132" s="5">
        <v>88.41</v>
      </c>
      <c r="J132" s="5">
        <v>-4.6500000000000004</v>
      </c>
      <c r="K132" s="5">
        <f t="shared" si="0"/>
        <v>1.5900000000000034</v>
      </c>
      <c r="L132" s="6">
        <f t="shared" si="1"/>
        <v>0.19875000000000043</v>
      </c>
    </row>
    <row r="133" spans="1:12" s="5" customFormat="1" x14ac:dyDescent="0.25">
      <c r="A133" s="4" t="s">
        <v>175</v>
      </c>
      <c r="B133" s="4" t="s">
        <v>523</v>
      </c>
      <c r="C133" s="4" t="s">
        <v>2</v>
      </c>
      <c r="D133" s="5" t="s">
        <v>524</v>
      </c>
      <c r="E133" s="5" t="s">
        <v>4</v>
      </c>
      <c r="F133" s="5">
        <v>195</v>
      </c>
      <c r="G133" s="5">
        <v>93.3</v>
      </c>
      <c r="H133" s="5">
        <v>206</v>
      </c>
      <c r="I133" s="5">
        <v>88.41</v>
      </c>
      <c r="J133" s="5">
        <v>-4.8899999999999997</v>
      </c>
      <c r="K133" s="5">
        <f t="shared" si="0"/>
        <v>1.5900000000000034</v>
      </c>
      <c r="L133" s="6">
        <f t="shared" si="1"/>
        <v>0.19875000000000043</v>
      </c>
    </row>
    <row r="134" spans="1:12" s="5" customFormat="1" x14ac:dyDescent="0.25">
      <c r="A134" s="4" t="s">
        <v>8</v>
      </c>
      <c r="B134" s="4" t="s">
        <v>521</v>
      </c>
      <c r="C134" s="4" t="s">
        <v>2</v>
      </c>
      <c r="D134" s="5" t="s">
        <v>522</v>
      </c>
      <c r="E134" s="5" t="s">
        <v>4</v>
      </c>
      <c r="F134" s="5">
        <v>108</v>
      </c>
      <c r="G134" s="5">
        <v>93.1</v>
      </c>
      <c r="H134" s="5">
        <v>99</v>
      </c>
      <c r="I134" s="5">
        <v>88.39</v>
      </c>
      <c r="J134" s="5">
        <v>-4.71</v>
      </c>
      <c r="K134" s="5">
        <f t="shared" si="0"/>
        <v>1.6099999999999994</v>
      </c>
      <c r="L134" s="6">
        <f t="shared" si="1"/>
        <v>0.20124999999999993</v>
      </c>
    </row>
    <row r="135" spans="1:12" s="5" customFormat="1" x14ac:dyDescent="0.25">
      <c r="A135" s="4" t="s">
        <v>305</v>
      </c>
      <c r="B135" s="4" t="s">
        <v>464</v>
      </c>
      <c r="C135" s="4" t="s">
        <v>2</v>
      </c>
      <c r="D135" s="5" t="s">
        <v>465</v>
      </c>
      <c r="E135" s="5" t="s">
        <v>4</v>
      </c>
      <c r="F135" s="5">
        <v>42</v>
      </c>
      <c r="G135" s="5">
        <v>91.3</v>
      </c>
      <c r="H135" s="5">
        <v>53</v>
      </c>
      <c r="I135" s="5">
        <v>88.33</v>
      </c>
      <c r="J135" s="5">
        <v>-2.97</v>
      </c>
      <c r="K135" s="5">
        <f t="shared" si="0"/>
        <v>1.6700000000000017</v>
      </c>
      <c r="L135" s="6">
        <f t="shared" si="1"/>
        <v>0.20875000000000021</v>
      </c>
    </row>
    <row r="136" spans="1:12" s="5" customFormat="1" x14ac:dyDescent="0.25">
      <c r="A136" s="4" t="s">
        <v>36</v>
      </c>
      <c r="B136" s="4" t="s">
        <v>455</v>
      </c>
      <c r="C136" s="4" t="s">
        <v>2</v>
      </c>
      <c r="D136" s="5" t="s">
        <v>456</v>
      </c>
      <c r="E136" s="5" t="s">
        <v>4</v>
      </c>
      <c r="F136" s="5">
        <v>81</v>
      </c>
      <c r="G136" s="5">
        <v>91.01</v>
      </c>
      <c r="H136" s="5">
        <v>67</v>
      </c>
      <c r="I136" s="5">
        <v>88.16</v>
      </c>
      <c r="J136" s="5">
        <v>-2.85</v>
      </c>
      <c r="K136" s="5">
        <f t="shared" si="0"/>
        <v>1.8400000000000034</v>
      </c>
      <c r="L136" s="6">
        <f t="shared" si="1"/>
        <v>0.23000000000000043</v>
      </c>
    </row>
    <row r="137" spans="1:12" s="5" customFormat="1" x14ac:dyDescent="0.25">
      <c r="A137" s="4" t="s">
        <v>172</v>
      </c>
      <c r="B137" s="4" t="s">
        <v>294</v>
      </c>
      <c r="C137" s="4" t="s">
        <v>2</v>
      </c>
      <c r="D137" s="5" t="s">
        <v>295</v>
      </c>
      <c r="E137" s="5" t="s">
        <v>4</v>
      </c>
      <c r="F137" s="5">
        <v>63</v>
      </c>
      <c r="G137" s="5">
        <v>87.5</v>
      </c>
      <c r="H137" s="5">
        <v>52</v>
      </c>
      <c r="I137" s="5">
        <v>88.14</v>
      </c>
      <c r="J137" s="5">
        <v>0.64</v>
      </c>
      <c r="K137" s="5">
        <f t="shared" si="0"/>
        <v>1.8599999999999994</v>
      </c>
      <c r="L137" s="6">
        <f t="shared" si="1"/>
        <v>0.23249999999999993</v>
      </c>
    </row>
    <row r="138" spans="1:12" s="5" customFormat="1" x14ac:dyDescent="0.25">
      <c r="A138" s="4" t="s">
        <v>136</v>
      </c>
      <c r="B138" s="4" t="s">
        <v>633</v>
      </c>
      <c r="C138" s="4" t="s">
        <v>2</v>
      </c>
      <c r="D138" s="5" t="s">
        <v>634</v>
      </c>
      <c r="E138" s="5" t="s">
        <v>4</v>
      </c>
      <c r="H138" s="5">
        <v>44</v>
      </c>
      <c r="I138" s="5">
        <v>88</v>
      </c>
      <c r="K138" s="5">
        <f t="shared" si="0"/>
        <v>2</v>
      </c>
      <c r="L138" s="6">
        <f t="shared" si="1"/>
        <v>0.25</v>
      </c>
    </row>
    <row r="139" spans="1:12" s="5" customFormat="1" x14ac:dyDescent="0.25">
      <c r="A139" s="4" t="s">
        <v>85</v>
      </c>
      <c r="B139" s="4" t="s">
        <v>86</v>
      </c>
      <c r="C139" s="4" t="s">
        <v>2</v>
      </c>
      <c r="D139" s="5" t="s">
        <v>87</v>
      </c>
      <c r="E139" s="5" t="s">
        <v>4</v>
      </c>
      <c r="F139" s="5">
        <v>144</v>
      </c>
      <c r="G139" s="5">
        <v>80.900000000000006</v>
      </c>
      <c r="H139" s="5">
        <v>161</v>
      </c>
      <c r="I139" s="5">
        <v>87.98</v>
      </c>
      <c r="J139" s="5">
        <v>7.08</v>
      </c>
      <c r="K139" s="5">
        <f t="shared" si="0"/>
        <v>2.019999999999996</v>
      </c>
      <c r="L139" s="6">
        <f t="shared" si="1"/>
        <v>0.2524999999999995</v>
      </c>
    </row>
    <row r="140" spans="1:12" s="5" customFormat="1" x14ac:dyDescent="0.25">
      <c r="A140" s="4" t="s">
        <v>32</v>
      </c>
      <c r="B140" s="4" t="s">
        <v>428</v>
      </c>
      <c r="C140" s="4" t="s">
        <v>2</v>
      </c>
      <c r="D140" s="5" t="s">
        <v>429</v>
      </c>
      <c r="E140" s="5" t="s">
        <v>4</v>
      </c>
      <c r="F140" s="5">
        <v>788</v>
      </c>
      <c r="G140" s="5">
        <v>89.85</v>
      </c>
      <c r="H140" s="5">
        <v>738</v>
      </c>
      <c r="I140" s="5">
        <v>87.96</v>
      </c>
      <c r="J140" s="5">
        <v>-1.89</v>
      </c>
      <c r="K140" s="5">
        <f t="shared" si="0"/>
        <v>2.0400000000000063</v>
      </c>
      <c r="L140" s="6">
        <f t="shared" si="1"/>
        <v>0.25500000000000078</v>
      </c>
    </row>
    <row r="141" spans="1:12" s="5" customFormat="1" x14ac:dyDescent="0.25">
      <c r="A141" s="4" t="s">
        <v>71</v>
      </c>
      <c r="B141" s="4" t="s">
        <v>576</v>
      </c>
      <c r="C141" s="4" t="s">
        <v>2</v>
      </c>
      <c r="D141" s="5" t="s">
        <v>577</v>
      </c>
      <c r="E141" s="5" t="s">
        <v>4</v>
      </c>
      <c r="F141" s="5">
        <v>63</v>
      </c>
      <c r="G141" s="5">
        <v>96.92</v>
      </c>
      <c r="H141" s="5">
        <v>51</v>
      </c>
      <c r="I141" s="5">
        <v>87.93</v>
      </c>
      <c r="J141" s="5">
        <v>-8.99</v>
      </c>
      <c r="K141" s="5">
        <f t="shared" si="0"/>
        <v>2.0699999999999932</v>
      </c>
      <c r="L141" s="6">
        <f t="shared" si="1"/>
        <v>0.25874999999999915</v>
      </c>
    </row>
    <row r="142" spans="1:12" s="5" customFormat="1" x14ac:dyDescent="0.25">
      <c r="A142" s="4" t="s">
        <v>245</v>
      </c>
      <c r="B142" s="4" t="s">
        <v>487</v>
      </c>
      <c r="C142" s="4" t="s">
        <v>2</v>
      </c>
      <c r="D142" s="5" t="s">
        <v>488</v>
      </c>
      <c r="E142" s="5" t="s">
        <v>4</v>
      </c>
      <c r="F142" s="5">
        <v>62</v>
      </c>
      <c r="G142" s="5">
        <v>91.18</v>
      </c>
      <c r="H142" s="5">
        <v>57</v>
      </c>
      <c r="I142" s="5">
        <v>87.69</v>
      </c>
      <c r="J142" s="5">
        <v>-3.49</v>
      </c>
      <c r="K142" s="5">
        <f t="shared" si="0"/>
        <v>2.3100000000000023</v>
      </c>
      <c r="L142" s="6">
        <f t="shared" si="1"/>
        <v>0.28875000000000028</v>
      </c>
    </row>
    <row r="143" spans="1:12" s="5" customFormat="1" x14ac:dyDescent="0.25">
      <c r="A143" s="4" t="s">
        <v>96</v>
      </c>
      <c r="B143" s="4" t="s">
        <v>308</v>
      </c>
      <c r="C143" s="4" t="s">
        <v>2</v>
      </c>
      <c r="D143" s="5" t="s">
        <v>309</v>
      </c>
      <c r="E143" s="5" t="s">
        <v>4</v>
      </c>
      <c r="F143" s="5">
        <v>75</v>
      </c>
      <c r="G143" s="5">
        <v>87.21</v>
      </c>
      <c r="H143" s="5">
        <v>78</v>
      </c>
      <c r="I143" s="5">
        <v>87.64</v>
      </c>
      <c r="J143" s="5">
        <v>0.43</v>
      </c>
      <c r="K143" s="5">
        <f t="shared" si="0"/>
        <v>2.3599999999999994</v>
      </c>
      <c r="L143" s="6">
        <f t="shared" si="1"/>
        <v>0.29499999999999993</v>
      </c>
    </row>
    <row r="144" spans="1:12" s="5" customFormat="1" x14ac:dyDescent="0.25">
      <c r="A144" s="4" t="s">
        <v>261</v>
      </c>
      <c r="B144" s="4" t="s">
        <v>262</v>
      </c>
      <c r="C144" s="4" t="s">
        <v>2</v>
      </c>
      <c r="D144" s="5" t="s">
        <v>263</v>
      </c>
      <c r="E144" s="5" t="s">
        <v>4</v>
      </c>
      <c r="F144" s="5">
        <v>131</v>
      </c>
      <c r="G144" s="5">
        <v>86.18</v>
      </c>
      <c r="H144" s="5">
        <v>119</v>
      </c>
      <c r="I144" s="5">
        <v>87.5</v>
      </c>
      <c r="J144" s="5">
        <v>1.32</v>
      </c>
      <c r="K144" s="5">
        <f t="shared" si="0"/>
        <v>2.5</v>
      </c>
      <c r="L144" s="6">
        <f t="shared" si="1"/>
        <v>0.3125</v>
      </c>
    </row>
    <row r="145" spans="1:12" s="5" customFormat="1" x14ac:dyDescent="0.25">
      <c r="A145" s="4" t="s">
        <v>411</v>
      </c>
      <c r="B145" s="4" t="s">
        <v>412</v>
      </c>
      <c r="C145" s="4" t="s">
        <v>2</v>
      </c>
      <c r="D145" s="5" t="s">
        <v>413</v>
      </c>
      <c r="E145" s="5" t="s">
        <v>4</v>
      </c>
      <c r="F145" s="5">
        <v>86</v>
      </c>
      <c r="G145" s="5">
        <v>88.66</v>
      </c>
      <c r="H145" s="5">
        <v>76</v>
      </c>
      <c r="I145" s="5">
        <v>87.36</v>
      </c>
      <c r="J145" s="5">
        <v>-1.3</v>
      </c>
      <c r="K145" s="5">
        <f t="shared" si="0"/>
        <v>2.6400000000000006</v>
      </c>
      <c r="L145" s="6">
        <f t="shared" si="1"/>
        <v>0.33000000000000007</v>
      </c>
    </row>
    <row r="146" spans="1:12" s="5" customFormat="1" x14ac:dyDescent="0.25">
      <c r="A146" s="4" t="s">
        <v>59</v>
      </c>
      <c r="B146" s="4" t="s">
        <v>60</v>
      </c>
      <c r="C146" s="4" t="s">
        <v>36</v>
      </c>
      <c r="D146" s="5" t="s">
        <v>61</v>
      </c>
      <c r="E146" s="5" t="s">
        <v>4</v>
      </c>
      <c r="F146" s="5">
        <v>32</v>
      </c>
      <c r="G146" s="5">
        <v>78.05</v>
      </c>
      <c r="H146" s="5">
        <v>41</v>
      </c>
      <c r="I146" s="5">
        <v>87.23</v>
      </c>
      <c r="J146" s="5">
        <v>9.18</v>
      </c>
      <c r="K146" s="5">
        <f t="shared" si="0"/>
        <v>2.769999999999996</v>
      </c>
      <c r="L146" s="6">
        <f t="shared" si="1"/>
        <v>0.3462499999999995</v>
      </c>
    </row>
    <row r="147" spans="1:12" s="5" customFormat="1" x14ac:dyDescent="0.25">
      <c r="A147" s="4" t="s">
        <v>159</v>
      </c>
      <c r="B147" s="4" t="s">
        <v>195</v>
      </c>
      <c r="C147" s="4" t="s">
        <v>2</v>
      </c>
      <c r="D147" s="5" t="s">
        <v>196</v>
      </c>
      <c r="E147" s="5" t="s">
        <v>4</v>
      </c>
      <c r="F147" s="5">
        <v>202</v>
      </c>
      <c r="G147" s="5">
        <v>84.52</v>
      </c>
      <c r="H147" s="5">
        <v>197</v>
      </c>
      <c r="I147" s="5">
        <v>87.17</v>
      </c>
      <c r="J147" s="5">
        <v>2.65</v>
      </c>
      <c r="K147" s="5">
        <f t="shared" si="0"/>
        <v>2.8299999999999983</v>
      </c>
      <c r="L147" s="6">
        <f t="shared" si="1"/>
        <v>0.35374999999999979</v>
      </c>
    </row>
    <row r="148" spans="1:12" s="5" customFormat="1" x14ac:dyDescent="0.25">
      <c r="A148" s="4" t="s">
        <v>207</v>
      </c>
      <c r="B148" s="4" t="s">
        <v>392</v>
      </c>
      <c r="C148" s="4" t="s">
        <v>2</v>
      </c>
      <c r="D148" s="5" t="s">
        <v>393</v>
      </c>
      <c r="E148" s="5" t="s">
        <v>4</v>
      </c>
      <c r="F148" s="5">
        <v>268</v>
      </c>
      <c r="G148" s="5">
        <v>88.16</v>
      </c>
      <c r="H148" s="5">
        <v>251</v>
      </c>
      <c r="I148" s="5">
        <v>87.15</v>
      </c>
      <c r="J148" s="5">
        <v>-1.01</v>
      </c>
      <c r="K148" s="5">
        <f t="shared" si="0"/>
        <v>2.8499999999999943</v>
      </c>
      <c r="L148" s="6">
        <f t="shared" si="1"/>
        <v>0.35624999999999929</v>
      </c>
    </row>
    <row r="149" spans="1:12" s="5" customFormat="1" x14ac:dyDescent="0.25">
      <c r="A149" s="4" t="s">
        <v>15</v>
      </c>
      <c r="B149" s="4" t="s">
        <v>335</v>
      </c>
      <c r="C149" s="4" t="s">
        <v>2</v>
      </c>
      <c r="D149" s="5" t="s">
        <v>336</v>
      </c>
      <c r="E149" s="5" t="s">
        <v>4</v>
      </c>
      <c r="F149" s="5">
        <v>306</v>
      </c>
      <c r="G149" s="5">
        <v>87.18</v>
      </c>
      <c r="H149" s="5">
        <v>282</v>
      </c>
      <c r="I149" s="5">
        <v>87.04</v>
      </c>
      <c r="J149" s="5">
        <v>-0.14000000000000001</v>
      </c>
      <c r="K149" s="5">
        <f t="shared" si="0"/>
        <v>2.9599999999999937</v>
      </c>
      <c r="L149" s="6">
        <f t="shared" si="1"/>
        <v>0.36999999999999922</v>
      </c>
    </row>
    <row r="150" spans="1:12" s="5" customFormat="1" x14ac:dyDescent="0.25">
      <c r="A150" s="4" t="s">
        <v>210</v>
      </c>
      <c r="B150" s="4" t="s">
        <v>380</v>
      </c>
      <c r="C150" s="4" t="s">
        <v>2</v>
      </c>
      <c r="D150" s="5" t="s">
        <v>381</v>
      </c>
      <c r="E150" s="5" t="s">
        <v>4</v>
      </c>
      <c r="F150" s="5">
        <v>43</v>
      </c>
      <c r="G150" s="5">
        <v>87.76</v>
      </c>
      <c r="H150" s="5">
        <v>60</v>
      </c>
      <c r="I150" s="5">
        <v>86.96</v>
      </c>
      <c r="J150" s="5">
        <v>-0.8</v>
      </c>
      <c r="K150" s="5">
        <f t="shared" si="0"/>
        <v>3.0400000000000063</v>
      </c>
      <c r="L150" s="6">
        <f t="shared" si="1"/>
        <v>0.38000000000000078</v>
      </c>
    </row>
    <row r="151" spans="1:12" s="5" customFormat="1" x14ac:dyDescent="0.25">
      <c r="A151" s="4" t="s">
        <v>245</v>
      </c>
      <c r="B151" s="4" t="s">
        <v>246</v>
      </c>
      <c r="C151" s="4" t="s">
        <v>2</v>
      </c>
      <c r="D151" s="5" t="s">
        <v>247</v>
      </c>
      <c r="E151" s="5" t="s">
        <v>4</v>
      </c>
      <c r="F151" s="5">
        <v>87</v>
      </c>
      <c r="G151" s="5">
        <v>85.29</v>
      </c>
      <c r="H151" s="5">
        <v>59</v>
      </c>
      <c r="I151" s="5">
        <v>86.76</v>
      </c>
      <c r="J151" s="5">
        <v>1.47</v>
      </c>
      <c r="K151" s="5">
        <f t="shared" si="0"/>
        <v>3.2399999999999949</v>
      </c>
      <c r="L151" s="6">
        <f t="shared" si="1"/>
        <v>0.40499999999999936</v>
      </c>
    </row>
    <row r="152" spans="1:12" s="5" customFormat="1" x14ac:dyDescent="0.25">
      <c r="A152" s="4" t="s">
        <v>136</v>
      </c>
      <c r="B152" s="4" t="s">
        <v>137</v>
      </c>
      <c r="C152" s="4" t="s">
        <v>2</v>
      </c>
      <c r="D152" s="5" t="s">
        <v>138</v>
      </c>
      <c r="E152" s="5" t="s">
        <v>4</v>
      </c>
      <c r="F152" s="5">
        <v>137</v>
      </c>
      <c r="G152" s="5">
        <v>82.53</v>
      </c>
      <c r="H152" s="5">
        <v>143</v>
      </c>
      <c r="I152" s="5">
        <v>86.67</v>
      </c>
      <c r="J152" s="5">
        <v>4.1399999999999997</v>
      </c>
      <c r="K152" s="5">
        <f t="shared" si="0"/>
        <v>3.3299999999999983</v>
      </c>
      <c r="L152" s="6">
        <f t="shared" si="1"/>
        <v>0.41624999999999979</v>
      </c>
    </row>
    <row r="153" spans="1:12" s="5" customFormat="1" x14ac:dyDescent="0.25">
      <c r="A153" s="4" t="s">
        <v>305</v>
      </c>
      <c r="B153" s="4" t="s">
        <v>306</v>
      </c>
      <c r="C153" s="4" t="s">
        <v>2</v>
      </c>
      <c r="D153" s="5" t="s">
        <v>307</v>
      </c>
      <c r="E153" s="5" t="s">
        <v>4</v>
      </c>
      <c r="F153" s="5">
        <v>136</v>
      </c>
      <c r="G153" s="5">
        <v>86.08</v>
      </c>
      <c r="H153" s="5">
        <v>109</v>
      </c>
      <c r="I153" s="5">
        <v>86.51</v>
      </c>
      <c r="J153" s="5">
        <v>0.43</v>
      </c>
      <c r="K153" s="5">
        <f t="shared" si="0"/>
        <v>3.4899999999999949</v>
      </c>
      <c r="L153" s="6">
        <f t="shared" si="1"/>
        <v>0.43624999999999936</v>
      </c>
    </row>
    <row r="154" spans="1:12" s="5" customFormat="1" x14ac:dyDescent="0.25">
      <c r="A154" s="4" t="s">
        <v>0</v>
      </c>
      <c r="B154" s="4" t="s">
        <v>41</v>
      </c>
      <c r="C154" s="4" t="s">
        <v>36</v>
      </c>
      <c r="D154" s="5" t="s">
        <v>42</v>
      </c>
      <c r="E154" s="5" t="s">
        <v>4</v>
      </c>
      <c r="F154" s="5">
        <v>36</v>
      </c>
      <c r="G154" s="5">
        <v>75</v>
      </c>
      <c r="H154" s="5">
        <v>38</v>
      </c>
      <c r="I154" s="5">
        <v>86.36</v>
      </c>
      <c r="J154" s="5">
        <v>11.36</v>
      </c>
      <c r="K154" s="5">
        <f t="shared" si="0"/>
        <v>3.6400000000000006</v>
      </c>
      <c r="L154" s="6">
        <f t="shared" si="1"/>
        <v>0.45500000000000007</v>
      </c>
    </row>
    <row r="155" spans="1:12" s="5" customFormat="1" x14ac:dyDescent="0.25">
      <c r="A155" s="4" t="s">
        <v>26</v>
      </c>
      <c r="B155" s="4" t="s">
        <v>566</v>
      </c>
      <c r="C155" s="4" t="s">
        <v>2</v>
      </c>
      <c r="D155" s="5" t="s">
        <v>567</v>
      </c>
      <c r="E155" s="5" t="s">
        <v>4</v>
      </c>
      <c r="F155" s="5">
        <v>49</v>
      </c>
      <c r="G155" s="5">
        <v>94.23</v>
      </c>
      <c r="H155" s="5">
        <v>57</v>
      </c>
      <c r="I155" s="5">
        <v>86.36</v>
      </c>
      <c r="J155" s="5">
        <v>-7.87</v>
      </c>
      <c r="K155" s="5">
        <f t="shared" si="0"/>
        <v>3.6400000000000006</v>
      </c>
      <c r="L155" s="6">
        <f t="shared" si="1"/>
        <v>0.45500000000000007</v>
      </c>
    </row>
    <row r="156" spans="1:12" s="5" customFormat="1" x14ac:dyDescent="0.25">
      <c r="A156" s="4" t="s">
        <v>77</v>
      </c>
      <c r="B156" s="4" t="s">
        <v>593</v>
      </c>
      <c r="C156" s="4" t="s">
        <v>2</v>
      </c>
      <c r="D156" s="5" t="s">
        <v>594</v>
      </c>
      <c r="E156" s="5" t="s">
        <v>4</v>
      </c>
      <c r="F156" s="5">
        <v>101</v>
      </c>
      <c r="G156" s="5">
        <v>97.12</v>
      </c>
      <c r="H156" s="5">
        <v>81</v>
      </c>
      <c r="I156" s="5">
        <v>86.17</v>
      </c>
      <c r="J156" s="5">
        <v>-10.95</v>
      </c>
      <c r="K156" s="5">
        <f t="shared" si="0"/>
        <v>3.8299999999999983</v>
      </c>
      <c r="L156" s="6">
        <f t="shared" si="1"/>
        <v>0.47874999999999979</v>
      </c>
    </row>
    <row r="157" spans="1:12" s="5" customFormat="1" x14ac:dyDescent="0.25">
      <c r="A157" s="4" t="s">
        <v>82</v>
      </c>
      <c r="B157" s="4" t="s">
        <v>541</v>
      </c>
      <c r="C157" s="4" t="s">
        <v>2</v>
      </c>
      <c r="D157" s="5" t="s">
        <v>542</v>
      </c>
      <c r="E157" s="5" t="s">
        <v>4</v>
      </c>
      <c r="F157" s="5">
        <v>67</v>
      </c>
      <c r="G157" s="5">
        <v>91.78</v>
      </c>
      <c r="H157" s="5">
        <v>68</v>
      </c>
      <c r="I157" s="5">
        <v>86.08</v>
      </c>
      <c r="J157" s="5">
        <v>-5.7</v>
      </c>
      <c r="K157" s="5">
        <f t="shared" si="0"/>
        <v>3.9200000000000017</v>
      </c>
      <c r="L157" s="6">
        <f t="shared" si="1"/>
        <v>0.49000000000000021</v>
      </c>
    </row>
    <row r="158" spans="1:12" s="5" customFormat="1" x14ac:dyDescent="0.25">
      <c r="A158" s="4" t="s">
        <v>533</v>
      </c>
      <c r="B158" s="4" t="s">
        <v>621</v>
      </c>
      <c r="C158" s="4" t="s">
        <v>2</v>
      </c>
      <c r="D158" s="5" t="s">
        <v>622</v>
      </c>
      <c r="E158" s="5" t="s">
        <v>4</v>
      </c>
      <c r="H158" s="5">
        <v>37</v>
      </c>
      <c r="I158" s="5">
        <v>86.05</v>
      </c>
      <c r="K158" s="5">
        <f t="shared" si="0"/>
        <v>3.9500000000000028</v>
      </c>
      <c r="L158" s="6">
        <f t="shared" si="1"/>
        <v>0.49375000000000036</v>
      </c>
    </row>
    <row r="159" spans="1:12" s="5" customFormat="1" x14ac:dyDescent="0.25">
      <c r="A159" s="4" t="s">
        <v>345</v>
      </c>
      <c r="B159" s="4" t="s">
        <v>438</v>
      </c>
      <c r="C159" s="4" t="s">
        <v>2</v>
      </c>
      <c r="D159" s="5" t="s">
        <v>439</v>
      </c>
      <c r="E159" s="5" t="s">
        <v>4</v>
      </c>
      <c r="F159" s="5">
        <v>695</v>
      </c>
      <c r="G159" s="5">
        <v>88.31</v>
      </c>
      <c r="H159" s="5">
        <v>640</v>
      </c>
      <c r="I159" s="5">
        <v>86.02</v>
      </c>
      <c r="J159" s="5">
        <v>-2.29</v>
      </c>
      <c r="K159" s="5">
        <f t="shared" si="0"/>
        <v>3.980000000000004</v>
      </c>
      <c r="L159" s="6">
        <f t="shared" si="1"/>
        <v>0.4975000000000005</v>
      </c>
    </row>
    <row r="160" spans="1:12" s="5" customFormat="1" x14ac:dyDescent="0.25">
      <c r="A160" s="4" t="s">
        <v>52</v>
      </c>
      <c r="B160" s="4" t="s">
        <v>350</v>
      </c>
      <c r="C160" s="4" t="s">
        <v>2</v>
      </c>
      <c r="D160" s="5" t="s">
        <v>351</v>
      </c>
      <c r="E160" s="5" t="s">
        <v>4</v>
      </c>
      <c r="F160" s="5">
        <v>462</v>
      </c>
      <c r="G160" s="5">
        <v>86.36</v>
      </c>
      <c r="H160" s="5">
        <v>510</v>
      </c>
      <c r="I160" s="5">
        <v>86</v>
      </c>
      <c r="J160" s="5">
        <v>-0.36</v>
      </c>
      <c r="K160" s="5">
        <f t="shared" si="0"/>
        <v>4</v>
      </c>
      <c r="L160" s="6">
        <f t="shared" si="1"/>
        <v>0.5</v>
      </c>
    </row>
    <row r="161" spans="1:12" s="5" customFormat="1" x14ac:dyDescent="0.25">
      <c r="A161" s="4" t="s">
        <v>15</v>
      </c>
      <c r="B161" s="4" t="s">
        <v>170</v>
      </c>
      <c r="C161" s="4" t="s">
        <v>2</v>
      </c>
      <c r="D161" s="5" t="s">
        <v>171</v>
      </c>
      <c r="E161" s="5" t="s">
        <v>4</v>
      </c>
      <c r="F161" s="5">
        <v>239</v>
      </c>
      <c r="G161" s="5">
        <v>82.99</v>
      </c>
      <c r="H161" s="5">
        <v>221</v>
      </c>
      <c r="I161" s="5">
        <v>85.99</v>
      </c>
      <c r="J161" s="5">
        <v>3</v>
      </c>
      <c r="K161" s="5">
        <f t="shared" si="0"/>
        <v>4.0100000000000051</v>
      </c>
      <c r="L161" s="6">
        <f t="shared" si="1"/>
        <v>0.50125000000000064</v>
      </c>
    </row>
    <row r="162" spans="1:12" s="5" customFormat="1" x14ac:dyDescent="0.25">
      <c r="A162" s="4" t="s">
        <v>52</v>
      </c>
      <c r="B162" s="4" t="s">
        <v>329</v>
      </c>
      <c r="C162" s="4" t="s">
        <v>2</v>
      </c>
      <c r="D162" s="5" t="s">
        <v>330</v>
      </c>
      <c r="E162" s="5" t="s">
        <v>4</v>
      </c>
      <c r="F162" s="5">
        <v>372</v>
      </c>
      <c r="G162" s="5">
        <v>85.91</v>
      </c>
      <c r="H162" s="5">
        <v>440</v>
      </c>
      <c r="I162" s="5">
        <v>85.94</v>
      </c>
      <c r="J162" s="5">
        <v>0.03</v>
      </c>
      <c r="K162" s="5">
        <f t="shared" si="0"/>
        <v>4.0600000000000023</v>
      </c>
      <c r="L162" s="6">
        <f t="shared" si="1"/>
        <v>0.50750000000000028</v>
      </c>
    </row>
    <row r="163" spans="1:12" s="5" customFormat="1" x14ac:dyDescent="0.25">
      <c r="A163" s="4" t="s">
        <v>213</v>
      </c>
      <c r="B163" s="4" t="s">
        <v>460</v>
      </c>
      <c r="C163" s="4" t="s">
        <v>2</v>
      </c>
      <c r="D163" s="5" t="s">
        <v>461</v>
      </c>
      <c r="E163" s="5" t="s">
        <v>4</v>
      </c>
      <c r="F163" s="5">
        <v>108</v>
      </c>
      <c r="G163" s="5">
        <v>88.52</v>
      </c>
      <c r="H163" s="5">
        <v>101</v>
      </c>
      <c r="I163" s="5">
        <v>85.59</v>
      </c>
      <c r="J163" s="5">
        <v>-2.93</v>
      </c>
      <c r="K163" s="5">
        <f t="shared" si="0"/>
        <v>4.4099999999999966</v>
      </c>
      <c r="L163" s="6">
        <f t="shared" si="1"/>
        <v>0.55124999999999957</v>
      </c>
    </row>
    <row r="164" spans="1:12" s="5" customFormat="1" x14ac:dyDescent="0.25">
      <c r="A164" s="4" t="s">
        <v>466</v>
      </c>
      <c r="B164" s="4" t="s">
        <v>467</v>
      </c>
      <c r="C164" s="4" t="s">
        <v>2</v>
      </c>
      <c r="D164" s="5" t="s">
        <v>468</v>
      </c>
      <c r="E164" s="5" t="s">
        <v>4</v>
      </c>
      <c r="F164" s="5">
        <v>100</v>
      </c>
      <c r="G164" s="5">
        <v>88.5</v>
      </c>
      <c r="H164" s="5">
        <v>130</v>
      </c>
      <c r="I164" s="5">
        <v>85.53</v>
      </c>
      <c r="J164" s="5">
        <v>-2.97</v>
      </c>
      <c r="K164" s="5">
        <f t="shared" si="0"/>
        <v>4.4699999999999989</v>
      </c>
      <c r="L164" s="6">
        <f t="shared" si="1"/>
        <v>0.55874999999999986</v>
      </c>
    </row>
    <row r="165" spans="1:12" s="5" customFormat="1" x14ac:dyDescent="0.25">
      <c r="A165" s="4" t="s">
        <v>228</v>
      </c>
      <c r="B165" s="4" t="s">
        <v>551</v>
      </c>
      <c r="C165" s="4" t="s">
        <v>2</v>
      </c>
      <c r="D165" s="5" t="s">
        <v>552</v>
      </c>
      <c r="E165" s="5" t="s">
        <v>4</v>
      </c>
      <c r="F165" s="5">
        <v>69</v>
      </c>
      <c r="G165" s="5">
        <v>92</v>
      </c>
      <c r="H165" s="5">
        <v>59</v>
      </c>
      <c r="I165" s="5">
        <v>85.51</v>
      </c>
      <c r="J165" s="5">
        <v>-6.49</v>
      </c>
      <c r="K165" s="5">
        <f t="shared" si="0"/>
        <v>4.4899999999999949</v>
      </c>
      <c r="L165" s="6">
        <f t="shared" si="1"/>
        <v>0.56124999999999936</v>
      </c>
    </row>
    <row r="166" spans="1:12" s="5" customFormat="1" x14ac:dyDescent="0.25">
      <c r="A166" s="4" t="s">
        <v>597</v>
      </c>
      <c r="B166" s="4" t="s">
        <v>598</v>
      </c>
      <c r="C166" s="4" t="s">
        <v>2</v>
      </c>
      <c r="D166" s="5" t="s">
        <v>599</v>
      </c>
      <c r="E166" s="5" t="s">
        <v>4</v>
      </c>
      <c r="F166" s="5">
        <v>57</v>
      </c>
      <c r="G166" s="5">
        <v>96.61</v>
      </c>
      <c r="H166" s="5">
        <v>52</v>
      </c>
      <c r="I166" s="5">
        <v>85.25</v>
      </c>
      <c r="J166" s="5">
        <v>-11.36</v>
      </c>
      <c r="K166" s="5">
        <f t="shared" si="0"/>
        <v>4.75</v>
      </c>
      <c r="L166" s="6">
        <f t="shared" si="1"/>
        <v>0.59375</v>
      </c>
    </row>
    <row r="167" spans="1:12" s="5" customFormat="1" x14ac:dyDescent="0.25">
      <c r="A167" s="4" t="s">
        <v>345</v>
      </c>
      <c r="B167" s="4" t="s">
        <v>440</v>
      </c>
      <c r="C167" s="4" t="s">
        <v>2</v>
      </c>
      <c r="D167" s="5" t="s">
        <v>441</v>
      </c>
      <c r="E167" s="5" t="s">
        <v>4</v>
      </c>
      <c r="F167" s="5">
        <v>468</v>
      </c>
      <c r="G167" s="5">
        <v>87.31</v>
      </c>
      <c r="H167" s="5">
        <v>459</v>
      </c>
      <c r="I167" s="5">
        <v>85</v>
      </c>
      <c r="J167" s="5">
        <v>-2.31</v>
      </c>
      <c r="K167" s="5">
        <f t="shared" si="0"/>
        <v>5</v>
      </c>
      <c r="L167" s="6">
        <f t="shared" si="1"/>
        <v>0.625</v>
      </c>
    </row>
    <row r="168" spans="1:12" s="5" customFormat="1" x14ac:dyDescent="0.25">
      <c r="A168" s="4" t="s">
        <v>59</v>
      </c>
      <c r="B168" s="4" t="s">
        <v>639</v>
      </c>
      <c r="C168" s="4" t="s">
        <v>36</v>
      </c>
      <c r="D168" s="5" t="s">
        <v>640</v>
      </c>
      <c r="E168" s="5" t="s">
        <v>4</v>
      </c>
      <c r="H168" s="5">
        <v>34</v>
      </c>
      <c r="I168" s="5">
        <v>85</v>
      </c>
      <c r="K168" s="5">
        <f t="shared" si="0"/>
        <v>5</v>
      </c>
      <c r="L168" s="6">
        <f t="shared" si="1"/>
        <v>0.625</v>
      </c>
    </row>
    <row r="169" spans="1:12" s="5" customFormat="1" x14ac:dyDescent="0.25">
      <c r="A169" s="4" t="s">
        <v>32</v>
      </c>
      <c r="B169" s="4" t="s">
        <v>549</v>
      </c>
      <c r="C169" s="4" t="s">
        <v>2</v>
      </c>
      <c r="D169" s="5" t="s">
        <v>550</v>
      </c>
      <c r="E169" s="5" t="s">
        <v>4</v>
      </c>
      <c r="F169" s="5">
        <v>148</v>
      </c>
      <c r="G169" s="5">
        <v>91.36</v>
      </c>
      <c r="H169" s="5">
        <v>152</v>
      </c>
      <c r="I169" s="5">
        <v>84.92</v>
      </c>
      <c r="J169" s="5">
        <v>-6.44</v>
      </c>
      <c r="K169" s="5">
        <f t="shared" si="0"/>
        <v>5.0799999999999983</v>
      </c>
      <c r="L169" s="6">
        <f t="shared" si="1"/>
        <v>0.63499999999999979</v>
      </c>
    </row>
    <row r="170" spans="1:12" s="5" customFormat="1" x14ac:dyDescent="0.25">
      <c r="A170" s="4" t="s">
        <v>32</v>
      </c>
      <c r="B170" s="4" t="s">
        <v>398</v>
      </c>
      <c r="C170" s="4" t="s">
        <v>2</v>
      </c>
      <c r="D170" s="5" t="s">
        <v>399</v>
      </c>
      <c r="E170" s="5" t="s">
        <v>4</v>
      </c>
      <c r="F170" s="5">
        <v>736</v>
      </c>
      <c r="G170" s="5">
        <v>85.38</v>
      </c>
      <c r="H170" s="5">
        <v>662</v>
      </c>
      <c r="I170" s="5">
        <v>84.33</v>
      </c>
      <c r="J170" s="5">
        <v>-1.05</v>
      </c>
      <c r="K170" s="5">
        <f t="shared" ref="K170:K233" si="2">90-I170</f>
        <v>5.6700000000000017</v>
      </c>
      <c r="L170" s="6">
        <f t="shared" ref="L170:L233" si="3">K170/8</f>
        <v>0.70875000000000021</v>
      </c>
    </row>
    <row r="171" spans="1:12" s="5" customFormat="1" x14ac:dyDescent="0.25">
      <c r="A171" s="4" t="s">
        <v>96</v>
      </c>
      <c r="B171" s="4" t="s">
        <v>146</v>
      </c>
      <c r="C171" s="4" t="s">
        <v>2</v>
      </c>
      <c r="D171" s="5" t="s">
        <v>147</v>
      </c>
      <c r="E171" s="5" t="s">
        <v>4</v>
      </c>
      <c r="F171" s="5">
        <v>167</v>
      </c>
      <c r="G171" s="5">
        <v>80.290000000000006</v>
      </c>
      <c r="H171" s="5">
        <v>165</v>
      </c>
      <c r="I171" s="5">
        <v>84.18</v>
      </c>
      <c r="J171" s="5">
        <v>3.89</v>
      </c>
      <c r="K171" s="5">
        <f t="shared" si="2"/>
        <v>5.8199999999999932</v>
      </c>
      <c r="L171" s="6">
        <f t="shared" si="3"/>
        <v>0.72749999999999915</v>
      </c>
    </row>
    <row r="172" spans="1:12" s="5" customFormat="1" x14ac:dyDescent="0.25">
      <c r="A172" s="4" t="s">
        <v>210</v>
      </c>
      <c r="B172" s="4" t="s">
        <v>211</v>
      </c>
      <c r="C172" s="4" t="s">
        <v>2</v>
      </c>
      <c r="D172" s="5" t="s">
        <v>212</v>
      </c>
      <c r="E172" s="5" t="s">
        <v>4</v>
      </c>
      <c r="F172" s="5">
        <v>203</v>
      </c>
      <c r="G172" s="5">
        <v>81.849999999999994</v>
      </c>
      <c r="H172" s="5">
        <v>211</v>
      </c>
      <c r="I172" s="5">
        <v>84.06</v>
      </c>
      <c r="J172" s="5">
        <v>2.21</v>
      </c>
      <c r="K172" s="5">
        <f t="shared" si="2"/>
        <v>5.9399999999999977</v>
      </c>
      <c r="L172" s="6">
        <f t="shared" si="3"/>
        <v>0.74249999999999972</v>
      </c>
    </row>
    <row r="173" spans="1:12" s="5" customFormat="1" x14ac:dyDescent="0.25">
      <c r="A173" s="4" t="s">
        <v>26</v>
      </c>
      <c r="B173" s="4" t="s">
        <v>362</v>
      </c>
      <c r="C173" s="4" t="s">
        <v>2</v>
      </c>
      <c r="D173" s="5" t="s">
        <v>363</v>
      </c>
      <c r="E173" s="5" t="s">
        <v>4</v>
      </c>
      <c r="F173" s="5">
        <v>366</v>
      </c>
      <c r="G173" s="5">
        <v>84.33</v>
      </c>
      <c r="H173" s="5">
        <v>340</v>
      </c>
      <c r="I173" s="5">
        <v>83.95</v>
      </c>
      <c r="J173" s="5">
        <v>-0.38</v>
      </c>
      <c r="K173" s="5">
        <f t="shared" si="2"/>
        <v>6.0499999999999972</v>
      </c>
      <c r="L173" s="6">
        <f t="shared" si="3"/>
        <v>0.75624999999999964</v>
      </c>
    </row>
    <row r="174" spans="1:12" s="5" customFormat="1" x14ac:dyDescent="0.25">
      <c r="A174" s="4" t="s">
        <v>32</v>
      </c>
      <c r="B174" s="4" t="s">
        <v>33</v>
      </c>
      <c r="C174" s="4" t="s">
        <v>2</v>
      </c>
      <c r="D174" s="5" t="s">
        <v>34</v>
      </c>
      <c r="E174" s="5" t="s">
        <v>4</v>
      </c>
      <c r="F174" s="5">
        <v>234</v>
      </c>
      <c r="G174" s="5">
        <v>71.34</v>
      </c>
      <c r="H174" s="5">
        <v>277</v>
      </c>
      <c r="I174" s="5">
        <v>83.94</v>
      </c>
      <c r="J174" s="5">
        <v>12.6</v>
      </c>
      <c r="K174" s="5">
        <f t="shared" si="2"/>
        <v>6.0600000000000023</v>
      </c>
      <c r="L174" s="6">
        <f t="shared" si="3"/>
        <v>0.75750000000000028</v>
      </c>
    </row>
    <row r="175" spans="1:12" s="5" customFormat="1" x14ac:dyDescent="0.25">
      <c r="A175" s="4" t="s">
        <v>32</v>
      </c>
      <c r="B175" s="4" t="s">
        <v>469</v>
      </c>
      <c r="C175" s="4" t="s">
        <v>36</v>
      </c>
      <c r="D175" s="5" t="s">
        <v>470</v>
      </c>
      <c r="E175" s="5" t="s">
        <v>4</v>
      </c>
      <c r="F175" s="5">
        <v>60</v>
      </c>
      <c r="G175" s="5">
        <v>86.96</v>
      </c>
      <c r="H175" s="5">
        <v>52</v>
      </c>
      <c r="I175" s="5">
        <v>83.87</v>
      </c>
      <c r="J175" s="5">
        <v>-3.09</v>
      </c>
      <c r="K175" s="5">
        <f t="shared" si="2"/>
        <v>6.1299999999999955</v>
      </c>
      <c r="L175" s="6">
        <f t="shared" si="3"/>
        <v>0.76624999999999943</v>
      </c>
    </row>
    <row r="176" spans="1:12" s="5" customFormat="1" x14ac:dyDescent="0.25">
      <c r="A176" s="4" t="s">
        <v>287</v>
      </c>
      <c r="B176" s="4" t="s">
        <v>424</v>
      </c>
      <c r="C176" s="4" t="s">
        <v>2</v>
      </c>
      <c r="D176" s="5" t="s">
        <v>425</v>
      </c>
      <c r="E176" s="5" t="s">
        <v>4</v>
      </c>
      <c r="F176" s="5">
        <v>130</v>
      </c>
      <c r="G176" s="5">
        <v>85.53</v>
      </c>
      <c r="H176" s="5">
        <v>114</v>
      </c>
      <c r="I176" s="5">
        <v>83.82</v>
      </c>
      <c r="J176" s="5">
        <v>-1.71</v>
      </c>
      <c r="K176" s="5">
        <f t="shared" si="2"/>
        <v>6.1800000000000068</v>
      </c>
      <c r="L176" s="6">
        <f t="shared" si="3"/>
        <v>0.77250000000000085</v>
      </c>
    </row>
    <row r="177" spans="1:12" s="5" customFormat="1" x14ac:dyDescent="0.25">
      <c r="A177" s="4" t="s">
        <v>29</v>
      </c>
      <c r="B177" s="4" t="s">
        <v>430</v>
      </c>
      <c r="C177" s="4" t="s">
        <v>2</v>
      </c>
      <c r="D177" s="5" t="s">
        <v>431</v>
      </c>
      <c r="E177" s="5" t="s">
        <v>4</v>
      </c>
      <c r="F177" s="5">
        <v>48</v>
      </c>
      <c r="G177" s="5">
        <v>85.71</v>
      </c>
      <c r="H177" s="5">
        <v>36</v>
      </c>
      <c r="I177" s="5">
        <v>83.72</v>
      </c>
      <c r="J177" s="5">
        <v>-1.99</v>
      </c>
      <c r="K177" s="5">
        <f t="shared" si="2"/>
        <v>6.2800000000000011</v>
      </c>
      <c r="L177" s="6">
        <f t="shared" si="3"/>
        <v>0.78500000000000014</v>
      </c>
    </row>
    <row r="178" spans="1:12" s="5" customFormat="1" x14ac:dyDescent="0.25">
      <c r="A178" s="4" t="s">
        <v>228</v>
      </c>
      <c r="B178" s="4" t="s">
        <v>325</v>
      </c>
      <c r="C178" s="4" t="s">
        <v>2</v>
      </c>
      <c r="D178" s="5" t="s">
        <v>326</v>
      </c>
      <c r="E178" s="5" t="s">
        <v>4</v>
      </c>
      <c r="F178" s="5">
        <v>122</v>
      </c>
      <c r="G178" s="5">
        <v>83.56</v>
      </c>
      <c r="H178" s="5">
        <v>113</v>
      </c>
      <c r="I178" s="5">
        <v>83.7</v>
      </c>
      <c r="J178" s="5">
        <v>0.14000000000000001</v>
      </c>
      <c r="K178" s="5">
        <f t="shared" si="2"/>
        <v>6.2999999999999972</v>
      </c>
      <c r="L178" s="6">
        <f t="shared" si="3"/>
        <v>0.78749999999999964</v>
      </c>
    </row>
    <row r="179" spans="1:12" s="5" customFormat="1" x14ac:dyDescent="0.25">
      <c r="A179" s="4" t="s">
        <v>162</v>
      </c>
      <c r="B179" s="4" t="s">
        <v>587</v>
      </c>
      <c r="C179" s="4" t="s">
        <v>2</v>
      </c>
      <c r="D179" s="5" t="s">
        <v>588</v>
      </c>
      <c r="E179" s="5" t="s">
        <v>4</v>
      </c>
      <c r="F179" s="5">
        <v>43</v>
      </c>
      <c r="G179" s="5">
        <v>93.48</v>
      </c>
      <c r="H179" s="5">
        <v>41</v>
      </c>
      <c r="I179" s="5">
        <v>83.67</v>
      </c>
      <c r="J179" s="5">
        <v>-9.81</v>
      </c>
      <c r="K179" s="5">
        <f t="shared" si="2"/>
        <v>6.3299999999999983</v>
      </c>
      <c r="L179" s="6">
        <f t="shared" si="3"/>
        <v>0.79124999999999979</v>
      </c>
    </row>
    <row r="180" spans="1:12" s="5" customFormat="1" x14ac:dyDescent="0.25">
      <c r="A180" s="4" t="s">
        <v>150</v>
      </c>
      <c r="B180" s="4" t="s">
        <v>527</v>
      </c>
      <c r="C180" s="4" t="s">
        <v>2</v>
      </c>
      <c r="D180" s="5" t="s">
        <v>528</v>
      </c>
      <c r="E180" s="5" t="s">
        <v>4</v>
      </c>
      <c r="F180" s="5">
        <v>97</v>
      </c>
      <c r="G180" s="5">
        <v>88.18</v>
      </c>
      <c r="H180" s="5">
        <v>74</v>
      </c>
      <c r="I180" s="5">
        <v>83.15</v>
      </c>
      <c r="J180" s="5">
        <v>-5.03</v>
      </c>
      <c r="K180" s="5">
        <f t="shared" si="2"/>
        <v>6.8499999999999943</v>
      </c>
      <c r="L180" s="6">
        <f t="shared" si="3"/>
        <v>0.85624999999999929</v>
      </c>
    </row>
    <row r="181" spans="1:12" s="5" customFormat="1" x14ac:dyDescent="0.25">
      <c r="A181" s="4" t="s">
        <v>36</v>
      </c>
      <c r="B181" s="4" t="s">
        <v>199</v>
      </c>
      <c r="C181" s="4" t="s">
        <v>2</v>
      </c>
      <c r="D181" s="5" t="s">
        <v>200</v>
      </c>
      <c r="E181" s="5" t="s">
        <v>4</v>
      </c>
      <c r="F181" s="5">
        <v>450</v>
      </c>
      <c r="G181" s="5">
        <v>80.650000000000006</v>
      </c>
      <c r="H181" s="5">
        <v>448</v>
      </c>
      <c r="I181" s="5">
        <v>83.12</v>
      </c>
      <c r="J181" s="5">
        <v>2.4700000000000002</v>
      </c>
      <c r="K181" s="5">
        <f t="shared" si="2"/>
        <v>6.8799999999999955</v>
      </c>
      <c r="L181" s="6">
        <f t="shared" si="3"/>
        <v>0.85999999999999943</v>
      </c>
    </row>
    <row r="182" spans="1:12" s="5" customFormat="1" x14ac:dyDescent="0.25">
      <c r="A182" s="4" t="s">
        <v>274</v>
      </c>
      <c r="B182" s="4" t="s">
        <v>275</v>
      </c>
      <c r="C182" s="4" t="s">
        <v>2</v>
      </c>
      <c r="D182" s="5" t="s">
        <v>276</v>
      </c>
      <c r="E182" s="5" t="s">
        <v>4</v>
      </c>
      <c r="F182" s="5">
        <v>40</v>
      </c>
      <c r="G182" s="5">
        <v>81.63</v>
      </c>
      <c r="H182" s="5">
        <v>43</v>
      </c>
      <c r="I182" s="5">
        <v>82.69</v>
      </c>
      <c r="J182" s="5">
        <v>1.06</v>
      </c>
      <c r="K182" s="5">
        <f t="shared" si="2"/>
        <v>7.3100000000000023</v>
      </c>
      <c r="L182" s="6">
        <f t="shared" si="3"/>
        <v>0.91375000000000028</v>
      </c>
    </row>
    <row r="183" spans="1:12" s="5" customFormat="1" x14ac:dyDescent="0.25">
      <c r="A183" s="4" t="s">
        <v>38</v>
      </c>
      <c r="B183" s="4" t="s">
        <v>448</v>
      </c>
      <c r="C183" s="4" t="s">
        <v>2</v>
      </c>
      <c r="D183" s="5" t="s">
        <v>449</v>
      </c>
      <c r="E183" s="5" t="s">
        <v>4</v>
      </c>
      <c r="F183" s="5">
        <v>119</v>
      </c>
      <c r="G183" s="5">
        <v>84.4</v>
      </c>
      <c r="H183" s="5">
        <v>118</v>
      </c>
      <c r="I183" s="5">
        <v>81.94</v>
      </c>
      <c r="J183" s="5">
        <v>-2.46</v>
      </c>
      <c r="K183" s="5">
        <f t="shared" si="2"/>
        <v>8.0600000000000023</v>
      </c>
      <c r="L183" s="6">
        <f t="shared" si="3"/>
        <v>1.0075000000000003</v>
      </c>
    </row>
    <row r="184" spans="1:12" s="5" customFormat="1" x14ac:dyDescent="0.25">
      <c r="A184" s="4" t="s">
        <v>213</v>
      </c>
      <c r="B184" s="4" t="s">
        <v>214</v>
      </c>
      <c r="C184" s="4" t="s">
        <v>2</v>
      </c>
      <c r="D184" s="5" t="s">
        <v>215</v>
      </c>
      <c r="E184" s="5" t="s">
        <v>4</v>
      </c>
      <c r="F184" s="5">
        <v>1003</v>
      </c>
      <c r="G184" s="5">
        <v>79.23</v>
      </c>
      <c r="H184" s="5">
        <v>1024</v>
      </c>
      <c r="I184" s="5">
        <v>81.400000000000006</v>
      </c>
      <c r="J184" s="5">
        <v>2.17</v>
      </c>
      <c r="K184" s="5">
        <f t="shared" si="2"/>
        <v>8.5999999999999943</v>
      </c>
      <c r="L184" s="6">
        <f t="shared" si="3"/>
        <v>1.0749999999999993</v>
      </c>
    </row>
    <row r="185" spans="1:12" s="5" customFormat="1" x14ac:dyDescent="0.25">
      <c r="A185" s="4" t="s">
        <v>32</v>
      </c>
      <c r="B185" s="4" t="s">
        <v>35</v>
      </c>
      <c r="C185" s="4" t="s">
        <v>36</v>
      </c>
      <c r="D185" s="5" t="s">
        <v>37</v>
      </c>
      <c r="E185" s="5" t="s">
        <v>4</v>
      </c>
      <c r="F185" s="5">
        <v>47</v>
      </c>
      <c r="G185" s="5">
        <v>69.12</v>
      </c>
      <c r="H185" s="5">
        <v>61</v>
      </c>
      <c r="I185" s="5">
        <v>81.33</v>
      </c>
      <c r="J185" s="5">
        <v>12.21</v>
      </c>
      <c r="K185" s="5">
        <f t="shared" si="2"/>
        <v>8.6700000000000017</v>
      </c>
      <c r="L185" s="6">
        <f t="shared" si="3"/>
        <v>1.0837500000000002</v>
      </c>
    </row>
    <row r="186" spans="1:12" s="5" customFormat="1" x14ac:dyDescent="0.25">
      <c r="A186" s="4" t="s">
        <v>489</v>
      </c>
      <c r="B186" s="4" t="s">
        <v>490</v>
      </c>
      <c r="C186" s="4" t="s">
        <v>2</v>
      </c>
      <c r="D186" s="5" t="s">
        <v>491</v>
      </c>
      <c r="E186" s="5" t="s">
        <v>4</v>
      </c>
      <c r="F186" s="5">
        <v>109</v>
      </c>
      <c r="G186" s="5">
        <v>84.5</v>
      </c>
      <c r="H186" s="5">
        <v>81</v>
      </c>
      <c r="I186" s="5">
        <v>81</v>
      </c>
      <c r="J186" s="5">
        <v>-3.5</v>
      </c>
      <c r="K186" s="5">
        <f t="shared" si="2"/>
        <v>9</v>
      </c>
      <c r="L186" s="6">
        <f t="shared" si="3"/>
        <v>1.125</v>
      </c>
    </row>
    <row r="187" spans="1:12" s="5" customFormat="1" x14ac:dyDescent="0.25">
      <c r="A187" s="4" t="s">
        <v>32</v>
      </c>
      <c r="B187" s="4" t="s">
        <v>436</v>
      </c>
      <c r="C187" s="4" t="s">
        <v>2</v>
      </c>
      <c r="D187" s="5" t="s">
        <v>437</v>
      </c>
      <c r="E187" s="5" t="s">
        <v>4</v>
      </c>
      <c r="F187" s="5">
        <v>489</v>
      </c>
      <c r="G187" s="5">
        <v>83.02</v>
      </c>
      <c r="H187" s="5">
        <v>459</v>
      </c>
      <c r="I187" s="5">
        <v>80.95</v>
      </c>
      <c r="J187" s="5">
        <v>-2.0699999999999998</v>
      </c>
      <c r="K187" s="5">
        <f t="shared" si="2"/>
        <v>9.0499999999999972</v>
      </c>
      <c r="L187" s="6">
        <f t="shared" si="3"/>
        <v>1.1312499999999996</v>
      </c>
    </row>
    <row r="188" spans="1:12" s="5" customFormat="1" x14ac:dyDescent="0.25">
      <c r="A188" s="4" t="s">
        <v>287</v>
      </c>
      <c r="B188" s="4" t="s">
        <v>629</v>
      </c>
      <c r="C188" s="4" t="s">
        <v>2</v>
      </c>
      <c r="D188" s="5" t="s">
        <v>630</v>
      </c>
      <c r="E188" s="5" t="s">
        <v>4</v>
      </c>
      <c r="H188" s="5">
        <v>34</v>
      </c>
      <c r="I188" s="5">
        <v>80.95</v>
      </c>
      <c r="K188" s="5">
        <f t="shared" si="2"/>
        <v>9.0499999999999972</v>
      </c>
      <c r="L188" s="6">
        <f t="shared" si="3"/>
        <v>1.1312499999999996</v>
      </c>
    </row>
    <row r="189" spans="1:12" s="5" customFormat="1" x14ac:dyDescent="0.25">
      <c r="A189" s="4" t="s">
        <v>105</v>
      </c>
      <c r="B189" s="4" t="s">
        <v>378</v>
      </c>
      <c r="C189" s="4" t="s">
        <v>2</v>
      </c>
      <c r="D189" s="5" t="s">
        <v>379</v>
      </c>
      <c r="E189" s="5" t="s">
        <v>4</v>
      </c>
      <c r="F189" s="5">
        <v>177</v>
      </c>
      <c r="G189" s="5">
        <v>81.569999999999993</v>
      </c>
      <c r="H189" s="5">
        <v>165</v>
      </c>
      <c r="I189" s="5">
        <v>80.88</v>
      </c>
      <c r="J189" s="5">
        <v>-0.69</v>
      </c>
      <c r="K189" s="5">
        <f t="shared" si="2"/>
        <v>9.1200000000000045</v>
      </c>
      <c r="L189" s="6">
        <f t="shared" si="3"/>
        <v>1.1400000000000006</v>
      </c>
    </row>
    <row r="190" spans="1:12" s="5" customFormat="1" x14ac:dyDescent="0.25">
      <c r="A190" s="4" t="s">
        <v>32</v>
      </c>
      <c r="B190" s="4" t="s">
        <v>371</v>
      </c>
      <c r="C190" s="4" t="s">
        <v>2</v>
      </c>
      <c r="D190" s="5" t="s">
        <v>372</v>
      </c>
      <c r="E190" s="5" t="s">
        <v>4</v>
      </c>
      <c r="F190" s="5">
        <v>1271</v>
      </c>
      <c r="G190" s="5">
        <v>81.37</v>
      </c>
      <c r="H190" s="5">
        <v>1288</v>
      </c>
      <c r="I190" s="5">
        <v>80.849999999999994</v>
      </c>
      <c r="J190" s="5">
        <v>-0.52</v>
      </c>
      <c r="K190" s="5">
        <f t="shared" si="2"/>
        <v>9.1500000000000057</v>
      </c>
      <c r="L190" s="6">
        <f t="shared" si="3"/>
        <v>1.1437500000000007</v>
      </c>
    </row>
    <row r="191" spans="1:12" s="5" customFormat="1" x14ac:dyDescent="0.25">
      <c r="A191" s="4" t="s">
        <v>533</v>
      </c>
      <c r="B191" s="4" t="s">
        <v>534</v>
      </c>
      <c r="C191" s="4" t="s">
        <v>2</v>
      </c>
      <c r="D191" s="5" t="s">
        <v>535</v>
      </c>
      <c r="E191" s="5" t="s">
        <v>4</v>
      </c>
      <c r="F191" s="5">
        <v>105</v>
      </c>
      <c r="G191" s="5">
        <v>86.07</v>
      </c>
      <c r="H191" s="5">
        <v>80</v>
      </c>
      <c r="I191" s="5">
        <v>80.81</v>
      </c>
      <c r="J191" s="5">
        <v>-5.26</v>
      </c>
      <c r="K191" s="5">
        <f t="shared" si="2"/>
        <v>9.1899999999999977</v>
      </c>
      <c r="L191" s="6">
        <f t="shared" si="3"/>
        <v>1.1487499999999997</v>
      </c>
    </row>
    <row r="192" spans="1:12" s="5" customFormat="1" x14ac:dyDescent="0.25">
      <c r="A192" s="4" t="s">
        <v>121</v>
      </c>
      <c r="B192" s="4" t="s">
        <v>272</v>
      </c>
      <c r="C192" s="4" t="s">
        <v>2</v>
      </c>
      <c r="D192" s="5" t="s">
        <v>273</v>
      </c>
      <c r="E192" s="5" t="s">
        <v>4</v>
      </c>
      <c r="F192" s="5">
        <v>205</v>
      </c>
      <c r="G192" s="5">
        <v>79.459999999999994</v>
      </c>
      <c r="H192" s="5">
        <v>199</v>
      </c>
      <c r="I192" s="5">
        <v>80.569999999999993</v>
      </c>
      <c r="J192" s="5">
        <v>1.1100000000000001</v>
      </c>
      <c r="K192" s="5">
        <f t="shared" si="2"/>
        <v>9.4300000000000068</v>
      </c>
      <c r="L192" s="6">
        <f t="shared" si="3"/>
        <v>1.1787500000000009</v>
      </c>
    </row>
    <row r="193" spans="1:12" s="5" customFormat="1" x14ac:dyDescent="0.25">
      <c r="A193" s="4" t="s">
        <v>32</v>
      </c>
      <c r="B193" s="4" t="s">
        <v>498</v>
      </c>
      <c r="C193" s="4" t="s">
        <v>2</v>
      </c>
      <c r="D193" s="5" t="s">
        <v>499</v>
      </c>
      <c r="E193" s="5" t="s">
        <v>4</v>
      </c>
      <c r="F193" s="5">
        <v>656</v>
      </c>
      <c r="G193" s="5">
        <v>84.21</v>
      </c>
      <c r="H193" s="5">
        <v>655</v>
      </c>
      <c r="I193" s="5">
        <v>80.569999999999993</v>
      </c>
      <c r="J193" s="5">
        <v>-3.64</v>
      </c>
      <c r="K193" s="5">
        <f t="shared" si="2"/>
        <v>9.4300000000000068</v>
      </c>
      <c r="L193" s="6">
        <f t="shared" si="3"/>
        <v>1.1787500000000009</v>
      </c>
    </row>
    <row r="194" spans="1:12" s="5" customFormat="1" x14ac:dyDescent="0.25">
      <c r="A194" s="4" t="s">
        <v>88</v>
      </c>
      <c r="B194" s="4" t="s">
        <v>386</v>
      </c>
      <c r="C194" s="4" t="s">
        <v>2</v>
      </c>
      <c r="D194" s="5" t="s">
        <v>387</v>
      </c>
      <c r="E194" s="5" t="s">
        <v>4</v>
      </c>
      <c r="F194" s="5">
        <v>278</v>
      </c>
      <c r="G194" s="5">
        <v>81.290000000000006</v>
      </c>
      <c r="H194" s="5">
        <v>255</v>
      </c>
      <c r="I194" s="5">
        <v>80.44</v>
      </c>
      <c r="J194" s="5">
        <v>-0.85</v>
      </c>
      <c r="K194" s="5">
        <f t="shared" si="2"/>
        <v>9.5600000000000023</v>
      </c>
      <c r="L194" s="6">
        <f t="shared" si="3"/>
        <v>1.1950000000000003</v>
      </c>
    </row>
    <row r="195" spans="1:12" s="5" customFormat="1" x14ac:dyDescent="0.25">
      <c r="A195" s="4" t="s">
        <v>0</v>
      </c>
      <c r="B195" s="4" t="s">
        <v>517</v>
      </c>
      <c r="C195" s="4" t="s">
        <v>2</v>
      </c>
      <c r="D195" s="5" t="s">
        <v>518</v>
      </c>
      <c r="E195" s="5" t="s">
        <v>4</v>
      </c>
      <c r="F195" s="5">
        <v>44</v>
      </c>
      <c r="G195" s="5">
        <v>84.62</v>
      </c>
      <c r="H195" s="5">
        <v>36</v>
      </c>
      <c r="I195" s="5">
        <v>80</v>
      </c>
      <c r="J195" s="5">
        <v>-4.62</v>
      </c>
      <c r="K195" s="5">
        <f t="shared" si="2"/>
        <v>10</v>
      </c>
      <c r="L195" s="6">
        <f t="shared" si="3"/>
        <v>1.25</v>
      </c>
    </row>
    <row r="196" spans="1:12" s="8" customFormat="1" x14ac:dyDescent="0.25">
      <c r="A196" s="7" t="s">
        <v>364</v>
      </c>
      <c r="B196" s="7" t="s">
        <v>365</v>
      </c>
      <c r="C196" s="7" t="s">
        <v>2</v>
      </c>
      <c r="D196" s="7" t="s">
        <v>366</v>
      </c>
      <c r="E196" s="8" t="s">
        <v>4</v>
      </c>
      <c r="F196" s="8">
        <v>174</v>
      </c>
      <c r="G196" s="8">
        <v>80.180000000000007</v>
      </c>
      <c r="H196" s="8">
        <v>158</v>
      </c>
      <c r="I196" s="8">
        <v>79.8</v>
      </c>
      <c r="J196" s="8">
        <v>-0.38</v>
      </c>
      <c r="K196" s="8">
        <f t="shared" si="2"/>
        <v>10.200000000000003</v>
      </c>
      <c r="L196" s="9">
        <f t="shared" si="3"/>
        <v>1.2750000000000004</v>
      </c>
    </row>
    <row r="197" spans="1:12" s="8" customFormat="1" x14ac:dyDescent="0.25">
      <c r="A197" s="7" t="s">
        <v>140</v>
      </c>
      <c r="B197" s="7" t="s">
        <v>475</v>
      </c>
      <c r="C197" s="7" t="s">
        <v>2</v>
      </c>
      <c r="D197" s="7" t="s">
        <v>476</v>
      </c>
      <c r="E197" s="8" t="s">
        <v>4</v>
      </c>
      <c r="F197" s="8">
        <v>63</v>
      </c>
      <c r="G197" s="8">
        <v>82.89</v>
      </c>
      <c r="H197" s="8">
        <v>55</v>
      </c>
      <c r="I197" s="8">
        <v>79.709999999999994</v>
      </c>
      <c r="J197" s="8">
        <v>-3.18</v>
      </c>
      <c r="K197" s="8">
        <f t="shared" si="2"/>
        <v>10.290000000000006</v>
      </c>
      <c r="L197" s="9">
        <f t="shared" si="3"/>
        <v>1.2862500000000008</v>
      </c>
    </row>
    <row r="198" spans="1:12" s="8" customFormat="1" x14ac:dyDescent="0.25">
      <c r="A198" s="7" t="s">
        <v>29</v>
      </c>
      <c r="B198" s="7" t="s">
        <v>292</v>
      </c>
      <c r="C198" s="7" t="s">
        <v>2</v>
      </c>
      <c r="D198" s="7" t="s">
        <v>293</v>
      </c>
      <c r="E198" s="8" t="s">
        <v>4</v>
      </c>
      <c r="F198" s="8">
        <v>117</v>
      </c>
      <c r="G198" s="8">
        <v>79.05</v>
      </c>
      <c r="H198" s="8">
        <v>106</v>
      </c>
      <c r="I198" s="8">
        <v>79.7</v>
      </c>
      <c r="J198" s="8">
        <v>0.65</v>
      </c>
      <c r="K198" s="8">
        <f t="shared" si="2"/>
        <v>10.299999999999997</v>
      </c>
      <c r="L198" s="9">
        <f t="shared" si="3"/>
        <v>1.2874999999999996</v>
      </c>
    </row>
    <row r="199" spans="1:12" s="8" customFormat="1" x14ac:dyDescent="0.25">
      <c r="A199" s="7" t="s">
        <v>254</v>
      </c>
      <c r="B199" s="7" t="s">
        <v>255</v>
      </c>
      <c r="C199" s="7" t="s">
        <v>2</v>
      </c>
      <c r="D199" s="7" t="s">
        <v>256</v>
      </c>
      <c r="E199" s="8" t="s">
        <v>4</v>
      </c>
      <c r="F199" s="8">
        <v>61</v>
      </c>
      <c r="G199" s="8">
        <v>78.209999999999994</v>
      </c>
      <c r="H199" s="8">
        <v>39</v>
      </c>
      <c r="I199" s="8">
        <v>79.59</v>
      </c>
      <c r="J199" s="8">
        <v>1.38</v>
      </c>
      <c r="K199" s="8">
        <f t="shared" si="2"/>
        <v>10.409999999999997</v>
      </c>
      <c r="L199" s="9">
        <f t="shared" si="3"/>
        <v>1.3012499999999996</v>
      </c>
    </row>
    <row r="200" spans="1:12" s="8" customFormat="1" x14ac:dyDescent="0.25">
      <c r="A200" s="7" t="s">
        <v>318</v>
      </c>
      <c r="B200" s="7" t="s">
        <v>319</v>
      </c>
      <c r="C200" s="7" t="s">
        <v>2</v>
      </c>
      <c r="D200" s="7" t="s">
        <v>320</v>
      </c>
      <c r="E200" s="8" t="s">
        <v>4</v>
      </c>
      <c r="F200" s="8">
        <v>103</v>
      </c>
      <c r="G200" s="8">
        <v>79.23</v>
      </c>
      <c r="H200" s="8">
        <v>74</v>
      </c>
      <c r="I200" s="8">
        <v>79.569999999999993</v>
      </c>
      <c r="J200" s="8">
        <v>0.34</v>
      </c>
      <c r="K200" s="8">
        <f t="shared" si="2"/>
        <v>10.430000000000007</v>
      </c>
      <c r="L200" s="9">
        <f t="shared" si="3"/>
        <v>1.3037500000000009</v>
      </c>
    </row>
    <row r="201" spans="1:12" s="8" customFormat="1" x14ac:dyDescent="0.25">
      <c r="A201" s="7" t="s">
        <v>207</v>
      </c>
      <c r="B201" s="7" t="s">
        <v>327</v>
      </c>
      <c r="C201" s="7" t="s">
        <v>2</v>
      </c>
      <c r="D201" s="7" t="s">
        <v>328</v>
      </c>
      <c r="E201" s="8" t="s">
        <v>4</v>
      </c>
      <c r="F201" s="8">
        <v>262</v>
      </c>
      <c r="G201" s="8">
        <v>79.150000000000006</v>
      </c>
      <c r="H201" s="8">
        <v>199</v>
      </c>
      <c r="I201" s="8">
        <v>79.28</v>
      </c>
      <c r="J201" s="8">
        <v>0.13</v>
      </c>
      <c r="K201" s="8">
        <f t="shared" si="2"/>
        <v>10.719999999999999</v>
      </c>
      <c r="L201" s="9">
        <f t="shared" si="3"/>
        <v>1.3399999999999999</v>
      </c>
    </row>
    <row r="202" spans="1:12" s="8" customFormat="1" x14ac:dyDescent="0.25">
      <c r="A202" s="7" t="s">
        <v>450</v>
      </c>
      <c r="B202" s="7" t="s">
        <v>555</v>
      </c>
      <c r="C202" s="7" t="s">
        <v>2</v>
      </c>
      <c r="D202" s="7" t="s">
        <v>556</v>
      </c>
      <c r="E202" s="8" t="s">
        <v>4</v>
      </c>
      <c r="F202" s="8">
        <v>92</v>
      </c>
      <c r="G202" s="8">
        <v>85.98</v>
      </c>
      <c r="H202" s="8">
        <v>84</v>
      </c>
      <c r="I202" s="8">
        <v>79.25</v>
      </c>
      <c r="J202" s="8">
        <v>-6.73</v>
      </c>
      <c r="K202" s="8">
        <f t="shared" si="2"/>
        <v>10.75</v>
      </c>
      <c r="L202" s="9">
        <f t="shared" si="3"/>
        <v>1.34375</v>
      </c>
    </row>
    <row r="203" spans="1:12" s="8" customFormat="1" x14ac:dyDescent="0.25">
      <c r="A203" s="7" t="s">
        <v>74</v>
      </c>
      <c r="B203" s="7" t="s">
        <v>91</v>
      </c>
      <c r="C203" s="7" t="s">
        <v>2</v>
      </c>
      <c r="D203" s="7" t="s">
        <v>92</v>
      </c>
      <c r="E203" s="8" t="s">
        <v>4</v>
      </c>
      <c r="F203" s="8">
        <v>86</v>
      </c>
      <c r="G203" s="8">
        <v>72.27</v>
      </c>
      <c r="H203" s="8">
        <v>117</v>
      </c>
      <c r="I203" s="8">
        <v>79.05</v>
      </c>
      <c r="J203" s="8">
        <v>6.78</v>
      </c>
      <c r="K203" s="8">
        <f t="shared" si="2"/>
        <v>10.950000000000003</v>
      </c>
      <c r="L203" s="9">
        <f t="shared" si="3"/>
        <v>1.3687500000000004</v>
      </c>
    </row>
    <row r="204" spans="1:12" s="8" customFormat="1" x14ac:dyDescent="0.25">
      <c r="A204" s="7" t="s">
        <v>105</v>
      </c>
      <c r="B204" s="7" t="s">
        <v>283</v>
      </c>
      <c r="C204" s="7" t="s">
        <v>2</v>
      </c>
      <c r="D204" s="7" t="s">
        <v>284</v>
      </c>
      <c r="E204" s="8" t="s">
        <v>4</v>
      </c>
      <c r="F204" s="8">
        <v>305</v>
      </c>
      <c r="G204" s="8">
        <v>78.209999999999994</v>
      </c>
      <c r="H204" s="8">
        <v>304</v>
      </c>
      <c r="I204" s="8">
        <v>78.959999999999994</v>
      </c>
      <c r="J204" s="8">
        <v>0.75</v>
      </c>
      <c r="K204" s="8">
        <f t="shared" si="2"/>
        <v>11.040000000000006</v>
      </c>
      <c r="L204" s="9">
        <f t="shared" si="3"/>
        <v>1.3800000000000008</v>
      </c>
    </row>
    <row r="205" spans="1:12" s="8" customFormat="1" x14ac:dyDescent="0.25">
      <c r="A205" s="7" t="s">
        <v>59</v>
      </c>
      <c r="B205" s="7" t="s">
        <v>432</v>
      </c>
      <c r="C205" s="7" t="s">
        <v>2</v>
      </c>
      <c r="D205" s="7" t="s">
        <v>433</v>
      </c>
      <c r="E205" s="8" t="s">
        <v>4</v>
      </c>
      <c r="F205" s="8">
        <v>506</v>
      </c>
      <c r="G205" s="8">
        <v>80.7</v>
      </c>
      <c r="H205" s="8">
        <v>425</v>
      </c>
      <c r="I205" s="8">
        <v>78.7</v>
      </c>
      <c r="J205" s="8">
        <v>-2</v>
      </c>
      <c r="K205" s="8">
        <f t="shared" si="2"/>
        <v>11.299999999999997</v>
      </c>
      <c r="L205" s="9">
        <f t="shared" si="3"/>
        <v>1.4124999999999996</v>
      </c>
    </row>
    <row r="206" spans="1:12" s="8" customFormat="1" x14ac:dyDescent="0.25">
      <c r="A206" s="7" t="s">
        <v>543</v>
      </c>
      <c r="B206" s="7" t="s">
        <v>544</v>
      </c>
      <c r="C206" s="7" t="s">
        <v>2</v>
      </c>
      <c r="D206" s="7" t="s">
        <v>545</v>
      </c>
      <c r="E206" s="8" t="s">
        <v>4</v>
      </c>
      <c r="F206" s="8">
        <v>75</v>
      </c>
      <c r="G206" s="8">
        <v>84.27</v>
      </c>
      <c r="H206" s="8">
        <v>88</v>
      </c>
      <c r="I206" s="8">
        <v>78.569999999999993</v>
      </c>
      <c r="J206" s="8">
        <v>-5.7</v>
      </c>
      <c r="K206" s="8">
        <f t="shared" si="2"/>
        <v>11.430000000000007</v>
      </c>
      <c r="L206" s="9">
        <f t="shared" si="3"/>
        <v>1.4287500000000009</v>
      </c>
    </row>
    <row r="207" spans="1:12" s="8" customFormat="1" x14ac:dyDescent="0.25">
      <c r="A207" s="7" t="s">
        <v>59</v>
      </c>
      <c r="B207" s="7" t="s">
        <v>562</v>
      </c>
      <c r="C207" s="7" t="s">
        <v>36</v>
      </c>
      <c r="D207" s="7" t="s">
        <v>563</v>
      </c>
      <c r="E207" s="8" t="s">
        <v>4</v>
      </c>
      <c r="F207" s="8">
        <v>85</v>
      </c>
      <c r="G207" s="8">
        <v>85.86</v>
      </c>
      <c r="H207" s="8">
        <v>84</v>
      </c>
      <c r="I207" s="8">
        <v>78.5</v>
      </c>
      <c r="J207" s="8">
        <v>-7.36</v>
      </c>
      <c r="K207" s="8">
        <f t="shared" si="2"/>
        <v>11.5</v>
      </c>
      <c r="L207" s="9">
        <f t="shared" si="3"/>
        <v>1.4375</v>
      </c>
    </row>
    <row r="208" spans="1:12" s="8" customFormat="1" x14ac:dyDescent="0.25">
      <c r="A208" s="7" t="s">
        <v>59</v>
      </c>
      <c r="B208" s="7" t="s">
        <v>422</v>
      </c>
      <c r="C208" s="7" t="s">
        <v>2</v>
      </c>
      <c r="D208" s="7" t="s">
        <v>423</v>
      </c>
      <c r="E208" s="8" t="s">
        <v>4</v>
      </c>
      <c r="F208" s="8">
        <v>803</v>
      </c>
      <c r="G208" s="8">
        <v>80.06</v>
      </c>
      <c r="H208" s="8">
        <v>761</v>
      </c>
      <c r="I208" s="8">
        <v>78.37</v>
      </c>
      <c r="J208" s="8">
        <v>-1.69</v>
      </c>
      <c r="K208" s="8">
        <f t="shared" si="2"/>
        <v>11.629999999999995</v>
      </c>
      <c r="L208" s="9">
        <f t="shared" si="3"/>
        <v>1.4537499999999994</v>
      </c>
    </row>
    <row r="209" spans="1:12" s="8" customFormat="1" x14ac:dyDescent="0.25">
      <c r="A209" s="7" t="s">
        <v>538</v>
      </c>
      <c r="B209" s="7" t="s">
        <v>615</v>
      </c>
      <c r="C209" s="7" t="s">
        <v>2</v>
      </c>
      <c r="D209" s="7" t="s">
        <v>616</v>
      </c>
      <c r="E209" s="8" t="s">
        <v>4</v>
      </c>
      <c r="H209" s="8">
        <v>32</v>
      </c>
      <c r="I209" s="8">
        <v>78.05</v>
      </c>
      <c r="K209" s="8">
        <f t="shared" si="2"/>
        <v>11.950000000000003</v>
      </c>
      <c r="L209" s="9">
        <f t="shared" si="3"/>
        <v>1.4937500000000004</v>
      </c>
    </row>
    <row r="210" spans="1:12" s="8" customFormat="1" x14ac:dyDescent="0.25">
      <c r="A210" s="7" t="s">
        <v>68</v>
      </c>
      <c r="B210" s="7" t="s">
        <v>80</v>
      </c>
      <c r="C210" s="7" t="s">
        <v>2</v>
      </c>
      <c r="D210" s="7" t="s">
        <v>81</v>
      </c>
      <c r="E210" s="8" t="s">
        <v>4</v>
      </c>
      <c r="F210" s="8">
        <v>31</v>
      </c>
      <c r="G210" s="8">
        <v>70.45</v>
      </c>
      <c r="H210" s="8">
        <v>38</v>
      </c>
      <c r="I210" s="8">
        <v>77.55</v>
      </c>
      <c r="J210" s="8">
        <v>7.1</v>
      </c>
      <c r="K210" s="8">
        <f t="shared" si="2"/>
        <v>12.450000000000003</v>
      </c>
      <c r="L210" s="9">
        <f t="shared" si="3"/>
        <v>1.5562500000000004</v>
      </c>
    </row>
    <row r="211" spans="1:12" s="8" customFormat="1" x14ac:dyDescent="0.25">
      <c r="A211" s="7" t="s">
        <v>406</v>
      </c>
      <c r="B211" s="7" t="s">
        <v>608</v>
      </c>
      <c r="C211" s="7" t="s">
        <v>2</v>
      </c>
      <c r="D211" s="7" t="s">
        <v>609</v>
      </c>
      <c r="E211" s="8" t="s">
        <v>4</v>
      </c>
      <c r="F211" s="8">
        <v>40</v>
      </c>
      <c r="G211" s="8">
        <v>95.24</v>
      </c>
      <c r="H211" s="8">
        <v>38</v>
      </c>
      <c r="I211" s="8">
        <v>77.55</v>
      </c>
      <c r="J211" s="8">
        <v>-17.690000000000001</v>
      </c>
      <c r="K211" s="8">
        <f t="shared" si="2"/>
        <v>12.450000000000003</v>
      </c>
      <c r="L211" s="9">
        <f t="shared" si="3"/>
        <v>1.5562500000000004</v>
      </c>
    </row>
    <row r="212" spans="1:12" s="8" customFormat="1" x14ac:dyDescent="0.25">
      <c r="A212" s="7" t="s">
        <v>0</v>
      </c>
      <c r="B212" s="7" t="s">
        <v>1</v>
      </c>
      <c r="C212" s="7" t="s">
        <v>2</v>
      </c>
      <c r="D212" s="7" t="s">
        <v>3</v>
      </c>
      <c r="E212" s="8" t="s">
        <v>4</v>
      </c>
      <c r="F212" s="8">
        <v>25</v>
      </c>
      <c r="G212" s="8">
        <v>56.82</v>
      </c>
      <c r="H212" s="8">
        <v>41</v>
      </c>
      <c r="I212" s="8">
        <v>77.36</v>
      </c>
      <c r="J212" s="8">
        <v>20.54</v>
      </c>
      <c r="K212" s="8">
        <f t="shared" si="2"/>
        <v>12.64</v>
      </c>
      <c r="L212" s="9">
        <f t="shared" si="3"/>
        <v>1.58</v>
      </c>
    </row>
    <row r="213" spans="1:12" s="8" customFormat="1" x14ac:dyDescent="0.25">
      <c r="A213" s="7" t="s">
        <v>2</v>
      </c>
      <c r="B213" s="7" t="s">
        <v>165</v>
      </c>
      <c r="C213" s="7" t="s">
        <v>2</v>
      </c>
      <c r="D213" s="7" t="s">
        <v>557</v>
      </c>
      <c r="E213" s="8" t="s">
        <v>4</v>
      </c>
      <c r="F213" s="8">
        <v>85</v>
      </c>
      <c r="G213" s="8">
        <v>84.16</v>
      </c>
      <c r="H213" s="8">
        <v>85</v>
      </c>
      <c r="I213" s="8">
        <v>77.27</v>
      </c>
      <c r="J213" s="8">
        <v>-6.89</v>
      </c>
      <c r="K213" s="8">
        <f t="shared" si="2"/>
        <v>12.730000000000004</v>
      </c>
      <c r="L213" s="9">
        <f t="shared" si="3"/>
        <v>1.5912500000000005</v>
      </c>
    </row>
    <row r="214" spans="1:12" s="8" customFormat="1" x14ac:dyDescent="0.25">
      <c r="A214" s="7" t="s">
        <v>71</v>
      </c>
      <c r="B214" s="7" t="s">
        <v>72</v>
      </c>
      <c r="C214" s="7" t="s">
        <v>2</v>
      </c>
      <c r="D214" s="7" t="s">
        <v>73</v>
      </c>
      <c r="E214" s="8" t="s">
        <v>4</v>
      </c>
      <c r="F214" s="8">
        <v>133</v>
      </c>
      <c r="G214" s="8">
        <v>68.56</v>
      </c>
      <c r="H214" s="8">
        <v>158</v>
      </c>
      <c r="I214" s="8">
        <v>77.069999999999993</v>
      </c>
      <c r="J214" s="8">
        <v>8.51</v>
      </c>
      <c r="K214" s="8">
        <f t="shared" si="2"/>
        <v>12.930000000000007</v>
      </c>
      <c r="L214" s="9">
        <f t="shared" si="3"/>
        <v>1.6162500000000009</v>
      </c>
    </row>
    <row r="215" spans="1:12" s="8" customFormat="1" x14ac:dyDescent="0.25">
      <c r="A215" s="7" t="s">
        <v>128</v>
      </c>
      <c r="B215" s="7" t="s">
        <v>591</v>
      </c>
      <c r="C215" s="7" t="s">
        <v>2</v>
      </c>
      <c r="D215" s="7" t="s">
        <v>592</v>
      </c>
      <c r="E215" s="8" t="s">
        <v>4</v>
      </c>
      <c r="F215" s="8">
        <v>106</v>
      </c>
      <c r="G215" s="8">
        <v>87.6</v>
      </c>
      <c r="H215" s="8">
        <v>99</v>
      </c>
      <c r="I215" s="8">
        <v>76.739999999999995</v>
      </c>
      <c r="J215" s="8">
        <v>-10.86</v>
      </c>
      <c r="K215" s="8">
        <f t="shared" si="2"/>
        <v>13.260000000000005</v>
      </c>
      <c r="L215" s="9">
        <f t="shared" si="3"/>
        <v>1.6575000000000006</v>
      </c>
    </row>
    <row r="216" spans="1:12" s="8" customFormat="1" x14ac:dyDescent="0.25">
      <c r="A216" s="7" t="s">
        <v>15</v>
      </c>
      <c r="B216" s="7" t="s">
        <v>500</v>
      </c>
      <c r="C216" s="7" t="s">
        <v>121</v>
      </c>
      <c r="D216" s="7" t="s">
        <v>501</v>
      </c>
      <c r="E216" s="8" t="s">
        <v>4</v>
      </c>
      <c r="F216" s="8">
        <v>194</v>
      </c>
      <c r="G216" s="8">
        <v>80.5</v>
      </c>
      <c r="H216" s="8">
        <v>234</v>
      </c>
      <c r="I216" s="8">
        <v>76.72</v>
      </c>
      <c r="J216" s="8">
        <v>-3.78</v>
      </c>
      <c r="K216" s="8">
        <f t="shared" si="2"/>
        <v>13.280000000000001</v>
      </c>
      <c r="L216" s="9">
        <f t="shared" si="3"/>
        <v>1.6600000000000001</v>
      </c>
    </row>
    <row r="217" spans="1:12" s="8" customFormat="1" x14ac:dyDescent="0.25">
      <c r="A217" s="7" t="s">
        <v>32</v>
      </c>
      <c r="B217" s="7" t="s">
        <v>641</v>
      </c>
      <c r="C217" s="7" t="s">
        <v>36</v>
      </c>
      <c r="D217" s="7" t="s">
        <v>642</v>
      </c>
      <c r="E217" s="8" t="s">
        <v>4</v>
      </c>
      <c r="H217" s="8">
        <v>39</v>
      </c>
      <c r="I217" s="8">
        <v>76.47</v>
      </c>
      <c r="K217" s="8">
        <f t="shared" si="2"/>
        <v>13.530000000000001</v>
      </c>
      <c r="L217" s="9">
        <f t="shared" si="3"/>
        <v>1.6912500000000001</v>
      </c>
    </row>
    <row r="218" spans="1:12" s="8" customFormat="1" x14ac:dyDescent="0.25">
      <c r="A218" s="7" t="s">
        <v>162</v>
      </c>
      <c r="B218" s="7" t="s">
        <v>201</v>
      </c>
      <c r="C218" s="7" t="s">
        <v>2</v>
      </c>
      <c r="D218" s="7" t="s">
        <v>202</v>
      </c>
      <c r="E218" s="8" t="s">
        <v>4</v>
      </c>
      <c r="F218" s="8">
        <v>70</v>
      </c>
      <c r="G218" s="8">
        <v>73.680000000000007</v>
      </c>
      <c r="H218" s="8">
        <v>67</v>
      </c>
      <c r="I218" s="8">
        <v>76.14</v>
      </c>
      <c r="J218" s="8">
        <v>2.46</v>
      </c>
      <c r="K218" s="8">
        <f t="shared" si="2"/>
        <v>13.86</v>
      </c>
      <c r="L218" s="9">
        <f t="shared" si="3"/>
        <v>1.7324999999999999</v>
      </c>
    </row>
    <row r="219" spans="1:12" s="8" customFormat="1" x14ac:dyDescent="0.25">
      <c r="A219" s="7" t="s">
        <v>287</v>
      </c>
      <c r="B219" s="7" t="s">
        <v>288</v>
      </c>
      <c r="C219" s="7" t="s">
        <v>2</v>
      </c>
      <c r="D219" s="7" t="s">
        <v>289</v>
      </c>
      <c r="E219" s="8" t="s">
        <v>4</v>
      </c>
      <c r="F219" s="8">
        <v>112</v>
      </c>
      <c r="G219" s="8">
        <v>75.17</v>
      </c>
      <c r="H219" s="8">
        <v>85</v>
      </c>
      <c r="I219" s="8">
        <v>75.89</v>
      </c>
      <c r="J219" s="8">
        <v>0.72</v>
      </c>
      <c r="K219" s="8">
        <f t="shared" si="2"/>
        <v>14.11</v>
      </c>
      <c r="L219" s="9">
        <f t="shared" si="3"/>
        <v>1.7637499999999999</v>
      </c>
    </row>
    <row r="220" spans="1:12" s="8" customFormat="1" x14ac:dyDescent="0.25">
      <c r="A220" s="7" t="s">
        <v>105</v>
      </c>
      <c r="B220" s="7" t="s">
        <v>390</v>
      </c>
      <c r="C220" s="7" t="s">
        <v>2</v>
      </c>
      <c r="D220" s="7" t="s">
        <v>391</v>
      </c>
      <c r="E220" s="8" t="s">
        <v>4</v>
      </c>
      <c r="F220" s="8">
        <v>2528</v>
      </c>
      <c r="G220" s="8">
        <v>76.75</v>
      </c>
      <c r="H220" s="8">
        <v>2473</v>
      </c>
      <c r="I220" s="8">
        <v>75.86</v>
      </c>
      <c r="J220" s="8">
        <v>-0.89</v>
      </c>
      <c r="K220" s="8">
        <f t="shared" si="2"/>
        <v>14.14</v>
      </c>
      <c r="L220" s="9">
        <f t="shared" si="3"/>
        <v>1.7675000000000001</v>
      </c>
    </row>
    <row r="221" spans="1:12" s="8" customFormat="1" x14ac:dyDescent="0.25">
      <c r="A221" s="7" t="s">
        <v>77</v>
      </c>
      <c r="B221" s="7" t="s">
        <v>506</v>
      </c>
      <c r="C221" s="7" t="s">
        <v>2</v>
      </c>
      <c r="D221" s="7" t="s">
        <v>507</v>
      </c>
      <c r="E221" s="8" t="s">
        <v>4</v>
      </c>
      <c r="F221" s="8">
        <v>472</v>
      </c>
      <c r="G221" s="8">
        <v>79.86</v>
      </c>
      <c r="H221" s="8">
        <v>427</v>
      </c>
      <c r="I221" s="8">
        <v>75.84</v>
      </c>
      <c r="J221" s="8">
        <v>-4.0199999999999996</v>
      </c>
      <c r="K221" s="8">
        <f t="shared" si="2"/>
        <v>14.159999999999997</v>
      </c>
      <c r="L221" s="9">
        <f t="shared" si="3"/>
        <v>1.7699999999999996</v>
      </c>
    </row>
    <row r="222" spans="1:12" s="8" customFormat="1" x14ac:dyDescent="0.25">
      <c r="A222" s="7" t="s">
        <v>62</v>
      </c>
      <c r="B222" s="7" t="s">
        <v>241</v>
      </c>
      <c r="C222" s="7" t="s">
        <v>2</v>
      </c>
      <c r="D222" s="7" t="s">
        <v>242</v>
      </c>
      <c r="E222" s="8" t="s">
        <v>4</v>
      </c>
      <c r="F222" s="8">
        <v>258</v>
      </c>
      <c r="G222" s="8">
        <v>73.5</v>
      </c>
      <c r="H222" s="8">
        <v>228</v>
      </c>
      <c r="I222" s="8">
        <v>75</v>
      </c>
      <c r="J222" s="8">
        <v>1.5</v>
      </c>
      <c r="K222" s="8">
        <f t="shared" si="2"/>
        <v>15</v>
      </c>
      <c r="L222" s="9">
        <f t="shared" si="3"/>
        <v>1.875</v>
      </c>
    </row>
    <row r="223" spans="1:12" s="8" customFormat="1" x14ac:dyDescent="0.25">
      <c r="A223" s="7" t="s">
        <v>74</v>
      </c>
      <c r="B223" s="7" t="s">
        <v>409</v>
      </c>
      <c r="C223" s="7" t="s">
        <v>2</v>
      </c>
      <c r="D223" s="7" t="s">
        <v>410</v>
      </c>
      <c r="E223" s="8" t="s">
        <v>4</v>
      </c>
      <c r="F223" s="8">
        <v>74</v>
      </c>
      <c r="G223" s="8">
        <v>76.290000000000006</v>
      </c>
      <c r="H223" s="8">
        <v>63</v>
      </c>
      <c r="I223" s="8">
        <v>75</v>
      </c>
      <c r="J223" s="8">
        <v>-1.29</v>
      </c>
      <c r="K223" s="8">
        <f t="shared" si="2"/>
        <v>15</v>
      </c>
      <c r="L223" s="9">
        <f t="shared" si="3"/>
        <v>1.875</v>
      </c>
    </row>
    <row r="224" spans="1:12" s="8" customFormat="1" x14ac:dyDescent="0.25">
      <c r="A224" s="7" t="s">
        <v>538</v>
      </c>
      <c r="B224" s="7" t="s">
        <v>539</v>
      </c>
      <c r="C224" s="7" t="s">
        <v>2</v>
      </c>
      <c r="D224" s="7" t="s">
        <v>540</v>
      </c>
      <c r="E224" s="8" t="s">
        <v>4</v>
      </c>
      <c r="F224" s="8">
        <v>79</v>
      </c>
      <c r="G224" s="8">
        <v>80.61</v>
      </c>
      <c r="H224" s="8">
        <v>90</v>
      </c>
      <c r="I224" s="8">
        <v>75</v>
      </c>
      <c r="J224" s="8">
        <v>-5.61</v>
      </c>
      <c r="K224" s="8">
        <f t="shared" si="2"/>
        <v>15</v>
      </c>
      <c r="L224" s="9">
        <f t="shared" si="3"/>
        <v>1.875</v>
      </c>
    </row>
    <row r="225" spans="1:12" s="8" customFormat="1" x14ac:dyDescent="0.25">
      <c r="A225" s="7" t="s">
        <v>74</v>
      </c>
      <c r="B225" s="7" t="s">
        <v>623</v>
      </c>
      <c r="C225" s="7" t="s">
        <v>2</v>
      </c>
      <c r="D225" s="7" t="s">
        <v>624</v>
      </c>
      <c r="E225" s="8" t="s">
        <v>4</v>
      </c>
      <c r="H225" s="8">
        <v>33</v>
      </c>
      <c r="I225" s="8">
        <v>75</v>
      </c>
      <c r="K225" s="8">
        <f t="shared" si="2"/>
        <v>15</v>
      </c>
      <c r="L225" s="9">
        <f t="shared" si="3"/>
        <v>1.875</v>
      </c>
    </row>
    <row r="226" spans="1:12" s="8" customFormat="1" x14ac:dyDescent="0.25">
      <c r="A226" s="7" t="s">
        <v>10</v>
      </c>
      <c r="B226" s="7" t="s">
        <v>259</v>
      </c>
      <c r="C226" s="7" t="s">
        <v>2</v>
      </c>
      <c r="D226" s="7" t="s">
        <v>260</v>
      </c>
      <c r="E226" s="8" t="s">
        <v>4</v>
      </c>
      <c r="F226" s="8">
        <v>261</v>
      </c>
      <c r="G226" s="8">
        <v>73.52</v>
      </c>
      <c r="H226" s="8">
        <v>256</v>
      </c>
      <c r="I226" s="8">
        <v>74.849999999999994</v>
      </c>
      <c r="J226" s="8">
        <v>1.33</v>
      </c>
      <c r="K226" s="8">
        <f t="shared" si="2"/>
        <v>15.150000000000006</v>
      </c>
      <c r="L226" s="9">
        <f t="shared" si="3"/>
        <v>1.8937500000000007</v>
      </c>
    </row>
    <row r="227" spans="1:12" s="8" customFormat="1" x14ac:dyDescent="0.25">
      <c r="A227" s="7" t="s">
        <v>406</v>
      </c>
      <c r="B227" s="7" t="s">
        <v>407</v>
      </c>
      <c r="C227" s="7" t="s">
        <v>2</v>
      </c>
      <c r="D227" s="7" t="s">
        <v>408</v>
      </c>
      <c r="E227" s="8" t="s">
        <v>4</v>
      </c>
      <c r="F227" s="8">
        <v>284</v>
      </c>
      <c r="G227" s="8">
        <v>75.94</v>
      </c>
      <c r="H227" s="8">
        <v>300</v>
      </c>
      <c r="I227" s="8">
        <v>74.81</v>
      </c>
      <c r="J227" s="8">
        <v>-1.1299999999999999</v>
      </c>
      <c r="K227" s="8">
        <f t="shared" si="2"/>
        <v>15.189999999999998</v>
      </c>
      <c r="L227" s="9">
        <f t="shared" si="3"/>
        <v>1.8987499999999997</v>
      </c>
    </row>
    <row r="228" spans="1:12" s="8" customFormat="1" x14ac:dyDescent="0.25">
      <c r="A228" s="7" t="s">
        <v>105</v>
      </c>
      <c r="B228" s="7" t="s">
        <v>580</v>
      </c>
      <c r="C228" s="7" t="s">
        <v>36</v>
      </c>
      <c r="D228" s="7" t="s">
        <v>581</v>
      </c>
      <c r="E228" s="8" t="s">
        <v>4</v>
      </c>
      <c r="F228" s="8">
        <v>42</v>
      </c>
      <c r="G228" s="8">
        <v>84</v>
      </c>
      <c r="H228" s="8">
        <v>41</v>
      </c>
      <c r="I228" s="8">
        <v>74.55</v>
      </c>
      <c r="J228" s="8">
        <v>-9.4499999999999993</v>
      </c>
      <c r="K228" s="8">
        <f t="shared" si="2"/>
        <v>15.450000000000003</v>
      </c>
      <c r="L228" s="9">
        <f t="shared" si="3"/>
        <v>1.9312500000000004</v>
      </c>
    </row>
    <row r="229" spans="1:12" s="8" customFormat="1" x14ac:dyDescent="0.25">
      <c r="A229" s="7" t="s">
        <v>105</v>
      </c>
      <c r="B229" s="7" t="s">
        <v>382</v>
      </c>
      <c r="C229" s="7" t="s">
        <v>2</v>
      </c>
      <c r="D229" s="7" t="s">
        <v>383</v>
      </c>
      <c r="E229" s="8" t="s">
        <v>4</v>
      </c>
      <c r="F229" s="8">
        <v>177</v>
      </c>
      <c r="G229" s="8">
        <v>75</v>
      </c>
      <c r="H229" s="8">
        <v>181</v>
      </c>
      <c r="I229" s="8">
        <v>74.180000000000007</v>
      </c>
      <c r="J229" s="8">
        <v>-0.82</v>
      </c>
      <c r="K229" s="8">
        <f t="shared" si="2"/>
        <v>15.819999999999993</v>
      </c>
      <c r="L229" s="9">
        <f t="shared" si="3"/>
        <v>1.9774999999999991</v>
      </c>
    </row>
    <row r="230" spans="1:12" s="8" customFormat="1" x14ac:dyDescent="0.25">
      <c r="A230" s="7" t="s">
        <v>0</v>
      </c>
      <c r="B230" s="7" t="s">
        <v>257</v>
      </c>
      <c r="C230" s="7" t="s">
        <v>2</v>
      </c>
      <c r="D230" s="7" t="s">
        <v>258</v>
      </c>
      <c r="E230" s="8" t="s">
        <v>4</v>
      </c>
      <c r="F230" s="8">
        <v>152</v>
      </c>
      <c r="G230" s="8">
        <v>72.73</v>
      </c>
      <c r="H230" s="8">
        <v>143</v>
      </c>
      <c r="I230" s="8">
        <v>74.09</v>
      </c>
      <c r="J230" s="8">
        <v>1.36</v>
      </c>
      <c r="K230" s="8">
        <f t="shared" si="2"/>
        <v>15.909999999999997</v>
      </c>
      <c r="L230" s="9">
        <f t="shared" si="3"/>
        <v>1.9887499999999996</v>
      </c>
    </row>
    <row r="231" spans="1:12" s="8" customFormat="1" x14ac:dyDescent="0.25">
      <c r="A231" s="7" t="s">
        <v>584</v>
      </c>
      <c r="B231" s="7" t="s">
        <v>585</v>
      </c>
      <c r="C231" s="7" t="s">
        <v>2</v>
      </c>
      <c r="D231" s="7" t="s">
        <v>586</v>
      </c>
      <c r="E231" s="8" t="s">
        <v>4</v>
      </c>
      <c r="F231" s="8">
        <v>78</v>
      </c>
      <c r="G231" s="8">
        <v>83.87</v>
      </c>
      <c r="H231" s="8">
        <v>60</v>
      </c>
      <c r="I231" s="8">
        <v>74.069999999999993</v>
      </c>
      <c r="J231" s="8">
        <v>-9.8000000000000007</v>
      </c>
      <c r="K231" s="8">
        <f t="shared" si="2"/>
        <v>15.930000000000007</v>
      </c>
      <c r="L231" s="9">
        <f t="shared" si="3"/>
        <v>1.9912500000000009</v>
      </c>
    </row>
    <row r="232" spans="1:12" s="8" customFormat="1" x14ac:dyDescent="0.25">
      <c r="A232" s="7" t="s">
        <v>102</v>
      </c>
      <c r="B232" s="7" t="s">
        <v>103</v>
      </c>
      <c r="C232" s="7" t="s">
        <v>2</v>
      </c>
      <c r="D232" s="7" t="s">
        <v>104</v>
      </c>
      <c r="E232" s="8" t="s">
        <v>4</v>
      </c>
      <c r="F232" s="8">
        <v>126</v>
      </c>
      <c r="G232" s="8">
        <v>68.48</v>
      </c>
      <c r="H232" s="8">
        <v>157</v>
      </c>
      <c r="I232" s="8">
        <v>74.06</v>
      </c>
      <c r="J232" s="8">
        <v>5.58</v>
      </c>
      <c r="K232" s="8">
        <f t="shared" si="2"/>
        <v>15.939999999999998</v>
      </c>
      <c r="L232" s="9">
        <f t="shared" si="3"/>
        <v>1.9924999999999997</v>
      </c>
    </row>
    <row r="233" spans="1:12" s="8" customFormat="1" x14ac:dyDescent="0.25">
      <c r="A233" s="7" t="s">
        <v>254</v>
      </c>
      <c r="B233" s="7" t="s">
        <v>589</v>
      </c>
      <c r="C233" s="7" t="s">
        <v>2</v>
      </c>
      <c r="D233" s="7" t="s">
        <v>590</v>
      </c>
      <c r="E233" s="8" t="s">
        <v>4</v>
      </c>
      <c r="F233" s="8">
        <v>89</v>
      </c>
      <c r="G233" s="8">
        <v>83.96</v>
      </c>
      <c r="H233" s="8">
        <v>81</v>
      </c>
      <c r="I233" s="8">
        <v>73.64</v>
      </c>
      <c r="J233" s="8">
        <v>-10.32</v>
      </c>
      <c r="K233" s="8">
        <f t="shared" si="2"/>
        <v>16.36</v>
      </c>
      <c r="L233" s="9">
        <f t="shared" si="3"/>
        <v>2.0449999999999999</v>
      </c>
    </row>
    <row r="234" spans="1:12" s="8" customFormat="1" x14ac:dyDescent="0.25">
      <c r="A234" s="7" t="s">
        <v>32</v>
      </c>
      <c r="B234" s="7" t="s">
        <v>360</v>
      </c>
      <c r="C234" s="7" t="s">
        <v>2</v>
      </c>
      <c r="D234" s="7" t="s">
        <v>361</v>
      </c>
      <c r="E234" s="8" t="s">
        <v>4</v>
      </c>
      <c r="F234" s="8">
        <v>698</v>
      </c>
      <c r="G234" s="8">
        <v>73.17</v>
      </c>
      <c r="H234" s="8">
        <v>693</v>
      </c>
      <c r="I234" s="8">
        <v>72.790000000000006</v>
      </c>
      <c r="J234" s="8">
        <v>-0.38</v>
      </c>
      <c r="K234" s="8">
        <f t="shared" ref="K234:K286" si="4">90-I234</f>
        <v>17.209999999999994</v>
      </c>
      <c r="L234" s="9">
        <f t="shared" ref="L234:L286" si="5">K234/8</f>
        <v>2.1512499999999992</v>
      </c>
    </row>
    <row r="235" spans="1:12" s="8" customFormat="1" x14ac:dyDescent="0.25">
      <c r="A235" s="7" t="s">
        <v>15</v>
      </c>
      <c r="B235" s="7" t="s">
        <v>416</v>
      </c>
      <c r="C235" s="7" t="s">
        <v>2</v>
      </c>
      <c r="D235" s="7" t="s">
        <v>417</v>
      </c>
      <c r="E235" s="8" t="s">
        <v>4</v>
      </c>
      <c r="F235" s="8">
        <v>606</v>
      </c>
      <c r="G235" s="8">
        <v>73.63</v>
      </c>
      <c r="H235" s="8">
        <v>601</v>
      </c>
      <c r="I235" s="8">
        <v>72.150000000000006</v>
      </c>
      <c r="J235" s="8">
        <v>-1.48</v>
      </c>
      <c r="K235" s="8">
        <f t="shared" si="4"/>
        <v>17.849999999999994</v>
      </c>
      <c r="L235" s="9">
        <f t="shared" si="5"/>
        <v>2.2312499999999993</v>
      </c>
    </row>
    <row r="236" spans="1:12" s="8" customFormat="1" x14ac:dyDescent="0.25">
      <c r="A236" s="7" t="s">
        <v>23</v>
      </c>
      <c r="B236" s="7" t="s">
        <v>168</v>
      </c>
      <c r="C236" s="7" t="s">
        <v>2</v>
      </c>
      <c r="D236" s="7" t="s">
        <v>169</v>
      </c>
      <c r="E236" s="8" t="s">
        <v>4</v>
      </c>
      <c r="F236" s="8">
        <v>55</v>
      </c>
      <c r="G236" s="8">
        <v>68.75</v>
      </c>
      <c r="H236" s="8">
        <v>56</v>
      </c>
      <c r="I236" s="8">
        <v>71.790000000000006</v>
      </c>
      <c r="J236" s="8">
        <v>3.04</v>
      </c>
      <c r="K236" s="8">
        <f t="shared" si="4"/>
        <v>18.209999999999994</v>
      </c>
      <c r="L236" s="9">
        <f t="shared" si="5"/>
        <v>2.2762499999999992</v>
      </c>
    </row>
    <row r="237" spans="1:12" s="8" customFormat="1" x14ac:dyDescent="0.25">
      <c r="A237" s="7" t="s">
        <v>8</v>
      </c>
      <c r="B237" s="7" t="s">
        <v>444</v>
      </c>
      <c r="C237" s="7" t="s">
        <v>2</v>
      </c>
      <c r="D237" s="7" t="s">
        <v>445</v>
      </c>
      <c r="E237" s="8" t="s">
        <v>4</v>
      </c>
      <c r="F237" s="8">
        <v>618</v>
      </c>
      <c r="G237" s="8">
        <v>73.22</v>
      </c>
      <c r="H237" s="8">
        <v>575</v>
      </c>
      <c r="I237" s="8">
        <v>70.81</v>
      </c>
      <c r="J237" s="8">
        <v>-2.41</v>
      </c>
      <c r="K237" s="8">
        <f t="shared" si="4"/>
        <v>19.189999999999998</v>
      </c>
      <c r="L237" s="9">
        <f t="shared" si="5"/>
        <v>2.3987499999999997</v>
      </c>
    </row>
    <row r="238" spans="1:12" s="12" customFormat="1" x14ac:dyDescent="0.25">
      <c r="A238" s="10" t="s">
        <v>32</v>
      </c>
      <c r="B238" s="10" t="s">
        <v>574</v>
      </c>
      <c r="C238" s="10" t="s">
        <v>36</v>
      </c>
      <c r="D238" s="11" t="s">
        <v>575</v>
      </c>
      <c r="E238" s="11" t="s">
        <v>4</v>
      </c>
      <c r="F238" s="11">
        <v>47</v>
      </c>
      <c r="G238" s="11">
        <v>78.33</v>
      </c>
      <c r="H238" s="11">
        <v>39</v>
      </c>
      <c r="I238" s="11">
        <v>69.64</v>
      </c>
      <c r="J238" s="11">
        <v>-8.6899999999999906</v>
      </c>
      <c r="K238" s="12">
        <f t="shared" si="4"/>
        <v>20.36</v>
      </c>
      <c r="L238" s="13">
        <f t="shared" si="5"/>
        <v>2.5449999999999999</v>
      </c>
    </row>
    <row r="239" spans="1:12" s="12" customFormat="1" x14ac:dyDescent="0.25">
      <c r="A239" s="10" t="s">
        <v>38</v>
      </c>
      <c r="B239" s="10" t="s">
        <v>39</v>
      </c>
      <c r="C239" s="10" t="s">
        <v>2</v>
      </c>
      <c r="D239" s="11" t="s">
        <v>40</v>
      </c>
      <c r="E239" s="11" t="s">
        <v>4</v>
      </c>
      <c r="F239" s="11">
        <v>23</v>
      </c>
      <c r="G239" s="11">
        <v>57.5</v>
      </c>
      <c r="H239" s="11">
        <v>31</v>
      </c>
      <c r="I239" s="11">
        <v>68.89</v>
      </c>
      <c r="J239" s="11">
        <v>11.39</v>
      </c>
      <c r="K239" s="12">
        <f t="shared" si="4"/>
        <v>21.11</v>
      </c>
      <c r="L239" s="13">
        <f t="shared" si="5"/>
        <v>2.6387499999999999</v>
      </c>
    </row>
    <row r="240" spans="1:12" s="12" customFormat="1" x14ac:dyDescent="0.25">
      <c r="A240" s="10" t="s">
        <v>96</v>
      </c>
      <c r="B240" s="10" t="s">
        <v>617</v>
      </c>
      <c r="C240" s="10" t="s">
        <v>2</v>
      </c>
      <c r="D240" s="11" t="s">
        <v>618</v>
      </c>
      <c r="E240" s="11" t="s">
        <v>4</v>
      </c>
      <c r="F240" s="11" t="s">
        <v>665</v>
      </c>
      <c r="G240" s="11" t="s">
        <v>665</v>
      </c>
      <c r="H240" s="11">
        <v>31</v>
      </c>
      <c r="I240" s="11">
        <v>68.89</v>
      </c>
      <c r="J240" s="11" t="s">
        <v>665</v>
      </c>
      <c r="K240" s="12">
        <f t="shared" si="4"/>
        <v>21.11</v>
      </c>
      <c r="L240" s="13">
        <f t="shared" si="5"/>
        <v>2.6387499999999999</v>
      </c>
    </row>
    <row r="241" spans="1:12" s="12" customFormat="1" x14ac:dyDescent="0.25">
      <c r="A241" s="10" t="s">
        <v>228</v>
      </c>
      <c r="B241" s="10" t="s">
        <v>229</v>
      </c>
      <c r="C241" s="10" t="s">
        <v>2</v>
      </c>
      <c r="D241" s="11" t="s">
        <v>230</v>
      </c>
      <c r="E241" s="11" t="s">
        <v>4</v>
      </c>
      <c r="F241" s="11">
        <v>52</v>
      </c>
      <c r="G241" s="11">
        <v>66.67</v>
      </c>
      <c r="H241" s="11">
        <v>52</v>
      </c>
      <c r="I241" s="11">
        <v>68.42</v>
      </c>
      <c r="J241" s="11">
        <v>1.75</v>
      </c>
      <c r="K241" s="12">
        <f t="shared" si="4"/>
        <v>21.58</v>
      </c>
      <c r="L241" s="13">
        <f t="shared" si="5"/>
        <v>2.6974999999999998</v>
      </c>
    </row>
    <row r="242" spans="1:12" s="12" customFormat="1" x14ac:dyDescent="0.25">
      <c r="A242" s="10" t="s">
        <v>65</v>
      </c>
      <c r="B242" s="10" t="s">
        <v>504</v>
      </c>
      <c r="C242" s="10" t="s">
        <v>2</v>
      </c>
      <c r="D242" s="11" t="s">
        <v>505</v>
      </c>
      <c r="E242" s="11" t="s">
        <v>4</v>
      </c>
      <c r="F242" s="11">
        <v>341</v>
      </c>
      <c r="G242" s="11">
        <v>72.25</v>
      </c>
      <c r="H242" s="11">
        <v>297</v>
      </c>
      <c r="I242" s="11">
        <v>68.28</v>
      </c>
      <c r="J242" s="11">
        <v>-3.96999999999999</v>
      </c>
      <c r="K242" s="12">
        <f t="shared" si="4"/>
        <v>21.72</v>
      </c>
      <c r="L242" s="13">
        <f t="shared" si="5"/>
        <v>2.7149999999999999</v>
      </c>
    </row>
    <row r="243" spans="1:12" s="12" customFormat="1" x14ac:dyDescent="0.25">
      <c r="A243" s="10" t="s">
        <v>18</v>
      </c>
      <c r="B243" s="10" t="s">
        <v>119</v>
      </c>
      <c r="C243" s="10" t="s">
        <v>2</v>
      </c>
      <c r="D243" s="11" t="s">
        <v>120</v>
      </c>
      <c r="E243" s="11" t="s">
        <v>4</v>
      </c>
      <c r="F243" s="11">
        <v>270</v>
      </c>
      <c r="G243" s="11">
        <v>62.94</v>
      </c>
      <c r="H243" s="11">
        <v>278</v>
      </c>
      <c r="I243" s="11">
        <v>67.97</v>
      </c>
      <c r="J243" s="11">
        <v>5.03</v>
      </c>
      <c r="K243" s="12">
        <f t="shared" si="4"/>
        <v>22.03</v>
      </c>
      <c r="L243" s="13">
        <f t="shared" si="5"/>
        <v>2.7537500000000001</v>
      </c>
    </row>
    <row r="244" spans="1:12" s="12" customFormat="1" x14ac:dyDescent="0.25">
      <c r="A244" s="10" t="s">
        <v>143</v>
      </c>
      <c r="B244" s="10" t="s">
        <v>152</v>
      </c>
      <c r="C244" s="10" t="s">
        <v>2</v>
      </c>
      <c r="D244" s="11" t="s">
        <v>153</v>
      </c>
      <c r="E244" s="11" t="s">
        <v>4</v>
      </c>
      <c r="F244" s="11">
        <v>266</v>
      </c>
      <c r="G244" s="11">
        <v>63.79</v>
      </c>
      <c r="H244" s="11">
        <v>229</v>
      </c>
      <c r="I244" s="11">
        <v>67.55</v>
      </c>
      <c r="J244" s="11">
        <v>3.75999999999999</v>
      </c>
      <c r="K244" s="12">
        <f t="shared" si="4"/>
        <v>22.450000000000003</v>
      </c>
      <c r="L244" s="13">
        <f t="shared" si="5"/>
        <v>2.8062500000000004</v>
      </c>
    </row>
    <row r="245" spans="1:12" s="12" customFormat="1" x14ac:dyDescent="0.25">
      <c r="A245" s="10" t="s">
        <v>0</v>
      </c>
      <c r="B245" s="10" t="s">
        <v>446</v>
      </c>
      <c r="C245" s="10" t="s">
        <v>2</v>
      </c>
      <c r="D245" s="11" t="s">
        <v>447</v>
      </c>
      <c r="E245" s="11" t="s">
        <v>4</v>
      </c>
      <c r="F245" s="11">
        <v>687</v>
      </c>
      <c r="G245" s="11">
        <v>69.599999999999994</v>
      </c>
      <c r="H245" s="11">
        <v>655</v>
      </c>
      <c r="I245" s="11">
        <v>67.180000000000007</v>
      </c>
      <c r="J245" s="11">
        <v>-2.4199999999999799</v>
      </c>
      <c r="K245" s="12">
        <f t="shared" si="4"/>
        <v>22.819999999999993</v>
      </c>
      <c r="L245" s="13">
        <f t="shared" si="5"/>
        <v>2.8524999999999991</v>
      </c>
    </row>
    <row r="246" spans="1:12" s="12" customFormat="1" x14ac:dyDescent="0.25">
      <c r="A246" s="10" t="s">
        <v>59</v>
      </c>
      <c r="B246" s="10" t="s">
        <v>578</v>
      </c>
      <c r="C246" s="10" t="s">
        <v>36</v>
      </c>
      <c r="D246" s="11" t="s">
        <v>579</v>
      </c>
      <c r="E246" s="11" t="s">
        <v>4</v>
      </c>
      <c r="F246" s="11">
        <v>38</v>
      </c>
      <c r="G246" s="11">
        <v>76</v>
      </c>
      <c r="H246" s="11">
        <v>40</v>
      </c>
      <c r="I246" s="11">
        <v>66.67</v>
      </c>
      <c r="J246" s="11">
        <v>-9.3299999999999894</v>
      </c>
      <c r="K246" s="12">
        <f t="shared" si="4"/>
        <v>23.33</v>
      </c>
      <c r="L246" s="13">
        <f t="shared" si="5"/>
        <v>2.9162499999999998</v>
      </c>
    </row>
    <row r="247" spans="1:12" s="12" customFormat="1" x14ac:dyDescent="0.25">
      <c r="A247" s="10" t="s">
        <v>59</v>
      </c>
      <c r="B247" s="10" t="s">
        <v>193</v>
      </c>
      <c r="C247" s="10" t="s">
        <v>2</v>
      </c>
      <c r="D247" s="11" t="s">
        <v>194</v>
      </c>
      <c r="E247" s="11" t="s">
        <v>4</v>
      </c>
      <c r="F247" s="11">
        <v>1973</v>
      </c>
      <c r="G247" s="11">
        <v>63.67</v>
      </c>
      <c r="H247" s="11">
        <v>1954</v>
      </c>
      <c r="I247" s="11">
        <v>66.33</v>
      </c>
      <c r="J247" s="11">
        <v>2.6599999999999899</v>
      </c>
      <c r="K247" s="12">
        <f t="shared" si="4"/>
        <v>23.67</v>
      </c>
      <c r="L247" s="13">
        <f t="shared" si="5"/>
        <v>2.9587500000000002</v>
      </c>
    </row>
    <row r="248" spans="1:12" s="12" customFormat="1" x14ac:dyDescent="0.25">
      <c r="A248" s="10" t="s">
        <v>2</v>
      </c>
      <c r="B248" s="10" t="s">
        <v>613</v>
      </c>
      <c r="C248" s="10" t="s">
        <v>2</v>
      </c>
      <c r="D248" s="11" t="s">
        <v>614</v>
      </c>
      <c r="E248" s="11" t="s">
        <v>4</v>
      </c>
      <c r="F248" s="11" t="s">
        <v>665</v>
      </c>
      <c r="G248" s="11" t="s">
        <v>665</v>
      </c>
      <c r="H248" s="11">
        <v>29</v>
      </c>
      <c r="I248" s="11">
        <v>65.91</v>
      </c>
      <c r="J248" s="11" t="s">
        <v>665</v>
      </c>
      <c r="K248" s="12">
        <f t="shared" si="4"/>
        <v>24.090000000000003</v>
      </c>
      <c r="L248" s="13">
        <f t="shared" si="5"/>
        <v>3.0112500000000004</v>
      </c>
    </row>
    <row r="249" spans="1:12" s="12" customFormat="1" x14ac:dyDescent="0.25">
      <c r="A249" s="10" t="s">
        <v>59</v>
      </c>
      <c r="B249" s="10" t="s">
        <v>637</v>
      </c>
      <c r="C249" s="10" t="s">
        <v>36</v>
      </c>
      <c r="D249" s="11" t="s">
        <v>638</v>
      </c>
      <c r="E249" s="11" t="s">
        <v>4</v>
      </c>
      <c r="F249" s="11" t="s">
        <v>665</v>
      </c>
      <c r="G249" s="11" t="s">
        <v>665</v>
      </c>
      <c r="H249" s="11">
        <v>35</v>
      </c>
      <c r="I249" s="11">
        <v>64.81</v>
      </c>
      <c r="J249" s="11" t="s">
        <v>665</v>
      </c>
      <c r="K249" s="12">
        <f t="shared" si="4"/>
        <v>25.189999999999998</v>
      </c>
      <c r="L249" s="13">
        <f t="shared" si="5"/>
        <v>3.1487499999999997</v>
      </c>
    </row>
    <row r="250" spans="1:12" s="12" customFormat="1" x14ac:dyDescent="0.25">
      <c r="A250" s="10" t="s">
        <v>32</v>
      </c>
      <c r="B250" s="10" t="s">
        <v>126</v>
      </c>
      <c r="C250" s="10" t="s">
        <v>2</v>
      </c>
      <c r="D250" s="11" t="s">
        <v>127</v>
      </c>
      <c r="E250" s="11" t="s">
        <v>4</v>
      </c>
      <c r="F250" s="11">
        <v>181</v>
      </c>
      <c r="G250" s="11">
        <v>59.93</v>
      </c>
      <c r="H250" s="11">
        <v>185</v>
      </c>
      <c r="I250" s="11">
        <v>64.69</v>
      </c>
      <c r="J250" s="11">
        <v>4.75999999999999</v>
      </c>
      <c r="K250" s="12">
        <f t="shared" si="4"/>
        <v>25.310000000000002</v>
      </c>
      <c r="L250" s="13">
        <f t="shared" si="5"/>
        <v>3.1637500000000003</v>
      </c>
    </row>
    <row r="251" spans="1:12" s="12" customFormat="1" x14ac:dyDescent="0.25">
      <c r="A251" s="10" t="s">
        <v>59</v>
      </c>
      <c r="B251" s="10" t="s">
        <v>131</v>
      </c>
      <c r="C251" s="10" t="s">
        <v>36</v>
      </c>
      <c r="D251" s="11" t="s">
        <v>132</v>
      </c>
      <c r="E251" s="11" t="s">
        <v>4</v>
      </c>
      <c r="F251" s="11">
        <v>41</v>
      </c>
      <c r="G251" s="11">
        <v>59.42</v>
      </c>
      <c r="H251" s="11">
        <v>39</v>
      </c>
      <c r="I251" s="11">
        <v>63.93</v>
      </c>
      <c r="J251" s="11">
        <v>4.50999999999999</v>
      </c>
      <c r="K251" s="12">
        <f t="shared" si="4"/>
        <v>26.07</v>
      </c>
      <c r="L251" s="13">
        <f t="shared" si="5"/>
        <v>3.25875</v>
      </c>
    </row>
    <row r="252" spans="1:12" s="12" customFormat="1" x14ac:dyDescent="0.25">
      <c r="A252" s="10" t="s">
        <v>514</v>
      </c>
      <c r="B252" s="10" t="s">
        <v>515</v>
      </c>
      <c r="C252" s="10" t="s">
        <v>2</v>
      </c>
      <c r="D252" s="11" t="s">
        <v>516</v>
      </c>
      <c r="E252" s="11" t="s">
        <v>4</v>
      </c>
      <c r="F252" s="11">
        <v>204</v>
      </c>
      <c r="G252" s="11">
        <v>68.23</v>
      </c>
      <c r="H252" s="11">
        <v>168</v>
      </c>
      <c r="I252" s="11">
        <v>63.88</v>
      </c>
      <c r="J252" s="11">
        <v>-4.3499999999999996</v>
      </c>
      <c r="K252" s="12">
        <f t="shared" si="4"/>
        <v>26.119999999999997</v>
      </c>
      <c r="L252" s="13">
        <f t="shared" si="5"/>
        <v>3.2649999999999997</v>
      </c>
    </row>
    <row r="253" spans="1:12" s="12" customFormat="1" x14ac:dyDescent="0.25">
      <c r="A253" s="10" t="s">
        <v>29</v>
      </c>
      <c r="B253" s="10" t="s">
        <v>582</v>
      </c>
      <c r="C253" s="10" t="s">
        <v>2</v>
      </c>
      <c r="D253" s="11" t="s">
        <v>583</v>
      </c>
      <c r="E253" s="11" t="s">
        <v>4</v>
      </c>
      <c r="F253" s="11">
        <v>221</v>
      </c>
      <c r="G253" s="11">
        <v>73.180000000000007</v>
      </c>
      <c r="H253" s="11">
        <v>188</v>
      </c>
      <c r="I253" s="11">
        <v>63.73</v>
      </c>
      <c r="J253" s="11">
        <v>-9.4500000000000099</v>
      </c>
      <c r="K253" s="12">
        <f t="shared" si="4"/>
        <v>26.270000000000003</v>
      </c>
      <c r="L253" s="13">
        <f t="shared" si="5"/>
        <v>3.2837500000000004</v>
      </c>
    </row>
    <row r="254" spans="1:12" s="12" customFormat="1" x14ac:dyDescent="0.25">
      <c r="A254" s="10" t="s">
        <v>23</v>
      </c>
      <c r="B254" s="10" t="s">
        <v>312</v>
      </c>
      <c r="C254" s="10" t="s">
        <v>2</v>
      </c>
      <c r="D254" s="11" t="s">
        <v>313</v>
      </c>
      <c r="E254" s="11" t="s">
        <v>4</v>
      </c>
      <c r="F254" s="11">
        <v>59</v>
      </c>
      <c r="G254" s="11">
        <v>62.11</v>
      </c>
      <c r="H254" s="11">
        <v>55</v>
      </c>
      <c r="I254" s="11">
        <v>62.5</v>
      </c>
      <c r="J254" s="11">
        <v>0.39</v>
      </c>
      <c r="K254" s="12">
        <f t="shared" si="4"/>
        <v>27.5</v>
      </c>
      <c r="L254" s="13">
        <f t="shared" si="5"/>
        <v>3.4375</v>
      </c>
    </row>
    <row r="255" spans="1:12" s="12" customFormat="1" x14ac:dyDescent="0.25">
      <c r="A255" s="10" t="s">
        <v>59</v>
      </c>
      <c r="B255" s="10" t="s">
        <v>337</v>
      </c>
      <c r="C255" s="10" t="s">
        <v>36</v>
      </c>
      <c r="D255" s="11" t="s">
        <v>338</v>
      </c>
      <c r="E255" s="11" t="s">
        <v>4</v>
      </c>
      <c r="F255" s="11">
        <v>59</v>
      </c>
      <c r="G255" s="11">
        <v>62.11</v>
      </c>
      <c r="H255" s="11">
        <v>57</v>
      </c>
      <c r="I255" s="11">
        <v>61.96</v>
      </c>
      <c r="J255" s="11">
        <v>-0.149999999999998</v>
      </c>
      <c r="K255" s="12">
        <f t="shared" si="4"/>
        <v>28.04</v>
      </c>
      <c r="L255" s="13">
        <f t="shared" si="5"/>
        <v>3.5049999999999999</v>
      </c>
    </row>
    <row r="256" spans="1:12" s="16" customFormat="1" x14ac:dyDescent="0.25">
      <c r="A256" s="14" t="s">
        <v>8</v>
      </c>
      <c r="B256" s="14" t="s">
        <v>9</v>
      </c>
      <c r="C256" s="14" t="s">
        <v>10</v>
      </c>
      <c r="D256" s="15" t="s">
        <v>11</v>
      </c>
      <c r="E256" s="15" t="s">
        <v>4</v>
      </c>
      <c r="F256" s="15">
        <v>33</v>
      </c>
      <c r="G256" s="15">
        <v>40.74</v>
      </c>
      <c r="H256" s="15">
        <v>36</v>
      </c>
      <c r="I256" s="15">
        <v>59.02</v>
      </c>
      <c r="J256" s="15">
        <v>18.28</v>
      </c>
      <c r="K256" s="16">
        <f t="shared" si="4"/>
        <v>30.979999999999997</v>
      </c>
      <c r="L256" s="17">
        <f t="shared" si="5"/>
        <v>3.8724999999999996</v>
      </c>
    </row>
    <row r="257" spans="1:12" s="16" customFormat="1" x14ac:dyDescent="0.25">
      <c r="A257" s="14" t="s">
        <v>0</v>
      </c>
      <c r="B257" s="14" t="s">
        <v>604</v>
      </c>
      <c r="C257" s="14" t="s">
        <v>36</v>
      </c>
      <c r="D257" s="15" t="s">
        <v>605</v>
      </c>
      <c r="E257" s="15" t="s">
        <v>4</v>
      </c>
      <c r="F257" s="15">
        <v>50</v>
      </c>
      <c r="G257" s="15">
        <v>70.42</v>
      </c>
      <c r="H257" s="15">
        <v>27</v>
      </c>
      <c r="I257" s="15">
        <v>56.25</v>
      </c>
      <c r="J257" s="15">
        <v>-14.17</v>
      </c>
      <c r="K257" s="16">
        <f t="shared" si="4"/>
        <v>33.75</v>
      </c>
      <c r="L257" s="17">
        <f t="shared" si="5"/>
        <v>4.21875</v>
      </c>
    </row>
    <row r="258" spans="1:12" s="16" customFormat="1" x14ac:dyDescent="0.25">
      <c r="A258" s="14" t="s">
        <v>38</v>
      </c>
      <c r="B258" s="14" t="s">
        <v>570</v>
      </c>
      <c r="C258" s="14" t="s">
        <v>2</v>
      </c>
      <c r="D258" s="15" t="s">
        <v>571</v>
      </c>
      <c r="E258" s="15" t="s">
        <v>4</v>
      </c>
      <c r="F258" s="15">
        <v>54</v>
      </c>
      <c r="G258" s="15">
        <v>62.79</v>
      </c>
      <c r="H258" s="15">
        <v>36</v>
      </c>
      <c r="I258" s="15">
        <v>54.55</v>
      </c>
      <c r="J258" s="15">
        <v>-8.24</v>
      </c>
      <c r="K258" s="16">
        <f t="shared" si="4"/>
        <v>35.450000000000003</v>
      </c>
      <c r="L258" s="17">
        <f t="shared" si="5"/>
        <v>4.4312500000000004</v>
      </c>
    </row>
    <row r="259" spans="1:12" s="16" customFormat="1" x14ac:dyDescent="0.25">
      <c r="A259" s="14" t="s">
        <v>610</v>
      </c>
      <c r="B259" s="14" t="s">
        <v>611</v>
      </c>
      <c r="C259" s="14" t="s">
        <v>2</v>
      </c>
      <c r="D259" s="15" t="s">
        <v>612</v>
      </c>
      <c r="E259" s="15" t="s">
        <v>4</v>
      </c>
      <c r="F259" s="15">
        <v>34</v>
      </c>
      <c r="G259" s="15">
        <v>72.34</v>
      </c>
      <c r="H259" s="15">
        <v>28</v>
      </c>
      <c r="I259" s="15">
        <v>53.85</v>
      </c>
      <c r="J259" s="15">
        <v>-18.489999999999998</v>
      </c>
      <c r="K259" s="16">
        <f t="shared" si="4"/>
        <v>36.15</v>
      </c>
      <c r="L259" s="17">
        <f t="shared" si="5"/>
        <v>4.5187499999999998</v>
      </c>
    </row>
    <row r="260" spans="1:12" s="16" customFormat="1" x14ac:dyDescent="0.25">
      <c r="A260" s="14" t="s">
        <v>32</v>
      </c>
      <c r="B260" s="14" t="s">
        <v>165</v>
      </c>
      <c r="C260" s="14" t="s">
        <v>121</v>
      </c>
      <c r="D260" s="15" t="s">
        <v>166</v>
      </c>
      <c r="E260" s="15" t="s">
        <v>4</v>
      </c>
      <c r="F260" s="15">
        <v>1273</v>
      </c>
      <c r="G260" s="15">
        <v>46.87</v>
      </c>
      <c r="H260" s="15">
        <v>1243</v>
      </c>
      <c r="I260" s="15">
        <v>50.12</v>
      </c>
      <c r="J260" s="15">
        <v>3.25</v>
      </c>
      <c r="K260" s="16">
        <f t="shared" si="4"/>
        <v>39.880000000000003</v>
      </c>
      <c r="L260" s="17">
        <f t="shared" si="5"/>
        <v>4.9850000000000003</v>
      </c>
    </row>
    <row r="261" spans="1:12" s="16" customFormat="1" x14ac:dyDescent="0.25">
      <c r="A261" s="14" t="s">
        <v>99</v>
      </c>
      <c r="B261" s="14" t="s">
        <v>100</v>
      </c>
      <c r="C261" s="14" t="s">
        <v>2</v>
      </c>
      <c r="D261" s="15" t="s">
        <v>101</v>
      </c>
      <c r="E261" s="15" t="s">
        <v>4</v>
      </c>
      <c r="F261" s="15">
        <v>75</v>
      </c>
      <c r="G261" s="15">
        <v>42.37</v>
      </c>
      <c r="H261" s="15">
        <v>120</v>
      </c>
      <c r="I261" s="15">
        <v>48.39</v>
      </c>
      <c r="J261" s="15">
        <v>6.02</v>
      </c>
      <c r="K261" s="16">
        <f t="shared" si="4"/>
        <v>41.61</v>
      </c>
      <c r="L261" s="17">
        <f t="shared" si="5"/>
        <v>5.2012499999999999</v>
      </c>
    </row>
    <row r="262" spans="1:12" s="16" customFormat="1" x14ac:dyDescent="0.25">
      <c r="A262" s="14" t="s">
        <v>23</v>
      </c>
      <c r="B262" s="14" t="s">
        <v>24</v>
      </c>
      <c r="C262" s="14" t="s">
        <v>2</v>
      </c>
      <c r="D262" s="15" t="s">
        <v>25</v>
      </c>
      <c r="E262" s="15" t="s">
        <v>4</v>
      </c>
      <c r="F262" s="15">
        <v>24</v>
      </c>
      <c r="G262" s="15">
        <v>33.799999999999997</v>
      </c>
      <c r="H262" s="15">
        <v>37</v>
      </c>
      <c r="I262" s="15">
        <v>47.44</v>
      </c>
      <c r="J262" s="15">
        <v>13.64</v>
      </c>
      <c r="K262" s="16">
        <f t="shared" si="4"/>
        <v>42.56</v>
      </c>
      <c r="L262" s="17">
        <f t="shared" si="5"/>
        <v>5.32</v>
      </c>
    </row>
    <row r="263" spans="1:12" s="16" customFormat="1" x14ac:dyDescent="0.25">
      <c r="A263" s="14" t="s">
        <v>32</v>
      </c>
      <c r="B263" s="14" t="s">
        <v>57</v>
      </c>
      <c r="C263" s="14" t="s">
        <v>2</v>
      </c>
      <c r="D263" s="15" t="s">
        <v>58</v>
      </c>
      <c r="E263" s="15" t="s">
        <v>4</v>
      </c>
      <c r="F263" s="15">
        <v>111</v>
      </c>
      <c r="G263" s="15">
        <v>37.5</v>
      </c>
      <c r="H263" s="15">
        <v>139</v>
      </c>
      <c r="I263" s="15">
        <v>46.96</v>
      </c>
      <c r="J263" s="15">
        <v>9.4600000000000009</v>
      </c>
      <c r="K263" s="16">
        <f t="shared" si="4"/>
        <v>43.04</v>
      </c>
      <c r="L263" s="17">
        <f t="shared" si="5"/>
        <v>5.38</v>
      </c>
    </row>
    <row r="264" spans="1:12" s="16" customFormat="1" x14ac:dyDescent="0.25">
      <c r="A264" s="14" t="s">
        <v>49</v>
      </c>
      <c r="B264" s="14" t="s">
        <v>606</v>
      </c>
      <c r="C264" s="14" t="s">
        <v>150</v>
      </c>
      <c r="D264" s="15" t="s">
        <v>607</v>
      </c>
      <c r="E264" s="15" t="s">
        <v>4</v>
      </c>
      <c r="F264" s="15">
        <v>33</v>
      </c>
      <c r="G264" s="15">
        <v>61.11</v>
      </c>
      <c r="H264" s="15">
        <v>36</v>
      </c>
      <c r="I264" s="15">
        <v>45.57</v>
      </c>
      <c r="J264" s="15">
        <v>-15.54</v>
      </c>
      <c r="K264" s="16">
        <f t="shared" si="4"/>
        <v>44.43</v>
      </c>
      <c r="L264" s="17">
        <f t="shared" si="5"/>
        <v>5.55375</v>
      </c>
    </row>
    <row r="265" spans="1:12" s="16" customFormat="1" x14ac:dyDescent="0.25">
      <c r="A265" s="14" t="s">
        <v>128</v>
      </c>
      <c r="B265" s="14" t="s">
        <v>187</v>
      </c>
      <c r="C265" s="14" t="s">
        <v>93</v>
      </c>
      <c r="D265" s="15" t="s">
        <v>188</v>
      </c>
      <c r="E265" s="15" t="s">
        <v>4</v>
      </c>
      <c r="F265" s="15">
        <v>35</v>
      </c>
      <c r="G265" s="15">
        <v>33.33</v>
      </c>
      <c r="H265" s="15">
        <v>31</v>
      </c>
      <c r="I265" s="15">
        <v>36.049999999999997</v>
      </c>
      <c r="J265" s="15">
        <v>2.71999999999999</v>
      </c>
      <c r="K265" s="16">
        <f t="shared" si="4"/>
        <v>53.95</v>
      </c>
      <c r="L265" s="17">
        <f t="shared" si="5"/>
        <v>6.7437500000000004</v>
      </c>
    </row>
    <row r="266" spans="1:12" s="16" customFormat="1" x14ac:dyDescent="0.25">
      <c r="A266" s="14" t="s">
        <v>74</v>
      </c>
      <c r="B266" s="14" t="s">
        <v>453</v>
      </c>
      <c r="C266" s="14" t="s">
        <v>150</v>
      </c>
      <c r="D266" s="15" t="s">
        <v>454</v>
      </c>
      <c r="E266" s="15" t="s">
        <v>4</v>
      </c>
      <c r="F266" s="15">
        <v>29</v>
      </c>
      <c r="G266" s="15">
        <v>37.18</v>
      </c>
      <c r="H266" s="15">
        <v>23</v>
      </c>
      <c r="I266" s="15">
        <v>34.33</v>
      </c>
      <c r="J266" s="15">
        <v>-2.85</v>
      </c>
      <c r="K266" s="16">
        <f t="shared" si="4"/>
        <v>55.67</v>
      </c>
      <c r="L266" s="17">
        <f t="shared" si="5"/>
        <v>6.9587500000000002</v>
      </c>
    </row>
    <row r="267" spans="1:12" s="16" customFormat="1" x14ac:dyDescent="0.25">
      <c r="A267" s="14" t="s">
        <v>12</v>
      </c>
      <c r="B267" s="14" t="s">
        <v>645</v>
      </c>
      <c r="C267" s="14" t="s">
        <v>150</v>
      </c>
      <c r="D267" s="15" t="s">
        <v>646</v>
      </c>
      <c r="E267" s="15" t="s">
        <v>4</v>
      </c>
      <c r="F267" s="15" t="s">
        <v>665</v>
      </c>
      <c r="G267" s="15" t="s">
        <v>665</v>
      </c>
      <c r="H267" s="15">
        <v>12</v>
      </c>
      <c r="I267" s="15">
        <v>30</v>
      </c>
      <c r="J267" s="15" t="s">
        <v>665</v>
      </c>
      <c r="K267" s="16">
        <f t="shared" si="4"/>
        <v>60</v>
      </c>
      <c r="L267" s="17">
        <f t="shared" si="5"/>
        <v>7.5</v>
      </c>
    </row>
    <row r="268" spans="1:12" s="16" customFormat="1" x14ac:dyDescent="0.25">
      <c r="A268" s="14" t="s">
        <v>184</v>
      </c>
      <c r="B268" s="14" t="s">
        <v>643</v>
      </c>
      <c r="C268" s="14" t="s">
        <v>261</v>
      </c>
      <c r="D268" s="15" t="s">
        <v>644</v>
      </c>
      <c r="E268" s="15" t="s">
        <v>4</v>
      </c>
      <c r="F268" s="15" t="s">
        <v>665</v>
      </c>
      <c r="G268" s="15" t="s">
        <v>665</v>
      </c>
      <c r="H268" s="15">
        <v>11</v>
      </c>
      <c r="I268" s="15">
        <v>27.5</v>
      </c>
      <c r="J268" s="15" t="s">
        <v>665</v>
      </c>
      <c r="K268" s="16">
        <f t="shared" si="4"/>
        <v>62.5</v>
      </c>
      <c r="L268" s="17">
        <f t="shared" si="5"/>
        <v>7.8125</v>
      </c>
    </row>
    <row r="269" spans="1:12" s="16" customFormat="1" x14ac:dyDescent="0.25">
      <c r="A269" s="14" t="s">
        <v>148</v>
      </c>
      <c r="B269" s="14" t="s">
        <v>149</v>
      </c>
      <c r="C269" s="14" t="s">
        <v>150</v>
      </c>
      <c r="D269" s="15" t="s">
        <v>151</v>
      </c>
      <c r="E269" s="15" t="s">
        <v>4</v>
      </c>
      <c r="F269" s="15">
        <v>12</v>
      </c>
      <c r="G269" s="15">
        <v>22.22</v>
      </c>
      <c r="H269" s="15">
        <v>13</v>
      </c>
      <c r="I269" s="15">
        <v>26</v>
      </c>
      <c r="J269" s="15">
        <v>3.78</v>
      </c>
      <c r="K269" s="16">
        <f t="shared" si="4"/>
        <v>64</v>
      </c>
      <c r="L269" s="17">
        <f t="shared" si="5"/>
        <v>8</v>
      </c>
    </row>
    <row r="270" spans="1:12" s="16" customFormat="1" x14ac:dyDescent="0.25">
      <c r="A270" s="14" t="s">
        <v>32</v>
      </c>
      <c r="B270" s="14" t="s">
        <v>268</v>
      </c>
      <c r="C270" s="14" t="s">
        <v>36</v>
      </c>
      <c r="D270" s="15" t="s">
        <v>269</v>
      </c>
      <c r="E270" s="15" t="s">
        <v>4</v>
      </c>
      <c r="F270" s="15">
        <v>237</v>
      </c>
      <c r="G270" s="15">
        <v>22.38</v>
      </c>
      <c r="H270" s="15">
        <v>250</v>
      </c>
      <c r="I270" s="15">
        <v>23.54</v>
      </c>
      <c r="J270" s="15">
        <v>1.1599999999999999</v>
      </c>
      <c r="K270" s="16">
        <f t="shared" si="4"/>
        <v>66.460000000000008</v>
      </c>
      <c r="L270" s="17">
        <f t="shared" si="5"/>
        <v>8.307500000000001</v>
      </c>
    </row>
    <row r="271" spans="1:12" s="16" customFormat="1" x14ac:dyDescent="0.25">
      <c r="A271" s="14" t="s">
        <v>32</v>
      </c>
      <c r="B271" s="14" t="s">
        <v>510</v>
      </c>
      <c r="C271" s="14" t="s">
        <v>36</v>
      </c>
      <c r="D271" s="15" t="s">
        <v>511</v>
      </c>
      <c r="E271" s="15" t="s">
        <v>4</v>
      </c>
      <c r="F271" s="15">
        <v>21</v>
      </c>
      <c r="G271" s="15">
        <v>27.27</v>
      </c>
      <c r="H271" s="15">
        <v>16</v>
      </c>
      <c r="I271" s="15">
        <v>23.19</v>
      </c>
      <c r="J271" s="15">
        <v>-4.0799999999999903</v>
      </c>
      <c r="K271" s="16">
        <f t="shared" si="4"/>
        <v>66.81</v>
      </c>
      <c r="L271" s="17">
        <f t="shared" si="5"/>
        <v>8.3512500000000003</v>
      </c>
    </row>
    <row r="272" spans="1:12" s="16" customFormat="1" x14ac:dyDescent="0.25">
      <c r="A272" s="14" t="s">
        <v>32</v>
      </c>
      <c r="B272" s="14" t="s">
        <v>496</v>
      </c>
      <c r="C272" s="14" t="s">
        <v>36</v>
      </c>
      <c r="D272" s="15" t="s">
        <v>497</v>
      </c>
      <c r="E272" s="15" t="s">
        <v>4</v>
      </c>
      <c r="F272" s="15">
        <v>25</v>
      </c>
      <c r="G272" s="15">
        <v>26.6</v>
      </c>
      <c r="H272" s="15">
        <v>17</v>
      </c>
      <c r="I272" s="15">
        <v>22.97</v>
      </c>
      <c r="J272" s="15">
        <v>-3.63</v>
      </c>
      <c r="K272" s="16">
        <f t="shared" si="4"/>
        <v>67.03</v>
      </c>
      <c r="L272" s="17">
        <f t="shared" si="5"/>
        <v>8.3787500000000001</v>
      </c>
    </row>
    <row r="273" spans="1:12" s="16" customFormat="1" x14ac:dyDescent="0.25">
      <c r="A273" s="14" t="s">
        <v>18</v>
      </c>
      <c r="B273" s="18" t="s">
        <v>19</v>
      </c>
      <c r="C273" s="14" t="s">
        <v>2</v>
      </c>
      <c r="D273" s="15" t="s">
        <v>20</v>
      </c>
      <c r="E273" s="15" t="s">
        <v>4</v>
      </c>
      <c r="F273" s="15">
        <v>9</v>
      </c>
      <c r="G273" s="15">
        <v>8.74</v>
      </c>
      <c r="H273" s="15">
        <v>23</v>
      </c>
      <c r="I273" s="15">
        <v>22.77</v>
      </c>
      <c r="J273" s="15">
        <v>14.03</v>
      </c>
      <c r="K273" s="16">
        <f t="shared" si="4"/>
        <v>67.23</v>
      </c>
      <c r="L273" s="17">
        <f t="shared" si="5"/>
        <v>8.4037500000000005</v>
      </c>
    </row>
    <row r="274" spans="1:12" s="16" customFormat="1" x14ac:dyDescent="0.25">
      <c r="A274" s="14" t="s">
        <v>59</v>
      </c>
      <c r="B274" s="14" t="s">
        <v>600</v>
      </c>
      <c r="C274" s="14" t="s">
        <v>36</v>
      </c>
      <c r="D274" s="15" t="s">
        <v>601</v>
      </c>
      <c r="E274" s="15" t="s">
        <v>4</v>
      </c>
      <c r="F274" s="15">
        <v>32</v>
      </c>
      <c r="G274" s="15">
        <v>35.159999999999997</v>
      </c>
      <c r="H274" s="15">
        <v>22</v>
      </c>
      <c r="I274" s="15">
        <v>22</v>
      </c>
      <c r="J274" s="15">
        <v>-13.159999999999901</v>
      </c>
      <c r="K274" s="16">
        <f t="shared" si="4"/>
        <v>68</v>
      </c>
      <c r="L274" s="17">
        <f t="shared" si="5"/>
        <v>8.5</v>
      </c>
    </row>
    <row r="275" spans="1:12" s="16" customFormat="1" x14ac:dyDescent="0.25">
      <c r="A275" s="14" t="s">
        <v>105</v>
      </c>
      <c r="B275" s="14" t="s">
        <v>333</v>
      </c>
      <c r="C275" s="14" t="s">
        <v>36</v>
      </c>
      <c r="D275" s="15" t="s">
        <v>334</v>
      </c>
      <c r="E275" s="15" t="s">
        <v>4</v>
      </c>
      <c r="F275" s="15">
        <v>16</v>
      </c>
      <c r="G275" s="15">
        <v>21.92</v>
      </c>
      <c r="H275" s="15">
        <v>12</v>
      </c>
      <c r="I275" s="15">
        <v>21.82</v>
      </c>
      <c r="J275" s="15">
        <v>-0.100000000000001</v>
      </c>
      <c r="K275" s="16">
        <f t="shared" si="4"/>
        <v>68.180000000000007</v>
      </c>
      <c r="L275" s="17">
        <f t="shared" si="5"/>
        <v>8.5225000000000009</v>
      </c>
    </row>
    <row r="276" spans="1:12" s="16" customFormat="1" x14ac:dyDescent="0.25">
      <c r="A276" s="14" t="s">
        <v>207</v>
      </c>
      <c r="B276" s="14" t="s">
        <v>602</v>
      </c>
      <c r="C276" s="14" t="s">
        <v>36</v>
      </c>
      <c r="D276" s="15" t="s">
        <v>603</v>
      </c>
      <c r="E276" s="15" t="s">
        <v>4</v>
      </c>
      <c r="F276" s="15">
        <v>24</v>
      </c>
      <c r="G276" s="15">
        <v>35.29</v>
      </c>
      <c r="H276" s="15">
        <v>12</v>
      </c>
      <c r="I276" s="15">
        <v>21.82</v>
      </c>
      <c r="J276" s="15">
        <v>-13.469999999999899</v>
      </c>
      <c r="K276" s="16">
        <f t="shared" si="4"/>
        <v>68.180000000000007</v>
      </c>
      <c r="L276" s="17">
        <f t="shared" si="5"/>
        <v>8.5225000000000009</v>
      </c>
    </row>
    <row r="277" spans="1:12" s="16" customFormat="1" x14ac:dyDescent="0.25">
      <c r="A277" s="14" t="s">
        <v>15</v>
      </c>
      <c r="B277" s="14" t="s">
        <v>494</v>
      </c>
      <c r="C277" s="14" t="s">
        <v>474</v>
      </c>
      <c r="D277" s="15" t="s">
        <v>495</v>
      </c>
      <c r="E277" s="15" t="s">
        <v>4</v>
      </c>
      <c r="F277" s="15">
        <v>57</v>
      </c>
      <c r="G277" s="15">
        <v>24.46</v>
      </c>
      <c r="H277" s="15">
        <v>45</v>
      </c>
      <c r="I277" s="15">
        <v>20.83</v>
      </c>
      <c r="J277" s="15">
        <v>-3.63</v>
      </c>
      <c r="K277" s="16">
        <f t="shared" si="4"/>
        <v>69.17</v>
      </c>
      <c r="L277" s="17">
        <f t="shared" si="5"/>
        <v>8.6462500000000002</v>
      </c>
    </row>
    <row r="278" spans="1:12" s="16" customFormat="1" x14ac:dyDescent="0.25">
      <c r="A278" s="14" t="s">
        <v>114</v>
      </c>
      <c r="B278" s="14" t="s">
        <v>502</v>
      </c>
      <c r="C278" s="14" t="s">
        <v>102</v>
      </c>
      <c r="D278" s="15" t="s">
        <v>503</v>
      </c>
      <c r="E278" s="15" t="s">
        <v>4</v>
      </c>
      <c r="F278" s="15">
        <v>46</v>
      </c>
      <c r="G278" s="15">
        <v>24.47</v>
      </c>
      <c r="H278" s="15">
        <v>40</v>
      </c>
      <c r="I278" s="15">
        <v>20.51</v>
      </c>
      <c r="J278" s="15">
        <v>-3.9599999999999902</v>
      </c>
      <c r="K278" s="16">
        <f t="shared" si="4"/>
        <v>69.489999999999995</v>
      </c>
      <c r="L278" s="17">
        <f t="shared" si="5"/>
        <v>8.6862499999999994</v>
      </c>
    </row>
    <row r="279" spans="1:12" s="16" customFormat="1" x14ac:dyDescent="0.25">
      <c r="A279" s="14" t="s">
        <v>32</v>
      </c>
      <c r="B279" s="14" t="s">
        <v>239</v>
      </c>
      <c r="C279" s="14" t="s">
        <v>36</v>
      </c>
      <c r="D279" s="15" t="s">
        <v>240</v>
      </c>
      <c r="E279" s="15" t="s">
        <v>4</v>
      </c>
      <c r="F279" s="15">
        <v>10</v>
      </c>
      <c r="G279" s="15">
        <v>18.87</v>
      </c>
      <c r="H279" s="15">
        <v>10</v>
      </c>
      <c r="I279" s="15">
        <v>20.41</v>
      </c>
      <c r="J279" s="15">
        <v>1.53999999999999</v>
      </c>
      <c r="K279" s="16">
        <f t="shared" si="4"/>
        <v>69.59</v>
      </c>
      <c r="L279" s="17">
        <f t="shared" si="5"/>
        <v>8.6987500000000004</v>
      </c>
    </row>
    <row r="280" spans="1:12" s="16" customFormat="1" x14ac:dyDescent="0.25">
      <c r="A280" s="14" t="s">
        <v>59</v>
      </c>
      <c r="B280" s="14" t="s">
        <v>564</v>
      </c>
      <c r="C280" s="14" t="s">
        <v>36</v>
      </c>
      <c r="D280" s="15" t="s">
        <v>565</v>
      </c>
      <c r="E280" s="15" t="s">
        <v>4</v>
      </c>
      <c r="F280" s="15">
        <v>80</v>
      </c>
      <c r="G280" s="15">
        <v>26.06</v>
      </c>
      <c r="H280" s="15">
        <v>44</v>
      </c>
      <c r="I280" s="15">
        <v>18.329999999999998</v>
      </c>
      <c r="J280" s="15">
        <v>-7.73</v>
      </c>
      <c r="K280" s="16">
        <f t="shared" si="4"/>
        <v>71.67</v>
      </c>
      <c r="L280" s="17">
        <f t="shared" si="5"/>
        <v>8.9587500000000002</v>
      </c>
    </row>
    <row r="281" spans="1:12" s="16" customFormat="1" x14ac:dyDescent="0.25">
      <c r="A281" s="14" t="s">
        <v>133</v>
      </c>
      <c r="B281" s="14" t="s">
        <v>301</v>
      </c>
      <c r="C281" s="14" t="s">
        <v>93</v>
      </c>
      <c r="D281" s="15" t="s">
        <v>302</v>
      </c>
      <c r="E281" s="15" t="s">
        <v>4</v>
      </c>
      <c r="F281" s="15">
        <v>16</v>
      </c>
      <c r="G281" s="15">
        <v>16.84</v>
      </c>
      <c r="H281" s="15">
        <v>13</v>
      </c>
      <c r="I281" s="15">
        <v>17.329999999999998</v>
      </c>
      <c r="J281" s="15">
        <v>0.48999999999999799</v>
      </c>
      <c r="K281" s="16">
        <f t="shared" si="4"/>
        <v>72.67</v>
      </c>
      <c r="L281" s="17">
        <f t="shared" si="5"/>
        <v>9.0837500000000002</v>
      </c>
    </row>
    <row r="282" spans="1:12" s="16" customFormat="1" x14ac:dyDescent="0.25">
      <c r="A282" s="14" t="s">
        <v>105</v>
      </c>
      <c r="B282" s="14" t="s">
        <v>266</v>
      </c>
      <c r="C282" s="14" t="s">
        <v>36</v>
      </c>
      <c r="D282" s="15" t="s">
        <v>267</v>
      </c>
      <c r="E282" s="15" t="s">
        <v>4</v>
      </c>
      <c r="F282" s="15">
        <v>10</v>
      </c>
      <c r="G282" s="15">
        <v>13.89</v>
      </c>
      <c r="H282" s="15">
        <v>8</v>
      </c>
      <c r="I282" s="15">
        <v>15.09</v>
      </c>
      <c r="J282" s="15">
        <v>1.19999999999999</v>
      </c>
      <c r="K282" s="16">
        <f t="shared" si="4"/>
        <v>74.91</v>
      </c>
      <c r="L282" s="17">
        <f t="shared" si="5"/>
        <v>9.3637499999999996</v>
      </c>
    </row>
    <row r="283" spans="1:12" s="16" customFormat="1" x14ac:dyDescent="0.25">
      <c r="A283" s="14" t="s">
        <v>59</v>
      </c>
      <c r="B283" s="14" t="s">
        <v>473</v>
      </c>
      <c r="C283" s="14" t="s">
        <v>474</v>
      </c>
      <c r="D283" s="15" t="s">
        <v>666</v>
      </c>
      <c r="E283" s="15" t="s">
        <v>4</v>
      </c>
      <c r="F283" s="15">
        <v>29</v>
      </c>
      <c r="G283" s="15">
        <v>12.72</v>
      </c>
      <c r="H283" s="15">
        <v>25</v>
      </c>
      <c r="I283" s="15">
        <v>9.5399999999999991</v>
      </c>
      <c r="J283" s="15">
        <v>-3.18</v>
      </c>
      <c r="K283" s="16">
        <f t="shared" si="4"/>
        <v>80.460000000000008</v>
      </c>
      <c r="L283" s="17">
        <f t="shared" si="5"/>
        <v>10.057500000000001</v>
      </c>
    </row>
    <row r="284" spans="1:12" s="16" customFormat="1" x14ac:dyDescent="0.25">
      <c r="A284" s="14" t="s">
        <v>32</v>
      </c>
      <c r="B284" s="14" t="s">
        <v>595</v>
      </c>
      <c r="C284" s="14" t="s">
        <v>36</v>
      </c>
      <c r="D284" s="15" t="s">
        <v>596</v>
      </c>
      <c r="E284" s="15" t="s">
        <v>4</v>
      </c>
      <c r="F284" s="15">
        <v>18</v>
      </c>
      <c r="G284" s="15">
        <v>19.78</v>
      </c>
      <c r="H284" s="15">
        <v>4</v>
      </c>
      <c r="I284" s="15">
        <v>8.6999999999999993</v>
      </c>
      <c r="J284" s="15">
        <v>-11.08</v>
      </c>
      <c r="K284" s="16">
        <f t="shared" si="4"/>
        <v>81.3</v>
      </c>
      <c r="L284" s="17">
        <f t="shared" si="5"/>
        <v>10.1625</v>
      </c>
    </row>
    <row r="285" spans="1:12" s="16" customFormat="1" x14ac:dyDescent="0.25">
      <c r="A285" s="14" t="s">
        <v>32</v>
      </c>
      <c r="B285" s="14" t="s">
        <v>418</v>
      </c>
      <c r="C285" s="14" t="s">
        <v>36</v>
      </c>
      <c r="D285" s="15" t="s">
        <v>419</v>
      </c>
      <c r="E285" s="15" t="s">
        <v>4</v>
      </c>
      <c r="F285" s="15">
        <v>12</v>
      </c>
      <c r="G285" s="15">
        <v>8.89</v>
      </c>
      <c r="H285" s="15">
        <v>10</v>
      </c>
      <c r="I285" s="15">
        <v>7.41</v>
      </c>
      <c r="J285" s="15">
        <v>-1.48</v>
      </c>
      <c r="K285" s="16">
        <f t="shared" si="4"/>
        <v>82.59</v>
      </c>
      <c r="L285" s="17">
        <f t="shared" si="5"/>
        <v>10.32375</v>
      </c>
    </row>
    <row r="286" spans="1:12" s="16" customFormat="1" x14ac:dyDescent="0.25">
      <c r="A286" s="14" t="s">
        <v>32</v>
      </c>
      <c r="B286" s="14" t="s">
        <v>558</v>
      </c>
      <c r="C286" s="14" t="s">
        <v>474</v>
      </c>
      <c r="D286" s="15" t="s">
        <v>559</v>
      </c>
      <c r="E286" s="15" t="s">
        <v>4</v>
      </c>
      <c r="F286" s="15">
        <v>86</v>
      </c>
      <c r="G286" s="15">
        <v>11.96</v>
      </c>
      <c r="H286" s="15">
        <v>29</v>
      </c>
      <c r="I286" s="15">
        <v>5</v>
      </c>
      <c r="J286" s="15">
        <v>-6.96</v>
      </c>
      <c r="K286" s="16">
        <f t="shared" si="4"/>
        <v>85</v>
      </c>
      <c r="L286" s="17">
        <f t="shared" si="5"/>
        <v>10.625</v>
      </c>
    </row>
  </sheetData>
  <sortState ref="A2:N105">
    <sortCondition descending="1" ref="I2:I10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B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4" max="4" width="37.28515625" bestFit="1" customWidth="1"/>
    <col min="5" max="5" width="29.5703125" customWidth="1"/>
    <col min="11" max="11" width="13.7109375" customWidth="1"/>
    <col min="12" max="12" width="16.5703125" customWidth="1"/>
  </cols>
  <sheetData>
    <row r="1" spans="1:12" s="22" customFormat="1" ht="90" x14ac:dyDescent="0.25">
      <c r="A1" s="19" t="s">
        <v>655</v>
      </c>
      <c r="B1" s="19" t="s">
        <v>656</v>
      </c>
      <c r="C1" s="19" t="s">
        <v>657</v>
      </c>
      <c r="D1" s="19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664</v>
      </c>
      <c r="K1" s="20" t="s">
        <v>668</v>
      </c>
      <c r="L1" s="21" t="s">
        <v>667</v>
      </c>
    </row>
    <row r="2" spans="1:12" s="16" customFormat="1" x14ac:dyDescent="0.25">
      <c r="A2" s="16" t="s">
        <v>59</v>
      </c>
      <c r="B2" s="16" t="s">
        <v>193</v>
      </c>
      <c r="C2" s="16" t="s">
        <v>2</v>
      </c>
      <c r="D2" s="16" t="s">
        <v>194</v>
      </c>
      <c r="E2" s="16" t="s">
        <v>647</v>
      </c>
      <c r="F2" s="16">
        <v>21</v>
      </c>
      <c r="G2" s="16">
        <v>46.67</v>
      </c>
      <c r="H2" s="16">
        <v>21</v>
      </c>
      <c r="I2" s="16">
        <v>52.5</v>
      </c>
      <c r="J2" s="16">
        <v>5.83</v>
      </c>
      <c r="K2" s="16">
        <f t="shared" ref="K2:K8" si="0">90-I2</f>
        <v>37.5</v>
      </c>
      <c r="L2" s="17">
        <f t="shared" ref="L2:L8" si="1">K2/8</f>
        <v>4.6875</v>
      </c>
    </row>
    <row r="3" spans="1:12" s="16" customFormat="1" x14ac:dyDescent="0.25">
      <c r="A3" s="16" t="s">
        <v>0</v>
      </c>
      <c r="B3" s="16" t="s">
        <v>446</v>
      </c>
      <c r="C3" s="16" t="s">
        <v>2</v>
      </c>
      <c r="D3" s="16" t="s">
        <v>447</v>
      </c>
      <c r="E3" s="16" t="s">
        <v>647</v>
      </c>
      <c r="F3" s="16">
        <v>17</v>
      </c>
      <c r="G3" s="16">
        <v>26.56</v>
      </c>
      <c r="H3" s="16">
        <v>20</v>
      </c>
      <c r="I3" s="16">
        <v>39.22</v>
      </c>
      <c r="J3" s="16">
        <v>12.66</v>
      </c>
      <c r="K3" s="16">
        <f t="shared" si="0"/>
        <v>50.78</v>
      </c>
      <c r="L3" s="17">
        <f t="shared" si="1"/>
        <v>6.3475000000000001</v>
      </c>
    </row>
    <row r="4" spans="1:12" s="16" customFormat="1" x14ac:dyDescent="0.25">
      <c r="A4" s="16" t="s">
        <v>23</v>
      </c>
      <c r="B4" s="16" t="s">
        <v>24</v>
      </c>
      <c r="C4" s="16" t="s">
        <v>2</v>
      </c>
      <c r="D4" s="16" t="s">
        <v>25</v>
      </c>
      <c r="E4" s="16" t="s">
        <v>647</v>
      </c>
      <c r="F4" s="16">
        <v>18</v>
      </c>
      <c r="G4" s="16">
        <v>30</v>
      </c>
      <c r="H4" s="16">
        <v>24</v>
      </c>
      <c r="I4" s="16">
        <v>38.71</v>
      </c>
      <c r="J4" s="16">
        <v>8.7100000000000009</v>
      </c>
      <c r="K4" s="16">
        <f t="shared" si="0"/>
        <v>51.29</v>
      </c>
      <c r="L4" s="17">
        <f t="shared" si="1"/>
        <v>6.4112499999999999</v>
      </c>
    </row>
    <row r="5" spans="1:12" s="16" customFormat="1" x14ac:dyDescent="0.25">
      <c r="A5" s="16" t="s">
        <v>18</v>
      </c>
      <c r="B5" s="16" t="s">
        <v>119</v>
      </c>
      <c r="C5" s="16" t="s">
        <v>2</v>
      </c>
      <c r="D5" s="16" t="s">
        <v>120</v>
      </c>
      <c r="E5" s="16" t="s">
        <v>647</v>
      </c>
      <c r="F5" s="16">
        <v>17</v>
      </c>
      <c r="G5" s="16">
        <v>21.52</v>
      </c>
      <c r="H5" s="16">
        <v>26</v>
      </c>
      <c r="I5" s="16">
        <v>30.95</v>
      </c>
      <c r="J5" s="16">
        <v>9.43</v>
      </c>
      <c r="K5" s="16">
        <f t="shared" si="0"/>
        <v>59.05</v>
      </c>
      <c r="L5" s="17">
        <f t="shared" si="1"/>
        <v>7.3812499999999996</v>
      </c>
    </row>
    <row r="6" spans="1:12" s="16" customFormat="1" x14ac:dyDescent="0.25">
      <c r="A6" s="16" t="s">
        <v>32</v>
      </c>
      <c r="B6" s="16" t="s">
        <v>165</v>
      </c>
      <c r="C6" s="16" t="s">
        <v>121</v>
      </c>
      <c r="D6" s="16" t="s">
        <v>166</v>
      </c>
      <c r="E6" s="16" t="s">
        <v>647</v>
      </c>
      <c r="F6" s="16">
        <v>27</v>
      </c>
      <c r="G6" s="16">
        <v>21.77</v>
      </c>
      <c r="H6" s="16">
        <v>21</v>
      </c>
      <c r="I6" s="16">
        <v>25</v>
      </c>
      <c r="J6" s="16">
        <v>3.23</v>
      </c>
      <c r="K6" s="16">
        <f t="shared" si="0"/>
        <v>65</v>
      </c>
      <c r="L6" s="17">
        <f t="shared" si="1"/>
        <v>8.125</v>
      </c>
    </row>
    <row r="7" spans="1:12" s="16" customFormat="1" x14ac:dyDescent="0.25">
      <c r="A7" s="16" t="s">
        <v>18</v>
      </c>
      <c r="B7" s="16" t="s">
        <v>19</v>
      </c>
      <c r="C7" s="16" t="s">
        <v>2</v>
      </c>
      <c r="D7" s="16" t="s">
        <v>20</v>
      </c>
      <c r="E7" s="16" t="s">
        <v>647</v>
      </c>
      <c r="F7" s="16">
        <v>9</v>
      </c>
      <c r="G7" s="16">
        <v>8.74</v>
      </c>
      <c r="H7" s="16">
        <v>23</v>
      </c>
      <c r="I7" s="16">
        <v>22.77</v>
      </c>
      <c r="J7" s="16">
        <v>14.03</v>
      </c>
      <c r="K7" s="16">
        <f t="shared" si="0"/>
        <v>67.23</v>
      </c>
      <c r="L7" s="17">
        <f t="shared" si="1"/>
        <v>8.4037500000000005</v>
      </c>
    </row>
    <row r="8" spans="1:12" s="16" customFormat="1" x14ac:dyDescent="0.25">
      <c r="A8" s="31" t="s">
        <v>32</v>
      </c>
      <c r="B8" s="31" t="s">
        <v>268</v>
      </c>
      <c r="C8" s="31" t="s">
        <v>36</v>
      </c>
      <c r="D8" s="15" t="s">
        <v>269</v>
      </c>
      <c r="E8" s="15" t="s">
        <v>647</v>
      </c>
      <c r="F8" s="15" t="s">
        <v>665</v>
      </c>
      <c r="G8" s="15" t="s">
        <v>665</v>
      </c>
      <c r="H8" s="15">
        <v>4</v>
      </c>
      <c r="I8" s="15">
        <v>9.09</v>
      </c>
      <c r="J8" s="15" t="s">
        <v>665</v>
      </c>
      <c r="K8" s="16">
        <f t="shared" si="0"/>
        <v>80.91</v>
      </c>
      <c r="L8" s="17">
        <f t="shared" si="1"/>
        <v>10.11375</v>
      </c>
    </row>
  </sheetData>
  <sortState ref="A2:N8">
    <sortCondition descending="1" ref="I2:I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1" topLeftCell="A2" activePane="bottomLeft" state="frozen"/>
      <selection pane="bottomLeft" activeCell="F25" sqref="F25"/>
    </sheetView>
  </sheetViews>
  <sheetFormatPr defaultRowHeight="15" x14ac:dyDescent="0.25"/>
  <cols>
    <col min="4" max="4" width="40.5703125" bestFit="1" customWidth="1"/>
    <col min="5" max="5" width="20.28515625" bestFit="1" customWidth="1"/>
    <col min="11" max="11" width="13" customWidth="1"/>
    <col min="12" max="12" width="16.7109375" customWidth="1"/>
  </cols>
  <sheetData>
    <row r="1" spans="1:12" s="22" customFormat="1" ht="90" x14ac:dyDescent="0.25">
      <c r="A1" s="19" t="s">
        <v>655</v>
      </c>
      <c r="B1" s="19" t="s">
        <v>656</v>
      </c>
      <c r="C1" s="19" t="s">
        <v>657</v>
      </c>
      <c r="D1" s="19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664</v>
      </c>
      <c r="K1" s="20" t="s">
        <v>668</v>
      </c>
      <c r="L1" s="21" t="s">
        <v>667</v>
      </c>
    </row>
    <row r="2" spans="1:12" s="3" customFormat="1" x14ac:dyDescent="0.25">
      <c r="A2" s="23" t="s">
        <v>345</v>
      </c>
      <c r="B2" s="23" t="s">
        <v>348</v>
      </c>
      <c r="C2" s="23" t="s">
        <v>2</v>
      </c>
      <c r="D2" s="24" t="s">
        <v>349</v>
      </c>
      <c r="E2" s="24" t="s">
        <v>648</v>
      </c>
      <c r="F2" s="24">
        <v>89</v>
      </c>
      <c r="G2" s="24">
        <v>89.9</v>
      </c>
      <c r="H2" s="24">
        <v>102</v>
      </c>
      <c r="I2" s="24">
        <v>93.58</v>
      </c>
      <c r="J2" s="24">
        <v>3.6799999999999899</v>
      </c>
    </row>
    <row r="3" spans="1:12" s="3" customFormat="1" x14ac:dyDescent="0.25">
      <c r="A3" s="23" t="s">
        <v>59</v>
      </c>
      <c r="B3" s="23" t="s">
        <v>321</v>
      </c>
      <c r="C3" s="23" t="s">
        <v>2</v>
      </c>
      <c r="D3" s="24" t="s">
        <v>322</v>
      </c>
      <c r="E3" s="24" t="s">
        <v>648</v>
      </c>
      <c r="F3" s="24">
        <v>59</v>
      </c>
      <c r="G3" s="24">
        <v>89.39</v>
      </c>
      <c r="H3" s="24">
        <v>78</v>
      </c>
      <c r="I3" s="24">
        <v>91.76</v>
      </c>
      <c r="J3" s="24">
        <v>2.37</v>
      </c>
    </row>
    <row r="4" spans="1:12" s="5" customFormat="1" x14ac:dyDescent="0.25">
      <c r="A4" s="25" t="s">
        <v>15</v>
      </c>
      <c r="B4" s="25" t="s">
        <v>182</v>
      </c>
      <c r="C4" s="25" t="s">
        <v>2</v>
      </c>
      <c r="D4" s="26" t="s">
        <v>183</v>
      </c>
      <c r="E4" s="26" t="s">
        <v>648</v>
      </c>
      <c r="F4" s="26">
        <v>105</v>
      </c>
      <c r="G4" s="26">
        <v>84</v>
      </c>
      <c r="H4" s="26">
        <v>130</v>
      </c>
      <c r="I4" s="26">
        <v>89.66</v>
      </c>
      <c r="J4" s="26">
        <v>5.6599999999999904</v>
      </c>
      <c r="K4" s="5">
        <f t="shared" ref="K4:K20" si="0">90-I4</f>
        <v>0.34000000000000341</v>
      </c>
      <c r="L4" s="6">
        <f>K4/8</f>
        <v>4.2500000000000426E-2</v>
      </c>
    </row>
    <row r="5" spans="1:12" s="5" customFormat="1" x14ac:dyDescent="0.25">
      <c r="A5" s="25" t="s">
        <v>32</v>
      </c>
      <c r="B5" s="25" t="s">
        <v>428</v>
      </c>
      <c r="C5" s="25" t="s">
        <v>2</v>
      </c>
      <c r="D5" s="26" t="s">
        <v>429</v>
      </c>
      <c r="E5" s="26" t="s">
        <v>648</v>
      </c>
      <c r="F5" s="26">
        <v>76</v>
      </c>
      <c r="G5" s="26">
        <v>92.68</v>
      </c>
      <c r="H5" s="26">
        <v>63</v>
      </c>
      <c r="I5" s="26">
        <v>87.5</v>
      </c>
      <c r="J5" s="26">
        <v>-5.18</v>
      </c>
      <c r="K5" s="5">
        <f t="shared" si="0"/>
        <v>2.5</v>
      </c>
      <c r="L5" s="6">
        <f t="shared" ref="L5:L20" si="1">K5/8</f>
        <v>0.3125</v>
      </c>
    </row>
    <row r="6" spans="1:12" s="5" customFormat="1" x14ac:dyDescent="0.25">
      <c r="A6" s="25" t="s">
        <v>15</v>
      </c>
      <c r="B6" s="25" t="s">
        <v>373</v>
      </c>
      <c r="C6" s="25" t="s">
        <v>2</v>
      </c>
      <c r="D6" s="26" t="s">
        <v>374</v>
      </c>
      <c r="E6" s="26" t="s">
        <v>648</v>
      </c>
      <c r="F6" s="26" t="s">
        <v>665</v>
      </c>
      <c r="G6" s="26" t="s">
        <v>665</v>
      </c>
      <c r="H6" s="26">
        <v>35</v>
      </c>
      <c r="I6" s="26">
        <v>83.33</v>
      </c>
      <c r="J6" s="26" t="s">
        <v>665</v>
      </c>
      <c r="K6" s="5">
        <f t="shared" si="0"/>
        <v>6.6700000000000017</v>
      </c>
      <c r="L6" s="6">
        <f t="shared" si="1"/>
        <v>0.83375000000000021</v>
      </c>
    </row>
    <row r="7" spans="1:12" s="5" customFormat="1" x14ac:dyDescent="0.25">
      <c r="A7" s="25" t="s">
        <v>32</v>
      </c>
      <c r="B7" s="25" t="s">
        <v>498</v>
      </c>
      <c r="C7" s="25" t="s">
        <v>2</v>
      </c>
      <c r="D7" s="26" t="s">
        <v>499</v>
      </c>
      <c r="E7" s="26" t="s">
        <v>648</v>
      </c>
      <c r="F7" s="26">
        <v>63</v>
      </c>
      <c r="G7" s="26">
        <v>85.14</v>
      </c>
      <c r="H7" s="26">
        <v>61</v>
      </c>
      <c r="I7" s="26">
        <v>82.43</v>
      </c>
      <c r="J7" s="26">
        <v>-2.7099999999999902</v>
      </c>
      <c r="K7" s="5">
        <f t="shared" si="0"/>
        <v>7.5699999999999932</v>
      </c>
      <c r="L7" s="6">
        <f t="shared" si="1"/>
        <v>0.94624999999999915</v>
      </c>
    </row>
    <row r="8" spans="1:12" s="5" customFormat="1" x14ac:dyDescent="0.25">
      <c r="A8" s="25" t="s">
        <v>105</v>
      </c>
      <c r="B8" s="25" t="s">
        <v>390</v>
      </c>
      <c r="C8" s="25" t="s">
        <v>2</v>
      </c>
      <c r="D8" s="26" t="s">
        <v>391</v>
      </c>
      <c r="E8" s="26" t="s">
        <v>648</v>
      </c>
      <c r="F8" s="26">
        <v>165</v>
      </c>
      <c r="G8" s="26">
        <v>78.2</v>
      </c>
      <c r="H8" s="26">
        <v>165</v>
      </c>
      <c r="I8" s="26">
        <v>80.88</v>
      </c>
      <c r="J8" s="26">
        <v>2.6799999999999899</v>
      </c>
      <c r="K8" s="5">
        <f t="shared" si="0"/>
        <v>9.1200000000000045</v>
      </c>
      <c r="L8" s="6">
        <f t="shared" si="1"/>
        <v>1.1400000000000006</v>
      </c>
    </row>
    <row r="9" spans="1:12" s="5" customFormat="1" x14ac:dyDescent="0.25">
      <c r="A9" s="25" t="s">
        <v>52</v>
      </c>
      <c r="B9" s="25" t="s">
        <v>329</v>
      </c>
      <c r="C9" s="25" t="s">
        <v>2</v>
      </c>
      <c r="D9" s="26" t="s">
        <v>330</v>
      </c>
      <c r="E9" s="26" t="s">
        <v>648</v>
      </c>
      <c r="F9" s="26">
        <v>33</v>
      </c>
      <c r="G9" s="26">
        <v>78.569999999999993</v>
      </c>
      <c r="H9" s="26">
        <v>44</v>
      </c>
      <c r="I9" s="26">
        <v>80</v>
      </c>
      <c r="J9" s="26">
        <v>1.43</v>
      </c>
      <c r="K9" s="5">
        <f t="shared" si="0"/>
        <v>10</v>
      </c>
      <c r="L9" s="6">
        <f t="shared" si="1"/>
        <v>1.25</v>
      </c>
    </row>
    <row r="10" spans="1:12" s="8" customFormat="1" x14ac:dyDescent="0.25">
      <c r="A10" s="34" t="s">
        <v>32</v>
      </c>
      <c r="B10" s="34" t="s">
        <v>371</v>
      </c>
      <c r="C10" s="34" t="s">
        <v>2</v>
      </c>
      <c r="D10" s="35" t="s">
        <v>372</v>
      </c>
      <c r="E10" s="35" t="s">
        <v>648</v>
      </c>
      <c r="F10" s="35">
        <v>161</v>
      </c>
      <c r="G10" s="35">
        <v>80.900000000000006</v>
      </c>
      <c r="H10" s="35">
        <v>186</v>
      </c>
      <c r="I10" s="35">
        <v>78.150000000000006</v>
      </c>
      <c r="J10" s="35">
        <v>-2.75</v>
      </c>
      <c r="K10" s="8">
        <f t="shared" si="0"/>
        <v>11.849999999999994</v>
      </c>
      <c r="L10" s="9">
        <f t="shared" si="1"/>
        <v>1.4812499999999993</v>
      </c>
    </row>
    <row r="11" spans="1:12" s="8" customFormat="1" x14ac:dyDescent="0.25">
      <c r="A11" s="34" t="s">
        <v>213</v>
      </c>
      <c r="B11" s="34" t="s">
        <v>214</v>
      </c>
      <c r="C11" s="34" t="s">
        <v>2</v>
      </c>
      <c r="D11" s="35" t="s">
        <v>215</v>
      </c>
      <c r="E11" s="35" t="s">
        <v>648</v>
      </c>
      <c r="F11" s="35">
        <v>68</v>
      </c>
      <c r="G11" s="35">
        <v>68</v>
      </c>
      <c r="H11" s="35">
        <v>96</v>
      </c>
      <c r="I11" s="35">
        <v>76.8</v>
      </c>
      <c r="J11" s="35">
        <v>8.7999999999999901</v>
      </c>
      <c r="K11" s="8">
        <f t="shared" si="0"/>
        <v>13.200000000000003</v>
      </c>
      <c r="L11" s="9">
        <f t="shared" si="1"/>
        <v>1.6500000000000004</v>
      </c>
    </row>
    <row r="12" spans="1:12" s="8" customFormat="1" x14ac:dyDescent="0.25">
      <c r="A12" s="34" t="s">
        <v>59</v>
      </c>
      <c r="B12" s="34" t="s">
        <v>422</v>
      </c>
      <c r="C12" s="34" t="s">
        <v>2</v>
      </c>
      <c r="D12" s="35" t="s">
        <v>423</v>
      </c>
      <c r="E12" s="35" t="s">
        <v>648</v>
      </c>
      <c r="F12" s="35">
        <v>99</v>
      </c>
      <c r="G12" s="35">
        <v>80.489999999999995</v>
      </c>
      <c r="H12" s="35">
        <v>92</v>
      </c>
      <c r="I12" s="35">
        <v>76.67</v>
      </c>
      <c r="J12" s="35">
        <v>-3.8199999999999901</v>
      </c>
      <c r="K12" s="8">
        <f t="shared" si="0"/>
        <v>13.329999999999998</v>
      </c>
      <c r="L12" s="9">
        <f t="shared" si="1"/>
        <v>1.6662499999999998</v>
      </c>
    </row>
    <row r="13" spans="1:12" s="8" customFormat="1" x14ac:dyDescent="0.25">
      <c r="A13" s="34" t="s">
        <v>32</v>
      </c>
      <c r="B13" s="34" t="s">
        <v>360</v>
      </c>
      <c r="C13" s="34" t="s">
        <v>2</v>
      </c>
      <c r="D13" s="35" t="s">
        <v>361</v>
      </c>
      <c r="E13" s="35" t="s">
        <v>648</v>
      </c>
      <c r="F13" s="35">
        <v>47</v>
      </c>
      <c r="G13" s="35">
        <v>73.44</v>
      </c>
      <c r="H13" s="35">
        <v>68</v>
      </c>
      <c r="I13" s="35">
        <v>76.400000000000006</v>
      </c>
      <c r="J13" s="35">
        <v>2.96</v>
      </c>
      <c r="K13" s="8">
        <f t="shared" si="0"/>
        <v>13.599999999999994</v>
      </c>
      <c r="L13" s="9">
        <f t="shared" si="1"/>
        <v>1.6999999999999993</v>
      </c>
    </row>
    <row r="14" spans="1:12" s="8" customFormat="1" x14ac:dyDescent="0.25">
      <c r="A14" s="34" t="s">
        <v>32</v>
      </c>
      <c r="B14" s="34" t="s">
        <v>398</v>
      </c>
      <c r="C14" s="34" t="s">
        <v>2</v>
      </c>
      <c r="D14" s="35" t="s">
        <v>399</v>
      </c>
      <c r="E14" s="35" t="s">
        <v>648</v>
      </c>
      <c r="F14" s="35">
        <v>71</v>
      </c>
      <c r="G14" s="35">
        <v>86.59</v>
      </c>
      <c r="H14" s="35">
        <v>44</v>
      </c>
      <c r="I14" s="35">
        <v>74.58</v>
      </c>
      <c r="J14" s="35">
        <v>-12.01</v>
      </c>
      <c r="K14" s="8">
        <f t="shared" si="0"/>
        <v>15.420000000000002</v>
      </c>
      <c r="L14" s="9">
        <f t="shared" si="1"/>
        <v>1.9275000000000002</v>
      </c>
    </row>
    <row r="15" spans="1:12" s="8" customFormat="1" x14ac:dyDescent="0.25">
      <c r="A15" s="34" t="s">
        <v>15</v>
      </c>
      <c r="B15" s="34" t="s">
        <v>416</v>
      </c>
      <c r="C15" s="34" t="s">
        <v>2</v>
      </c>
      <c r="D15" s="35" t="s">
        <v>417</v>
      </c>
      <c r="E15" s="35" t="s">
        <v>648</v>
      </c>
      <c r="F15" s="35">
        <v>47</v>
      </c>
      <c r="G15" s="35">
        <v>62.67</v>
      </c>
      <c r="H15" s="35">
        <v>55</v>
      </c>
      <c r="I15" s="35">
        <v>74.319999999999993</v>
      </c>
      <c r="J15" s="35">
        <v>11.649999999999901</v>
      </c>
      <c r="K15" s="8">
        <f t="shared" si="0"/>
        <v>15.680000000000007</v>
      </c>
      <c r="L15" s="9">
        <f t="shared" si="1"/>
        <v>1.9600000000000009</v>
      </c>
    </row>
    <row r="16" spans="1:12" s="8" customFormat="1" x14ac:dyDescent="0.25">
      <c r="A16" s="34" t="s">
        <v>59</v>
      </c>
      <c r="B16" s="34" t="s">
        <v>193</v>
      </c>
      <c r="C16" s="34" t="s">
        <v>2</v>
      </c>
      <c r="D16" s="35" t="s">
        <v>194</v>
      </c>
      <c r="E16" s="35" t="s">
        <v>648</v>
      </c>
      <c r="F16" s="35">
        <v>802</v>
      </c>
      <c r="G16" s="35">
        <v>69.8</v>
      </c>
      <c r="H16" s="35">
        <v>793</v>
      </c>
      <c r="I16" s="35">
        <v>70.3</v>
      </c>
      <c r="J16" s="35">
        <v>0.5</v>
      </c>
      <c r="K16" s="8">
        <f t="shared" si="0"/>
        <v>19.700000000000003</v>
      </c>
      <c r="L16" s="9">
        <f t="shared" si="1"/>
        <v>2.4625000000000004</v>
      </c>
    </row>
    <row r="17" spans="1:12" s="12" customFormat="1" x14ac:dyDescent="0.25">
      <c r="A17" s="10" t="s">
        <v>32</v>
      </c>
      <c r="B17" s="10" t="s">
        <v>165</v>
      </c>
      <c r="C17" s="10" t="s">
        <v>121</v>
      </c>
      <c r="D17" s="11" t="s">
        <v>166</v>
      </c>
      <c r="E17" s="11" t="s">
        <v>648</v>
      </c>
      <c r="F17" s="11">
        <v>181</v>
      </c>
      <c r="G17" s="11">
        <v>62.41</v>
      </c>
      <c r="H17" s="11">
        <v>209</v>
      </c>
      <c r="I17" s="11">
        <v>67.2</v>
      </c>
      <c r="J17" s="11">
        <v>4.79</v>
      </c>
      <c r="K17" s="12">
        <f t="shared" si="0"/>
        <v>22.799999999999997</v>
      </c>
      <c r="L17" s="13">
        <f t="shared" si="1"/>
        <v>2.8499999999999996</v>
      </c>
    </row>
    <row r="18" spans="1:12" s="12" customFormat="1" x14ac:dyDescent="0.25">
      <c r="A18" s="10" t="s">
        <v>59</v>
      </c>
      <c r="B18" s="10" t="s">
        <v>337</v>
      </c>
      <c r="C18" s="10" t="s">
        <v>36</v>
      </c>
      <c r="D18" s="11" t="s">
        <v>338</v>
      </c>
      <c r="E18" s="11" t="s">
        <v>648</v>
      </c>
      <c r="F18" s="11">
        <v>59</v>
      </c>
      <c r="G18" s="11">
        <v>62.11</v>
      </c>
      <c r="H18" s="11">
        <v>56</v>
      </c>
      <c r="I18" s="11">
        <v>61.54</v>
      </c>
      <c r="J18" s="11">
        <v>-0.56999999999999995</v>
      </c>
      <c r="K18" s="12">
        <f t="shared" si="0"/>
        <v>28.46</v>
      </c>
      <c r="L18" s="13">
        <f t="shared" si="1"/>
        <v>3.5575000000000001</v>
      </c>
    </row>
    <row r="19" spans="1:12" s="12" customFormat="1" x14ac:dyDescent="0.25">
      <c r="A19" s="10" t="s">
        <v>59</v>
      </c>
      <c r="B19" s="10" t="s">
        <v>131</v>
      </c>
      <c r="C19" s="10" t="s">
        <v>36</v>
      </c>
      <c r="D19" s="11" t="s">
        <v>132</v>
      </c>
      <c r="E19" s="11" t="s">
        <v>648</v>
      </c>
      <c r="F19" s="11">
        <v>26</v>
      </c>
      <c r="G19" s="11">
        <v>56.52</v>
      </c>
      <c r="H19" s="11">
        <v>27</v>
      </c>
      <c r="I19" s="11">
        <v>61.36</v>
      </c>
      <c r="J19" s="11">
        <v>4.8399999999999901</v>
      </c>
      <c r="K19" s="12">
        <f t="shared" si="0"/>
        <v>28.64</v>
      </c>
      <c r="L19" s="13">
        <f t="shared" si="1"/>
        <v>3.58</v>
      </c>
    </row>
    <row r="20" spans="1:12" s="16" customFormat="1" x14ac:dyDescent="0.25">
      <c r="A20" s="31" t="s">
        <v>59</v>
      </c>
      <c r="B20" s="31" t="s">
        <v>432</v>
      </c>
      <c r="C20" s="31" t="s">
        <v>2</v>
      </c>
      <c r="D20" s="15" t="s">
        <v>433</v>
      </c>
      <c r="E20" s="15" t="s">
        <v>648</v>
      </c>
      <c r="F20" s="15">
        <v>76</v>
      </c>
      <c r="G20" s="15">
        <v>58.91</v>
      </c>
      <c r="H20" s="15">
        <v>46</v>
      </c>
      <c r="I20" s="15">
        <v>50.55</v>
      </c>
      <c r="J20" s="15">
        <v>-8.36</v>
      </c>
      <c r="K20" s="16">
        <f t="shared" si="0"/>
        <v>39.450000000000003</v>
      </c>
      <c r="L20" s="17">
        <f t="shared" si="1"/>
        <v>4.9312500000000004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4" max="4" width="40.5703125" bestFit="1" customWidth="1"/>
    <col min="11" max="11" width="13.140625" customWidth="1"/>
    <col min="12" max="12" width="17.7109375" customWidth="1"/>
  </cols>
  <sheetData>
    <row r="1" spans="1:12" s="22" customFormat="1" ht="90" x14ac:dyDescent="0.25">
      <c r="A1" s="19" t="s">
        <v>655</v>
      </c>
      <c r="B1" s="19" t="s">
        <v>656</v>
      </c>
      <c r="C1" s="19" t="s">
        <v>657</v>
      </c>
      <c r="D1" s="19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664</v>
      </c>
      <c r="K1" s="20" t="s">
        <v>668</v>
      </c>
      <c r="L1" s="21" t="s">
        <v>667</v>
      </c>
    </row>
    <row r="2" spans="1:12" s="5" customFormat="1" x14ac:dyDescent="0.25">
      <c r="A2" s="25" t="s">
        <v>345</v>
      </c>
      <c r="B2" s="25" t="s">
        <v>348</v>
      </c>
      <c r="C2" s="25" t="s">
        <v>2</v>
      </c>
      <c r="D2" s="26" t="s">
        <v>349</v>
      </c>
      <c r="E2" s="26" t="s">
        <v>649</v>
      </c>
      <c r="F2" s="26">
        <v>61</v>
      </c>
      <c r="G2" s="26">
        <v>84.72</v>
      </c>
      <c r="H2" s="26">
        <v>62</v>
      </c>
      <c r="I2" s="26">
        <v>84.93</v>
      </c>
      <c r="J2" s="26">
        <v>0.21000000000000699</v>
      </c>
      <c r="K2" s="27">
        <f>90-I2</f>
        <v>5.0699999999999932</v>
      </c>
      <c r="L2" s="28">
        <f>K2/8</f>
        <v>0.63374999999999915</v>
      </c>
    </row>
    <row r="3" spans="1:12" s="5" customFormat="1" x14ac:dyDescent="0.25">
      <c r="A3" s="25" t="s">
        <v>105</v>
      </c>
      <c r="B3" s="25" t="s">
        <v>378</v>
      </c>
      <c r="C3" s="25" t="s">
        <v>2</v>
      </c>
      <c r="D3" s="26" t="s">
        <v>379</v>
      </c>
      <c r="E3" s="26" t="s">
        <v>649</v>
      </c>
      <c r="F3" s="26">
        <v>29</v>
      </c>
      <c r="G3" s="26">
        <v>70.73</v>
      </c>
      <c r="H3" s="26">
        <v>42</v>
      </c>
      <c r="I3" s="26">
        <v>80.77</v>
      </c>
      <c r="J3" s="26">
        <v>10.0399999999999</v>
      </c>
      <c r="K3" s="27">
        <f t="shared" ref="K3:K25" si="0">90-I3</f>
        <v>9.230000000000004</v>
      </c>
      <c r="L3" s="28">
        <f t="shared" ref="L3:L25" si="1">K3/8</f>
        <v>1.1537500000000005</v>
      </c>
    </row>
    <row r="4" spans="1:12" s="5" customFormat="1" x14ac:dyDescent="0.25">
      <c r="A4" s="25" t="s">
        <v>15</v>
      </c>
      <c r="B4" s="25" t="s">
        <v>335</v>
      </c>
      <c r="C4" s="25" t="s">
        <v>2</v>
      </c>
      <c r="D4" s="26" t="s">
        <v>336</v>
      </c>
      <c r="E4" s="26" t="s">
        <v>649</v>
      </c>
      <c r="F4" s="26">
        <v>37</v>
      </c>
      <c r="G4" s="26">
        <v>71.150000000000006</v>
      </c>
      <c r="H4" s="26">
        <v>42</v>
      </c>
      <c r="I4" s="26">
        <v>80.77</v>
      </c>
      <c r="J4" s="26">
        <v>9.6199999999999903</v>
      </c>
      <c r="K4" s="27">
        <f t="shared" si="0"/>
        <v>9.230000000000004</v>
      </c>
      <c r="L4" s="28">
        <f t="shared" si="1"/>
        <v>1.1537500000000005</v>
      </c>
    </row>
    <row r="5" spans="1:12" s="12" customFormat="1" x14ac:dyDescent="0.25">
      <c r="A5" s="10" t="s">
        <v>52</v>
      </c>
      <c r="B5" s="10" t="s">
        <v>329</v>
      </c>
      <c r="C5" s="10" t="s">
        <v>2</v>
      </c>
      <c r="D5" s="11" t="s">
        <v>330</v>
      </c>
      <c r="E5" s="11" t="s">
        <v>649</v>
      </c>
      <c r="F5" s="11" t="s">
        <v>665</v>
      </c>
      <c r="G5" s="11" t="s">
        <v>665</v>
      </c>
      <c r="H5" s="11">
        <v>39</v>
      </c>
      <c r="I5" s="11">
        <v>69.64</v>
      </c>
      <c r="J5" s="11" t="s">
        <v>665</v>
      </c>
      <c r="K5" s="29">
        <f t="shared" si="0"/>
        <v>20.36</v>
      </c>
      <c r="L5" s="30">
        <f t="shared" si="1"/>
        <v>2.5449999999999999</v>
      </c>
    </row>
    <row r="6" spans="1:12" s="12" customFormat="1" x14ac:dyDescent="0.25">
      <c r="A6" s="10" t="s">
        <v>59</v>
      </c>
      <c r="B6" s="10" t="s">
        <v>422</v>
      </c>
      <c r="C6" s="10" t="s">
        <v>2</v>
      </c>
      <c r="D6" s="11" t="s">
        <v>423</v>
      </c>
      <c r="E6" s="11" t="s">
        <v>649</v>
      </c>
      <c r="F6" s="11">
        <v>26</v>
      </c>
      <c r="G6" s="11">
        <v>53.06</v>
      </c>
      <c r="H6" s="11">
        <v>46</v>
      </c>
      <c r="I6" s="11">
        <v>67.650000000000006</v>
      </c>
      <c r="J6" s="11">
        <v>14.59</v>
      </c>
      <c r="K6" s="29">
        <f t="shared" si="0"/>
        <v>22.349999999999994</v>
      </c>
      <c r="L6" s="30">
        <f t="shared" si="1"/>
        <v>2.7937499999999993</v>
      </c>
    </row>
    <row r="7" spans="1:12" s="12" customFormat="1" x14ac:dyDescent="0.25">
      <c r="A7" s="10" t="s">
        <v>10</v>
      </c>
      <c r="B7" s="10" t="s">
        <v>259</v>
      </c>
      <c r="C7" s="10" t="s">
        <v>2</v>
      </c>
      <c r="D7" s="11" t="s">
        <v>260</v>
      </c>
      <c r="E7" s="11" t="s">
        <v>649</v>
      </c>
      <c r="F7" s="11">
        <v>32</v>
      </c>
      <c r="G7" s="11">
        <v>47.76</v>
      </c>
      <c r="H7" s="11">
        <v>41</v>
      </c>
      <c r="I7" s="11">
        <v>65.08</v>
      </c>
      <c r="J7" s="11">
        <v>17.32</v>
      </c>
      <c r="K7" s="29">
        <f t="shared" si="0"/>
        <v>24.92</v>
      </c>
      <c r="L7" s="30">
        <f t="shared" si="1"/>
        <v>3.1150000000000002</v>
      </c>
    </row>
    <row r="8" spans="1:12" s="12" customFormat="1" x14ac:dyDescent="0.25">
      <c r="A8" s="10" t="s">
        <v>26</v>
      </c>
      <c r="B8" s="10" t="s">
        <v>362</v>
      </c>
      <c r="C8" s="10" t="s">
        <v>2</v>
      </c>
      <c r="D8" s="11" t="s">
        <v>363</v>
      </c>
      <c r="E8" s="11" t="s">
        <v>649</v>
      </c>
      <c r="F8" s="11" t="s">
        <v>665</v>
      </c>
      <c r="G8" s="11" t="s">
        <v>665</v>
      </c>
      <c r="H8" s="11">
        <v>26</v>
      </c>
      <c r="I8" s="11">
        <v>65</v>
      </c>
      <c r="J8" s="11" t="s">
        <v>665</v>
      </c>
      <c r="K8" s="29">
        <f t="shared" si="0"/>
        <v>25</v>
      </c>
      <c r="L8" s="30">
        <f t="shared" si="1"/>
        <v>3.125</v>
      </c>
    </row>
    <row r="9" spans="1:12" s="12" customFormat="1" x14ac:dyDescent="0.25">
      <c r="A9" s="10" t="s">
        <v>15</v>
      </c>
      <c r="B9" s="10" t="s">
        <v>500</v>
      </c>
      <c r="C9" s="10" t="s">
        <v>121</v>
      </c>
      <c r="D9" s="11" t="s">
        <v>501</v>
      </c>
      <c r="E9" s="11" t="s">
        <v>649</v>
      </c>
      <c r="F9" s="11" t="s">
        <v>665</v>
      </c>
      <c r="G9" s="11" t="s">
        <v>665</v>
      </c>
      <c r="H9" s="11">
        <v>30</v>
      </c>
      <c r="I9" s="11">
        <v>62.5</v>
      </c>
      <c r="J9" s="11" t="s">
        <v>665</v>
      </c>
      <c r="K9" s="29">
        <f t="shared" si="0"/>
        <v>27.5</v>
      </c>
      <c r="L9" s="30">
        <f t="shared" si="1"/>
        <v>3.4375</v>
      </c>
    </row>
    <row r="10" spans="1:12" s="12" customFormat="1" x14ac:dyDescent="0.25">
      <c r="A10" s="10" t="s">
        <v>32</v>
      </c>
      <c r="B10" s="10" t="s">
        <v>498</v>
      </c>
      <c r="C10" s="10" t="s">
        <v>2</v>
      </c>
      <c r="D10" s="11" t="s">
        <v>499</v>
      </c>
      <c r="E10" s="11" t="s">
        <v>649</v>
      </c>
      <c r="F10" s="11">
        <v>34</v>
      </c>
      <c r="G10" s="11">
        <v>59.65</v>
      </c>
      <c r="H10" s="11">
        <v>43</v>
      </c>
      <c r="I10" s="11">
        <v>62.32</v>
      </c>
      <c r="J10" s="11">
        <v>2.67</v>
      </c>
      <c r="K10" s="29">
        <f t="shared" si="0"/>
        <v>27.68</v>
      </c>
      <c r="L10" s="30">
        <f t="shared" si="1"/>
        <v>3.46</v>
      </c>
    </row>
    <row r="11" spans="1:12" s="12" customFormat="1" x14ac:dyDescent="0.25">
      <c r="A11" s="10" t="s">
        <v>15</v>
      </c>
      <c r="B11" s="10" t="s">
        <v>182</v>
      </c>
      <c r="C11" s="10" t="s">
        <v>2</v>
      </c>
      <c r="D11" s="11" t="s">
        <v>183</v>
      </c>
      <c r="E11" s="11" t="s">
        <v>649</v>
      </c>
      <c r="F11" s="11">
        <v>56</v>
      </c>
      <c r="G11" s="11">
        <v>58.33</v>
      </c>
      <c r="H11" s="11">
        <v>64</v>
      </c>
      <c r="I11" s="11">
        <v>62.14</v>
      </c>
      <c r="J11" s="11">
        <v>3.81</v>
      </c>
      <c r="K11" s="29">
        <f t="shared" si="0"/>
        <v>27.86</v>
      </c>
      <c r="L11" s="30">
        <f t="shared" si="1"/>
        <v>3.4824999999999999</v>
      </c>
    </row>
    <row r="12" spans="1:12" s="12" customFormat="1" x14ac:dyDescent="0.25">
      <c r="A12" s="10" t="s">
        <v>102</v>
      </c>
      <c r="B12" s="10" t="s">
        <v>103</v>
      </c>
      <c r="C12" s="10" t="s">
        <v>2</v>
      </c>
      <c r="D12" s="11" t="s">
        <v>104</v>
      </c>
      <c r="E12" s="11" t="s">
        <v>649</v>
      </c>
      <c r="F12" s="11">
        <v>33</v>
      </c>
      <c r="G12" s="11">
        <v>52.38</v>
      </c>
      <c r="H12" s="11">
        <v>38</v>
      </c>
      <c r="I12" s="11">
        <v>60.32</v>
      </c>
      <c r="J12" s="11">
        <v>7.9399999999999897</v>
      </c>
      <c r="K12" s="29">
        <f t="shared" si="0"/>
        <v>29.68</v>
      </c>
      <c r="L12" s="30">
        <f t="shared" si="1"/>
        <v>3.71</v>
      </c>
    </row>
    <row r="13" spans="1:12" s="16" customFormat="1" x14ac:dyDescent="0.25">
      <c r="A13" s="31" t="s">
        <v>59</v>
      </c>
      <c r="B13" s="31" t="s">
        <v>193</v>
      </c>
      <c r="C13" s="31" t="s">
        <v>2</v>
      </c>
      <c r="D13" s="15" t="s">
        <v>194</v>
      </c>
      <c r="E13" s="15" t="s">
        <v>649</v>
      </c>
      <c r="F13" s="15">
        <v>200</v>
      </c>
      <c r="G13" s="15">
        <v>57.14</v>
      </c>
      <c r="H13" s="15">
        <v>196</v>
      </c>
      <c r="I13" s="15">
        <v>58.51</v>
      </c>
      <c r="J13" s="15">
        <v>1.3699999999999899</v>
      </c>
      <c r="K13" s="32">
        <f t="shared" si="0"/>
        <v>31.490000000000002</v>
      </c>
      <c r="L13" s="33">
        <f t="shared" si="1"/>
        <v>3.9362500000000002</v>
      </c>
    </row>
    <row r="14" spans="1:12" s="16" customFormat="1" x14ac:dyDescent="0.25">
      <c r="A14" s="31" t="s">
        <v>32</v>
      </c>
      <c r="B14" s="31" t="s">
        <v>371</v>
      </c>
      <c r="C14" s="31" t="s">
        <v>2</v>
      </c>
      <c r="D14" s="15" t="s">
        <v>372</v>
      </c>
      <c r="E14" s="15" t="s">
        <v>649</v>
      </c>
      <c r="F14" s="15">
        <v>46</v>
      </c>
      <c r="G14" s="15">
        <v>57.5</v>
      </c>
      <c r="H14" s="15">
        <v>39</v>
      </c>
      <c r="I14" s="15">
        <v>56.52</v>
      </c>
      <c r="J14" s="15">
        <v>-0.97999999999999599</v>
      </c>
      <c r="K14" s="32">
        <f t="shared" si="0"/>
        <v>33.479999999999997</v>
      </c>
      <c r="L14" s="33">
        <f t="shared" si="1"/>
        <v>4.1849999999999996</v>
      </c>
    </row>
    <row r="15" spans="1:12" s="16" customFormat="1" x14ac:dyDescent="0.25">
      <c r="A15" s="31" t="s">
        <v>105</v>
      </c>
      <c r="B15" s="31" t="s">
        <v>390</v>
      </c>
      <c r="C15" s="31" t="s">
        <v>2</v>
      </c>
      <c r="D15" s="15" t="s">
        <v>391</v>
      </c>
      <c r="E15" s="15" t="s">
        <v>649</v>
      </c>
      <c r="F15" s="15">
        <v>54</v>
      </c>
      <c r="G15" s="15">
        <v>51.92</v>
      </c>
      <c r="H15" s="15">
        <v>54</v>
      </c>
      <c r="I15" s="15">
        <v>55.1</v>
      </c>
      <c r="J15" s="15">
        <v>3.1799999999999899</v>
      </c>
      <c r="K15" s="32">
        <f t="shared" si="0"/>
        <v>34.9</v>
      </c>
      <c r="L15" s="33">
        <f t="shared" si="1"/>
        <v>4.3624999999999998</v>
      </c>
    </row>
    <row r="16" spans="1:12" s="16" customFormat="1" x14ac:dyDescent="0.25">
      <c r="A16" s="31" t="s">
        <v>32</v>
      </c>
      <c r="B16" s="31" t="s">
        <v>360</v>
      </c>
      <c r="C16" s="31" t="s">
        <v>2</v>
      </c>
      <c r="D16" s="15" t="s">
        <v>361</v>
      </c>
      <c r="E16" s="15" t="s">
        <v>649</v>
      </c>
      <c r="F16" s="15">
        <v>33</v>
      </c>
      <c r="G16" s="15">
        <v>55.93</v>
      </c>
      <c r="H16" s="15">
        <v>35</v>
      </c>
      <c r="I16" s="15">
        <v>49.3</v>
      </c>
      <c r="J16" s="15">
        <v>-6.63</v>
      </c>
      <c r="K16" s="32">
        <f t="shared" si="0"/>
        <v>40.700000000000003</v>
      </c>
      <c r="L16" s="33">
        <f t="shared" si="1"/>
        <v>5.0875000000000004</v>
      </c>
    </row>
    <row r="17" spans="1:12" s="16" customFormat="1" x14ac:dyDescent="0.25">
      <c r="A17" s="31" t="s">
        <v>213</v>
      </c>
      <c r="B17" s="31" t="s">
        <v>214</v>
      </c>
      <c r="C17" s="31" t="s">
        <v>2</v>
      </c>
      <c r="D17" s="15" t="s">
        <v>215</v>
      </c>
      <c r="E17" s="15" t="s">
        <v>649</v>
      </c>
      <c r="F17" s="15">
        <v>33</v>
      </c>
      <c r="G17" s="15">
        <v>52.38</v>
      </c>
      <c r="H17" s="15">
        <v>30</v>
      </c>
      <c r="I17" s="15">
        <v>48.39</v>
      </c>
      <c r="J17" s="15">
        <v>-3.99</v>
      </c>
      <c r="K17" s="32">
        <f t="shared" si="0"/>
        <v>41.61</v>
      </c>
      <c r="L17" s="33">
        <f t="shared" si="1"/>
        <v>5.2012499999999999</v>
      </c>
    </row>
    <row r="18" spans="1:12" s="16" customFormat="1" x14ac:dyDescent="0.25">
      <c r="A18" s="31" t="s">
        <v>62</v>
      </c>
      <c r="B18" s="31" t="s">
        <v>241</v>
      </c>
      <c r="C18" s="31" t="s">
        <v>2</v>
      </c>
      <c r="D18" s="15" t="s">
        <v>242</v>
      </c>
      <c r="E18" s="15" t="s">
        <v>649</v>
      </c>
      <c r="F18" s="15">
        <v>16</v>
      </c>
      <c r="G18" s="15">
        <v>39.020000000000003</v>
      </c>
      <c r="H18" s="15">
        <v>18</v>
      </c>
      <c r="I18" s="15">
        <v>42.86</v>
      </c>
      <c r="J18" s="15">
        <v>3.8399999999999901</v>
      </c>
      <c r="K18" s="32">
        <f t="shared" si="0"/>
        <v>47.14</v>
      </c>
      <c r="L18" s="33">
        <f t="shared" si="1"/>
        <v>5.8925000000000001</v>
      </c>
    </row>
    <row r="19" spans="1:12" s="16" customFormat="1" x14ac:dyDescent="0.25">
      <c r="A19" s="31" t="s">
        <v>32</v>
      </c>
      <c r="B19" s="31" t="s">
        <v>126</v>
      </c>
      <c r="C19" s="31" t="s">
        <v>2</v>
      </c>
      <c r="D19" s="15" t="s">
        <v>127</v>
      </c>
      <c r="E19" s="15" t="s">
        <v>649</v>
      </c>
      <c r="F19" s="15">
        <v>18</v>
      </c>
      <c r="G19" s="15">
        <v>20.22</v>
      </c>
      <c r="H19" s="15">
        <v>33</v>
      </c>
      <c r="I19" s="15">
        <v>40.24</v>
      </c>
      <c r="J19" s="15">
        <v>20.02</v>
      </c>
      <c r="K19" s="32">
        <f t="shared" si="0"/>
        <v>49.76</v>
      </c>
      <c r="L19" s="33">
        <f t="shared" si="1"/>
        <v>6.22</v>
      </c>
    </row>
    <row r="20" spans="1:12" s="16" customFormat="1" x14ac:dyDescent="0.25">
      <c r="A20" s="31" t="s">
        <v>32</v>
      </c>
      <c r="B20" s="31" t="s">
        <v>165</v>
      </c>
      <c r="C20" s="31" t="s">
        <v>121</v>
      </c>
      <c r="D20" s="15" t="s">
        <v>166</v>
      </c>
      <c r="E20" s="15" t="s">
        <v>649</v>
      </c>
      <c r="F20" s="15">
        <v>129</v>
      </c>
      <c r="G20" s="15">
        <v>34.4</v>
      </c>
      <c r="H20" s="15">
        <v>141</v>
      </c>
      <c r="I20" s="15">
        <v>36.81</v>
      </c>
      <c r="J20" s="15">
        <v>2.41</v>
      </c>
      <c r="K20" s="32">
        <f t="shared" si="0"/>
        <v>53.19</v>
      </c>
      <c r="L20" s="33">
        <f t="shared" si="1"/>
        <v>6.6487499999999997</v>
      </c>
    </row>
    <row r="21" spans="1:12" s="16" customFormat="1" x14ac:dyDescent="0.25">
      <c r="A21" s="31" t="s">
        <v>15</v>
      </c>
      <c r="B21" s="31" t="s">
        <v>416</v>
      </c>
      <c r="C21" s="31" t="s">
        <v>2</v>
      </c>
      <c r="D21" s="15" t="s">
        <v>417</v>
      </c>
      <c r="E21" s="15" t="s">
        <v>649</v>
      </c>
      <c r="F21" s="15">
        <v>22</v>
      </c>
      <c r="G21" s="15">
        <v>32.35</v>
      </c>
      <c r="H21" s="15">
        <v>31</v>
      </c>
      <c r="I21" s="15">
        <v>34.83</v>
      </c>
      <c r="J21" s="15">
        <v>2.4799999999999902</v>
      </c>
      <c r="K21" s="32">
        <f t="shared" si="0"/>
        <v>55.17</v>
      </c>
      <c r="L21" s="33">
        <f t="shared" si="1"/>
        <v>6.8962500000000002</v>
      </c>
    </row>
    <row r="22" spans="1:12" s="16" customFormat="1" x14ac:dyDescent="0.25">
      <c r="A22" s="31" t="s">
        <v>143</v>
      </c>
      <c r="B22" s="31" t="s">
        <v>152</v>
      </c>
      <c r="C22" s="31" t="s">
        <v>2</v>
      </c>
      <c r="D22" s="15" t="s">
        <v>153</v>
      </c>
      <c r="E22" s="15" t="s">
        <v>649</v>
      </c>
      <c r="F22" s="15">
        <v>33</v>
      </c>
      <c r="G22" s="15">
        <v>34.020000000000003</v>
      </c>
      <c r="H22" s="15">
        <v>27</v>
      </c>
      <c r="I22" s="15">
        <v>33.33</v>
      </c>
      <c r="J22" s="15">
        <v>-0.69000000000000405</v>
      </c>
      <c r="K22" s="32">
        <f t="shared" si="0"/>
        <v>56.67</v>
      </c>
      <c r="L22" s="33">
        <f t="shared" si="1"/>
        <v>7.0837500000000002</v>
      </c>
    </row>
    <row r="23" spans="1:12" s="16" customFormat="1" x14ac:dyDescent="0.25">
      <c r="A23" s="31" t="s">
        <v>32</v>
      </c>
      <c r="B23" s="31" t="s">
        <v>268</v>
      </c>
      <c r="C23" s="31" t="s">
        <v>36</v>
      </c>
      <c r="D23" s="15" t="s">
        <v>269</v>
      </c>
      <c r="E23" s="15" t="s">
        <v>649</v>
      </c>
      <c r="F23" s="15">
        <v>10</v>
      </c>
      <c r="G23" s="15">
        <v>12.05</v>
      </c>
      <c r="H23" s="15">
        <v>15</v>
      </c>
      <c r="I23" s="15">
        <v>14.56</v>
      </c>
      <c r="J23" s="15">
        <v>2.5099999999999998</v>
      </c>
      <c r="K23" s="32">
        <f t="shared" si="0"/>
        <v>75.44</v>
      </c>
      <c r="L23" s="33">
        <f t="shared" si="1"/>
        <v>9.43</v>
      </c>
    </row>
    <row r="24" spans="1:12" s="16" customFormat="1" x14ac:dyDescent="0.25">
      <c r="A24" s="31" t="s">
        <v>32</v>
      </c>
      <c r="B24" s="31" t="s">
        <v>496</v>
      </c>
      <c r="C24" s="31" t="s">
        <v>36</v>
      </c>
      <c r="D24" s="15" t="s">
        <v>497</v>
      </c>
      <c r="E24" s="15" t="s">
        <v>649</v>
      </c>
      <c r="F24" s="15" t="s">
        <v>665</v>
      </c>
      <c r="G24" s="15" t="s">
        <v>665</v>
      </c>
      <c r="H24" s="15">
        <v>3</v>
      </c>
      <c r="I24" s="15">
        <v>5.88</v>
      </c>
      <c r="J24" s="15" t="s">
        <v>665</v>
      </c>
      <c r="K24" s="32">
        <f t="shared" si="0"/>
        <v>84.12</v>
      </c>
      <c r="L24" s="33">
        <f t="shared" si="1"/>
        <v>10.515000000000001</v>
      </c>
    </row>
    <row r="25" spans="1:12" s="16" customFormat="1" x14ac:dyDescent="0.25">
      <c r="A25" s="31" t="s">
        <v>32</v>
      </c>
      <c r="B25" s="31" t="s">
        <v>558</v>
      </c>
      <c r="C25" s="31" t="s">
        <v>474</v>
      </c>
      <c r="D25" s="15" t="s">
        <v>559</v>
      </c>
      <c r="E25" s="15" t="s">
        <v>649</v>
      </c>
      <c r="F25" s="15">
        <v>6</v>
      </c>
      <c r="G25" s="15">
        <v>5.71</v>
      </c>
      <c r="H25" s="15">
        <v>5</v>
      </c>
      <c r="I25" s="15">
        <v>5.43</v>
      </c>
      <c r="J25" s="15">
        <v>-0.28000000000000003</v>
      </c>
      <c r="K25" s="32">
        <f t="shared" si="0"/>
        <v>84.57</v>
      </c>
      <c r="L25" s="33">
        <f t="shared" si="1"/>
        <v>10.571249999999999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4" max="4" width="40.5703125" bestFit="1" customWidth="1"/>
    <col min="11" max="11" width="13.42578125" customWidth="1"/>
    <col min="12" max="12" width="16.85546875" customWidth="1"/>
  </cols>
  <sheetData>
    <row r="1" spans="1:12" s="22" customFormat="1" ht="90" x14ac:dyDescent="0.25">
      <c r="A1" s="19" t="s">
        <v>655</v>
      </c>
      <c r="B1" s="19" t="s">
        <v>656</v>
      </c>
      <c r="C1" s="19" t="s">
        <v>657</v>
      </c>
      <c r="D1" s="19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664</v>
      </c>
      <c r="K1" s="20" t="s">
        <v>668</v>
      </c>
      <c r="L1" s="21" t="s">
        <v>667</v>
      </c>
    </row>
    <row r="2" spans="1:12" s="5" customFormat="1" x14ac:dyDescent="0.25">
      <c r="A2" s="5" t="s">
        <v>345</v>
      </c>
      <c r="B2" s="5" t="s">
        <v>348</v>
      </c>
      <c r="C2" s="5" t="s">
        <v>2</v>
      </c>
      <c r="D2" s="5" t="s">
        <v>349</v>
      </c>
      <c r="E2" s="5" t="s">
        <v>650</v>
      </c>
      <c r="F2" s="5">
        <v>64</v>
      </c>
      <c r="G2" s="5">
        <v>83.12</v>
      </c>
      <c r="H2" s="5">
        <v>77</v>
      </c>
      <c r="I2" s="5">
        <v>80.209999999999994</v>
      </c>
      <c r="J2" s="5">
        <v>-2.91</v>
      </c>
      <c r="K2" s="5">
        <f>90-I2</f>
        <v>9.7900000000000063</v>
      </c>
      <c r="L2" s="6">
        <f>K2/8</f>
        <v>1.2237500000000008</v>
      </c>
    </row>
    <row r="3" spans="1:12" s="8" customFormat="1" x14ac:dyDescent="0.25">
      <c r="A3" s="8" t="s">
        <v>32</v>
      </c>
      <c r="B3" s="8" t="s">
        <v>33</v>
      </c>
      <c r="C3" s="8" t="s">
        <v>2</v>
      </c>
      <c r="D3" s="8" t="s">
        <v>34</v>
      </c>
      <c r="E3" s="8" t="s">
        <v>650</v>
      </c>
      <c r="F3" s="8">
        <v>43</v>
      </c>
      <c r="G3" s="8">
        <v>53.75</v>
      </c>
      <c r="H3" s="8">
        <v>70</v>
      </c>
      <c r="I3" s="8">
        <v>78.650000000000006</v>
      </c>
      <c r="J3" s="8">
        <v>24.9</v>
      </c>
      <c r="K3" s="8">
        <f t="shared" ref="K3:K32" si="0">90-I3</f>
        <v>11.349999999999994</v>
      </c>
      <c r="L3" s="9">
        <f t="shared" ref="L3:L32" si="1">K3/8</f>
        <v>1.4187499999999993</v>
      </c>
    </row>
    <row r="4" spans="1:12" s="8" customFormat="1" x14ac:dyDescent="0.25">
      <c r="A4" s="8" t="s">
        <v>105</v>
      </c>
      <c r="B4" s="8" t="s">
        <v>378</v>
      </c>
      <c r="C4" s="8" t="s">
        <v>2</v>
      </c>
      <c r="D4" s="8" t="s">
        <v>379</v>
      </c>
      <c r="E4" s="8" t="s">
        <v>650</v>
      </c>
      <c r="F4" s="8">
        <v>53</v>
      </c>
      <c r="G4" s="8">
        <v>79.099999999999994</v>
      </c>
      <c r="H4" s="8">
        <v>41</v>
      </c>
      <c r="I4" s="8">
        <v>75.930000000000007</v>
      </c>
      <c r="J4" s="8">
        <v>-3.17</v>
      </c>
      <c r="K4" s="8">
        <f t="shared" si="0"/>
        <v>14.069999999999993</v>
      </c>
      <c r="L4" s="9">
        <f t="shared" si="1"/>
        <v>1.7587499999999991</v>
      </c>
    </row>
    <row r="5" spans="1:12" s="8" customFormat="1" x14ac:dyDescent="0.25">
      <c r="A5" s="8" t="s">
        <v>59</v>
      </c>
      <c r="B5" s="8" t="s">
        <v>321</v>
      </c>
      <c r="C5" s="8" t="s">
        <v>2</v>
      </c>
      <c r="D5" s="8" t="s">
        <v>322</v>
      </c>
      <c r="E5" s="8" t="s">
        <v>650</v>
      </c>
      <c r="F5" s="8">
        <v>54</v>
      </c>
      <c r="G5" s="8">
        <v>72.97</v>
      </c>
      <c r="H5" s="8">
        <v>47</v>
      </c>
      <c r="I5" s="8">
        <v>74.599999999999994</v>
      </c>
      <c r="J5" s="8">
        <v>1.63</v>
      </c>
      <c r="K5" s="8">
        <f t="shared" si="0"/>
        <v>15.400000000000006</v>
      </c>
      <c r="L5" s="9">
        <f t="shared" si="1"/>
        <v>1.9250000000000007</v>
      </c>
    </row>
    <row r="6" spans="1:12" s="12" customFormat="1" x14ac:dyDescent="0.25">
      <c r="A6" s="12" t="s">
        <v>32</v>
      </c>
      <c r="B6" s="12" t="s">
        <v>574</v>
      </c>
      <c r="C6" s="12" t="s">
        <v>36</v>
      </c>
      <c r="D6" s="12" t="s">
        <v>575</v>
      </c>
      <c r="E6" s="12" t="s">
        <v>650</v>
      </c>
      <c r="F6" s="12">
        <v>47</v>
      </c>
      <c r="G6" s="12">
        <v>78.33</v>
      </c>
      <c r="H6" s="12">
        <v>38</v>
      </c>
      <c r="I6" s="12">
        <v>69.09</v>
      </c>
      <c r="J6" s="12">
        <v>-9.24</v>
      </c>
      <c r="K6" s="12">
        <f t="shared" si="0"/>
        <v>20.909999999999997</v>
      </c>
      <c r="L6" s="13">
        <f t="shared" si="1"/>
        <v>2.6137499999999996</v>
      </c>
    </row>
    <row r="7" spans="1:12" s="12" customFormat="1" x14ac:dyDescent="0.25">
      <c r="A7" s="12" t="s">
        <v>32</v>
      </c>
      <c r="B7" s="12" t="s">
        <v>436</v>
      </c>
      <c r="C7" s="12" t="s">
        <v>2</v>
      </c>
      <c r="D7" s="12" t="s">
        <v>437</v>
      </c>
      <c r="E7" s="12" t="s">
        <v>650</v>
      </c>
      <c r="F7" s="12">
        <v>63</v>
      </c>
      <c r="G7" s="12">
        <v>63</v>
      </c>
      <c r="H7" s="12">
        <v>67</v>
      </c>
      <c r="I7" s="12">
        <v>69.069999999999993</v>
      </c>
      <c r="J7" s="12">
        <v>6.07</v>
      </c>
      <c r="K7" s="12">
        <f t="shared" si="0"/>
        <v>20.930000000000007</v>
      </c>
      <c r="L7" s="13">
        <f t="shared" si="1"/>
        <v>2.6162500000000009</v>
      </c>
    </row>
    <row r="8" spans="1:12" s="12" customFormat="1" x14ac:dyDescent="0.25">
      <c r="A8" s="12" t="s">
        <v>15</v>
      </c>
      <c r="B8" s="12" t="s">
        <v>182</v>
      </c>
      <c r="C8" s="12" t="s">
        <v>2</v>
      </c>
      <c r="D8" s="12" t="s">
        <v>183</v>
      </c>
      <c r="E8" s="12" t="s">
        <v>650</v>
      </c>
      <c r="F8" s="12">
        <v>115</v>
      </c>
      <c r="G8" s="12">
        <v>60.85</v>
      </c>
      <c r="H8" s="12">
        <v>99</v>
      </c>
      <c r="I8" s="12">
        <v>67.349999999999994</v>
      </c>
      <c r="J8" s="12">
        <v>6.5</v>
      </c>
      <c r="K8" s="12">
        <f t="shared" si="0"/>
        <v>22.650000000000006</v>
      </c>
      <c r="L8" s="13">
        <f t="shared" si="1"/>
        <v>2.8312500000000007</v>
      </c>
    </row>
    <row r="9" spans="1:12" s="12" customFormat="1" x14ac:dyDescent="0.25">
      <c r="A9" s="12" t="s">
        <v>213</v>
      </c>
      <c r="B9" s="12" t="s">
        <v>214</v>
      </c>
      <c r="C9" s="12" t="s">
        <v>2</v>
      </c>
      <c r="D9" s="12" t="s">
        <v>215</v>
      </c>
      <c r="E9" s="12" t="s">
        <v>650</v>
      </c>
      <c r="F9" s="12">
        <v>84</v>
      </c>
      <c r="G9" s="12">
        <v>53.16</v>
      </c>
      <c r="H9" s="12">
        <v>89</v>
      </c>
      <c r="I9" s="12">
        <v>66.92</v>
      </c>
      <c r="J9" s="12">
        <v>13.76</v>
      </c>
      <c r="K9" s="12">
        <f t="shared" si="0"/>
        <v>23.08</v>
      </c>
      <c r="L9" s="13">
        <f t="shared" si="1"/>
        <v>2.8849999999999998</v>
      </c>
    </row>
    <row r="10" spans="1:12" s="12" customFormat="1" x14ac:dyDescent="0.25">
      <c r="A10" s="12" t="s">
        <v>32</v>
      </c>
      <c r="B10" s="12" t="s">
        <v>371</v>
      </c>
      <c r="C10" s="12" t="s">
        <v>2</v>
      </c>
      <c r="D10" s="12" t="s">
        <v>372</v>
      </c>
      <c r="E10" s="12" t="s">
        <v>650</v>
      </c>
      <c r="F10" s="12">
        <v>179</v>
      </c>
      <c r="G10" s="12">
        <v>61.51</v>
      </c>
      <c r="H10" s="12">
        <v>233</v>
      </c>
      <c r="I10" s="12">
        <v>65.63</v>
      </c>
      <c r="J10" s="12">
        <v>4.12</v>
      </c>
      <c r="K10" s="12">
        <f t="shared" si="0"/>
        <v>24.370000000000005</v>
      </c>
      <c r="L10" s="13">
        <f t="shared" si="1"/>
        <v>3.0462500000000006</v>
      </c>
    </row>
    <row r="11" spans="1:12" s="12" customFormat="1" x14ac:dyDescent="0.25">
      <c r="A11" s="12" t="s">
        <v>32</v>
      </c>
      <c r="B11" s="12" t="s">
        <v>498</v>
      </c>
      <c r="C11" s="12" t="s">
        <v>2</v>
      </c>
      <c r="D11" s="12" t="s">
        <v>499</v>
      </c>
      <c r="E11" s="12" t="s">
        <v>650</v>
      </c>
      <c r="F11" s="12">
        <v>63</v>
      </c>
      <c r="G11" s="12">
        <v>64.290000000000006</v>
      </c>
      <c r="H11" s="12">
        <v>87</v>
      </c>
      <c r="I11" s="12">
        <v>65.41</v>
      </c>
      <c r="J11" s="12">
        <v>1.1200000000000001</v>
      </c>
      <c r="K11" s="12">
        <f t="shared" si="0"/>
        <v>24.590000000000003</v>
      </c>
      <c r="L11" s="13">
        <f t="shared" si="1"/>
        <v>3.0737500000000004</v>
      </c>
    </row>
    <row r="12" spans="1:12" s="12" customFormat="1" x14ac:dyDescent="0.25">
      <c r="A12" s="12" t="s">
        <v>59</v>
      </c>
      <c r="B12" s="12" t="s">
        <v>432</v>
      </c>
      <c r="C12" s="12" t="s">
        <v>2</v>
      </c>
      <c r="D12" s="12" t="s">
        <v>433</v>
      </c>
      <c r="E12" s="12" t="s">
        <v>650</v>
      </c>
      <c r="F12" s="12">
        <v>56</v>
      </c>
      <c r="G12" s="12">
        <v>73.680000000000007</v>
      </c>
      <c r="H12" s="12">
        <v>45</v>
      </c>
      <c r="I12" s="12">
        <v>64.290000000000006</v>
      </c>
      <c r="J12" s="12">
        <v>-9.39</v>
      </c>
      <c r="K12" s="12">
        <f t="shared" si="0"/>
        <v>25.709999999999994</v>
      </c>
      <c r="L12" s="13">
        <f t="shared" si="1"/>
        <v>3.2137499999999992</v>
      </c>
    </row>
    <row r="13" spans="1:12" s="12" customFormat="1" x14ac:dyDescent="0.25">
      <c r="A13" s="12" t="s">
        <v>32</v>
      </c>
      <c r="B13" s="12" t="s">
        <v>428</v>
      </c>
      <c r="C13" s="12" t="s">
        <v>2</v>
      </c>
      <c r="D13" s="12" t="s">
        <v>429</v>
      </c>
      <c r="E13" s="12" t="s">
        <v>650</v>
      </c>
      <c r="F13" s="12">
        <v>31</v>
      </c>
      <c r="G13" s="12">
        <v>56.36</v>
      </c>
      <c r="H13" s="12">
        <v>41</v>
      </c>
      <c r="I13" s="12">
        <v>64.06</v>
      </c>
      <c r="J13" s="12">
        <v>7.7</v>
      </c>
      <c r="K13" s="12">
        <f t="shared" si="0"/>
        <v>25.939999999999998</v>
      </c>
      <c r="L13" s="13">
        <f t="shared" si="1"/>
        <v>3.2424999999999997</v>
      </c>
    </row>
    <row r="14" spans="1:12" s="12" customFormat="1" x14ac:dyDescent="0.25">
      <c r="A14" s="12" t="s">
        <v>105</v>
      </c>
      <c r="B14" s="12" t="s">
        <v>382</v>
      </c>
      <c r="C14" s="12" t="s">
        <v>2</v>
      </c>
      <c r="D14" s="12" t="s">
        <v>383</v>
      </c>
      <c r="E14" s="12" t="s">
        <v>650</v>
      </c>
      <c r="F14" s="12">
        <v>31</v>
      </c>
      <c r="G14" s="12">
        <v>72.09</v>
      </c>
      <c r="H14" s="12">
        <v>36</v>
      </c>
      <c r="I14" s="12">
        <v>63.16</v>
      </c>
      <c r="J14" s="12">
        <v>-8.93</v>
      </c>
      <c r="K14" s="12">
        <f t="shared" si="0"/>
        <v>26.840000000000003</v>
      </c>
      <c r="L14" s="13">
        <f t="shared" si="1"/>
        <v>3.3550000000000004</v>
      </c>
    </row>
    <row r="15" spans="1:12" s="12" customFormat="1" x14ac:dyDescent="0.25">
      <c r="A15" s="12" t="s">
        <v>32</v>
      </c>
      <c r="B15" s="12" t="s">
        <v>360</v>
      </c>
      <c r="C15" s="12" t="s">
        <v>2</v>
      </c>
      <c r="D15" s="12" t="s">
        <v>361</v>
      </c>
      <c r="E15" s="12" t="s">
        <v>650</v>
      </c>
      <c r="F15" s="12">
        <v>140</v>
      </c>
      <c r="G15" s="12">
        <v>59.83</v>
      </c>
      <c r="H15" s="12">
        <v>141</v>
      </c>
      <c r="I15" s="12">
        <v>61.84</v>
      </c>
      <c r="J15" s="12">
        <v>2.0099999999999998</v>
      </c>
      <c r="K15" s="12">
        <f t="shared" si="0"/>
        <v>28.159999999999997</v>
      </c>
      <c r="L15" s="13">
        <f t="shared" si="1"/>
        <v>3.5199999999999996</v>
      </c>
    </row>
    <row r="16" spans="1:12" s="12" customFormat="1" x14ac:dyDescent="0.25">
      <c r="A16" s="12" t="s">
        <v>32</v>
      </c>
      <c r="B16" s="12" t="s">
        <v>126</v>
      </c>
      <c r="C16" s="12" t="s">
        <v>2</v>
      </c>
      <c r="D16" s="12" t="s">
        <v>127</v>
      </c>
      <c r="E16" s="12" t="s">
        <v>650</v>
      </c>
      <c r="F16" s="12">
        <v>41</v>
      </c>
      <c r="G16" s="12">
        <v>66.13</v>
      </c>
      <c r="H16" s="12">
        <v>35</v>
      </c>
      <c r="I16" s="12">
        <v>61.4</v>
      </c>
      <c r="J16" s="12">
        <v>-4.7300000000000004</v>
      </c>
      <c r="K16" s="12">
        <f t="shared" si="0"/>
        <v>28.6</v>
      </c>
      <c r="L16" s="13">
        <f t="shared" si="1"/>
        <v>3.5750000000000002</v>
      </c>
    </row>
    <row r="17" spans="1:12" s="12" customFormat="1" x14ac:dyDescent="0.25">
      <c r="A17" s="12" t="s">
        <v>59</v>
      </c>
      <c r="B17" s="12" t="s">
        <v>422</v>
      </c>
      <c r="C17" s="12" t="s">
        <v>2</v>
      </c>
      <c r="D17" s="12" t="s">
        <v>423</v>
      </c>
      <c r="E17" s="12" t="s">
        <v>650</v>
      </c>
      <c r="F17" s="12">
        <v>69</v>
      </c>
      <c r="G17" s="12">
        <v>68.319999999999993</v>
      </c>
      <c r="H17" s="12">
        <v>72</v>
      </c>
      <c r="I17" s="12">
        <v>61.02</v>
      </c>
      <c r="J17" s="12">
        <v>-7.3</v>
      </c>
      <c r="K17" s="12">
        <f t="shared" si="0"/>
        <v>28.979999999999997</v>
      </c>
      <c r="L17" s="13">
        <f t="shared" si="1"/>
        <v>3.6224999999999996</v>
      </c>
    </row>
    <row r="18" spans="1:12" s="16" customFormat="1" x14ac:dyDescent="0.25">
      <c r="A18" s="16" t="s">
        <v>32</v>
      </c>
      <c r="B18" s="16" t="s">
        <v>398</v>
      </c>
      <c r="C18" s="16" t="s">
        <v>2</v>
      </c>
      <c r="D18" s="16" t="s">
        <v>399</v>
      </c>
      <c r="E18" s="16" t="s">
        <v>650</v>
      </c>
      <c r="F18" s="16">
        <v>38</v>
      </c>
      <c r="G18" s="16">
        <v>48.72</v>
      </c>
      <c r="H18" s="16">
        <v>36</v>
      </c>
      <c r="I18" s="16">
        <v>57.14</v>
      </c>
      <c r="J18" s="16">
        <v>8.42</v>
      </c>
      <c r="K18" s="16">
        <f t="shared" si="0"/>
        <v>32.86</v>
      </c>
      <c r="L18" s="17">
        <f t="shared" si="1"/>
        <v>4.1074999999999999</v>
      </c>
    </row>
    <row r="19" spans="1:12" s="16" customFormat="1" x14ac:dyDescent="0.25">
      <c r="A19" s="16" t="s">
        <v>59</v>
      </c>
      <c r="B19" s="16" t="s">
        <v>193</v>
      </c>
      <c r="C19" s="16" t="s">
        <v>2</v>
      </c>
      <c r="D19" s="16" t="s">
        <v>194</v>
      </c>
      <c r="E19" s="16" t="s">
        <v>650</v>
      </c>
      <c r="F19" s="16">
        <v>467</v>
      </c>
      <c r="G19" s="16">
        <v>52.06</v>
      </c>
      <c r="H19" s="16">
        <v>477</v>
      </c>
      <c r="I19" s="16">
        <v>56.85</v>
      </c>
      <c r="J19" s="16">
        <v>4.79</v>
      </c>
      <c r="K19" s="16">
        <f t="shared" si="0"/>
        <v>33.15</v>
      </c>
      <c r="L19" s="17">
        <f t="shared" si="1"/>
        <v>4.1437499999999998</v>
      </c>
    </row>
    <row r="20" spans="1:12" s="16" customFormat="1" x14ac:dyDescent="0.25">
      <c r="A20" s="16" t="s">
        <v>105</v>
      </c>
      <c r="B20" s="16" t="s">
        <v>390</v>
      </c>
      <c r="C20" s="16" t="s">
        <v>2</v>
      </c>
      <c r="D20" s="16" t="s">
        <v>391</v>
      </c>
      <c r="E20" s="16" t="s">
        <v>650</v>
      </c>
      <c r="F20" s="16">
        <v>165</v>
      </c>
      <c r="G20" s="16">
        <v>55.37</v>
      </c>
      <c r="H20" s="16">
        <v>168</v>
      </c>
      <c r="I20" s="16">
        <v>54.37</v>
      </c>
      <c r="J20" s="16">
        <v>-1</v>
      </c>
      <c r="K20" s="16">
        <f t="shared" si="0"/>
        <v>35.630000000000003</v>
      </c>
      <c r="L20" s="17">
        <f t="shared" si="1"/>
        <v>4.4537500000000003</v>
      </c>
    </row>
    <row r="21" spans="1:12" s="16" customFormat="1" x14ac:dyDescent="0.25">
      <c r="A21" s="16" t="s">
        <v>32</v>
      </c>
      <c r="B21" s="16" t="s">
        <v>57</v>
      </c>
      <c r="C21" s="16" t="s">
        <v>2</v>
      </c>
      <c r="D21" s="16" t="s">
        <v>58</v>
      </c>
      <c r="E21" s="16" t="s">
        <v>650</v>
      </c>
      <c r="F21" s="16">
        <v>26</v>
      </c>
      <c r="G21" s="16">
        <v>44.07</v>
      </c>
      <c r="H21" s="16">
        <v>25</v>
      </c>
      <c r="I21" s="16">
        <v>53.19</v>
      </c>
      <c r="J21" s="16">
        <v>9.1199999999999992</v>
      </c>
      <c r="K21" s="16">
        <f t="shared" si="0"/>
        <v>36.81</v>
      </c>
      <c r="L21" s="17">
        <f t="shared" si="1"/>
        <v>4.6012500000000003</v>
      </c>
    </row>
    <row r="22" spans="1:12" s="16" customFormat="1" x14ac:dyDescent="0.25">
      <c r="A22" s="16" t="s">
        <v>36</v>
      </c>
      <c r="B22" s="16" t="s">
        <v>199</v>
      </c>
      <c r="C22" s="16" t="s">
        <v>2</v>
      </c>
      <c r="D22" s="16" t="s">
        <v>200</v>
      </c>
      <c r="E22" s="16" t="s">
        <v>650</v>
      </c>
      <c r="H22" s="16">
        <v>23</v>
      </c>
      <c r="I22" s="16">
        <v>51.11</v>
      </c>
      <c r="K22" s="16">
        <f t="shared" si="0"/>
        <v>38.89</v>
      </c>
      <c r="L22" s="17">
        <f t="shared" si="1"/>
        <v>4.8612500000000001</v>
      </c>
    </row>
    <row r="23" spans="1:12" s="16" customFormat="1" x14ac:dyDescent="0.25">
      <c r="A23" s="16" t="s">
        <v>8</v>
      </c>
      <c r="B23" s="16" t="s">
        <v>444</v>
      </c>
      <c r="C23" s="16" t="s">
        <v>2</v>
      </c>
      <c r="D23" s="16" t="s">
        <v>445</v>
      </c>
      <c r="E23" s="16" t="s">
        <v>650</v>
      </c>
      <c r="F23" s="16">
        <v>73</v>
      </c>
      <c r="G23" s="16">
        <v>50.34</v>
      </c>
      <c r="H23" s="16">
        <v>58</v>
      </c>
      <c r="I23" s="16">
        <v>44.96</v>
      </c>
      <c r="J23" s="16">
        <v>-5.38</v>
      </c>
      <c r="K23" s="16">
        <f t="shared" si="0"/>
        <v>45.04</v>
      </c>
      <c r="L23" s="17">
        <f t="shared" si="1"/>
        <v>5.63</v>
      </c>
    </row>
    <row r="24" spans="1:12" s="16" customFormat="1" x14ac:dyDescent="0.25">
      <c r="A24" s="16" t="s">
        <v>0</v>
      </c>
      <c r="B24" s="16" t="s">
        <v>446</v>
      </c>
      <c r="C24" s="16" t="s">
        <v>2</v>
      </c>
      <c r="D24" s="16" t="s">
        <v>447</v>
      </c>
      <c r="E24" s="16" t="s">
        <v>650</v>
      </c>
      <c r="F24" s="16">
        <v>25</v>
      </c>
      <c r="G24" s="16">
        <v>39.68</v>
      </c>
      <c r="H24" s="16">
        <v>37</v>
      </c>
      <c r="I24" s="16">
        <v>43.53</v>
      </c>
      <c r="J24" s="16">
        <v>3.85</v>
      </c>
      <c r="K24" s="16">
        <f t="shared" si="0"/>
        <v>46.47</v>
      </c>
      <c r="L24" s="17">
        <f t="shared" si="1"/>
        <v>5.8087499999999999</v>
      </c>
    </row>
    <row r="25" spans="1:12" s="16" customFormat="1" x14ac:dyDescent="0.25">
      <c r="A25" s="16" t="s">
        <v>15</v>
      </c>
      <c r="B25" s="16" t="s">
        <v>416</v>
      </c>
      <c r="C25" s="16" t="s">
        <v>2</v>
      </c>
      <c r="D25" s="16" t="s">
        <v>417</v>
      </c>
      <c r="E25" s="16" t="s">
        <v>650</v>
      </c>
      <c r="F25" s="16">
        <v>72</v>
      </c>
      <c r="G25" s="16">
        <v>54.14</v>
      </c>
      <c r="H25" s="16">
        <v>50</v>
      </c>
      <c r="I25" s="16">
        <v>43.1</v>
      </c>
      <c r="J25" s="16">
        <v>-11.04</v>
      </c>
      <c r="K25" s="16">
        <f t="shared" si="0"/>
        <v>46.9</v>
      </c>
      <c r="L25" s="17">
        <f t="shared" si="1"/>
        <v>5.8624999999999998</v>
      </c>
    </row>
    <row r="26" spans="1:12" s="16" customFormat="1" x14ac:dyDescent="0.25">
      <c r="A26" s="16" t="s">
        <v>32</v>
      </c>
      <c r="B26" s="16" t="s">
        <v>165</v>
      </c>
      <c r="C26" s="16" t="s">
        <v>121</v>
      </c>
      <c r="D26" s="16" t="s">
        <v>166</v>
      </c>
      <c r="E26" s="16" t="s">
        <v>650</v>
      </c>
      <c r="F26" s="16">
        <v>414</v>
      </c>
      <c r="G26" s="16">
        <v>35.97</v>
      </c>
      <c r="H26" s="16">
        <v>352</v>
      </c>
      <c r="I26" s="16">
        <v>36.78</v>
      </c>
      <c r="J26" s="16">
        <v>0.81</v>
      </c>
      <c r="K26" s="16">
        <f t="shared" si="0"/>
        <v>53.22</v>
      </c>
      <c r="L26" s="17">
        <f t="shared" si="1"/>
        <v>6.6524999999999999</v>
      </c>
    </row>
    <row r="27" spans="1:12" s="16" customFormat="1" x14ac:dyDescent="0.25">
      <c r="A27" s="16" t="s">
        <v>59</v>
      </c>
      <c r="B27" s="16" t="s">
        <v>600</v>
      </c>
      <c r="C27" s="16" t="s">
        <v>36</v>
      </c>
      <c r="D27" s="16" t="s">
        <v>601</v>
      </c>
      <c r="E27" s="16" t="s">
        <v>650</v>
      </c>
      <c r="F27" s="16">
        <v>27</v>
      </c>
      <c r="G27" s="16">
        <v>34.619999999999997</v>
      </c>
      <c r="H27" s="16">
        <v>17</v>
      </c>
      <c r="I27" s="16">
        <v>19.77</v>
      </c>
      <c r="J27" s="16">
        <v>-14.85</v>
      </c>
      <c r="K27" s="16">
        <f t="shared" si="0"/>
        <v>70.23</v>
      </c>
      <c r="L27" s="17">
        <f t="shared" si="1"/>
        <v>8.7787500000000005</v>
      </c>
    </row>
    <row r="28" spans="1:12" s="16" customFormat="1" x14ac:dyDescent="0.25">
      <c r="A28" s="16" t="s">
        <v>32</v>
      </c>
      <c r="B28" s="16" t="s">
        <v>239</v>
      </c>
      <c r="C28" s="16" t="s">
        <v>36</v>
      </c>
      <c r="D28" s="16" t="s">
        <v>240</v>
      </c>
      <c r="E28" s="16" t="s">
        <v>650</v>
      </c>
      <c r="F28" s="16">
        <v>8</v>
      </c>
      <c r="G28" s="16">
        <v>19.510000000000002</v>
      </c>
      <c r="H28" s="16">
        <v>8</v>
      </c>
      <c r="I28" s="16">
        <v>19.510000000000002</v>
      </c>
      <c r="J28" s="16">
        <v>0</v>
      </c>
      <c r="K28" s="16">
        <f t="shared" si="0"/>
        <v>70.489999999999995</v>
      </c>
      <c r="L28" s="17">
        <f t="shared" si="1"/>
        <v>8.8112499999999994</v>
      </c>
    </row>
    <row r="29" spans="1:12" s="16" customFormat="1" x14ac:dyDescent="0.25">
      <c r="A29" s="16" t="s">
        <v>32</v>
      </c>
      <c r="B29" s="16" t="s">
        <v>268</v>
      </c>
      <c r="C29" s="16" t="s">
        <v>36</v>
      </c>
      <c r="D29" s="16" t="s">
        <v>269</v>
      </c>
      <c r="E29" s="16" t="s">
        <v>650</v>
      </c>
      <c r="F29" s="16">
        <v>41</v>
      </c>
      <c r="G29" s="16">
        <v>16.27</v>
      </c>
      <c r="H29" s="16">
        <v>41</v>
      </c>
      <c r="I29" s="16">
        <v>15.3</v>
      </c>
      <c r="J29" s="16">
        <v>-0.97</v>
      </c>
      <c r="K29" s="16">
        <f t="shared" si="0"/>
        <v>74.7</v>
      </c>
      <c r="L29" s="17">
        <f t="shared" si="1"/>
        <v>9.3375000000000004</v>
      </c>
    </row>
    <row r="30" spans="1:12" s="16" customFormat="1" x14ac:dyDescent="0.25">
      <c r="A30" s="16" t="s">
        <v>59</v>
      </c>
      <c r="B30" s="16" t="s">
        <v>473</v>
      </c>
      <c r="C30" s="16" t="s">
        <v>474</v>
      </c>
      <c r="D30" s="16" t="s">
        <v>666</v>
      </c>
      <c r="E30" s="16" t="s">
        <v>650</v>
      </c>
      <c r="F30" s="16">
        <v>5</v>
      </c>
      <c r="G30" s="16">
        <v>7.14</v>
      </c>
      <c r="H30" s="16">
        <v>9</v>
      </c>
      <c r="I30" s="16">
        <v>11.54</v>
      </c>
      <c r="J30" s="16">
        <v>4.4000000000000004</v>
      </c>
      <c r="K30" s="16">
        <f t="shared" si="0"/>
        <v>78.460000000000008</v>
      </c>
      <c r="L30" s="17">
        <f t="shared" si="1"/>
        <v>9.807500000000001</v>
      </c>
    </row>
    <row r="31" spans="1:12" s="16" customFormat="1" x14ac:dyDescent="0.25">
      <c r="A31" s="16" t="s">
        <v>32</v>
      </c>
      <c r="B31" s="16" t="s">
        <v>418</v>
      </c>
      <c r="C31" s="16" t="s">
        <v>36</v>
      </c>
      <c r="D31" s="16" t="s">
        <v>419</v>
      </c>
      <c r="E31" s="16" t="s">
        <v>650</v>
      </c>
      <c r="F31" s="16">
        <v>12</v>
      </c>
      <c r="G31" s="16">
        <v>9.16</v>
      </c>
      <c r="H31" s="16">
        <v>10</v>
      </c>
      <c r="I31" s="16">
        <v>7.75</v>
      </c>
      <c r="J31" s="16">
        <v>-1.41</v>
      </c>
      <c r="K31" s="16">
        <f t="shared" si="0"/>
        <v>82.25</v>
      </c>
      <c r="L31" s="17">
        <f t="shared" si="1"/>
        <v>10.28125</v>
      </c>
    </row>
    <row r="32" spans="1:12" s="16" customFormat="1" x14ac:dyDescent="0.25">
      <c r="A32" s="16" t="s">
        <v>32</v>
      </c>
      <c r="B32" s="16" t="s">
        <v>558</v>
      </c>
      <c r="C32" s="16" t="s">
        <v>474</v>
      </c>
      <c r="D32" s="16" t="s">
        <v>559</v>
      </c>
      <c r="E32" s="16" t="s">
        <v>650</v>
      </c>
      <c r="F32" s="16">
        <v>27</v>
      </c>
      <c r="G32" s="16">
        <v>11.16</v>
      </c>
      <c r="H32" s="16">
        <v>11</v>
      </c>
      <c r="I32" s="16">
        <v>5.61</v>
      </c>
      <c r="J32" s="16">
        <v>-5.55</v>
      </c>
      <c r="K32" s="16">
        <f t="shared" si="0"/>
        <v>84.39</v>
      </c>
      <c r="L32" s="17">
        <f t="shared" si="1"/>
        <v>10.54875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4" max="4" width="40.85546875" bestFit="1" customWidth="1"/>
    <col min="11" max="11" width="13.7109375" customWidth="1"/>
    <col min="12" max="12" width="16.5703125" customWidth="1"/>
  </cols>
  <sheetData>
    <row r="1" spans="1:12" s="22" customFormat="1" ht="90" x14ac:dyDescent="0.25">
      <c r="A1" s="19" t="s">
        <v>655</v>
      </c>
      <c r="B1" s="19" t="s">
        <v>656</v>
      </c>
      <c r="C1" s="19" t="s">
        <v>657</v>
      </c>
      <c r="D1" s="19" t="s">
        <v>658</v>
      </c>
      <c r="E1" s="20" t="s">
        <v>659</v>
      </c>
      <c r="F1" s="20" t="s">
        <v>660</v>
      </c>
      <c r="G1" s="20" t="s">
        <v>661</v>
      </c>
      <c r="H1" s="20" t="s">
        <v>662</v>
      </c>
      <c r="I1" s="20" t="s">
        <v>663</v>
      </c>
      <c r="J1" s="20" t="s">
        <v>664</v>
      </c>
      <c r="K1" s="20" t="s">
        <v>668</v>
      </c>
      <c r="L1" s="21" t="s">
        <v>667</v>
      </c>
    </row>
    <row r="2" spans="1:12" s="3" customFormat="1" x14ac:dyDescent="0.25">
      <c r="A2" s="3" t="s">
        <v>5</v>
      </c>
      <c r="B2" s="3" t="s">
        <v>6</v>
      </c>
      <c r="C2" s="3" t="s">
        <v>2</v>
      </c>
      <c r="D2" s="3" t="s">
        <v>7</v>
      </c>
      <c r="E2" s="3" t="s">
        <v>651</v>
      </c>
      <c r="F2" s="3">
        <v>32</v>
      </c>
      <c r="G2" s="3">
        <v>80</v>
      </c>
      <c r="H2" s="3">
        <v>44</v>
      </c>
      <c r="I2" s="3">
        <v>100</v>
      </c>
      <c r="J2" s="3">
        <v>20</v>
      </c>
    </row>
    <row r="3" spans="1:12" s="3" customFormat="1" x14ac:dyDescent="0.25">
      <c r="A3" s="3" t="s">
        <v>220</v>
      </c>
      <c r="B3" s="3" t="s">
        <v>221</v>
      </c>
      <c r="C3" s="3" t="s">
        <v>2</v>
      </c>
      <c r="D3" s="3" t="s">
        <v>222</v>
      </c>
      <c r="E3" s="3" t="s">
        <v>651</v>
      </c>
      <c r="F3" s="3">
        <v>50</v>
      </c>
      <c r="G3" s="3">
        <v>100</v>
      </c>
      <c r="H3" s="3">
        <v>40</v>
      </c>
      <c r="I3" s="3">
        <v>100</v>
      </c>
      <c r="J3" s="3">
        <v>0</v>
      </c>
    </row>
    <row r="4" spans="1:12" s="3" customFormat="1" x14ac:dyDescent="0.25">
      <c r="A4" s="3" t="s">
        <v>140</v>
      </c>
      <c r="B4" s="3" t="s">
        <v>141</v>
      </c>
      <c r="C4" s="3" t="s">
        <v>2</v>
      </c>
      <c r="D4" s="3" t="s">
        <v>142</v>
      </c>
      <c r="E4" s="3" t="s">
        <v>651</v>
      </c>
      <c r="F4" s="3">
        <v>73</v>
      </c>
      <c r="G4" s="3">
        <v>97.33</v>
      </c>
      <c r="H4" s="3">
        <v>73</v>
      </c>
      <c r="I4" s="3">
        <v>100</v>
      </c>
      <c r="J4" s="3">
        <v>2.67</v>
      </c>
    </row>
    <row r="5" spans="1:12" s="3" customFormat="1" x14ac:dyDescent="0.25">
      <c r="A5" s="3" t="s">
        <v>32</v>
      </c>
      <c r="B5" s="3" t="s">
        <v>178</v>
      </c>
      <c r="C5" s="3" t="s">
        <v>52</v>
      </c>
      <c r="D5" s="3" t="s">
        <v>179</v>
      </c>
      <c r="E5" s="3" t="s">
        <v>651</v>
      </c>
      <c r="F5" s="3">
        <v>131</v>
      </c>
      <c r="G5" s="3">
        <v>97.04</v>
      </c>
      <c r="H5" s="3">
        <v>117</v>
      </c>
      <c r="I5" s="3">
        <v>100</v>
      </c>
      <c r="J5" s="3">
        <v>2.96</v>
      </c>
    </row>
    <row r="6" spans="1:12" s="3" customFormat="1" x14ac:dyDescent="0.25">
      <c r="A6" s="3" t="s">
        <v>49</v>
      </c>
      <c r="B6" s="3" t="s">
        <v>50</v>
      </c>
      <c r="C6" s="3" t="s">
        <v>2</v>
      </c>
      <c r="D6" s="3" t="s">
        <v>51</v>
      </c>
      <c r="E6" s="3" t="s">
        <v>651</v>
      </c>
      <c r="F6" s="3">
        <v>81</v>
      </c>
      <c r="G6" s="3">
        <v>89.01</v>
      </c>
      <c r="H6" s="3">
        <v>90</v>
      </c>
      <c r="I6" s="3">
        <v>98.9</v>
      </c>
      <c r="J6" s="3">
        <v>9.89</v>
      </c>
    </row>
    <row r="7" spans="1:12" s="3" customFormat="1" x14ac:dyDescent="0.25">
      <c r="A7" s="3" t="s">
        <v>345</v>
      </c>
      <c r="B7" s="3" t="s">
        <v>346</v>
      </c>
      <c r="C7" s="3" t="s">
        <v>2</v>
      </c>
      <c r="D7" s="3" t="s">
        <v>347</v>
      </c>
      <c r="E7" s="3" t="s">
        <v>651</v>
      </c>
      <c r="F7" s="3">
        <v>269</v>
      </c>
      <c r="G7" s="3">
        <v>98.18</v>
      </c>
      <c r="H7" s="3">
        <v>281</v>
      </c>
      <c r="I7" s="3">
        <v>98.6</v>
      </c>
      <c r="J7" s="3">
        <v>0.42</v>
      </c>
    </row>
    <row r="8" spans="1:12" s="3" customFormat="1" x14ac:dyDescent="0.25">
      <c r="A8" s="3" t="s">
        <v>8</v>
      </c>
      <c r="B8" s="3" t="s">
        <v>290</v>
      </c>
      <c r="C8" s="3" t="s">
        <v>2</v>
      </c>
      <c r="D8" s="3" t="s">
        <v>291</v>
      </c>
      <c r="E8" s="3" t="s">
        <v>651</v>
      </c>
      <c r="F8" s="3">
        <v>72</v>
      </c>
      <c r="G8" s="3">
        <v>96</v>
      </c>
      <c r="H8" s="3">
        <v>62</v>
      </c>
      <c r="I8" s="3">
        <v>98.41</v>
      </c>
      <c r="J8" s="3">
        <v>2.41</v>
      </c>
    </row>
    <row r="9" spans="1:12" s="3" customFormat="1" x14ac:dyDescent="0.25">
      <c r="A9" s="3" t="s">
        <v>8</v>
      </c>
      <c r="B9" s="3" t="s">
        <v>117</v>
      </c>
      <c r="C9" s="3" t="s">
        <v>2</v>
      </c>
      <c r="D9" s="3" t="s">
        <v>118</v>
      </c>
      <c r="E9" s="3" t="s">
        <v>651</v>
      </c>
      <c r="F9" s="3">
        <v>52</v>
      </c>
      <c r="G9" s="3">
        <v>92.86</v>
      </c>
      <c r="H9" s="3">
        <v>60</v>
      </c>
      <c r="I9" s="3">
        <v>98.36</v>
      </c>
      <c r="J9" s="3">
        <v>5.5</v>
      </c>
    </row>
    <row r="10" spans="1:12" s="3" customFormat="1" x14ac:dyDescent="0.25">
      <c r="A10" s="3" t="s">
        <v>23</v>
      </c>
      <c r="B10" s="3" t="s">
        <v>55</v>
      </c>
      <c r="C10" s="3" t="s">
        <v>2</v>
      </c>
      <c r="D10" s="3" t="s">
        <v>56</v>
      </c>
      <c r="E10" s="3" t="s">
        <v>651</v>
      </c>
      <c r="F10" s="3">
        <v>54</v>
      </c>
      <c r="G10" s="3">
        <v>90</v>
      </c>
      <c r="H10" s="3">
        <v>55</v>
      </c>
      <c r="I10" s="3">
        <v>98.21</v>
      </c>
      <c r="J10" s="3">
        <v>8.2100000000000009</v>
      </c>
    </row>
    <row r="11" spans="1:12" s="3" customFormat="1" x14ac:dyDescent="0.25">
      <c r="A11" s="3" t="s">
        <v>26</v>
      </c>
      <c r="B11" s="3" t="s">
        <v>27</v>
      </c>
      <c r="C11" s="3" t="s">
        <v>2</v>
      </c>
      <c r="D11" s="3" t="s">
        <v>28</v>
      </c>
      <c r="E11" s="3" t="s">
        <v>651</v>
      </c>
      <c r="F11" s="3">
        <v>38</v>
      </c>
      <c r="G11" s="3">
        <v>86.36</v>
      </c>
      <c r="H11" s="3">
        <v>53</v>
      </c>
      <c r="I11" s="3">
        <v>98.15</v>
      </c>
      <c r="J11" s="3">
        <v>11.79</v>
      </c>
    </row>
    <row r="12" spans="1:12" s="3" customFormat="1" x14ac:dyDescent="0.25">
      <c r="A12" s="3" t="s">
        <v>46</v>
      </c>
      <c r="B12" s="3" t="s">
        <v>47</v>
      </c>
      <c r="C12" s="3" t="s">
        <v>2</v>
      </c>
      <c r="D12" s="3" t="s">
        <v>48</v>
      </c>
      <c r="E12" s="3" t="s">
        <v>651</v>
      </c>
      <c r="F12" s="3">
        <v>66</v>
      </c>
      <c r="G12" s="3">
        <v>85.71</v>
      </c>
      <c r="H12" s="3">
        <v>51</v>
      </c>
      <c r="I12" s="3">
        <v>98.08</v>
      </c>
      <c r="J12" s="3">
        <v>12.37</v>
      </c>
    </row>
    <row r="13" spans="1:12" s="3" customFormat="1" x14ac:dyDescent="0.25">
      <c r="A13" s="3" t="s">
        <v>36</v>
      </c>
      <c r="B13" s="3" t="s">
        <v>191</v>
      </c>
      <c r="C13" s="3" t="s">
        <v>2</v>
      </c>
      <c r="D13" s="3" t="s">
        <v>192</v>
      </c>
      <c r="E13" s="3" t="s">
        <v>651</v>
      </c>
      <c r="F13" s="3">
        <v>61</v>
      </c>
      <c r="G13" s="3">
        <v>96.83</v>
      </c>
      <c r="H13" s="3">
        <v>51</v>
      </c>
      <c r="I13" s="3">
        <v>98.08</v>
      </c>
      <c r="J13" s="3">
        <v>1.25</v>
      </c>
    </row>
    <row r="14" spans="1:12" s="3" customFormat="1" x14ac:dyDescent="0.25">
      <c r="A14" s="3" t="s">
        <v>8</v>
      </c>
      <c r="B14" s="3" t="s">
        <v>250</v>
      </c>
      <c r="C14" s="3" t="s">
        <v>2</v>
      </c>
      <c r="D14" s="3" t="s">
        <v>251</v>
      </c>
      <c r="E14" s="3" t="s">
        <v>651</v>
      </c>
      <c r="F14" s="3">
        <v>101</v>
      </c>
      <c r="G14" s="3">
        <v>96.19</v>
      </c>
      <c r="H14" s="3">
        <v>97</v>
      </c>
      <c r="I14" s="3">
        <v>97.98</v>
      </c>
      <c r="J14" s="3">
        <v>1.79</v>
      </c>
    </row>
    <row r="15" spans="1:12" s="3" customFormat="1" x14ac:dyDescent="0.25">
      <c r="A15" s="3" t="s">
        <v>406</v>
      </c>
      <c r="B15" s="3" t="s">
        <v>471</v>
      </c>
      <c r="C15" s="3" t="s">
        <v>2</v>
      </c>
      <c r="D15" s="3" t="s">
        <v>472</v>
      </c>
      <c r="E15" s="3" t="s">
        <v>651</v>
      </c>
      <c r="F15" s="3">
        <v>55</v>
      </c>
      <c r="G15" s="3">
        <v>100</v>
      </c>
      <c r="H15" s="3">
        <v>45</v>
      </c>
      <c r="I15" s="3">
        <v>97.83</v>
      </c>
      <c r="J15" s="3">
        <v>-2.17</v>
      </c>
    </row>
    <row r="16" spans="1:12" s="3" customFormat="1" x14ac:dyDescent="0.25">
      <c r="A16" s="3" t="s">
        <v>102</v>
      </c>
      <c r="B16" s="3" t="s">
        <v>197</v>
      </c>
      <c r="C16" s="3" t="s">
        <v>2</v>
      </c>
      <c r="D16" s="3" t="s">
        <v>198</v>
      </c>
      <c r="E16" s="3" t="s">
        <v>651</v>
      </c>
      <c r="F16" s="3">
        <v>40</v>
      </c>
      <c r="G16" s="3">
        <v>95.24</v>
      </c>
      <c r="H16" s="3">
        <v>45</v>
      </c>
      <c r="I16" s="3">
        <v>97.83</v>
      </c>
      <c r="J16" s="3">
        <v>2.59</v>
      </c>
    </row>
    <row r="17" spans="1:10" s="3" customFormat="1" x14ac:dyDescent="0.25">
      <c r="A17" s="3" t="s">
        <v>121</v>
      </c>
      <c r="B17" s="3" t="s">
        <v>635</v>
      </c>
      <c r="C17" s="3" t="s">
        <v>2</v>
      </c>
      <c r="D17" s="3" t="s">
        <v>636</v>
      </c>
      <c r="E17" s="3" t="s">
        <v>651</v>
      </c>
      <c r="H17" s="3">
        <v>44</v>
      </c>
      <c r="I17" s="3">
        <v>97.78</v>
      </c>
    </row>
    <row r="18" spans="1:10" s="3" customFormat="1" x14ac:dyDescent="0.25">
      <c r="A18" s="3" t="s">
        <v>15</v>
      </c>
      <c r="B18" s="3" t="s">
        <v>16</v>
      </c>
      <c r="C18" s="3" t="s">
        <v>2</v>
      </c>
      <c r="D18" s="3" t="s">
        <v>17</v>
      </c>
      <c r="E18" s="3" t="s">
        <v>651</v>
      </c>
      <c r="F18" s="3">
        <v>37</v>
      </c>
      <c r="G18" s="3">
        <v>82.22</v>
      </c>
      <c r="H18" s="3">
        <v>41</v>
      </c>
      <c r="I18" s="3">
        <v>97.62</v>
      </c>
      <c r="J18" s="3">
        <v>15.4</v>
      </c>
    </row>
    <row r="19" spans="1:10" s="3" customFormat="1" x14ac:dyDescent="0.25">
      <c r="A19" s="3" t="s">
        <v>12</v>
      </c>
      <c r="B19" s="3" t="s">
        <v>531</v>
      </c>
      <c r="C19" s="3" t="s">
        <v>2</v>
      </c>
      <c r="D19" s="3" t="s">
        <v>532</v>
      </c>
      <c r="E19" s="3" t="s">
        <v>651</v>
      </c>
      <c r="F19" s="3">
        <v>55</v>
      </c>
      <c r="G19" s="3">
        <v>100</v>
      </c>
      <c r="H19" s="3">
        <v>40</v>
      </c>
      <c r="I19" s="3">
        <v>97.56</v>
      </c>
      <c r="J19" s="3">
        <v>-2.44</v>
      </c>
    </row>
    <row r="20" spans="1:10" s="3" customFormat="1" x14ac:dyDescent="0.25">
      <c r="A20" s="3" t="s">
        <v>8</v>
      </c>
      <c r="B20" s="3" t="s">
        <v>358</v>
      </c>
      <c r="C20" s="3" t="s">
        <v>2</v>
      </c>
      <c r="D20" s="3" t="s">
        <v>359</v>
      </c>
      <c r="E20" s="3" t="s">
        <v>651</v>
      </c>
      <c r="F20" s="3">
        <v>79</v>
      </c>
      <c r="G20" s="3">
        <v>97.53</v>
      </c>
      <c r="H20" s="3">
        <v>70</v>
      </c>
      <c r="I20" s="3">
        <v>97.22</v>
      </c>
      <c r="J20" s="3">
        <v>-0.31</v>
      </c>
    </row>
    <row r="21" spans="1:10" s="3" customFormat="1" x14ac:dyDescent="0.25">
      <c r="A21" s="3" t="s">
        <v>32</v>
      </c>
      <c r="B21" s="3" t="s">
        <v>277</v>
      </c>
      <c r="C21" s="3" t="s">
        <v>2</v>
      </c>
      <c r="D21" s="3" t="s">
        <v>278</v>
      </c>
      <c r="E21" s="3" t="s">
        <v>651</v>
      </c>
      <c r="F21" s="3">
        <v>606</v>
      </c>
      <c r="G21" s="3">
        <v>95.89</v>
      </c>
      <c r="H21" s="3">
        <v>626</v>
      </c>
      <c r="I21" s="3">
        <v>96.46</v>
      </c>
      <c r="J21" s="3">
        <v>0.56999999999999995</v>
      </c>
    </row>
    <row r="22" spans="1:10" s="3" customFormat="1" x14ac:dyDescent="0.25">
      <c r="A22" s="3" t="s">
        <v>82</v>
      </c>
      <c r="B22" s="3" t="s">
        <v>167</v>
      </c>
      <c r="C22" s="3" t="s">
        <v>2</v>
      </c>
      <c r="D22" s="3" t="s">
        <v>654</v>
      </c>
      <c r="E22" s="3" t="s">
        <v>651</v>
      </c>
      <c r="F22" s="3">
        <v>96</v>
      </c>
      <c r="G22" s="3">
        <v>93.2</v>
      </c>
      <c r="H22" s="3">
        <v>80</v>
      </c>
      <c r="I22" s="3">
        <v>96.39</v>
      </c>
      <c r="J22" s="3">
        <v>3.19</v>
      </c>
    </row>
    <row r="23" spans="1:10" s="3" customFormat="1" x14ac:dyDescent="0.25">
      <c r="A23" s="3" t="s">
        <v>43</v>
      </c>
      <c r="B23" s="3" t="s">
        <v>44</v>
      </c>
      <c r="C23" s="3" t="s">
        <v>2</v>
      </c>
      <c r="D23" s="3" t="s">
        <v>45</v>
      </c>
      <c r="E23" s="3" t="s">
        <v>651</v>
      </c>
      <c r="F23" s="3">
        <v>84</v>
      </c>
      <c r="G23" s="3">
        <v>85.71</v>
      </c>
      <c r="H23" s="3">
        <v>77</v>
      </c>
      <c r="I23" s="3">
        <v>96.25</v>
      </c>
      <c r="J23" s="3">
        <v>10.54</v>
      </c>
    </row>
    <row r="24" spans="1:10" s="3" customFormat="1" x14ac:dyDescent="0.25">
      <c r="A24" s="3" t="s">
        <v>99</v>
      </c>
      <c r="B24" s="3" t="s">
        <v>477</v>
      </c>
      <c r="C24" s="3" t="s">
        <v>2</v>
      </c>
      <c r="D24" s="3" t="s">
        <v>478</v>
      </c>
      <c r="E24" s="3" t="s">
        <v>651</v>
      </c>
      <c r="F24" s="3">
        <v>88</v>
      </c>
      <c r="G24" s="3">
        <v>97.78</v>
      </c>
      <c r="H24" s="3">
        <v>71</v>
      </c>
      <c r="I24" s="3">
        <v>95.95</v>
      </c>
      <c r="J24" s="3">
        <v>-1.83</v>
      </c>
    </row>
    <row r="25" spans="1:10" s="3" customFormat="1" x14ac:dyDescent="0.25">
      <c r="A25" s="3" t="s">
        <v>29</v>
      </c>
      <c r="B25" s="3" t="s">
        <v>30</v>
      </c>
      <c r="C25" s="3" t="s">
        <v>2</v>
      </c>
      <c r="D25" s="3" t="s">
        <v>31</v>
      </c>
      <c r="E25" s="3" t="s">
        <v>651</v>
      </c>
      <c r="F25" s="3">
        <v>57</v>
      </c>
      <c r="G25" s="3">
        <v>95</v>
      </c>
      <c r="H25" s="3">
        <v>47</v>
      </c>
      <c r="I25" s="3">
        <v>95.92</v>
      </c>
      <c r="J25" s="3">
        <v>0.92</v>
      </c>
    </row>
    <row r="26" spans="1:10" s="3" customFormat="1" x14ac:dyDescent="0.25">
      <c r="A26" s="3" t="s">
        <v>162</v>
      </c>
      <c r="B26" s="3" t="s">
        <v>163</v>
      </c>
      <c r="C26" s="3" t="s">
        <v>2</v>
      </c>
      <c r="D26" s="3" t="s">
        <v>164</v>
      </c>
      <c r="E26" s="3" t="s">
        <v>651</v>
      </c>
      <c r="H26" s="3">
        <v>47</v>
      </c>
      <c r="I26" s="3">
        <v>95.92</v>
      </c>
    </row>
    <row r="27" spans="1:10" s="3" customFormat="1" x14ac:dyDescent="0.25">
      <c r="A27" s="3" t="s">
        <v>375</v>
      </c>
      <c r="B27" s="3" t="s">
        <v>376</v>
      </c>
      <c r="C27" s="3" t="s">
        <v>2</v>
      </c>
      <c r="D27" s="3" t="s">
        <v>377</v>
      </c>
      <c r="E27" s="3" t="s">
        <v>651</v>
      </c>
      <c r="F27" s="3">
        <v>86</v>
      </c>
      <c r="G27" s="3">
        <v>96.63</v>
      </c>
      <c r="H27" s="3">
        <v>69</v>
      </c>
      <c r="I27" s="3">
        <v>95.83</v>
      </c>
      <c r="J27" s="3">
        <v>-0.8</v>
      </c>
    </row>
    <row r="28" spans="1:10" s="3" customFormat="1" x14ac:dyDescent="0.25">
      <c r="A28" s="3" t="s">
        <v>32</v>
      </c>
      <c r="B28" s="3" t="s">
        <v>248</v>
      </c>
      <c r="C28" s="3" t="s">
        <v>2</v>
      </c>
      <c r="D28" s="3" t="s">
        <v>249</v>
      </c>
      <c r="E28" s="3" t="s">
        <v>651</v>
      </c>
      <c r="F28" s="3">
        <v>213</v>
      </c>
      <c r="G28" s="3">
        <v>94.67</v>
      </c>
      <c r="H28" s="3">
        <v>183</v>
      </c>
      <c r="I28" s="3">
        <v>95.81</v>
      </c>
      <c r="J28" s="3">
        <v>1.1399999999999999</v>
      </c>
    </row>
    <row r="29" spans="1:10" s="3" customFormat="1" x14ac:dyDescent="0.25">
      <c r="A29" s="3" t="s">
        <v>245</v>
      </c>
      <c r="B29" s="3" t="s">
        <v>367</v>
      </c>
      <c r="C29" s="3" t="s">
        <v>2</v>
      </c>
      <c r="D29" s="3" t="s">
        <v>368</v>
      </c>
      <c r="E29" s="3" t="s">
        <v>651</v>
      </c>
      <c r="F29" s="3">
        <v>120</v>
      </c>
      <c r="G29" s="3">
        <v>96.77</v>
      </c>
      <c r="H29" s="3">
        <v>136</v>
      </c>
      <c r="I29" s="3">
        <v>95.77</v>
      </c>
      <c r="J29" s="3">
        <v>-1</v>
      </c>
    </row>
    <row r="30" spans="1:10" s="3" customFormat="1" x14ac:dyDescent="0.25">
      <c r="A30" s="3" t="s">
        <v>128</v>
      </c>
      <c r="B30" s="3" t="s">
        <v>404</v>
      </c>
      <c r="C30" s="3" t="s">
        <v>2</v>
      </c>
      <c r="D30" s="3" t="s">
        <v>405</v>
      </c>
      <c r="E30" s="3" t="s">
        <v>651</v>
      </c>
      <c r="F30" s="3">
        <v>192</v>
      </c>
      <c r="G30" s="3">
        <v>95.05</v>
      </c>
      <c r="H30" s="3">
        <v>155</v>
      </c>
      <c r="I30" s="3">
        <v>95.68</v>
      </c>
      <c r="J30" s="3">
        <v>0.63</v>
      </c>
    </row>
    <row r="31" spans="1:10" s="3" customFormat="1" x14ac:dyDescent="0.25">
      <c r="A31" s="3" t="s">
        <v>0</v>
      </c>
      <c r="B31" s="3" t="s">
        <v>331</v>
      </c>
      <c r="C31" s="3" t="s">
        <v>2</v>
      </c>
      <c r="D31" s="3" t="s">
        <v>332</v>
      </c>
      <c r="E31" s="3" t="s">
        <v>651</v>
      </c>
      <c r="F31" s="3">
        <v>46</v>
      </c>
      <c r="G31" s="3">
        <v>95.83</v>
      </c>
      <c r="H31" s="3">
        <v>44</v>
      </c>
      <c r="I31" s="3">
        <v>95.65</v>
      </c>
      <c r="J31" s="3">
        <v>-0.18</v>
      </c>
    </row>
    <row r="32" spans="1:10" s="3" customFormat="1" x14ac:dyDescent="0.25">
      <c r="A32" s="3" t="s">
        <v>175</v>
      </c>
      <c r="B32" s="3" t="s">
        <v>176</v>
      </c>
      <c r="C32" s="3" t="s">
        <v>2</v>
      </c>
      <c r="D32" s="3" t="s">
        <v>177</v>
      </c>
      <c r="E32" s="3" t="s">
        <v>651</v>
      </c>
      <c r="F32" s="3">
        <v>171</v>
      </c>
      <c r="G32" s="3">
        <v>91.44</v>
      </c>
      <c r="H32" s="3">
        <v>175</v>
      </c>
      <c r="I32" s="3">
        <v>95.63</v>
      </c>
      <c r="J32" s="3">
        <v>4.1900000000000004</v>
      </c>
    </row>
    <row r="33" spans="1:10" s="3" customFormat="1" x14ac:dyDescent="0.25">
      <c r="A33" s="3" t="s">
        <v>223</v>
      </c>
      <c r="B33" s="3" t="s">
        <v>264</v>
      </c>
      <c r="C33" s="3" t="s">
        <v>2</v>
      </c>
      <c r="D33" s="3" t="s">
        <v>265</v>
      </c>
      <c r="E33" s="3" t="s">
        <v>651</v>
      </c>
      <c r="F33" s="3">
        <v>104</v>
      </c>
      <c r="G33" s="3">
        <v>92.86</v>
      </c>
      <c r="H33" s="3">
        <v>131</v>
      </c>
      <c r="I33" s="3">
        <v>95.62</v>
      </c>
      <c r="J33" s="3">
        <v>2.76</v>
      </c>
    </row>
    <row r="34" spans="1:10" s="3" customFormat="1" x14ac:dyDescent="0.25">
      <c r="A34" s="3" t="s">
        <v>82</v>
      </c>
      <c r="B34" s="3" t="s">
        <v>83</v>
      </c>
      <c r="C34" s="3" t="s">
        <v>2</v>
      </c>
      <c r="D34" s="3" t="s">
        <v>84</v>
      </c>
      <c r="E34" s="3" t="s">
        <v>651</v>
      </c>
      <c r="F34" s="3">
        <v>68</v>
      </c>
      <c r="G34" s="3">
        <v>91.89</v>
      </c>
      <c r="H34" s="3">
        <v>65</v>
      </c>
      <c r="I34" s="3">
        <v>95.59</v>
      </c>
      <c r="J34" s="3">
        <v>3.7</v>
      </c>
    </row>
    <row r="35" spans="1:10" s="3" customFormat="1" x14ac:dyDescent="0.25">
      <c r="A35" s="3" t="s">
        <v>93</v>
      </c>
      <c r="B35" s="3" t="s">
        <v>553</v>
      </c>
      <c r="C35" s="3" t="s">
        <v>2</v>
      </c>
      <c r="D35" s="3" t="s">
        <v>554</v>
      </c>
      <c r="E35" s="3" t="s">
        <v>651</v>
      </c>
      <c r="F35" s="3">
        <v>44</v>
      </c>
      <c r="G35" s="3">
        <v>100</v>
      </c>
      <c r="H35" s="3">
        <v>43</v>
      </c>
      <c r="I35" s="3">
        <v>95.56</v>
      </c>
      <c r="J35" s="3">
        <v>-4.4400000000000004</v>
      </c>
    </row>
    <row r="36" spans="1:10" s="3" customFormat="1" x14ac:dyDescent="0.25">
      <c r="A36" s="3" t="s">
        <v>156</v>
      </c>
      <c r="B36" s="3" t="s">
        <v>157</v>
      </c>
      <c r="C36" s="3" t="s">
        <v>2</v>
      </c>
      <c r="D36" s="3" t="s">
        <v>158</v>
      </c>
      <c r="E36" s="3" t="s">
        <v>651</v>
      </c>
      <c r="F36" s="3">
        <v>77</v>
      </c>
      <c r="G36" s="3">
        <v>88.51</v>
      </c>
      <c r="H36" s="3">
        <v>63</v>
      </c>
      <c r="I36" s="3">
        <v>95.45</v>
      </c>
      <c r="J36" s="3">
        <v>6.94</v>
      </c>
    </row>
    <row r="37" spans="1:10" s="3" customFormat="1" x14ac:dyDescent="0.25">
      <c r="A37" s="3" t="s">
        <v>220</v>
      </c>
      <c r="B37" s="3" t="s">
        <v>314</v>
      </c>
      <c r="C37" s="3" t="s">
        <v>2</v>
      </c>
      <c r="D37" s="3" t="s">
        <v>315</v>
      </c>
      <c r="E37" s="3" t="s">
        <v>651</v>
      </c>
      <c r="F37" s="3">
        <v>58</v>
      </c>
      <c r="G37" s="3">
        <v>95.08</v>
      </c>
      <c r="H37" s="3">
        <v>62</v>
      </c>
      <c r="I37" s="3">
        <v>95.38</v>
      </c>
      <c r="J37" s="3">
        <v>0.3</v>
      </c>
    </row>
    <row r="38" spans="1:10" s="3" customFormat="1" x14ac:dyDescent="0.25">
      <c r="A38" s="3" t="s">
        <v>65</v>
      </c>
      <c r="B38" s="3" t="s">
        <v>66</v>
      </c>
      <c r="C38" s="3" t="s">
        <v>2</v>
      </c>
      <c r="D38" s="3" t="s">
        <v>67</v>
      </c>
      <c r="E38" s="3" t="s">
        <v>651</v>
      </c>
      <c r="F38" s="3">
        <v>74</v>
      </c>
      <c r="G38" s="3">
        <v>92.5</v>
      </c>
      <c r="H38" s="3">
        <v>82</v>
      </c>
      <c r="I38" s="3">
        <v>95.35</v>
      </c>
      <c r="J38" s="3">
        <v>2.85</v>
      </c>
    </row>
    <row r="39" spans="1:10" s="3" customFormat="1" x14ac:dyDescent="0.25">
      <c r="A39" s="3" t="s">
        <v>213</v>
      </c>
      <c r="B39" s="3" t="s">
        <v>218</v>
      </c>
      <c r="C39" s="3" t="s">
        <v>2</v>
      </c>
      <c r="D39" s="3" t="s">
        <v>219</v>
      </c>
      <c r="E39" s="3" t="s">
        <v>651</v>
      </c>
      <c r="F39" s="3">
        <v>63</v>
      </c>
      <c r="G39" s="3">
        <v>91.3</v>
      </c>
      <c r="H39" s="3">
        <v>61</v>
      </c>
      <c r="I39" s="3">
        <v>95.31</v>
      </c>
      <c r="J39" s="3">
        <v>4.01</v>
      </c>
    </row>
    <row r="40" spans="1:10" s="3" customFormat="1" x14ac:dyDescent="0.25">
      <c r="A40" s="3" t="s">
        <v>121</v>
      </c>
      <c r="B40" s="3" t="s">
        <v>122</v>
      </c>
      <c r="C40" s="3" t="s">
        <v>2</v>
      </c>
      <c r="D40" s="3" t="s">
        <v>123</v>
      </c>
      <c r="E40" s="3" t="s">
        <v>651</v>
      </c>
      <c r="F40" s="3">
        <v>56</v>
      </c>
      <c r="G40" s="3">
        <v>86.15</v>
      </c>
      <c r="H40" s="3">
        <v>40</v>
      </c>
      <c r="I40" s="3">
        <v>95.24</v>
      </c>
      <c r="J40" s="3">
        <v>9.09</v>
      </c>
    </row>
    <row r="41" spans="1:10" s="3" customFormat="1" x14ac:dyDescent="0.25">
      <c r="A41" s="3" t="s">
        <v>71</v>
      </c>
      <c r="B41" s="3" t="s">
        <v>426</v>
      </c>
      <c r="C41" s="3" t="s">
        <v>2</v>
      </c>
      <c r="D41" s="3" t="s">
        <v>427</v>
      </c>
      <c r="E41" s="3" t="s">
        <v>651</v>
      </c>
      <c r="H41" s="3">
        <v>40</v>
      </c>
      <c r="I41" s="3">
        <v>95.24</v>
      </c>
    </row>
    <row r="42" spans="1:10" s="3" customFormat="1" x14ac:dyDescent="0.25">
      <c r="A42" s="3" t="s">
        <v>71</v>
      </c>
      <c r="B42" s="3" t="s">
        <v>296</v>
      </c>
      <c r="C42" s="3" t="s">
        <v>2</v>
      </c>
      <c r="D42" s="3" t="s">
        <v>297</v>
      </c>
      <c r="E42" s="3" t="s">
        <v>651</v>
      </c>
      <c r="F42" s="3">
        <v>85</v>
      </c>
      <c r="G42" s="3">
        <v>95.51</v>
      </c>
      <c r="H42" s="3">
        <v>79</v>
      </c>
      <c r="I42" s="3">
        <v>95.18</v>
      </c>
      <c r="J42" s="3">
        <v>-0.33</v>
      </c>
    </row>
    <row r="43" spans="1:10" s="3" customFormat="1" x14ac:dyDescent="0.25">
      <c r="A43" s="3" t="s">
        <v>32</v>
      </c>
      <c r="B43" s="3" t="s">
        <v>270</v>
      </c>
      <c r="C43" s="3" t="s">
        <v>2</v>
      </c>
      <c r="D43" s="3" t="s">
        <v>271</v>
      </c>
      <c r="E43" s="3" t="s">
        <v>651</v>
      </c>
      <c r="F43" s="3">
        <v>494</v>
      </c>
      <c r="G43" s="3">
        <v>94.46</v>
      </c>
      <c r="H43" s="3">
        <v>513</v>
      </c>
      <c r="I43" s="3">
        <v>95.18</v>
      </c>
      <c r="J43" s="3">
        <v>0.72</v>
      </c>
    </row>
    <row r="44" spans="1:10" s="3" customFormat="1" x14ac:dyDescent="0.25">
      <c r="A44" s="3" t="s">
        <v>159</v>
      </c>
      <c r="B44" s="3" t="s">
        <v>160</v>
      </c>
      <c r="C44" s="3" t="s">
        <v>2</v>
      </c>
      <c r="D44" s="3" t="s">
        <v>161</v>
      </c>
      <c r="E44" s="3" t="s">
        <v>651</v>
      </c>
      <c r="F44" s="3">
        <v>125</v>
      </c>
      <c r="G44" s="3">
        <v>91.91</v>
      </c>
      <c r="H44" s="3">
        <v>115</v>
      </c>
      <c r="I44" s="3">
        <v>95.04</v>
      </c>
      <c r="J44" s="3">
        <v>3.13</v>
      </c>
    </row>
    <row r="45" spans="1:10" s="3" customFormat="1" x14ac:dyDescent="0.25">
      <c r="A45" s="3" t="s">
        <v>128</v>
      </c>
      <c r="B45" s="3" t="s">
        <v>354</v>
      </c>
      <c r="C45" s="3" t="s">
        <v>2</v>
      </c>
      <c r="D45" s="3" t="s">
        <v>355</v>
      </c>
      <c r="E45" s="3" t="s">
        <v>651</v>
      </c>
      <c r="F45" s="3">
        <v>77</v>
      </c>
      <c r="G45" s="3">
        <v>96.25</v>
      </c>
      <c r="H45" s="3">
        <v>73</v>
      </c>
      <c r="I45" s="3">
        <v>94.81</v>
      </c>
      <c r="J45" s="3">
        <v>-1.44</v>
      </c>
    </row>
    <row r="46" spans="1:10" s="3" customFormat="1" x14ac:dyDescent="0.25">
      <c r="A46" s="3" t="s">
        <v>128</v>
      </c>
      <c r="B46" s="3" t="s">
        <v>483</v>
      </c>
      <c r="C46" s="3" t="s">
        <v>2</v>
      </c>
      <c r="D46" s="3" t="s">
        <v>484</v>
      </c>
      <c r="E46" s="3" t="s">
        <v>651</v>
      </c>
      <c r="F46" s="3">
        <v>271</v>
      </c>
      <c r="G46" s="3">
        <v>95.76</v>
      </c>
      <c r="H46" s="3">
        <v>269</v>
      </c>
      <c r="I46" s="3">
        <v>94.72</v>
      </c>
      <c r="J46" s="3">
        <v>-1.04</v>
      </c>
    </row>
    <row r="47" spans="1:10" s="3" customFormat="1" x14ac:dyDescent="0.25">
      <c r="A47" s="3" t="s">
        <v>49</v>
      </c>
      <c r="B47" s="3" t="s">
        <v>462</v>
      </c>
      <c r="C47" s="3" t="s">
        <v>2</v>
      </c>
      <c r="D47" s="3" t="s">
        <v>463</v>
      </c>
      <c r="E47" s="3" t="s">
        <v>651</v>
      </c>
      <c r="F47" s="3">
        <v>50</v>
      </c>
      <c r="G47" s="3">
        <v>94.34</v>
      </c>
      <c r="H47" s="3">
        <v>51</v>
      </c>
      <c r="I47" s="3">
        <v>94.44</v>
      </c>
      <c r="J47" s="3">
        <v>0.1</v>
      </c>
    </row>
    <row r="48" spans="1:10" s="3" customFormat="1" x14ac:dyDescent="0.25">
      <c r="A48" s="3" t="s">
        <v>8</v>
      </c>
      <c r="B48" s="3" t="s">
        <v>369</v>
      </c>
      <c r="C48" s="3" t="s">
        <v>2</v>
      </c>
      <c r="D48" s="3" t="s">
        <v>370</v>
      </c>
      <c r="E48" s="3" t="s">
        <v>651</v>
      </c>
      <c r="F48" s="3">
        <v>183</v>
      </c>
      <c r="G48" s="3">
        <v>93.85</v>
      </c>
      <c r="H48" s="3">
        <v>183</v>
      </c>
      <c r="I48" s="3">
        <v>94.33</v>
      </c>
      <c r="J48" s="3">
        <v>0.48</v>
      </c>
    </row>
    <row r="49" spans="1:10" s="3" customFormat="1" x14ac:dyDescent="0.25">
      <c r="A49" s="3" t="s">
        <v>114</v>
      </c>
      <c r="B49" s="3" t="s">
        <v>237</v>
      </c>
      <c r="C49" s="3" t="s">
        <v>2</v>
      </c>
      <c r="D49" s="3" t="s">
        <v>238</v>
      </c>
      <c r="E49" s="3" t="s">
        <v>651</v>
      </c>
      <c r="F49" s="3">
        <v>108</v>
      </c>
      <c r="G49" s="3">
        <v>93.1</v>
      </c>
      <c r="H49" s="3">
        <v>99</v>
      </c>
      <c r="I49" s="3">
        <v>94.29</v>
      </c>
      <c r="J49" s="3">
        <v>1.19</v>
      </c>
    </row>
    <row r="50" spans="1:10" s="3" customFormat="1" x14ac:dyDescent="0.25">
      <c r="A50" s="3" t="s">
        <v>148</v>
      </c>
      <c r="B50" s="3" t="s">
        <v>252</v>
      </c>
      <c r="C50" s="3" t="s">
        <v>2</v>
      </c>
      <c r="D50" s="3" t="s">
        <v>253</v>
      </c>
      <c r="E50" s="3" t="s">
        <v>651</v>
      </c>
      <c r="F50" s="3">
        <v>54</v>
      </c>
      <c r="G50" s="3">
        <v>93.1</v>
      </c>
      <c r="H50" s="3">
        <v>66</v>
      </c>
      <c r="I50" s="3">
        <v>94.29</v>
      </c>
      <c r="J50" s="3">
        <v>1.19</v>
      </c>
    </row>
    <row r="51" spans="1:10" s="3" customFormat="1" x14ac:dyDescent="0.25">
      <c r="A51" s="3" t="s">
        <v>77</v>
      </c>
      <c r="B51" s="3" t="s">
        <v>78</v>
      </c>
      <c r="C51" s="3" t="s">
        <v>2</v>
      </c>
      <c r="D51" s="3" t="s">
        <v>79</v>
      </c>
      <c r="E51" s="3" t="s">
        <v>651</v>
      </c>
      <c r="F51" s="3">
        <v>91</v>
      </c>
      <c r="G51" s="3">
        <v>86.67</v>
      </c>
      <c r="H51" s="3">
        <v>115</v>
      </c>
      <c r="I51" s="3">
        <v>94.26</v>
      </c>
      <c r="J51" s="3">
        <v>7.59</v>
      </c>
    </row>
    <row r="52" spans="1:10" s="3" customFormat="1" x14ac:dyDescent="0.25">
      <c r="A52" s="3" t="s">
        <v>111</v>
      </c>
      <c r="B52" s="3" t="s">
        <v>112</v>
      </c>
      <c r="C52" s="3" t="s">
        <v>2</v>
      </c>
      <c r="D52" s="3" t="s">
        <v>113</v>
      </c>
      <c r="E52" s="3" t="s">
        <v>651</v>
      </c>
      <c r="F52" s="3">
        <v>41</v>
      </c>
      <c r="G52" s="3">
        <v>93.18</v>
      </c>
      <c r="H52" s="3">
        <v>49</v>
      </c>
      <c r="I52" s="3">
        <v>94.23</v>
      </c>
      <c r="J52" s="3">
        <v>1.05</v>
      </c>
    </row>
    <row r="53" spans="1:10" s="3" customFormat="1" x14ac:dyDescent="0.25">
      <c r="A53" s="3" t="s">
        <v>114</v>
      </c>
      <c r="B53" s="3" t="s">
        <v>396</v>
      </c>
      <c r="C53" s="3" t="s">
        <v>2</v>
      </c>
      <c r="D53" s="3" t="s">
        <v>397</v>
      </c>
      <c r="E53" s="3" t="s">
        <v>651</v>
      </c>
      <c r="F53" s="3">
        <v>76</v>
      </c>
      <c r="G53" s="3">
        <v>96.2</v>
      </c>
      <c r="H53" s="3">
        <v>80</v>
      </c>
      <c r="I53" s="3">
        <v>94.12</v>
      </c>
      <c r="J53" s="3">
        <v>-2.08</v>
      </c>
    </row>
    <row r="54" spans="1:10" s="3" customFormat="1" x14ac:dyDescent="0.25">
      <c r="A54" s="3" t="s">
        <v>52</v>
      </c>
      <c r="B54" s="3" t="s">
        <v>525</v>
      </c>
      <c r="C54" s="3" t="s">
        <v>2</v>
      </c>
      <c r="D54" s="3" t="s">
        <v>526</v>
      </c>
      <c r="E54" s="3" t="s">
        <v>651</v>
      </c>
      <c r="F54" s="3">
        <v>101</v>
      </c>
      <c r="G54" s="3">
        <v>97.12</v>
      </c>
      <c r="H54" s="3">
        <v>111</v>
      </c>
      <c r="I54" s="3">
        <v>94.07</v>
      </c>
      <c r="J54" s="3">
        <v>-3.05</v>
      </c>
    </row>
    <row r="55" spans="1:10" s="3" customFormat="1" x14ac:dyDescent="0.25">
      <c r="A55" s="3" t="s">
        <v>65</v>
      </c>
      <c r="B55" s="3" t="s">
        <v>323</v>
      </c>
      <c r="C55" s="3" t="s">
        <v>2</v>
      </c>
      <c r="D55" s="3" t="s">
        <v>324</v>
      </c>
      <c r="E55" s="3" t="s">
        <v>651</v>
      </c>
      <c r="F55" s="3">
        <v>60</v>
      </c>
      <c r="G55" s="3">
        <v>93.75</v>
      </c>
      <c r="H55" s="3">
        <v>47</v>
      </c>
      <c r="I55" s="3">
        <v>94</v>
      </c>
      <c r="J55" s="3">
        <v>0.25</v>
      </c>
    </row>
    <row r="56" spans="1:10" s="3" customFormat="1" x14ac:dyDescent="0.25">
      <c r="A56" s="3" t="s">
        <v>128</v>
      </c>
      <c r="B56" s="3" t="s">
        <v>203</v>
      </c>
      <c r="C56" s="3" t="s">
        <v>2</v>
      </c>
      <c r="D56" s="3" t="s">
        <v>204</v>
      </c>
      <c r="E56" s="3" t="s">
        <v>651</v>
      </c>
      <c r="F56" s="3">
        <v>88</v>
      </c>
      <c r="G56" s="3">
        <v>91.67</v>
      </c>
      <c r="H56" s="3">
        <v>78</v>
      </c>
      <c r="I56" s="3">
        <v>93.98</v>
      </c>
      <c r="J56" s="3">
        <v>2.31</v>
      </c>
    </row>
    <row r="57" spans="1:10" s="3" customFormat="1" x14ac:dyDescent="0.25">
      <c r="A57" s="3" t="s">
        <v>450</v>
      </c>
      <c r="B57" s="3" t="s">
        <v>451</v>
      </c>
      <c r="C57" s="3" t="s">
        <v>2</v>
      </c>
      <c r="D57" s="3" t="s">
        <v>452</v>
      </c>
      <c r="E57" s="3" t="s">
        <v>651</v>
      </c>
      <c r="F57" s="3">
        <v>91</v>
      </c>
      <c r="G57" s="3">
        <v>94.79</v>
      </c>
      <c r="H57" s="3">
        <v>107</v>
      </c>
      <c r="I57" s="3">
        <v>93.86</v>
      </c>
      <c r="J57" s="3">
        <v>-0.93</v>
      </c>
    </row>
    <row r="58" spans="1:10" s="3" customFormat="1" x14ac:dyDescent="0.25">
      <c r="A58" s="3" t="s">
        <v>210</v>
      </c>
      <c r="B58" s="3" t="s">
        <v>420</v>
      </c>
      <c r="C58" s="3" t="s">
        <v>2</v>
      </c>
      <c r="D58" s="3" t="s">
        <v>421</v>
      </c>
      <c r="E58" s="3" t="s">
        <v>651</v>
      </c>
      <c r="F58" s="3">
        <v>80</v>
      </c>
      <c r="G58" s="3">
        <v>95.24</v>
      </c>
      <c r="H58" s="3">
        <v>75</v>
      </c>
      <c r="I58" s="3">
        <v>93.75</v>
      </c>
      <c r="J58" s="3">
        <v>-1.49</v>
      </c>
    </row>
    <row r="59" spans="1:10" s="3" customFormat="1" x14ac:dyDescent="0.25">
      <c r="A59" s="3" t="s">
        <v>88</v>
      </c>
      <c r="B59" s="3" t="s">
        <v>89</v>
      </c>
      <c r="C59" s="3" t="s">
        <v>2</v>
      </c>
      <c r="D59" s="3" t="s">
        <v>90</v>
      </c>
      <c r="E59" s="3" t="s">
        <v>651</v>
      </c>
      <c r="F59" s="3">
        <v>59</v>
      </c>
      <c r="G59" s="3">
        <v>86.76</v>
      </c>
      <c r="H59" s="3">
        <v>60</v>
      </c>
      <c r="I59" s="3">
        <v>93.75</v>
      </c>
      <c r="J59" s="3">
        <v>6.99</v>
      </c>
    </row>
    <row r="60" spans="1:10" s="3" customFormat="1" x14ac:dyDescent="0.25">
      <c r="A60" s="3" t="s">
        <v>364</v>
      </c>
      <c r="B60" s="3" t="s">
        <v>627</v>
      </c>
      <c r="C60" s="3" t="s">
        <v>2</v>
      </c>
      <c r="D60" s="3" t="s">
        <v>628</v>
      </c>
      <c r="E60" s="3" t="s">
        <v>651</v>
      </c>
      <c r="H60" s="3">
        <v>45</v>
      </c>
      <c r="I60" s="3">
        <v>93.75</v>
      </c>
    </row>
    <row r="61" spans="1:10" s="3" customFormat="1" x14ac:dyDescent="0.25">
      <c r="A61" s="3" t="s">
        <v>213</v>
      </c>
      <c r="B61" s="3" t="s">
        <v>536</v>
      </c>
      <c r="C61" s="3" t="s">
        <v>2</v>
      </c>
      <c r="D61" s="3" t="s">
        <v>537</v>
      </c>
      <c r="E61" s="3" t="s">
        <v>651</v>
      </c>
      <c r="F61" s="3">
        <v>123</v>
      </c>
      <c r="G61" s="3">
        <v>97.62</v>
      </c>
      <c r="H61" s="3">
        <v>116</v>
      </c>
      <c r="I61" s="3">
        <v>93.55</v>
      </c>
      <c r="J61" s="3">
        <v>-4.07</v>
      </c>
    </row>
    <row r="62" spans="1:10" s="3" customFormat="1" x14ac:dyDescent="0.25">
      <c r="A62" s="3" t="s">
        <v>213</v>
      </c>
      <c r="B62" s="3" t="s">
        <v>485</v>
      </c>
      <c r="C62" s="3" t="s">
        <v>2</v>
      </c>
      <c r="D62" s="3" t="s">
        <v>486</v>
      </c>
      <c r="E62" s="3" t="s">
        <v>651</v>
      </c>
      <c r="F62" s="3">
        <v>63</v>
      </c>
      <c r="G62" s="3">
        <v>98.44</v>
      </c>
      <c r="H62" s="3">
        <v>58</v>
      </c>
      <c r="I62" s="3">
        <v>93.55</v>
      </c>
      <c r="J62" s="3">
        <v>-4.8899999999999997</v>
      </c>
    </row>
    <row r="63" spans="1:10" s="3" customFormat="1" x14ac:dyDescent="0.25">
      <c r="A63" s="3" t="s">
        <v>105</v>
      </c>
      <c r="B63" s="3" t="s">
        <v>106</v>
      </c>
      <c r="C63" s="3" t="s">
        <v>2</v>
      </c>
      <c r="D63" s="3" t="s">
        <v>107</v>
      </c>
      <c r="E63" s="3" t="s">
        <v>651</v>
      </c>
      <c r="F63" s="3">
        <v>455</v>
      </c>
      <c r="G63" s="3">
        <v>88.69</v>
      </c>
      <c r="H63" s="3">
        <v>471</v>
      </c>
      <c r="I63" s="3">
        <v>93.45</v>
      </c>
      <c r="J63" s="3">
        <v>4.76</v>
      </c>
    </row>
    <row r="64" spans="1:10" s="3" customFormat="1" x14ac:dyDescent="0.25">
      <c r="A64" s="3" t="s">
        <v>8</v>
      </c>
      <c r="B64" s="3" t="s">
        <v>481</v>
      </c>
      <c r="C64" s="3" t="s">
        <v>2</v>
      </c>
      <c r="D64" s="3" t="s">
        <v>482</v>
      </c>
      <c r="E64" s="3" t="s">
        <v>651</v>
      </c>
      <c r="F64" s="3">
        <v>215</v>
      </c>
      <c r="G64" s="3">
        <v>96.85</v>
      </c>
      <c r="H64" s="3">
        <v>228</v>
      </c>
      <c r="I64" s="3">
        <v>93.44</v>
      </c>
      <c r="J64" s="3">
        <v>-3.41</v>
      </c>
    </row>
    <row r="65" spans="1:10" s="3" customFormat="1" x14ac:dyDescent="0.25">
      <c r="A65" s="3" t="s">
        <v>43</v>
      </c>
      <c r="B65" s="3" t="s">
        <v>226</v>
      </c>
      <c r="C65" s="3" t="s">
        <v>2</v>
      </c>
      <c r="D65" s="3" t="s">
        <v>227</v>
      </c>
      <c r="E65" s="3" t="s">
        <v>651</v>
      </c>
      <c r="F65" s="3">
        <v>107</v>
      </c>
      <c r="G65" s="3">
        <v>90.68</v>
      </c>
      <c r="H65" s="3">
        <v>114</v>
      </c>
      <c r="I65" s="3">
        <v>93.44</v>
      </c>
      <c r="J65" s="3">
        <v>2.76</v>
      </c>
    </row>
    <row r="66" spans="1:10" s="3" customFormat="1" x14ac:dyDescent="0.25">
      <c r="A66" s="3" t="s">
        <v>0</v>
      </c>
      <c r="B66" s="3" t="s">
        <v>402</v>
      </c>
      <c r="C66" s="3" t="s">
        <v>2</v>
      </c>
      <c r="D66" s="3" t="s">
        <v>403</v>
      </c>
      <c r="E66" s="3" t="s">
        <v>651</v>
      </c>
      <c r="F66" s="3">
        <v>147</v>
      </c>
      <c r="G66" s="3">
        <v>94.84</v>
      </c>
      <c r="H66" s="3">
        <v>155</v>
      </c>
      <c r="I66" s="3">
        <v>93.37</v>
      </c>
      <c r="J66" s="3">
        <v>-1.47</v>
      </c>
    </row>
    <row r="67" spans="1:10" s="3" customFormat="1" x14ac:dyDescent="0.25">
      <c r="A67" s="3" t="s">
        <v>93</v>
      </c>
      <c r="B67" s="3" t="s">
        <v>94</v>
      </c>
      <c r="C67" s="3" t="s">
        <v>2</v>
      </c>
      <c r="D67" s="3" t="s">
        <v>95</v>
      </c>
      <c r="E67" s="3" t="s">
        <v>651</v>
      </c>
      <c r="F67" s="3">
        <v>50</v>
      </c>
      <c r="G67" s="3">
        <v>86.21</v>
      </c>
      <c r="H67" s="3">
        <v>56</v>
      </c>
      <c r="I67" s="3">
        <v>93.33</v>
      </c>
      <c r="J67" s="3">
        <v>7.12</v>
      </c>
    </row>
    <row r="68" spans="1:10" s="3" customFormat="1" x14ac:dyDescent="0.25">
      <c r="A68" s="3" t="s">
        <v>546</v>
      </c>
      <c r="B68" s="3" t="s">
        <v>547</v>
      </c>
      <c r="C68" s="3" t="s">
        <v>2</v>
      </c>
      <c r="D68" s="3" t="s">
        <v>548</v>
      </c>
      <c r="E68" s="3" t="s">
        <v>651</v>
      </c>
      <c r="F68" s="3">
        <v>59</v>
      </c>
      <c r="G68" s="3">
        <v>98.33</v>
      </c>
      <c r="H68" s="3">
        <v>56</v>
      </c>
      <c r="I68" s="3">
        <v>93.33</v>
      </c>
      <c r="J68" s="3">
        <v>-5</v>
      </c>
    </row>
    <row r="69" spans="1:10" s="3" customFormat="1" x14ac:dyDescent="0.25">
      <c r="A69" s="3" t="s">
        <v>12</v>
      </c>
      <c r="B69" s="3" t="s">
        <v>124</v>
      </c>
      <c r="C69" s="3" t="s">
        <v>2</v>
      </c>
      <c r="D69" s="3" t="s">
        <v>125</v>
      </c>
      <c r="E69" s="3" t="s">
        <v>651</v>
      </c>
      <c r="F69" s="3">
        <v>144</v>
      </c>
      <c r="G69" s="3">
        <v>89.44</v>
      </c>
      <c r="H69" s="3">
        <v>151</v>
      </c>
      <c r="I69" s="3">
        <v>93.21</v>
      </c>
      <c r="J69" s="3">
        <v>3.77</v>
      </c>
    </row>
    <row r="70" spans="1:10" s="3" customFormat="1" x14ac:dyDescent="0.25">
      <c r="A70" s="3" t="s">
        <v>29</v>
      </c>
      <c r="B70" s="3" t="s">
        <v>281</v>
      </c>
      <c r="C70" s="3" t="s">
        <v>2</v>
      </c>
      <c r="D70" s="3" t="s">
        <v>282</v>
      </c>
      <c r="E70" s="3" t="s">
        <v>651</v>
      </c>
      <c r="F70" s="3">
        <v>45</v>
      </c>
      <c r="G70" s="3">
        <v>91.84</v>
      </c>
      <c r="H70" s="3">
        <v>41</v>
      </c>
      <c r="I70" s="3">
        <v>93.18</v>
      </c>
      <c r="J70" s="3">
        <v>1.34</v>
      </c>
    </row>
    <row r="71" spans="1:10" s="3" customFormat="1" x14ac:dyDescent="0.25">
      <c r="A71" s="3" t="s">
        <v>65</v>
      </c>
      <c r="B71" s="3" t="s">
        <v>231</v>
      </c>
      <c r="C71" s="3" t="s">
        <v>2</v>
      </c>
      <c r="D71" s="3" t="s">
        <v>232</v>
      </c>
      <c r="E71" s="3" t="s">
        <v>651</v>
      </c>
      <c r="F71" s="3">
        <v>75</v>
      </c>
      <c r="G71" s="3">
        <v>92.59</v>
      </c>
      <c r="H71" s="3">
        <v>68</v>
      </c>
      <c r="I71" s="3">
        <v>93.15</v>
      </c>
      <c r="J71" s="3">
        <v>0.56000000000000005</v>
      </c>
    </row>
    <row r="72" spans="1:10" s="3" customFormat="1" x14ac:dyDescent="0.25">
      <c r="A72" s="3" t="s">
        <v>136</v>
      </c>
      <c r="B72" s="3" t="s">
        <v>492</v>
      </c>
      <c r="C72" s="3" t="s">
        <v>2</v>
      </c>
      <c r="D72" s="3" t="s">
        <v>493</v>
      </c>
      <c r="E72" s="3" t="s">
        <v>651</v>
      </c>
      <c r="F72" s="3">
        <v>64</v>
      </c>
      <c r="G72" s="3">
        <v>95.52</v>
      </c>
      <c r="H72" s="3">
        <v>68</v>
      </c>
      <c r="I72" s="3">
        <v>93.15</v>
      </c>
      <c r="J72" s="3">
        <v>-2.37</v>
      </c>
    </row>
    <row r="73" spans="1:10" s="3" customFormat="1" x14ac:dyDescent="0.25">
      <c r="A73" s="3" t="s">
        <v>210</v>
      </c>
      <c r="B73" s="3" t="s">
        <v>380</v>
      </c>
      <c r="C73" s="3" t="s">
        <v>2</v>
      </c>
      <c r="D73" s="3" t="s">
        <v>381</v>
      </c>
      <c r="E73" s="3" t="s">
        <v>651</v>
      </c>
      <c r="F73" s="3">
        <v>38</v>
      </c>
      <c r="G73" s="3">
        <v>88.37</v>
      </c>
      <c r="H73" s="3">
        <v>54</v>
      </c>
      <c r="I73" s="3">
        <v>93.1</v>
      </c>
      <c r="J73" s="3">
        <v>4.7300000000000004</v>
      </c>
    </row>
    <row r="74" spans="1:10" s="3" customFormat="1" x14ac:dyDescent="0.25">
      <c r="A74" s="3" t="s">
        <v>128</v>
      </c>
      <c r="B74" s="3" t="s">
        <v>310</v>
      </c>
      <c r="C74" s="3" t="s">
        <v>2</v>
      </c>
      <c r="D74" s="3" t="s">
        <v>311</v>
      </c>
      <c r="E74" s="3" t="s">
        <v>651</v>
      </c>
      <c r="F74" s="3">
        <v>256</v>
      </c>
      <c r="G74" s="3">
        <v>91.43</v>
      </c>
      <c r="H74" s="3">
        <v>256</v>
      </c>
      <c r="I74" s="3">
        <v>93.09</v>
      </c>
      <c r="J74" s="3">
        <v>1.66</v>
      </c>
    </row>
    <row r="75" spans="1:10" s="3" customFormat="1" x14ac:dyDescent="0.25">
      <c r="A75" s="3" t="s">
        <v>15</v>
      </c>
      <c r="B75" s="3" t="s">
        <v>394</v>
      </c>
      <c r="C75" s="3" t="s">
        <v>2</v>
      </c>
      <c r="D75" s="3" t="s">
        <v>395</v>
      </c>
      <c r="E75" s="3" t="s">
        <v>651</v>
      </c>
      <c r="F75" s="3">
        <v>302</v>
      </c>
      <c r="G75" s="3">
        <v>95.57</v>
      </c>
      <c r="H75" s="3">
        <v>321</v>
      </c>
      <c r="I75" s="3">
        <v>93.04</v>
      </c>
      <c r="J75" s="3">
        <v>-2.5299999999999998</v>
      </c>
    </row>
    <row r="76" spans="1:10" s="3" customFormat="1" x14ac:dyDescent="0.25">
      <c r="A76" s="3" t="s">
        <v>38</v>
      </c>
      <c r="B76" s="3" t="s">
        <v>233</v>
      </c>
      <c r="C76" s="3" t="s">
        <v>2</v>
      </c>
      <c r="D76" s="3" t="s">
        <v>234</v>
      </c>
      <c r="E76" s="3" t="s">
        <v>651</v>
      </c>
      <c r="F76" s="3">
        <v>208</v>
      </c>
      <c r="G76" s="3">
        <v>90.83</v>
      </c>
      <c r="H76" s="3">
        <v>225</v>
      </c>
      <c r="I76" s="3">
        <v>92.98</v>
      </c>
      <c r="J76" s="3">
        <v>2.15</v>
      </c>
    </row>
    <row r="77" spans="1:10" s="3" customFormat="1" x14ac:dyDescent="0.25">
      <c r="A77" s="3" t="s">
        <v>172</v>
      </c>
      <c r="B77" s="3" t="s">
        <v>173</v>
      </c>
      <c r="C77" s="3" t="s">
        <v>2</v>
      </c>
      <c r="D77" s="3" t="s">
        <v>174</v>
      </c>
      <c r="E77" s="3" t="s">
        <v>651</v>
      </c>
      <c r="F77" s="3">
        <v>70</v>
      </c>
      <c r="G77" s="3">
        <v>89.74</v>
      </c>
      <c r="H77" s="3">
        <v>52</v>
      </c>
      <c r="I77" s="3">
        <v>92.86</v>
      </c>
      <c r="J77" s="3">
        <v>3.12</v>
      </c>
    </row>
    <row r="78" spans="1:10" s="3" customFormat="1" x14ac:dyDescent="0.25">
      <c r="A78" s="3" t="s">
        <v>68</v>
      </c>
      <c r="B78" s="3" t="s">
        <v>69</v>
      </c>
      <c r="C78" s="3" t="s">
        <v>2</v>
      </c>
      <c r="D78" s="3" t="s">
        <v>70</v>
      </c>
      <c r="E78" s="3" t="s">
        <v>651</v>
      </c>
      <c r="F78" s="3">
        <v>64</v>
      </c>
      <c r="G78" s="3">
        <v>91.43</v>
      </c>
      <c r="H78" s="3">
        <v>52</v>
      </c>
      <c r="I78" s="3">
        <v>92.86</v>
      </c>
      <c r="J78" s="3">
        <v>1.43</v>
      </c>
    </row>
    <row r="79" spans="1:10" s="3" customFormat="1" x14ac:dyDescent="0.25">
      <c r="A79" s="3" t="s">
        <v>457</v>
      </c>
      <c r="B79" s="3" t="s">
        <v>458</v>
      </c>
      <c r="C79" s="3" t="s">
        <v>2</v>
      </c>
      <c r="D79" s="3" t="s">
        <v>459</v>
      </c>
      <c r="E79" s="3" t="s">
        <v>651</v>
      </c>
      <c r="F79" s="3">
        <v>75</v>
      </c>
      <c r="G79" s="3">
        <v>96.15</v>
      </c>
      <c r="H79" s="3">
        <v>52</v>
      </c>
      <c r="I79" s="3">
        <v>92.86</v>
      </c>
      <c r="J79" s="3">
        <v>-3.29</v>
      </c>
    </row>
    <row r="80" spans="1:10" s="3" customFormat="1" x14ac:dyDescent="0.25">
      <c r="A80" s="3" t="s">
        <v>59</v>
      </c>
      <c r="B80" s="3" t="s">
        <v>279</v>
      </c>
      <c r="C80" s="3" t="s">
        <v>2</v>
      </c>
      <c r="D80" s="3" t="s">
        <v>280</v>
      </c>
      <c r="E80" s="3" t="s">
        <v>651</v>
      </c>
      <c r="F80" s="3">
        <v>558</v>
      </c>
      <c r="G80" s="3">
        <v>90.88</v>
      </c>
      <c r="H80" s="3">
        <v>532</v>
      </c>
      <c r="I80" s="3">
        <v>92.84</v>
      </c>
      <c r="J80" s="3">
        <v>1.96</v>
      </c>
    </row>
    <row r="81" spans="1:10" s="3" customFormat="1" x14ac:dyDescent="0.25">
      <c r="A81" s="3" t="s">
        <v>52</v>
      </c>
      <c r="B81" s="3" t="s">
        <v>205</v>
      </c>
      <c r="C81" s="3" t="s">
        <v>2</v>
      </c>
      <c r="D81" s="3" t="s">
        <v>206</v>
      </c>
      <c r="E81" s="3" t="s">
        <v>651</v>
      </c>
      <c r="F81" s="3">
        <v>242</v>
      </c>
      <c r="G81" s="3">
        <v>90.3</v>
      </c>
      <c r="H81" s="3">
        <v>245</v>
      </c>
      <c r="I81" s="3">
        <v>92.8</v>
      </c>
      <c r="J81" s="3">
        <v>2.5</v>
      </c>
    </row>
    <row r="82" spans="1:10" s="3" customFormat="1" x14ac:dyDescent="0.25">
      <c r="A82" s="3" t="s">
        <v>52</v>
      </c>
      <c r="B82" s="3" t="s">
        <v>329</v>
      </c>
      <c r="C82" s="3" t="s">
        <v>2</v>
      </c>
      <c r="D82" s="3" t="s">
        <v>330</v>
      </c>
      <c r="E82" s="3" t="s">
        <v>651</v>
      </c>
      <c r="F82" s="3">
        <v>293</v>
      </c>
      <c r="G82" s="3">
        <v>90.43</v>
      </c>
      <c r="H82" s="3">
        <v>334</v>
      </c>
      <c r="I82" s="3">
        <v>92.78</v>
      </c>
      <c r="J82" s="3">
        <v>2.35</v>
      </c>
    </row>
    <row r="83" spans="1:10" s="3" customFormat="1" x14ac:dyDescent="0.25">
      <c r="A83" s="3" t="s">
        <v>207</v>
      </c>
      <c r="B83" s="3" t="s">
        <v>208</v>
      </c>
      <c r="C83" s="3" t="s">
        <v>2</v>
      </c>
      <c r="D83" s="3" t="s">
        <v>209</v>
      </c>
      <c r="E83" s="3" t="s">
        <v>651</v>
      </c>
      <c r="F83" s="3">
        <v>58</v>
      </c>
      <c r="G83" s="3">
        <v>93.55</v>
      </c>
      <c r="H83" s="3">
        <v>64</v>
      </c>
      <c r="I83" s="3">
        <v>92.75</v>
      </c>
      <c r="J83" s="3">
        <v>-0.8</v>
      </c>
    </row>
    <row r="84" spans="1:10" s="3" customFormat="1" x14ac:dyDescent="0.25">
      <c r="A84" s="3" t="s">
        <v>10</v>
      </c>
      <c r="B84" s="3" t="s">
        <v>108</v>
      </c>
      <c r="C84" s="3" t="s">
        <v>2</v>
      </c>
      <c r="D84" s="3" t="s">
        <v>109</v>
      </c>
      <c r="E84" s="3" t="s">
        <v>651</v>
      </c>
      <c r="F84" s="3">
        <v>51</v>
      </c>
      <c r="G84" s="3">
        <v>86.44</v>
      </c>
      <c r="H84" s="3">
        <v>64</v>
      </c>
      <c r="I84" s="3">
        <v>92.75</v>
      </c>
      <c r="J84" s="3">
        <v>6.31</v>
      </c>
    </row>
    <row r="85" spans="1:10" s="3" customFormat="1" x14ac:dyDescent="0.25">
      <c r="A85" s="3" t="s">
        <v>62</v>
      </c>
      <c r="B85" s="3" t="s">
        <v>63</v>
      </c>
      <c r="C85" s="3" t="s">
        <v>2</v>
      </c>
      <c r="D85" s="3" t="s">
        <v>64</v>
      </c>
      <c r="E85" s="3" t="s">
        <v>651</v>
      </c>
      <c r="F85" s="3">
        <v>265</v>
      </c>
      <c r="G85" s="3">
        <v>84.66</v>
      </c>
      <c r="H85" s="3">
        <v>255</v>
      </c>
      <c r="I85" s="3">
        <v>92.73</v>
      </c>
      <c r="J85" s="3">
        <v>8.07</v>
      </c>
    </row>
    <row r="86" spans="1:10" s="3" customFormat="1" x14ac:dyDescent="0.25">
      <c r="A86" s="3" t="s">
        <v>287</v>
      </c>
      <c r="B86" s="3" t="s">
        <v>619</v>
      </c>
      <c r="C86" s="3" t="s">
        <v>2</v>
      </c>
      <c r="D86" s="3" t="s">
        <v>620</v>
      </c>
      <c r="E86" s="3" t="s">
        <v>651</v>
      </c>
      <c r="H86" s="3">
        <v>37</v>
      </c>
      <c r="I86" s="3">
        <v>92.5</v>
      </c>
    </row>
    <row r="87" spans="1:10" s="3" customFormat="1" x14ac:dyDescent="0.25">
      <c r="A87" s="3" t="s">
        <v>52</v>
      </c>
      <c r="B87" s="3" t="s">
        <v>53</v>
      </c>
      <c r="C87" s="3" t="s">
        <v>2</v>
      </c>
      <c r="D87" s="3" t="s">
        <v>54</v>
      </c>
      <c r="E87" s="3" t="s">
        <v>651</v>
      </c>
      <c r="F87" s="3">
        <v>90</v>
      </c>
      <c r="G87" s="3">
        <v>85.71</v>
      </c>
      <c r="H87" s="3">
        <v>97</v>
      </c>
      <c r="I87" s="3">
        <v>92.38</v>
      </c>
      <c r="J87" s="3">
        <v>6.67</v>
      </c>
    </row>
    <row r="88" spans="1:10" s="3" customFormat="1" x14ac:dyDescent="0.25">
      <c r="A88" s="3" t="s">
        <v>223</v>
      </c>
      <c r="B88" s="3" t="s">
        <v>224</v>
      </c>
      <c r="C88" s="3" t="s">
        <v>2</v>
      </c>
      <c r="D88" s="3" t="s">
        <v>225</v>
      </c>
      <c r="E88" s="3" t="s">
        <v>651</v>
      </c>
      <c r="F88" s="3">
        <v>230</v>
      </c>
      <c r="G88" s="3">
        <v>92.37</v>
      </c>
      <c r="H88" s="3">
        <v>240</v>
      </c>
      <c r="I88" s="3">
        <v>92.31</v>
      </c>
      <c r="J88" s="3">
        <v>-0.06</v>
      </c>
    </row>
    <row r="89" spans="1:10" s="3" customFormat="1" x14ac:dyDescent="0.25">
      <c r="A89" s="3" t="s">
        <v>128</v>
      </c>
      <c r="B89" s="3" t="s">
        <v>442</v>
      </c>
      <c r="C89" s="3" t="s">
        <v>2</v>
      </c>
      <c r="D89" s="3" t="s">
        <v>443</v>
      </c>
      <c r="E89" s="3" t="s">
        <v>651</v>
      </c>
      <c r="F89" s="3">
        <v>397</v>
      </c>
      <c r="G89" s="3">
        <v>93.41</v>
      </c>
      <c r="H89" s="3">
        <v>394</v>
      </c>
      <c r="I89" s="3">
        <v>92.27</v>
      </c>
      <c r="J89" s="3">
        <v>-1.1399999999999999</v>
      </c>
    </row>
    <row r="90" spans="1:10" s="3" customFormat="1" x14ac:dyDescent="0.25">
      <c r="A90" s="3" t="s">
        <v>143</v>
      </c>
      <c r="B90" s="3" t="s">
        <v>144</v>
      </c>
      <c r="C90" s="3" t="s">
        <v>2</v>
      </c>
      <c r="D90" s="3" t="s">
        <v>145</v>
      </c>
      <c r="E90" s="3" t="s">
        <v>651</v>
      </c>
      <c r="F90" s="3">
        <v>117</v>
      </c>
      <c r="G90" s="3">
        <v>87.97</v>
      </c>
      <c r="H90" s="3">
        <v>106</v>
      </c>
      <c r="I90" s="3">
        <v>92.17</v>
      </c>
      <c r="J90" s="3">
        <v>4.2</v>
      </c>
    </row>
    <row r="91" spans="1:10" s="3" customFormat="1" x14ac:dyDescent="0.25">
      <c r="A91" s="3" t="s">
        <v>15</v>
      </c>
      <c r="B91" s="3" t="s">
        <v>373</v>
      </c>
      <c r="C91" s="3" t="s">
        <v>2</v>
      </c>
      <c r="D91" s="3" t="s">
        <v>374</v>
      </c>
      <c r="E91" s="3" t="s">
        <v>651</v>
      </c>
      <c r="F91" s="3">
        <v>765</v>
      </c>
      <c r="G91" s="3">
        <v>92.73</v>
      </c>
      <c r="H91" s="3">
        <v>823</v>
      </c>
      <c r="I91" s="3">
        <v>92.16</v>
      </c>
      <c r="J91" s="3">
        <v>-0.56999999999999995</v>
      </c>
    </row>
    <row r="92" spans="1:10" s="3" customFormat="1" x14ac:dyDescent="0.25">
      <c r="A92" s="3" t="s">
        <v>546</v>
      </c>
      <c r="B92" s="3" t="s">
        <v>625</v>
      </c>
      <c r="C92" s="3" t="s">
        <v>2</v>
      </c>
      <c r="D92" s="3" t="s">
        <v>626</v>
      </c>
      <c r="E92" s="3" t="s">
        <v>651</v>
      </c>
      <c r="H92" s="3">
        <v>47</v>
      </c>
      <c r="I92" s="3">
        <v>92.16</v>
      </c>
    </row>
    <row r="93" spans="1:10" s="3" customFormat="1" x14ac:dyDescent="0.25">
      <c r="A93" s="3" t="s">
        <v>148</v>
      </c>
      <c r="B93" s="3" t="s">
        <v>414</v>
      </c>
      <c r="C93" s="3" t="s">
        <v>2</v>
      </c>
      <c r="D93" s="3" t="s">
        <v>415</v>
      </c>
      <c r="E93" s="3" t="s">
        <v>651</v>
      </c>
      <c r="F93" s="3">
        <v>261</v>
      </c>
      <c r="G93" s="3">
        <v>92.55</v>
      </c>
      <c r="H93" s="3">
        <v>245</v>
      </c>
      <c r="I93" s="3">
        <v>92.11</v>
      </c>
      <c r="J93" s="3">
        <v>-0.44</v>
      </c>
    </row>
    <row r="94" spans="1:10" s="3" customFormat="1" x14ac:dyDescent="0.25">
      <c r="A94" s="3" t="s">
        <v>32</v>
      </c>
      <c r="B94" s="3" t="s">
        <v>549</v>
      </c>
      <c r="C94" s="3" t="s">
        <v>2</v>
      </c>
      <c r="D94" s="3" t="s">
        <v>550</v>
      </c>
      <c r="E94" s="3" t="s">
        <v>651</v>
      </c>
      <c r="F94" s="3">
        <v>120</v>
      </c>
      <c r="G94" s="3">
        <v>93.75</v>
      </c>
      <c r="H94" s="3">
        <v>128</v>
      </c>
      <c r="I94" s="3">
        <v>92.09</v>
      </c>
      <c r="J94" s="3">
        <v>-1.66</v>
      </c>
    </row>
    <row r="95" spans="1:10" s="3" customFormat="1" x14ac:dyDescent="0.25">
      <c r="A95" s="3" t="s">
        <v>15</v>
      </c>
      <c r="B95" s="3" t="s">
        <v>182</v>
      </c>
      <c r="C95" s="3" t="s">
        <v>2</v>
      </c>
      <c r="D95" s="3" t="s">
        <v>183</v>
      </c>
      <c r="E95" s="3" t="s">
        <v>651</v>
      </c>
      <c r="F95" s="3">
        <v>1619</v>
      </c>
      <c r="G95" s="3">
        <v>90.3</v>
      </c>
      <c r="H95" s="3">
        <v>1694</v>
      </c>
      <c r="I95" s="3">
        <v>92.07</v>
      </c>
      <c r="J95" s="3">
        <v>1.77</v>
      </c>
    </row>
    <row r="96" spans="1:10" s="3" customFormat="1" x14ac:dyDescent="0.25">
      <c r="A96" s="3" t="s">
        <v>184</v>
      </c>
      <c r="B96" s="3" t="s">
        <v>185</v>
      </c>
      <c r="C96" s="3" t="s">
        <v>2</v>
      </c>
      <c r="D96" s="3" t="s">
        <v>186</v>
      </c>
      <c r="E96" s="3" t="s">
        <v>651</v>
      </c>
      <c r="F96" s="3">
        <v>118</v>
      </c>
      <c r="G96" s="3">
        <v>89.39</v>
      </c>
      <c r="H96" s="3">
        <v>127</v>
      </c>
      <c r="I96" s="3">
        <v>92.03</v>
      </c>
      <c r="J96" s="3">
        <v>2.64</v>
      </c>
    </row>
    <row r="97" spans="1:10" s="3" customFormat="1" x14ac:dyDescent="0.25">
      <c r="A97" s="3" t="s">
        <v>0</v>
      </c>
      <c r="B97" s="3" t="s">
        <v>154</v>
      </c>
      <c r="C97" s="3" t="s">
        <v>2</v>
      </c>
      <c r="D97" s="3" t="s">
        <v>155</v>
      </c>
      <c r="E97" s="3" t="s">
        <v>651</v>
      </c>
      <c r="F97" s="3">
        <v>75</v>
      </c>
      <c r="G97" s="3">
        <v>89.29</v>
      </c>
      <c r="H97" s="3">
        <v>69</v>
      </c>
      <c r="I97" s="3">
        <v>92</v>
      </c>
      <c r="J97" s="3">
        <v>2.71</v>
      </c>
    </row>
    <row r="98" spans="1:10" s="3" customFormat="1" x14ac:dyDescent="0.25">
      <c r="A98" s="3" t="s">
        <v>345</v>
      </c>
      <c r="B98" s="3" t="s">
        <v>348</v>
      </c>
      <c r="C98" s="3" t="s">
        <v>2</v>
      </c>
      <c r="D98" s="3" t="s">
        <v>349</v>
      </c>
      <c r="E98" s="3" t="s">
        <v>651</v>
      </c>
      <c r="F98" s="3">
        <v>925</v>
      </c>
      <c r="G98" s="3">
        <v>92.32</v>
      </c>
      <c r="H98" s="3">
        <v>929</v>
      </c>
      <c r="I98" s="3">
        <v>91.89</v>
      </c>
      <c r="J98" s="3">
        <v>-0.43</v>
      </c>
    </row>
    <row r="99" spans="1:10" s="3" customFormat="1" x14ac:dyDescent="0.25">
      <c r="A99" s="3" t="s">
        <v>15</v>
      </c>
      <c r="B99" s="3" t="s">
        <v>339</v>
      </c>
      <c r="C99" s="3" t="s">
        <v>2</v>
      </c>
      <c r="D99" s="3" t="s">
        <v>340</v>
      </c>
      <c r="E99" s="3" t="s">
        <v>651</v>
      </c>
      <c r="F99" s="3">
        <v>343</v>
      </c>
      <c r="G99" s="3">
        <v>90.74</v>
      </c>
      <c r="H99" s="3">
        <v>338</v>
      </c>
      <c r="I99" s="3">
        <v>91.85</v>
      </c>
      <c r="J99" s="3">
        <v>1.1100000000000001</v>
      </c>
    </row>
    <row r="100" spans="1:10" s="3" customFormat="1" x14ac:dyDescent="0.25">
      <c r="A100" s="3" t="s">
        <v>74</v>
      </c>
      <c r="B100" s="3" t="s">
        <v>75</v>
      </c>
      <c r="C100" s="3" t="s">
        <v>2</v>
      </c>
      <c r="D100" s="3" t="s">
        <v>76</v>
      </c>
      <c r="E100" s="3" t="s">
        <v>651</v>
      </c>
      <c r="F100" s="3">
        <v>45</v>
      </c>
      <c r="G100" s="3">
        <v>83.33</v>
      </c>
      <c r="H100" s="3">
        <v>45</v>
      </c>
      <c r="I100" s="3">
        <v>91.84</v>
      </c>
      <c r="J100" s="3">
        <v>8.51</v>
      </c>
    </row>
    <row r="101" spans="1:10" s="3" customFormat="1" x14ac:dyDescent="0.25">
      <c r="A101" s="3" t="s">
        <v>99</v>
      </c>
      <c r="B101" s="3" t="s">
        <v>139</v>
      </c>
      <c r="C101" s="3" t="s">
        <v>2</v>
      </c>
      <c r="D101" s="3" t="s">
        <v>653</v>
      </c>
      <c r="E101" s="3" t="s">
        <v>651</v>
      </c>
      <c r="F101" s="3">
        <v>125</v>
      </c>
      <c r="G101" s="3">
        <v>87.41</v>
      </c>
      <c r="H101" s="3">
        <v>112</v>
      </c>
      <c r="I101" s="3">
        <v>91.8</v>
      </c>
      <c r="J101" s="3">
        <v>4.3899999999999997</v>
      </c>
    </row>
    <row r="102" spans="1:10" s="3" customFormat="1" x14ac:dyDescent="0.25">
      <c r="A102" s="3" t="s">
        <v>133</v>
      </c>
      <c r="B102" s="3" t="s">
        <v>134</v>
      </c>
      <c r="C102" s="3" t="s">
        <v>2</v>
      </c>
      <c r="D102" s="3" t="s">
        <v>135</v>
      </c>
      <c r="E102" s="3" t="s">
        <v>651</v>
      </c>
      <c r="F102" s="3">
        <v>63</v>
      </c>
      <c r="G102" s="3">
        <v>87.5</v>
      </c>
      <c r="H102" s="3">
        <v>67</v>
      </c>
      <c r="I102" s="3">
        <v>91.78</v>
      </c>
      <c r="J102" s="3">
        <v>4.28</v>
      </c>
    </row>
    <row r="103" spans="1:10" s="3" customFormat="1" x14ac:dyDescent="0.25">
      <c r="A103" s="3" t="s">
        <v>96</v>
      </c>
      <c r="B103" s="3" t="s">
        <v>97</v>
      </c>
      <c r="C103" s="3" t="s">
        <v>2</v>
      </c>
      <c r="D103" s="3" t="s">
        <v>98</v>
      </c>
      <c r="E103" s="3" t="s">
        <v>651</v>
      </c>
      <c r="F103" s="3">
        <v>50</v>
      </c>
      <c r="G103" s="3">
        <v>83.33</v>
      </c>
      <c r="H103" s="3">
        <v>55</v>
      </c>
      <c r="I103" s="3">
        <v>91.67</v>
      </c>
      <c r="J103" s="3">
        <v>8.34</v>
      </c>
    </row>
    <row r="104" spans="1:10" s="3" customFormat="1" x14ac:dyDescent="0.25">
      <c r="A104" s="3" t="s">
        <v>261</v>
      </c>
      <c r="B104" s="3" t="s">
        <v>262</v>
      </c>
      <c r="C104" s="3" t="s">
        <v>2</v>
      </c>
      <c r="D104" s="3" t="s">
        <v>263</v>
      </c>
      <c r="E104" s="3" t="s">
        <v>651</v>
      </c>
      <c r="F104" s="3">
        <v>117</v>
      </c>
      <c r="G104" s="3">
        <v>91.41</v>
      </c>
      <c r="H104" s="3">
        <v>108</v>
      </c>
      <c r="I104" s="3">
        <v>91.53</v>
      </c>
      <c r="J104" s="3">
        <v>0.12</v>
      </c>
    </row>
    <row r="105" spans="1:10" s="3" customFormat="1" x14ac:dyDescent="0.25">
      <c r="A105" s="3" t="s">
        <v>15</v>
      </c>
      <c r="B105" s="3" t="s">
        <v>335</v>
      </c>
      <c r="C105" s="3" t="s">
        <v>2</v>
      </c>
      <c r="D105" s="3" t="s">
        <v>336</v>
      </c>
      <c r="E105" s="3" t="s">
        <v>651</v>
      </c>
      <c r="F105" s="3">
        <v>223</v>
      </c>
      <c r="G105" s="3">
        <v>92.15</v>
      </c>
      <c r="H105" s="3">
        <v>205</v>
      </c>
      <c r="I105" s="3">
        <v>91.52</v>
      </c>
      <c r="J105" s="3">
        <v>-0.63</v>
      </c>
    </row>
    <row r="106" spans="1:10" s="3" customFormat="1" x14ac:dyDescent="0.25">
      <c r="A106" s="3" t="s">
        <v>210</v>
      </c>
      <c r="B106" s="3" t="s">
        <v>341</v>
      </c>
      <c r="C106" s="3" t="s">
        <v>2</v>
      </c>
      <c r="D106" s="3" t="s">
        <v>342</v>
      </c>
      <c r="E106" s="3" t="s">
        <v>651</v>
      </c>
      <c r="F106" s="3">
        <v>55</v>
      </c>
      <c r="G106" s="3">
        <v>91.67</v>
      </c>
      <c r="H106" s="3">
        <v>43</v>
      </c>
      <c r="I106" s="3">
        <v>91.49</v>
      </c>
      <c r="J106" s="3">
        <v>-0.18</v>
      </c>
    </row>
    <row r="107" spans="1:10" s="3" customFormat="1" x14ac:dyDescent="0.25">
      <c r="A107" s="3" t="s">
        <v>5</v>
      </c>
      <c r="B107" s="3" t="s">
        <v>180</v>
      </c>
      <c r="C107" s="3" t="s">
        <v>2</v>
      </c>
      <c r="D107" s="3" t="s">
        <v>181</v>
      </c>
      <c r="E107" s="3" t="s">
        <v>651</v>
      </c>
      <c r="F107" s="3">
        <v>39</v>
      </c>
      <c r="G107" s="3">
        <v>88.64</v>
      </c>
      <c r="H107" s="3">
        <v>43</v>
      </c>
      <c r="I107" s="3">
        <v>91.49</v>
      </c>
      <c r="J107" s="3">
        <v>2.85</v>
      </c>
    </row>
    <row r="108" spans="1:10" s="3" customFormat="1" x14ac:dyDescent="0.25">
      <c r="A108" s="3" t="s">
        <v>114</v>
      </c>
      <c r="B108" s="3" t="s">
        <v>115</v>
      </c>
      <c r="C108" s="3" t="s">
        <v>2</v>
      </c>
      <c r="D108" s="3" t="s">
        <v>116</v>
      </c>
      <c r="E108" s="3" t="s">
        <v>651</v>
      </c>
      <c r="F108" s="3">
        <v>500</v>
      </c>
      <c r="G108" s="3">
        <v>88.18</v>
      </c>
      <c r="H108" s="3">
        <v>492</v>
      </c>
      <c r="I108" s="3">
        <v>91.45</v>
      </c>
      <c r="J108" s="3">
        <v>3.27</v>
      </c>
    </row>
    <row r="109" spans="1:10" s="3" customFormat="1" x14ac:dyDescent="0.25">
      <c r="A109" s="3" t="s">
        <v>159</v>
      </c>
      <c r="B109" s="3" t="s">
        <v>195</v>
      </c>
      <c r="C109" s="3" t="s">
        <v>2</v>
      </c>
      <c r="D109" s="3" t="s">
        <v>196</v>
      </c>
      <c r="E109" s="3" t="s">
        <v>651</v>
      </c>
      <c r="F109" s="3">
        <v>192</v>
      </c>
      <c r="G109" s="3">
        <v>87.27</v>
      </c>
      <c r="H109" s="3">
        <v>191</v>
      </c>
      <c r="I109" s="3">
        <v>91.39</v>
      </c>
      <c r="J109" s="3">
        <v>4.12</v>
      </c>
    </row>
    <row r="110" spans="1:10" s="3" customFormat="1" x14ac:dyDescent="0.25">
      <c r="A110" s="3" t="s">
        <v>59</v>
      </c>
      <c r="B110" s="3" t="s">
        <v>321</v>
      </c>
      <c r="C110" s="3" t="s">
        <v>2</v>
      </c>
      <c r="D110" s="3" t="s">
        <v>322</v>
      </c>
      <c r="E110" s="3" t="s">
        <v>651</v>
      </c>
      <c r="F110" s="3">
        <v>651</v>
      </c>
      <c r="G110" s="3">
        <v>90.67</v>
      </c>
      <c r="H110" s="3">
        <v>647</v>
      </c>
      <c r="I110" s="3">
        <v>91.26</v>
      </c>
      <c r="J110" s="3">
        <v>0.59</v>
      </c>
    </row>
    <row r="111" spans="1:10" s="3" customFormat="1" x14ac:dyDescent="0.25">
      <c r="A111" s="3" t="s">
        <v>0</v>
      </c>
      <c r="B111" s="3" t="s">
        <v>384</v>
      </c>
      <c r="C111" s="3" t="s">
        <v>2</v>
      </c>
      <c r="D111" s="3" t="s">
        <v>385</v>
      </c>
      <c r="E111" s="3" t="s">
        <v>651</v>
      </c>
      <c r="F111" s="3">
        <v>105</v>
      </c>
      <c r="G111" s="3">
        <v>92.11</v>
      </c>
      <c r="H111" s="3">
        <v>104</v>
      </c>
      <c r="I111" s="3">
        <v>91.23</v>
      </c>
      <c r="J111" s="3">
        <v>-0.88</v>
      </c>
    </row>
    <row r="112" spans="1:10" s="3" customFormat="1" x14ac:dyDescent="0.25">
      <c r="A112" s="3" t="s">
        <v>43</v>
      </c>
      <c r="B112" s="3" t="s">
        <v>316</v>
      </c>
      <c r="C112" s="3" t="s">
        <v>2</v>
      </c>
      <c r="D112" s="3" t="s">
        <v>317</v>
      </c>
      <c r="E112" s="3" t="s">
        <v>651</v>
      </c>
      <c r="F112" s="3">
        <v>51</v>
      </c>
      <c r="G112" s="3">
        <v>89.47</v>
      </c>
      <c r="H112" s="3">
        <v>52</v>
      </c>
      <c r="I112" s="3">
        <v>91.23</v>
      </c>
      <c r="J112" s="3">
        <v>1.76</v>
      </c>
    </row>
    <row r="113" spans="1:10" s="3" customFormat="1" x14ac:dyDescent="0.25">
      <c r="A113" s="3" t="s">
        <v>245</v>
      </c>
      <c r="B113" s="3" t="s">
        <v>246</v>
      </c>
      <c r="C113" s="3" t="s">
        <v>2</v>
      </c>
      <c r="D113" s="3" t="s">
        <v>247</v>
      </c>
      <c r="E113" s="3" t="s">
        <v>651</v>
      </c>
      <c r="F113" s="3">
        <v>83</v>
      </c>
      <c r="G113" s="3">
        <v>85.57</v>
      </c>
      <c r="H113" s="3">
        <v>52</v>
      </c>
      <c r="I113" s="3">
        <v>91.23</v>
      </c>
      <c r="J113" s="3">
        <v>5.66</v>
      </c>
    </row>
    <row r="114" spans="1:10" s="3" customFormat="1" x14ac:dyDescent="0.25">
      <c r="A114" s="3" t="s">
        <v>162</v>
      </c>
      <c r="B114" s="3" t="s">
        <v>587</v>
      </c>
      <c r="C114" s="3" t="s">
        <v>2</v>
      </c>
      <c r="D114" s="3" t="s">
        <v>588</v>
      </c>
      <c r="E114" s="3" t="s">
        <v>651</v>
      </c>
      <c r="F114" s="3">
        <v>43</v>
      </c>
      <c r="G114" s="3">
        <v>93.48</v>
      </c>
      <c r="H114" s="3">
        <v>41</v>
      </c>
      <c r="I114" s="3">
        <v>91.11</v>
      </c>
      <c r="J114" s="3">
        <v>-2.37</v>
      </c>
    </row>
    <row r="115" spans="1:10" s="3" customFormat="1" x14ac:dyDescent="0.25">
      <c r="A115" s="3" t="s">
        <v>298</v>
      </c>
      <c r="B115" s="3" t="s">
        <v>299</v>
      </c>
      <c r="C115" s="3" t="s">
        <v>2</v>
      </c>
      <c r="D115" s="3" t="s">
        <v>300</v>
      </c>
      <c r="E115" s="3" t="s">
        <v>651</v>
      </c>
      <c r="F115" s="3">
        <v>67</v>
      </c>
      <c r="G115" s="3">
        <v>94.37</v>
      </c>
      <c r="H115" s="3">
        <v>82</v>
      </c>
      <c r="I115" s="3">
        <v>91.11</v>
      </c>
      <c r="J115" s="3">
        <v>-3.26</v>
      </c>
    </row>
    <row r="116" spans="1:10" s="3" customFormat="1" x14ac:dyDescent="0.25">
      <c r="A116" s="3" t="s">
        <v>364</v>
      </c>
      <c r="B116" s="3" t="s">
        <v>479</v>
      </c>
      <c r="C116" s="3" t="s">
        <v>2</v>
      </c>
      <c r="D116" s="3" t="s">
        <v>480</v>
      </c>
      <c r="E116" s="3" t="s">
        <v>651</v>
      </c>
      <c r="F116" s="3">
        <v>55</v>
      </c>
      <c r="G116" s="3">
        <v>94.83</v>
      </c>
      <c r="H116" s="3">
        <v>51</v>
      </c>
      <c r="I116" s="3">
        <v>91.07</v>
      </c>
      <c r="J116" s="3">
        <v>-3.76</v>
      </c>
    </row>
    <row r="117" spans="1:10" s="3" customFormat="1" x14ac:dyDescent="0.25">
      <c r="A117" s="3" t="s">
        <v>71</v>
      </c>
      <c r="B117" s="3" t="s">
        <v>576</v>
      </c>
      <c r="C117" s="3" t="s">
        <v>2</v>
      </c>
      <c r="D117" s="3" t="s">
        <v>577</v>
      </c>
      <c r="E117" s="3" t="s">
        <v>651</v>
      </c>
      <c r="F117" s="3">
        <v>59</v>
      </c>
      <c r="G117" s="3">
        <v>98.33</v>
      </c>
      <c r="H117" s="3">
        <v>49</v>
      </c>
      <c r="I117" s="3">
        <v>90.74</v>
      </c>
      <c r="J117" s="3">
        <v>-7.59</v>
      </c>
    </row>
    <row r="118" spans="1:10" s="3" customFormat="1" x14ac:dyDescent="0.25">
      <c r="A118" s="3" t="s">
        <v>32</v>
      </c>
      <c r="B118" s="3" t="s">
        <v>428</v>
      </c>
      <c r="C118" s="3" t="s">
        <v>2</v>
      </c>
      <c r="D118" s="3" t="s">
        <v>429</v>
      </c>
      <c r="E118" s="3" t="s">
        <v>651</v>
      </c>
      <c r="F118" s="3">
        <v>665</v>
      </c>
      <c r="G118" s="3">
        <v>92.62</v>
      </c>
      <c r="H118" s="3">
        <v>613</v>
      </c>
      <c r="I118" s="3">
        <v>90.68</v>
      </c>
      <c r="J118" s="3">
        <v>-1.94</v>
      </c>
    </row>
    <row r="119" spans="1:10" s="3" customFormat="1" x14ac:dyDescent="0.25">
      <c r="A119" s="3" t="s">
        <v>85</v>
      </c>
      <c r="B119" s="3" t="s">
        <v>86</v>
      </c>
      <c r="C119" s="3" t="s">
        <v>2</v>
      </c>
      <c r="D119" s="3" t="s">
        <v>87</v>
      </c>
      <c r="E119" s="3" t="s">
        <v>651</v>
      </c>
      <c r="F119" s="3">
        <v>125</v>
      </c>
      <c r="G119" s="3">
        <v>81.17</v>
      </c>
      <c r="H119" s="3">
        <v>145</v>
      </c>
      <c r="I119" s="3">
        <v>90.63</v>
      </c>
      <c r="J119" s="3">
        <v>9.4600000000000009</v>
      </c>
    </row>
    <row r="120" spans="1:10" s="3" customFormat="1" x14ac:dyDescent="0.25">
      <c r="A120" s="3" t="s">
        <v>105</v>
      </c>
      <c r="B120" s="3" t="s">
        <v>356</v>
      </c>
      <c r="C120" s="3" t="s">
        <v>2</v>
      </c>
      <c r="D120" s="3" t="s">
        <v>357</v>
      </c>
      <c r="E120" s="3" t="s">
        <v>651</v>
      </c>
      <c r="F120" s="3">
        <v>337</v>
      </c>
      <c r="G120" s="3">
        <v>90.11</v>
      </c>
      <c r="H120" s="3">
        <v>338</v>
      </c>
      <c r="I120" s="3">
        <v>90.62</v>
      </c>
      <c r="J120" s="3">
        <v>0.51</v>
      </c>
    </row>
    <row r="121" spans="1:10" s="3" customFormat="1" x14ac:dyDescent="0.25">
      <c r="A121" s="3" t="s">
        <v>5</v>
      </c>
      <c r="B121" s="3" t="s">
        <v>352</v>
      </c>
      <c r="C121" s="3" t="s">
        <v>2</v>
      </c>
      <c r="D121" s="3" t="s">
        <v>353</v>
      </c>
      <c r="E121" s="3" t="s">
        <v>651</v>
      </c>
      <c r="F121" s="3">
        <v>61</v>
      </c>
      <c r="G121" s="3">
        <v>91.04</v>
      </c>
      <c r="H121" s="3">
        <v>48</v>
      </c>
      <c r="I121" s="3">
        <v>90.57</v>
      </c>
      <c r="J121" s="3">
        <v>-0.47</v>
      </c>
    </row>
    <row r="122" spans="1:10" s="3" customFormat="1" x14ac:dyDescent="0.25">
      <c r="A122" s="3" t="s">
        <v>0</v>
      </c>
      <c r="B122" s="3" t="s">
        <v>21</v>
      </c>
      <c r="C122" s="3" t="s">
        <v>2</v>
      </c>
      <c r="D122" s="3" t="s">
        <v>22</v>
      </c>
      <c r="E122" s="3" t="s">
        <v>651</v>
      </c>
      <c r="H122" s="3">
        <v>48</v>
      </c>
      <c r="I122" s="3">
        <v>90.57</v>
      </c>
    </row>
    <row r="123" spans="1:10" s="3" customFormat="1" x14ac:dyDescent="0.25">
      <c r="A123" s="3" t="s">
        <v>114</v>
      </c>
      <c r="B123" s="3" t="s">
        <v>388</v>
      </c>
      <c r="C123" s="3" t="s">
        <v>2</v>
      </c>
      <c r="D123" s="3" t="s">
        <v>389</v>
      </c>
      <c r="E123" s="3" t="s">
        <v>651</v>
      </c>
      <c r="F123" s="3">
        <v>217</v>
      </c>
      <c r="G123" s="3">
        <v>91.95</v>
      </c>
      <c r="H123" s="3">
        <v>200</v>
      </c>
      <c r="I123" s="3">
        <v>90.5</v>
      </c>
      <c r="J123" s="3">
        <v>-1.45</v>
      </c>
    </row>
    <row r="124" spans="1:10" s="3" customFormat="1" x14ac:dyDescent="0.25">
      <c r="A124" s="3" t="s">
        <v>8</v>
      </c>
      <c r="B124" s="3" t="s">
        <v>529</v>
      </c>
      <c r="C124" s="3" t="s">
        <v>2</v>
      </c>
      <c r="D124" s="3" t="s">
        <v>530</v>
      </c>
      <c r="E124" s="3" t="s">
        <v>651</v>
      </c>
      <c r="F124" s="3">
        <v>90</v>
      </c>
      <c r="G124" s="3">
        <v>95.74</v>
      </c>
      <c r="H124" s="3">
        <v>84</v>
      </c>
      <c r="I124" s="3">
        <v>90.32</v>
      </c>
      <c r="J124" s="3">
        <v>-5.42</v>
      </c>
    </row>
    <row r="125" spans="1:10" s="3" customFormat="1" x14ac:dyDescent="0.25">
      <c r="A125" s="3" t="s">
        <v>128</v>
      </c>
      <c r="B125" s="3" t="s">
        <v>129</v>
      </c>
      <c r="C125" s="3" t="s">
        <v>2</v>
      </c>
      <c r="D125" s="3" t="s">
        <v>130</v>
      </c>
      <c r="E125" s="3" t="s">
        <v>651</v>
      </c>
      <c r="F125" s="3">
        <v>120</v>
      </c>
      <c r="G125" s="3">
        <v>86.33</v>
      </c>
      <c r="H125" s="3">
        <v>120</v>
      </c>
      <c r="I125" s="3">
        <v>90.23</v>
      </c>
      <c r="J125" s="3">
        <v>3.9</v>
      </c>
    </row>
    <row r="126" spans="1:10" s="3" customFormat="1" x14ac:dyDescent="0.25">
      <c r="A126" s="3" t="s">
        <v>175</v>
      </c>
      <c r="B126" s="3" t="s">
        <v>343</v>
      </c>
      <c r="C126" s="3" t="s">
        <v>2</v>
      </c>
      <c r="D126" s="3" t="s">
        <v>344</v>
      </c>
      <c r="E126" s="3" t="s">
        <v>651</v>
      </c>
      <c r="F126" s="3">
        <v>785</v>
      </c>
      <c r="G126" s="3">
        <v>90.54</v>
      </c>
      <c r="H126" s="3">
        <v>775</v>
      </c>
      <c r="I126" s="3">
        <v>90.22</v>
      </c>
      <c r="J126" s="3">
        <v>-0.32</v>
      </c>
    </row>
    <row r="127" spans="1:10" s="3" customFormat="1" x14ac:dyDescent="0.25">
      <c r="A127" s="3" t="s">
        <v>32</v>
      </c>
      <c r="B127" s="3" t="s">
        <v>235</v>
      </c>
      <c r="C127" s="3" t="s">
        <v>2</v>
      </c>
      <c r="D127" s="3" t="s">
        <v>236</v>
      </c>
      <c r="E127" s="3" t="s">
        <v>651</v>
      </c>
      <c r="F127" s="3">
        <v>136</v>
      </c>
      <c r="G127" s="3">
        <v>87.18</v>
      </c>
      <c r="H127" s="3">
        <v>156</v>
      </c>
      <c r="I127" s="3">
        <v>90.17</v>
      </c>
      <c r="J127" s="3">
        <v>2.99</v>
      </c>
    </row>
    <row r="128" spans="1:10" s="3" customFormat="1" x14ac:dyDescent="0.25">
      <c r="A128" s="3" t="s">
        <v>26</v>
      </c>
      <c r="B128" s="3" t="s">
        <v>566</v>
      </c>
      <c r="C128" s="3" t="s">
        <v>2</v>
      </c>
      <c r="D128" s="3" t="s">
        <v>567</v>
      </c>
      <c r="E128" s="3" t="s">
        <v>651</v>
      </c>
      <c r="F128" s="3">
        <v>48</v>
      </c>
      <c r="G128" s="3">
        <v>97.96</v>
      </c>
      <c r="H128" s="3">
        <v>55</v>
      </c>
      <c r="I128" s="3">
        <v>90.16</v>
      </c>
      <c r="J128" s="3">
        <v>-7.8</v>
      </c>
    </row>
    <row r="129" spans="1:12" s="3" customFormat="1" x14ac:dyDescent="0.25">
      <c r="A129" s="3" t="s">
        <v>228</v>
      </c>
      <c r="B129" s="3" t="s">
        <v>551</v>
      </c>
      <c r="C129" s="3" t="s">
        <v>2</v>
      </c>
      <c r="D129" s="3" t="s">
        <v>552</v>
      </c>
      <c r="E129" s="3" t="s">
        <v>651</v>
      </c>
      <c r="F129" s="3">
        <v>63</v>
      </c>
      <c r="G129" s="3">
        <v>95.45</v>
      </c>
      <c r="H129" s="3">
        <v>55</v>
      </c>
      <c r="I129" s="3">
        <v>90.16</v>
      </c>
      <c r="J129" s="3">
        <v>-5.29</v>
      </c>
    </row>
    <row r="130" spans="1:12" s="3" customFormat="1" x14ac:dyDescent="0.25">
      <c r="A130" s="3" t="s">
        <v>43</v>
      </c>
      <c r="B130" s="3" t="s">
        <v>512</v>
      </c>
      <c r="C130" s="3" t="s">
        <v>2</v>
      </c>
      <c r="D130" s="3" t="s">
        <v>513</v>
      </c>
      <c r="E130" s="3" t="s">
        <v>651</v>
      </c>
      <c r="F130" s="3">
        <v>100</v>
      </c>
      <c r="G130" s="3">
        <v>94.34</v>
      </c>
      <c r="H130" s="3">
        <v>73</v>
      </c>
      <c r="I130" s="3">
        <v>90.12</v>
      </c>
      <c r="J130" s="3">
        <v>-4.22</v>
      </c>
    </row>
    <row r="131" spans="1:12" s="3" customFormat="1" x14ac:dyDescent="0.25">
      <c r="A131" s="3" t="s">
        <v>102</v>
      </c>
      <c r="B131" s="3" t="s">
        <v>103</v>
      </c>
      <c r="C131" s="3" t="s">
        <v>2</v>
      </c>
      <c r="D131" s="3" t="s">
        <v>104</v>
      </c>
      <c r="E131" s="3" t="s">
        <v>651</v>
      </c>
      <c r="F131" s="3">
        <v>70</v>
      </c>
      <c r="G131" s="3">
        <v>84.34</v>
      </c>
      <c r="H131" s="3">
        <v>90</v>
      </c>
      <c r="I131" s="3">
        <v>90</v>
      </c>
      <c r="J131" s="3">
        <v>5.66</v>
      </c>
    </row>
    <row r="132" spans="1:12" s="3" customFormat="1" x14ac:dyDescent="0.25">
      <c r="A132" s="3" t="s">
        <v>136</v>
      </c>
      <c r="B132" s="3" t="s">
        <v>137</v>
      </c>
      <c r="C132" s="3" t="s">
        <v>2</v>
      </c>
      <c r="D132" s="3" t="s">
        <v>138</v>
      </c>
      <c r="E132" s="3" t="s">
        <v>651</v>
      </c>
      <c r="F132" s="3">
        <v>129</v>
      </c>
      <c r="G132" s="3">
        <v>85.43</v>
      </c>
      <c r="H132" s="3">
        <v>126</v>
      </c>
      <c r="I132" s="3">
        <v>90</v>
      </c>
      <c r="J132" s="3">
        <v>4.57</v>
      </c>
    </row>
    <row r="133" spans="1:12" s="3" customFormat="1" x14ac:dyDescent="0.25">
      <c r="A133" s="3" t="s">
        <v>184</v>
      </c>
      <c r="B133" s="3" t="s">
        <v>560</v>
      </c>
      <c r="C133" s="3" t="s">
        <v>2</v>
      </c>
      <c r="D133" s="3" t="s">
        <v>561</v>
      </c>
      <c r="E133" s="3" t="s">
        <v>651</v>
      </c>
      <c r="F133" s="3">
        <v>65</v>
      </c>
      <c r="G133" s="3">
        <v>98.48</v>
      </c>
      <c r="H133" s="3">
        <v>54</v>
      </c>
      <c r="I133" s="3">
        <v>90</v>
      </c>
      <c r="J133" s="3">
        <v>-8.48</v>
      </c>
    </row>
    <row r="134" spans="1:12" s="5" customFormat="1" x14ac:dyDescent="0.25">
      <c r="A134" s="5" t="s">
        <v>32</v>
      </c>
      <c r="B134" s="5" t="s">
        <v>398</v>
      </c>
      <c r="C134" s="5" t="s">
        <v>2</v>
      </c>
      <c r="D134" s="5" t="s">
        <v>399</v>
      </c>
      <c r="E134" s="5" t="s">
        <v>651</v>
      </c>
      <c r="F134" s="5">
        <v>610</v>
      </c>
      <c r="G134" s="5">
        <v>90.1</v>
      </c>
      <c r="H134" s="5">
        <v>558</v>
      </c>
      <c r="I134" s="5">
        <v>89.86</v>
      </c>
      <c r="J134" s="5">
        <v>-0.24</v>
      </c>
      <c r="K134" s="5">
        <f t="shared" ref="K134:K194" si="0">90-I134</f>
        <v>0.14000000000000057</v>
      </c>
      <c r="L134" s="6">
        <f>K134/8</f>
        <v>1.7500000000000071E-2</v>
      </c>
    </row>
    <row r="135" spans="1:12" s="5" customFormat="1" x14ac:dyDescent="0.25">
      <c r="A135" s="5" t="s">
        <v>210</v>
      </c>
      <c r="B135" s="5" t="s">
        <v>243</v>
      </c>
      <c r="C135" s="5" t="s">
        <v>2</v>
      </c>
      <c r="D135" s="5" t="s">
        <v>244</v>
      </c>
      <c r="E135" s="5" t="s">
        <v>651</v>
      </c>
      <c r="F135" s="5">
        <v>91</v>
      </c>
      <c r="G135" s="5">
        <v>87.5</v>
      </c>
      <c r="H135" s="5">
        <v>88</v>
      </c>
      <c r="I135" s="5">
        <v>89.8</v>
      </c>
      <c r="J135" s="5">
        <v>2.2999999999999998</v>
      </c>
      <c r="K135" s="5">
        <f t="shared" si="0"/>
        <v>0.20000000000000284</v>
      </c>
      <c r="L135" s="6">
        <f t="shared" ref="L135:L198" si="1">K135/8</f>
        <v>2.5000000000000355E-2</v>
      </c>
    </row>
    <row r="136" spans="1:12" s="5" customFormat="1" x14ac:dyDescent="0.25">
      <c r="A136" s="5" t="s">
        <v>411</v>
      </c>
      <c r="B136" s="5" t="s">
        <v>412</v>
      </c>
      <c r="C136" s="5" t="s">
        <v>2</v>
      </c>
      <c r="D136" s="5" t="s">
        <v>413</v>
      </c>
      <c r="E136" s="5" t="s">
        <v>651</v>
      </c>
      <c r="F136" s="5">
        <v>83</v>
      </c>
      <c r="G136" s="5">
        <v>92.22</v>
      </c>
      <c r="H136" s="5">
        <v>70</v>
      </c>
      <c r="I136" s="5">
        <v>89.74</v>
      </c>
      <c r="J136" s="5">
        <v>-2.48</v>
      </c>
      <c r="K136" s="5">
        <f t="shared" si="0"/>
        <v>0.26000000000000512</v>
      </c>
      <c r="L136" s="6">
        <f t="shared" si="1"/>
        <v>3.2500000000000639E-2</v>
      </c>
    </row>
    <row r="137" spans="1:12" s="5" customFormat="1" x14ac:dyDescent="0.25">
      <c r="A137" s="5" t="s">
        <v>128</v>
      </c>
      <c r="B137" s="5" t="s">
        <v>189</v>
      </c>
      <c r="C137" s="5" t="s">
        <v>2</v>
      </c>
      <c r="D137" s="5" t="s">
        <v>190</v>
      </c>
      <c r="E137" s="5" t="s">
        <v>651</v>
      </c>
      <c r="F137" s="5">
        <v>134</v>
      </c>
      <c r="G137" s="5">
        <v>87.58</v>
      </c>
      <c r="H137" s="5">
        <v>148</v>
      </c>
      <c r="I137" s="5">
        <v>89.7</v>
      </c>
      <c r="J137" s="5">
        <v>2.12</v>
      </c>
      <c r="K137" s="5">
        <f t="shared" si="0"/>
        <v>0.29999999999999716</v>
      </c>
      <c r="L137" s="6">
        <f t="shared" si="1"/>
        <v>3.7499999999999645E-2</v>
      </c>
    </row>
    <row r="138" spans="1:12" s="5" customFormat="1" x14ac:dyDescent="0.25">
      <c r="A138" s="5" t="s">
        <v>59</v>
      </c>
      <c r="B138" s="5" t="s">
        <v>432</v>
      </c>
      <c r="C138" s="5" t="s">
        <v>2</v>
      </c>
      <c r="D138" s="5" t="s">
        <v>433</v>
      </c>
      <c r="E138" s="5" t="s">
        <v>651</v>
      </c>
      <c r="F138" s="5">
        <v>353</v>
      </c>
      <c r="G138" s="5">
        <v>90.05</v>
      </c>
      <c r="H138" s="5">
        <v>314</v>
      </c>
      <c r="I138" s="5">
        <v>89.46</v>
      </c>
      <c r="J138" s="5">
        <v>-0.59</v>
      </c>
      <c r="K138" s="5">
        <f t="shared" si="0"/>
        <v>0.54000000000000625</v>
      </c>
      <c r="L138" s="6">
        <f t="shared" si="1"/>
        <v>6.7500000000000782E-2</v>
      </c>
    </row>
    <row r="139" spans="1:12" s="5" customFormat="1" x14ac:dyDescent="0.25">
      <c r="A139" s="5" t="s">
        <v>15</v>
      </c>
      <c r="B139" s="5" t="s">
        <v>170</v>
      </c>
      <c r="C139" s="5" t="s">
        <v>2</v>
      </c>
      <c r="D139" s="5" t="s">
        <v>171</v>
      </c>
      <c r="E139" s="5" t="s">
        <v>651</v>
      </c>
      <c r="F139" s="5">
        <v>192</v>
      </c>
      <c r="G139" s="5">
        <v>89.3</v>
      </c>
      <c r="H139" s="5">
        <v>178</v>
      </c>
      <c r="I139" s="5">
        <v>89.45</v>
      </c>
      <c r="J139" s="5">
        <v>0.15</v>
      </c>
      <c r="K139" s="5">
        <f t="shared" si="0"/>
        <v>0.54999999999999716</v>
      </c>
      <c r="L139" s="6">
        <f t="shared" si="1"/>
        <v>6.8749999999999645E-2</v>
      </c>
    </row>
    <row r="140" spans="1:12" s="5" customFormat="1" x14ac:dyDescent="0.25">
      <c r="A140" s="5" t="s">
        <v>0</v>
      </c>
      <c r="B140" s="5" t="s">
        <v>303</v>
      </c>
      <c r="C140" s="5" t="s">
        <v>2</v>
      </c>
      <c r="D140" s="5" t="s">
        <v>304</v>
      </c>
      <c r="E140" s="5" t="s">
        <v>651</v>
      </c>
      <c r="F140" s="5">
        <v>145</v>
      </c>
      <c r="G140" s="5">
        <v>89.51</v>
      </c>
      <c r="H140" s="5">
        <v>118</v>
      </c>
      <c r="I140" s="5">
        <v>89.39</v>
      </c>
      <c r="J140" s="5">
        <v>-0.12</v>
      </c>
      <c r="K140" s="5">
        <f t="shared" si="0"/>
        <v>0.60999999999999943</v>
      </c>
      <c r="L140" s="6">
        <f t="shared" si="1"/>
        <v>7.6249999999999929E-2</v>
      </c>
    </row>
    <row r="141" spans="1:12" s="5" customFormat="1" x14ac:dyDescent="0.25">
      <c r="A141" s="5" t="s">
        <v>474</v>
      </c>
      <c r="B141" s="5" t="s">
        <v>572</v>
      </c>
      <c r="C141" s="5" t="s">
        <v>2</v>
      </c>
      <c r="D141" s="5" t="s">
        <v>573</v>
      </c>
      <c r="E141" s="5" t="s">
        <v>651</v>
      </c>
      <c r="F141" s="5">
        <v>50</v>
      </c>
      <c r="G141" s="5">
        <v>98.04</v>
      </c>
      <c r="H141" s="5">
        <v>42</v>
      </c>
      <c r="I141" s="5">
        <v>89.36</v>
      </c>
      <c r="J141" s="5">
        <v>-8.68</v>
      </c>
      <c r="K141" s="5">
        <f t="shared" si="0"/>
        <v>0.64000000000000057</v>
      </c>
      <c r="L141" s="6">
        <f t="shared" si="1"/>
        <v>8.0000000000000071E-2</v>
      </c>
    </row>
    <row r="142" spans="1:12" s="5" customFormat="1" x14ac:dyDescent="0.25">
      <c r="A142" s="5" t="s">
        <v>32</v>
      </c>
      <c r="B142" s="5" t="s">
        <v>371</v>
      </c>
      <c r="C142" s="5" t="s">
        <v>2</v>
      </c>
      <c r="D142" s="5" t="s">
        <v>372</v>
      </c>
      <c r="E142" s="5" t="s">
        <v>651</v>
      </c>
      <c r="F142" s="5">
        <v>880</v>
      </c>
      <c r="G142" s="5">
        <v>89.7</v>
      </c>
      <c r="H142" s="5">
        <v>821</v>
      </c>
      <c r="I142" s="5">
        <v>89.34</v>
      </c>
      <c r="J142" s="5">
        <v>-0.36</v>
      </c>
      <c r="K142" s="5">
        <f t="shared" si="0"/>
        <v>0.65999999999999659</v>
      </c>
      <c r="L142" s="6">
        <f t="shared" si="1"/>
        <v>8.2499999999999574E-2</v>
      </c>
    </row>
    <row r="143" spans="1:12" s="5" customFormat="1" x14ac:dyDescent="0.25">
      <c r="A143" s="5" t="s">
        <v>96</v>
      </c>
      <c r="B143" s="5" t="s">
        <v>308</v>
      </c>
      <c r="C143" s="5" t="s">
        <v>2</v>
      </c>
      <c r="D143" s="5" t="s">
        <v>309</v>
      </c>
      <c r="E143" s="5" t="s">
        <v>651</v>
      </c>
      <c r="F143" s="5">
        <v>75</v>
      </c>
      <c r="G143" s="5">
        <v>87.21</v>
      </c>
      <c r="H143" s="5">
        <v>75</v>
      </c>
      <c r="I143" s="5">
        <v>89.29</v>
      </c>
      <c r="J143" s="5">
        <v>2.08</v>
      </c>
      <c r="K143" s="5">
        <f t="shared" si="0"/>
        <v>0.70999999999999375</v>
      </c>
      <c r="L143" s="6">
        <f t="shared" si="1"/>
        <v>8.8749999999999218E-2</v>
      </c>
    </row>
    <row r="144" spans="1:12" s="5" customFormat="1" x14ac:dyDescent="0.25">
      <c r="A144" s="5" t="s">
        <v>88</v>
      </c>
      <c r="B144" s="5" t="s">
        <v>216</v>
      </c>
      <c r="C144" s="5" t="s">
        <v>2</v>
      </c>
      <c r="D144" s="5" t="s">
        <v>217</v>
      </c>
      <c r="E144" s="5" t="s">
        <v>651</v>
      </c>
      <c r="F144" s="5">
        <v>52</v>
      </c>
      <c r="G144" s="5">
        <v>86.67</v>
      </c>
      <c r="H144" s="5">
        <v>58</v>
      </c>
      <c r="I144" s="5">
        <v>89.23</v>
      </c>
      <c r="J144" s="5">
        <v>2.56</v>
      </c>
      <c r="K144" s="5">
        <f t="shared" si="0"/>
        <v>0.76999999999999602</v>
      </c>
      <c r="L144" s="6">
        <f t="shared" si="1"/>
        <v>9.6249999999999503E-2</v>
      </c>
    </row>
    <row r="145" spans="1:12" s="5" customFormat="1" x14ac:dyDescent="0.25">
      <c r="A145" s="5" t="s">
        <v>175</v>
      </c>
      <c r="B145" s="5" t="s">
        <v>523</v>
      </c>
      <c r="C145" s="5" t="s">
        <v>2</v>
      </c>
      <c r="D145" s="5" t="s">
        <v>524</v>
      </c>
      <c r="E145" s="5" t="s">
        <v>651</v>
      </c>
      <c r="F145" s="5">
        <v>178</v>
      </c>
      <c r="G145" s="5">
        <v>93.68</v>
      </c>
      <c r="H145" s="5">
        <v>195</v>
      </c>
      <c r="I145" s="5">
        <v>89.04</v>
      </c>
      <c r="J145" s="5">
        <v>-4.6399999999999997</v>
      </c>
      <c r="K145" s="5">
        <f t="shared" si="0"/>
        <v>0.95999999999999375</v>
      </c>
      <c r="L145" s="6">
        <f t="shared" si="1"/>
        <v>0.11999999999999922</v>
      </c>
    </row>
    <row r="146" spans="1:12" s="5" customFormat="1" x14ac:dyDescent="0.25">
      <c r="A146" s="5" t="s">
        <v>32</v>
      </c>
      <c r="B146" s="5" t="s">
        <v>33</v>
      </c>
      <c r="C146" s="5" t="s">
        <v>2</v>
      </c>
      <c r="D146" s="5" t="s">
        <v>34</v>
      </c>
      <c r="E146" s="5" t="s">
        <v>651</v>
      </c>
      <c r="F146" s="5">
        <v>173</v>
      </c>
      <c r="G146" s="5">
        <v>82.38</v>
      </c>
      <c r="H146" s="5">
        <v>186</v>
      </c>
      <c r="I146" s="5">
        <v>89</v>
      </c>
      <c r="J146" s="5">
        <v>6.62</v>
      </c>
      <c r="K146" s="5">
        <f t="shared" si="0"/>
        <v>1</v>
      </c>
      <c r="L146" s="6">
        <f t="shared" si="1"/>
        <v>0.125</v>
      </c>
    </row>
    <row r="147" spans="1:12" s="5" customFormat="1" x14ac:dyDescent="0.25">
      <c r="A147" s="5" t="s">
        <v>305</v>
      </c>
      <c r="B147" s="5" t="s">
        <v>306</v>
      </c>
      <c r="C147" s="5" t="s">
        <v>2</v>
      </c>
      <c r="D147" s="5" t="s">
        <v>307</v>
      </c>
      <c r="E147" s="5" t="s">
        <v>651</v>
      </c>
      <c r="F147" s="5">
        <v>129</v>
      </c>
      <c r="G147" s="5">
        <v>87.16</v>
      </c>
      <c r="H147" s="5">
        <v>105</v>
      </c>
      <c r="I147" s="5">
        <v>88.98</v>
      </c>
      <c r="J147" s="5">
        <v>1.82</v>
      </c>
      <c r="K147" s="5">
        <f t="shared" si="0"/>
        <v>1.019999999999996</v>
      </c>
      <c r="L147" s="6">
        <f t="shared" si="1"/>
        <v>0.1274999999999995</v>
      </c>
    </row>
    <row r="148" spans="1:12" s="5" customFormat="1" x14ac:dyDescent="0.25">
      <c r="A148" s="5" t="s">
        <v>0</v>
      </c>
      <c r="B148" s="5" t="s">
        <v>434</v>
      </c>
      <c r="C148" s="5" t="s">
        <v>2</v>
      </c>
      <c r="D148" s="5" t="s">
        <v>435</v>
      </c>
      <c r="E148" s="5" t="s">
        <v>651</v>
      </c>
      <c r="F148" s="5">
        <v>106</v>
      </c>
      <c r="G148" s="5">
        <v>92.17</v>
      </c>
      <c r="H148" s="5">
        <v>113</v>
      </c>
      <c r="I148" s="5">
        <v>88.98</v>
      </c>
      <c r="J148" s="5">
        <v>-3.19</v>
      </c>
      <c r="K148" s="5">
        <f t="shared" si="0"/>
        <v>1.019999999999996</v>
      </c>
      <c r="L148" s="6">
        <f t="shared" si="1"/>
        <v>0.1274999999999995</v>
      </c>
    </row>
    <row r="149" spans="1:12" s="5" customFormat="1" x14ac:dyDescent="0.25">
      <c r="A149" s="5" t="s">
        <v>133</v>
      </c>
      <c r="B149" s="5" t="s">
        <v>285</v>
      </c>
      <c r="C149" s="5" t="s">
        <v>2</v>
      </c>
      <c r="D149" s="5" t="s">
        <v>286</v>
      </c>
      <c r="E149" s="5" t="s">
        <v>651</v>
      </c>
      <c r="F149" s="5">
        <v>289</v>
      </c>
      <c r="G149" s="5">
        <v>88.11</v>
      </c>
      <c r="H149" s="5">
        <v>308</v>
      </c>
      <c r="I149" s="5">
        <v>88.76</v>
      </c>
      <c r="J149" s="5">
        <v>0.65</v>
      </c>
      <c r="K149" s="5">
        <f t="shared" si="0"/>
        <v>1.2399999999999949</v>
      </c>
      <c r="L149" s="6">
        <f t="shared" si="1"/>
        <v>0.15499999999999936</v>
      </c>
    </row>
    <row r="150" spans="1:12" s="5" customFormat="1" x14ac:dyDescent="0.25">
      <c r="A150" s="5" t="s">
        <v>597</v>
      </c>
      <c r="B150" s="5" t="s">
        <v>598</v>
      </c>
      <c r="C150" s="5" t="s">
        <v>2</v>
      </c>
      <c r="D150" s="5" t="s">
        <v>599</v>
      </c>
      <c r="E150" s="5" t="s">
        <v>651</v>
      </c>
      <c r="F150" s="5">
        <v>55</v>
      </c>
      <c r="G150" s="5">
        <v>96.49</v>
      </c>
      <c r="H150" s="5">
        <v>47</v>
      </c>
      <c r="I150" s="5">
        <v>88.68</v>
      </c>
      <c r="J150" s="5">
        <v>-7.81</v>
      </c>
      <c r="K150" s="5">
        <f t="shared" si="0"/>
        <v>1.3199999999999932</v>
      </c>
      <c r="L150" s="6">
        <f t="shared" si="1"/>
        <v>0.16499999999999915</v>
      </c>
    </row>
    <row r="151" spans="1:12" s="5" customFormat="1" x14ac:dyDescent="0.25">
      <c r="A151" s="5" t="s">
        <v>36</v>
      </c>
      <c r="B151" s="5" t="s">
        <v>455</v>
      </c>
      <c r="C151" s="5" t="s">
        <v>2</v>
      </c>
      <c r="D151" s="5" t="s">
        <v>456</v>
      </c>
      <c r="E151" s="5" t="s">
        <v>651</v>
      </c>
      <c r="F151" s="5">
        <v>76</v>
      </c>
      <c r="G151" s="5">
        <v>91.57</v>
      </c>
      <c r="H151" s="5">
        <v>62</v>
      </c>
      <c r="I151" s="5">
        <v>88.57</v>
      </c>
      <c r="J151" s="5">
        <v>-3</v>
      </c>
      <c r="K151" s="5">
        <f t="shared" si="0"/>
        <v>1.4300000000000068</v>
      </c>
      <c r="L151" s="6">
        <f t="shared" si="1"/>
        <v>0.17875000000000085</v>
      </c>
    </row>
    <row r="152" spans="1:12" s="5" customFormat="1" x14ac:dyDescent="0.25">
      <c r="A152" s="5" t="s">
        <v>172</v>
      </c>
      <c r="B152" s="5" t="s">
        <v>568</v>
      </c>
      <c r="C152" s="5" t="s">
        <v>2</v>
      </c>
      <c r="D152" s="5" t="s">
        <v>569</v>
      </c>
      <c r="E152" s="5" t="s">
        <v>651</v>
      </c>
      <c r="F152" s="5">
        <v>127</v>
      </c>
      <c r="G152" s="5">
        <v>97.69</v>
      </c>
      <c r="H152" s="5">
        <v>116</v>
      </c>
      <c r="I152" s="5">
        <v>88.55</v>
      </c>
      <c r="J152" s="5">
        <v>-9.14</v>
      </c>
      <c r="K152" s="5">
        <f t="shared" si="0"/>
        <v>1.4500000000000028</v>
      </c>
      <c r="L152" s="6">
        <f t="shared" si="1"/>
        <v>0.18125000000000036</v>
      </c>
    </row>
    <row r="153" spans="1:12" s="5" customFormat="1" x14ac:dyDescent="0.25">
      <c r="A153" s="5" t="s">
        <v>8</v>
      </c>
      <c r="B153" s="5" t="s">
        <v>521</v>
      </c>
      <c r="C153" s="5" t="s">
        <v>2</v>
      </c>
      <c r="D153" s="5" t="s">
        <v>522</v>
      </c>
      <c r="E153" s="5" t="s">
        <v>651</v>
      </c>
      <c r="F153" s="5">
        <v>107</v>
      </c>
      <c r="G153" s="5">
        <v>93.86</v>
      </c>
      <c r="H153" s="5">
        <v>98</v>
      </c>
      <c r="I153" s="5">
        <v>88.29</v>
      </c>
      <c r="J153" s="5">
        <v>-5.57</v>
      </c>
      <c r="K153" s="5">
        <f t="shared" si="0"/>
        <v>1.7099999999999937</v>
      </c>
      <c r="L153" s="6">
        <f t="shared" si="1"/>
        <v>0.21374999999999922</v>
      </c>
    </row>
    <row r="154" spans="1:12" s="5" customFormat="1" x14ac:dyDescent="0.25">
      <c r="A154" s="5" t="s">
        <v>52</v>
      </c>
      <c r="B154" s="5" t="s">
        <v>350</v>
      </c>
      <c r="C154" s="5" t="s">
        <v>2</v>
      </c>
      <c r="D154" s="5" t="s">
        <v>351</v>
      </c>
      <c r="E154" s="5" t="s">
        <v>651</v>
      </c>
      <c r="F154" s="5">
        <v>419</v>
      </c>
      <c r="G154" s="5">
        <v>87.47</v>
      </c>
      <c r="H154" s="5">
        <v>466</v>
      </c>
      <c r="I154" s="5">
        <v>88.26</v>
      </c>
      <c r="J154" s="5">
        <v>0.79</v>
      </c>
      <c r="K154" s="5">
        <f t="shared" si="0"/>
        <v>1.7399999999999949</v>
      </c>
      <c r="L154" s="6">
        <f t="shared" si="1"/>
        <v>0.21749999999999936</v>
      </c>
    </row>
    <row r="155" spans="1:12" s="5" customFormat="1" x14ac:dyDescent="0.25">
      <c r="A155" s="5" t="s">
        <v>305</v>
      </c>
      <c r="B155" s="5" t="s">
        <v>464</v>
      </c>
      <c r="C155" s="5" t="s">
        <v>2</v>
      </c>
      <c r="D155" s="5" t="s">
        <v>465</v>
      </c>
      <c r="E155" s="5" t="s">
        <v>651</v>
      </c>
      <c r="F155" s="5">
        <v>41</v>
      </c>
      <c r="G155" s="5">
        <v>91.11</v>
      </c>
      <c r="H155" s="5">
        <v>52</v>
      </c>
      <c r="I155" s="5">
        <v>88.14</v>
      </c>
      <c r="J155" s="5">
        <v>-2.97</v>
      </c>
      <c r="K155" s="5">
        <f t="shared" si="0"/>
        <v>1.8599999999999994</v>
      </c>
      <c r="L155" s="6">
        <f t="shared" si="1"/>
        <v>0.23249999999999993</v>
      </c>
    </row>
    <row r="156" spans="1:12" s="5" customFormat="1" x14ac:dyDescent="0.25">
      <c r="A156" s="5" t="s">
        <v>8</v>
      </c>
      <c r="B156" s="5" t="s">
        <v>508</v>
      </c>
      <c r="C156" s="5" t="s">
        <v>2</v>
      </c>
      <c r="D156" s="5" t="s">
        <v>509</v>
      </c>
      <c r="E156" s="5" t="s">
        <v>651</v>
      </c>
      <c r="F156" s="5">
        <v>49</v>
      </c>
      <c r="G156" s="5">
        <v>96.08</v>
      </c>
      <c r="H156" s="5">
        <v>59</v>
      </c>
      <c r="I156" s="5">
        <v>88.06</v>
      </c>
      <c r="J156" s="5">
        <v>-8.02</v>
      </c>
      <c r="K156" s="5">
        <f t="shared" si="0"/>
        <v>1.9399999999999977</v>
      </c>
      <c r="L156" s="6">
        <f t="shared" si="1"/>
        <v>0.24249999999999972</v>
      </c>
    </row>
    <row r="157" spans="1:12" s="5" customFormat="1" x14ac:dyDescent="0.25">
      <c r="A157" s="5" t="s">
        <v>82</v>
      </c>
      <c r="B157" s="5" t="s">
        <v>541</v>
      </c>
      <c r="C157" s="5" t="s">
        <v>2</v>
      </c>
      <c r="D157" s="5" t="s">
        <v>542</v>
      </c>
      <c r="E157" s="5" t="s">
        <v>651</v>
      </c>
      <c r="F157" s="5">
        <v>63</v>
      </c>
      <c r="G157" s="5">
        <v>94.03</v>
      </c>
      <c r="H157" s="5">
        <v>66</v>
      </c>
      <c r="I157" s="5">
        <v>88</v>
      </c>
      <c r="J157" s="5">
        <v>-6.03</v>
      </c>
      <c r="K157" s="5">
        <f t="shared" si="0"/>
        <v>2</v>
      </c>
      <c r="L157" s="6">
        <f t="shared" si="1"/>
        <v>0.25</v>
      </c>
    </row>
    <row r="158" spans="1:12" s="5" customFormat="1" x14ac:dyDescent="0.25">
      <c r="A158" s="5" t="s">
        <v>172</v>
      </c>
      <c r="B158" s="5" t="s">
        <v>294</v>
      </c>
      <c r="C158" s="5" t="s">
        <v>2</v>
      </c>
      <c r="D158" s="5" t="s">
        <v>295</v>
      </c>
      <c r="E158" s="5" t="s">
        <v>651</v>
      </c>
      <c r="F158" s="5">
        <v>56</v>
      </c>
      <c r="G158" s="5">
        <v>87.5</v>
      </c>
      <c r="H158" s="5">
        <v>51</v>
      </c>
      <c r="I158" s="5">
        <v>87.93</v>
      </c>
      <c r="J158" s="5">
        <v>0.43</v>
      </c>
      <c r="K158" s="5">
        <f t="shared" si="0"/>
        <v>2.0699999999999932</v>
      </c>
      <c r="L158" s="6">
        <f t="shared" si="1"/>
        <v>0.25874999999999915</v>
      </c>
    </row>
    <row r="159" spans="1:12" s="5" customFormat="1" x14ac:dyDescent="0.25">
      <c r="A159" s="5" t="s">
        <v>287</v>
      </c>
      <c r="B159" s="5" t="s">
        <v>424</v>
      </c>
      <c r="C159" s="5" t="s">
        <v>2</v>
      </c>
      <c r="D159" s="5" t="s">
        <v>425</v>
      </c>
      <c r="E159" s="5" t="s">
        <v>651</v>
      </c>
      <c r="F159" s="5">
        <v>113</v>
      </c>
      <c r="G159" s="5">
        <v>91.87</v>
      </c>
      <c r="H159" s="5">
        <v>109</v>
      </c>
      <c r="I159" s="5">
        <v>87.9</v>
      </c>
      <c r="J159" s="5">
        <v>-3.97</v>
      </c>
      <c r="K159" s="5">
        <f t="shared" si="0"/>
        <v>2.0999999999999943</v>
      </c>
      <c r="L159" s="6">
        <f t="shared" si="1"/>
        <v>0.26249999999999929</v>
      </c>
    </row>
    <row r="160" spans="1:12" s="5" customFormat="1" x14ac:dyDescent="0.25">
      <c r="A160" s="5" t="s">
        <v>207</v>
      </c>
      <c r="B160" s="5" t="s">
        <v>392</v>
      </c>
      <c r="C160" s="5" t="s">
        <v>2</v>
      </c>
      <c r="D160" s="5" t="s">
        <v>393</v>
      </c>
      <c r="E160" s="5" t="s">
        <v>651</v>
      </c>
      <c r="F160" s="5">
        <v>257</v>
      </c>
      <c r="G160" s="5">
        <v>88.62</v>
      </c>
      <c r="H160" s="5">
        <v>239</v>
      </c>
      <c r="I160" s="5">
        <v>87.87</v>
      </c>
      <c r="J160" s="5">
        <v>-0.75</v>
      </c>
      <c r="K160" s="5">
        <f t="shared" si="0"/>
        <v>2.1299999999999955</v>
      </c>
      <c r="L160" s="6">
        <f t="shared" si="1"/>
        <v>0.26624999999999943</v>
      </c>
    </row>
    <row r="161" spans="1:12" s="5" customFormat="1" x14ac:dyDescent="0.25">
      <c r="A161" s="5" t="s">
        <v>136</v>
      </c>
      <c r="B161" s="5" t="s">
        <v>633</v>
      </c>
      <c r="C161" s="5" t="s">
        <v>2</v>
      </c>
      <c r="D161" s="5" t="s">
        <v>634</v>
      </c>
      <c r="E161" s="5" t="s">
        <v>651</v>
      </c>
      <c r="H161" s="5">
        <v>43</v>
      </c>
      <c r="I161" s="5">
        <v>87.76</v>
      </c>
      <c r="K161" s="5">
        <f t="shared" si="0"/>
        <v>2.2399999999999949</v>
      </c>
      <c r="L161" s="6">
        <f t="shared" si="1"/>
        <v>0.27999999999999936</v>
      </c>
    </row>
    <row r="162" spans="1:12" s="5" customFormat="1" x14ac:dyDescent="0.25">
      <c r="A162" s="5" t="s">
        <v>406</v>
      </c>
      <c r="B162" s="5" t="s">
        <v>519</v>
      </c>
      <c r="C162" s="5" t="s">
        <v>2</v>
      </c>
      <c r="D162" s="5" t="s">
        <v>520</v>
      </c>
      <c r="E162" s="5" t="s">
        <v>651</v>
      </c>
      <c r="F162" s="5">
        <v>55</v>
      </c>
      <c r="G162" s="5">
        <v>93.22</v>
      </c>
      <c r="H162" s="5">
        <v>57</v>
      </c>
      <c r="I162" s="5">
        <v>87.69</v>
      </c>
      <c r="J162" s="5">
        <v>-5.53</v>
      </c>
      <c r="K162" s="5">
        <f t="shared" si="0"/>
        <v>2.3100000000000023</v>
      </c>
      <c r="L162" s="6">
        <f t="shared" si="1"/>
        <v>0.28875000000000028</v>
      </c>
    </row>
    <row r="163" spans="1:12" s="5" customFormat="1" x14ac:dyDescent="0.25">
      <c r="A163" s="5" t="s">
        <v>245</v>
      </c>
      <c r="B163" s="5" t="s">
        <v>487</v>
      </c>
      <c r="C163" s="5" t="s">
        <v>2</v>
      </c>
      <c r="D163" s="5" t="s">
        <v>488</v>
      </c>
      <c r="E163" s="5" t="s">
        <v>651</v>
      </c>
      <c r="F163" s="5">
        <v>61</v>
      </c>
      <c r="G163" s="5">
        <v>93.85</v>
      </c>
      <c r="H163" s="5">
        <v>55</v>
      </c>
      <c r="I163" s="5">
        <v>87.3</v>
      </c>
      <c r="J163" s="5">
        <v>-6.55</v>
      </c>
      <c r="K163" s="5">
        <f t="shared" si="0"/>
        <v>2.7000000000000028</v>
      </c>
      <c r="L163" s="6">
        <f t="shared" si="1"/>
        <v>0.33750000000000036</v>
      </c>
    </row>
    <row r="164" spans="1:12" s="5" customFormat="1" x14ac:dyDescent="0.25">
      <c r="A164" s="5" t="s">
        <v>36</v>
      </c>
      <c r="B164" s="5" t="s">
        <v>199</v>
      </c>
      <c r="C164" s="5" t="s">
        <v>2</v>
      </c>
      <c r="D164" s="5" t="s">
        <v>200</v>
      </c>
      <c r="E164" s="5" t="s">
        <v>651</v>
      </c>
      <c r="F164" s="5">
        <v>398</v>
      </c>
      <c r="G164" s="5">
        <v>84.32</v>
      </c>
      <c r="H164" s="5">
        <v>405</v>
      </c>
      <c r="I164" s="5">
        <v>87.1</v>
      </c>
      <c r="J164" s="5">
        <v>2.78</v>
      </c>
      <c r="K164" s="5">
        <f t="shared" si="0"/>
        <v>2.9000000000000057</v>
      </c>
      <c r="L164" s="6">
        <f t="shared" si="1"/>
        <v>0.36250000000000071</v>
      </c>
    </row>
    <row r="165" spans="1:12" s="5" customFormat="1" x14ac:dyDescent="0.25">
      <c r="A165" s="5" t="s">
        <v>74</v>
      </c>
      <c r="B165" s="5" t="s">
        <v>409</v>
      </c>
      <c r="C165" s="5" t="s">
        <v>2</v>
      </c>
      <c r="D165" s="5" t="s">
        <v>410</v>
      </c>
      <c r="E165" s="5" t="s">
        <v>651</v>
      </c>
      <c r="F165" s="5">
        <v>66</v>
      </c>
      <c r="G165" s="5">
        <v>88</v>
      </c>
      <c r="H165" s="5">
        <v>54</v>
      </c>
      <c r="I165" s="5">
        <v>87.1</v>
      </c>
      <c r="J165" s="5">
        <v>-0.9</v>
      </c>
      <c r="K165" s="5">
        <f t="shared" si="0"/>
        <v>2.9000000000000057</v>
      </c>
      <c r="L165" s="6">
        <f t="shared" si="1"/>
        <v>0.36250000000000071</v>
      </c>
    </row>
    <row r="166" spans="1:12" s="5" customFormat="1" x14ac:dyDescent="0.25">
      <c r="A166" s="5" t="s">
        <v>32</v>
      </c>
      <c r="B166" s="5" t="s">
        <v>498</v>
      </c>
      <c r="C166" s="5" t="s">
        <v>2</v>
      </c>
      <c r="D166" s="5" t="s">
        <v>499</v>
      </c>
      <c r="E166" s="5" t="s">
        <v>651</v>
      </c>
      <c r="F166" s="5">
        <v>491</v>
      </c>
      <c r="G166" s="5">
        <v>90.26</v>
      </c>
      <c r="H166" s="5">
        <v>457</v>
      </c>
      <c r="I166" s="5">
        <v>86.88</v>
      </c>
      <c r="J166" s="5">
        <v>-3.38</v>
      </c>
      <c r="K166" s="5">
        <f t="shared" si="0"/>
        <v>3.1200000000000045</v>
      </c>
      <c r="L166" s="6">
        <f t="shared" si="1"/>
        <v>0.39000000000000057</v>
      </c>
    </row>
    <row r="167" spans="1:12" s="5" customFormat="1" x14ac:dyDescent="0.25">
      <c r="A167" s="5" t="s">
        <v>26</v>
      </c>
      <c r="B167" s="5" t="s">
        <v>362</v>
      </c>
      <c r="C167" s="5" t="s">
        <v>2</v>
      </c>
      <c r="D167" s="5" t="s">
        <v>363</v>
      </c>
      <c r="E167" s="5" t="s">
        <v>651</v>
      </c>
      <c r="F167" s="5">
        <v>316</v>
      </c>
      <c r="G167" s="5">
        <v>88.27</v>
      </c>
      <c r="H167" s="5">
        <v>297</v>
      </c>
      <c r="I167" s="5">
        <v>86.84</v>
      </c>
      <c r="J167" s="5">
        <v>-1.43</v>
      </c>
      <c r="K167" s="5">
        <f t="shared" si="0"/>
        <v>3.1599999999999966</v>
      </c>
      <c r="L167" s="6">
        <f t="shared" si="1"/>
        <v>0.39499999999999957</v>
      </c>
    </row>
    <row r="168" spans="1:12" s="5" customFormat="1" x14ac:dyDescent="0.25">
      <c r="A168" s="5" t="s">
        <v>254</v>
      </c>
      <c r="B168" s="5" t="s">
        <v>255</v>
      </c>
      <c r="C168" s="5" t="s">
        <v>2</v>
      </c>
      <c r="D168" s="5" t="s">
        <v>256</v>
      </c>
      <c r="E168" s="5" t="s">
        <v>651</v>
      </c>
      <c r="F168" s="5">
        <v>57</v>
      </c>
      <c r="G168" s="5">
        <v>80.28</v>
      </c>
      <c r="H168" s="5">
        <v>39</v>
      </c>
      <c r="I168" s="5">
        <v>86.67</v>
      </c>
      <c r="J168" s="5">
        <v>6.39</v>
      </c>
      <c r="K168" s="5">
        <f t="shared" si="0"/>
        <v>3.3299999999999983</v>
      </c>
      <c r="L168" s="6">
        <f t="shared" si="1"/>
        <v>0.41624999999999979</v>
      </c>
    </row>
    <row r="169" spans="1:12" s="5" customFormat="1" x14ac:dyDescent="0.25">
      <c r="A169" s="5" t="s">
        <v>345</v>
      </c>
      <c r="B169" s="5" t="s">
        <v>438</v>
      </c>
      <c r="C169" s="5" t="s">
        <v>2</v>
      </c>
      <c r="D169" s="5" t="s">
        <v>439</v>
      </c>
      <c r="E169" s="5" t="s">
        <v>651</v>
      </c>
      <c r="F169" s="5">
        <v>658</v>
      </c>
      <c r="G169" s="5">
        <v>89.52</v>
      </c>
      <c r="H169" s="5">
        <v>583</v>
      </c>
      <c r="I169" s="5">
        <v>86.63</v>
      </c>
      <c r="J169" s="5">
        <v>-2.89</v>
      </c>
      <c r="K169" s="5">
        <f t="shared" si="0"/>
        <v>3.3700000000000045</v>
      </c>
      <c r="L169" s="6">
        <f t="shared" si="1"/>
        <v>0.42125000000000057</v>
      </c>
    </row>
    <row r="170" spans="1:12" s="5" customFormat="1" x14ac:dyDescent="0.25">
      <c r="A170" s="5" t="s">
        <v>213</v>
      </c>
      <c r="B170" s="5" t="s">
        <v>214</v>
      </c>
      <c r="C170" s="5" t="s">
        <v>2</v>
      </c>
      <c r="D170" s="5" t="s">
        <v>215</v>
      </c>
      <c r="E170" s="5" t="s">
        <v>651</v>
      </c>
      <c r="F170" s="5">
        <v>816</v>
      </c>
      <c r="G170" s="5">
        <v>86.72</v>
      </c>
      <c r="H170" s="5">
        <v>807</v>
      </c>
      <c r="I170" s="5">
        <v>86.4</v>
      </c>
      <c r="J170" s="5">
        <v>-0.32</v>
      </c>
      <c r="K170" s="5">
        <f t="shared" si="0"/>
        <v>3.5999999999999943</v>
      </c>
      <c r="L170" s="6">
        <f t="shared" si="1"/>
        <v>0.44999999999999929</v>
      </c>
    </row>
    <row r="171" spans="1:12" s="5" customFormat="1" x14ac:dyDescent="0.25">
      <c r="A171" s="5" t="s">
        <v>210</v>
      </c>
      <c r="B171" s="5" t="s">
        <v>211</v>
      </c>
      <c r="C171" s="5" t="s">
        <v>2</v>
      </c>
      <c r="D171" s="5" t="s">
        <v>212</v>
      </c>
      <c r="E171" s="5" t="s">
        <v>651</v>
      </c>
      <c r="F171" s="5">
        <v>185</v>
      </c>
      <c r="G171" s="5">
        <v>84.86</v>
      </c>
      <c r="H171" s="5">
        <v>188</v>
      </c>
      <c r="I171" s="5">
        <v>86.24</v>
      </c>
      <c r="J171" s="5">
        <v>1.38</v>
      </c>
      <c r="K171" s="5">
        <f t="shared" si="0"/>
        <v>3.7600000000000051</v>
      </c>
      <c r="L171" s="6">
        <f t="shared" si="1"/>
        <v>0.47000000000000064</v>
      </c>
    </row>
    <row r="172" spans="1:12" s="5" customFormat="1" x14ac:dyDescent="0.25">
      <c r="A172" s="5" t="s">
        <v>364</v>
      </c>
      <c r="B172" s="5" t="s">
        <v>365</v>
      </c>
      <c r="C172" s="5" t="s">
        <v>2</v>
      </c>
      <c r="D172" s="5" t="s">
        <v>366</v>
      </c>
      <c r="E172" s="5" t="s">
        <v>651</v>
      </c>
      <c r="F172" s="5">
        <v>155</v>
      </c>
      <c r="G172" s="5">
        <v>86.11</v>
      </c>
      <c r="H172" s="5">
        <v>136</v>
      </c>
      <c r="I172" s="5">
        <v>86.08</v>
      </c>
      <c r="J172" s="5">
        <v>-0.03</v>
      </c>
      <c r="K172" s="5">
        <f t="shared" si="0"/>
        <v>3.9200000000000017</v>
      </c>
      <c r="L172" s="6">
        <f t="shared" si="1"/>
        <v>0.49000000000000021</v>
      </c>
    </row>
    <row r="173" spans="1:12" s="5" customFormat="1" x14ac:dyDescent="0.25">
      <c r="A173" s="5" t="s">
        <v>533</v>
      </c>
      <c r="B173" s="5" t="s">
        <v>621</v>
      </c>
      <c r="C173" s="5" t="s">
        <v>2</v>
      </c>
      <c r="D173" s="5" t="s">
        <v>622</v>
      </c>
      <c r="E173" s="5" t="s">
        <v>651</v>
      </c>
      <c r="H173" s="5">
        <v>37</v>
      </c>
      <c r="I173" s="5">
        <v>86.05</v>
      </c>
      <c r="K173" s="5">
        <f t="shared" si="0"/>
        <v>3.9500000000000028</v>
      </c>
      <c r="L173" s="6">
        <f t="shared" si="1"/>
        <v>0.49375000000000036</v>
      </c>
    </row>
    <row r="174" spans="1:12" s="5" customFormat="1" x14ac:dyDescent="0.25">
      <c r="A174" s="5" t="s">
        <v>96</v>
      </c>
      <c r="B174" s="5" t="s">
        <v>146</v>
      </c>
      <c r="C174" s="5" t="s">
        <v>2</v>
      </c>
      <c r="D174" s="5" t="s">
        <v>147</v>
      </c>
      <c r="E174" s="5" t="s">
        <v>651</v>
      </c>
      <c r="F174" s="5">
        <v>161</v>
      </c>
      <c r="G174" s="5">
        <v>80.099999999999994</v>
      </c>
      <c r="H174" s="5">
        <v>160</v>
      </c>
      <c r="I174" s="5">
        <v>85.56</v>
      </c>
      <c r="J174" s="5">
        <v>5.46</v>
      </c>
      <c r="K174" s="5">
        <f t="shared" si="0"/>
        <v>4.4399999999999977</v>
      </c>
      <c r="L174" s="6">
        <f t="shared" si="1"/>
        <v>0.55499999999999972</v>
      </c>
    </row>
    <row r="175" spans="1:12" s="5" customFormat="1" x14ac:dyDescent="0.25">
      <c r="A175" s="5" t="s">
        <v>345</v>
      </c>
      <c r="B175" s="5" t="s">
        <v>440</v>
      </c>
      <c r="C175" s="5" t="s">
        <v>2</v>
      </c>
      <c r="D175" s="5" t="s">
        <v>441</v>
      </c>
      <c r="E175" s="5" t="s">
        <v>651</v>
      </c>
      <c r="F175" s="5">
        <v>443</v>
      </c>
      <c r="G175" s="5">
        <v>87.9</v>
      </c>
      <c r="H175" s="5">
        <v>437</v>
      </c>
      <c r="I175" s="5">
        <v>85.52</v>
      </c>
      <c r="J175" s="5">
        <v>-2.38</v>
      </c>
      <c r="K175" s="5">
        <f t="shared" si="0"/>
        <v>4.480000000000004</v>
      </c>
      <c r="L175" s="6">
        <f t="shared" si="1"/>
        <v>0.5600000000000005</v>
      </c>
    </row>
    <row r="176" spans="1:12" s="5" customFormat="1" x14ac:dyDescent="0.25">
      <c r="A176" s="5" t="s">
        <v>32</v>
      </c>
      <c r="B176" s="5" t="s">
        <v>436</v>
      </c>
      <c r="C176" s="5" t="s">
        <v>2</v>
      </c>
      <c r="D176" s="5" t="s">
        <v>437</v>
      </c>
      <c r="E176" s="5" t="s">
        <v>651</v>
      </c>
      <c r="F176" s="5">
        <v>380</v>
      </c>
      <c r="G176" s="5">
        <v>88.17</v>
      </c>
      <c r="H176" s="5">
        <v>353</v>
      </c>
      <c r="I176" s="5">
        <v>85.47</v>
      </c>
      <c r="J176" s="5">
        <v>-2.7</v>
      </c>
      <c r="K176" s="5">
        <f t="shared" si="0"/>
        <v>4.5300000000000011</v>
      </c>
      <c r="L176" s="6">
        <f t="shared" si="1"/>
        <v>0.56625000000000014</v>
      </c>
    </row>
    <row r="177" spans="1:12" s="5" customFormat="1" x14ac:dyDescent="0.25">
      <c r="A177" s="5" t="s">
        <v>0</v>
      </c>
      <c r="B177" s="5" t="s">
        <v>517</v>
      </c>
      <c r="C177" s="5" t="s">
        <v>2</v>
      </c>
      <c r="D177" s="5" t="s">
        <v>518</v>
      </c>
      <c r="E177" s="5" t="s">
        <v>651</v>
      </c>
      <c r="F177" s="5">
        <v>39</v>
      </c>
      <c r="G177" s="5">
        <v>82.98</v>
      </c>
      <c r="H177" s="5">
        <v>35</v>
      </c>
      <c r="I177" s="5">
        <v>85.37</v>
      </c>
      <c r="J177" s="5">
        <v>2.39</v>
      </c>
      <c r="K177" s="5">
        <f t="shared" si="0"/>
        <v>4.6299999999999955</v>
      </c>
      <c r="L177" s="6">
        <f t="shared" si="1"/>
        <v>0.57874999999999943</v>
      </c>
    </row>
    <row r="178" spans="1:12" s="5" customFormat="1" x14ac:dyDescent="0.25">
      <c r="A178" s="5" t="s">
        <v>0</v>
      </c>
      <c r="B178" s="5" t="s">
        <v>1</v>
      </c>
      <c r="C178" s="5" t="s">
        <v>2</v>
      </c>
      <c r="D178" s="5" t="s">
        <v>3</v>
      </c>
      <c r="E178" s="5" t="s">
        <v>651</v>
      </c>
      <c r="H178" s="5">
        <v>35</v>
      </c>
      <c r="I178" s="5">
        <v>85.37</v>
      </c>
      <c r="K178" s="5">
        <f t="shared" si="0"/>
        <v>4.6299999999999955</v>
      </c>
      <c r="L178" s="6">
        <f t="shared" si="1"/>
        <v>0.57874999999999943</v>
      </c>
    </row>
    <row r="179" spans="1:12" s="5" customFormat="1" x14ac:dyDescent="0.25">
      <c r="A179" s="5" t="s">
        <v>228</v>
      </c>
      <c r="B179" s="5" t="s">
        <v>325</v>
      </c>
      <c r="C179" s="5" t="s">
        <v>2</v>
      </c>
      <c r="D179" s="5" t="s">
        <v>326</v>
      </c>
      <c r="E179" s="5" t="s">
        <v>651</v>
      </c>
      <c r="F179" s="5">
        <v>119</v>
      </c>
      <c r="G179" s="5">
        <v>83.22</v>
      </c>
      <c r="H179" s="5">
        <v>110</v>
      </c>
      <c r="I179" s="5">
        <v>85.27</v>
      </c>
      <c r="J179" s="5">
        <v>2.0499999999999998</v>
      </c>
      <c r="K179" s="5">
        <f t="shared" si="0"/>
        <v>4.730000000000004</v>
      </c>
      <c r="L179" s="6">
        <f t="shared" si="1"/>
        <v>0.5912500000000005</v>
      </c>
    </row>
    <row r="180" spans="1:12" s="5" customFormat="1" x14ac:dyDescent="0.25">
      <c r="A180" s="5" t="s">
        <v>213</v>
      </c>
      <c r="B180" s="5" t="s">
        <v>460</v>
      </c>
      <c r="C180" s="5" t="s">
        <v>2</v>
      </c>
      <c r="D180" s="5" t="s">
        <v>461</v>
      </c>
      <c r="E180" s="5" t="s">
        <v>651</v>
      </c>
      <c r="F180" s="5">
        <v>106</v>
      </c>
      <c r="G180" s="5">
        <v>89.83</v>
      </c>
      <c r="H180" s="5">
        <v>98</v>
      </c>
      <c r="I180" s="5">
        <v>85.22</v>
      </c>
      <c r="J180" s="5">
        <v>-4.6100000000000003</v>
      </c>
      <c r="K180" s="5">
        <f t="shared" si="0"/>
        <v>4.7800000000000011</v>
      </c>
      <c r="L180" s="6">
        <f t="shared" si="1"/>
        <v>0.59750000000000014</v>
      </c>
    </row>
    <row r="181" spans="1:12" s="5" customFormat="1" x14ac:dyDescent="0.25">
      <c r="A181" s="5" t="s">
        <v>77</v>
      </c>
      <c r="B181" s="5" t="s">
        <v>593</v>
      </c>
      <c r="C181" s="5" t="s">
        <v>2</v>
      </c>
      <c r="D181" s="5" t="s">
        <v>594</v>
      </c>
      <c r="E181" s="5" t="s">
        <v>651</v>
      </c>
      <c r="F181" s="5">
        <v>96</v>
      </c>
      <c r="G181" s="5">
        <v>96.97</v>
      </c>
      <c r="H181" s="5">
        <v>74</v>
      </c>
      <c r="I181" s="5">
        <v>85.06</v>
      </c>
      <c r="J181" s="5">
        <v>-11.91</v>
      </c>
      <c r="K181" s="5">
        <f t="shared" si="0"/>
        <v>4.9399999999999977</v>
      </c>
      <c r="L181" s="6">
        <f t="shared" si="1"/>
        <v>0.61749999999999972</v>
      </c>
    </row>
    <row r="182" spans="1:12" s="5" customFormat="1" x14ac:dyDescent="0.25">
      <c r="A182" s="5" t="s">
        <v>466</v>
      </c>
      <c r="B182" s="5" t="s">
        <v>467</v>
      </c>
      <c r="C182" s="5" t="s">
        <v>2</v>
      </c>
      <c r="D182" s="5" t="s">
        <v>468</v>
      </c>
      <c r="E182" s="5" t="s">
        <v>651</v>
      </c>
      <c r="F182" s="5">
        <v>97</v>
      </c>
      <c r="G182" s="5">
        <v>88.99</v>
      </c>
      <c r="H182" s="5">
        <v>123</v>
      </c>
      <c r="I182" s="5">
        <v>84.83</v>
      </c>
      <c r="J182" s="5">
        <v>-4.16</v>
      </c>
      <c r="K182" s="5">
        <f t="shared" si="0"/>
        <v>5.1700000000000017</v>
      </c>
      <c r="L182" s="6">
        <f t="shared" si="1"/>
        <v>0.64625000000000021</v>
      </c>
    </row>
    <row r="183" spans="1:12" s="5" customFormat="1" x14ac:dyDescent="0.25">
      <c r="A183" s="5" t="s">
        <v>15</v>
      </c>
      <c r="B183" s="5" t="s">
        <v>416</v>
      </c>
      <c r="C183" s="5" t="s">
        <v>2</v>
      </c>
      <c r="D183" s="5" t="s">
        <v>417</v>
      </c>
      <c r="E183" s="5" t="s">
        <v>651</v>
      </c>
      <c r="F183" s="5">
        <v>460</v>
      </c>
      <c r="G183" s="5">
        <v>85.34</v>
      </c>
      <c r="H183" s="5">
        <v>464</v>
      </c>
      <c r="I183" s="5">
        <v>84.36</v>
      </c>
      <c r="J183" s="5">
        <v>-0.98</v>
      </c>
      <c r="K183" s="5">
        <f t="shared" si="0"/>
        <v>5.6400000000000006</v>
      </c>
      <c r="L183" s="6">
        <f t="shared" si="1"/>
        <v>0.70500000000000007</v>
      </c>
    </row>
    <row r="184" spans="1:12" s="5" customFormat="1" x14ac:dyDescent="0.25">
      <c r="A184" s="5" t="s">
        <v>121</v>
      </c>
      <c r="B184" s="5" t="s">
        <v>272</v>
      </c>
      <c r="C184" s="5" t="s">
        <v>2</v>
      </c>
      <c r="D184" s="5" t="s">
        <v>273</v>
      </c>
      <c r="E184" s="5" t="s">
        <v>651</v>
      </c>
      <c r="F184" s="5">
        <v>180</v>
      </c>
      <c r="G184" s="5">
        <v>80.72</v>
      </c>
      <c r="H184" s="5">
        <v>177</v>
      </c>
      <c r="I184" s="5">
        <v>84.29</v>
      </c>
      <c r="J184" s="5">
        <v>3.57</v>
      </c>
      <c r="K184" s="5">
        <f t="shared" si="0"/>
        <v>5.7099999999999937</v>
      </c>
      <c r="L184" s="6">
        <f t="shared" si="1"/>
        <v>0.71374999999999922</v>
      </c>
    </row>
    <row r="185" spans="1:12" s="5" customFormat="1" x14ac:dyDescent="0.25">
      <c r="A185" s="5" t="s">
        <v>105</v>
      </c>
      <c r="B185" s="5" t="s">
        <v>378</v>
      </c>
      <c r="C185" s="5" t="s">
        <v>2</v>
      </c>
      <c r="D185" s="5" t="s">
        <v>379</v>
      </c>
      <c r="E185" s="5" t="s">
        <v>651</v>
      </c>
      <c r="F185" s="5">
        <v>77</v>
      </c>
      <c r="G185" s="5">
        <v>86.52</v>
      </c>
      <c r="H185" s="5">
        <v>64</v>
      </c>
      <c r="I185" s="5">
        <v>84.21</v>
      </c>
      <c r="J185" s="5">
        <v>-2.31</v>
      </c>
      <c r="K185" s="5">
        <f t="shared" si="0"/>
        <v>5.7900000000000063</v>
      </c>
      <c r="L185" s="6">
        <f t="shared" si="1"/>
        <v>0.72375000000000078</v>
      </c>
    </row>
    <row r="186" spans="1:12" s="5" customFormat="1" x14ac:dyDescent="0.25">
      <c r="A186" s="5" t="s">
        <v>274</v>
      </c>
      <c r="B186" s="5" t="s">
        <v>275</v>
      </c>
      <c r="C186" s="5" t="s">
        <v>2</v>
      </c>
      <c r="D186" s="5" t="s">
        <v>276</v>
      </c>
      <c r="E186" s="5" t="s">
        <v>651</v>
      </c>
      <c r="F186" s="5">
        <v>36</v>
      </c>
      <c r="G186" s="5">
        <v>87.8</v>
      </c>
      <c r="H186" s="5">
        <v>37</v>
      </c>
      <c r="I186" s="5">
        <v>84.09</v>
      </c>
      <c r="J186" s="5">
        <v>-3.71</v>
      </c>
      <c r="K186" s="5">
        <f t="shared" si="0"/>
        <v>5.9099999999999966</v>
      </c>
      <c r="L186" s="6">
        <f t="shared" si="1"/>
        <v>0.73874999999999957</v>
      </c>
    </row>
    <row r="187" spans="1:12" s="5" customFormat="1" x14ac:dyDescent="0.25">
      <c r="A187" s="5" t="s">
        <v>62</v>
      </c>
      <c r="B187" s="5" t="s">
        <v>241</v>
      </c>
      <c r="C187" s="5" t="s">
        <v>2</v>
      </c>
      <c r="D187" s="5" t="s">
        <v>242</v>
      </c>
      <c r="E187" s="5" t="s">
        <v>651</v>
      </c>
      <c r="F187" s="5">
        <v>231</v>
      </c>
      <c r="G187" s="5">
        <v>78.84</v>
      </c>
      <c r="H187" s="5">
        <v>195</v>
      </c>
      <c r="I187" s="5">
        <v>84.05</v>
      </c>
      <c r="J187" s="5">
        <v>5.21</v>
      </c>
      <c r="K187" s="5">
        <f t="shared" si="0"/>
        <v>5.9500000000000028</v>
      </c>
      <c r="L187" s="6">
        <f t="shared" si="1"/>
        <v>0.74375000000000036</v>
      </c>
    </row>
    <row r="188" spans="1:12" s="5" customFormat="1" x14ac:dyDescent="0.25">
      <c r="A188" s="5" t="s">
        <v>287</v>
      </c>
      <c r="B188" s="5" t="s">
        <v>288</v>
      </c>
      <c r="C188" s="5" t="s">
        <v>2</v>
      </c>
      <c r="D188" s="5" t="s">
        <v>289</v>
      </c>
      <c r="E188" s="5" t="s">
        <v>651</v>
      </c>
      <c r="F188" s="5">
        <v>98</v>
      </c>
      <c r="G188" s="5">
        <v>83.76</v>
      </c>
      <c r="H188" s="5">
        <v>68</v>
      </c>
      <c r="I188" s="5">
        <v>83.95</v>
      </c>
      <c r="J188" s="5">
        <v>0.19</v>
      </c>
      <c r="K188" s="5">
        <f t="shared" si="0"/>
        <v>6.0499999999999972</v>
      </c>
      <c r="L188" s="6">
        <f t="shared" si="1"/>
        <v>0.75624999999999964</v>
      </c>
    </row>
    <row r="189" spans="1:12" s="5" customFormat="1" x14ac:dyDescent="0.25">
      <c r="A189" s="5" t="s">
        <v>32</v>
      </c>
      <c r="B189" s="5" t="s">
        <v>126</v>
      </c>
      <c r="C189" s="5" t="s">
        <v>2</v>
      </c>
      <c r="D189" s="5" t="s">
        <v>127</v>
      </c>
      <c r="E189" s="5" t="s">
        <v>651</v>
      </c>
      <c r="F189" s="5">
        <v>99</v>
      </c>
      <c r="G189" s="5">
        <v>85.34</v>
      </c>
      <c r="H189" s="5">
        <v>103</v>
      </c>
      <c r="I189" s="5">
        <v>83.74</v>
      </c>
      <c r="J189" s="5">
        <v>-1.6</v>
      </c>
      <c r="K189" s="5">
        <f t="shared" si="0"/>
        <v>6.2600000000000051</v>
      </c>
      <c r="L189" s="6">
        <f t="shared" si="1"/>
        <v>0.78250000000000064</v>
      </c>
    </row>
    <row r="190" spans="1:12" s="5" customFormat="1" x14ac:dyDescent="0.25">
      <c r="A190" s="5" t="s">
        <v>32</v>
      </c>
      <c r="B190" s="5" t="s">
        <v>469</v>
      </c>
      <c r="C190" s="5" t="s">
        <v>36</v>
      </c>
      <c r="D190" s="5" t="s">
        <v>470</v>
      </c>
      <c r="E190" s="5" t="s">
        <v>651</v>
      </c>
      <c r="F190" s="5">
        <v>58</v>
      </c>
      <c r="G190" s="5">
        <v>86.57</v>
      </c>
      <c r="H190" s="5">
        <v>51</v>
      </c>
      <c r="I190" s="5">
        <v>83.61</v>
      </c>
      <c r="J190" s="5">
        <v>-2.96</v>
      </c>
      <c r="K190" s="5">
        <f t="shared" si="0"/>
        <v>6.3900000000000006</v>
      </c>
      <c r="L190" s="6">
        <f t="shared" si="1"/>
        <v>0.79875000000000007</v>
      </c>
    </row>
    <row r="191" spans="1:12" s="5" customFormat="1" x14ac:dyDescent="0.25">
      <c r="A191" s="5" t="s">
        <v>59</v>
      </c>
      <c r="B191" s="5" t="s">
        <v>422</v>
      </c>
      <c r="C191" s="5" t="s">
        <v>2</v>
      </c>
      <c r="D191" s="5" t="s">
        <v>423</v>
      </c>
      <c r="E191" s="5" t="s">
        <v>651</v>
      </c>
      <c r="F191" s="5">
        <v>602</v>
      </c>
      <c r="G191" s="5">
        <v>84.2</v>
      </c>
      <c r="H191" s="5">
        <v>540</v>
      </c>
      <c r="I191" s="5">
        <v>83.46</v>
      </c>
      <c r="J191" s="5">
        <v>-0.74</v>
      </c>
      <c r="K191" s="5">
        <f t="shared" si="0"/>
        <v>6.5400000000000063</v>
      </c>
      <c r="L191" s="6">
        <f t="shared" si="1"/>
        <v>0.81750000000000078</v>
      </c>
    </row>
    <row r="192" spans="1:12" s="5" customFormat="1" x14ac:dyDescent="0.25">
      <c r="A192" s="5" t="s">
        <v>150</v>
      </c>
      <c r="B192" s="5" t="s">
        <v>527</v>
      </c>
      <c r="C192" s="5" t="s">
        <v>2</v>
      </c>
      <c r="D192" s="5" t="s">
        <v>528</v>
      </c>
      <c r="E192" s="5" t="s">
        <v>651</v>
      </c>
      <c r="F192" s="5">
        <v>94</v>
      </c>
      <c r="G192" s="5">
        <v>89.52</v>
      </c>
      <c r="H192" s="5">
        <v>70</v>
      </c>
      <c r="I192" s="5">
        <v>83.33</v>
      </c>
      <c r="J192" s="5">
        <v>-6.19</v>
      </c>
      <c r="K192" s="5">
        <f t="shared" si="0"/>
        <v>6.6700000000000017</v>
      </c>
      <c r="L192" s="6">
        <f t="shared" si="1"/>
        <v>0.83375000000000021</v>
      </c>
    </row>
    <row r="193" spans="1:12" s="5" customFormat="1" x14ac:dyDescent="0.25">
      <c r="A193" s="5" t="s">
        <v>533</v>
      </c>
      <c r="B193" s="5" t="s">
        <v>534</v>
      </c>
      <c r="C193" s="5" t="s">
        <v>2</v>
      </c>
      <c r="D193" s="5" t="s">
        <v>535</v>
      </c>
      <c r="E193" s="5" t="s">
        <v>651</v>
      </c>
      <c r="F193" s="5">
        <v>93</v>
      </c>
      <c r="G193" s="5">
        <v>93</v>
      </c>
      <c r="H193" s="5">
        <v>65</v>
      </c>
      <c r="I193" s="5">
        <v>83.33</v>
      </c>
      <c r="J193" s="5">
        <v>-9.67</v>
      </c>
      <c r="K193" s="5">
        <f t="shared" si="0"/>
        <v>6.6700000000000017</v>
      </c>
      <c r="L193" s="6">
        <f t="shared" si="1"/>
        <v>0.83375000000000021</v>
      </c>
    </row>
    <row r="194" spans="1:12" s="5" customFormat="1" x14ac:dyDescent="0.25">
      <c r="A194" s="5" t="s">
        <v>254</v>
      </c>
      <c r="B194" s="5" t="s">
        <v>589</v>
      </c>
      <c r="C194" s="5" t="s">
        <v>2</v>
      </c>
      <c r="D194" s="5" t="s">
        <v>590</v>
      </c>
      <c r="E194" s="5" t="s">
        <v>651</v>
      </c>
      <c r="F194" s="5">
        <v>85</v>
      </c>
      <c r="G194" s="5">
        <v>88.54</v>
      </c>
      <c r="H194" s="5">
        <v>74</v>
      </c>
      <c r="I194" s="5">
        <v>83.15</v>
      </c>
      <c r="J194" s="5">
        <v>-5.39</v>
      </c>
      <c r="K194" s="5">
        <f t="shared" si="0"/>
        <v>6.8499999999999943</v>
      </c>
      <c r="L194" s="6">
        <f t="shared" si="1"/>
        <v>0.85624999999999929</v>
      </c>
    </row>
    <row r="195" spans="1:12" s="5" customFormat="1" x14ac:dyDescent="0.25">
      <c r="A195" s="5" t="s">
        <v>489</v>
      </c>
      <c r="B195" s="5" t="s">
        <v>490</v>
      </c>
      <c r="C195" s="5" t="s">
        <v>2</v>
      </c>
      <c r="D195" s="5" t="s">
        <v>491</v>
      </c>
      <c r="E195" s="5" t="s">
        <v>651</v>
      </c>
      <c r="F195" s="5">
        <v>85</v>
      </c>
      <c r="G195" s="5">
        <v>86.73</v>
      </c>
      <c r="H195" s="5">
        <v>69</v>
      </c>
      <c r="I195" s="5">
        <v>83.13</v>
      </c>
      <c r="J195" s="5">
        <v>-3.6</v>
      </c>
      <c r="K195" s="5">
        <f t="shared" ref="K195:K258" si="2">90-I195</f>
        <v>6.8700000000000045</v>
      </c>
      <c r="L195" s="6">
        <f t="shared" si="1"/>
        <v>0.85875000000000057</v>
      </c>
    </row>
    <row r="196" spans="1:12" s="5" customFormat="1" x14ac:dyDescent="0.25">
      <c r="A196" s="5" t="s">
        <v>140</v>
      </c>
      <c r="B196" s="5" t="s">
        <v>475</v>
      </c>
      <c r="C196" s="5" t="s">
        <v>2</v>
      </c>
      <c r="D196" s="5" t="s">
        <v>476</v>
      </c>
      <c r="E196" s="5" t="s">
        <v>651</v>
      </c>
      <c r="F196" s="5">
        <v>54</v>
      </c>
      <c r="G196" s="5">
        <v>85.71</v>
      </c>
      <c r="H196" s="5">
        <v>49</v>
      </c>
      <c r="I196" s="5">
        <v>83.05</v>
      </c>
      <c r="J196" s="5">
        <v>-2.66</v>
      </c>
      <c r="K196" s="5">
        <f t="shared" si="2"/>
        <v>6.9500000000000028</v>
      </c>
      <c r="L196" s="6">
        <f t="shared" si="1"/>
        <v>0.86875000000000036</v>
      </c>
    </row>
    <row r="197" spans="1:12" s="5" customFormat="1" x14ac:dyDescent="0.25">
      <c r="A197" s="5" t="s">
        <v>143</v>
      </c>
      <c r="B197" s="5" t="s">
        <v>152</v>
      </c>
      <c r="C197" s="5" t="s">
        <v>2</v>
      </c>
      <c r="D197" s="5" t="s">
        <v>153</v>
      </c>
      <c r="E197" s="5" t="s">
        <v>651</v>
      </c>
      <c r="F197" s="5">
        <v>223</v>
      </c>
      <c r="G197" s="5">
        <v>80.8</v>
      </c>
      <c r="H197" s="5">
        <v>183</v>
      </c>
      <c r="I197" s="5">
        <v>82.81</v>
      </c>
      <c r="J197" s="5">
        <v>2.0099999999999998</v>
      </c>
      <c r="K197" s="5">
        <f t="shared" si="2"/>
        <v>7.1899999999999977</v>
      </c>
      <c r="L197" s="6">
        <f t="shared" si="1"/>
        <v>0.89874999999999972</v>
      </c>
    </row>
    <row r="198" spans="1:12" s="5" customFormat="1" x14ac:dyDescent="0.25">
      <c r="A198" s="5" t="s">
        <v>29</v>
      </c>
      <c r="B198" s="5" t="s">
        <v>292</v>
      </c>
      <c r="C198" s="5" t="s">
        <v>2</v>
      </c>
      <c r="D198" s="5" t="s">
        <v>293</v>
      </c>
      <c r="E198" s="5" t="s">
        <v>651</v>
      </c>
      <c r="F198" s="5">
        <v>112</v>
      </c>
      <c r="G198" s="5">
        <v>81.16</v>
      </c>
      <c r="H198" s="5">
        <v>101</v>
      </c>
      <c r="I198" s="5">
        <v>82.79</v>
      </c>
      <c r="J198" s="5">
        <v>1.63</v>
      </c>
      <c r="K198" s="5">
        <f t="shared" si="2"/>
        <v>7.2099999999999937</v>
      </c>
      <c r="L198" s="6">
        <f t="shared" si="1"/>
        <v>0.90124999999999922</v>
      </c>
    </row>
    <row r="199" spans="1:12" s="5" customFormat="1" x14ac:dyDescent="0.25">
      <c r="A199" s="5" t="s">
        <v>15</v>
      </c>
      <c r="B199" s="5" t="s">
        <v>500</v>
      </c>
      <c r="C199" s="5" t="s">
        <v>121</v>
      </c>
      <c r="D199" s="5" t="s">
        <v>501</v>
      </c>
      <c r="E199" s="5" t="s">
        <v>651</v>
      </c>
      <c r="F199" s="5">
        <v>152</v>
      </c>
      <c r="G199" s="5">
        <v>83.98</v>
      </c>
      <c r="H199" s="5">
        <v>182</v>
      </c>
      <c r="I199" s="5">
        <v>82.73</v>
      </c>
      <c r="J199" s="5">
        <v>-1.25</v>
      </c>
      <c r="K199" s="5">
        <f t="shared" si="2"/>
        <v>7.269999999999996</v>
      </c>
      <c r="L199" s="6">
        <f t="shared" ref="L199:L259" si="3">K199/8</f>
        <v>0.9087499999999995</v>
      </c>
    </row>
    <row r="200" spans="1:12" s="5" customFormat="1" x14ac:dyDescent="0.25">
      <c r="A200" s="5" t="s">
        <v>59</v>
      </c>
      <c r="B200" s="5" t="s">
        <v>562</v>
      </c>
      <c r="C200" s="5" t="s">
        <v>36</v>
      </c>
      <c r="D200" s="5" t="s">
        <v>563</v>
      </c>
      <c r="E200" s="5" t="s">
        <v>651</v>
      </c>
      <c r="F200" s="5">
        <v>66</v>
      </c>
      <c r="G200" s="5">
        <v>89.19</v>
      </c>
      <c r="H200" s="5">
        <v>66</v>
      </c>
      <c r="I200" s="5">
        <v>82.5</v>
      </c>
      <c r="J200" s="5">
        <v>-6.69</v>
      </c>
      <c r="K200" s="5">
        <f t="shared" si="2"/>
        <v>7.5</v>
      </c>
      <c r="L200" s="6">
        <f t="shared" si="3"/>
        <v>0.9375</v>
      </c>
    </row>
    <row r="201" spans="1:12" s="5" customFormat="1" x14ac:dyDescent="0.25">
      <c r="A201" s="5" t="s">
        <v>38</v>
      </c>
      <c r="B201" s="5" t="s">
        <v>448</v>
      </c>
      <c r="C201" s="5" t="s">
        <v>2</v>
      </c>
      <c r="D201" s="5" t="s">
        <v>449</v>
      </c>
      <c r="E201" s="5" t="s">
        <v>651</v>
      </c>
      <c r="F201" s="5">
        <v>114</v>
      </c>
      <c r="G201" s="5">
        <v>85.71</v>
      </c>
      <c r="H201" s="5">
        <v>116</v>
      </c>
      <c r="I201" s="5">
        <v>82.27</v>
      </c>
      <c r="J201" s="5">
        <v>-3.44</v>
      </c>
      <c r="K201" s="5">
        <f t="shared" si="2"/>
        <v>7.730000000000004</v>
      </c>
      <c r="L201" s="6">
        <f t="shared" si="3"/>
        <v>0.9662500000000005</v>
      </c>
    </row>
    <row r="202" spans="1:12" s="5" customFormat="1" x14ac:dyDescent="0.25">
      <c r="A202" s="5" t="s">
        <v>88</v>
      </c>
      <c r="B202" s="5" t="s">
        <v>386</v>
      </c>
      <c r="C202" s="5" t="s">
        <v>2</v>
      </c>
      <c r="D202" s="5" t="s">
        <v>387</v>
      </c>
      <c r="E202" s="5" t="s">
        <v>651</v>
      </c>
      <c r="F202" s="5">
        <v>255</v>
      </c>
      <c r="G202" s="5">
        <v>83.88</v>
      </c>
      <c r="H202" s="5">
        <v>231</v>
      </c>
      <c r="I202" s="5">
        <v>82.21</v>
      </c>
      <c r="J202" s="5">
        <v>-1.67</v>
      </c>
      <c r="K202" s="5">
        <f t="shared" si="2"/>
        <v>7.7900000000000063</v>
      </c>
      <c r="L202" s="6">
        <f t="shared" si="3"/>
        <v>0.97375000000000078</v>
      </c>
    </row>
    <row r="203" spans="1:12" s="5" customFormat="1" x14ac:dyDescent="0.25">
      <c r="A203" s="5" t="s">
        <v>543</v>
      </c>
      <c r="B203" s="5" t="s">
        <v>544</v>
      </c>
      <c r="C203" s="5" t="s">
        <v>2</v>
      </c>
      <c r="D203" s="5" t="s">
        <v>545</v>
      </c>
      <c r="E203" s="5" t="s">
        <v>651</v>
      </c>
      <c r="F203" s="5">
        <v>70</v>
      </c>
      <c r="G203" s="5">
        <v>87.5</v>
      </c>
      <c r="H203" s="5">
        <v>83</v>
      </c>
      <c r="I203" s="5">
        <v>82.18</v>
      </c>
      <c r="J203" s="5">
        <v>-5.32</v>
      </c>
      <c r="K203" s="5">
        <f t="shared" si="2"/>
        <v>7.8199999999999932</v>
      </c>
      <c r="L203" s="6">
        <f t="shared" si="3"/>
        <v>0.97749999999999915</v>
      </c>
    </row>
    <row r="204" spans="1:12" s="5" customFormat="1" x14ac:dyDescent="0.25">
      <c r="A204" s="5" t="s">
        <v>318</v>
      </c>
      <c r="B204" s="5" t="s">
        <v>319</v>
      </c>
      <c r="C204" s="5" t="s">
        <v>2</v>
      </c>
      <c r="D204" s="5" t="s">
        <v>320</v>
      </c>
      <c r="E204" s="5" t="s">
        <v>651</v>
      </c>
      <c r="F204" s="5">
        <v>102</v>
      </c>
      <c r="G204" s="5">
        <v>81.599999999999994</v>
      </c>
      <c r="H204" s="5">
        <v>72</v>
      </c>
      <c r="I204" s="5">
        <v>81.819999999999993</v>
      </c>
      <c r="J204" s="5">
        <v>0.22</v>
      </c>
      <c r="K204" s="5">
        <f t="shared" si="2"/>
        <v>8.1800000000000068</v>
      </c>
      <c r="L204" s="6">
        <f t="shared" si="3"/>
        <v>1.0225000000000009</v>
      </c>
    </row>
    <row r="205" spans="1:12" s="5" customFormat="1" x14ac:dyDescent="0.25">
      <c r="A205" s="5" t="s">
        <v>74</v>
      </c>
      <c r="B205" s="5" t="s">
        <v>91</v>
      </c>
      <c r="C205" s="5" t="s">
        <v>2</v>
      </c>
      <c r="D205" s="5" t="s">
        <v>92</v>
      </c>
      <c r="E205" s="5" t="s">
        <v>651</v>
      </c>
      <c r="F205" s="5">
        <v>83</v>
      </c>
      <c r="G205" s="5">
        <v>74.77</v>
      </c>
      <c r="H205" s="5">
        <v>109</v>
      </c>
      <c r="I205" s="5">
        <v>80.739999999999995</v>
      </c>
      <c r="J205" s="5">
        <v>5.97</v>
      </c>
      <c r="K205" s="5">
        <f t="shared" si="2"/>
        <v>9.2600000000000051</v>
      </c>
      <c r="L205" s="6">
        <f t="shared" si="3"/>
        <v>1.1575000000000006</v>
      </c>
    </row>
    <row r="206" spans="1:12" s="5" customFormat="1" x14ac:dyDescent="0.25">
      <c r="A206" s="5" t="s">
        <v>71</v>
      </c>
      <c r="B206" s="5" t="s">
        <v>72</v>
      </c>
      <c r="C206" s="5" t="s">
        <v>2</v>
      </c>
      <c r="D206" s="5" t="s">
        <v>73</v>
      </c>
      <c r="E206" s="5" t="s">
        <v>651</v>
      </c>
      <c r="F206" s="5">
        <v>120</v>
      </c>
      <c r="G206" s="5">
        <v>72.73</v>
      </c>
      <c r="H206" s="5">
        <v>133</v>
      </c>
      <c r="I206" s="5">
        <v>80.61</v>
      </c>
      <c r="J206" s="5">
        <v>7.88</v>
      </c>
      <c r="K206" s="5">
        <f t="shared" si="2"/>
        <v>9.39</v>
      </c>
      <c r="L206" s="6">
        <f t="shared" si="3"/>
        <v>1.1737500000000001</v>
      </c>
    </row>
    <row r="207" spans="1:12" s="5" customFormat="1" x14ac:dyDescent="0.25">
      <c r="A207" s="5" t="s">
        <v>105</v>
      </c>
      <c r="B207" s="5" t="s">
        <v>283</v>
      </c>
      <c r="C207" s="5" t="s">
        <v>2</v>
      </c>
      <c r="D207" s="5" t="s">
        <v>284</v>
      </c>
      <c r="E207" s="5" t="s">
        <v>651</v>
      </c>
      <c r="F207" s="5">
        <v>225</v>
      </c>
      <c r="G207" s="5">
        <v>81.23</v>
      </c>
      <c r="H207" s="5">
        <v>223</v>
      </c>
      <c r="I207" s="5">
        <v>80.510000000000005</v>
      </c>
      <c r="J207" s="5">
        <v>-0.72</v>
      </c>
      <c r="K207" s="5">
        <f t="shared" si="2"/>
        <v>9.4899999999999949</v>
      </c>
      <c r="L207" s="6">
        <f t="shared" si="3"/>
        <v>1.1862499999999994</v>
      </c>
    </row>
    <row r="208" spans="1:12" s="5" customFormat="1" x14ac:dyDescent="0.25">
      <c r="A208" s="5" t="s">
        <v>287</v>
      </c>
      <c r="B208" s="5" t="s">
        <v>629</v>
      </c>
      <c r="C208" s="5" t="s">
        <v>2</v>
      </c>
      <c r="D208" s="5" t="s">
        <v>630</v>
      </c>
      <c r="E208" s="5" t="s">
        <v>651</v>
      </c>
      <c r="H208" s="5">
        <v>33</v>
      </c>
      <c r="I208" s="5">
        <v>80.489999999999995</v>
      </c>
      <c r="K208" s="5">
        <f t="shared" si="2"/>
        <v>9.5100000000000051</v>
      </c>
      <c r="L208" s="6">
        <f t="shared" si="3"/>
        <v>1.1887500000000006</v>
      </c>
    </row>
    <row r="209" spans="1:12" s="5" customFormat="1" x14ac:dyDescent="0.25">
      <c r="A209" s="5" t="s">
        <v>32</v>
      </c>
      <c r="B209" s="5" t="s">
        <v>35</v>
      </c>
      <c r="C209" s="5" t="s">
        <v>36</v>
      </c>
      <c r="D209" s="5" t="s">
        <v>37</v>
      </c>
      <c r="E209" s="5" t="s">
        <v>651</v>
      </c>
      <c r="F209" s="5">
        <v>29</v>
      </c>
      <c r="G209" s="5">
        <v>64.44</v>
      </c>
      <c r="H209" s="5">
        <v>49</v>
      </c>
      <c r="I209" s="5">
        <v>80.33</v>
      </c>
      <c r="J209" s="5">
        <v>15.89</v>
      </c>
      <c r="K209" s="5">
        <f t="shared" si="2"/>
        <v>9.6700000000000017</v>
      </c>
      <c r="L209" s="6">
        <f t="shared" si="3"/>
        <v>1.2087500000000002</v>
      </c>
    </row>
    <row r="210" spans="1:12" s="5" customFormat="1" x14ac:dyDescent="0.25">
      <c r="A210" s="5" t="s">
        <v>32</v>
      </c>
      <c r="B210" s="5" t="s">
        <v>360</v>
      </c>
      <c r="C210" s="5" t="s">
        <v>2</v>
      </c>
      <c r="D210" s="5" t="s">
        <v>361</v>
      </c>
      <c r="E210" s="5" t="s">
        <v>651</v>
      </c>
      <c r="F210" s="5">
        <v>468</v>
      </c>
      <c r="G210" s="5">
        <v>80.27</v>
      </c>
      <c r="H210" s="5">
        <v>444</v>
      </c>
      <c r="I210" s="5">
        <v>80.290000000000006</v>
      </c>
      <c r="J210" s="5">
        <v>0.02</v>
      </c>
      <c r="K210" s="5">
        <f t="shared" si="2"/>
        <v>9.7099999999999937</v>
      </c>
      <c r="L210" s="6">
        <f t="shared" si="3"/>
        <v>1.2137499999999992</v>
      </c>
    </row>
    <row r="211" spans="1:12" s="5" customFormat="1" x14ac:dyDescent="0.25">
      <c r="A211" s="5" t="s">
        <v>207</v>
      </c>
      <c r="B211" s="5" t="s">
        <v>327</v>
      </c>
      <c r="C211" s="5" t="s">
        <v>2</v>
      </c>
      <c r="D211" s="5" t="s">
        <v>328</v>
      </c>
      <c r="E211" s="5" t="s">
        <v>651</v>
      </c>
      <c r="F211" s="5">
        <v>250</v>
      </c>
      <c r="G211" s="5">
        <v>80.650000000000006</v>
      </c>
      <c r="H211" s="5">
        <v>191</v>
      </c>
      <c r="I211" s="5">
        <v>80.25</v>
      </c>
      <c r="J211" s="5">
        <v>-0.4</v>
      </c>
      <c r="K211" s="5">
        <f t="shared" si="2"/>
        <v>9.75</v>
      </c>
      <c r="L211" s="6">
        <f t="shared" si="3"/>
        <v>1.21875</v>
      </c>
    </row>
    <row r="212" spans="1:12" s="5" customFormat="1" x14ac:dyDescent="0.25">
      <c r="A212" s="5" t="s">
        <v>450</v>
      </c>
      <c r="B212" s="5" t="s">
        <v>555</v>
      </c>
      <c r="C212" s="5" t="s">
        <v>2</v>
      </c>
      <c r="D212" s="5" t="s">
        <v>556</v>
      </c>
      <c r="E212" s="5" t="s">
        <v>651</v>
      </c>
      <c r="F212" s="5">
        <v>82</v>
      </c>
      <c r="G212" s="5">
        <v>89.13</v>
      </c>
      <c r="H212" s="5">
        <v>72</v>
      </c>
      <c r="I212" s="5">
        <v>80</v>
      </c>
      <c r="J212" s="5">
        <v>-9.1300000000000008</v>
      </c>
      <c r="K212" s="5">
        <f t="shared" si="2"/>
        <v>10</v>
      </c>
      <c r="L212" s="6">
        <f t="shared" si="3"/>
        <v>1.25</v>
      </c>
    </row>
    <row r="213" spans="1:12" s="8" customFormat="1" x14ac:dyDescent="0.25">
      <c r="A213" s="8" t="s">
        <v>23</v>
      </c>
      <c r="B213" s="8" t="s">
        <v>168</v>
      </c>
      <c r="C213" s="8" t="s">
        <v>2</v>
      </c>
      <c r="D213" s="8" t="s">
        <v>169</v>
      </c>
      <c r="E213" s="8" t="s">
        <v>651</v>
      </c>
      <c r="F213" s="8">
        <v>45</v>
      </c>
      <c r="G213" s="8">
        <v>71.430000000000007</v>
      </c>
      <c r="H213" s="8">
        <v>54</v>
      </c>
      <c r="I213" s="8">
        <v>79.41</v>
      </c>
      <c r="J213" s="8">
        <v>7.98</v>
      </c>
      <c r="K213" s="8">
        <f t="shared" si="2"/>
        <v>10.590000000000003</v>
      </c>
      <c r="L213" s="9">
        <f t="shared" si="3"/>
        <v>1.3237500000000004</v>
      </c>
    </row>
    <row r="214" spans="1:12" s="8" customFormat="1" x14ac:dyDescent="0.25">
      <c r="A214" s="8" t="s">
        <v>105</v>
      </c>
      <c r="B214" s="8" t="s">
        <v>390</v>
      </c>
      <c r="C214" s="8" t="s">
        <v>2</v>
      </c>
      <c r="D214" s="8" t="s">
        <v>391</v>
      </c>
      <c r="E214" s="8" t="s">
        <v>651</v>
      </c>
      <c r="F214" s="8">
        <v>2125</v>
      </c>
      <c r="G214" s="8">
        <v>80.25</v>
      </c>
      <c r="H214" s="8">
        <v>2067</v>
      </c>
      <c r="I214" s="8">
        <v>79.17</v>
      </c>
      <c r="J214" s="8">
        <v>-1.08</v>
      </c>
      <c r="K214" s="8">
        <f t="shared" si="2"/>
        <v>10.829999999999998</v>
      </c>
      <c r="L214" s="9">
        <f t="shared" si="3"/>
        <v>1.3537499999999998</v>
      </c>
    </row>
    <row r="215" spans="1:12" s="8" customFormat="1" x14ac:dyDescent="0.25">
      <c r="A215" s="8" t="s">
        <v>128</v>
      </c>
      <c r="B215" s="8" t="s">
        <v>591</v>
      </c>
      <c r="C215" s="8" t="s">
        <v>2</v>
      </c>
      <c r="D215" s="8" t="s">
        <v>592</v>
      </c>
      <c r="E215" s="8" t="s">
        <v>651</v>
      </c>
      <c r="F215" s="8">
        <v>104</v>
      </c>
      <c r="G215" s="8">
        <v>89.66</v>
      </c>
      <c r="H215" s="8">
        <v>91</v>
      </c>
      <c r="I215" s="8">
        <v>79.13</v>
      </c>
      <c r="J215" s="8">
        <v>-10.53</v>
      </c>
      <c r="K215" s="8">
        <f t="shared" si="2"/>
        <v>10.870000000000005</v>
      </c>
      <c r="L215" s="9">
        <f t="shared" si="3"/>
        <v>1.3587500000000006</v>
      </c>
    </row>
    <row r="216" spans="1:12" s="8" customFormat="1" x14ac:dyDescent="0.25">
      <c r="A216" s="8" t="s">
        <v>105</v>
      </c>
      <c r="B216" s="8" t="s">
        <v>382</v>
      </c>
      <c r="C216" s="8" t="s">
        <v>2</v>
      </c>
      <c r="D216" s="8" t="s">
        <v>383</v>
      </c>
      <c r="E216" s="8" t="s">
        <v>651</v>
      </c>
      <c r="F216" s="8">
        <v>125</v>
      </c>
      <c r="G216" s="8">
        <v>78.62</v>
      </c>
      <c r="H216" s="8">
        <v>105</v>
      </c>
      <c r="I216" s="8">
        <v>78.36</v>
      </c>
      <c r="J216" s="8">
        <v>-0.26</v>
      </c>
      <c r="K216" s="8">
        <f t="shared" si="2"/>
        <v>11.64</v>
      </c>
      <c r="L216" s="9">
        <f t="shared" si="3"/>
        <v>1.4550000000000001</v>
      </c>
    </row>
    <row r="217" spans="1:12" s="8" customFormat="1" x14ac:dyDescent="0.25">
      <c r="A217" s="8" t="s">
        <v>538</v>
      </c>
      <c r="B217" s="8" t="s">
        <v>539</v>
      </c>
      <c r="C217" s="8" t="s">
        <v>2</v>
      </c>
      <c r="D217" s="8" t="s">
        <v>540</v>
      </c>
      <c r="E217" s="8" t="s">
        <v>651</v>
      </c>
      <c r="F217" s="8">
        <v>75</v>
      </c>
      <c r="G217" s="8">
        <v>82.42</v>
      </c>
      <c r="H217" s="8">
        <v>86</v>
      </c>
      <c r="I217" s="8">
        <v>78.180000000000007</v>
      </c>
      <c r="J217" s="8">
        <v>-4.24</v>
      </c>
      <c r="K217" s="8">
        <f t="shared" si="2"/>
        <v>11.819999999999993</v>
      </c>
      <c r="L217" s="9">
        <f t="shared" si="3"/>
        <v>1.4774999999999991</v>
      </c>
    </row>
    <row r="218" spans="1:12" s="8" customFormat="1" x14ac:dyDescent="0.25">
      <c r="A218" s="8" t="s">
        <v>77</v>
      </c>
      <c r="B218" s="8" t="s">
        <v>506</v>
      </c>
      <c r="C218" s="8" t="s">
        <v>2</v>
      </c>
      <c r="D218" s="8" t="s">
        <v>507</v>
      </c>
      <c r="E218" s="8" t="s">
        <v>651</v>
      </c>
      <c r="F218" s="8">
        <v>451</v>
      </c>
      <c r="G218" s="8">
        <v>80.97</v>
      </c>
      <c r="H218" s="8">
        <v>418</v>
      </c>
      <c r="I218" s="8">
        <v>78.13</v>
      </c>
      <c r="J218" s="8">
        <v>-2.84</v>
      </c>
      <c r="K218" s="8">
        <f t="shared" si="2"/>
        <v>11.870000000000005</v>
      </c>
      <c r="L218" s="9">
        <f t="shared" si="3"/>
        <v>1.4837500000000006</v>
      </c>
    </row>
    <row r="219" spans="1:12" s="8" customFormat="1" x14ac:dyDescent="0.25">
      <c r="A219" s="8" t="s">
        <v>59</v>
      </c>
      <c r="B219" s="8" t="s">
        <v>637</v>
      </c>
      <c r="C219" s="8" t="s">
        <v>36</v>
      </c>
      <c r="D219" s="8" t="s">
        <v>638</v>
      </c>
      <c r="E219" s="8" t="s">
        <v>651</v>
      </c>
      <c r="H219" s="8">
        <v>32</v>
      </c>
      <c r="I219" s="8">
        <v>78.05</v>
      </c>
      <c r="K219" s="8">
        <f t="shared" si="2"/>
        <v>11.950000000000003</v>
      </c>
      <c r="L219" s="9">
        <f t="shared" si="3"/>
        <v>1.4937500000000004</v>
      </c>
    </row>
    <row r="220" spans="1:12" s="8" customFormat="1" x14ac:dyDescent="0.25">
      <c r="A220" s="8" t="s">
        <v>105</v>
      </c>
      <c r="B220" s="8" t="s">
        <v>580</v>
      </c>
      <c r="C220" s="8" t="s">
        <v>36</v>
      </c>
      <c r="D220" s="8" t="s">
        <v>581</v>
      </c>
      <c r="E220" s="8" t="s">
        <v>651</v>
      </c>
      <c r="F220" s="8">
        <v>40</v>
      </c>
      <c r="G220" s="8">
        <v>86.96</v>
      </c>
      <c r="H220" s="8">
        <v>39</v>
      </c>
      <c r="I220" s="8">
        <v>78</v>
      </c>
      <c r="J220" s="8">
        <v>-8.9600000000000009</v>
      </c>
      <c r="K220" s="8">
        <f t="shared" si="2"/>
        <v>12</v>
      </c>
      <c r="L220" s="9">
        <f t="shared" si="3"/>
        <v>1.5</v>
      </c>
    </row>
    <row r="221" spans="1:12" s="8" customFormat="1" x14ac:dyDescent="0.25">
      <c r="A221" s="8" t="s">
        <v>18</v>
      </c>
      <c r="B221" s="8" t="s">
        <v>119</v>
      </c>
      <c r="C221" s="8" t="s">
        <v>2</v>
      </c>
      <c r="D221" s="8" t="s">
        <v>120</v>
      </c>
      <c r="E221" s="8" t="s">
        <v>651</v>
      </c>
      <c r="F221" s="8">
        <v>246</v>
      </c>
      <c r="G221" s="8">
        <v>73.209999999999994</v>
      </c>
      <c r="H221" s="8">
        <v>241</v>
      </c>
      <c r="I221" s="8">
        <v>77.989999999999995</v>
      </c>
      <c r="J221" s="8">
        <v>4.78</v>
      </c>
      <c r="K221" s="8">
        <f t="shared" si="2"/>
        <v>12.010000000000005</v>
      </c>
      <c r="L221" s="9">
        <f t="shared" si="3"/>
        <v>1.5012500000000006</v>
      </c>
    </row>
    <row r="222" spans="1:12" s="8" customFormat="1" x14ac:dyDescent="0.25">
      <c r="A222" s="8" t="s">
        <v>10</v>
      </c>
      <c r="B222" s="8" t="s">
        <v>259</v>
      </c>
      <c r="C222" s="8" t="s">
        <v>2</v>
      </c>
      <c r="D222" s="8" t="s">
        <v>260</v>
      </c>
      <c r="E222" s="8" t="s">
        <v>651</v>
      </c>
      <c r="F222" s="8">
        <v>213</v>
      </c>
      <c r="G222" s="8">
        <v>80.38</v>
      </c>
      <c r="H222" s="8">
        <v>197</v>
      </c>
      <c r="I222" s="8">
        <v>77.87</v>
      </c>
      <c r="J222" s="8">
        <v>-2.5099999999999998</v>
      </c>
      <c r="K222" s="8">
        <f t="shared" si="2"/>
        <v>12.129999999999995</v>
      </c>
      <c r="L222" s="9">
        <f t="shared" si="3"/>
        <v>1.5162499999999994</v>
      </c>
    </row>
    <row r="223" spans="1:12" s="8" customFormat="1" x14ac:dyDescent="0.25">
      <c r="A223" s="8" t="s">
        <v>406</v>
      </c>
      <c r="B223" s="8" t="s">
        <v>608</v>
      </c>
      <c r="C223" s="8" t="s">
        <v>2</v>
      </c>
      <c r="D223" s="8" t="s">
        <v>609</v>
      </c>
      <c r="E223" s="8" t="s">
        <v>651</v>
      </c>
      <c r="H223" s="8">
        <v>31</v>
      </c>
      <c r="I223" s="8">
        <v>77.5</v>
      </c>
      <c r="K223" s="8">
        <f t="shared" si="2"/>
        <v>12.5</v>
      </c>
      <c r="L223" s="9">
        <f t="shared" si="3"/>
        <v>1.5625</v>
      </c>
    </row>
    <row r="224" spans="1:12" s="8" customFormat="1" x14ac:dyDescent="0.25">
      <c r="A224" s="8" t="s">
        <v>406</v>
      </c>
      <c r="B224" s="8" t="s">
        <v>407</v>
      </c>
      <c r="C224" s="8" t="s">
        <v>2</v>
      </c>
      <c r="D224" s="8" t="s">
        <v>408</v>
      </c>
      <c r="E224" s="8" t="s">
        <v>651</v>
      </c>
      <c r="F224" s="8">
        <v>249</v>
      </c>
      <c r="G224" s="8">
        <v>77.33</v>
      </c>
      <c r="H224" s="8">
        <v>267</v>
      </c>
      <c r="I224" s="8">
        <v>77.39</v>
      </c>
      <c r="J224" s="8">
        <v>0.06</v>
      </c>
      <c r="K224" s="8">
        <f t="shared" si="2"/>
        <v>12.61</v>
      </c>
      <c r="L224" s="9">
        <f t="shared" si="3"/>
        <v>1.5762499999999999</v>
      </c>
    </row>
    <row r="225" spans="1:12" s="8" customFormat="1" x14ac:dyDescent="0.25">
      <c r="A225" s="8" t="s">
        <v>162</v>
      </c>
      <c r="B225" s="8" t="s">
        <v>201</v>
      </c>
      <c r="C225" s="8" t="s">
        <v>2</v>
      </c>
      <c r="D225" s="8" t="s">
        <v>202</v>
      </c>
      <c r="E225" s="8" t="s">
        <v>651</v>
      </c>
      <c r="F225" s="8">
        <v>67</v>
      </c>
      <c r="G225" s="8">
        <v>75.28</v>
      </c>
      <c r="H225" s="8">
        <v>65</v>
      </c>
      <c r="I225" s="8">
        <v>77.38</v>
      </c>
      <c r="J225" s="8">
        <v>2.1</v>
      </c>
      <c r="K225" s="8">
        <f t="shared" si="2"/>
        <v>12.620000000000005</v>
      </c>
      <c r="L225" s="9">
        <f t="shared" si="3"/>
        <v>1.5775000000000006</v>
      </c>
    </row>
    <row r="226" spans="1:12" s="8" customFormat="1" x14ac:dyDescent="0.25">
      <c r="A226" s="8" t="s">
        <v>59</v>
      </c>
      <c r="B226" s="8" t="s">
        <v>193</v>
      </c>
      <c r="C226" s="8" t="s">
        <v>2</v>
      </c>
      <c r="D226" s="8" t="s">
        <v>194</v>
      </c>
      <c r="E226" s="8" t="s">
        <v>651</v>
      </c>
      <c r="F226" s="8">
        <v>483</v>
      </c>
      <c r="G226" s="8">
        <v>73.400000000000006</v>
      </c>
      <c r="H226" s="8">
        <v>467</v>
      </c>
      <c r="I226" s="8">
        <v>77.319999999999993</v>
      </c>
      <c r="J226" s="8">
        <v>3.92</v>
      </c>
      <c r="K226" s="8">
        <f t="shared" si="2"/>
        <v>12.680000000000007</v>
      </c>
      <c r="L226" s="9">
        <f t="shared" si="3"/>
        <v>1.5850000000000009</v>
      </c>
    </row>
    <row r="227" spans="1:12" s="8" customFormat="1" x14ac:dyDescent="0.25">
      <c r="A227" s="8" t="s">
        <v>2</v>
      </c>
      <c r="B227" s="8" t="s">
        <v>165</v>
      </c>
      <c r="C227" s="8" t="s">
        <v>2</v>
      </c>
      <c r="D227" s="8" t="s">
        <v>557</v>
      </c>
      <c r="E227" s="8" t="s">
        <v>651</v>
      </c>
      <c r="F227" s="8">
        <v>79</v>
      </c>
      <c r="G227" s="8">
        <v>84.04</v>
      </c>
      <c r="H227" s="8">
        <v>80</v>
      </c>
      <c r="I227" s="8">
        <v>76.92</v>
      </c>
      <c r="J227" s="8">
        <v>-7.12</v>
      </c>
      <c r="K227" s="8">
        <f t="shared" si="2"/>
        <v>13.079999999999998</v>
      </c>
      <c r="L227" s="9">
        <f t="shared" si="3"/>
        <v>1.6349999999999998</v>
      </c>
    </row>
    <row r="228" spans="1:12" s="8" customFormat="1" x14ac:dyDescent="0.25">
      <c r="A228" s="8" t="s">
        <v>74</v>
      </c>
      <c r="B228" s="8" t="s">
        <v>623</v>
      </c>
      <c r="C228" s="8" t="s">
        <v>2</v>
      </c>
      <c r="D228" s="8" t="s">
        <v>624</v>
      </c>
      <c r="E228" s="8" t="s">
        <v>651</v>
      </c>
      <c r="H228" s="8">
        <v>33</v>
      </c>
      <c r="I228" s="8">
        <v>76.739999999999995</v>
      </c>
      <c r="K228" s="8">
        <f t="shared" si="2"/>
        <v>13.260000000000005</v>
      </c>
      <c r="L228" s="9">
        <f t="shared" si="3"/>
        <v>1.6575000000000006</v>
      </c>
    </row>
    <row r="229" spans="1:12" s="8" customFormat="1" x14ac:dyDescent="0.25">
      <c r="A229" s="8" t="s">
        <v>8</v>
      </c>
      <c r="B229" s="8" t="s">
        <v>444</v>
      </c>
      <c r="C229" s="8" t="s">
        <v>2</v>
      </c>
      <c r="D229" s="8" t="s">
        <v>445</v>
      </c>
      <c r="E229" s="8" t="s">
        <v>651</v>
      </c>
      <c r="F229" s="8">
        <v>502</v>
      </c>
      <c r="G229" s="8">
        <v>79.180000000000007</v>
      </c>
      <c r="H229" s="8">
        <v>472</v>
      </c>
      <c r="I229" s="8">
        <v>76.62</v>
      </c>
      <c r="J229" s="8">
        <v>-2.56</v>
      </c>
      <c r="K229" s="8">
        <f t="shared" si="2"/>
        <v>13.379999999999995</v>
      </c>
      <c r="L229" s="9">
        <f t="shared" si="3"/>
        <v>1.6724999999999994</v>
      </c>
    </row>
    <row r="230" spans="1:12" s="8" customFormat="1" x14ac:dyDescent="0.25">
      <c r="A230" s="8" t="s">
        <v>584</v>
      </c>
      <c r="B230" s="8" t="s">
        <v>585</v>
      </c>
      <c r="C230" s="8" t="s">
        <v>2</v>
      </c>
      <c r="D230" s="8" t="s">
        <v>586</v>
      </c>
      <c r="E230" s="8" t="s">
        <v>651</v>
      </c>
      <c r="F230" s="8">
        <v>72</v>
      </c>
      <c r="G230" s="8">
        <v>86.75</v>
      </c>
      <c r="H230" s="8">
        <v>45</v>
      </c>
      <c r="I230" s="8">
        <v>76.27</v>
      </c>
      <c r="J230" s="8">
        <v>-10.48</v>
      </c>
      <c r="K230" s="8">
        <f t="shared" si="2"/>
        <v>13.730000000000004</v>
      </c>
      <c r="L230" s="9">
        <f t="shared" si="3"/>
        <v>1.7162500000000005</v>
      </c>
    </row>
    <row r="231" spans="1:12" s="8" customFormat="1" x14ac:dyDescent="0.25">
      <c r="A231" s="8" t="s">
        <v>0</v>
      </c>
      <c r="B231" s="8" t="s">
        <v>257</v>
      </c>
      <c r="C231" s="8" t="s">
        <v>2</v>
      </c>
      <c r="D231" s="8" t="s">
        <v>258</v>
      </c>
      <c r="E231" s="8" t="s">
        <v>651</v>
      </c>
      <c r="F231" s="8">
        <v>147</v>
      </c>
      <c r="G231" s="8">
        <v>73.13</v>
      </c>
      <c r="H231" s="8">
        <v>138</v>
      </c>
      <c r="I231" s="8">
        <v>76.239999999999995</v>
      </c>
      <c r="J231" s="8">
        <v>3.11</v>
      </c>
      <c r="K231" s="8">
        <f t="shared" si="2"/>
        <v>13.760000000000005</v>
      </c>
      <c r="L231" s="9">
        <f t="shared" si="3"/>
        <v>1.7200000000000006</v>
      </c>
    </row>
    <row r="232" spans="1:12" s="8" customFormat="1" x14ac:dyDescent="0.25">
      <c r="A232" s="8" t="s">
        <v>228</v>
      </c>
      <c r="B232" s="8" t="s">
        <v>229</v>
      </c>
      <c r="C232" s="8" t="s">
        <v>2</v>
      </c>
      <c r="D232" s="8" t="s">
        <v>230</v>
      </c>
      <c r="E232" s="8" t="s">
        <v>651</v>
      </c>
      <c r="F232" s="8">
        <v>49</v>
      </c>
      <c r="G232" s="8">
        <v>69.010000000000005</v>
      </c>
      <c r="H232" s="8">
        <v>46</v>
      </c>
      <c r="I232" s="8">
        <v>75.41</v>
      </c>
      <c r="J232" s="8">
        <v>6.4</v>
      </c>
      <c r="K232" s="8">
        <f t="shared" si="2"/>
        <v>14.590000000000003</v>
      </c>
      <c r="L232" s="9">
        <f t="shared" si="3"/>
        <v>1.8237500000000004</v>
      </c>
    </row>
    <row r="233" spans="1:12" s="8" customFormat="1" x14ac:dyDescent="0.25">
      <c r="A233" s="8" t="s">
        <v>65</v>
      </c>
      <c r="B233" s="8" t="s">
        <v>504</v>
      </c>
      <c r="C233" s="8" t="s">
        <v>2</v>
      </c>
      <c r="D233" s="8" t="s">
        <v>505</v>
      </c>
      <c r="E233" s="8" t="s">
        <v>651</v>
      </c>
      <c r="F233" s="8">
        <v>311</v>
      </c>
      <c r="G233" s="8">
        <v>79.540000000000006</v>
      </c>
      <c r="H233" s="8">
        <v>277</v>
      </c>
      <c r="I233" s="8">
        <v>75.069999999999993</v>
      </c>
      <c r="J233" s="8">
        <v>-4.47</v>
      </c>
      <c r="K233" s="8">
        <f t="shared" si="2"/>
        <v>14.930000000000007</v>
      </c>
      <c r="L233" s="9">
        <f t="shared" si="3"/>
        <v>1.8662500000000009</v>
      </c>
    </row>
    <row r="234" spans="1:12" s="8" customFormat="1" x14ac:dyDescent="0.25">
      <c r="A234" s="8" t="s">
        <v>59</v>
      </c>
      <c r="B234" s="8" t="s">
        <v>578</v>
      </c>
      <c r="C234" s="8" t="s">
        <v>36</v>
      </c>
      <c r="D234" s="8" t="s">
        <v>579</v>
      </c>
      <c r="E234" s="8" t="s">
        <v>651</v>
      </c>
      <c r="H234" s="8">
        <v>34</v>
      </c>
      <c r="I234" s="8">
        <v>73.91</v>
      </c>
      <c r="K234" s="8">
        <f t="shared" si="2"/>
        <v>16.090000000000003</v>
      </c>
      <c r="L234" s="9">
        <f t="shared" si="3"/>
        <v>2.0112500000000004</v>
      </c>
    </row>
    <row r="235" spans="1:12" s="8" customFormat="1" x14ac:dyDescent="0.25">
      <c r="A235" s="8" t="s">
        <v>0</v>
      </c>
      <c r="B235" s="8" t="s">
        <v>446</v>
      </c>
      <c r="C235" s="8" t="s">
        <v>2</v>
      </c>
      <c r="D235" s="8" t="s">
        <v>447</v>
      </c>
      <c r="E235" s="8" t="s">
        <v>651</v>
      </c>
      <c r="F235" s="8">
        <v>618</v>
      </c>
      <c r="G235" s="8">
        <v>75.37</v>
      </c>
      <c r="H235" s="8">
        <v>570</v>
      </c>
      <c r="I235" s="8">
        <v>71.25</v>
      </c>
      <c r="J235" s="8">
        <v>-4.12</v>
      </c>
      <c r="K235" s="8">
        <f t="shared" si="2"/>
        <v>18.75</v>
      </c>
      <c r="L235" s="9">
        <f t="shared" si="3"/>
        <v>2.34375</v>
      </c>
    </row>
    <row r="236" spans="1:12" s="12" customFormat="1" x14ac:dyDescent="0.25">
      <c r="A236" s="12" t="s">
        <v>32</v>
      </c>
      <c r="B236" s="12" t="s">
        <v>165</v>
      </c>
      <c r="C236" s="12" t="s">
        <v>121</v>
      </c>
      <c r="D236" s="12" t="s">
        <v>166</v>
      </c>
      <c r="E236" s="12" t="s">
        <v>651</v>
      </c>
      <c r="F236" s="12">
        <v>522</v>
      </c>
      <c r="G236" s="12">
        <v>67.27</v>
      </c>
      <c r="H236" s="12">
        <v>520</v>
      </c>
      <c r="I236" s="12">
        <v>69.8</v>
      </c>
      <c r="J236" s="12">
        <v>2.5299999999999998</v>
      </c>
      <c r="K236" s="12">
        <f t="shared" si="2"/>
        <v>20.200000000000003</v>
      </c>
      <c r="L236" s="13">
        <f t="shared" si="3"/>
        <v>2.5250000000000004</v>
      </c>
    </row>
    <row r="237" spans="1:12" s="12" customFormat="1" x14ac:dyDescent="0.25">
      <c r="A237" s="12" t="s">
        <v>96</v>
      </c>
      <c r="B237" s="12" t="s">
        <v>617</v>
      </c>
      <c r="C237" s="12" t="s">
        <v>2</v>
      </c>
      <c r="D237" s="12" t="s">
        <v>618</v>
      </c>
      <c r="E237" s="12" t="s">
        <v>651</v>
      </c>
      <c r="H237" s="12">
        <v>30</v>
      </c>
      <c r="I237" s="12">
        <v>69.77</v>
      </c>
      <c r="K237" s="12">
        <f t="shared" si="2"/>
        <v>20.230000000000004</v>
      </c>
      <c r="L237" s="13">
        <f t="shared" si="3"/>
        <v>2.5287500000000005</v>
      </c>
    </row>
    <row r="238" spans="1:12" s="12" customFormat="1" x14ac:dyDescent="0.25">
      <c r="A238" s="12" t="s">
        <v>514</v>
      </c>
      <c r="B238" s="12" t="s">
        <v>515</v>
      </c>
      <c r="C238" s="12" t="s">
        <v>2</v>
      </c>
      <c r="D238" s="12" t="s">
        <v>516</v>
      </c>
      <c r="E238" s="12" t="s">
        <v>651</v>
      </c>
      <c r="F238" s="12">
        <v>178</v>
      </c>
      <c r="G238" s="12">
        <v>70.63</v>
      </c>
      <c r="H238" s="12">
        <v>143</v>
      </c>
      <c r="I238" s="12">
        <v>69.08</v>
      </c>
      <c r="J238" s="12">
        <v>-1.55</v>
      </c>
      <c r="K238" s="12">
        <f t="shared" si="2"/>
        <v>20.92</v>
      </c>
      <c r="L238" s="13">
        <f t="shared" si="3"/>
        <v>2.6150000000000002</v>
      </c>
    </row>
    <row r="239" spans="1:12" s="12" customFormat="1" x14ac:dyDescent="0.25">
      <c r="A239" s="12" t="s">
        <v>29</v>
      </c>
      <c r="B239" s="12" t="s">
        <v>582</v>
      </c>
      <c r="C239" s="12" t="s">
        <v>2</v>
      </c>
      <c r="D239" s="12" t="s">
        <v>583</v>
      </c>
      <c r="E239" s="12" t="s">
        <v>651</v>
      </c>
      <c r="F239" s="12">
        <v>216</v>
      </c>
      <c r="G239" s="12">
        <v>76.33</v>
      </c>
      <c r="H239" s="12">
        <v>173</v>
      </c>
      <c r="I239" s="12">
        <v>66.8</v>
      </c>
      <c r="J239" s="12">
        <v>-9.5299999999999994</v>
      </c>
      <c r="K239" s="12">
        <f t="shared" si="2"/>
        <v>23.200000000000003</v>
      </c>
      <c r="L239" s="13">
        <f t="shared" si="3"/>
        <v>2.9000000000000004</v>
      </c>
    </row>
    <row r="240" spans="1:12" s="12" customFormat="1" x14ac:dyDescent="0.25">
      <c r="A240" s="12" t="s">
        <v>23</v>
      </c>
      <c r="B240" s="12" t="s">
        <v>312</v>
      </c>
      <c r="C240" s="12" t="s">
        <v>2</v>
      </c>
      <c r="D240" s="12" t="s">
        <v>313</v>
      </c>
      <c r="E240" s="12" t="s">
        <v>651</v>
      </c>
      <c r="F240" s="12">
        <v>56</v>
      </c>
      <c r="G240" s="12">
        <v>61.54</v>
      </c>
      <c r="H240" s="12">
        <v>52</v>
      </c>
      <c r="I240" s="12">
        <v>61.18</v>
      </c>
      <c r="J240" s="12">
        <v>-0.36</v>
      </c>
      <c r="K240" s="12">
        <f t="shared" si="2"/>
        <v>28.82</v>
      </c>
      <c r="L240" s="13">
        <f t="shared" si="3"/>
        <v>3.6025</v>
      </c>
    </row>
    <row r="241" spans="1:12" s="12" customFormat="1" x14ac:dyDescent="0.25">
      <c r="A241" s="12" t="s">
        <v>38</v>
      </c>
      <c r="B241" s="12" t="s">
        <v>570</v>
      </c>
      <c r="C241" s="12" t="s">
        <v>2</v>
      </c>
      <c r="D241" s="12" t="s">
        <v>571</v>
      </c>
      <c r="E241" s="12" t="s">
        <v>651</v>
      </c>
      <c r="F241" s="12">
        <v>40</v>
      </c>
      <c r="G241" s="12">
        <v>74.069999999999993</v>
      </c>
      <c r="H241" s="12">
        <v>24</v>
      </c>
      <c r="I241" s="12">
        <v>60</v>
      </c>
      <c r="J241" s="12">
        <v>-14.07</v>
      </c>
      <c r="K241" s="12">
        <f t="shared" si="2"/>
        <v>30</v>
      </c>
      <c r="L241" s="13">
        <f t="shared" si="3"/>
        <v>3.75</v>
      </c>
    </row>
    <row r="242" spans="1:12" s="16" customFormat="1" x14ac:dyDescent="0.25">
      <c r="A242" s="16" t="s">
        <v>0</v>
      </c>
      <c r="B242" s="16" t="s">
        <v>604</v>
      </c>
      <c r="C242" s="16" t="s">
        <v>36</v>
      </c>
      <c r="D242" s="16" t="s">
        <v>605</v>
      </c>
      <c r="E242" s="16" t="s">
        <v>651</v>
      </c>
      <c r="F242" s="16">
        <v>50</v>
      </c>
      <c r="G242" s="16">
        <v>70.42</v>
      </c>
      <c r="H242" s="16">
        <v>26</v>
      </c>
      <c r="I242" s="16">
        <v>59.09</v>
      </c>
      <c r="J242" s="16">
        <v>-11.33</v>
      </c>
      <c r="K242" s="16">
        <f t="shared" si="2"/>
        <v>30.909999999999997</v>
      </c>
      <c r="L242" s="17">
        <f t="shared" si="3"/>
        <v>3.8637499999999996</v>
      </c>
    </row>
    <row r="243" spans="1:12" s="16" customFormat="1" x14ac:dyDescent="0.25">
      <c r="A243" s="16" t="s">
        <v>8</v>
      </c>
      <c r="B243" s="16" t="s">
        <v>9</v>
      </c>
      <c r="C243" s="16" t="s">
        <v>10</v>
      </c>
      <c r="D243" s="16" t="s">
        <v>11</v>
      </c>
      <c r="E243" s="16" t="s">
        <v>651</v>
      </c>
      <c r="F243" s="16">
        <v>31</v>
      </c>
      <c r="G243" s="16">
        <v>42.47</v>
      </c>
      <c r="H243" s="16">
        <v>30</v>
      </c>
      <c r="I243" s="16">
        <v>56.6</v>
      </c>
      <c r="J243" s="16">
        <v>14.13</v>
      </c>
      <c r="K243" s="16">
        <f t="shared" si="2"/>
        <v>33.4</v>
      </c>
      <c r="L243" s="17">
        <f t="shared" si="3"/>
        <v>4.1749999999999998</v>
      </c>
    </row>
    <row r="244" spans="1:12" s="16" customFormat="1" x14ac:dyDescent="0.25">
      <c r="A244" s="16" t="s">
        <v>49</v>
      </c>
      <c r="B244" s="16" t="s">
        <v>606</v>
      </c>
      <c r="C244" s="16" t="s">
        <v>150</v>
      </c>
      <c r="D244" s="16" t="s">
        <v>607</v>
      </c>
      <c r="E244" s="16" t="s">
        <v>651</v>
      </c>
      <c r="F244" s="16">
        <v>27</v>
      </c>
      <c r="G244" s="16">
        <v>60</v>
      </c>
      <c r="H244" s="16">
        <v>29</v>
      </c>
      <c r="I244" s="16">
        <v>50</v>
      </c>
      <c r="J244" s="16">
        <v>-10</v>
      </c>
      <c r="K244" s="16">
        <f t="shared" si="2"/>
        <v>40</v>
      </c>
      <c r="L244" s="17">
        <f t="shared" si="3"/>
        <v>5</v>
      </c>
    </row>
    <row r="245" spans="1:12" s="16" customFormat="1" x14ac:dyDescent="0.25">
      <c r="A245" s="16" t="s">
        <v>99</v>
      </c>
      <c r="B245" s="16" t="s">
        <v>100</v>
      </c>
      <c r="C245" s="16" t="s">
        <v>2</v>
      </c>
      <c r="D245" s="16" t="s">
        <v>101</v>
      </c>
      <c r="E245" s="16" t="s">
        <v>651</v>
      </c>
      <c r="F245" s="16">
        <v>71</v>
      </c>
      <c r="G245" s="16">
        <v>45.51</v>
      </c>
      <c r="H245" s="16">
        <v>114</v>
      </c>
      <c r="I245" s="16">
        <v>49.78</v>
      </c>
      <c r="J245" s="16">
        <v>4.2699999999999996</v>
      </c>
      <c r="K245" s="16">
        <f t="shared" si="2"/>
        <v>40.22</v>
      </c>
      <c r="L245" s="17">
        <f t="shared" si="3"/>
        <v>5.0274999999999999</v>
      </c>
    </row>
    <row r="246" spans="1:12" s="16" customFormat="1" x14ac:dyDescent="0.25">
      <c r="A246" s="16" t="s">
        <v>32</v>
      </c>
      <c r="B246" s="16" t="s">
        <v>57</v>
      </c>
      <c r="C246" s="16" t="s">
        <v>2</v>
      </c>
      <c r="D246" s="16" t="s">
        <v>58</v>
      </c>
      <c r="E246" s="16" t="s">
        <v>651</v>
      </c>
      <c r="F246" s="16">
        <v>58</v>
      </c>
      <c r="G246" s="16">
        <v>32.950000000000003</v>
      </c>
      <c r="H246" s="16">
        <v>79</v>
      </c>
      <c r="I246" s="16">
        <v>41.8</v>
      </c>
      <c r="J246" s="16">
        <v>8.85</v>
      </c>
      <c r="K246" s="16">
        <f t="shared" si="2"/>
        <v>48.2</v>
      </c>
      <c r="L246" s="17">
        <f t="shared" si="3"/>
        <v>6.0250000000000004</v>
      </c>
    </row>
    <row r="247" spans="1:12" s="16" customFormat="1" x14ac:dyDescent="0.25">
      <c r="A247" s="16" t="s">
        <v>128</v>
      </c>
      <c r="B247" s="16" t="s">
        <v>187</v>
      </c>
      <c r="C247" s="16" t="s">
        <v>93</v>
      </c>
      <c r="D247" s="16" t="s">
        <v>188</v>
      </c>
      <c r="E247" s="16" t="s">
        <v>651</v>
      </c>
      <c r="F247" s="16">
        <v>34</v>
      </c>
      <c r="G247" s="16">
        <v>34</v>
      </c>
      <c r="H247" s="16">
        <v>29</v>
      </c>
      <c r="I247" s="16">
        <v>36.71</v>
      </c>
      <c r="J247" s="16">
        <v>2.71</v>
      </c>
      <c r="K247" s="16">
        <f t="shared" si="2"/>
        <v>53.29</v>
      </c>
      <c r="L247" s="17">
        <f t="shared" si="3"/>
        <v>6.6612499999999999</v>
      </c>
    </row>
    <row r="248" spans="1:12" s="16" customFormat="1" x14ac:dyDescent="0.25">
      <c r="A248" s="16" t="s">
        <v>74</v>
      </c>
      <c r="B248" s="16" t="s">
        <v>453</v>
      </c>
      <c r="C248" s="16" t="s">
        <v>150</v>
      </c>
      <c r="D248" s="16" t="s">
        <v>454</v>
      </c>
      <c r="E248" s="16" t="s">
        <v>651</v>
      </c>
      <c r="F248" s="16">
        <v>29</v>
      </c>
      <c r="G248" s="16">
        <v>39.19</v>
      </c>
      <c r="H248" s="16">
        <v>22</v>
      </c>
      <c r="I248" s="16">
        <v>36.07</v>
      </c>
      <c r="J248" s="16">
        <v>-3.12</v>
      </c>
      <c r="K248" s="16">
        <f t="shared" si="2"/>
        <v>53.93</v>
      </c>
      <c r="L248" s="17">
        <f t="shared" si="3"/>
        <v>6.74125</v>
      </c>
    </row>
    <row r="249" spans="1:12" s="16" customFormat="1" x14ac:dyDescent="0.25">
      <c r="A249" s="16" t="s">
        <v>32</v>
      </c>
      <c r="B249" s="16" t="s">
        <v>268</v>
      </c>
      <c r="C249" s="16" t="s">
        <v>36</v>
      </c>
      <c r="D249" s="16" t="s">
        <v>269</v>
      </c>
      <c r="E249" s="16" t="s">
        <v>651</v>
      </c>
      <c r="F249" s="16">
        <v>180</v>
      </c>
      <c r="G249" s="16">
        <v>27.11</v>
      </c>
      <c r="H249" s="16">
        <v>188</v>
      </c>
      <c r="I249" s="16">
        <v>30.42</v>
      </c>
      <c r="J249" s="16">
        <v>3.31</v>
      </c>
      <c r="K249" s="16">
        <f t="shared" si="2"/>
        <v>59.58</v>
      </c>
      <c r="L249" s="17">
        <f t="shared" si="3"/>
        <v>7.4474999999999998</v>
      </c>
    </row>
    <row r="250" spans="1:12" s="16" customFormat="1" x14ac:dyDescent="0.25">
      <c r="A250" s="16" t="s">
        <v>148</v>
      </c>
      <c r="B250" s="16" t="s">
        <v>149</v>
      </c>
      <c r="C250" s="16" t="s">
        <v>150</v>
      </c>
      <c r="D250" s="16" t="s">
        <v>151</v>
      </c>
      <c r="E250" s="16" t="s">
        <v>651</v>
      </c>
      <c r="F250" s="16">
        <v>12</v>
      </c>
      <c r="G250" s="16">
        <v>23.53</v>
      </c>
      <c r="H250" s="16">
        <v>13</v>
      </c>
      <c r="I250" s="16">
        <v>28.26</v>
      </c>
      <c r="J250" s="16">
        <v>4.7300000000000004</v>
      </c>
      <c r="K250" s="16">
        <f t="shared" si="2"/>
        <v>61.739999999999995</v>
      </c>
      <c r="L250" s="17">
        <f t="shared" si="3"/>
        <v>7.7174999999999994</v>
      </c>
    </row>
    <row r="251" spans="1:12" s="16" customFormat="1" x14ac:dyDescent="0.25">
      <c r="A251" s="16" t="s">
        <v>105</v>
      </c>
      <c r="B251" s="16" t="s">
        <v>333</v>
      </c>
      <c r="C251" s="16" t="s">
        <v>36</v>
      </c>
      <c r="D251" s="16" t="s">
        <v>334</v>
      </c>
      <c r="E251" s="16" t="s">
        <v>651</v>
      </c>
      <c r="F251" s="16">
        <v>14</v>
      </c>
      <c r="G251" s="16">
        <v>24.56</v>
      </c>
      <c r="H251" s="16">
        <v>12</v>
      </c>
      <c r="I251" s="16">
        <v>27.27</v>
      </c>
      <c r="J251" s="16">
        <v>2.71</v>
      </c>
      <c r="K251" s="16">
        <f t="shared" si="2"/>
        <v>62.730000000000004</v>
      </c>
      <c r="L251" s="17">
        <f t="shared" si="3"/>
        <v>7.8412500000000005</v>
      </c>
    </row>
    <row r="252" spans="1:12" s="16" customFormat="1" x14ac:dyDescent="0.25">
      <c r="A252" s="16" t="s">
        <v>15</v>
      </c>
      <c r="B252" s="16" t="s">
        <v>494</v>
      </c>
      <c r="C252" s="16" t="s">
        <v>474</v>
      </c>
      <c r="D252" s="16" t="s">
        <v>495</v>
      </c>
      <c r="E252" s="16" t="s">
        <v>651</v>
      </c>
      <c r="F252" s="16">
        <v>46</v>
      </c>
      <c r="G252" s="16">
        <v>28.93</v>
      </c>
      <c r="H252" s="16">
        <v>38</v>
      </c>
      <c r="I252" s="16">
        <v>25.33</v>
      </c>
      <c r="J252" s="16">
        <v>-3.6</v>
      </c>
      <c r="K252" s="16">
        <f t="shared" si="2"/>
        <v>64.67</v>
      </c>
      <c r="L252" s="17">
        <f t="shared" si="3"/>
        <v>8.0837500000000002</v>
      </c>
    </row>
    <row r="253" spans="1:12" s="16" customFormat="1" x14ac:dyDescent="0.25">
      <c r="A253" s="16" t="s">
        <v>32</v>
      </c>
      <c r="B253" s="16" t="s">
        <v>510</v>
      </c>
      <c r="C253" s="16" t="s">
        <v>36</v>
      </c>
      <c r="D253" s="16" t="s">
        <v>511</v>
      </c>
      <c r="E253" s="16" t="s">
        <v>651</v>
      </c>
      <c r="F253" s="16">
        <v>19</v>
      </c>
      <c r="G253" s="16">
        <v>27.54</v>
      </c>
      <c r="H253" s="16">
        <v>14</v>
      </c>
      <c r="I253" s="16">
        <v>23.33</v>
      </c>
      <c r="J253" s="16">
        <v>-4.21</v>
      </c>
      <c r="K253" s="16">
        <f t="shared" si="2"/>
        <v>66.67</v>
      </c>
      <c r="L253" s="17">
        <f t="shared" si="3"/>
        <v>8.3337500000000002</v>
      </c>
    </row>
    <row r="254" spans="1:12" s="16" customFormat="1" x14ac:dyDescent="0.25">
      <c r="A254" s="16" t="s">
        <v>114</v>
      </c>
      <c r="B254" s="16" t="s">
        <v>502</v>
      </c>
      <c r="C254" s="16" t="s">
        <v>102</v>
      </c>
      <c r="D254" s="16" t="s">
        <v>503</v>
      </c>
      <c r="E254" s="16" t="s">
        <v>651</v>
      </c>
      <c r="F254" s="16">
        <v>40</v>
      </c>
      <c r="G254" s="16">
        <v>30.77</v>
      </c>
      <c r="H254" s="16">
        <v>32</v>
      </c>
      <c r="I254" s="16">
        <v>22.07</v>
      </c>
      <c r="J254" s="16">
        <v>-8.6999999999999993</v>
      </c>
      <c r="K254" s="16">
        <f t="shared" si="2"/>
        <v>67.930000000000007</v>
      </c>
      <c r="L254" s="17">
        <f t="shared" si="3"/>
        <v>8.4912500000000009</v>
      </c>
    </row>
    <row r="255" spans="1:12" s="16" customFormat="1" x14ac:dyDescent="0.25">
      <c r="A255" s="16" t="s">
        <v>207</v>
      </c>
      <c r="B255" s="16" t="s">
        <v>602</v>
      </c>
      <c r="C255" s="16" t="s">
        <v>36</v>
      </c>
      <c r="D255" s="16" t="s">
        <v>603</v>
      </c>
      <c r="E255" s="16" t="s">
        <v>651</v>
      </c>
      <c r="F255" s="16">
        <v>24</v>
      </c>
      <c r="G255" s="16">
        <v>35.82</v>
      </c>
      <c r="H255" s="16">
        <v>11</v>
      </c>
      <c r="I255" s="16">
        <v>22</v>
      </c>
      <c r="J255" s="16">
        <v>-13.82</v>
      </c>
      <c r="K255" s="16">
        <f t="shared" si="2"/>
        <v>68</v>
      </c>
      <c r="L255" s="17">
        <f t="shared" si="3"/>
        <v>8.5</v>
      </c>
    </row>
    <row r="256" spans="1:12" s="16" customFormat="1" x14ac:dyDescent="0.25">
      <c r="A256" s="16" t="s">
        <v>59</v>
      </c>
      <c r="B256" s="16" t="s">
        <v>564</v>
      </c>
      <c r="C256" s="16" t="s">
        <v>36</v>
      </c>
      <c r="D256" s="16" t="s">
        <v>565</v>
      </c>
      <c r="E256" s="16" t="s">
        <v>651</v>
      </c>
      <c r="F256" s="16">
        <v>75</v>
      </c>
      <c r="G256" s="16">
        <v>28.52</v>
      </c>
      <c r="H256" s="16">
        <v>40</v>
      </c>
      <c r="I256" s="16">
        <v>20.83</v>
      </c>
      <c r="J256" s="16">
        <v>-7.69</v>
      </c>
      <c r="K256" s="16">
        <f t="shared" si="2"/>
        <v>69.17</v>
      </c>
      <c r="L256" s="17">
        <f t="shared" si="3"/>
        <v>8.6462500000000002</v>
      </c>
    </row>
    <row r="257" spans="1:12" s="16" customFormat="1" x14ac:dyDescent="0.25">
      <c r="A257" s="16" t="s">
        <v>133</v>
      </c>
      <c r="B257" s="16" t="s">
        <v>301</v>
      </c>
      <c r="C257" s="16" t="s">
        <v>93</v>
      </c>
      <c r="D257" s="16" t="s">
        <v>302</v>
      </c>
      <c r="E257" s="16" t="s">
        <v>651</v>
      </c>
      <c r="F257" s="16">
        <v>16</v>
      </c>
      <c r="G257" s="16">
        <v>17.39</v>
      </c>
      <c r="H257" s="16">
        <v>12</v>
      </c>
      <c r="I257" s="16">
        <v>16.670000000000002</v>
      </c>
      <c r="J257" s="16">
        <v>-0.72</v>
      </c>
      <c r="K257" s="16">
        <f t="shared" si="2"/>
        <v>73.33</v>
      </c>
      <c r="L257" s="17">
        <f t="shared" si="3"/>
        <v>9.1662499999999998</v>
      </c>
    </row>
    <row r="258" spans="1:12" s="16" customFormat="1" x14ac:dyDescent="0.25">
      <c r="A258" s="16" t="s">
        <v>59</v>
      </c>
      <c r="B258" s="16" t="s">
        <v>473</v>
      </c>
      <c r="C258" s="16" t="s">
        <v>474</v>
      </c>
      <c r="D258" s="16" t="s">
        <v>666</v>
      </c>
      <c r="E258" s="16" t="s">
        <v>651</v>
      </c>
      <c r="F258" s="16">
        <v>21</v>
      </c>
      <c r="G258" s="16">
        <v>19.09</v>
      </c>
      <c r="H258" s="16">
        <v>12</v>
      </c>
      <c r="I258" s="16">
        <v>8.9600000000000009</v>
      </c>
      <c r="J258" s="16">
        <v>-10.130000000000001</v>
      </c>
      <c r="K258" s="16">
        <f t="shared" si="2"/>
        <v>81.039999999999992</v>
      </c>
      <c r="L258" s="17">
        <f t="shared" si="3"/>
        <v>10.129999999999999</v>
      </c>
    </row>
    <row r="259" spans="1:12" s="16" customFormat="1" x14ac:dyDescent="0.25">
      <c r="A259" s="16" t="s">
        <v>32</v>
      </c>
      <c r="B259" s="16" t="s">
        <v>558</v>
      </c>
      <c r="C259" s="16" t="s">
        <v>474</v>
      </c>
      <c r="D259" s="16" t="s">
        <v>559</v>
      </c>
      <c r="E259" s="16" t="s">
        <v>651</v>
      </c>
      <c r="F259" s="16">
        <v>45</v>
      </c>
      <c r="G259" s="16">
        <v>14.38</v>
      </c>
      <c r="H259" s="16">
        <v>13</v>
      </c>
      <c r="I259" s="16">
        <v>5</v>
      </c>
      <c r="J259" s="16">
        <v>-9.3800000000000008</v>
      </c>
      <c r="K259" s="16">
        <f t="shared" ref="K259" si="4">90-I259</f>
        <v>85</v>
      </c>
      <c r="L259" s="17">
        <f t="shared" si="3"/>
        <v>10.625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Students &lt;60, 70s, 80s, 90s</vt:lpstr>
      <vt:lpstr>AMI - By Percent</vt:lpstr>
      <vt:lpstr>API - By Percent </vt:lpstr>
      <vt:lpstr>Hispanic - By Percent</vt:lpstr>
      <vt:lpstr>Black - By Percent</vt:lpstr>
      <vt:lpstr>White - By Percent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Biringer, Catherine</cp:lastModifiedBy>
  <dcterms:created xsi:type="dcterms:W3CDTF">2007-02-23T14:58:14Z</dcterms:created>
  <dcterms:modified xsi:type="dcterms:W3CDTF">2013-04-01T21:10:05Z</dcterms:modified>
</cp:coreProperties>
</file>