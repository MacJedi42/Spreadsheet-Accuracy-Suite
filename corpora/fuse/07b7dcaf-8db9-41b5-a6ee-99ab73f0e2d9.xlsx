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45" windowWidth="16080" windowHeight="7995"/>
  </bookViews>
  <sheets>
    <sheet name="Surcharge Estimating Tool" sheetId="1" r:id="rId1"/>
  </sheets>
  <calcPr calcId="125725"/>
</workbook>
</file>

<file path=xl/calcChain.xml><?xml version="1.0" encoding="utf-8"?>
<calcChain xmlns="http://schemas.openxmlformats.org/spreadsheetml/2006/main">
  <c r="J7" i="1"/>
  <c r="H9"/>
  <c r="H10"/>
  <c r="H11"/>
  <c r="H12"/>
  <c r="H13"/>
  <c r="H14"/>
  <c r="H15"/>
  <c r="H16"/>
  <c r="H17"/>
  <c r="H18"/>
  <c r="H19"/>
  <c r="H20"/>
  <c r="H21"/>
  <c r="H22"/>
  <c r="H23"/>
  <c r="H8"/>
  <c r="G24"/>
  <c r="H24" l="1"/>
</calcChain>
</file>

<file path=xl/comments1.xml><?xml version="1.0" encoding="utf-8"?>
<comments xmlns="http://schemas.openxmlformats.org/spreadsheetml/2006/main">
  <authors>
    <author>StephanieLGresalfi</author>
  </authors>
  <commentList>
    <comment ref="E1" authorId="0">
      <text>
        <r>
          <rPr>
            <b/>
            <sz val="9"/>
            <color indexed="81"/>
            <rFont val="Tahoma"/>
            <family val="2"/>
          </rPr>
          <t>StephanieLGresalfi:</t>
        </r>
        <r>
          <rPr>
            <sz val="9"/>
            <color indexed="81"/>
            <rFont val="Tahoma"/>
            <family val="2"/>
          </rPr>
          <t xml:space="preserve">
Enter your current inventory</t>
        </r>
      </text>
    </comment>
    <comment ref="G7" authorId="0">
      <text>
        <r>
          <rPr>
            <b/>
            <sz val="9"/>
            <color indexed="81"/>
            <rFont val="Tahoma"/>
            <family val="2"/>
          </rPr>
          <t>StephanieLGresalfi:</t>
        </r>
        <r>
          <rPr>
            <sz val="9"/>
            <color indexed="81"/>
            <rFont val="Tahoma"/>
            <family val="2"/>
          </rPr>
          <t xml:space="preserve">
Insert Quantity you project to order in 2014</t>
        </r>
      </text>
    </comment>
  </commentList>
</comments>
</file>

<file path=xl/sharedStrings.xml><?xml version="1.0" encoding="utf-8"?>
<sst xmlns="http://schemas.openxmlformats.org/spreadsheetml/2006/main" count="102" uniqueCount="78">
  <si>
    <t>FY13 Surcharge Turned off when?</t>
  </si>
  <si>
    <t>FY13 Incremental Spent</t>
  </si>
  <si>
    <t>FY14 Incremental Projection Worksheet</t>
  </si>
  <si>
    <t>Sedan Incremental Scenerio* :</t>
  </si>
  <si>
    <t>Size</t>
  </si>
  <si>
    <t>SIN</t>
  </si>
  <si>
    <t>Make</t>
  </si>
  <si>
    <t>Model</t>
  </si>
  <si>
    <t>QTY</t>
  </si>
  <si>
    <t>Estimated FY14 Surcharge Amount</t>
  </si>
  <si>
    <t>8C</t>
  </si>
  <si>
    <t>8H</t>
  </si>
  <si>
    <t>Ford</t>
  </si>
  <si>
    <t>CMAX Hybrid</t>
  </si>
  <si>
    <t>8E</t>
  </si>
  <si>
    <t>Focus BEV</t>
  </si>
  <si>
    <t>8P</t>
  </si>
  <si>
    <t>CMAX Plugin</t>
  </si>
  <si>
    <t>Chevrolet</t>
  </si>
  <si>
    <t>Volt</t>
  </si>
  <si>
    <t>9C</t>
  </si>
  <si>
    <t>Hyundai</t>
  </si>
  <si>
    <t>9H</t>
  </si>
  <si>
    <t>Sonata Hybrid</t>
  </si>
  <si>
    <t>Fusion HEV</t>
  </si>
  <si>
    <t>9P</t>
  </si>
  <si>
    <t>Fusion Plugin</t>
  </si>
  <si>
    <t>Total</t>
  </si>
  <si>
    <t>8N</t>
  </si>
  <si>
    <t>CHRYSLER</t>
  </si>
  <si>
    <t>CIVIC GX NGV</t>
  </si>
  <si>
    <t>Compact, MIN 5000LBS GVWR</t>
  </si>
  <si>
    <t>CV TRADESMAN</t>
  </si>
  <si>
    <t>Crossover, 4DR 5Pass, MIN 4500 LBS GVWR</t>
  </si>
  <si>
    <t>Compact, 4DR 5Pass, MIN 4500 LBS GVWR</t>
  </si>
  <si>
    <t>Compact, 4DR 5Pass, MIN 4400 LBS GVWR</t>
  </si>
  <si>
    <t>100A</t>
  </si>
  <si>
    <t>Intermediate, 4DR 5Pass, MIN 5300 LBS GVWR</t>
  </si>
  <si>
    <t>FY14 incremental</t>
  </si>
  <si>
    <t>Malibu (Low GHG)</t>
  </si>
  <si>
    <t>Ford/Chevrolet</t>
  </si>
  <si>
    <t>Focus/Cruze</t>
  </si>
  <si>
    <t>Honda</t>
  </si>
  <si>
    <t>Equinox E85</t>
  </si>
  <si>
    <t>*Based on FY14 Awards</t>
  </si>
  <si>
    <t>Dodge</t>
  </si>
  <si>
    <t>Journey</t>
  </si>
  <si>
    <t>When you Would Order</t>
  </si>
  <si>
    <t>Need Gas or E85 in 38 NON CARB States</t>
  </si>
  <si>
    <t>E85 Needed in one of 12 CARB States</t>
  </si>
  <si>
    <t>Dart E85</t>
  </si>
  <si>
    <t>Want Electric</t>
  </si>
  <si>
    <t>Want Plugin</t>
  </si>
  <si>
    <t>Low GHG CNG</t>
  </si>
  <si>
    <t>Low GHG Gas</t>
  </si>
  <si>
    <t>Low price Compact Hybrid</t>
  </si>
  <si>
    <t>Want Sub-Comapct Hybrid</t>
  </si>
  <si>
    <t>Sub-compact Sedan</t>
  </si>
  <si>
    <t>Compact Sedan</t>
  </si>
  <si>
    <t>Compact Sedan Hybrid</t>
  </si>
  <si>
    <t>Compact Sedan Plugin Electric</t>
  </si>
  <si>
    <t>Low GHG and E85 (only low ghg 100A)</t>
  </si>
  <si>
    <t>Compact Hybrid (not low)</t>
  </si>
  <si>
    <t>Compact Plugin</t>
  </si>
  <si>
    <t>Only Low GHG Cargo Van</t>
  </si>
  <si>
    <t>Low GHG (Lowest price E85 SIN 91-50 State Engine</t>
  </si>
  <si>
    <t>Low GHG (Not 50 State Engine)-Only comes in E85 in 38 NON Carb States</t>
  </si>
  <si>
    <t>**FSRs can use their discretion regarding which to replace (number is as funding permits)</t>
  </si>
  <si>
    <t>$X</t>
  </si>
  <si>
    <t>FY13 Initial Surcharge (will appear as a line item on your monthly bill)</t>
  </si>
  <si>
    <t>All Fy13 surcharges were turned off in April</t>
  </si>
  <si>
    <t>XXX</t>
  </si>
  <si>
    <t xml:space="preserve">FY14 CONUS GSA Fleet Leased Inventory </t>
  </si>
  <si>
    <t>To get an idea of what was spent in FY13 you may want to look at what your surcharge was in Fiscal Year 13. You may also want to think about how much total incremental was spent. It may be helpful to view incremental spent over the past few years to identify any trends. Please keep in mind that in FY10 GSA funded many of your hybrids through the American Reinvestment and Recovery Act (ARRA) funds and in FY11 there was a big push for hybrids. In FY12 and into the future budget cuts, green initiatives and the Vehicle Allocation Methodology have lead many agencies to spend less on newer technology/more expensive vehicle models.</t>
  </si>
  <si>
    <t>Total Incremental projected to spend in Fy14</t>
  </si>
  <si>
    <t>[Agency Name]</t>
  </si>
  <si>
    <r>
      <rPr>
        <b/>
        <u/>
        <sz val="11"/>
        <color theme="1"/>
        <rFont val="Arial"/>
        <family val="2"/>
      </rPr>
      <t>Instructions:</t>
    </r>
    <r>
      <rPr>
        <b/>
        <sz val="11"/>
        <color theme="1"/>
        <rFont val="Arial"/>
        <family val="2"/>
      </rPr>
      <t>You will need to fill in your current inventory (Cell E2) as well as enter in new Quanties (Cell G7) to see what your yearly surcharge should be. Please enter 0 for vehicles you do not plan on acquiring (all numbers in column G are just used as an example).</t>
    </r>
  </si>
  <si>
    <t>**Please be aware that any vehicle's that are leased through GSA's EV Pilot program, GSA MVM's Hybrid Consolidation Initiative, or Full replacement Rate Program will not incur incremental costs and therefore, will not apply.</t>
  </si>
</sst>
</file>

<file path=xl/styles.xml><?xml version="1.0" encoding="utf-8"?>
<styleSheet xmlns="http://schemas.openxmlformats.org/spreadsheetml/2006/main">
  <numFmts count="3">
    <numFmt numFmtId="8" formatCode="&quot;$&quot;#,##0.00_);[Red]\(&quot;$&quot;#,##0.00\)"/>
    <numFmt numFmtId="44" formatCode="_(&quot;$&quot;* #,##0.00_);_(&quot;$&quot;* \(#,##0.00\);_(&quot;$&quot;* &quot;-&quot;??_);_(@_)"/>
    <numFmt numFmtId="43" formatCode="_(* #,##0.00_);_(* \(#,##0.00\);_(* &quot;-&quot;??_);_(@_)"/>
  </numFmts>
  <fonts count="31">
    <font>
      <sz val="11"/>
      <color theme="1"/>
      <name val="Arial"/>
      <family val="2"/>
    </font>
    <font>
      <sz val="11"/>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b/>
      <sz val="10"/>
      <color rgb="FF000000"/>
      <name val="Arial"/>
      <family val="2"/>
    </font>
    <font>
      <sz val="10"/>
      <color rgb="FF000000"/>
      <name val="Arial"/>
      <family val="2"/>
    </font>
    <font>
      <b/>
      <sz val="10"/>
      <color theme="1"/>
      <name val="Arial"/>
      <family val="2"/>
    </font>
    <font>
      <sz val="10"/>
      <name val="Arial"/>
      <family val="2"/>
    </font>
    <font>
      <sz val="9"/>
      <color rgb="FF000000"/>
      <name val="Arial"/>
      <family val="2"/>
    </font>
    <font>
      <sz val="9"/>
      <color theme="1"/>
      <name val="Arial"/>
      <family val="2"/>
    </font>
    <font>
      <b/>
      <sz val="9"/>
      <color theme="1"/>
      <name val="Arial"/>
      <family val="2"/>
    </font>
    <font>
      <sz val="9"/>
      <name val="Arial"/>
      <family val="2"/>
    </font>
    <font>
      <sz val="10"/>
      <color indexed="8"/>
      <name val="Arial"/>
      <family val="2"/>
    </font>
    <font>
      <sz val="11"/>
      <color theme="1"/>
      <name val="Calibri"/>
      <family val="2"/>
      <scheme val="minor"/>
    </font>
    <font>
      <sz val="9"/>
      <color indexed="81"/>
      <name val="Tahoma"/>
      <family val="2"/>
    </font>
    <font>
      <b/>
      <sz val="9"/>
      <color indexed="81"/>
      <name val="Tahoma"/>
      <family val="2"/>
    </font>
    <font>
      <b/>
      <u/>
      <sz val="11"/>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auto="1"/>
      </top>
      <bottom/>
      <diagonal/>
    </border>
    <border>
      <left style="medium">
        <color indexed="64"/>
      </left>
      <right style="thin">
        <color indexed="64"/>
      </right>
      <top/>
      <bottom style="thin">
        <color indexed="64"/>
      </bottom>
      <diagonal/>
    </border>
  </borders>
  <cellStyleXfs count="8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1" fillId="0" borderId="0"/>
    <xf numFmtId="44" fontId="21" fillId="0" borderId="0" applyFont="0" applyFill="0" applyBorder="0" applyAlignment="0" applyProtection="0"/>
    <xf numFmtId="44" fontId="21" fillId="0" borderId="0" applyFont="0" applyFill="0" applyBorder="0" applyAlignment="0" applyProtection="0"/>
    <xf numFmtId="0" fontId="21" fillId="0" borderId="0"/>
    <xf numFmtId="44" fontId="21" fillId="0" borderId="0" applyFont="0" applyFill="0" applyBorder="0" applyAlignment="0" applyProtection="0"/>
    <xf numFmtId="0" fontId="21" fillId="0" borderId="0"/>
    <xf numFmtId="0" fontId="21" fillId="0" borderId="0"/>
    <xf numFmtId="0" fontId="21" fillId="0" borderId="0"/>
    <xf numFmtId="0" fontId="2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26" fillId="0" borderId="0"/>
    <xf numFmtId="43" fontId="26" fillId="0" borderId="0" applyFont="0" applyFill="0" applyBorder="0" applyAlignment="0" applyProtection="0"/>
    <xf numFmtId="44" fontId="26" fillId="0" borderId="0" applyFont="0" applyFill="0" applyBorder="0" applyAlignment="0" applyProtection="0"/>
    <xf numFmtId="0" fontId="27" fillId="0" borderId="0"/>
    <xf numFmtId="9" fontId="26" fillId="0" borderId="0" applyFont="0" applyFill="0" applyBorder="0" applyAlignment="0" applyProtection="0"/>
    <xf numFmtId="0" fontId="26" fillId="0" borderId="0"/>
    <xf numFmtId="44" fontId="26" fillId="0" borderId="0" applyFont="0" applyFill="0" applyBorder="0" applyAlignment="0" applyProtection="0"/>
    <xf numFmtId="43" fontId="26" fillId="0" borderId="0" applyFont="0" applyFill="0" applyBorder="0" applyAlignment="0" applyProtection="0"/>
    <xf numFmtId="9" fontId="26" fillId="0" borderId="0" applyFont="0" applyFill="0" applyBorder="0" applyAlignment="0" applyProtection="0"/>
  </cellStyleXfs>
  <cellXfs count="64">
    <xf numFmtId="0" fontId="0" fillId="0" borderId="0" xfId="0"/>
    <xf numFmtId="0" fontId="16" fillId="33" borderId="10" xfId="0" applyFont="1" applyFill="1" applyBorder="1"/>
    <xf numFmtId="0" fontId="0" fillId="33" borderId="11" xfId="0" applyFill="1" applyBorder="1"/>
    <xf numFmtId="44" fontId="0" fillId="33" borderId="11" xfId="0" applyNumberFormat="1" applyFill="1" applyBorder="1"/>
    <xf numFmtId="0" fontId="0" fillId="33" borderId="12" xfId="0" applyFill="1" applyBorder="1"/>
    <xf numFmtId="0" fontId="0" fillId="33" borderId="0" xfId="0" applyFill="1" applyBorder="1"/>
    <xf numFmtId="44" fontId="0" fillId="33" borderId="0" xfId="0" applyNumberFormat="1" applyFill="1" applyBorder="1"/>
    <xf numFmtId="44" fontId="0" fillId="33" borderId="15" xfId="0" applyNumberFormat="1" applyFill="1" applyBorder="1"/>
    <xf numFmtId="44" fontId="0" fillId="0" borderId="0" xfId="0" applyNumberFormat="1"/>
    <xf numFmtId="0" fontId="0" fillId="33" borderId="15" xfId="0" applyFill="1" applyBorder="1"/>
    <xf numFmtId="0" fontId="16" fillId="33" borderId="0" xfId="0" applyFont="1" applyFill="1" applyBorder="1" applyAlignment="1">
      <alignment horizontal="center"/>
    </xf>
    <xf numFmtId="0" fontId="16" fillId="0" borderId="0" xfId="0" applyFont="1" applyBorder="1" applyAlignment="1">
      <alignment horizontal="center"/>
    </xf>
    <xf numFmtId="0" fontId="16" fillId="0" borderId="0" xfId="0" applyFont="1" applyAlignment="1">
      <alignment horizontal="center"/>
    </xf>
    <xf numFmtId="0" fontId="0" fillId="33" borderId="23" xfId="0" applyFill="1" applyBorder="1"/>
    <xf numFmtId="0" fontId="0" fillId="33" borderId="24" xfId="0" applyFill="1" applyBorder="1"/>
    <xf numFmtId="0" fontId="0" fillId="33" borderId="25" xfId="0" applyFill="1" applyBorder="1"/>
    <xf numFmtId="0" fontId="16" fillId="0" borderId="0" xfId="0" applyFont="1"/>
    <xf numFmtId="44" fontId="0" fillId="33" borderId="24" xfId="0" applyNumberFormat="1" applyFill="1" applyBorder="1"/>
    <xf numFmtId="44" fontId="22" fillId="0" borderId="13" xfId="73" applyNumberFormat="1" applyFont="1" applyFill="1" applyBorder="1" applyAlignment="1">
      <alignment horizontal="center" vertical="center"/>
    </xf>
    <xf numFmtId="0" fontId="23" fillId="33" borderId="13" xfId="0" applyFont="1" applyFill="1" applyBorder="1" applyAlignment="1">
      <alignment horizontal="center"/>
    </xf>
    <xf numFmtId="0" fontId="24" fillId="33" borderId="21" xfId="0" applyFont="1" applyFill="1" applyBorder="1" applyAlignment="1">
      <alignment horizontal="center"/>
    </xf>
    <xf numFmtId="0" fontId="23" fillId="33" borderId="17" xfId="0" applyFont="1" applyFill="1" applyBorder="1" applyAlignment="1">
      <alignment horizontal="center"/>
    </xf>
    <xf numFmtId="0" fontId="0" fillId="0" borderId="0" xfId="0"/>
    <xf numFmtId="0" fontId="23" fillId="33" borderId="12" xfId="0" applyFont="1" applyFill="1" applyBorder="1"/>
    <xf numFmtId="44" fontId="23" fillId="33" borderId="13" xfId="0" applyNumberFormat="1" applyFont="1" applyFill="1" applyBorder="1"/>
    <xf numFmtId="44" fontId="23" fillId="0" borderId="13" xfId="0" applyNumberFormat="1" applyFont="1" applyFill="1" applyBorder="1" applyAlignment="1">
      <alignment horizontal="center"/>
    </xf>
    <xf numFmtId="44" fontId="23" fillId="33" borderId="14" xfId="0" applyNumberFormat="1" applyFont="1" applyFill="1" applyBorder="1" applyAlignment="1">
      <alignment horizontal="right"/>
    </xf>
    <xf numFmtId="44" fontId="23" fillId="33" borderId="13" xfId="0" applyNumberFormat="1" applyFont="1" applyFill="1" applyBorder="1" applyAlignment="1">
      <alignment horizontal="right"/>
    </xf>
    <xf numFmtId="44" fontId="22" fillId="0" borderId="13" xfId="42" applyNumberFormat="1" applyFont="1" applyFill="1" applyBorder="1" applyAlignment="1">
      <alignment horizontal="center" vertical="center"/>
    </xf>
    <xf numFmtId="0" fontId="23" fillId="33" borderId="21" xfId="0" applyFont="1" applyFill="1" applyBorder="1"/>
    <xf numFmtId="44" fontId="25" fillId="0" borderId="13" xfId="0" applyNumberFormat="1" applyFont="1" applyFill="1" applyBorder="1" applyAlignment="1">
      <alignment horizontal="center"/>
    </xf>
    <xf numFmtId="0" fontId="23" fillId="36" borderId="13" xfId="0" applyFont="1" applyFill="1" applyBorder="1" applyAlignment="1">
      <alignment horizontal="center"/>
    </xf>
    <xf numFmtId="0" fontId="23" fillId="33" borderId="0" xfId="0" applyFont="1" applyFill="1" applyBorder="1"/>
    <xf numFmtId="0" fontId="23" fillId="36" borderId="13" xfId="0" applyNumberFormat="1" applyFont="1" applyFill="1" applyBorder="1" applyAlignment="1">
      <alignment horizontal="center"/>
    </xf>
    <xf numFmtId="0" fontId="23" fillId="0" borderId="13" xfId="0" applyFont="1" applyFill="1" applyBorder="1" applyAlignment="1">
      <alignment horizontal="center"/>
    </xf>
    <xf numFmtId="0" fontId="16" fillId="34" borderId="21" xfId="0" applyFont="1" applyFill="1" applyBorder="1" applyAlignment="1">
      <alignment horizontal="center"/>
    </xf>
    <xf numFmtId="0" fontId="16" fillId="34" borderId="27" xfId="0" applyFont="1" applyFill="1" applyBorder="1" applyAlignment="1">
      <alignment horizontal="center"/>
    </xf>
    <xf numFmtId="44" fontId="0" fillId="0" borderId="16" xfId="0" applyNumberFormat="1" applyBorder="1"/>
    <xf numFmtId="8" fontId="16" fillId="33" borderId="23" xfId="0" applyNumberFormat="1" applyFont="1" applyFill="1" applyBorder="1"/>
    <xf numFmtId="44" fontId="0" fillId="0" borderId="25" xfId="0" applyNumberFormat="1" applyBorder="1"/>
    <xf numFmtId="0" fontId="18" fillId="0" borderId="13" xfId="0" applyFont="1" applyBorder="1" applyAlignment="1">
      <alignment horizontal="center" vertical="center" wrapText="1"/>
    </xf>
    <xf numFmtId="8" fontId="18" fillId="0" borderId="13" xfId="0" applyNumberFormat="1" applyFont="1" applyBorder="1" applyAlignment="1">
      <alignment horizontal="center" vertical="center" wrapText="1"/>
    </xf>
    <xf numFmtId="0" fontId="16" fillId="37" borderId="21" xfId="0" applyFont="1" applyFill="1" applyBorder="1" applyAlignment="1">
      <alignment horizontal="center"/>
    </xf>
    <xf numFmtId="0" fontId="18" fillId="34" borderId="13" xfId="0" applyFont="1" applyFill="1" applyBorder="1" applyAlignment="1">
      <alignment horizontal="center" vertical="center" wrapText="1" readingOrder="1"/>
    </xf>
    <xf numFmtId="44" fontId="20" fillId="34" borderId="13" xfId="0" applyNumberFormat="1" applyFont="1" applyFill="1" applyBorder="1" applyAlignment="1">
      <alignment horizontal="center" wrapText="1"/>
    </xf>
    <xf numFmtId="3" fontId="16" fillId="0" borderId="13" xfId="0" applyNumberFormat="1" applyFont="1" applyBorder="1" applyAlignment="1">
      <alignment wrapText="1"/>
    </xf>
    <xf numFmtId="44" fontId="16" fillId="0" borderId="13" xfId="0" applyNumberFormat="1" applyFont="1" applyBorder="1" applyAlignment="1">
      <alignment wrapText="1"/>
    </xf>
    <xf numFmtId="0" fontId="0" fillId="33" borderId="0" xfId="0" applyFill="1"/>
    <xf numFmtId="44" fontId="24" fillId="37" borderId="14" xfId="0" applyNumberFormat="1" applyFont="1" applyFill="1" applyBorder="1" applyAlignment="1">
      <alignment horizontal="right"/>
    </xf>
    <xf numFmtId="44" fontId="20" fillId="37" borderId="13" xfId="0" applyNumberFormat="1" applyFont="1" applyFill="1" applyBorder="1" applyAlignment="1">
      <alignment horizontal="center" vertical="center" wrapText="1" readingOrder="1"/>
    </xf>
    <xf numFmtId="0" fontId="16" fillId="34" borderId="22" xfId="0" applyFont="1" applyFill="1" applyBorder="1" applyAlignment="1">
      <alignment horizontal="center" wrapText="1"/>
    </xf>
    <xf numFmtId="0" fontId="0" fillId="0" borderId="0" xfId="0" applyAlignment="1">
      <alignment wrapText="1"/>
    </xf>
    <xf numFmtId="44" fontId="0" fillId="0" borderId="0" xfId="0" applyNumberFormat="1" applyAlignment="1">
      <alignment wrapText="1"/>
    </xf>
    <xf numFmtId="44" fontId="16" fillId="35" borderId="12" xfId="0" applyNumberFormat="1" applyFont="1" applyFill="1" applyBorder="1" applyAlignment="1">
      <alignment horizontal="center" wrapText="1"/>
    </xf>
    <xf numFmtId="0" fontId="0" fillId="0" borderId="12" xfId="0" applyBorder="1" applyAlignment="1">
      <alignment horizontal="center" wrapText="1"/>
    </xf>
    <xf numFmtId="0" fontId="0" fillId="0" borderId="19" xfId="0" applyBorder="1" applyAlignment="1">
      <alignment horizontal="center" wrapText="1"/>
    </xf>
    <xf numFmtId="44" fontId="16" fillId="35" borderId="15" xfId="0" applyNumberFormat="1" applyFont="1" applyFill="1" applyBorder="1" applyAlignment="1">
      <alignment horizontal="center" wrapText="1"/>
    </xf>
    <xf numFmtId="0" fontId="0" fillId="35" borderId="20" xfId="0" applyFill="1" applyBorder="1" applyAlignment="1">
      <alignment wrapText="1"/>
    </xf>
    <xf numFmtId="0" fontId="16" fillId="33" borderId="26" xfId="0" applyFont="1" applyFill="1" applyBorder="1" applyAlignment="1">
      <alignment wrapText="1"/>
    </xf>
    <xf numFmtId="0" fontId="16" fillId="0" borderId="26" xfId="0" applyFont="1" applyBorder="1" applyAlignment="1">
      <alignment wrapText="1"/>
    </xf>
    <xf numFmtId="0" fontId="16" fillId="0" borderId="18" xfId="0" applyFont="1" applyBorder="1" applyAlignment="1">
      <alignment wrapText="1"/>
    </xf>
    <xf numFmtId="0" fontId="16" fillId="0" borderId="24" xfId="0" applyFont="1" applyBorder="1" applyAlignment="1">
      <alignment wrapText="1"/>
    </xf>
    <xf numFmtId="0" fontId="16" fillId="0" borderId="25" xfId="0" applyFont="1" applyBorder="1" applyAlignment="1">
      <alignment wrapText="1"/>
    </xf>
    <xf numFmtId="0" fontId="16" fillId="0" borderId="0" xfId="0" applyFont="1" applyAlignment="1">
      <alignment wrapText="1"/>
    </xf>
  </cellXfs>
  <cellStyles count="87">
    <cellStyle name="20% - Accent1" xfId="19" builtinId="30" customBuiltin="1"/>
    <cellStyle name="20% - Accent1 2" xfId="59"/>
    <cellStyle name="20% - Accent2" xfId="23" builtinId="34" customBuiltin="1"/>
    <cellStyle name="20% - Accent2 2" xfId="61"/>
    <cellStyle name="20% - Accent3" xfId="27" builtinId="38" customBuiltin="1"/>
    <cellStyle name="20% - Accent3 2" xfId="63"/>
    <cellStyle name="20% - Accent4" xfId="31" builtinId="42" customBuiltin="1"/>
    <cellStyle name="20% - Accent4 2" xfId="65"/>
    <cellStyle name="20% - Accent5" xfId="35" builtinId="46" customBuiltin="1"/>
    <cellStyle name="20% - Accent5 2" xfId="67"/>
    <cellStyle name="20% - Accent6" xfId="39" builtinId="50" customBuiltin="1"/>
    <cellStyle name="20% - Accent6 2" xfId="69"/>
    <cellStyle name="40% - Accent1" xfId="20" builtinId="31" customBuiltin="1"/>
    <cellStyle name="40% - Accent1 2" xfId="60"/>
    <cellStyle name="40% - Accent2" xfId="24" builtinId="35" customBuiltin="1"/>
    <cellStyle name="40% - Accent2 2" xfId="62"/>
    <cellStyle name="40% - Accent3" xfId="28" builtinId="39" customBuiltin="1"/>
    <cellStyle name="40% - Accent3 2" xfId="64"/>
    <cellStyle name="40% - Accent4" xfId="32" builtinId="43" customBuiltin="1"/>
    <cellStyle name="40% - Accent4 2" xfId="66"/>
    <cellStyle name="40% - Accent5" xfId="36" builtinId="47" customBuiltin="1"/>
    <cellStyle name="40% - Accent5 2" xfId="68"/>
    <cellStyle name="40% - Accent6" xfId="40" builtinId="51" customBuiltin="1"/>
    <cellStyle name="40% - Accent6 2" xfId="70"/>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79"/>
    <cellStyle name="Comma 2 2" xfId="85"/>
    <cellStyle name="Currency 2" xfId="50"/>
    <cellStyle name="Currency 2 2" xfId="52"/>
    <cellStyle name="Currency 2 3" xfId="80"/>
    <cellStyle name="Currency 2 3 2" xfId="84"/>
    <cellStyle name="Currency 3" xfId="49"/>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2 2" xfId="53"/>
    <cellStyle name="Normal 2 3" xfId="51"/>
    <cellStyle name="Normal 2 4" xfId="81"/>
    <cellStyle name="Normal 3" xfId="43"/>
    <cellStyle name="Normal 3 2" xfId="54"/>
    <cellStyle name="Normal 3 3" xfId="73"/>
    <cellStyle name="Normal 3 4" xfId="78"/>
    <cellStyle name="Normal 3 4 2" xfId="83"/>
    <cellStyle name="Normal 4" xfId="44"/>
    <cellStyle name="Normal 4 2" xfId="56"/>
    <cellStyle name="Normal 4 3" xfId="55"/>
    <cellStyle name="Normal 4 4" xfId="74"/>
    <cellStyle name="Normal 5" xfId="45"/>
    <cellStyle name="Normal 5 2" xfId="71"/>
    <cellStyle name="Normal 5 3" xfId="57"/>
    <cellStyle name="Normal 5 4" xfId="75"/>
    <cellStyle name="Normal 6" xfId="46"/>
    <cellStyle name="Normal 6 2" xfId="76"/>
    <cellStyle name="Normal 7" xfId="47"/>
    <cellStyle name="Normal 7 2" xfId="77"/>
    <cellStyle name="Normal 8" xfId="48"/>
    <cellStyle name="Note" xfId="15" builtinId="10" customBuiltin="1"/>
    <cellStyle name="Note 2" xfId="58"/>
    <cellStyle name="Note 2 2" xfId="72"/>
    <cellStyle name="Output" xfId="10" builtinId="21" customBuiltin="1"/>
    <cellStyle name="Percent 2" xfId="82"/>
    <cellStyle name="Percent 2 2" xfId="86"/>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35"/>
  <sheetViews>
    <sheetView tabSelected="1" workbookViewId="0">
      <selection sqref="A1:XFD1048576"/>
    </sheetView>
  </sheetViews>
  <sheetFormatPr defaultRowHeight="14.25"/>
  <cols>
    <col min="1" max="1" width="20.875" customWidth="1"/>
    <col min="2" max="2" width="8" customWidth="1"/>
    <col min="3" max="3" width="16.75" style="8" customWidth="1"/>
    <col min="4" max="4" width="14.125" bestFit="1" customWidth="1"/>
    <col min="5" max="5" width="28.75" customWidth="1"/>
    <col min="6" max="6" width="21.625" style="8" bestFit="1" customWidth="1"/>
    <col min="7" max="7" width="16.75" bestFit="1" customWidth="1"/>
    <col min="8" max="8" width="16.375" bestFit="1" customWidth="1"/>
    <col min="9" max="9" width="19.5" style="8" customWidth="1"/>
    <col min="10" max="10" width="17.875" bestFit="1" customWidth="1"/>
  </cols>
  <sheetData>
    <row r="1" spans="1:11" ht="70.5" customHeight="1">
      <c r="A1" s="1" t="s">
        <v>75</v>
      </c>
      <c r="B1" s="2"/>
      <c r="C1" s="43" t="s">
        <v>69</v>
      </c>
      <c r="D1" s="43" t="s">
        <v>0</v>
      </c>
      <c r="E1" s="49" t="s">
        <v>72</v>
      </c>
      <c r="F1" s="44" t="s">
        <v>1</v>
      </c>
      <c r="G1" s="47"/>
      <c r="H1" s="47"/>
      <c r="I1" s="47"/>
    </row>
    <row r="2" spans="1:11" ht="38.25" customHeight="1">
      <c r="A2" s="4"/>
      <c r="B2" s="5"/>
      <c r="C2" s="41" t="s">
        <v>68</v>
      </c>
      <c r="D2" s="40" t="s">
        <v>70</v>
      </c>
      <c r="E2" s="45" t="s">
        <v>71</v>
      </c>
      <c r="F2" s="46" t="s">
        <v>71</v>
      </c>
      <c r="G2" s="47"/>
      <c r="H2" s="47"/>
      <c r="I2" s="47"/>
    </row>
    <row r="3" spans="1:11">
      <c r="A3" s="4"/>
      <c r="B3" s="5"/>
      <c r="C3" s="6"/>
      <c r="D3" s="5"/>
      <c r="E3" s="5"/>
      <c r="F3" s="6"/>
      <c r="G3" s="58" t="s">
        <v>67</v>
      </c>
      <c r="H3" s="59"/>
      <c r="I3" s="60"/>
      <c r="J3" s="47"/>
    </row>
    <row r="4" spans="1:11" ht="15" thickBot="1">
      <c r="A4" s="4"/>
      <c r="B4" s="5"/>
      <c r="C4" s="6"/>
      <c r="D4" s="6"/>
      <c r="E4" s="5"/>
      <c r="F4" s="6"/>
      <c r="G4" s="61"/>
      <c r="H4" s="61"/>
      <c r="I4" s="62"/>
      <c r="J4" s="47"/>
    </row>
    <row r="5" spans="1:11" ht="15">
      <c r="A5" s="1" t="s">
        <v>2</v>
      </c>
      <c r="B5" s="2"/>
      <c r="C5" s="2"/>
      <c r="D5" s="2"/>
      <c r="E5" s="2"/>
      <c r="F5" s="2"/>
      <c r="G5" s="2"/>
      <c r="H5" s="2"/>
      <c r="I5" s="3"/>
      <c r="J5" s="37"/>
    </row>
    <row r="6" spans="1:11" ht="15.75" thickBot="1">
      <c r="A6" s="38" t="s">
        <v>3</v>
      </c>
      <c r="B6" s="14"/>
      <c r="C6" s="14"/>
      <c r="D6" s="14"/>
      <c r="E6" s="14"/>
      <c r="F6" s="14"/>
      <c r="G6" s="14"/>
      <c r="H6" s="14"/>
      <c r="I6" s="17"/>
      <c r="J6" s="39"/>
    </row>
    <row r="7" spans="1:11" ht="45">
      <c r="A7" s="36" t="s">
        <v>4</v>
      </c>
      <c r="B7" s="35" t="s">
        <v>5</v>
      </c>
      <c r="C7" s="35" t="s">
        <v>6</v>
      </c>
      <c r="D7" s="35" t="s">
        <v>7</v>
      </c>
      <c r="E7" s="35" t="s">
        <v>47</v>
      </c>
      <c r="F7" s="35" t="s">
        <v>38</v>
      </c>
      <c r="G7" s="42" t="s">
        <v>8</v>
      </c>
      <c r="H7" s="50" t="s">
        <v>74</v>
      </c>
      <c r="I7" s="53" t="s">
        <v>9</v>
      </c>
      <c r="J7" s="56" t="e">
        <f>H24/(E2/12)</f>
        <v>#VALUE!</v>
      </c>
      <c r="K7" s="8"/>
    </row>
    <row r="8" spans="1:11">
      <c r="A8" s="21" t="s">
        <v>57</v>
      </c>
      <c r="B8" s="19" t="s">
        <v>10</v>
      </c>
      <c r="C8" s="19" t="s">
        <v>40</v>
      </c>
      <c r="D8" s="19" t="s">
        <v>41</v>
      </c>
      <c r="E8" s="19" t="s">
        <v>48</v>
      </c>
      <c r="F8" s="27">
        <v>0</v>
      </c>
      <c r="G8" s="31">
        <v>10</v>
      </c>
      <c r="H8" s="26">
        <f>G8*F8</f>
        <v>0</v>
      </c>
      <c r="I8" s="54"/>
      <c r="J8" s="56"/>
    </row>
    <row r="9" spans="1:11">
      <c r="A9" s="21" t="s">
        <v>57</v>
      </c>
      <c r="B9" s="19" t="s">
        <v>10</v>
      </c>
      <c r="C9" s="19" t="s">
        <v>45</v>
      </c>
      <c r="D9" s="19" t="s">
        <v>50</v>
      </c>
      <c r="E9" s="19" t="s">
        <v>49</v>
      </c>
      <c r="F9" s="30">
        <v>2744.1699999999983</v>
      </c>
      <c r="G9" s="31"/>
      <c r="H9" s="26">
        <f t="shared" ref="H9:H23" si="0">G9*F9</f>
        <v>0</v>
      </c>
      <c r="I9" s="55"/>
      <c r="J9" s="57"/>
    </row>
    <row r="10" spans="1:11">
      <c r="A10" s="21" t="s">
        <v>57</v>
      </c>
      <c r="B10" s="19" t="s">
        <v>11</v>
      </c>
      <c r="C10" s="19" t="s">
        <v>12</v>
      </c>
      <c r="D10" s="19" t="s">
        <v>13</v>
      </c>
      <c r="E10" s="19" t="s">
        <v>56</v>
      </c>
      <c r="F10" s="30">
        <v>7483.09</v>
      </c>
      <c r="G10" s="33">
        <v>23</v>
      </c>
      <c r="H10" s="26">
        <f t="shared" si="0"/>
        <v>172111.07</v>
      </c>
      <c r="I10" s="5"/>
      <c r="J10" s="7"/>
    </row>
    <row r="11" spans="1:11" ht="15">
      <c r="A11" s="21" t="s">
        <v>57</v>
      </c>
      <c r="B11" s="19" t="s">
        <v>14</v>
      </c>
      <c r="C11" s="19" t="s">
        <v>12</v>
      </c>
      <c r="D11" s="19" t="s">
        <v>15</v>
      </c>
      <c r="E11" s="19" t="s">
        <v>51</v>
      </c>
      <c r="F11" s="30">
        <v>16573.09</v>
      </c>
      <c r="G11" s="33">
        <v>0</v>
      </c>
      <c r="H11" s="26">
        <f t="shared" si="0"/>
        <v>0</v>
      </c>
      <c r="I11" s="10"/>
      <c r="J11" s="7"/>
    </row>
    <row r="12" spans="1:11">
      <c r="A12" s="21" t="s">
        <v>57</v>
      </c>
      <c r="B12" s="19" t="s">
        <v>16</v>
      </c>
      <c r="C12" s="19" t="s">
        <v>12</v>
      </c>
      <c r="D12" s="19" t="s">
        <v>17</v>
      </c>
      <c r="E12" s="19" t="s">
        <v>52</v>
      </c>
      <c r="F12" s="30">
        <v>14899.52</v>
      </c>
      <c r="G12" s="33">
        <v>15</v>
      </c>
      <c r="H12" s="26">
        <f t="shared" si="0"/>
        <v>223492.80000000002</v>
      </c>
      <c r="I12" s="5"/>
      <c r="J12" s="7"/>
    </row>
    <row r="13" spans="1:11" s="22" customFormat="1">
      <c r="A13" s="21" t="s">
        <v>57</v>
      </c>
      <c r="B13" s="19" t="s">
        <v>16</v>
      </c>
      <c r="C13" s="19" t="s">
        <v>18</v>
      </c>
      <c r="D13" s="19" t="s">
        <v>19</v>
      </c>
      <c r="E13" s="19" t="s">
        <v>52</v>
      </c>
      <c r="F13" s="30">
        <v>17087.18</v>
      </c>
      <c r="G13" s="33">
        <v>0</v>
      </c>
      <c r="H13" s="26">
        <f t="shared" si="0"/>
        <v>0</v>
      </c>
      <c r="I13" s="5"/>
      <c r="J13" s="7"/>
    </row>
    <row r="14" spans="1:11">
      <c r="A14" s="21" t="s">
        <v>57</v>
      </c>
      <c r="B14" s="19" t="s">
        <v>28</v>
      </c>
      <c r="C14" s="19" t="s">
        <v>42</v>
      </c>
      <c r="D14" s="34" t="s">
        <v>30</v>
      </c>
      <c r="E14" s="34" t="s">
        <v>53</v>
      </c>
      <c r="F14" s="25">
        <v>11790.74</v>
      </c>
      <c r="G14" s="33"/>
      <c r="H14" s="26">
        <f t="shared" si="0"/>
        <v>0</v>
      </c>
      <c r="I14" s="5"/>
      <c r="J14" s="7"/>
    </row>
    <row r="15" spans="1:11">
      <c r="A15" s="21" t="s">
        <v>58</v>
      </c>
      <c r="B15" s="19" t="s">
        <v>20</v>
      </c>
      <c r="C15" s="19" t="s">
        <v>18</v>
      </c>
      <c r="D15" s="19" t="s">
        <v>39</v>
      </c>
      <c r="E15" s="34" t="s">
        <v>54</v>
      </c>
      <c r="F15" s="24">
        <v>0</v>
      </c>
      <c r="G15" s="33">
        <v>10</v>
      </c>
      <c r="H15" s="26">
        <f t="shared" si="0"/>
        <v>0</v>
      </c>
      <c r="I15" s="5"/>
      <c r="J15" s="7"/>
    </row>
    <row r="16" spans="1:11">
      <c r="A16" s="21" t="s">
        <v>59</v>
      </c>
      <c r="B16" s="19" t="s">
        <v>22</v>
      </c>
      <c r="C16" s="19" t="s">
        <v>21</v>
      </c>
      <c r="D16" s="19" t="s">
        <v>23</v>
      </c>
      <c r="E16" s="34" t="s">
        <v>55</v>
      </c>
      <c r="F16" s="25">
        <v>5540.86</v>
      </c>
      <c r="G16" s="33">
        <v>20</v>
      </c>
      <c r="H16" s="26">
        <f t="shared" si="0"/>
        <v>110817.2</v>
      </c>
      <c r="I16" s="5"/>
      <c r="J16" s="7"/>
    </row>
    <row r="17" spans="1:11">
      <c r="A17" s="21" t="s">
        <v>59</v>
      </c>
      <c r="B17" s="19" t="s">
        <v>22</v>
      </c>
      <c r="C17" s="19" t="s">
        <v>12</v>
      </c>
      <c r="D17" s="19" t="s">
        <v>24</v>
      </c>
      <c r="E17" s="34" t="s">
        <v>62</v>
      </c>
      <c r="F17" s="25">
        <v>5995.36</v>
      </c>
      <c r="G17" s="33">
        <v>10</v>
      </c>
      <c r="H17" s="26">
        <f t="shared" si="0"/>
        <v>59953.599999999999</v>
      </c>
      <c r="I17" s="5"/>
      <c r="J17" s="9"/>
    </row>
    <row r="18" spans="1:11" s="22" customFormat="1">
      <c r="A18" s="21" t="s">
        <v>60</v>
      </c>
      <c r="B18" s="19" t="s">
        <v>25</v>
      </c>
      <c r="C18" s="19" t="s">
        <v>12</v>
      </c>
      <c r="D18" s="19" t="s">
        <v>26</v>
      </c>
      <c r="E18" s="34" t="s">
        <v>63</v>
      </c>
      <c r="F18" s="25">
        <v>19289.989999999998</v>
      </c>
      <c r="G18" s="33">
        <v>0</v>
      </c>
      <c r="H18" s="26">
        <f t="shared" si="0"/>
        <v>0</v>
      </c>
      <c r="I18" s="5"/>
      <c r="J18" s="9"/>
    </row>
    <row r="19" spans="1:11" s="22" customFormat="1">
      <c r="A19" s="34" t="s">
        <v>31</v>
      </c>
      <c r="B19" s="19">
        <v>30</v>
      </c>
      <c r="C19" s="34" t="s">
        <v>29</v>
      </c>
      <c r="D19" s="34" t="s">
        <v>32</v>
      </c>
      <c r="E19" s="34" t="s">
        <v>64</v>
      </c>
      <c r="F19" s="25">
        <v>471.67</v>
      </c>
      <c r="G19" s="33"/>
      <c r="H19" s="26">
        <f t="shared" si="0"/>
        <v>0</v>
      </c>
      <c r="I19" s="5"/>
      <c r="J19" s="9"/>
    </row>
    <row r="20" spans="1:11" s="22" customFormat="1">
      <c r="A20" s="34" t="s">
        <v>33</v>
      </c>
      <c r="B20" s="19">
        <v>91</v>
      </c>
      <c r="C20" s="19" t="s">
        <v>45</v>
      </c>
      <c r="D20" s="19" t="s">
        <v>46</v>
      </c>
      <c r="E20" s="34" t="s">
        <v>65</v>
      </c>
      <c r="F20" s="18">
        <v>2696.7000000000007</v>
      </c>
      <c r="G20" s="33"/>
      <c r="H20" s="26">
        <f t="shared" si="0"/>
        <v>0</v>
      </c>
      <c r="I20" s="5"/>
      <c r="J20" s="9"/>
    </row>
    <row r="21" spans="1:11" s="22" customFormat="1">
      <c r="A21" s="34" t="s">
        <v>35</v>
      </c>
      <c r="B21" s="34">
        <v>98</v>
      </c>
      <c r="C21" s="19" t="s">
        <v>12</v>
      </c>
      <c r="D21" s="19" t="s">
        <v>43</v>
      </c>
      <c r="E21" s="34" t="s">
        <v>66</v>
      </c>
      <c r="F21" s="18">
        <v>1972.5299999999988</v>
      </c>
      <c r="G21" s="33">
        <v>0</v>
      </c>
      <c r="H21" s="26">
        <f t="shared" si="0"/>
        <v>0</v>
      </c>
      <c r="I21" s="5"/>
      <c r="J21" s="9"/>
    </row>
    <row r="22" spans="1:11" s="22" customFormat="1">
      <c r="A22" s="34" t="s">
        <v>34</v>
      </c>
      <c r="B22" s="34">
        <v>99</v>
      </c>
      <c r="C22" s="19" t="s">
        <v>12</v>
      </c>
      <c r="D22" s="19" t="s">
        <v>43</v>
      </c>
      <c r="E22" s="34" t="s">
        <v>66</v>
      </c>
      <c r="F22" s="28">
        <v>809.0099999999984</v>
      </c>
      <c r="G22" s="33"/>
      <c r="H22" s="26">
        <f t="shared" si="0"/>
        <v>0</v>
      </c>
      <c r="I22" s="5"/>
      <c r="J22" s="9"/>
    </row>
    <row r="23" spans="1:11" s="12" customFormat="1" ht="15">
      <c r="A23" s="34" t="s">
        <v>37</v>
      </c>
      <c r="B23" s="34" t="s">
        <v>36</v>
      </c>
      <c r="C23" s="19" t="s">
        <v>12</v>
      </c>
      <c r="D23" s="19" t="s">
        <v>43</v>
      </c>
      <c r="E23" s="19" t="s">
        <v>61</v>
      </c>
      <c r="F23" s="28">
        <v>389.86000000000058</v>
      </c>
      <c r="G23" s="33">
        <v>0</v>
      </c>
      <c r="H23" s="26">
        <f t="shared" si="0"/>
        <v>0</v>
      </c>
      <c r="I23" s="5"/>
      <c r="J23" s="9"/>
      <c r="K23" s="11"/>
    </row>
    <row r="24" spans="1:11" ht="15.75" thickBot="1">
      <c r="A24" s="23"/>
      <c r="B24" s="32"/>
      <c r="C24" s="32"/>
      <c r="D24" s="32"/>
      <c r="E24" s="32"/>
      <c r="F24" s="29" t="s">
        <v>27</v>
      </c>
      <c r="G24" s="20">
        <f>SUM(G8:G23)</f>
        <v>88</v>
      </c>
      <c r="H24" s="48">
        <f>SUM(H8:H23)</f>
        <v>566374.67000000004</v>
      </c>
      <c r="I24" s="14"/>
      <c r="J24" s="15"/>
      <c r="K24" s="11"/>
    </row>
    <row r="25" spans="1:11" ht="15" thickBot="1">
      <c r="A25" s="13" t="s">
        <v>44</v>
      </c>
      <c r="B25" s="14"/>
      <c r="C25" s="14"/>
      <c r="D25" s="14"/>
      <c r="E25" s="14"/>
      <c r="F25" s="14"/>
      <c r="G25" s="15"/>
    </row>
    <row r="26" spans="1:11" ht="15">
      <c r="A26" s="16"/>
    </row>
    <row r="28" spans="1:11">
      <c r="A28" s="51" t="s">
        <v>73</v>
      </c>
      <c r="B28" s="51"/>
      <c r="C28" s="51"/>
      <c r="D28" s="51"/>
      <c r="E28" s="51"/>
      <c r="F28" s="51"/>
    </row>
    <row r="29" spans="1:11" ht="57.75" customHeight="1">
      <c r="A29" s="51"/>
      <c r="B29" s="51"/>
      <c r="C29" s="51"/>
      <c r="D29" s="51"/>
      <c r="E29" s="51"/>
      <c r="F29" s="51"/>
    </row>
    <row r="31" spans="1:11">
      <c r="A31" s="63" t="s">
        <v>76</v>
      </c>
      <c r="B31" s="51"/>
      <c r="C31" s="51"/>
      <c r="D31" s="51"/>
      <c r="E31" s="51"/>
      <c r="F31" s="51"/>
    </row>
    <row r="32" spans="1:11" ht="33" customHeight="1">
      <c r="A32" s="51"/>
      <c r="B32" s="51"/>
      <c r="C32" s="51"/>
      <c r="D32" s="51"/>
      <c r="E32" s="51"/>
      <c r="F32" s="51"/>
    </row>
    <row r="34" spans="1:5">
      <c r="A34" s="51" t="s">
        <v>77</v>
      </c>
      <c r="B34" s="51"/>
      <c r="C34" s="52"/>
      <c r="D34" s="51"/>
      <c r="E34" s="51"/>
    </row>
    <row r="35" spans="1:5" ht="33" customHeight="1">
      <c r="A35" s="51"/>
      <c r="B35" s="51"/>
      <c r="C35" s="52"/>
      <c r="D35" s="51"/>
      <c r="E35" s="51"/>
    </row>
  </sheetData>
  <mergeCells count="6">
    <mergeCell ref="A34:E35"/>
    <mergeCell ref="I7:I9"/>
    <mergeCell ref="J7:J9"/>
    <mergeCell ref="G3:I4"/>
    <mergeCell ref="A28:F29"/>
    <mergeCell ref="A31:F3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Surcharge Estimating Tool</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StephanieLGresalfi</dc:creator>
  <cp:lastModifiedBy>ShaneOHamilton</cp:lastModifiedBy>
  <dcterms:created xsi:type="dcterms:W3CDTF">2013-11-22T19:31:49Z</dcterms:created>
  <dcterms:modified xsi:type="dcterms:W3CDTF">2014-01-10T15:10:39Z</dcterms:modified>
</cp:coreProperties>
</file>