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<sst xmlns="http://schemas.openxmlformats.org/spreadsheetml/2006/main" count="504" uniqueCount="402">
  <si>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</si>
  <si>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</si>
  <si>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</si>
  <si>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</si>
  <si>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</si>
  <si>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</si>
  <si>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</si>
  <si>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</si>
  <si>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</si>
  <si>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</si>
  <si>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</si>
  <si>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</si>
  <si>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</si>
  <si>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</si>
  <si>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</si>
  <si>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</si>
  <si>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</si>
  <si>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</si>
  <si>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</si>
  <si>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</si>
  <si>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</si>
  <si>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</si>
  <si>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</si>
  <si>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</si>
  <si>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</si>
  <si>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</si>
  <si>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</si>
  <si>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</si>
  <si>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</si>
  <si>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</si>
  <si>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</si>
  <si>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</si>
  <si>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</si>
  <si>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</si>
  <si>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</si>
  <si>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</si>
  <si>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</si>
  <si>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</si>
  <si>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</si>
  <si>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</si>
  <si>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</si>
  <si>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</si>
  <si>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</si>
  <si>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</si>
  <si>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</si>
  <si>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</si>
  <si>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</si>
  <si>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</si>
  <si>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</si>
  <si>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</si>
  <si>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</si>
  <si>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</si>
  <si>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</si>
  <si>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</si>
  <si>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</si>
  <si>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</si>
  <si>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</si>
  <si>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</si>
  <si>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</si>
  <si>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</si>
  <si>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</si>
  <si>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</si>
  <si>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</si>
  <si>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</si>
  <si>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</si>
  <si>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</si>
  <si>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</si>
  <si>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</si>
  <si>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</si>
  <si>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</si>
  <si>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</si>
  <si>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</si>
  <si>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</si>
  <si>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</si>
  <si>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</si>
  <si>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</si>
  <si>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</si>
  <si>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</si>
  <si>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</si>
  <si>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</si>
  <si>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</si>
  <si>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</si>
  <si>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</si>
  <si>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</si>
  <si>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</si>
  <si>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</si>
  <si>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</si>
  <si>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</si>
  <si>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</si>
  <si>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</si>
  <si>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</si>
  <si>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</si>
  <si>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</si>
  <si>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</si>
  <si>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</si>
  <si>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</si>
  <si>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</si>
  <si>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</si>
  <si>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</si>
  <si>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</si>
  <si>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</si>
  <si>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</si>
  <si>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</si>
  <si>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</si>
  <si>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</si>
  <si>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</si>
  <si>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</si>
  <si>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</si>
  <si>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</si>
  <si>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</si>
  <si>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</si>
  <si>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</si>
  <si>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</si>
  <si>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</si>
  <si>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</si>
  <si>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</si>
  <si>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</si>
  <si>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</si>
  <si>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</si>
  <si>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</si>
  <si>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</si>
  <si>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</si>
  <si>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</si>
  <si>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</si>
  <si>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</si>
  <si>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</si>
  <si>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</si>
  <si>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</si>
  <si>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</si>
  <si>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</si>
  <si>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</si>
  <si>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</si>
  <si>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</si>
  <si>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</si>
  <si>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</si>
  <si>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</si>
  <si>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</si>
  <si>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</si>
  <si>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</si>
  <si>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</si>
  <si>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</si>
  <si>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</si>
  <si>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</si>
  <si>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</si>
  <si>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</si>
  <si>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</si>
  <si>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</si>
  <si>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</si>
  <si>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</si>
  <si>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</si>
  <si>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</si>
  <si>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</si>
  <si>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</si>
  <si>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</si>
  <si>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</si>
  <si>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</si>
  <si>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</si>
  <si>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</si>
  <si>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</si>
  <si>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</si>
  <si>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</si>
  <si>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</si>
  <si>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</si>
  <si>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</si>
  <si>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</si>
  <si>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</si>
  <si>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</si>
  <si>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</si>
  <si>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</si>
  <si>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</si>
  <si>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</si>
  <si>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</si>
  <si>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</si>
  <si>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</si>
  <si>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</si>
  <si>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</si>
  <si>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</si>
  <si>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</si>
  <si>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</si>
  <si>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</si>
  <si>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</si>
  <si>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</si>
  <si>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</si>
  <si>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</si>
  <si>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</si>
  <si>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</si>
  <si>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</si>
  <si>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</si>
  <si>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</si>
  <si>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</si>
  <si>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</si>
  <si>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</si>
  <si>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</si>
  <si>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</si>
  <si>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</si>
  <si>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</si>
  <si>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</si>
  <si>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</si>
  <si>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</si>
  <si>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</si>
  <si>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</si>
  <si>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</si>
  <si>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</si>
  <si>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</si>
  <si>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</si>
  <si>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</si>
  <si>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</si>
  <si>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</si>
  <si>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</si>
  <si>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</si>
  <si>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</si>
  <si>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</si>
  <si>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</si>
  <si>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</si>
  <si>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</si>
  <si>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</si>
  <si>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</si>
  <si>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</si>
  <si>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</si>
  <si>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</si>
  <si>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</si>
  <si>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</si>
  <si>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</si>
  <si>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</si>
  <si>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</si>
  <si>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</si>
  <si>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</si>
  <si>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</si>
  <si>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</si>
  <si>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</si>
  <si>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</si>
  <si>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</si>
  <si>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</si>
  <si>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</si>
  <si>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</si>
  <si>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</si>
  <si>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</si>
  <si>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</si>
  <si>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</si>
  <si>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</si>
  <si>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</si>
  <si>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</si>
  <si>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</si>
  <si>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</si>
  <si>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</si>
  <si>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</si>
  <si>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</si>
  <si>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</si>
  <si>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</si>
  <si>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</si>
  <si>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</si>
  <si>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</si>
  <si>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</si>
  <si>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</si>
  <si>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</si>
  <si>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</si>
  <si>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</si>
  <si>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</si>
  <si>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</si>
  <si>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</si>
  <si>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</si>
  <si>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</si>
  <si>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</si>
  <si>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</si>
  <si>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</si>
  <si>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</si>
  <si>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</si>
  <si>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</si>
  <si>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</si>
  <si>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</si>
  <si>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</si>
  <si>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</si>
  <si>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</si>
  <si>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</si>
  <si>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</si>
  <si>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</si>
  <si>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</si>
  <si>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</si>
  <si>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</si>
  <si>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</si>
  <si>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</si>
  <si>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</si>
  <si>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</si>
  <si>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</si>
  <si>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</si>
  <si>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</si>
  <si>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</si>
  <si>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</si>
  <si>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</si>
  <si>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</si>
  <si>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</si>
  <si>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</si>
  <si>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</si>
  <si>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</si>
  <si>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</si>
  <si>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</si>
  <si>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</si>
  <si>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</si>
  <si>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</si>
  <si>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</si>
  <si>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</si>
  <si>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</si>
  <si>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</si>
  <si>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</si>
  <si>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</si>
  <si>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</si>
  <si>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</si>
  <si>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</si>
  <si>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</si>
  <si>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</si>
  <si>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</si>
  <si>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</si>
  <si>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</si>
  <si>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</si>
  <si>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</si>
  <si>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</si>
  <si>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</si>
  <si>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</si>
  <si>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</si>
  <si>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</si>
  <si>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</si>
  <si>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</si>
  <si>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</si>
  <si>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</si>
  <si>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</si>
  <si>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</si>
  <si>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</si>
  <si>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</si>
  <si>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</si>
  <si>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</si>
  <si>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</si>
  <si>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</si>
  <si>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</si>
  <si>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</si>
  <si>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</si>
  <si>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</si>
  <si>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</si>
  <si>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</si>
  <si>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</si>
  <si>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</si>
  <si>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</si>
  <si>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</si>
  <si>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</si>
  <si>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</si>
  <si>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</si>
  <si>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</si>
  <si>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</si>
  <si>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</si>
  <si>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</si>
  <si>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</si>
  <si>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</si>
  <si>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</si>
  <si>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</si>
  <si>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</si>
  <si>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</si>
  <si>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</si>
  <si>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</si>
  <si>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</si>
  <si>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</si>
  <si>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</si>
  <si>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</si>
  <si>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</si>
  <si>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</si>
  <si>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</si>
  <si>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</si>
  <si>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</si>
  <si>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</si>
  <si>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</si>
  <si>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</si>
  <si>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</si>
  <si>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</si>
  <si>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</si>
  <si>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</si>
  <si>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</si>
  <si>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</si>
  <si>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</si>
  <si>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</si>
  <si>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</si>
  <si>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</si>
  <si>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</si>
  <si>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</si>
  <si>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</si>
  <si>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</si>
  <si>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</si>
  <si>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</si>
  <si>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</si>
  <si>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</si>
  <si>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</si>
  <si>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</si>
  <si>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</si>
  <si>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</si>
  <si>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</si>
  <si>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</si>
  <si>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</si>
  <si>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</si>
  <si>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</si>
  <si>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3 X year</t>
  </si>
  <si>
    <t>WQ0034686</t>
  </si>
  <si>
    <t>Carolina Stalite-Gold Hill Plant</t>
  </si>
  <si>
    <t>Monthly</t>
  </si>
  <si>
    <t>4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</si>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</sst>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397</v>
      </c>
      <c r="D1" s="102"/>
      <c r="E1" s="103" t="s">
        <v>62</v>
      </c>
      <c r="F1" s="104"/>
      <c r="G1" s="101" t="s">
        <v>398</v>
      </c>
      <c r="H1" s="105"/>
      <c r="I1" s="105"/>
      <c r="J1" s="105"/>
      <c r="K1" s="106"/>
      <c r="L1" s="12" t="s">
        <v>65</v>
      </c>
      <c r="M1" s="107" t="s">
        <v>166</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27</v>
      </c>
      <c r="G3" s="18" t="s">
        <v>48</v>
      </c>
      <c r="H3" s="46" t="s">
        <v>34</v>
      </c>
      <c r="I3" s="18" t="s">
        <v>24</v>
      </c>
      <c r="J3" s="46" t="s">
        <v>33</v>
      </c>
      <c r="K3" s="18" t="s">
        <v>45</v>
      </c>
      <c r="L3" s="46" t="s">
        <v>57</v>
      </c>
      <c r="M3" s="18"/>
      <c r="N3" s="46"/>
      <c r="O3" s="18"/>
      <c r="P3" s="46"/>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Ammonia</v>
      </c>
      <c r="H4" s="48" t="str">
        <f>IF(ISBLANK(H$3), " ", VLOOKUP(H$3,'PCS Parameter Codes'!$A$1:$D$76,2,FALSE))</f>
        <v>Total Kjeldahl Nitrogen</v>
      </c>
      <c r="I4" s="47" t="str">
        <f>IF(ISBLANK(I$3), " ", VLOOKUP(I$3,'PCS Parameter Codes'!$A$1:$D$76,2,FALSE))</f>
        <v>Nitrate</v>
      </c>
      <c r="J4" s="48" t="str">
        <f>IF(ISBLANK(J$3), " ", VLOOKUP(J$3,'PCS Parameter Codes'!$A$1:$D$76,2,FALSE))</f>
        <v>pH</v>
      </c>
      <c r="K4" s="47" t="str">
        <f>IF(ISBLANK(K$3), " ", VLOOKUP(K$3,'PCS Parameter Codes'!$A$1:$D$76,2,FALSE))</f>
        <v>Total Suspended Solids</v>
      </c>
      <c r="L4" s="48" t="str">
        <f>IF(ISBLANK(L$3), " ", VLOOKUP(L$3,'PCS Parameter Codes'!$A$1:$D$76,2,FALSE))</f>
        <v>Turbidity</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NTU</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3" t="s">
        <v>72</v>
      </c>
      <c r="B38" s="94"/>
      <c r="C38" s="9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6" t="s">
        <v>73</v>
      </c>
      <c r="B39" s="97"/>
      <c r="C39" s="9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0" t="s">
        <v>362</v>
      </c>
      <c r="B40" s="91"/>
      <c r="C40" s="92"/>
      <c r="D40" s="64" t="s">
        <v>368</v>
      </c>
      <c r="E40" s="61" t="s">
        <v>364</v>
      </c>
      <c r="F40" s="60" t="s">
        <v>364</v>
      </c>
      <c r="G40" s="61" t="s">
        <v>364</v>
      </c>
      <c r="H40" s="60" t="s">
        <v>364</v>
      </c>
      <c r="I40" s="61" t="s">
        <v>364</v>
      </c>
      <c r="J40" s="60" t="s">
        <v>364</v>
      </c>
      <c r="K40" s="61" t="s">
        <v>364</v>
      </c>
      <c r="L40" s="60" t="s">
        <v>365</v>
      </c>
      <c r="M40" s="61"/>
      <c r="N40" s="60"/>
      <c r="O40" s="61"/>
      <c r="P40" s="60"/>
      <c r="Q40" s="61"/>
      <c r="R40" s="60"/>
      <c r="S40" s="62"/>
    </row>
    <row r="41" spans="1:19" ht="15" customHeight="1">
      <c r="A41" s="87" t="s">
        <v>373</v>
      </c>
      <c r="B41" s="88"/>
      <c r="C41" s="89"/>
      <c r="D41" s="65"/>
      <c r="E41" s="6">
        <v>10</v>
      </c>
      <c r="F41" s="63">
        <v>14</v>
      </c>
      <c r="G41" s="6">
        <v>4</v>
      </c>
      <c r="H41" s="63"/>
      <c r="I41" s="6"/>
      <c r="J41" s="63"/>
      <c r="K41" s="6">
        <v>5</v>
      </c>
      <c r="L41" s="63"/>
      <c r="M41" s="6"/>
      <c r="N41" s="63"/>
      <c r="O41" s="6"/>
      <c r="P41" s="63"/>
      <c r="Q41" s="6"/>
      <c r="R41" s="63"/>
      <c r="S41" s="54"/>
    </row>
    <row r="42" spans="1:19" ht="15" customHeight="1">
      <c r="A42" s="93" t="s">
        <v>374</v>
      </c>
      <c r="B42" s="110"/>
      <c r="C42" s="111"/>
      <c r="D42" s="65">
        <v>1250</v>
      </c>
      <c r="E42" s="6">
        <v>15</v>
      </c>
      <c r="F42" s="63">
        <v>25</v>
      </c>
      <c r="G42" s="6">
        <v>6</v>
      </c>
      <c r="H42" s="63"/>
      <c r="I42" s="6"/>
      <c r="J42" s="63"/>
      <c r="K42" s="6">
        <v>10</v>
      </c>
      <c r="L42" s="63">
        <v>10</v>
      </c>
      <c r="M42" s="6"/>
      <c r="N42" s="63"/>
      <c r="O42" s="6"/>
      <c r="P42" s="63"/>
      <c r="Q42" s="6"/>
      <c r="R42" s="63"/>
      <c r="S42" s="54"/>
    </row>
    <row r="43" spans="1:19" ht="15" customHeight="1">
      <c r="A43" s="93" t="s">
        <v>375</v>
      </c>
      <c r="B43" s="108"/>
      <c r="C43" s="109"/>
      <c r="D43" s="66" t="s">
        <v>399</v>
      </c>
      <c r="E43" s="67" t="s">
        <v>400</v>
      </c>
      <c r="F43" s="66" t="s">
        <v>400</v>
      </c>
      <c r="G43" s="67" t="s">
        <v>400</v>
      </c>
      <c r="H43" s="66" t="s">
        <v>400</v>
      </c>
      <c r="I43" s="67" t="s">
        <v>400</v>
      </c>
      <c r="J43" s="66" t="s">
        <v>401</v>
      </c>
      <c r="K43" s="67" t="s">
        <v>396</v>
      </c>
      <c r="L43" s="66" t="s">
        <v>395</v>
      </c>
      <c r="M43" s="67"/>
      <c r="N43" s="66"/>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9"/>
      <c r="D2" s="191"/>
      <c r="E2" s="191"/>
      <c r="F2" s="191"/>
      <c r="G2" s="191"/>
      <c r="H2" s="191"/>
      <c r="I2" s="191"/>
      <c r="J2" s="192"/>
      <c r="K2" s="26" t="s">
        <v>77</v>
      </c>
      <c r="L2" s="149"/>
      <c r="M2" s="150"/>
      <c r="N2" s="150"/>
      <c r="O2" s="150"/>
      <c r="P2" s="150"/>
      <c r="Q2" s="150"/>
      <c r="R2" s="150"/>
      <c r="S2" s="155"/>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63" t="s">
        <v>220</v>
      </c>
      <c r="B10" s="148"/>
      <c r="C10" s="148"/>
      <c r="D10" s="149"/>
      <c r="E10" s="150"/>
      <c r="F10" s="150"/>
      <c r="G10" s="150"/>
      <c r="H10" s="150"/>
      <c r="I10" s="150"/>
      <c r="J10" s="164"/>
      <c r="K10" s="147" t="s">
        <v>216</v>
      </c>
      <c r="L10" s="148"/>
      <c r="M10" s="154"/>
      <c r="N10" s="150"/>
      <c r="O10" s="150"/>
      <c r="P10" s="150"/>
      <c r="Q10" s="150"/>
      <c r="R10" s="150"/>
      <c r="S10" s="155"/>
    </row>
    <row r="11" spans="1:20" ht="30.75" customHeight="1">
      <c r="A11" s="163" t="s">
        <v>221</v>
      </c>
      <c r="B11" s="148"/>
      <c r="C11" s="149"/>
      <c r="D11" s="149"/>
      <c r="E11" s="165" t="s">
        <v>78</v>
      </c>
      <c r="F11" s="148"/>
      <c r="G11" s="149"/>
      <c r="H11" s="150"/>
      <c r="I11" s="150"/>
      <c r="J11" s="164"/>
      <c r="K11" s="147" t="s">
        <v>217</v>
      </c>
      <c r="L11" s="148"/>
      <c r="M11" s="148"/>
      <c r="N11" s="154"/>
      <c r="O11" s="150"/>
      <c r="P11" s="150"/>
      <c r="Q11" s="150"/>
      <c r="R11" s="150"/>
      <c r="S11" s="155"/>
    </row>
    <row r="12" spans="1:20" ht="30.75" customHeight="1">
      <c r="A12" s="144" t="s">
        <v>222</v>
      </c>
      <c r="B12" s="145"/>
      <c r="C12" s="145"/>
      <c r="D12" s="145"/>
      <c r="E12" s="145"/>
      <c r="F12" s="145"/>
      <c r="G12" s="145"/>
      <c r="H12" s="145"/>
      <c r="I12" s="145"/>
      <c r="J12" s="146"/>
      <c r="K12" s="147" t="s">
        <v>218</v>
      </c>
      <c r="L12" s="148"/>
      <c r="M12" s="149"/>
      <c r="N12" s="150"/>
      <c r="O12" s="150"/>
      <c r="P12" s="151" t="s">
        <v>361</v>
      </c>
      <c r="Q12" s="148"/>
      <c r="R12" s="152"/>
      <c r="S12" s="153"/>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2012-06-12T17:19:53Z</dcterms:modified>
</cp:coreProperties>
</file>