
<file path=[Content_Types].xml><?xml version="1.0" encoding="utf-8"?>
<Types xmlns="http://schemas.openxmlformats.org/package/2006/content-types"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8936" yWindow="420" windowWidth="17376" windowHeight="10896" tabRatio="500"/>
  </bookViews>
  <sheets>
    <sheet name="CE Curriculum" sheetId="1" r:id="rId1"/>
    <sheet name="CE Curriculum CO-OP" sheetId="8" r:id="rId2"/>
    <sheet name="CE Curriculum BUS minor" sheetId="9" r:id="rId3"/>
    <sheet name="CE Curriculum double major" sheetId="11" r:id="rId4"/>
    <sheet name="CE Curriculum ESS Minor" sheetId="10" r:id="rId5"/>
    <sheet name="Flowchart" sheetId="5" r:id="rId6"/>
    <sheet name="General Education" sheetId="6" r:id="rId7"/>
    <sheet name="ABET Summary" sheetId="7" r:id="rId8"/>
    <sheet name="DOUBLE MAJ CHECKLIST" sheetId="12" r:id="rId9"/>
  </sheets>
  <externalReferences>
    <externalReference r:id="rId10"/>
  </externalReferences>
  <definedNames>
    <definedName name="_ftn1" localSheetId="0">'CE Curriculum'!$O$43</definedName>
    <definedName name="_ftn1" localSheetId="2">'CE Curriculum BUS minor'!$O$52</definedName>
    <definedName name="_ftn1" localSheetId="1">'CE Curriculum CO-OP'!$O$52</definedName>
    <definedName name="_ftn1" localSheetId="3">'CE Curriculum double major'!$O$52</definedName>
    <definedName name="_ftn1" localSheetId="4">'CE Curriculum ESS Minor'!$O$43</definedName>
    <definedName name="_ftnref1" localSheetId="0">'CE Curriculum'!#REF!</definedName>
    <definedName name="_ftnref1" localSheetId="2">'CE Curriculum BUS minor'!#REF!</definedName>
    <definedName name="_ftnref1" localSheetId="1">'CE Curriculum CO-OP'!#REF!</definedName>
    <definedName name="_ftnref1" localSheetId="3">'CE Curriculum double major'!#REF!</definedName>
    <definedName name="_ftnref1" localSheetId="4">'CE Curriculum ESS Minor'!#REF!</definedName>
    <definedName name="flow_chart_print">Flowchart!$A$1:$P$32</definedName>
    <definedName name="_xlnm.Print_Area" localSheetId="0">'CE Curriculum'!$A$1:$L$64</definedName>
    <definedName name="_xlnm.Print_Area" localSheetId="2">'CE Curriculum BUS minor'!$A$1:$L$73</definedName>
    <definedName name="_xlnm.Print_Area" localSheetId="1">'CE Curriculum CO-OP'!$A$6:$L$51</definedName>
    <definedName name="_xlnm.Print_Area" localSheetId="3">'CE Curriculum double major'!$A$1:$L$73</definedName>
    <definedName name="_xlnm.Print_Area" localSheetId="4">'CE Curriculum ESS Minor'!$A$1:$L$64</definedName>
    <definedName name="_xlnm.Print_Area" localSheetId="8">'DOUBLE MAJ CHECKLIST'!$G$42:$I$111</definedName>
    <definedName name="_xlnm.Print_Area" localSheetId="5">Flowchart!$A$1:$P$32</definedName>
    <definedName name="_xlnm.Print_Area" localSheetId="6">'General Education'!$A$2:$L$42</definedName>
    <definedName name="_xlnm.Print_Area">#N/A</definedName>
    <definedName name="Table_5_1_Curriculum" localSheetId="8">'DOUBLE MAJ CHECKLIST'!$V$36</definedName>
    <definedName name="Table_5_1_Curriculum">'ABET Summary'!$V$36</definedName>
    <definedName name="Workloads">#REF!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90" i="7" l="1"/>
  <c r="I89" i="7"/>
  <c r="I88" i="7"/>
  <c r="I86" i="7"/>
  <c r="I85" i="7"/>
  <c r="I81" i="7"/>
  <c r="I79" i="7"/>
  <c r="I78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4" i="7"/>
  <c r="I53" i="7"/>
  <c r="I52" i="7"/>
  <c r="I51" i="7"/>
  <c r="I50" i="7"/>
  <c r="I48" i="7"/>
  <c r="I47" i="7"/>
  <c r="I46" i="7"/>
  <c r="I49" i="7" s="1"/>
  <c r="I45" i="7"/>
  <c r="I87" i="7"/>
  <c r="H87" i="7"/>
  <c r="H45" i="7"/>
  <c r="I44" i="7"/>
  <c r="J79" i="7"/>
  <c r="J81" i="7"/>
  <c r="J78" i="7"/>
  <c r="J44" i="7"/>
  <c r="J51" i="7"/>
  <c r="J52" i="7"/>
  <c r="J85" i="7"/>
  <c r="J86" i="7"/>
  <c r="J88" i="7"/>
  <c r="J89" i="7"/>
  <c r="J90" i="7"/>
  <c r="CO120" i="1"/>
  <c r="CN120" i="1"/>
  <c r="CO119" i="1"/>
  <c r="CN119" i="1"/>
  <c r="CO118" i="1"/>
  <c r="CN118" i="1"/>
  <c r="CO117" i="1"/>
  <c r="CN117" i="1"/>
  <c r="CO116" i="1"/>
  <c r="CN116" i="1"/>
  <c r="CO115" i="1"/>
  <c r="CN115" i="1"/>
  <c r="CO114" i="1"/>
  <c r="CN114" i="1"/>
  <c r="CO113" i="1"/>
  <c r="CN113" i="1"/>
  <c r="CO112" i="1"/>
  <c r="CN112" i="1"/>
  <c r="CO111" i="1"/>
  <c r="CN111" i="1"/>
  <c r="CO110" i="1"/>
  <c r="CN110" i="1"/>
  <c r="CO109" i="1"/>
  <c r="CN109" i="1"/>
  <c r="CO108" i="1"/>
  <c r="CN108" i="1"/>
  <c r="CO107" i="1"/>
  <c r="CN107" i="1"/>
  <c r="CO106" i="1"/>
  <c r="CN106" i="1"/>
  <c r="CO105" i="1"/>
  <c r="CN105" i="1"/>
  <c r="CO104" i="1"/>
  <c r="CN104" i="1"/>
  <c r="CO103" i="1"/>
  <c r="CN103" i="1"/>
  <c r="CO102" i="1"/>
  <c r="CN102" i="1"/>
  <c r="CO101" i="1"/>
  <c r="CN101" i="1"/>
  <c r="CO100" i="1"/>
  <c r="CN100" i="1"/>
  <c r="CO99" i="1"/>
  <c r="CN99" i="1"/>
  <c r="CO98" i="1"/>
  <c r="CN98" i="1"/>
  <c r="CO97" i="1"/>
  <c r="CN97" i="1"/>
  <c r="CO96" i="1"/>
  <c r="CN96" i="1"/>
  <c r="CO95" i="1"/>
  <c r="CN95" i="1"/>
  <c r="CO94" i="1"/>
  <c r="CN94" i="1"/>
  <c r="CO93" i="1"/>
  <c r="CN93" i="1"/>
  <c r="CO92" i="1"/>
  <c r="CN92" i="1"/>
  <c r="CO91" i="1"/>
  <c r="CN91" i="1"/>
  <c r="CO90" i="1"/>
  <c r="CN90" i="1"/>
  <c r="CO89" i="1"/>
  <c r="CN89" i="1"/>
  <c r="CO88" i="1"/>
  <c r="CN88" i="1"/>
  <c r="CO87" i="1"/>
  <c r="CN87" i="1"/>
  <c r="CO86" i="1"/>
  <c r="CN86" i="1"/>
  <c r="CO85" i="1"/>
  <c r="CN85" i="1"/>
  <c r="CO84" i="1"/>
  <c r="CN84" i="1"/>
  <c r="CO83" i="1"/>
  <c r="CN83" i="1"/>
  <c r="CO82" i="1"/>
  <c r="CN82" i="1"/>
  <c r="CO81" i="1"/>
  <c r="CN81" i="1"/>
  <c r="CO80" i="1"/>
  <c r="CN80" i="1"/>
  <c r="CO79" i="1"/>
  <c r="CN79" i="1"/>
  <c r="CO78" i="1"/>
  <c r="CN78" i="1"/>
  <c r="CO77" i="1"/>
  <c r="CN77" i="1"/>
  <c r="CO76" i="1"/>
  <c r="CN76" i="1"/>
  <c r="CO75" i="1"/>
  <c r="CN75" i="1"/>
  <c r="CO74" i="1"/>
  <c r="CN74" i="1"/>
  <c r="CO73" i="1"/>
  <c r="CN73" i="1"/>
  <c r="CO72" i="1"/>
  <c r="CN72" i="1"/>
  <c r="CO71" i="1"/>
  <c r="CN71" i="1"/>
  <c r="CO70" i="1"/>
  <c r="CN70" i="1"/>
  <c r="CO69" i="1"/>
  <c r="CN69" i="1"/>
  <c r="CO68" i="1"/>
  <c r="CN68" i="1"/>
  <c r="CO67" i="1"/>
  <c r="CN67" i="1"/>
  <c r="CO66" i="1"/>
  <c r="CN66" i="1"/>
  <c r="CO65" i="1"/>
  <c r="CN65" i="1"/>
  <c r="CO64" i="1"/>
  <c r="CN64" i="1"/>
  <c r="CO63" i="1"/>
  <c r="CN63" i="1"/>
  <c r="CO62" i="1"/>
  <c r="CN62" i="1"/>
  <c r="CO61" i="1"/>
  <c r="CN61" i="1"/>
  <c r="CO60" i="1"/>
  <c r="CN60" i="1"/>
  <c r="CO59" i="1"/>
  <c r="CN59" i="1"/>
  <c r="CO58" i="1"/>
  <c r="CN58" i="1"/>
  <c r="CO57" i="1"/>
  <c r="CN57" i="1"/>
  <c r="CO56" i="1"/>
  <c r="CN56" i="1"/>
  <c r="CO55" i="1"/>
  <c r="CN55" i="1"/>
  <c r="CO54" i="1"/>
  <c r="CN54" i="1"/>
  <c r="CO53" i="1"/>
  <c r="CN53" i="1"/>
  <c r="CO52" i="1"/>
  <c r="CN52" i="1"/>
  <c r="CO51" i="1"/>
  <c r="CN51" i="1"/>
  <c r="CO50" i="1"/>
  <c r="CN50" i="1"/>
  <c r="CO49" i="1"/>
  <c r="CN49" i="1"/>
  <c r="CO48" i="1"/>
  <c r="CN48" i="1"/>
  <c r="CO47" i="1"/>
  <c r="CN47" i="1"/>
  <c r="CO46" i="1"/>
  <c r="CN46" i="1"/>
  <c r="CO45" i="1"/>
  <c r="CN45" i="1"/>
  <c r="CO44" i="1"/>
  <c r="CN44" i="1"/>
  <c r="CO43" i="1"/>
  <c r="CN43" i="1"/>
  <c r="CO42" i="1"/>
  <c r="CN42" i="1"/>
  <c r="CO41" i="1"/>
  <c r="CN41" i="1"/>
  <c r="CO40" i="1"/>
  <c r="CN40" i="1"/>
  <c r="CO39" i="1"/>
  <c r="CN39" i="1"/>
  <c r="CO38" i="1"/>
  <c r="CN38" i="1"/>
  <c r="CO37" i="1"/>
  <c r="CN37" i="1"/>
  <c r="CO36" i="1"/>
  <c r="CN36" i="1"/>
  <c r="CO35" i="1"/>
  <c r="CN35" i="1"/>
  <c r="CO34" i="1"/>
  <c r="CN34" i="1"/>
  <c r="CO33" i="1"/>
  <c r="CN33" i="1"/>
  <c r="CO32" i="1"/>
  <c r="CN32" i="1"/>
  <c r="CO31" i="1"/>
  <c r="CN31" i="1"/>
  <c r="CO30" i="1"/>
  <c r="CN30" i="1"/>
  <c r="CO29" i="1"/>
  <c r="CN29" i="1"/>
  <c r="CO28" i="1"/>
  <c r="CN28" i="1"/>
  <c r="CO27" i="1"/>
  <c r="CN27" i="1"/>
  <c r="CO26" i="1"/>
  <c r="CN26" i="1"/>
  <c r="CO25" i="1"/>
  <c r="CN25" i="1"/>
  <c r="CO24" i="1"/>
  <c r="CN24" i="1"/>
  <c r="CO23" i="1"/>
  <c r="CN23" i="1"/>
  <c r="CO22" i="1"/>
  <c r="CN22" i="1"/>
  <c r="CO21" i="1"/>
  <c r="CN21" i="1"/>
  <c r="CO20" i="1"/>
  <c r="CN20" i="1"/>
  <c r="CO19" i="1"/>
  <c r="CN19" i="1"/>
  <c r="CO18" i="1"/>
  <c r="CN18" i="1"/>
  <c r="CO17" i="1"/>
  <c r="CN17" i="1"/>
  <c r="CO16" i="1"/>
  <c r="CN16" i="1"/>
  <c r="CO15" i="1"/>
  <c r="CN15" i="1"/>
  <c r="CO14" i="1"/>
  <c r="CN14" i="1"/>
  <c r="CO13" i="1"/>
  <c r="CN13" i="1"/>
  <c r="CO12" i="1"/>
  <c r="CN12" i="1"/>
  <c r="CO11" i="1"/>
  <c r="CN11" i="1"/>
  <c r="CO10" i="1"/>
  <c r="CN10" i="1"/>
  <c r="CO9" i="1"/>
  <c r="CN9" i="1"/>
  <c r="CJ45" i="1"/>
  <c r="CI45" i="1"/>
  <c r="CJ44" i="1"/>
  <c r="CI44" i="1"/>
  <c r="CJ43" i="1"/>
  <c r="CI43" i="1"/>
  <c r="CJ42" i="1"/>
  <c r="CI42" i="1"/>
  <c r="CJ41" i="1"/>
  <c r="CI41" i="1"/>
  <c r="CJ40" i="1"/>
  <c r="CI40" i="1"/>
  <c r="CJ39" i="1"/>
  <c r="CI39" i="1"/>
  <c r="CJ38" i="1"/>
  <c r="CI38" i="1"/>
  <c r="CJ37" i="1"/>
  <c r="CI37" i="1"/>
  <c r="CJ36" i="1"/>
  <c r="CI36" i="1"/>
  <c r="CJ35" i="1"/>
  <c r="CI35" i="1"/>
  <c r="CJ34" i="1"/>
  <c r="CI34" i="1"/>
  <c r="CJ33" i="1"/>
  <c r="CI33" i="1"/>
  <c r="CJ32" i="1"/>
  <c r="CI32" i="1"/>
  <c r="CJ31" i="1"/>
  <c r="CI31" i="1"/>
  <c r="CJ30" i="1"/>
  <c r="CI30" i="1"/>
  <c r="CJ29" i="1"/>
  <c r="CI29" i="1"/>
  <c r="CJ28" i="1"/>
  <c r="CI28" i="1"/>
  <c r="CJ27" i="1"/>
  <c r="CI27" i="1"/>
  <c r="CJ26" i="1"/>
  <c r="CI26" i="1"/>
  <c r="CJ25" i="1"/>
  <c r="CI25" i="1"/>
  <c r="CJ24" i="1"/>
  <c r="CI24" i="1"/>
  <c r="CJ23" i="1"/>
  <c r="CI23" i="1"/>
  <c r="CJ22" i="1"/>
  <c r="CI22" i="1"/>
  <c r="CJ21" i="1"/>
  <c r="CI21" i="1"/>
  <c r="CJ20" i="1"/>
  <c r="CI20" i="1"/>
  <c r="CJ19" i="1"/>
  <c r="CI19" i="1"/>
  <c r="CJ18" i="1"/>
  <c r="CI18" i="1"/>
  <c r="CJ17" i="1"/>
  <c r="CI17" i="1"/>
  <c r="CJ16" i="1"/>
  <c r="CI16" i="1"/>
  <c r="CJ15" i="1"/>
  <c r="CI15" i="1"/>
  <c r="CJ14" i="1"/>
  <c r="CI14" i="1"/>
  <c r="CJ13" i="1"/>
  <c r="CI13" i="1"/>
  <c r="CJ12" i="1"/>
  <c r="CI12" i="1"/>
  <c r="CJ11" i="1"/>
  <c r="CI11" i="1"/>
  <c r="CJ10" i="1"/>
  <c r="CI10" i="1"/>
  <c r="CJ9" i="1"/>
  <c r="CI9" i="1"/>
  <c r="CE30" i="1"/>
  <c r="CD30" i="1"/>
  <c r="CE29" i="1"/>
  <c r="CD29" i="1"/>
  <c r="CE28" i="1"/>
  <c r="CD28" i="1"/>
  <c r="CE27" i="1"/>
  <c r="CD27" i="1"/>
  <c r="CE26" i="1"/>
  <c r="CD26" i="1"/>
  <c r="CE25" i="1"/>
  <c r="CD25" i="1"/>
  <c r="CE24" i="1"/>
  <c r="CD24" i="1"/>
  <c r="CE23" i="1"/>
  <c r="CD23" i="1"/>
  <c r="CE22" i="1"/>
  <c r="CD22" i="1"/>
  <c r="CE21" i="1"/>
  <c r="CD21" i="1"/>
  <c r="CE20" i="1"/>
  <c r="CD20" i="1"/>
  <c r="CE19" i="1"/>
  <c r="CD19" i="1"/>
  <c r="CE18" i="1"/>
  <c r="CD18" i="1"/>
  <c r="CE17" i="1"/>
  <c r="CD17" i="1"/>
  <c r="CE16" i="1"/>
  <c r="CD16" i="1"/>
  <c r="CE15" i="1"/>
  <c r="CD15" i="1"/>
  <c r="CE14" i="1"/>
  <c r="CD14" i="1"/>
  <c r="CE13" i="1"/>
  <c r="CD13" i="1"/>
  <c r="CE12" i="1"/>
  <c r="CD12" i="1"/>
  <c r="CE11" i="1"/>
  <c r="CD11" i="1"/>
  <c r="CE10" i="1"/>
  <c r="CD10" i="1"/>
  <c r="CE9" i="1"/>
  <c r="CD9" i="1"/>
  <c r="CB156" i="1"/>
  <c r="CA156" i="1"/>
  <c r="CB155" i="1"/>
  <c r="CA155" i="1"/>
  <c r="CB154" i="1"/>
  <c r="CA154" i="1"/>
  <c r="CB153" i="1"/>
  <c r="CA153" i="1"/>
  <c r="CB152" i="1"/>
  <c r="CA152" i="1"/>
  <c r="CB151" i="1"/>
  <c r="CA151" i="1"/>
  <c r="CB150" i="1"/>
  <c r="CA150" i="1"/>
  <c r="CB149" i="1"/>
  <c r="CA149" i="1"/>
  <c r="CB148" i="1"/>
  <c r="CA148" i="1"/>
  <c r="CB147" i="1"/>
  <c r="CA147" i="1"/>
  <c r="CB146" i="1"/>
  <c r="CA146" i="1"/>
  <c r="CB145" i="1"/>
  <c r="CA145" i="1"/>
  <c r="CB144" i="1"/>
  <c r="CA144" i="1"/>
  <c r="CB143" i="1"/>
  <c r="CA143" i="1"/>
  <c r="CB142" i="1"/>
  <c r="CA142" i="1"/>
  <c r="CB141" i="1"/>
  <c r="CA141" i="1"/>
  <c r="CB140" i="1"/>
  <c r="CA140" i="1"/>
  <c r="CB139" i="1"/>
  <c r="CA139" i="1"/>
  <c r="CB138" i="1"/>
  <c r="CA138" i="1"/>
  <c r="CB137" i="1"/>
  <c r="CA137" i="1"/>
  <c r="CB136" i="1"/>
  <c r="CA136" i="1"/>
  <c r="CB135" i="1"/>
  <c r="CA135" i="1"/>
  <c r="CB134" i="1"/>
  <c r="CA134" i="1"/>
  <c r="CB133" i="1"/>
  <c r="CA133" i="1"/>
  <c r="CB132" i="1"/>
  <c r="CA132" i="1"/>
  <c r="CB131" i="1"/>
  <c r="CA131" i="1"/>
  <c r="CB130" i="1"/>
  <c r="CA130" i="1"/>
  <c r="CB129" i="1"/>
  <c r="CA129" i="1"/>
  <c r="CB128" i="1"/>
  <c r="CA128" i="1"/>
  <c r="CB127" i="1"/>
  <c r="CA127" i="1"/>
  <c r="CB126" i="1"/>
  <c r="CA126" i="1"/>
  <c r="CB125" i="1"/>
  <c r="CA125" i="1"/>
  <c r="CB124" i="1"/>
  <c r="CA124" i="1"/>
  <c r="CB123" i="1"/>
  <c r="CA123" i="1"/>
  <c r="CB122" i="1"/>
  <c r="CA122" i="1"/>
  <c r="CB121" i="1"/>
  <c r="CA121" i="1"/>
  <c r="CB120" i="1"/>
  <c r="CA120" i="1"/>
  <c r="CB119" i="1"/>
  <c r="CA119" i="1"/>
  <c r="CB118" i="1"/>
  <c r="CA118" i="1"/>
  <c r="CB117" i="1"/>
  <c r="CA117" i="1"/>
  <c r="CB116" i="1"/>
  <c r="CA116" i="1"/>
  <c r="CB115" i="1"/>
  <c r="CA115" i="1"/>
  <c r="CB114" i="1"/>
  <c r="CA114" i="1"/>
  <c r="CB113" i="1"/>
  <c r="CA113" i="1"/>
  <c r="CB112" i="1"/>
  <c r="CA112" i="1"/>
  <c r="CB111" i="1"/>
  <c r="CA111" i="1"/>
  <c r="CB110" i="1"/>
  <c r="CA110" i="1"/>
  <c r="CB109" i="1"/>
  <c r="CA109" i="1"/>
  <c r="CB108" i="1"/>
  <c r="CA108" i="1"/>
  <c r="CB107" i="1"/>
  <c r="CA107" i="1"/>
  <c r="CB106" i="1"/>
  <c r="CA106" i="1"/>
  <c r="CB105" i="1"/>
  <c r="CA105" i="1"/>
  <c r="CB104" i="1"/>
  <c r="CA104" i="1"/>
  <c r="CB103" i="1"/>
  <c r="CA103" i="1"/>
  <c r="CB102" i="1"/>
  <c r="CA102" i="1"/>
  <c r="CB101" i="1"/>
  <c r="CA101" i="1"/>
  <c r="CB100" i="1"/>
  <c r="CA100" i="1"/>
  <c r="CB99" i="1"/>
  <c r="CA99" i="1"/>
  <c r="CB98" i="1"/>
  <c r="CA98" i="1"/>
  <c r="CB97" i="1"/>
  <c r="CA97" i="1"/>
  <c r="CB96" i="1"/>
  <c r="CA96" i="1"/>
  <c r="CB95" i="1"/>
  <c r="CA95" i="1"/>
  <c r="CB94" i="1"/>
  <c r="CA94" i="1"/>
  <c r="CB93" i="1"/>
  <c r="CA93" i="1"/>
  <c r="CB92" i="1"/>
  <c r="CA92" i="1"/>
  <c r="CB91" i="1"/>
  <c r="CA91" i="1"/>
  <c r="CB90" i="1"/>
  <c r="CA90" i="1"/>
  <c r="CB89" i="1"/>
  <c r="CA89" i="1"/>
  <c r="CB88" i="1"/>
  <c r="CA88" i="1"/>
  <c r="CB87" i="1"/>
  <c r="CA87" i="1"/>
  <c r="CB86" i="1"/>
  <c r="CA86" i="1"/>
  <c r="CB85" i="1"/>
  <c r="CA85" i="1"/>
  <c r="CB84" i="1"/>
  <c r="CA84" i="1"/>
  <c r="CB83" i="1"/>
  <c r="CA83" i="1"/>
  <c r="CB82" i="1"/>
  <c r="CA82" i="1"/>
  <c r="CB81" i="1"/>
  <c r="CA81" i="1"/>
  <c r="CB80" i="1"/>
  <c r="CA80" i="1"/>
  <c r="CB79" i="1"/>
  <c r="CA79" i="1"/>
  <c r="CB78" i="1"/>
  <c r="CA78" i="1"/>
  <c r="CB77" i="1"/>
  <c r="CA77" i="1"/>
  <c r="CB76" i="1"/>
  <c r="CA76" i="1"/>
  <c r="CB75" i="1"/>
  <c r="CA75" i="1"/>
  <c r="CB74" i="1"/>
  <c r="CA74" i="1"/>
  <c r="CB73" i="1"/>
  <c r="CA73" i="1"/>
  <c r="CB72" i="1"/>
  <c r="CA72" i="1"/>
  <c r="CB71" i="1"/>
  <c r="CA71" i="1"/>
  <c r="CB70" i="1"/>
  <c r="CA70" i="1"/>
  <c r="CB69" i="1"/>
  <c r="CA69" i="1"/>
  <c r="CB68" i="1"/>
  <c r="CA68" i="1"/>
  <c r="CB67" i="1"/>
  <c r="CA67" i="1"/>
  <c r="CB66" i="1"/>
  <c r="CA66" i="1"/>
  <c r="CB65" i="1"/>
  <c r="CA65" i="1"/>
  <c r="CB64" i="1"/>
  <c r="CA64" i="1"/>
  <c r="CB63" i="1"/>
  <c r="CA63" i="1"/>
  <c r="CB62" i="1"/>
  <c r="CA62" i="1"/>
  <c r="CB61" i="1"/>
  <c r="CA61" i="1"/>
  <c r="CB60" i="1"/>
  <c r="CA60" i="1"/>
  <c r="CB59" i="1"/>
  <c r="CA59" i="1"/>
  <c r="CB58" i="1"/>
  <c r="CA58" i="1"/>
  <c r="CB57" i="1"/>
  <c r="CA57" i="1"/>
  <c r="CB56" i="1"/>
  <c r="CA56" i="1"/>
  <c r="CB55" i="1"/>
  <c r="CA55" i="1"/>
  <c r="CB54" i="1"/>
  <c r="CA54" i="1"/>
  <c r="CB53" i="1"/>
  <c r="CA53" i="1"/>
  <c r="CB52" i="1"/>
  <c r="CA52" i="1"/>
  <c r="CB51" i="1"/>
  <c r="CA51" i="1"/>
  <c r="CB50" i="1"/>
  <c r="CA50" i="1"/>
  <c r="CB49" i="1"/>
  <c r="CA49" i="1"/>
  <c r="CB48" i="1"/>
  <c r="CA48" i="1"/>
  <c r="CB47" i="1"/>
  <c r="CA47" i="1"/>
  <c r="CB46" i="1"/>
  <c r="CA46" i="1"/>
  <c r="CB45" i="1"/>
  <c r="CA45" i="1"/>
  <c r="CB44" i="1"/>
  <c r="CA44" i="1"/>
  <c r="CB43" i="1"/>
  <c r="CA43" i="1"/>
  <c r="CB42" i="1"/>
  <c r="CA42" i="1"/>
  <c r="CB41" i="1"/>
  <c r="CA41" i="1"/>
  <c r="CB40" i="1"/>
  <c r="CA40" i="1"/>
  <c r="CB39" i="1"/>
  <c r="CA39" i="1"/>
  <c r="CB38" i="1"/>
  <c r="CA38" i="1"/>
  <c r="CB37" i="1"/>
  <c r="CA37" i="1"/>
  <c r="CB36" i="1"/>
  <c r="CA36" i="1"/>
  <c r="CB35" i="1"/>
  <c r="CA35" i="1"/>
  <c r="CB34" i="1"/>
  <c r="CA34" i="1"/>
  <c r="CB33" i="1"/>
  <c r="CA33" i="1"/>
  <c r="CB32" i="1"/>
  <c r="CA32" i="1"/>
  <c r="CB31" i="1"/>
  <c r="CA31" i="1"/>
  <c r="CB30" i="1"/>
  <c r="CA30" i="1"/>
  <c r="CB29" i="1"/>
  <c r="CA29" i="1"/>
  <c r="CB28" i="1"/>
  <c r="CA28" i="1"/>
  <c r="CB27" i="1"/>
  <c r="CA27" i="1"/>
  <c r="CB26" i="1"/>
  <c r="CA26" i="1"/>
  <c r="CB25" i="1"/>
  <c r="CA25" i="1"/>
  <c r="CB24" i="1"/>
  <c r="CA24" i="1"/>
  <c r="CB23" i="1"/>
  <c r="CA23" i="1"/>
  <c r="CB22" i="1"/>
  <c r="CA22" i="1"/>
  <c r="CB21" i="1"/>
  <c r="CA21" i="1"/>
  <c r="CB20" i="1"/>
  <c r="CA20" i="1"/>
  <c r="CB19" i="1"/>
  <c r="CA19" i="1"/>
  <c r="CB18" i="1"/>
  <c r="CA18" i="1"/>
  <c r="CB17" i="1"/>
  <c r="CA17" i="1"/>
  <c r="CB16" i="1"/>
  <c r="CA16" i="1"/>
  <c r="CB15" i="1"/>
  <c r="CA15" i="1"/>
  <c r="CB14" i="1"/>
  <c r="CA14" i="1"/>
  <c r="CB13" i="1"/>
  <c r="CA13" i="1"/>
  <c r="CB12" i="1"/>
  <c r="CA12" i="1"/>
  <c r="CB11" i="1"/>
  <c r="CA11" i="1"/>
  <c r="CB10" i="1"/>
  <c r="CA10" i="1"/>
  <c r="CB9" i="1"/>
  <c r="CA9" i="1"/>
  <c r="G95" i="12"/>
  <c r="H103" i="12"/>
  <c r="G87" i="12"/>
  <c r="W49" i="12" s="1"/>
  <c r="H111" i="12"/>
  <c r="H110" i="12"/>
  <c r="H109" i="12"/>
  <c r="H106" i="12"/>
  <c r="G106" i="12"/>
  <c r="H88" i="12"/>
  <c r="G88" i="12"/>
  <c r="H87" i="12"/>
  <c r="G86" i="12"/>
  <c r="G85" i="12"/>
  <c r="W62" i="12" s="1"/>
  <c r="H81" i="12"/>
  <c r="G81" i="12"/>
  <c r="W71" i="12" s="1"/>
  <c r="H80" i="12"/>
  <c r="G80" i="12"/>
  <c r="W66" i="12" s="1"/>
  <c r="H79" i="12"/>
  <c r="G79" i="12"/>
  <c r="W61" i="12" s="1"/>
  <c r="H78" i="12"/>
  <c r="G78" i="12"/>
  <c r="W45" i="12" s="1"/>
  <c r="H74" i="12"/>
  <c r="G74" i="12"/>
  <c r="H73" i="12"/>
  <c r="Z74" i="12" s="1"/>
  <c r="G73" i="12"/>
  <c r="H72" i="12"/>
  <c r="G72" i="12"/>
  <c r="W73" i="12" s="1"/>
  <c r="H71" i="12"/>
  <c r="Z72" i="12" s="1"/>
  <c r="G71" i="12"/>
  <c r="W72" i="12" s="1"/>
  <c r="H70" i="12"/>
  <c r="G70" i="12"/>
  <c r="W69" i="12" s="1"/>
  <c r="H69" i="12"/>
  <c r="Z68" i="12" s="1"/>
  <c r="G69" i="12"/>
  <c r="W68" i="12" s="1"/>
  <c r="H68" i="12"/>
  <c r="G68" i="12"/>
  <c r="W65" i="12" s="1"/>
  <c r="H67" i="12"/>
  <c r="Z64" i="12" s="1"/>
  <c r="G67" i="12"/>
  <c r="W64" i="12" s="1"/>
  <c r="H66" i="12"/>
  <c r="G66" i="12"/>
  <c r="W63" i="12" s="1"/>
  <c r="H65" i="12"/>
  <c r="Z59" i="12" s="1"/>
  <c r="G65" i="12"/>
  <c r="H64" i="12"/>
  <c r="G64" i="12"/>
  <c r="W58" i="12" s="1"/>
  <c r="H63" i="12"/>
  <c r="Z56" i="12" s="1"/>
  <c r="G63" i="12"/>
  <c r="W56" i="12" s="1"/>
  <c r="H62" i="12"/>
  <c r="Z53" i="12" s="1"/>
  <c r="G62" i="12"/>
  <c r="W53" i="12" s="1"/>
  <c r="H61" i="12"/>
  <c r="G61" i="12"/>
  <c r="W54" i="12" s="1"/>
  <c r="H60" i="12"/>
  <c r="G60" i="12"/>
  <c r="W50" i="12" s="1"/>
  <c r="H59" i="12"/>
  <c r="Z42" i="12" s="1"/>
  <c r="G59" i="12"/>
  <c r="W42" i="12" s="1"/>
  <c r="H54" i="12"/>
  <c r="G54" i="12"/>
  <c r="W60" i="12" s="1"/>
  <c r="H53" i="12"/>
  <c r="Y57" i="12" s="1"/>
  <c r="G53" i="12"/>
  <c r="W57" i="12" s="1"/>
  <c r="H52" i="12"/>
  <c r="G52" i="12"/>
  <c r="W51" i="12" s="1"/>
  <c r="H51" i="12"/>
  <c r="Y48" i="12" s="1"/>
  <c r="G51" i="12"/>
  <c r="W48" i="12" s="1"/>
  <c r="H50" i="12"/>
  <c r="H55" i="12" s="1"/>
  <c r="G50" i="12"/>
  <c r="W44" i="12" s="1"/>
  <c r="H48" i="12"/>
  <c r="Y46" i="12" s="1"/>
  <c r="G48" i="12"/>
  <c r="W46" i="12" s="1"/>
  <c r="H47" i="12"/>
  <c r="G47" i="12"/>
  <c r="W55" i="12" s="1"/>
  <c r="H46" i="12"/>
  <c r="Y52" i="12" s="1"/>
  <c r="G46" i="12"/>
  <c r="W52" i="12" s="1"/>
  <c r="H45" i="12"/>
  <c r="G45" i="12"/>
  <c r="W47" i="12" s="1"/>
  <c r="H44" i="12"/>
  <c r="Y43" i="12" s="1"/>
  <c r="G44" i="12"/>
  <c r="W43" i="12" s="1"/>
  <c r="H82" i="12"/>
  <c r="H90" i="12"/>
  <c r="AB79" i="12"/>
  <c r="Y44" i="12"/>
  <c r="Y47" i="12"/>
  <c r="Y51" i="12"/>
  <c r="Y55" i="12"/>
  <c r="Y60" i="12"/>
  <c r="Z50" i="12"/>
  <c r="Z54" i="12"/>
  <c r="Z58" i="12"/>
  <c r="Z63" i="12"/>
  <c r="Z65" i="12"/>
  <c r="Z69" i="12"/>
  <c r="Z73" i="12"/>
  <c r="Z75" i="12"/>
  <c r="AA45" i="12"/>
  <c r="AA49" i="12"/>
  <c r="AA61" i="12"/>
  <c r="AA62" i="12"/>
  <c r="AA66" i="12"/>
  <c r="AA67" i="12"/>
  <c r="AA71" i="12"/>
  <c r="AA76" i="12"/>
  <c r="W76" i="12"/>
  <c r="W75" i="12"/>
  <c r="H75" i="12"/>
  <c r="E7" i="12" s="1"/>
  <c r="W74" i="12"/>
  <c r="W67" i="12"/>
  <c r="W59" i="12"/>
  <c r="H49" i="12"/>
  <c r="J42" i="1"/>
  <c r="O51" i="12" s="1"/>
  <c r="N51" i="12"/>
  <c r="O50" i="12"/>
  <c r="N50" i="12"/>
  <c r="O49" i="12"/>
  <c r="N49" i="12"/>
  <c r="O48" i="12"/>
  <c r="N48" i="12"/>
  <c r="O42" i="12"/>
  <c r="O41" i="12"/>
  <c r="J31" i="1"/>
  <c r="O40" i="12" s="1"/>
  <c r="O39" i="12"/>
  <c r="O33" i="12"/>
  <c r="O32" i="12"/>
  <c r="J22" i="1"/>
  <c r="O31" i="12"/>
  <c r="N31" i="12"/>
  <c r="O30" i="12"/>
  <c r="N30" i="12"/>
  <c r="O29" i="12"/>
  <c r="N29" i="12"/>
  <c r="C19" i="12" a="1"/>
  <c r="C19" i="12" s="1"/>
  <c r="D19" i="12" s="1"/>
  <c r="C18" i="12" a="1"/>
  <c r="C18" i="12"/>
  <c r="D18" i="12" s="1"/>
  <c r="C17" i="12" a="1"/>
  <c r="C17" i="12" s="1"/>
  <c r="D17" i="12" s="1"/>
  <c r="C16" i="12" a="1"/>
  <c r="C16" i="12"/>
  <c r="D16" i="12" s="1"/>
  <c r="F8" i="12"/>
  <c r="F7" i="12"/>
  <c r="D7" i="12"/>
  <c r="F6" i="12"/>
  <c r="BF13" i="11"/>
  <c r="BF60" i="11"/>
  <c r="BE13" i="11"/>
  <c r="BE60" i="11"/>
  <c r="BF15" i="11"/>
  <c r="BF59" i="11"/>
  <c r="BE15" i="11"/>
  <c r="BE59" i="11"/>
  <c r="B57" i="11"/>
  <c r="A57" i="11"/>
  <c r="BF17" i="11"/>
  <c r="BF55" i="11"/>
  <c r="BE17" i="11"/>
  <c r="BE55" i="11"/>
  <c r="BF10" i="11"/>
  <c r="BF54" i="11"/>
  <c r="BE10" i="11"/>
  <c r="BE54" i="11"/>
  <c r="BD8" i="11"/>
  <c r="BD54" i="11"/>
  <c r="BC8" i="11"/>
  <c r="BC54" i="11"/>
  <c r="J51" i="11"/>
  <c r="C51" i="11"/>
  <c r="BF16" i="11"/>
  <c r="BF49" i="11"/>
  <c r="BE16" i="11"/>
  <c r="BE49" i="11"/>
  <c r="BF12" i="11"/>
  <c r="BF48" i="11"/>
  <c r="BE12" i="11"/>
  <c r="BE48" i="11"/>
  <c r="BF11" i="11"/>
  <c r="BF47" i="11"/>
  <c r="BE11" i="11"/>
  <c r="BE47" i="11"/>
  <c r="BD10" i="11"/>
  <c r="BD47" i="11"/>
  <c r="BC10" i="11"/>
  <c r="BC47" i="11"/>
  <c r="BD15" i="11"/>
  <c r="BD44" i="11"/>
  <c r="BC15" i="11"/>
  <c r="BC44" i="11"/>
  <c r="BF9" i="11"/>
  <c r="BF43" i="11"/>
  <c r="BE9" i="11"/>
  <c r="BE43" i="11"/>
  <c r="BD12" i="11"/>
  <c r="BD43" i="11"/>
  <c r="BC12" i="11"/>
  <c r="BC43" i="11"/>
  <c r="C40" i="11"/>
  <c r="BD13" i="11"/>
  <c r="BD37" i="11" s="1"/>
  <c r="BC13" i="11"/>
  <c r="BC37" i="11" s="1"/>
  <c r="BD11" i="11"/>
  <c r="BD36" i="11" s="1"/>
  <c r="BC11" i="11"/>
  <c r="BC36" i="11" s="1"/>
  <c r="BF8" i="11"/>
  <c r="BF35" i="11" s="1"/>
  <c r="BE8" i="11"/>
  <c r="BE35" i="11" s="1"/>
  <c r="BD9" i="11"/>
  <c r="BD35" i="11" s="1"/>
  <c r="BC9" i="11"/>
  <c r="BC35" i="11" s="1"/>
  <c r="J31" i="11"/>
  <c r="J22" i="11"/>
  <c r="C22" i="11"/>
  <c r="J13" i="11"/>
  <c r="C13" i="11"/>
  <c r="BC8" i="1"/>
  <c r="BD8" i="1"/>
  <c r="BE8" i="1"/>
  <c r="BF8" i="1"/>
  <c r="BC9" i="1"/>
  <c r="BD9" i="1"/>
  <c r="BE9" i="1"/>
  <c r="BF9" i="1"/>
  <c r="BC10" i="1"/>
  <c r="BD10" i="1"/>
  <c r="BE10" i="1"/>
  <c r="BF10" i="1"/>
  <c r="BC11" i="1"/>
  <c r="BD11" i="1"/>
  <c r="BE11" i="1"/>
  <c r="BF11" i="1"/>
  <c r="BC12" i="1"/>
  <c r="BD12" i="1"/>
  <c r="BE12" i="1"/>
  <c r="BF12" i="1"/>
  <c r="C13" i="1"/>
  <c r="J13" i="1"/>
  <c r="BC13" i="1"/>
  <c r="BD13" i="1"/>
  <c r="BE13" i="1"/>
  <c r="BF13" i="1"/>
  <c r="BC15" i="1"/>
  <c r="BD15" i="1"/>
  <c r="BE15" i="1"/>
  <c r="BF15" i="1"/>
  <c r="BE16" i="1"/>
  <c r="BF16" i="1"/>
  <c r="BE17" i="1"/>
  <c r="BF17" i="1"/>
  <c r="C22" i="1"/>
  <c r="BC26" i="1"/>
  <c r="BD26" i="1"/>
  <c r="BE26" i="1"/>
  <c r="BF26" i="1"/>
  <c r="BC27" i="1"/>
  <c r="BD27" i="1"/>
  <c r="BC28" i="1"/>
  <c r="BD28" i="1"/>
  <c r="C31" i="1"/>
  <c r="BC34" i="1"/>
  <c r="BD34" i="1"/>
  <c r="BE34" i="1"/>
  <c r="BF34" i="1"/>
  <c r="BC35" i="1"/>
  <c r="BD35" i="1"/>
  <c r="BC38" i="1"/>
  <c r="BD38" i="1"/>
  <c r="BE38" i="1"/>
  <c r="BF38" i="1"/>
  <c r="BE39" i="1"/>
  <c r="BF39" i="1"/>
  <c r="BE40" i="1"/>
  <c r="BF40" i="1"/>
  <c r="C42" i="1"/>
  <c r="BC45" i="1"/>
  <c r="BD45" i="1"/>
  <c r="BE45" i="1"/>
  <c r="BF45" i="1"/>
  <c r="BE46" i="1"/>
  <c r="BF46" i="1"/>
  <c r="BE50" i="1"/>
  <c r="BF50" i="1"/>
  <c r="BE51" i="1"/>
  <c r="BF51" i="1"/>
  <c r="BC8" i="8"/>
  <c r="BD8" i="8"/>
  <c r="BE8" i="8"/>
  <c r="BF8" i="8"/>
  <c r="BC9" i="8"/>
  <c r="BD9" i="8"/>
  <c r="BE9" i="8"/>
  <c r="BF9" i="8"/>
  <c r="BC10" i="8"/>
  <c r="BD10" i="8"/>
  <c r="BE10" i="8"/>
  <c r="BF10" i="8"/>
  <c r="BC11" i="8"/>
  <c r="BD11" i="8"/>
  <c r="BE11" i="8"/>
  <c r="BF11" i="8"/>
  <c r="BC12" i="8"/>
  <c r="BD12" i="8"/>
  <c r="BE12" i="8"/>
  <c r="BF12" i="8"/>
  <c r="C13" i="8"/>
  <c r="J13" i="8"/>
  <c r="BC13" i="8"/>
  <c r="BD13" i="8"/>
  <c r="BE13" i="8"/>
  <c r="BF13" i="8"/>
  <c r="BC15" i="8"/>
  <c r="BD15" i="8"/>
  <c r="BE15" i="8"/>
  <c r="BF15" i="8"/>
  <c r="BE16" i="8"/>
  <c r="BF16" i="8"/>
  <c r="BE17" i="8"/>
  <c r="BF17" i="8"/>
  <c r="C22" i="8"/>
  <c r="J22" i="8"/>
  <c r="J31" i="8"/>
  <c r="BC35" i="8"/>
  <c r="BD35" i="8"/>
  <c r="BE35" i="8"/>
  <c r="BF35" i="8"/>
  <c r="BC36" i="8"/>
  <c r="BD36" i="8"/>
  <c r="BC37" i="8"/>
  <c r="BD37" i="8"/>
  <c r="C40" i="8"/>
  <c r="BC43" i="8"/>
  <c r="BD43" i="8"/>
  <c r="BE43" i="8"/>
  <c r="BF43" i="8"/>
  <c r="BC44" i="8"/>
  <c r="BD44" i="8"/>
  <c r="BC47" i="8"/>
  <c r="BD47" i="8"/>
  <c r="BE47" i="8"/>
  <c r="BF47" i="8"/>
  <c r="BE48" i="8"/>
  <c r="BF48" i="8"/>
  <c r="BE49" i="8"/>
  <c r="BF49" i="8"/>
  <c r="C51" i="8"/>
  <c r="J51" i="8"/>
  <c r="BC54" i="8"/>
  <c r="BD54" i="8"/>
  <c r="BE54" i="8"/>
  <c r="BF54" i="8"/>
  <c r="BE55" i="8"/>
  <c r="BF55" i="8"/>
  <c r="A57" i="8"/>
  <c r="B57" i="8"/>
  <c r="BE59" i="8"/>
  <c r="BF59" i="8"/>
  <c r="BE60" i="8"/>
  <c r="BF60" i="8"/>
  <c r="BC8" i="9"/>
  <c r="BD8" i="9"/>
  <c r="BE8" i="9"/>
  <c r="BF8" i="9"/>
  <c r="BC9" i="9"/>
  <c r="BD9" i="9"/>
  <c r="BE9" i="9"/>
  <c r="BF9" i="9"/>
  <c r="BC10" i="9"/>
  <c r="BD10" i="9"/>
  <c r="BE10" i="9"/>
  <c r="BF10" i="9"/>
  <c r="BC11" i="9"/>
  <c r="BD11" i="9"/>
  <c r="BE11" i="9"/>
  <c r="BF11" i="9"/>
  <c r="BC12" i="9"/>
  <c r="BD12" i="9"/>
  <c r="BE12" i="9"/>
  <c r="BF12" i="9"/>
  <c r="C13" i="9"/>
  <c r="J13" i="9"/>
  <c r="BC13" i="9"/>
  <c r="BC37" i="9" s="1"/>
  <c r="BD13" i="9"/>
  <c r="BE13" i="9"/>
  <c r="BF13" i="9"/>
  <c r="BC15" i="9"/>
  <c r="BD15" i="9"/>
  <c r="BE15" i="9"/>
  <c r="BF15" i="9"/>
  <c r="BE16" i="9"/>
  <c r="BF16" i="9"/>
  <c r="BE17" i="9"/>
  <c r="BF17" i="9"/>
  <c r="C22" i="9"/>
  <c r="J22" i="9"/>
  <c r="J31" i="9"/>
  <c r="BC35" i="9"/>
  <c r="BD35" i="9"/>
  <c r="BE35" i="9"/>
  <c r="BF35" i="9"/>
  <c r="BC36" i="9"/>
  <c r="BD36" i="9"/>
  <c r="BD37" i="9"/>
  <c r="C40" i="9"/>
  <c r="BC43" i="9"/>
  <c r="BD43" i="9"/>
  <c r="BE43" i="9"/>
  <c r="BF43" i="9"/>
  <c r="BC44" i="9"/>
  <c r="BD44" i="9"/>
  <c r="BC47" i="9"/>
  <c r="BD47" i="9"/>
  <c r="BE47" i="9"/>
  <c r="BF47" i="9"/>
  <c r="BE48" i="9"/>
  <c r="BF48" i="9"/>
  <c r="BE49" i="9"/>
  <c r="BF49" i="9"/>
  <c r="C51" i="9"/>
  <c r="J51" i="9"/>
  <c r="BC54" i="9"/>
  <c r="BD54" i="9"/>
  <c r="BE54" i="9"/>
  <c r="BF54" i="9"/>
  <c r="BE55" i="9"/>
  <c r="BF55" i="9"/>
  <c r="A57" i="9"/>
  <c r="B57" i="9"/>
  <c r="BE59" i="9"/>
  <c r="BF59" i="9"/>
  <c r="BE60" i="9"/>
  <c r="BF60" i="9"/>
  <c r="BC8" i="10"/>
  <c r="BD8" i="10"/>
  <c r="BE8" i="10"/>
  <c r="BF8" i="10"/>
  <c r="BC9" i="10"/>
  <c r="BD9" i="10"/>
  <c r="BE9" i="10"/>
  <c r="BF9" i="10"/>
  <c r="BC10" i="10"/>
  <c r="BD10" i="10"/>
  <c r="BE10" i="10"/>
  <c r="BF10" i="10"/>
  <c r="BC11" i="10"/>
  <c r="BD11" i="10"/>
  <c r="BE11" i="10"/>
  <c r="BF11" i="10"/>
  <c r="BC12" i="10"/>
  <c r="BD12" i="10"/>
  <c r="BE12" i="10"/>
  <c r="BF12" i="10"/>
  <c r="BC13" i="10"/>
  <c r="BD13" i="10"/>
  <c r="BE13" i="10"/>
  <c r="BF13" i="10"/>
  <c r="BC15" i="10"/>
  <c r="BD15" i="10"/>
  <c r="BE15" i="10"/>
  <c r="BF15" i="10"/>
  <c r="BE16" i="10"/>
  <c r="BF16" i="10"/>
  <c r="BE17" i="10"/>
  <c r="BF17" i="10"/>
  <c r="BC26" i="10"/>
  <c r="BD26" i="10"/>
  <c r="BE26" i="10"/>
  <c r="BF26" i="10"/>
  <c r="BC27" i="10"/>
  <c r="BD27" i="10"/>
  <c r="BC28" i="10"/>
  <c r="BD28" i="10"/>
  <c r="BC34" i="10"/>
  <c r="BD34" i="10"/>
  <c r="BE34" i="10"/>
  <c r="BF34" i="10"/>
  <c r="BC35" i="10"/>
  <c r="BD35" i="10"/>
  <c r="BC38" i="10"/>
  <c r="BD38" i="10"/>
  <c r="BE38" i="10"/>
  <c r="BF38" i="10"/>
  <c r="BE39" i="10"/>
  <c r="BF39" i="10"/>
  <c r="BE40" i="10"/>
  <c r="BF40" i="10"/>
  <c r="BC45" i="10"/>
  <c r="BD45" i="10"/>
  <c r="BE45" i="10"/>
  <c r="BF45" i="10"/>
  <c r="BE46" i="10"/>
  <c r="BF46" i="10"/>
  <c r="BE50" i="10"/>
  <c r="BF50" i="10"/>
  <c r="BE51" i="10"/>
  <c r="BF51" i="10"/>
  <c r="H3" i="5"/>
  <c r="AA3" i="5"/>
  <c r="AB3" i="5"/>
  <c r="AC3" i="5"/>
  <c r="AD3" i="5"/>
  <c r="AH3" i="5"/>
  <c r="AI3" i="5"/>
  <c r="AJ3" i="5"/>
  <c r="AK3" i="5"/>
  <c r="O4" i="5"/>
  <c r="AA4" i="5"/>
  <c r="AB4" i="5"/>
  <c r="AC4" i="5"/>
  <c r="AD4" i="5"/>
  <c r="AH4" i="5"/>
  <c r="AI4" i="5"/>
  <c r="AJ4" i="5"/>
  <c r="AK4" i="5"/>
  <c r="O5" i="5"/>
  <c r="AA5" i="5"/>
  <c r="AB5" i="5"/>
  <c r="AC5" i="5"/>
  <c r="AD5" i="5"/>
  <c r="AH5" i="5"/>
  <c r="AI5" i="5"/>
  <c r="AJ5" i="5"/>
  <c r="AK5" i="5"/>
  <c r="B6" i="5"/>
  <c r="D6" i="5"/>
  <c r="O6" i="5"/>
  <c r="AA6" i="5"/>
  <c r="AB6" i="5"/>
  <c r="AC6" i="5"/>
  <c r="AD6" i="5"/>
  <c r="AH6" i="5"/>
  <c r="AI6" i="5"/>
  <c r="AJ6" i="5"/>
  <c r="AK6" i="5"/>
  <c r="O7" i="5"/>
  <c r="D8" i="5"/>
  <c r="J8" i="5"/>
  <c r="L8" i="5"/>
  <c r="H10" i="5"/>
  <c r="J10" i="5"/>
  <c r="L10" i="5"/>
  <c r="B12" i="5"/>
  <c r="D12" i="5"/>
  <c r="F12" i="5"/>
  <c r="J12" i="5"/>
  <c r="AF12" i="5"/>
  <c r="S13" i="5"/>
  <c r="AA13" i="5"/>
  <c r="AB13" i="5"/>
  <c r="AC13" i="5"/>
  <c r="AD13" i="5"/>
  <c r="AH13" i="5"/>
  <c r="AI13" i="5"/>
  <c r="AJ13" i="5"/>
  <c r="AK13" i="5"/>
  <c r="B14" i="5"/>
  <c r="D14" i="5"/>
  <c r="J14" i="5"/>
  <c r="L14" i="5"/>
  <c r="S14" i="5"/>
  <c r="AA14" i="5"/>
  <c r="AB14" i="5"/>
  <c r="AC14" i="5"/>
  <c r="AD14" i="5"/>
  <c r="AH14" i="5"/>
  <c r="AI14" i="5"/>
  <c r="AJ14" i="5"/>
  <c r="AK14" i="5"/>
  <c r="AA15" i="5"/>
  <c r="AB15" i="5"/>
  <c r="AC15" i="5"/>
  <c r="AD15" i="5"/>
  <c r="AH15" i="5"/>
  <c r="AI15" i="5"/>
  <c r="AJ15" i="5"/>
  <c r="AK15" i="5"/>
  <c r="D16" i="5"/>
  <c r="F16" i="5"/>
  <c r="H16" i="5"/>
  <c r="J16" i="5"/>
  <c r="L16" i="5"/>
  <c r="AA16" i="5"/>
  <c r="AB16" i="5"/>
  <c r="AC16" i="5"/>
  <c r="AD16" i="5"/>
  <c r="AH16" i="5"/>
  <c r="AI16" i="5"/>
  <c r="AJ16" i="5"/>
  <c r="AK16" i="5"/>
  <c r="B18" i="5"/>
  <c r="F18" i="5"/>
  <c r="L18" i="5"/>
  <c r="B20" i="5"/>
  <c r="D20" i="5"/>
  <c r="F20" i="5"/>
  <c r="L20" i="5"/>
  <c r="AF21" i="5"/>
  <c r="B22" i="5"/>
  <c r="J22" i="5"/>
  <c r="L22" i="5"/>
  <c r="AA22" i="5"/>
  <c r="AB22" i="5"/>
  <c r="AC22" i="5"/>
  <c r="AD22" i="5"/>
  <c r="AH22" i="5"/>
  <c r="AI22" i="5"/>
  <c r="AJ22" i="5"/>
  <c r="AK22" i="5"/>
  <c r="AA23" i="5"/>
  <c r="AB23" i="5"/>
  <c r="AC23" i="5"/>
  <c r="AD23" i="5"/>
  <c r="AH23" i="5"/>
  <c r="AI23" i="5"/>
  <c r="AJ23" i="5"/>
  <c r="AK23" i="5"/>
  <c r="B24" i="5"/>
  <c r="AA24" i="5"/>
  <c r="AB24" i="5"/>
  <c r="AC24" i="5"/>
  <c r="AD24" i="5"/>
  <c r="AH24" i="5"/>
  <c r="AI24" i="5"/>
  <c r="AJ24" i="5"/>
  <c r="AK24" i="5"/>
  <c r="AA25" i="5"/>
  <c r="AB25" i="5"/>
  <c r="AC25" i="5"/>
  <c r="AD25" i="5"/>
  <c r="AH25" i="5"/>
  <c r="AI25" i="5"/>
  <c r="AJ25" i="5"/>
  <c r="AK25" i="5"/>
  <c r="B26" i="5"/>
  <c r="F26" i="5"/>
  <c r="AA26" i="5"/>
  <c r="AB26" i="5"/>
  <c r="AC26" i="5"/>
  <c r="AD26" i="5"/>
  <c r="AH26" i="5"/>
  <c r="AI26" i="5"/>
  <c r="AJ26" i="5"/>
  <c r="AK26" i="5"/>
  <c r="B28" i="5"/>
  <c r="H28" i="5"/>
  <c r="H29" i="5"/>
  <c r="B30" i="5"/>
  <c r="AF30" i="5"/>
  <c r="AA31" i="5"/>
  <c r="AB31" i="5"/>
  <c r="AC31" i="5"/>
  <c r="AD31" i="5"/>
  <c r="AH31" i="5"/>
  <c r="AI31" i="5"/>
  <c r="AJ31" i="5"/>
  <c r="AK31" i="5"/>
  <c r="AA32" i="5"/>
  <c r="AB32" i="5"/>
  <c r="AC32" i="5"/>
  <c r="AD32" i="5"/>
  <c r="AH32" i="5"/>
  <c r="AI32" i="5"/>
  <c r="AJ32" i="5"/>
  <c r="AK32" i="5"/>
  <c r="AA33" i="5"/>
  <c r="AB33" i="5"/>
  <c r="AC33" i="5"/>
  <c r="AD33" i="5"/>
  <c r="AH33" i="5"/>
  <c r="AI33" i="5"/>
  <c r="AJ33" i="5"/>
  <c r="AK33" i="5"/>
  <c r="AA34" i="5"/>
  <c r="AB34" i="5"/>
  <c r="AC34" i="5"/>
  <c r="AD34" i="5"/>
  <c r="AH34" i="5"/>
  <c r="AI34" i="5"/>
  <c r="AJ34" i="5"/>
  <c r="AK34" i="5"/>
  <c r="AA35" i="5"/>
  <c r="AB35" i="5"/>
  <c r="AC35" i="5"/>
  <c r="AD35" i="5"/>
  <c r="AH35" i="5"/>
  <c r="AI35" i="5"/>
  <c r="AJ35" i="5"/>
  <c r="AK35" i="5"/>
  <c r="AF37" i="5"/>
  <c r="AG37" i="5"/>
  <c r="AF38" i="5"/>
  <c r="AG38" i="5"/>
  <c r="A4" i="6"/>
  <c r="B4" i="6"/>
  <c r="C4" i="6" s="1"/>
  <c r="A5" i="6"/>
  <c r="B5" i="6"/>
  <c r="C5" i="6" s="1"/>
  <c r="B6" i="6"/>
  <c r="C6" i="6" s="1"/>
  <c r="A7" i="6"/>
  <c r="B7" i="6"/>
  <c r="C7" i="6" s="1"/>
  <c r="A11" i="6"/>
  <c r="B11" i="6"/>
  <c r="C11" i="6" s="1"/>
  <c r="A12" i="6"/>
  <c r="B12" i="6"/>
  <c r="C12" i="6" s="1"/>
  <c r="B13" i="6"/>
  <c r="C13" i="6" s="1"/>
  <c r="A14" i="6"/>
  <c r="B14" i="6"/>
  <c r="C14" i="6" s="1"/>
  <c r="A15" i="6"/>
  <c r="B15" i="6"/>
  <c r="C15" i="6" s="1"/>
  <c r="A16" i="6"/>
  <c r="B16" i="6"/>
  <c r="C16" i="6" s="1"/>
  <c r="B17" i="6"/>
  <c r="C17" i="6" s="1"/>
  <c r="E17" i="6"/>
  <c r="B18" i="6"/>
  <c r="C18" i="6" s="1"/>
  <c r="E18" i="6"/>
  <c r="B19" i="6"/>
  <c r="C19" i="6" s="1"/>
  <c r="D19" i="6"/>
  <c r="B22" i="6"/>
  <c r="C22" i="6" s="1"/>
  <c r="B23" i="6"/>
  <c r="C23" i="6" s="1"/>
  <c r="B25" i="6"/>
  <c r="C25" i="6" s="1"/>
  <c r="F29" i="6"/>
  <c r="H44" i="7"/>
  <c r="Y43" i="7" s="1"/>
  <c r="H46" i="7"/>
  <c r="Y52" i="7" s="1"/>
  <c r="H47" i="7"/>
  <c r="Y55" i="7" s="1"/>
  <c r="H48" i="7"/>
  <c r="Y46" i="7" s="1"/>
  <c r="H50" i="7"/>
  <c r="H51" i="7"/>
  <c r="Y48" i="7" s="1"/>
  <c r="H52" i="7"/>
  <c r="Y51" i="7" s="1"/>
  <c r="H53" i="7"/>
  <c r="Y57" i="7" s="1"/>
  <c r="H54" i="7"/>
  <c r="Y60" i="7" s="1"/>
  <c r="I55" i="7"/>
  <c r="D7" i="7"/>
  <c r="H59" i="7"/>
  <c r="Z42" i="7" s="1"/>
  <c r="H60" i="7"/>
  <c r="H61" i="7"/>
  <c r="Z54" i="7" s="1"/>
  <c r="H62" i="7"/>
  <c r="Z53" i="7" s="1"/>
  <c r="H63" i="7"/>
  <c r="H64" i="7"/>
  <c r="Z58" i="7" s="1"/>
  <c r="H65" i="7"/>
  <c r="H66" i="7"/>
  <c r="Z63" i="7" s="1"/>
  <c r="H67" i="7"/>
  <c r="Z64" i="7" s="1"/>
  <c r="H68" i="7"/>
  <c r="H69" i="7"/>
  <c r="Z68" i="7" s="1"/>
  <c r="H70" i="7"/>
  <c r="H71" i="7"/>
  <c r="H72" i="7"/>
  <c r="H73" i="7"/>
  <c r="H74" i="7"/>
  <c r="I75" i="7"/>
  <c r="F7" i="7" s="1"/>
  <c r="H78" i="7"/>
  <c r="H85" i="7"/>
  <c r="AA61" i="7" s="1"/>
  <c r="H81" i="7"/>
  <c r="AA66" i="7" s="1"/>
  <c r="H79" i="7"/>
  <c r="AA71" i="7" s="1"/>
  <c r="H89" i="7"/>
  <c r="AA62" i="7" s="1"/>
  <c r="H88" i="7"/>
  <c r="AA76" i="7" s="1"/>
  <c r="H86" i="7"/>
  <c r="AA49" i="7" s="1"/>
  <c r="H90" i="7"/>
  <c r="AA67" i="7" s="1"/>
  <c r="N29" i="7"/>
  <c r="O29" i="7"/>
  <c r="N30" i="7"/>
  <c r="O30" i="7"/>
  <c r="N31" i="7"/>
  <c r="O31" i="7"/>
  <c r="O32" i="7"/>
  <c r="O33" i="7"/>
  <c r="O39" i="7"/>
  <c r="O40" i="7"/>
  <c r="O41" i="7"/>
  <c r="O42" i="7"/>
  <c r="G59" i="7"/>
  <c r="W42" i="7" s="1"/>
  <c r="G44" i="7"/>
  <c r="W43" i="7" s="1"/>
  <c r="G50" i="7"/>
  <c r="W44" i="7" s="1"/>
  <c r="G45" i="7"/>
  <c r="W47" i="7" s="1"/>
  <c r="J45" i="7"/>
  <c r="G78" i="7"/>
  <c r="W45" i="7" s="1"/>
  <c r="G46" i="7"/>
  <c r="W52" i="7" s="1"/>
  <c r="J46" i="7"/>
  <c r="G48" i="7"/>
  <c r="W46" i="7" s="1"/>
  <c r="G47" i="7"/>
  <c r="J47" i="7"/>
  <c r="Y47" i="7"/>
  <c r="J48" i="7"/>
  <c r="N48" i="7"/>
  <c r="O48" i="7"/>
  <c r="G51" i="7"/>
  <c r="W48" i="7" s="1"/>
  <c r="N49" i="7"/>
  <c r="O49" i="7"/>
  <c r="G86" i="7"/>
  <c r="W49" i="7" s="1"/>
  <c r="J50" i="7"/>
  <c r="N50" i="7"/>
  <c r="O50" i="7"/>
  <c r="G60" i="7"/>
  <c r="W50" i="7" s="1"/>
  <c r="N51" i="7"/>
  <c r="O51" i="7"/>
  <c r="G52" i="7"/>
  <c r="W51" i="7" s="1"/>
  <c r="G53" i="7"/>
  <c r="W57" i="7" s="1"/>
  <c r="J53" i="7"/>
  <c r="G62" i="7"/>
  <c r="W53" i="7" s="1"/>
  <c r="G54" i="7"/>
  <c r="J54" i="7"/>
  <c r="G61" i="7"/>
  <c r="W54" i="7" s="1"/>
  <c r="W55" i="7"/>
  <c r="G63" i="7"/>
  <c r="W56" i="7" s="1"/>
  <c r="Z56" i="7"/>
  <c r="G64" i="7"/>
  <c r="W58" i="7" s="1"/>
  <c r="J59" i="7"/>
  <c r="G65" i="7"/>
  <c r="W59" i="7" s="1"/>
  <c r="Z59" i="7"/>
  <c r="J60" i="7"/>
  <c r="W60" i="7"/>
  <c r="J61" i="7"/>
  <c r="G85" i="7"/>
  <c r="W61" i="7" s="1"/>
  <c r="J62" i="7"/>
  <c r="G89" i="7"/>
  <c r="W62" i="7" s="1"/>
  <c r="J63" i="7"/>
  <c r="G66" i="7"/>
  <c r="W63" i="7" s="1"/>
  <c r="J64" i="7"/>
  <c r="G67" i="7"/>
  <c r="W64" i="7" s="1"/>
  <c r="J65" i="7"/>
  <c r="G68" i="7"/>
  <c r="W65" i="7" s="1"/>
  <c r="Z65" i="7"/>
  <c r="J66" i="7"/>
  <c r="G81" i="7"/>
  <c r="W66" i="7" s="1"/>
  <c r="J67" i="7"/>
  <c r="G90" i="7"/>
  <c r="W67" i="7" s="1"/>
  <c r="J68" i="7"/>
  <c r="G69" i="7"/>
  <c r="W68" i="7" s="1"/>
  <c r="J69" i="7"/>
  <c r="G70" i="7"/>
  <c r="W69" i="7" s="1"/>
  <c r="Z69" i="7"/>
  <c r="J70" i="7"/>
  <c r="G71" i="7"/>
  <c r="W72" i="7" s="1"/>
  <c r="J71" i="7"/>
  <c r="G79" i="7"/>
  <c r="W71" i="7" s="1"/>
  <c r="G72" i="7"/>
  <c r="W73" i="7" s="1"/>
  <c r="J72" i="7"/>
  <c r="Z72" i="7"/>
  <c r="G73" i="7"/>
  <c r="W74" i="7" s="1"/>
  <c r="J73" i="7"/>
  <c r="Z73" i="7"/>
  <c r="G74" i="7"/>
  <c r="W75" i="7" s="1"/>
  <c r="Z74" i="7"/>
  <c r="Z75" i="7"/>
  <c r="G88" i="7"/>
  <c r="W76" i="7" s="1"/>
  <c r="AB79" i="7"/>
  <c r="G97" i="7"/>
  <c r="H97" i="7"/>
  <c r="I97" i="7"/>
  <c r="J97" i="7"/>
  <c r="H100" i="7"/>
  <c r="H101" i="7"/>
  <c r="H102" i="7"/>
  <c r="J102" i="7"/>
  <c r="C16" i="7" a="1"/>
  <c r="D17" i="6" l="1"/>
  <c r="D16" i="6"/>
  <c r="H56" i="12"/>
  <c r="E6" i="12" s="1"/>
  <c r="Z79" i="12"/>
  <c r="J55" i="7"/>
  <c r="H91" i="12"/>
  <c r="E8" i="12" s="1"/>
  <c r="H55" i="7"/>
  <c r="D18" i="6"/>
  <c r="H75" i="7"/>
  <c r="E7" i="7" s="1"/>
  <c r="J56" i="7"/>
  <c r="Z50" i="7"/>
  <c r="Y44" i="7"/>
  <c r="Y79" i="7" s="1"/>
  <c r="I56" i="7"/>
  <c r="D23" i="6"/>
  <c r="E16" i="6"/>
  <c r="D14" i="6"/>
  <c r="D7" i="6"/>
  <c r="E4" i="6"/>
  <c r="J75" i="7"/>
  <c r="I91" i="7"/>
  <c r="I94" i="7" s="1"/>
  <c r="F8" i="7" s="1"/>
  <c r="C16" i="7"/>
  <c r="D16" i="7" s="1"/>
  <c r="B41" i="1" s="1"/>
  <c r="E14" i="6"/>
  <c r="E11" i="6"/>
  <c r="D6" i="6"/>
  <c r="E5" i="6"/>
  <c r="H49" i="7"/>
  <c r="H56" i="7" s="1"/>
  <c r="E6" i="7" s="1"/>
  <c r="J91" i="7"/>
  <c r="J94" i="7" s="1"/>
  <c r="Y79" i="12"/>
  <c r="Z79" i="7"/>
  <c r="J49" i="7"/>
  <c r="H94" i="7"/>
  <c r="E8" i="7" s="1"/>
  <c r="D22" i="6"/>
  <c r="D15" i="6"/>
  <c r="D13" i="6"/>
  <c r="D12" i="6"/>
  <c r="E7" i="6"/>
  <c r="AA79" i="12"/>
  <c r="X80" i="12" s="1"/>
  <c r="F6" i="7"/>
  <c r="C18" i="7" a="1"/>
  <c r="C18" i="7" s="1"/>
  <c r="D18" i="7" s="1"/>
  <c r="AA45" i="7"/>
  <c r="AA79" i="7" s="1"/>
  <c r="E15" i="6"/>
  <c r="E13" i="6"/>
  <c r="E12" i="6"/>
  <c r="E6" i="6"/>
  <c r="L80" i="7"/>
  <c r="AA81" i="12" l="1"/>
  <c r="Z81" i="12"/>
  <c r="AB81" i="12"/>
  <c r="Y81" i="12"/>
  <c r="C17" i="7" a="1"/>
  <c r="C17" i="7" s="1"/>
  <c r="D17" i="7" s="1"/>
  <c r="B40" i="1" s="1"/>
  <c r="E29" i="6"/>
  <c r="C19" i="7" a="1"/>
  <c r="C19" i="7" s="1"/>
  <c r="D19" i="7" s="1"/>
  <c r="X80" i="7"/>
  <c r="AB81" i="7" l="1"/>
  <c r="Y81" i="7"/>
  <c r="Z81" i="7"/>
  <c r="AA81" i="7"/>
</calcChain>
</file>

<file path=xl/sharedStrings.xml><?xml version="1.0" encoding="utf-8"?>
<sst xmlns="http://schemas.openxmlformats.org/spreadsheetml/2006/main" count="1156" uniqueCount="386">
  <si>
    <t>Grade</t>
    <phoneticPr fontId="9" type="noConversion"/>
  </si>
  <si>
    <t>Other courses taken that do not count toward major:</t>
    <phoneticPr fontId="0" type="noConversion"/>
  </si>
  <si>
    <t>GEN 3040</t>
  </si>
  <si>
    <t>CHM 1180</t>
  </si>
  <si>
    <t>Engineering Chemistry</t>
  </si>
  <si>
    <t>Structures</t>
  </si>
  <si>
    <t>Geotech Engr</t>
  </si>
  <si>
    <t>PHY 2213</t>
  </si>
  <si>
    <t>Hist. Studies (H)</t>
  </si>
  <si>
    <t>Professionalism &amp; Ethics</t>
  </si>
  <si>
    <t>Ethics (E)</t>
  </si>
  <si>
    <t>Science*</t>
  </si>
  <si>
    <t>Geotechnical</t>
  </si>
  <si>
    <t>Technical</t>
  </si>
  <si>
    <t>Work with your advisor here.</t>
  </si>
  <si>
    <t>Environmental</t>
  </si>
  <si>
    <t>Soc. Science (SS)</t>
  </si>
  <si>
    <t>Overall GPA</t>
  </si>
  <si>
    <t>Major GPA</t>
  </si>
  <si>
    <t>DIVERSITY CRS.</t>
  </si>
  <si>
    <t>Enter course used here</t>
  </si>
  <si>
    <t>Enviro Studies Gateway</t>
    <phoneticPr fontId="9" type="noConversion"/>
  </si>
  <si>
    <t>Community internship</t>
    <phoneticPr fontId="9" type="noConversion"/>
  </si>
  <si>
    <t>HIS 3525</t>
  </si>
  <si>
    <t>Environmental History of North America</t>
  </si>
  <si>
    <t>* replaces MTH 1111</t>
    <phoneticPr fontId="9" type="noConversion"/>
  </si>
  <si>
    <t>1201 or 1202 or 3305</t>
    <phoneticPr fontId="9" type="noConversion"/>
  </si>
  <si>
    <t>Enviro Ethis</t>
    <phoneticPr fontId="9" type="noConversion"/>
  </si>
  <si>
    <t>MTH 1505*</t>
    <phoneticPr fontId="9" type="noConversion"/>
  </si>
  <si>
    <t>PHL 2070</t>
    <phoneticPr fontId="9" type="noConversion"/>
  </si>
  <si>
    <t>ESS 1050</t>
    <phoneticPr fontId="9" type="noConversion"/>
  </si>
  <si>
    <t>ESS 4850</t>
    <phoneticPr fontId="9" type="noConversion"/>
  </si>
  <si>
    <t>ECO</t>
    <phoneticPr fontId="9" type="noConversion"/>
  </si>
  <si>
    <t>ECO 1201  Introduction to Economics   </t>
  </si>
  <si>
    <t>ECO 1202  Topics in Introductory Economics </t>
  </si>
  <si>
    <t>Social Science</t>
    <phoneticPr fontId="0" type="noConversion"/>
  </si>
  <si>
    <t>HSC 1104  Introduction to Human Disease</t>
  </si>
  <si>
    <t>HSC 1106  Human Biology</t>
  </si>
  <si>
    <t>HSC 1122  Anatomy and Physiology I</t>
  </si>
  <si>
    <t>HSC 2300  Nutrition, Diet and Health</t>
  </si>
  <si>
    <t>HSC 3302  Community Public Health</t>
  </si>
  <si>
    <t>Science Elective</t>
    <phoneticPr fontId="0" type="noConversion"/>
  </si>
  <si>
    <t>GEN 1001</t>
  </si>
  <si>
    <t>PHL 1000</t>
  </si>
  <si>
    <t>Intro to Philosophy</t>
  </si>
  <si>
    <t>Arts &amp; Lit (AL)</t>
  </si>
  <si>
    <t>GEN2010</t>
  </si>
  <si>
    <t>GEN2012</t>
  </si>
  <si>
    <t>PHY 2212</t>
  </si>
  <si>
    <t>Physics II</t>
  </si>
  <si>
    <t>General Education</t>
  </si>
  <si>
    <t>Inst. Reqmt=44</t>
    <phoneticPr fontId="9" type="noConversion"/>
  </si>
  <si>
    <t>Year;</t>
  </si>
  <si>
    <t>Semester or</t>
  </si>
  <si>
    <t>Quarter</t>
  </si>
  <si>
    <t>Category (Credit Hours)</t>
  </si>
  <si>
    <t>Operations Management</t>
    <phoneticPr fontId="9" type="noConversion"/>
  </si>
  <si>
    <t>Number of Credits*</t>
  </si>
  <si>
    <t>Category</t>
  </si>
  <si>
    <t>Criteria</t>
  </si>
  <si>
    <t>Table I-1</t>
  </si>
  <si>
    <t>Math &amp; Basic Sciences</t>
  </si>
  <si>
    <t>Other</t>
  </si>
  <si>
    <t>Course</t>
  </si>
  <si>
    <t>(Department, Number, Title)</t>
  </si>
  <si>
    <t>3. Quantitative Reasoning (Q)</t>
    <phoneticPr fontId="9" type="noConversion"/>
  </si>
  <si>
    <t>Required</t>
    <phoneticPr fontId="9" type="noConversion"/>
  </si>
  <si>
    <t>Credits</t>
    <phoneticPr fontId="9" type="noConversion"/>
  </si>
  <si>
    <t>7. Foreign language*</t>
    <phoneticPr fontId="9" type="noConversion"/>
  </si>
  <si>
    <t>Work with your advisor here.</t>
    <phoneticPr fontId="0" type="noConversion"/>
  </si>
  <si>
    <t>INSTRUCTIONS FOR USE</t>
    <phoneticPr fontId="0" type="noConversion"/>
  </si>
  <si>
    <t>ENTER NAME HERE</t>
    <phoneticPr fontId="0" type="noConversion"/>
  </si>
  <si>
    <t>ID HERE</t>
    <phoneticPr fontId="0" type="noConversion"/>
  </si>
  <si>
    <t>Freshman; Fall</t>
    <phoneticPr fontId="9" type="noConversion"/>
  </si>
  <si>
    <t>OTHER RULES FOR TRANSITION:</t>
    <phoneticPr fontId="0" type="noConversion"/>
  </si>
  <si>
    <t>Second Philosophy course</t>
    <phoneticPr fontId="0" type="noConversion"/>
  </si>
  <si>
    <t>BUS 2203</t>
    <phoneticPr fontId="9" type="noConversion"/>
  </si>
  <si>
    <t>Accounting for Business</t>
    <phoneticPr fontId="9" type="noConversion"/>
  </si>
  <si>
    <t>BUS 2205</t>
    <phoneticPr fontId="9" type="noConversion"/>
  </si>
  <si>
    <t>Principles of Marketing</t>
    <phoneticPr fontId="9" type="noConversion"/>
  </si>
  <si>
    <t>BUS 1100</t>
    <phoneticPr fontId="9" type="noConversion"/>
  </si>
  <si>
    <t>Essentials of Bus. Analysis</t>
    <phoneticPr fontId="9" type="noConversion"/>
  </si>
  <si>
    <t>BUS 2210</t>
    <phoneticPr fontId="9" type="noConversion"/>
  </si>
  <si>
    <t>BUS 2220</t>
    <phoneticPr fontId="9" type="noConversion"/>
  </si>
  <si>
    <t xml:space="preserve">ADVISOR:  </t>
  </si>
  <si>
    <t>Fall</t>
    <phoneticPr fontId="0" type="noConversion"/>
  </si>
  <si>
    <t>Marc</t>
    <phoneticPr fontId="0" type="noConversion"/>
  </si>
  <si>
    <t>Aaron</t>
    <phoneticPr fontId="0" type="noConversion"/>
  </si>
  <si>
    <t>Dave</t>
    <phoneticPr fontId="0" type="noConversion"/>
  </si>
  <si>
    <t>Calculus I</t>
  </si>
  <si>
    <t>Calculus II</t>
  </si>
  <si>
    <t>Calculus III</t>
  </si>
  <si>
    <t>Historical Studies</t>
    <phoneticPr fontId="0" type="noConversion"/>
  </si>
  <si>
    <t>F</t>
    <phoneticPr fontId="9" type="noConversion"/>
  </si>
  <si>
    <t>D-</t>
    <phoneticPr fontId="9" type="noConversion"/>
  </si>
  <si>
    <t>D</t>
    <phoneticPr fontId="9" type="noConversion"/>
  </si>
  <si>
    <t>D+</t>
    <phoneticPr fontId="9" type="noConversion"/>
  </si>
  <si>
    <t>C-</t>
    <phoneticPr fontId="9" type="noConversion"/>
  </si>
  <si>
    <t>C</t>
    <phoneticPr fontId="9" type="noConversion"/>
  </si>
  <si>
    <t>C+</t>
    <phoneticPr fontId="9" type="noConversion"/>
  </si>
  <si>
    <t>B-</t>
    <phoneticPr fontId="9" type="noConversion"/>
  </si>
  <si>
    <t>B</t>
    <phoneticPr fontId="9" type="noConversion"/>
  </si>
  <si>
    <t>B+</t>
    <phoneticPr fontId="9" type="noConversion"/>
  </si>
  <si>
    <t>A-</t>
    <phoneticPr fontId="9" type="noConversion"/>
  </si>
  <si>
    <t>A</t>
    <phoneticPr fontId="9" type="noConversion"/>
  </si>
  <si>
    <t>Connections</t>
    <phoneticPr fontId="9" type="noConversion"/>
  </si>
  <si>
    <t>TOTALS</t>
    <phoneticPr fontId="9" type="noConversion"/>
  </si>
  <si>
    <t>Student Name:</t>
  </si>
  <si>
    <t>CEN 4820 Special Topics in Civil Eng.</t>
    <phoneticPr fontId="0" type="noConversion"/>
  </si>
  <si>
    <t>ECO 3305  Ecological Economics</t>
  </si>
  <si>
    <t>College-level Mathematics and Basic Science</t>
  </si>
  <si>
    <t>CEN 4040  Geometric Design</t>
  </si>
  <si>
    <t>Environmental elective</t>
  </si>
  <si>
    <t>CEN 4900</t>
  </si>
  <si>
    <t>TOOK FE EXAM</t>
  </si>
  <si>
    <t>NOTES</t>
  </si>
  <si>
    <t xml:space="preserve"> 1 yr (30-32 cr)</t>
  </si>
  <si>
    <t>Engineering Topics</t>
  </si>
  <si>
    <t xml:space="preserve"> </t>
  </si>
  <si>
    <t>CEN3050</t>
  </si>
  <si>
    <t>CEN3090</t>
  </si>
  <si>
    <t>CEN 4901</t>
  </si>
  <si>
    <t>1.5 yr (45-48 cr)</t>
  </si>
  <si>
    <t>Transportation</t>
    <phoneticPr fontId="0" type="noConversion"/>
  </si>
  <si>
    <t>Environmental</t>
    <phoneticPr fontId="0" type="noConversion"/>
  </si>
  <si>
    <t>CEN 3010, 3020,3030, 3040, 3050 (one senior CEN elective may be substituted for one of these jr courses) and at least 1 sr CEN elective</t>
    <phoneticPr fontId="9" type="noConversion"/>
  </si>
  <si>
    <t>x</t>
    <phoneticPr fontId="9" type="noConversion"/>
  </si>
  <si>
    <t>x</t>
    <phoneticPr fontId="9" type="noConversion"/>
  </si>
  <si>
    <t>PHL 1000</t>
    <phoneticPr fontId="0" type="noConversion"/>
  </si>
  <si>
    <t>SENIOR YEAR</t>
  </si>
  <si>
    <t xml:space="preserve">    </t>
  </si>
  <si>
    <t># cr</t>
  </si>
  <si>
    <t>Diff. Equations</t>
  </si>
  <si>
    <t>Want</t>
    <phoneticPr fontId="9" type="noConversion"/>
  </si>
  <si>
    <t>taken</t>
    <phoneticPr fontId="9" type="noConversion"/>
  </si>
  <si>
    <t>CEN 1001 counts for 4 more if taken F08 or later</t>
  </si>
  <si>
    <t>Applied Statistics</t>
  </si>
  <si>
    <t>Physics I</t>
  </si>
  <si>
    <t>SOPHOMORE YEAR</t>
  </si>
  <si>
    <t>FRESHMAN YEAR</t>
  </si>
  <si>
    <t>Fluid Mech.</t>
  </si>
  <si>
    <t>* Uses Calculus II as replacement for this requirement</t>
    <phoneticPr fontId="9" type="noConversion"/>
  </si>
  <si>
    <t>10. STEM</t>
    <phoneticPr fontId="9" type="noConversion"/>
  </si>
  <si>
    <t>11. Cultural Diversity (D)</t>
    <phoneticPr fontId="9" type="noConversion"/>
  </si>
  <si>
    <t>4.  You may keep track of your progress through the curriculum by clicking on the Flowchart sheet.  All completed courses will be outlined in yellow.</t>
    <phoneticPr fontId="0" type="noConversion"/>
  </si>
  <si>
    <t>CEN 4012  Steel Analysis and Design</t>
  </si>
  <si>
    <t>CEN4016 Concrete Analysis &amp; Design</t>
  </si>
  <si>
    <t>CEN 4042  Traffic Engineering</t>
  </si>
  <si>
    <t>CHM 1180</t>
    <phoneticPr fontId="0" type="noConversion"/>
  </si>
  <si>
    <t>CLASS YEAR HERE</t>
    <phoneticPr fontId="0" type="noConversion"/>
  </si>
  <si>
    <t>ADVISOR HERE</t>
    <phoneticPr fontId="0" type="noConversion"/>
  </si>
  <si>
    <t>Pre-requisites or co-requisites not met</t>
    <phoneticPr fontId="0" type="noConversion"/>
  </si>
  <si>
    <t>Freshman Seminar or other writing intensivecourse</t>
    <phoneticPr fontId="0" type="noConversion"/>
  </si>
  <si>
    <t>Requirement</t>
  </si>
  <si>
    <t>Y</t>
  </si>
  <si>
    <t>College Writing</t>
  </si>
  <si>
    <t>PHY 2211</t>
  </si>
  <si>
    <t>Minimum semester credit hours</t>
  </si>
  <si>
    <t>32 hrs</t>
  </si>
  <si>
    <t xml:space="preserve">48 hrs           </t>
  </si>
  <si>
    <t>satisfy one set</t>
  </si>
  <si>
    <t>Minimum percentage</t>
  </si>
  <si>
    <t>Table 5-1 Curriculum</t>
    <phoneticPr fontId="9" type="noConversion"/>
  </si>
  <si>
    <r>
      <t xml:space="preserve">Engineering Topics </t>
    </r>
    <r>
      <rPr>
        <i/>
        <sz val="12"/>
        <rFont val="Times New Roman"/>
        <family val="1"/>
      </rPr>
      <t>Check if Contains Significant Design (√)</t>
    </r>
    <phoneticPr fontId="9" type="noConversion"/>
  </si>
  <si>
    <t>ID #</t>
  </si>
  <si>
    <t>Intro. to Eng.</t>
  </si>
  <si>
    <t>MTH 1505</t>
  </si>
  <si>
    <t>MTH 1217</t>
  </si>
  <si>
    <t>MTH 1218</t>
  </si>
  <si>
    <t>JUNIOR YEAR 1</t>
    <phoneticPr fontId="9" type="noConversion"/>
  </si>
  <si>
    <t>WORK IN SUMMER</t>
    <phoneticPr fontId="9" type="noConversion"/>
  </si>
  <si>
    <t>WORK DURING FALL</t>
    <phoneticPr fontId="9" type="noConversion"/>
  </si>
  <si>
    <t>WORK DURING SPRING</t>
    <phoneticPr fontId="9" type="noConversion"/>
  </si>
  <si>
    <t>JUNIOR YEAR 2</t>
    <phoneticPr fontId="9" type="noConversion"/>
  </si>
  <si>
    <t>Curriculum Analysis</t>
    <phoneticPr fontId="9" type="noConversion"/>
  </si>
  <si>
    <t>Curricular</t>
  </si>
  <si>
    <t>Student Number:</t>
  </si>
  <si>
    <t>Gary</t>
    <phoneticPr fontId="0" type="noConversion"/>
  </si>
  <si>
    <t>Adjuncts</t>
    <phoneticPr fontId="0" type="noConversion"/>
  </si>
  <si>
    <t>Intro to Philosophy</t>
    <phoneticPr fontId="0" type="noConversion"/>
  </si>
  <si>
    <t>CEN 5044 Trans Plng &amp; Sys Anal</t>
    <phoneticPr fontId="9" type="noConversion"/>
  </si>
  <si>
    <t>CEN 5050  Const Plng &amp; Mgmt</t>
    <phoneticPr fontId="9" type="noConversion"/>
  </si>
  <si>
    <t>CEN 5820 Special Topics in Civil Eng.</t>
    <phoneticPr fontId="0" type="noConversion"/>
  </si>
  <si>
    <t>GEN 1001</t>
    <phoneticPr fontId="9" type="noConversion"/>
  </si>
  <si>
    <t>GEN2010</t>
    <phoneticPr fontId="9" type="noConversion"/>
  </si>
  <si>
    <t>GEN2012</t>
    <phoneticPr fontId="9" type="noConversion"/>
  </si>
  <si>
    <t>GEN 3040</t>
    <phoneticPr fontId="9" type="noConversion"/>
  </si>
  <si>
    <t>Ethics (E)</t>
    <phoneticPr fontId="9" type="noConversion"/>
  </si>
  <si>
    <t>Arts &amp; Lit (AL)</t>
    <phoneticPr fontId="0" type="noConversion"/>
  </si>
  <si>
    <t>Hist. Studies (H)</t>
    <phoneticPr fontId="9" type="noConversion"/>
  </si>
  <si>
    <t>Enviro. Engr.</t>
  </si>
  <si>
    <t>Senior Seminar</t>
  </si>
  <si>
    <t xml:space="preserve">                        MERRIMACK COLLEGE</t>
  </si>
  <si>
    <t>Mechanics I</t>
  </si>
  <si>
    <t>PERCENT OF TOTAL</t>
  </si>
  <si>
    <t>Totals must</t>
  </si>
  <si>
    <t>Structures</t>
    <phoneticPr fontId="0" type="noConversion"/>
  </si>
  <si>
    <t>Technical</t>
    <phoneticPr fontId="0" type="noConversion"/>
  </si>
  <si>
    <t>1. Enter a 1 into the boxes outlined in green beside courses that you have completed successfully</t>
    <phoneticPr fontId="0" type="noConversion"/>
  </si>
  <si>
    <t>MATH AND SCIENCE</t>
    <phoneticPr fontId="9" type="noConversion"/>
  </si>
  <si>
    <t>CIVIL ENGINEERING</t>
    <phoneticPr fontId="9" type="noConversion"/>
  </si>
  <si>
    <t>GENERAL EDUCATION</t>
    <phoneticPr fontId="9" type="noConversion"/>
  </si>
  <si>
    <t>Pre-requisite for another course</t>
    <phoneticPr fontId="0" type="noConversion"/>
  </si>
  <si>
    <t>Co-requisite for another course</t>
    <phoneticPr fontId="0" type="noConversion"/>
  </si>
  <si>
    <t>Class year:</t>
  </si>
  <si>
    <t>Advisor:</t>
  </si>
  <si>
    <t>Pre-calculus</t>
  </si>
  <si>
    <t>Permission of academic advisor</t>
  </si>
  <si>
    <t>Senior standing</t>
  </si>
  <si>
    <t>Steps to your goal:</t>
  </si>
  <si>
    <t xml:space="preserve">Technical Electives </t>
    <phoneticPr fontId="0" type="noConversion"/>
  </si>
  <si>
    <t>(or any of the above not counted as depth elective)</t>
  </si>
  <si>
    <t xml:space="preserve">Technical Electives </t>
    <phoneticPr fontId="9" type="noConversion"/>
  </si>
  <si>
    <t>*Suggested Science Electives:</t>
    <phoneticPr fontId="9" type="noConversion"/>
  </si>
  <si>
    <t>Junior; Spring</t>
    <phoneticPr fontId="9" type="noConversion"/>
  </si>
  <si>
    <t>CEN senior electives are listed on curriculum sheet</t>
    <phoneticPr fontId="9" type="noConversion"/>
  </si>
  <si>
    <r>
      <t xml:space="preserve">Elective </t>
    </r>
    <r>
      <rPr>
        <i/>
        <sz val="12"/>
        <rFont val="Times New Roman"/>
        <family val="1"/>
      </rPr>
      <t>(course here)</t>
    </r>
    <phoneticPr fontId="0" type="noConversion"/>
  </si>
  <si>
    <t>CEN 4044 Trans Plng &amp; Sys Anal</t>
  </si>
  <si>
    <t>CEN 4050  Const Plng &amp; Mgmt</t>
  </si>
  <si>
    <t>CEN3010</t>
  </si>
  <si>
    <t>CEN3020</t>
  </si>
  <si>
    <t>Thermodynamics</t>
  </si>
  <si>
    <t>RTS 1001</t>
  </si>
  <si>
    <t>PHY 2213</t>
    <phoneticPr fontId="0" type="noConversion"/>
  </si>
  <si>
    <t>OVERALL</t>
    <phoneticPr fontId="9" type="noConversion"/>
  </si>
  <si>
    <t>Overall GPA</t>
    <phoneticPr fontId="0" type="noConversion"/>
  </si>
  <si>
    <t>Major GPA</t>
    <phoneticPr fontId="0" type="noConversion"/>
  </si>
  <si>
    <t>of Self-Study</t>
  </si>
  <si>
    <t>Actuals</t>
    <phoneticPr fontId="9" type="noConversion"/>
  </si>
  <si>
    <t>Explorations</t>
    <phoneticPr fontId="9" type="noConversion"/>
  </si>
  <si>
    <t>Credits</t>
    <phoneticPr fontId="9" type="noConversion"/>
  </si>
  <si>
    <t>Credits</t>
    <phoneticPr fontId="9" type="noConversion"/>
  </si>
  <si>
    <t>Structures</t>
    <phoneticPr fontId="0" type="noConversion"/>
  </si>
  <si>
    <t>Geotechnical</t>
    <phoneticPr fontId="0" type="noConversion"/>
  </si>
  <si>
    <t>DIVERSITY CRS.</t>
    <phoneticPr fontId="0" type="noConversion"/>
  </si>
  <si>
    <t>FE Exam taken</t>
    <phoneticPr fontId="9" type="noConversion"/>
  </si>
  <si>
    <t>Writing intensive (W)**</t>
    <phoneticPr fontId="9" type="noConversion"/>
  </si>
  <si>
    <t>Experiential (X)***</t>
    <phoneticPr fontId="9" type="noConversion"/>
  </si>
  <si>
    <t>Key</t>
  </si>
  <si>
    <t>Pre-requisite:</t>
  </si>
  <si>
    <t>Co-requisite</t>
  </si>
  <si>
    <t>CEN</t>
  </si>
  <si>
    <t>Structures elective</t>
  </si>
  <si>
    <t>Geotechnical elective</t>
  </si>
  <si>
    <t>CEN 4030  Enviro Design</t>
  </si>
  <si>
    <r>
      <t xml:space="preserve">Elective </t>
    </r>
    <r>
      <rPr>
        <i/>
        <sz val="12"/>
        <rFont val="Times New Roman"/>
        <family val="1"/>
      </rPr>
      <t>(course here)</t>
    </r>
    <phoneticPr fontId="0" type="noConversion"/>
  </si>
  <si>
    <t>Science*</t>
    <phoneticPr fontId="0" type="noConversion"/>
  </si>
  <si>
    <t>Social Science</t>
    <phoneticPr fontId="0" type="noConversion"/>
  </si>
  <si>
    <t>TOTALS-ABET BASIC-LEVEL REQUIREMENTS</t>
  </si>
  <si>
    <t>For Students matriculating prior to Fall 2008 and/or transfers</t>
    <phoneticPr fontId="0" type="noConversion"/>
  </si>
  <si>
    <t>Senior; Fall</t>
    <phoneticPr fontId="9" type="noConversion"/>
  </si>
  <si>
    <t>List of CE Senior Electives</t>
  </si>
  <si>
    <t>Environmental Engineering</t>
  </si>
  <si>
    <t xml:space="preserve">                       DEPARTMENT OF CIVIL ENGINEERING CURRICULUM</t>
  </si>
  <si>
    <t>Des. Project</t>
  </si>
  <si>
    <t>Arts and Literature</t>
    <phoneticPr fontId="9" type="noConversion"/>
  </si>
  <si>
    <t>Please List Below Any Applicable Program Criteria Requirements:</t>
  </si>
  <si>
    <t>Reference for Table I-1</t>
    <phoneticPr fontId="9" type="noConversion"/>
  </si>
  <si>
    <t>CEN 4032 Applied Hydrology</t>
  </si>
  <si>
    <t>CEN 4020 Geotechnical Design</t>
  </si>
  <si>
    <t>Engineering Chemistry</t>
    <phoneticPr fontId="0" type="noConversion"/>
  </si>
  <si>
    <t>CSC 1610 Computer Science I</t>
    <phoneticPr fontId="9" type="noConversion"/>
  </si>
  <si>
    <t>HSC 3302 Community Public Health</t>
    <phoneticPr fontId="9" type="noConversion"/>
  </si>
  <si>
    <t>BIO 3090 Environmental Ecology</t>
    <phoneticPr fontId="9" type="noConversion"/>
  </si>
  <si>
    <t>CEN 4060 Geology</t>
    <phoneticPr fontId="9" type="noConversion"/>
  </si>
  <si>
    <t>BIO 1027 Principles of Biology I</t>
    <phoneticPr fontId="9" type="noConversion"/>
  </si>
  <si>
    <t>AST 1101 Introduction to Astronomy</t>
    <phoneticPr fontId="9" type="noConversion"/>
  </si>
  <si>
    <t>CEN 5030  Enviro Design</t>
    <phoneticPr fontId="9" type="noConversion"/>
  </si>
  <si>
    <t>Our mission is to prepare exceptional civil engineers!</t>
    <phoneticPr fontId="9" type="noConversion"/>
  </si>
  <si>
    <t>mag factor</t>
    <phoneticPr fontId="9" type="noConversion"/>
  </si>
  <si>
    <t>Mechanics II</t>
  </si>
  <si>
    <t>2. Now you're ready to begin planning the upcoming semester.  Enter a 1 into the green boxes beside courses in which you would like to enroll next semester.</t>
    <phoneticPr fontId="0" type="noConversion"/>
  </si>
  <si>
    <t>MTH 2220</t>
  </si>
  <si>
    <t>MTH 2219</t>
  </si>
  <si>
    <t>Spring</t>
    <phoneticPr fontId="0" type="noConversion"/>
  </si>
  <si>
    <t>Workloads</t>
    <phoneticPr fontId="0" type="noConversion"/>
  </si>
  <si>
    <t>Soc. Science (SS)</t>
    <phoneticPr fontId="0" type="noConversion"/>
  </si>
  <si>
    <t>Soc. Science (SS)</t>
    <phoneticPr fontId="0" type="noConversion"/>
  </si>
  <si>
    <t>OVERALL TOTAL FOR DEGREE</t>
  </si>
  <si>
    <t>Junior; Fall</t>
    <phoneticPr fontId="9" type="noConversion"/>
  </si>
  <si>
    <t>Geotech Engr</t>
    <phoneticPr fontId="0" type="noConversion"/>
  </si>
  <si>
    <t>N</t>
  </si>
  <si>
    <t>Course(s) taken</t>
  </si>
  <si>
    <t>Intro to Religious Studies</t>
  </si>
  <si>
    <t>Name</t>
  </si>
  <si>
    <t>Sophomore; Spring</t>
    <phoneticPr fontId="9" type="noConversion"/>
  </si>
  <si>
    <t>Professionalism &amp; Ethics</t>
    <phoneticPr fontId="0" type="noConversion"/>
  </si>
  <si>
    <t xml:space="preserve">                       CIVIL ENGINEERING CURRICULUM</t>
    <phoneticPr fontId="0" type="noConversion"/>
  </si>
  <si>
    <t>Must take one additional ESS elective approved by the ESS Director</t>
    <phoneticPr fontId="9" type="noConversion"/>
  </si>
  <si>
    <t>Management Info. Systems</t>
    <phoneticPr fontId="9" type="noConversion"/>
  </si>
  <si>
    <t>Technical Elective</t>
    <phoneticPr fontId="9" type="noConversion"/>
  </si>
  <si>
    <t>x</t>
    <phoneticPr fontId="9" type="noConversion"/>
  </si>
  <si>
    <t>FALL</t>
  </si>
  <si>
    <t>SPRING</t>
  </si>
  <si>
    <t>Geotechnical Engineering</t>
  </si>
  <si>
    <t>Structural Engineering</t>
  </si>
  <si>
    <t>Transportation</t>
  </si>
  <si>
    <t>JUNIOR YEAR</t>
  </si>
  <si>
    <t>3. The cell will turn red if you are missing any co or pre-requisites, which are shown in teal and pink, respectively.</t>
    <phoneticPr fontId="0" type="noConversion"/>
  </si>
  <si>
    <t>Number</t>
    <phoneticPr fontId="0" type="noConversion"/>
  </si>
  <si>
    <t>Credits</t>
    <phoneticPr fontId="0" type="noConversion"/>
  </si>
  <si>
    <t>CEN 2001</t>
  </si>
  <si>
    <t>CE Site Design</t>
  </si>
  <si>
    <t>CEN3030</t>
  </si>
  <si>
    <t>At least one of the general education courses must be chosen from the</t>
    <phoneticPr fontId="9" type="noConversion"/>
  </si>
  <si>
    <t>cultural diversity list of courses.</t>
    <phoneticPr fontId="9" type="noConversion"/>
  </si>
  <si>
    <t>Foundations</t>
    <phoneticPr fontId="9" type="noConversion"/>
  </si>
  <si>
    <t>HSC 3302 Community Public Health</t>
  </si>
  <si>
    <t>BIO 3090 – 3099 Global Field Studies Program Courses</t>
  </si>
  <si>
    <t>CEN 4060 Geology</t>
  </si>
  <si>
    <t>CSC 1610 Computer Science I</t>
  </si>
  <si>
    <t>CEN 5032 Applied Hydrology</t>
    <phoneticPr fontId="9" type="noConversion"/>
  </si>
  <si>
    <t>CEN 5012  Steel Analysis and Design</t>
    <phoneticPr fontId="9" type="noConversion"/>
  </si>
  <si>
    <t>CEN 5016 Concrete Analysis &amp; Design</t>
    <phoneticPr fontId="9" type="noConversion"/>
  </si>
  <si>
    <t>CEN 5042  Traffic Engineering</t>
    <phoneticPr fontId="9" type="noConversion"/>
  </si>
  <si>
    <t>CEN 5040  Geometric Design</t>
    <phoneticPr fontId="9" type="noConversion"/>
  </si>
  <si>
    <t>Freshman; Spring</t>
    <phoneticPr fontId="9" type="noConversion"/>
  </si>
  <si>
    <t>Sophomore; Fall</t>
    <phoneticPr fontId="9" type="noConversion"/>
  </si>
  <si>
    <t>*Science Elective may not be in Physics or Chemistry.  Suggested courses:</t>
    <phoneticPr fontId="0" type="noConversion"/>
  </si>
  <si>
    <t>AST 1101 Introduction to Astronomy</t>
  </si>
  <si>
    <t>BIO 1027 Principles of Biology I</t>
  </si>
  <si>
    <t>BIO 3009 Environment, Ecology and Society</t>
  </si>
  <si>
    <t>Senior; Spring</t>
    <phoneticPr fontId="9" type="noConversion"/>
  </si>
  <si>
    <t>PHY 2212</t>
    <phoneticPr fontId="0" type="noConversion"/>
  </si>
  <si>
    <t>Physics II</t>
    <phoneticPr fontId="0" type="noConversion"/>
  </si>
  <si>
    <t>Ethics</t>
    <phoneticPr fontId="0" type="noConversion"/>
  </si>
  <si>
    <t>Uses GEN 1001</t>
    <phoneticPr fontId="9" type="noConversion"/>
  </si>
  <si>
    <t>Uses CEN 4901</t>
    <phoneticPr fontId="9" type="noConversion"/>
  </si>
  <si>
    <t>Uses MTH 1217</t>
    <phoneticPr fontId="9" type="noConversion"/>
  </si>
  <si>
    <t>Uses PHY 2217</t>
    <phoneticPr fontId="9" type="noConversion"/>
  </si>
  <si>
    <t>Uses MTH 1218</t>
    <phoneticPr fontId="9" type="noConversion"/>
  </si>
  <si>
    <t>Elective (course here)</t>
  </si>
  <si>
    <t>LAST ROW</t>
    <phoneticPr fontId="0" type="noConversion"/>
  </si>
  <si>
    <t>STEM electives</t>
    <phoneticPr fontId="9" type="noConversion"/>
  </si>
  <si>
    <t>Technical Elective</t>
    <phoneticPr fontId="9" type="noConversion"/>
  </si>
  <si>
    <t>Course used:</t>
    <phoneticPr fontId="9" type="noConversion"/>
  </si>
  <si>
    <t>Diversity course</t>
    <phoneticPr fontId="9" type="noConversion"/>
  </si>
  <si>
    <t>Credits</t>
    <phoneticPr fontId="9" type="noConversion"/>
  </si>
  <si>
    <t xml:space="preserve">Credits </t>
    <phoneticPr fontId="9" type="noConversion"/>
  </si>
  <si>
    <t>Required</t>
    <phoneticPr fontId="9" type="noConversion"/>
  </si>
  <si>
    <t>Taken</t>
    <phoneticPr fontId="9" type="noConversion"/>
  </si>
  <si>
    <t>TOTAL INSTITUTIONAL</t>
    <phoneticPr fontId="9" type="noConversion"/>
  </si>
  <si>
    <t>TOTAL DISTRIBUTION</t>
    <phoneticPr fontId="9" type="noConversion"/>
  </si>
  <si>
    <t>TOTAL GENERAL EDUCATION</t>
    <phoneticPr fontId="9" type="noConversion"/>
  </si>
  <si>
    <t>Checks</t>
    <phoneticPr fontId="9" type="noConversion"/>
  </si>
  <si>
    <t>Course used?</t>
    <phoneticPr fontId="0" type="noConversion"/>
  </si>
  <si>
    <t>Distribution Requirements</t>
    <phoneticPr fontId="9" type="noConversion"/>
  </si>
  <si>
    <t>FE Exam</t>
    <phoneticPr fontId="9" type="noConversion"/>
  </si>
  <si>
    <t>Science and Math Topics</t>
    <phoneticPr fontId="9" type="noConversion"/>
  </si>
  <si>
    <t>TOTAL MATH</t>
    <phoneticPr fontId="9" type="noConversion"/>
  </si>
  <si>
    <t>TOTAL SCIENCE</t>
    <phoneticPr fontId="9" type="noConversion"/>
  </si>
  <si>
    <t>TOTAL MATH and SCIENCE</t>
    <phoneticPr fontId="9" type="noConversion"/>
  </si>
  <si>
    <t>Engineering Topics</t>
    <phoneticPr fontId="9" type="noConversion"/>
  </si>
  <si>
    <t>TOTAL ENGINEERING</t>
    <phoneticPr fontId="9" type="noConversion"/>
  </si>
  <si>
    <t>Institutional Requirements</t>
    <phoneticPr fontId="9" type="noConversion"/>
  </si>
  <si>
    <t>Writing Intensive</t>
    <phoneticPr fontId="9" type="noConversion"/>
  </si>
  <si>
    <t>WLC</t>
  </si>
  <si>
    <t>Major course</t>
  </si>
  <si>
    <t>choose WLC major course</t>
  </si>
  <si>
    <t>Major Course</t>
  </si>
  <si>
    <t>STUDY ABROAD SEMESTER</t>
  </si>
  <si>
    <t>abroad</t>
  </si>
  <si>
    <t>WLC Requirements</t>
  </si>
  <si>
    <t>WLC Fall freshman year</t>
  </si>
  <si>
    <t>WLC Fall sophomore year</t>
  </si>
  <si>
    <t>WLC Fall junior year 1</t>
  </si>
  <si>
    <t>WLC Fall junior year 2</t>
  </si>
  <si>
    <t>WLC Spring junior year 2</t>
  </si>
  <si>
    <t>WLC in senior year</t>
  </si>
  <si>
    <t>TOTAL WLC Major</t>
  </si>
  <si>
    <t>CE and WLC Double Major Proposal</t>
  </si>
  <si>
    <t>Int'l Service Project</t>
  </si>
  <si>
    <t>Arts and Literature (AL)</t>
  </si>
  <si>
    <t>Ethics</t>
  </si>
  <si>
    <t>Foundations</t>
  </si>
  <si>
    <t>Explorations</t>
  </si>
  <si>
    <t>Quantitative Reasoning (Q)</t>
  </si>
  <si>
    <t>use MTH 1217</t>
  </si>
  <si>
    <t>Foreign Language*</t>
  </si>
  <si>
    <t>use MTH 1218</t>
  </si>
  <si>
    <t>FYW 1050</t>
  </si>
  <si>
    <t>RTS 1100</t>
  </si>
  <si>
    <t>Christianity in Context</t>
  </si>
  <si>
    <t>FYW1050</t>
  </si>
  <si>
    <t>CEN 5020 Foundation Engineering</t>
  </si>
  <si>
    <t>CEN 5022 Earth Slopes &amp; Retaining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</si>
</sst>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0"/>
      <name val="Geneva"/>
    </font>
    <font>
      <i/>
      <sz val="10"/>
      <name val="Geneva"/>
    </font>
    <font>
      <b/>
      <i/>
      <sz val="10"/>
      <name val="Geneva"/>
    </font>
    <font>
      <b/>
      <sz val="12"/>
      <name val="Geneva"/>
    </font>
    <font>
      <sz val="12"/>
      <name val="Geneva"/>
    </font>
    <font>
      <sz val="10"/>
      <name val="Times New Roman"/>
    </font>
    <font>
      <sz val="12"/>
      <name val="Times"/>
    </font>
    <font>
      <b/>
      <sz val="12"/>
      <name val="Times"/>
    </font>
    <font>
      <i/>
      <sz val="12"/>
      <name val="Times"/>
      <family val="1"/>
    </font>
    <font>
      <sz val="8"/>
      <name val="Verdana"/>
    </font>
    <font>
      <b/>
      <sz val="12"/>
      <name val="Arial Black"/>
      <family val="2"/>
    </font>
    <font>
      <b/>
      <i/>
      <sz val="12"/>
      <name val="Times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i/>
      <sz val="12"/>
      <name val="Times New Roman"/>
      <family val="1"/>
    </font>
    <font>
      <sz val="10"/>
      <color indexed="10"/>
      <name val="Geneva"/>
    </font>
    <font>
      <sz val="10"/>
      <color indexed="45"/>
      <name val="Geneva"/>
    </font>
    <font>
      <sz val="10"/>
      <color indexed="40"/>
      <name val="Geneva"/>
    </font>
    <font>
      <sz val="10"/>
      <color indexed="9"/>
      <name val="Times New Roman"/>
      <family val="1"/>
    </font>
    <font>
      <b/>
      <sz val="14"/>
      <name val="Geneva"/>
    </font>
    <font>
      <b/>
      <i/>
      <sz val="11"/>
      <name val="Times New Roman"/>
    </font>
    <font>
      <b/>
      <i/>
      <sz val="24"/>
      <name val="Verdana"/>
      <family val="2"/>
    </font>
    <font>
      <sz val="12"/>
      <color indexed="10"/>
      <name val="Times New Roman"/>
    </font>
    <font>
      <b/>
      <i/>
      <sz val="12"/>
      <name val="Times New Roman"/>
    </font>
    <font>
      <sz val="12"/>
      <color indexed="8"/>
      <name val="Cambria"/>
    </font>
    <font>
      <b/>
      <sz val="12"/>
      <color indexed="8"/>
      <name val="Cambria"/>
    </font>
    <font>
      <sz val="8"/>
      <name val="Geneva"/>
    </font>
    <font>
      <u/>
      <sz val="10"/>
      <color theme="10"/>
      <name val="Geneva"/>
    </font>
    <font>
      <u/>
      <sz val="10"/>
      <color theme="11"/>
      <name val="Geneva"/>
    </font>
  </fonts>
  <fills count="1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35"/>
      </left>
      <right style="medium">
        <color indexed="35"/>
      </right>
      <top style="medium">
        <color indexed="35"/>
      </top>
      <bottom style="medium">
        <color indexed="35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indexed="35"/>
      </top>
      <bottom/>
      <diagonal/>
    </border>
    <border>
      <left style="medium">
        <color indexed="27"/>
      </left>
      <right style="medium">
        <color indexed="27"/>
      </right>
      <top style="medium">
        <color indexed="27"/>
      </top>
      <bottom style="medium">
        <color indexed="27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</borders>
  <cellStyleXfs count="23">
    <xf numFmtId="0" fontId="0" fillId="0" borderId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</cellStyleXfs>
  <cellXfs count="332">
    <xf numFmtId="0" fontId="0" fillId="0" borderId="0" xfId="0"/>
    <xf numFmtId="0" fontId="0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0" fontId="5" fillId="0" borderId="1" xfId="0" applyNumberFormat="1" applyFont="1" applyBorder="1" applyAlignment="1">
      <alignment vertical="top"/>
    </xf>
    <xf numFmtId="0" fontId="5" fillId="0" borderId="0" xfId="0" applyNumberFormat="1" applyFont="1" applyBorder="1" applyAlignment="1">
      <alignment vertical="top"/>
    </xf>
    <xf numFmtId="0" fontId="0" fillId="0" borderId="0" xfId="0" applyFill="1"/>
    <xf numFmtId="0" fontId="6" fillId="0" borderId="0" xfId="0" applyFont="1"/>
    <xf numFmtId="0" fontId="5" fillId="0" borderId="0" xfId="0" applyNumberFormat="1" applyFont="1" applyFill="1" applyBorder="1" applyAlignment="1">
      <alignment vertical="top"/>
    </xf>
    <xf numFmtId="0" fontId="5" fillId="0" borderId="2" xfId="0" applyNumberFormat="1" applyFont="1" applyBorder="1" applyAlignment="1">
      <alignment vertical="top"/>
    </xf>
    <xf numFmtId="0" fontId="5" fillId="0" borderId="3" xfId="0" applyNumberFormat="1" applyFont="1" applyBorder="1" applyAlignment="1">
      <alignment vertical="top"/>
    </xf>
    <xf numFmtId="0" fontId="5" fillId="0" borderId="4" xfId="0" applyNumberFormat="1" applyFont="1" applyBorder="1" applyAlignment="1">
      <alignment vertical="top"/>
    </xf>
    <xf numFmtId="0" fontId="5" fillId="0" borderId="4" xfId="0" applyNumberFormat="1" applyFont="1" applyFill="1" applyBorder="1" applyAlignment="1">
      <alignment vertical="top"/>
    </xf>
    <xf numFmtId="0" fontId="6" fillId="0" borderId="0" xfId="0" applyFont="1" applyAlignment="1">
      <alignment wrapText="1"/>
    </xf>
    <xf numFmtId="0" fontId="4" fillId="0" borderId="0" xfId="0" applyFont="1"/>
    <xf numFmtId="0" fontId="6" fillId="0" borderId="5" xfId="0" applyFont="1" applyBorder="1" applyAlignment="1">
      <alignment wrapText="1"/>
    </xf>
    <xf numFmtId="0" fontId="7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8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7" fillId="0" borderId="7" xfId="0" applyFont="1" applyBorder="1" applyAlignment="1">
      <alignment wrapText="1"/>
    </xf>
    <xf numFmtId="0" fontId="11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2" fillId="0" borderId="12" xfId="0" applyFont="1" applyBorder="1"/>
    <xf numFmtId="0" fontId="12" fillId="0" borderId="0" xfId="0" applyFont="1"/>
    <xf numFmtId="0" fontId="5" fillId="0" borderId="0" xfId="0" applyFont="1"/>
    <xf numFmtId="0" fontId="13" fillId="0" borderId="0" xfId="0" applyNumberFormat="1" applyFont="1" applyAlignment="1">
      <alignment horizontal="center" vertical="top"/>
    </xf>
    <xf numFmtId="0" fontId="12" fillId="0" borderId="0" xfId="0" applyNumberFormat="1" applyFont="1" applyAlignment="1">
      <alignment vertical="top"/>
    </xf>
    <xf numFmtId="0" fontId="12" fillId="0" borderId="0" xfId="0" applyNumberFormat="1" applyFont="1" applyAlignment="1">
      <alignment horizontal="center" vertical="top"/>
    </xf>
    <xf numFmtId="0" fontId="13" fillId="0" borderId="0" xfId="0" applyNumberFormat="1" applyFont="1" applyAlignment="1">
      <alignment horizontal="right" vertical="top"/>
    </xf>
    <xf numFmtId="0" fontId="12" fillId="0" borderId="13" xfId="0" applyFont="1" applyBorder="1"/>
    <xf numFmtId="0" fontId="12" fillId="0" borderId="0" xfId="0" applyNumberFormat="1" applyFont="1" applyAlignment="1">
      <alignment horizontal="right" vertical="top"/>
    </xf>
    <xf numFmtId="0" fontId="12" fillId="0" borderId="8" xfId="0" applyFont="1" applyBorder="1"/>
    <xf numFmtId="0" fontId="14" fillId="0" borderId="14" xfId="0" applyNumberFormat="1" applyFont="1" applyBorder="1" applyAlignment="1">
      <alignment horizontal="center" vertical="top"/>
    </xf>
    <xf numFmtId="0" fontId="13" fillId="0" borderId="14" xfId="0" applyNumberFormat="1" applyFont="1" applyBorder="1" applyAlignment="1">
      <alignment horizontal="center" vertical="top"/>
    </xf>
    <xf numFmtId="0" fontId="12" fillId="0" borderId="14" xfId="0" applyFont="1" applyBorder="1"/>
    <xf numFmtId="0" fontId="12" fillId="0" borderId="14" xfId="0" applyNumberFormat="1" applyFont="1" applyBorder="1" applyAlignment="1">
      <alignment vertical="top"/>
    </xf>
    <xf numFmtId="0" fontId="12" fillId="0" borderId="9" xfId="0" applyFont="1" applyBorder="1"/>
    <xf numFmtId="0" fontId="12" fillId="0" borderId="15" xfId="0" applyFont="1" applyBorder="1"/>
    <xf numFmtId="0" fontId="14" fillId="0" borderId="1" xfId="0" applyNumberFormat="1" applyFont="1" applyBorder="1" applyAlignment="1">
      <alignment horizontal="center" vertical="top"/>
    </xf>
    <xf numFmtId="0" fontId="13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0" fontId="12" fillId="0" borderId="1" xfId="0" applyNumberFormat="1" applyFont="1" applyBorder="1" applyAlignment="1">
      <alignment vertical="top"/>
    </xf>
    <xf numFmtId="0" fontId="12" fillId="0" borderId="1" xfId="0" applyFont="1" applyBorder="1"/>
    <xf numFmtId="0" fontId="12" fillId="0" borderId="3" xfId="0" applyFont="1" applyBorder="1"/>
    <xf numFmtId="0" fontId="12" fillId="0" borderId="12" xfId="0" applyNumberFormat="1" applyFont="1" applyBorder="1" applyAlignment="1">
      <alignment vertical="top"/>
    </xf>
    <xf numFmtId="0" fontId="12" fillId="0" borderId="0" xfId="0" applyNumberFormat="1" applyFont="1" applyBorder="1" applyAlignment="1">
      <alignment vertical="top"/>
    </xf>
    <xf numFmtId="0" fontId="12" fillId="0" borderId="0" xfId="0" applyNumberFormat="1" applyFont="1" applyBorder="1" applyAlignment="1">
      <alignment horizontal="center" vertical="top"/>
    </xf>
    <xf numFmtId="0" fontId="5" fillId="0" borderId="0" xfId="0" applyFont="1" applyBorder="1"/>
    <xf numFmtId="0" fontId="5" fillId="0" borderId="4" xfId="0" applyFont="1" applyBorder="1"/>
    <xf numFmtId="0" fontId="12" fillId="0" borderId="12" xfId="0" applyNumberFormat="1" applyFont="1" applyBorder="1" applyAlignment="1"/>
    <xf numFmtId="0" fontId="12" fillId="0" borderId="0" xfId="0" applyNumberFormat="1" applyFont="1" applyBorder="1" applyAlignment="1"/>
    <xf numFmtId="0" fontId="15" fillId="0" borderId="0" xfId="0" applyNumberFormat="1" applyFont="1" applyBorder="1" applyAlignment="1">
      <alignment horizontal="center" vertical="top"/>
    </xf>
    <xf numFmtId="0" fontId="13" fillId="0" borderId="0" xfId="0" applyNumberFormat="1" applyFont="1" applyBorder="1" applyAlignment="1">
      <alignment vertical="top"/>
    </xf>
    <xf numFmtId="0" fontId="15" fillId="0" borderId="4" xfId="0" applyNumberFormat="1" applyFont="1" applyBorder="1" applyAlignment="1">
      <alignment horizontal="center" vertical="top"/>
    </xf>
    <xf numFmtId="0" fontId="12" fillId="0" borderId="16" xfId="0" applyNumberFormat="1" applyFont="1" applyBorder="1" applyAlignment="1">
      <alignment vertical="top"/>
    </xf>
    <xf numFmtId="0" fontId="12" fillId="0" borderId="13" xfId="0" applyNumberFormat="1" applyFont="1" applyBorder="1" applyAlignment="1">
      <alignment vertical="top"/>
    </xf>
    <xf numFmtId="0" fontId="12" fillId="0" borderId="13" xfId="0" applyNumberFormat="1" applyFont="1" applyBorder="1" applyAlignment="1">
      <alignment horizontal="center" vertical="top"/>
    </xf>
    <xf numFmtId="0" fontId="15" fillId="0" borderId="13" xfId="0" applyNumberFormat="1" applyFont="1" applyBorder="1" applyAlignment="1">
      <alignment horizontal="center" vertical="top"/>
    </xf>
    <xf numFmtId="0" fontId="15" fillId="0" borderId="17" xfId="0" applyNumberFormat="1" applyFont="1" applyBorder="1" applyAlignment="1">
      <alignment horizontal="center" vertical="top"/>
    </xf>
    <xf numFmtId="0" fontId="12" fillId="0" borderId="0" xfId="0" applyFont="1" applyBorder="1"/>
    <xf numFmtId="0" fontId="12" fillId="0" borderId="4" xfId="0" applyNumberFormat="1" applyFont="1" applyBorder="1" applyAlignment="1">
      <alignment horizontal="center" vertical="top"/>
    </xf>
    <xf numFmtId="0" fontId="12" fillId="0" borderId="1" xfId="0" applyNumberFormat="1" applyFont="1" applyBorder="1" applyAlignment="1">
      <alignment horizontal="center" vertical="top"/>
    </xf>
    <xf numFmtId="0" fontId="12" fillId="0" borderId="3" xfId="0" applyNumberFormat="1" applyFont="1" applyBorder="1" applyAlignment="1">
      <alignment horizontal="center" vertical="top"/>
    </xf>
    <xf numFmtId="0" fontId="13" fillId="0" borderId="0" xfId="0" applyNumberFormat="1" applyFont="1" applyBorder="1" applyAlignment="1">
      <alignment horizontal="center" vertical="top"/>
    </xf>
    <xf numFmtId="0" fontId="12" fillId="0" borderId="0" xfId="0" applyNumberFormat="1" applyFont="1" applyFill="1" applyBorder="1" applyAlignment="1">
      <alignment vertical="top"/>
    </xf>
    <xf numFmtId="0" fontId="12" fillId="0" borderId="0" xfId="0" applyNumberFormat="1" applyFont="1" applyFill="1" applyBorder="1" applyAlignment="1">
      <alignment horizontal="center" vertical="top"/>
    </xf>
    <xf numFmtId="0" fontId="13" fillId="0" borderId="1" xfId="0" applyNumberFormat="1" applyFont="1" applyBorder="1" applyAlignment="1">
      <alignment vertical="top"/>
    </xf>
    <xf numFmtId="0" fontId="16" fillId="0" borderId="2" xfId="0" applyNumberFormat="1" applyFont="1" applyBorder="1" applyAlignment="1"/>
    <xf numFmtId="0" fontId="12" fillId="0" borderId="0" xfId="0" applyFont="1" applyBorder="1" applyAlignment="1"/>
    <xf numFmtId="0" fontId="12" fillId="0" borderId="2" xfId="0" applyNumberFormat="1" applyFont="1" applyBorder="1" applyAlignment="1"/>
    <xf numFmtId="0" fontId="13" fillId="0" borderId="2" xfId="0" applyNumberFormat="1" applyFont="1" applyFill="1" applyBorder="1" applyAlignment="1">
      <alignment horizontal="left"/>
    </xf>
    <xf numFmtId="0" fontId="12" fillId="0" borderId="2" xfId="0" applyFont="1" applyBorder="1" applyAlignment="1"/>
    <xf numFmtId="0" fontId="16" fillId="0" borderId="2" xfId="0" applyFont="1" applyBorder="1" applyAlignment="1"/>
    <xf numFmtId="0" fontId="12" fillId="0" borderId="18" xfId="0" applyFont="1" applyBorder="1" applyAlignment="1"/>
    <xf numFmtId="0" fontId="12" fillId="0" borderId="19" xfId="0" applyFont="1" applyBorder="1" applyAlignment="1"/>
    <xf numFmtId="0" fontId="12" fillId="0" borderId="19" xfId="0" applyFont="1" applyBorder="1"/>
    <xf numFmtId="0" fontId="5" fillId="0" borderId="19" xfId="0" applyFont="1" applyBorder="1"/>
    <xf numFmtId="0" fontId="5" fillId="0" borderId="11" xfId="0" applyFont="1" applyBorder="1"/>
    <xf numFmtId="0" fontId="12" fillId="0" borderId="2" xfId="0" applyNumberFormat="1" applyFont="1" applyBorder="1" applyAlignment="1">
      <alignment vertical="top"/>
    </xf>
    <xf numFmtId="0" fontId="0" fillId="2" borderId="0" xfId="0" applyFill="1"/>
    <xf numFmtId="0" fontId="17" fillId="0" borderId="0" xfId="0" applyFont="1"/>
    <xf numFmtId="0" fontId="0" fillId="3" borderId="0" xfId="0" applyFill="1"/>
    <xf numFmtId="0" fontId="18" fillId="0" borderId="0" xfId="0" applyFont="1"/>
    <xf numFmtId="0" fontId="0" fillId="4" borderId="0" xfId="0" applyFill="1"/>
    <xf numFmtId="0" fontId="19" fillId="0" borderId="0" xfId="0" applyFont="1" applyFill="1"/>
    <xf numFmtId="0" fontId="20" fillId="0" borderId="4" xfId="0" applyFont="1" applyBorder="1"/>
    <xf numFmtId="0" fontId="20" fillId="0" borderId="0" xfId="0" applyFont="1" applyBorder="1"/>
    <xf numFmtId="0" fontId="5" fillId="0" borderId="20" xfId="0" applyFont="1" applyBorder="1" applyProtection="1">
      <protection locked="0"/>
    </xf>
    <xf numFmtId="0" fontId="3" fillId="0" borderId="21" xfId="0" applyFont="1" applyBorder="1"/>
    <xf numFmtId="0" fontId="0" fillId="0" borderId="22" xfId="0" applyBorder="1"/>
    <xf numFmtId="0" fontId="0" fillId="0" borderId="23" xfId="0" applyBorder="1"/>
    <xf numFmtId="0" fontId="12" fillId="5" borderId="13" xfId="0" applyFont="1" applyFill="1" applyBorder="1" applyProtection="1"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5" fillId="0" borderId="24" xfId="0" applyFont="1" applyBorder="1" applyAlignment="1" applyProtection="1">
      <alignment horizontal="left" vertical="top" wrapText="1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25" xfId="0" applyFont="1" applyBorder="1" applyAlignment="1" applyProtection="1">
      <alignment horizontal="left" vertical="top" wrapText="1"/>
      <protection locked="0"/>
    </xf>
    <xf numFmtId="0" fontId="5" fillId="0" borderId="10" xfId="0" applyFont="1" applyBorder="1" applyAlignment="1" applyProtection="1">
      <alignment horizontal="left" vertical="top" wrapText="1"/>
      <protection locked="0"/>
    </xf>
    <xf numFmtId="0" fontId="5" fillId="0" borderId="19" xfId="0" applyFont="1" applyBorder="1" applyAlignment="1" applyProtection="1">
      <alignment horizontal="left" vertical="top" wrapText="1"/>
      <protection locked="0"/>
    </xf>
    <xf numFmtId="0" fontId="5" fillId="0" borderId="26" xfId="0" applyFont="1" applyBorder="1" applyAlignment="1" applyProtection="1">
      <alignment horizontal="left" vertical="top" wrapText="1"/>
      <protection locked="0"/>
    </xf>
    <xf numFmtId="0" fontId="5" fillId="0" borderId="15" xfId="0" applyFont="1" applyBorder="1" applyAlignment="1" applyProtection="1">
      <alignment horizontal="left" vertical="top"/>
      <protection locked="0"/>
    </xf>
    <xf numFmtId="0" fontId="5" fillId="0" borderId="27" xfId="0" applyFont="1" applyBorder="1" applyProtection="1">
      <protection locked="0"/>
    </xf>
    <xf numFmtId="0" fontId="12" fillId="0" borderId="0" xfId="0" applyNumberFormat="1" applyFont="1" applyFill="1" applyBorder="1" applyAlignment="1" applyProtection="1">
      <alignment vertical="top"/>
      <protection locked="0"/>
    </xf>
    <xf numFmtId="0" fontId="12" fillId="0" borderId="28" xfId="0" applyNumberFormat="1" applyFont="1" applyBorder="1" applyAlignment="1" applyProtection="1">
      <alignment horizontal="center" vertical="top"/>
      <protection locked="0"/>
    </xf>
    <xf numFmtId="0" fontId="0" fillId="0" borderId="5" xfId="0" applyBorder="1"/>
    <xf numFmtId="0" fontId="1" fillId="0" borderId="0" xfId="0" applyFont="1"/>
    <xf numFmtId="0" fontId="16" fillId="0" borderId="0" xfId="0" applyFont="1"/>
    <xf numFmtId="0" fontId="13" fillId="0" borderId="29" xfId="0" applyFont="1" applyBorder="1" applyAlignment="1">
      <alignment vertical="top" wrapText="1"/>
    </xf>
    <xf numFmtId="0" fontId="13" fillId="0" borderId="30" xfId="0" applyFont="1" applyBorder="1" applyAlignment="1">
      <alignment vertical="top" wrapText="1"/>
    </xf>
    <xf numFmtId="0" fontId="12" fillId="0" borderId="31" xfId="0" applyFont="1" applyBorder="1" applyAlignment="1">
      <alignment vertical="top" wrapText="1"/>
    </xf>
    <xf numFmtId="0" fontId="13" fillId="0" borderId="30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top" wrapText="1"/>
    </xf>
    <xf numFmtId="0" fontId="21" fillId="0" borderId="0" xfId="0" applyFont="1"/>
    <xf numFmtId="0" fontId="12" fillId="0" borderId="7" xfId="0" applyFont="1" applyBorder="1" applyAlignment="1">
      <alignment horizontal="center" wrapText="1"/>
    </xf>
    <xf numFmtId="0" fontId="12" fillId="0" borderId="32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0" fillId="0" borderId="31" xfId="0" applyBorder="1" applyAlignment="1">
      <alignment wrapText="1"/>
    </xf>
    <xf numFmtId="0" fontId="12" fillId="0" borderId="11" xfId="0" applyFont="1" applyBorder="1" applyAlignment="1">
      <alignment horizontal="center" wrapText="1"/>
    </xf>
    <xf numFmtId="0" fontId="12" fillId="0" borderId="31" xfId="0" applyFont="1" applyBorder="1" applyAlignment="1">
      <alignment wrapText="1"/>
    </xf>
    <xf numFmtId="0" fontId="1" fillId="0" borderId="12" xfId="0" applyFont="1" applyBorder="1"/>
    <xf numFmtId="0" fontId="0" fillId="0" borderId="12" xfId="0" applyBorder="1"/>
    <xf numFmtId="0" fontId="0" fillId="0" borderId="33" xfId="0" applyBorder="1"/>
    <xf numFmtId="0" fontId="5" fillId="0" borderId="12" xfId="0" applyFont="1" applyBorder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22" fillId="0" borderId="12" xfId="0" applyFont="1" applyBorder="1" applyAlignment="1" applyProtection="1">
      <alignment horizontal="left" vertical="top"/>
      <protection locked="0"/>
    </xf>
    <xf numFmtId="0" fontId="0" fillId="0" borderId="34" xfId="0" applyBorder="1" applyAlignment="1">
      <alignment wrapText="1"/>
    </xf>
    <xf numFmtId="0" fontId="12" fillId="0" borderId="21" xfId="0" applyFont="1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12" fillId="0" borderId="12" xfId="0" applyFont="1" applyBorder="1" applyAlignment="1">
      <alignment vertical="top" wrapText="1"/>
    </xf>
    <xf numFmtId="0" fontId="12" fillId="0" borderId="35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12" fillId="6" borderId="10" xfId="0" applyFont="1" applyFill="1" applyBorder="1" applyAlignment="1">
      <alignment horizontal="center" vertical="top" wrapText="1"/>
    </xf>
    <xf numFmtId="0" fontId="12" fillId="6" borderId="36" xfId="0" applyFont="1" applyFill="1" applyBorder="1" applyAlignment="1">
      <alignment vertical="top" wrapText="1"/>
    </xf>
    <xf numFmtId="0" fontId="12" fillId="0" borderId="37" xfId="0" applyFont="1" applyBorder="1" applyAlignment="1">
      <alignment vertical="top" wrapText="1"/>
    </xf>
    <xf numFmtId="9" fontId="12" fillId="0" borderId="38" xfId="0" applyNumberFormat="1" applyFont="1" applyBorder="1" applyAlignment="1">
      <alignment horizontal="center" vertical="top" wrapText="1"/>
    </xf>
    <xf numFmtId="10" fontId="12" fillId="0" borderId="38" xfId="0" applyNumberFormat="1" applyFont="1" applyBorder="1" applyAlignment="1">
      <alignment horizontal="center" vertical="top" wrapText="1"/>
    </xf>
    <xf numFmtId="0" fontId="12" fillId="6" borderId="39" xfId="0" applyFont="1" applyFill="1" applyBorder="1" applyAlignment="1">
      <alignment horizontal="center" vertical="top" wrapText="1"/>
    </xf>
    <xf numFmtId="0" fontId="12" fillId="6" borderId="40" xfId="0" applyFont="1" applyFill="1" applyBorder="1" applyAlignment="1">
      <alignment vertical="top" wrapText="1"/>
    </xf>
    <xf numFmtId="0" fontId="12" fillId="0" borderId="41" xfId="0" applyFont="1" applyBorder="1" applyAlignment="1">
      <alignment horizontal="center" wrapText="1"/>
    </xf>
    <xf numFmtId="0" fontId="12" fillId="0" borderId="42" xfId="0" applyFont="1" applyBorder="1" applyAlignment="1">
      <alignment wrapText="1"/>
    </xf>
    <xf numFmtId="0" fontId="12" fillId="0" borderId="43" xfId="0" applyFont="1" applyBorder="1" applyAlignment="1">
      <alignment wrapText="1"/>
    </xf>
    <xf numFmtId="0" fontId="12" fillId="0" borderId="43" xfId="0" applyFont="1" applyBorder="1" applyAlignment="1">
      <alignment vertical="top" wrapText="1"/>
    </xf>
    <xf numFmtId="0" fontId="12" fillId="0" borderId="0" xfId="0" applyFont="1" applyBorder="1" applyAlignment="1">
      <alignment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wrapText="1"/>
    </xf>
    <xf numFmtId="0" fontId="12" fillId="0" borderId="44" xfId="0" applyFont="1" applyBorder="1" applyAlignment="1">
      <alignment horizontal="center" vertical="top" wrapText="1"/>
    </xf>
    <xf numFmtId="0" fontId="12" fillId="0" borderId="45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12" fillId="0" borderId="46" xfId="0" applyFont="1" applyBorder="1"/>
    <xf numFmtId="0" fontId="12" fillId="0" borderId="47" xfId="0" applyNumberFormat="1" applyFont="1" applyBorder="1" applyAlignment="1">
      <alignment vertical="top"/>
    </xf>
    <xf numFmtId="0" fontId="12" fillId="0" borderId="47" xfId="0" applyFont="1" applyBorder="1"/>
    <xf numFmtId="0" fontId="12" fillId="0" borderId="47" xfId="0" applyNumberFormat="1" applyFont="1" applyBorder="1" applyAlignment="1">
      <alignment horizontal="center" vertical="top"/>
    </xf>
    <xf numFmtId="0" fontId="12" fillId="0" borderId="48" xfId="0" applyNumberFormat="1" applyFont="1" applyBorder="1" applyAlignment="1">
      <alignment horizontal="center" vertical="top"/>
    </xf>
    <xf numFmtId="0" fontId="16" fillId="0" borderId="47" xfId="0" applyNumberFormat="1" applyFont="1" applyBorder="1" applyAlignment="1">
      <alignment horizontal="center" vertical="top"/>
    </xf>
    <xf numFmtId="0" fontId="16" fillId="0" borderId="0" xfId="0" applyNumberFormat="1" applyFont="1" applyBorder="1" applyAlignment="1">
      <alignment vertical="top"/>
    </xf>
    <xf numFmtId="0" fontId="12" fillId="0" borderId="8" xfId="0" applyFont="1" applyBorder="1" applyAlignment="1">
      <alignment horizontal="center" wrapText="1"/>
    </xf>
    <xf numFmtId="0" fontId="0" fillId="0" borderId="0" xfId="0" applyBorder="1"/>
    <xf numFmtId="0" fontId="12" fillId="0" borderId="0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0" fillId="0" borderId="0" xfId="0" applyAlignment="1">
      <alignment wrapText="1"/>
    </xf>
    <xf numFmtId="0" fontId="12" fillId="0" borderId="41" xfId="0" applyFont="1" applyBorder="1" applyAlignment="1">
      <alignment horizontal="center" vertical="top" wrapText="1"/>
    </xf>
    <xf numFmtId="0" fontId="12" fillId="0" borderId="49" xfId="0" applyFont="1" applyBorder="1" applyAlignment="1">
      <alignment horizontal="center" vertical="top" wrapText="1"/>
    </xf>
    <xf numFmtId="0" fontId="12" fillId="0" borderId="45" xfId="0" applyFont="1" applyBorder="1" applyAlignment="1">
      <alignment horizontal="center" vertical="top" wrapText="1"/>
    </xf>
    <xf numFmtId="0" fontId="12" fillId="6" borderId="12" xfId="0" applyFont="1" applyFill="1" applyBorder="1" applyAlignment="1">
      <alignment horizontal="center" vertical="top" wrapText="1"/>
    </xf>
    <xf numFmtId="0" fontId="12" fillId="6" borderId="50" xfId="0" applyFont="1" applyFill="1" applyBorder="1" applyAlignment="1">
      <alignment horizontal="center" vertical="top" wrapText="1"/>
    </xf>
    <xf numFmtId="9" fontId="12" fillId="0" borderId="8" xfId="0" applyNumberFormat="1" applyFont="1" applyBorder="1" applyAlignment="1">
      <alignment horizontal="center" vertical="top" wrapText="1"/>
    </xf>
    <xf numFmtId="9" fontId="12" fillId="0" borderId="44" xfId="0" applyNumberFormat="1" applyFont="1" applyBorder="1" applyAlignment="1">
      <alignment horizontal="center" vertical="top" wrapText="1"/>
    </xf>
    <xf numFmtId="9" fontId="12" fillId="0" borderId="49" xfId="0" applyNumberFormat="1" applyFont="1" applyBorder="1" applyAlignment="1">
      <alignment horizontal="center" vertical="top" wrapText="1"/>
    </xf>
    <xf numFmtId="0" fontId="12" fillId="0" borderId="4" xfId="0" applyFont="1" applyFill="1" applyBorder="1" applyAlignment="1">
      <alignment horizontal="center" wrapText="1"/>
    </xf>
    <xf numFmtId="0" fontId="24" fillId="0" borderId="0" xfId="0" applyNumberFormat="1" applyFont="1" applyBorder="1" applyAlignment="1">
      <alignment vertical="top"/>
    </xf>
    <xf numFmtId="0" fontId="24" fillId="0" borderId="12" xfId="0" applyNumberFormat="1" applyFont="1" applyBorder="1" applyAlignment="1"/>
    <xf numFmtId="0" fontId="24" fillId="0" borderId="0" xfId="0" applyNumberFormat="1" applyFont="1" applyBorder="1" applyAlignment="1">
      <alignment horizontal="center" vertical="top"/>
    </xf>
    <xf numFmtId="0" fontId="24" fillId="0" borderId="12" xfId="0" applyNumberFormat="1" applyFont="1" applyBorder="1" applyAlignment="1">
      <alignment vertical="top"/>
    </xf>
    <xf numFmtId="0" fontId="24" fillId="0" borderId="0" xfId="0" applyFont="1"/>
    <xf numFmtId="0" fontId="8" fillId="0" borderId="0" xfId="0" applyFont="1" applyAlignment="1">
      <alignment wrapText="1"/>
    </xf>
    <xf numFmtId="0" fontId="16" fillId="0" borderId="0" xfId="0" applyFont="1" applyBorder="1" applyAlignment="1"/>
    <xf numFmtId="0" fontId="5" fillId="0" borderId="0" xfId="0" applyFont="1" applyFill="1" applyBorder="1" applyAlignment="1" applyProtection="1">
      <protection locked="0"/>
    </xf>
    <xf numFmtId="0" fontId="12" fillId="7" borderId="0" xfId="0" applyNumberFormat="1" applyFont="1" applyFill="1" applyBorder="1" applyAlignment="1" applyProtection="1">
      <alignment vertical="top"/>
      <protection locked="0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25" xfId="0" applyFont="1" applyBorder="1" applyAlignment="1">
      <alignment horizontal="left" vertical="top" wrapText="1"/>
    </xf>
    <xf numFmtId="0" fontId="12" fillId="0" borderId="12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12" fillId="0" borderId="5" xfId="0" applyNumberFormat="1" applyFont="1" applyBorder="1" applyAlignment="1">
      <alignment vertical="top"/>
    </xf>
    <xf numFmtId="0" fontId="0" fillId="0" borderId="0" xfId="0" applyBorder="1" applyAlignment="1">
      <alignment horizontal="left" vertical="top" wrapText="1"/>
    </xf>
    <xf numFmtId="0" fontId="5" fillId="0" borderId="0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8" borderId="5" xfId="0" applyFont="1" applyFill="1" applyBorder="1" applyAlignment="1">
      <alignment vertical="top" wrapText="1"/>
    </xf>
    <xf numFmtId="0" fontId="0" fillId="8" borderId="0" xfId="0" applyFill="1"/>
    <xf numFmtId="0" fontId="15" fillId="0" borderId="0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/>
    </xf>
    <xf numFmtId="0" fontId="12" fillId="0" borderId="0" xfId="0" applyFont="1" applyBorder="1" applyAlignment="1">
      <alignment vertical="top" wrapText="1"/>
    </xf>
    <xf numFmtId="0" fontId="7" fillId="0" borderId="51" xfId="0" applyFont="1" applyBorder="1"/>
    <xf numFmtId="0" fontId="7" fillId="0" borderId="52" xfId="0" applyFont="1" applyBorder="1" applyAlignment="1">
      <alignment vertical="top" wrapText="1"/>
    </xf>
    <xf numFmtId="0" fontId="6" fillId="0" borderId="52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8" borderId="5" xfId="0" applyFont="1" applyFill="1" applyBorder="1" applyAlignment="1">
      <alignment vertical="top" wrapText="1"/>
    </xf>
    <xf numFmtId="0" fontId="16" fillId="7" borderId="0" xfId="0" applyNumberFormat="1" applyFont="1" applyFill="1" applyBorder="1" applyAlignment="1">
      <alignment vertical="top"/>
    </xf>
    <xf numFmtId="0" fontId="6" fillId="8" borderId="0" xfId="0" applyFont="1" applyFill="1"/>
    <xf numFmtId="0" fontId="6" fillId="0" borderId="5" xfId="0" applyFont="1" applyBorder="1"/>
    <xf numFmtId="0" fontId="6" fillId="8" borderId="53" xfId="0" applyFont="1" applyFill="1" applyBorder="1"/>
    <xf numFmtId="0" fontId="6" fillId="8" borderId="54" xfId="0" applyFont="1" applyFill="1" applyBorder="1"/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13" fillId="0" borderId="0" xfId="0" applyFont="1"/>
    <xf numFmtId="0" fontId="26" fillId="0" borderId="0" xfId="0" applyFont="1"/>
    <xf numFmtId="0" fontId="13" fillId="0" borderId="12" xfId="0" applyFont="1" applyBorder="1"/>
    <xf numFmtId="0" fontId="13" fillId="0" borderId="0" xfId="0" applyFont="1" applyBorder="1"/>
    <xf numFmtId="0" fontId="13" fillId="0" borderId="2" xfId="0" applyNumberFormat="1" applyFont="1" applyBorder="1" applyAlignment="1">
      <alignment vertical="top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1" fillId="0" borderId="0" xfId="0" applyFont="1"/>
    <xf numFmtId="0" fontId="6" fillId="0" borderId="5" xfId="0" applyFont="1" applyBorder="1" applyAlignment="1">
      <alignment horizontal="right"/>
    </xf>
    <xf numFmtId="0" fontId="6" fillId="0" borderId="53" xfId="0" applyFont="1" applyBorder="1"/>
    <xf numFmtId="0" fontId="11" fillId="0" borderId="0" xfId="0" applyFont="1" applyBorder="1"/>
    <xf numFmtId="0" fontId="6" fillId="8" borderId="5" xfId="0" applyFont="1" applyFill="1" applyBorder="1"/>
    <xf numFmtId="0" fontId="2" fillId="0" borderId="0" xfId="0" applyFont="1"/>
    <xf numFmtId="0" fontId="8" fillId="0" borderId="5" xfId="0" applyFont="1" applyBorder="1"/>
    <xf numFmtId="0" fontId="6" fillId="0" borderId="55" xfId="0" applyFont="1" applyFill="1" applyBorder="1"/>
    <xf numFmtId="0" fontId="6" fillId="0" borderId="0" xfId="0" applyFont="1" applyFill="1" applyBorder="1"/>
    <xf numFmtId="0" fontId="25" fillId="0" borderId="0" xfId="0" applyFont="1" applyAlignment="1">
      <alignment horizontal="center"/>
    </xf>
    <xf numFmtId="0" fontId="13" fillId="0" borderId="8" xfId="0" applyFont="1" applyBorder="1"/>
    <xf numFmtId="0" fontId="12" fillId="0" borderId="4" xfId="0" applyFont="1" applyBorder="1"/>
    <xf numFmtId="0" fontId="13" fillId="0" borderId="10" xfId="0" applyFont="1" applyBorder="1"/>
    <xf numFmtId="0" fontId="12" fillId="0" borderId="11" xfId="0" applyFont="1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13" fillId="0" borderId="4" xfId="0" applyFont="1" applyBorder="1"/>
    <xf numFmtId="0" fontId="27" fillId="0" borderId="4" xfId="0" applyFont="1" applyBorder="1"/>
    <xf numFmtId="0" fontId="0" fillId="0" borderId="7" xfId="0" applyBorder="1"/>
    <xf numFmtId="0" fontId="0" fillId="0" borderId="32" xfId="0" applyBorder="1"/>
    <xf numFmtId="0" fontId="0" fillId="0" borderId="31" xfId="0" applyBorder="1"/>
    <xf numFmtId="0" fontId="0" fillId="9" borderId="0" xfId="0" applyFill="1"/>
    <xf numFmtId="0" fontId="6" fillId="0" borderId="0" xfId="0" applyFont="1" applyBorder="1"/>
    <xf numFmtId="0" fontId="1" fillId="10" borderId="0" xfId="0" applyFont="1" applyFill="1"/>
    <xf numFmtId="0" fontId="0" fillId="0" borderId="3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57" xfId="0" applyBorder="1" applyAlignment="1">
      <alignment wrapText="1"/>
    </xf>
    <xf numFmtId="0" fontId="0" fillId="0" borderId="58" xfId="0" applyBorder="1" applyAlignment="1">
      <alignment wrapText="1"/>
    </xf>
    <xf numFmtId="0" fontId="12" fillId="0" borderId="15" xfId="0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12" fillId="5" borderId="13" xfId="0" applyFont="1" applyFill="1" applyBorder="1" applyAlignment="1" applyProtection="1">
      <protection locked="0"/>
    </xf>
    <xf numFmtId="0" fontId="12" fillId="5" borderId="13" xfId="0" applyNumberFormat="1" applyFont="1" applyFill="1" applyBorder="1" applyAlignment="1" applyProtection="1">
      <alignment horizontal="center" vertical="top"/>
      <protection locked="0"/>
    </xf>
    <xf numFmtId="0" fontId="13" fillId="0" borderId="46" xfId="0" applyNumberFormat="1" applyFont="1" applyBorder="1" applyAlignment="1">
      <alignment horizontal="center" vertical="top" wrapText="1"/>
    </xf>
    <xf numFmtId="0" fontId="5" fillId="0" borderId="47" xfId="0" applyFont="1" applyBorder="1" applyAlignment="1">
      <alignment horizontal="center" wrapText="1"/>
    </xf>
    <xf numFmtId="0" fontId="5" fillId="0" borderId="54" xfId="0" applyFont="1" applyBorder="1" applyAlignment="1">
      <alignment horizontal="center" wrapText="1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6" fillId="0" borderId="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0" xfId="0" applyFont="1" applyBorder="1" applyAlignment="1" applyProtection="1">
      <alignment horizontal="left" vertical="top" wrapText="1"/>
      <protection locked="0"/>
    </xf>
    <xf numFmtId="0" fontId="6" fillId="0" borderId="2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2" fillId="0" borderId="12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 applyProtection="1">
      <alignment horizontal="left" vertical="top" wrapText="1"/>
      <protection locked="0"/>
    </xf>
    <xf numFmtId="0" fontId="5" fillId="5" borderId="13" xfId="0" applyFont="1" applyFill="1" applyBorder="1" applyAlignment="1" applyProtection="1">
      <protection locked="0"/>
    </xf>
    <xf numFmtId="0" fontId="10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32" xfId="0" applyFont="1" applyBorder="1" applyAlignment="1">
      <alignment vertical="top" wrapText="1"/>
    </xf>
    <xf numFmtId="0" fontId="6" fillId="0" borderId="31" xfId="0" applyFont="1" applyBorder="1" applyAlignment="1">
      <alignment vertical="top" wrapText="1"/>
    </xf>
    <xf numFmtId="0" fontId="8" fillId="0" borderId="59" xfId="0" applyFont="1" applyBorder="1" applyAlignment="1">
      <alignment horizontal="left" vertical="center" wrapText="1"/>
    </xf>
    <xf numFmtId="0" fontId="0" fillId="0" borderId="60" xfId="0" applyBorder="1" applyAlignment="1">
      <alignment wrapText="1"/>
    </xf>
    <xf numFmtId="0" fontId="0" fillId="0" borderId="61" xfId="0" applyBorder="1" applyAlignment="1">
      <alignment wrapText="1"/>
    </xf>
    <xf numFmtId="0" fontId="0" fillId="0" borderId="62" xfId="0" applyBorder="1" applyAlignment="1">
      <alignment wrapText="1"/>
    </xf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23" fillId="0" borderId="0" xfId="0" applyFont="1" applyAlignment="1">
      <alignment horizontal="left" wrapText="1"/>
    </xf>
    <xf numFmtId="0" fontId="12" fillId="0" borderId="44" xfId="0" applyFont="1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12" fillId="0" borderId="30" xfId="0" applyFont="1" applyBorder="1" applyAlignment="1">
      <alignment vertical="top" wrapText="1"/>
    </xf>
    <xf numFmtId="0" fontId="12" fillId="0" borderId="0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38" xfId="0" applyFont="1" applyBorder="1" applyAlignment="1">
      <alignment vertical="top" wrapText="1"/>
    </xf>
    <xf numFmtId="0" fontId="12" fillId="0" borderId="73" xfId="0" applyFont="1" applyBorder="1" applyAlignment="1">
      <alignment vertical="top" wrapText="1"/>
    </xf>
    <xf numFmtId="0" fontId="12" fillId="0" borderId="74" xfId="0" applyFont="1" applyBorder="1" applyAlignment="1">
      <alignment vertical="top" wrapText="1"/>
    </xf>
    <xf numFmtId="0" fontId="12" fillId="0" borderId="66" xfId="0" applyFont="1" applyBorder="1" applyAlignment="1">
      <alignment vertical="top" wrapText="1"/>
    </xf>
    <xf numFmtId="0" fontId="12" fillId="0" borderId="71" xfId="0" applyFont="1" applyBorder="1" applyAlignment="1">
      <alignment vertical="top" wrapText="1"/>
    </xf>
    <xf numFmtId="0" fontId="12" fillId="0" borderId="34" xfId="0" applyFont="1" applyBorder="1" applyAlignment="1">
      <alignment wrapText="1"/>
    </xf>
    <xf numFmtId="0" fontId="12" fillId="0" borderId="70" xfId="0" applyFont="1" applyBorder="1" applyAlignment="1">
      <alignment vertical="top" wrapText="1"/>
    </xf>
    <xf numFmtId="0" fontId="12" fillId="0" borderId="67" xfId="0" applyFont="1" applyBorder="1" applyAlignment="1">
      <alignment vertical="top" wrapText="1"/>
    </xf>
    <xf numFmtId="0" fontId="12" fillId="0" borderId="34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56" xfId="0" applyFont="1" applyBorder="1" applyAlignment="1">
      <alignment vertical="top" wrapText="1"/>
    </xf>
    <xf numFmtId="0" fontId="12" fillId="0" borderId="37" xfId="0" applyFont="1" applyBorder="1" applyAlignment="1">
      <alignment vertical="top" wrapText="1"/>
    </xf>
    <xf numFmtId="0" fontId="12" fillId="0" borderId="57" xfId="0" applyFont="1" applyBorder="1" applyAlignment="1">
      <alignment vertical="top" wrapText="1"/>
    </xf>
    <xf numFmtId="0" fontId="12" fillId="0" borderId="58" xfId="0" applyFont="1" applyBorder="1" applyAlignment="1">
      <alignment vertical="top" wrapText="1"/>
    </xf>
    <xf numFmtId="0" fontId="12" fillId="0" borderId="65" xfId="0" applyFont="1" applyBorder="1" applyAlignment="1">
      <alignment horizontal="center"/>
    </xf>
    <xf numFmtId="0" fontId="12" fillId="0" borderId="66" xfId="0" applyFont="1" applyBorder="1" applyAlignment="1">
      <alignment horizontal="center"/>
    </xf>
    <xf numFmtId="0" fontId="12" fillId="0" borderId="44" xfId="0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2" fillId="0" borderId="32" xfId="0" applyFont="1" applyBorder="1" applyAlignment="1">
      <alignment horizontal="center" wrapText="1"/>
    </xf>
    <xf numFmtId="0" fontId="12" fillId="0" borderId="69" xfId="0" applyFont="1" applyBorder="1" applyAlignment="1">
      <alignment horizontal="center" wrapText="1"/>
    </xf>
    <xf numFmtId="0" fontId="0" fillId="0" borderId="32" xfId="0" applyBorder="1" applyAlignment="1">
      <alignment wrapText="1"/>
    </xf>
    <xf numFmtId="0" fontId="0" fillId="0" borderId="69" xfId="0" applyBorder="1" applyAlignment="1">
      <alignment wrapText="1"/>
    </xf>
    <xf numFmtId="0" fontId="12" fillId="0" borderId="12" xfId="0" applyFont="1" applyBorder="1" applyAlignment="1">
      <alignment horizontal="center" wrapText="1"/>
    </xf>
    <xf numFmtId="0" fontId="12" fillId="0" borderId="39" xfId="0" applyFont="1" applyBorder="1" applyAlignment="1">
      <alignment horizontal="center" wrapText="1"/>
    </xf>
    <xf numFmtId="0" fontId="12" fillId="0" borderId="65" xfId="0" applyFont="1" applyBorder="1" applyAlignment="1">
      <alignment wrapText="1"/>
    </xf>
    <xf numFmtId="0" fontId="12" fillId="0" borderId="71" xfId="0" applyFont="1" applyBorder="1" applyAlignment="1">
      <alignment wrapText="1"/>
    </xf>
    <xf numFmtId="0" fontId="12" fillId="0" borderId="44" xfId="0" applyFont="1" applyBorder="1" applyAlignment="1">
      <alignment horizontal="center" vertical="top" wrapText="1"/>
    </xf>
    <xf numFmtId="0" fontId="12" fillId="0" borderId="67" xfId="0" applyFont="1" applyBorder="1" applyAlignment="1">
      <alignment horizontal="center" vertical="top" wrapText="1"/>
    </xf>
    <xf numFmtId="0" fontId="12" fillId="0" borderId="30" xfId="0" applyFont="1" applyBorder="1" applyAlignment="1">
      <alignment horizontal="center" vertical="top" wrapText="1"/>
    </xf>
    <xf numFmtId="0" fontId="12" fillId="0" borderId="67" xfId="0" applyFont="1" applyBorder="1" applyAlignment="1">
      <alignment wrapText="1"/>
    </xf>
    <xf numFmtId="0" fontId="12" fillId="0" borderId="45" xfId="0" applyFont="1" applyBorder="1" applyAlignment="1">
      <alignment horizontal="center" wrapText="1"/>
    </xf>
    <xf numFmtId="0" fontId="12" fillId="0" borderId="68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72" xfId="0" applyFont="1" applyBorder="1" applyAlignment="1">
      <alignment horizontal="center" wrapText="1"/>
    </xf>
    <xf numFmtId="0" fontId="0" fillId="0" borderId="2" xfId="0" applyBorder="1"/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239"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ont>
        <condense val="0"/>
        <extend val="0"/>
        <color auto="1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/>
        <i val="0"/>
        <condense val="0"/>
        <extend val="0"/>
        <color auto="1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/>
        <i val="0"/>
        <condense val="0"/>
        <extend val="0"/>
        <color auto="1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/>
        <i val="0"/>
        <condense val="0"/>
        <extend val="0"/>
        <color auto="1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ont>
        <b/>
        <i val="0"/>
        <condense val="0"/>
        <extend val="0"/>
        <color indexed="14"/>
      </font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ont>
        <condense val="0"/>
        <extend val="0"/>
        <color auto="1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ill>
        <patternFill>
          <bgColor indexed="24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190500</xdr:rowOff>
    </xdr:from>
    <xdr:to>
      <xdr:col>3</xdr:col>
      <xdr:colOff>12700</xdr:colOff>
      <xdr:row>11</xdr:row>
      <xdr:rowOff>203200</xdr:rowOff>
    </xdr:to>
    <xdr:sp macro="" textlink="">
      <xdr:nvSpPr>
        <xdr:cNvPr id="25821" name="Line 3"/>
        <xdr:cNvSpPr>
          <a:spLocks noChangeShapeType="1"/>
        </xdr:cNvSpPr>
      </xdr:nvSpPr>
      <xdr:spPr bwMode="auto">
        <a:xfrm flipV="1">
          <a:off x="2565400" y="42799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1587500</xdr:colOff>
      <xdr:row>11</xdr:row>
      <xdr:rowOff>177800</xdr:rowOff>
    </xdr:from>
    <xdr:to>
      <xdr:col>5</xdr:col>
      <xdr:colOff>0</xdr:colOff>
      <xdr:row>11</xdr:row>
      <xdr:rowOff>190500</xdr:rowOff>
    </xdr:to>
    <xdr:sp macro="" textlink="">
      <xdr:nvSpPr>
        <xdr:cNvPr id="25822" name="Line 3"/>
        <xdr:cNvSpPr>
          <a:spLocks noChangeShapeType="1"/>
        </xdr:cNvSpPr>
      </xdr:nvSpPr>
      <xdr:spPr bwMode="auto">
        <a:xfrm flipV="1">
          <a:off x="4660900" y="4267200"/>
          <a:ext cx="5080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0</xdr:colOff>
      <xdr:row>15</xdr:row>
      <xdr:rowOff>165100</xdr:rowOff>
    </xdr:from>
    <xdr:to>
      <xdr:col>5</xdr:col>
      <xdr:colOff>0</xdr:colOff>
      <xdr:row>17</xdr:row>
      <xdr:rowOff>0</xdr:rowOff>
    </xdr:to>
    <xdr:sp macro="" textlink="">
      <xdr:nvSpPr>
        <xdr:cNvPr id="25823" name="Line 3"/>
        <xdr:cNvSpPr>
          <a:spLocks noChangeShapeType="1"/>
        </xdr:cNvSpPr>
      </xdr:nvSpPr>
      <xdr:spPr bwMode="auto">
        <a:xfrm>
          <a:off x="4660900" y="5778500"/>
          <a:ext cx="508000" cy="5969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5</xdr:col>
      <xdr:colOff>1485900</xdr:colOff>
      <xdr:row>9</xdr:row>
      <xdr:rowOff>368300</xdr:rowOff>
    </xdr:from>
    <xdr:to>
      <xdr:col>6</xdr:col>
      <xdr:colOff>495300</xdr:colOff>
      <xdr:row>11</xdr:row>
      <xdr:rowOff>190500</xdr:rowOff>
    </xdr:to>
    <xdr:sp macro="" textlink="">
      <xdr:nvSpPr>
        <xdr:cNvPr id="25824" name="Line 3"/>
        <xdr:cNvSpPr>
          <a:spLocks noChangeShapeType="1"/>
        </xdr:cNvSpPr>
      </xdr:nvSpPr>
      <xdr:spPr bwMode="auto">
        <a:xfrm flipV="1">
          <a:off x="6654800" y="3695700"/>
          <a:ext cx="508000" cy="584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1587500</xdr:colOff>
      <xdr:row>15</xdr:row>
      <xdr:rowOff>165100</xdr:rowOff>
    </xdr:from>
    <xdr:to>
      <xdr:col>4</xdr:col>
      <xdr:colOff>495300</xdr:colOff>
      <xdr:row>15</xdr:row>
      <xdr:rowOff>177800</xdr:rowOff>
    </xdr:to>
    <xdr:sp macro="" textlink="">
      <xdr:nvSpPr>
        <xdr:cNvPr id="25825" name="Line 3"/>
        <xdr:cNvSpPr>
          <a:spLocks noChangeShapeType="1"/>
        </xdr:cNvSpPr>
      </xdr:nvSpPr>
      <xdr:spPr bwMode="auto">
        <a:xfrm>
          <a:off x="4660900" y="5778500"/>
          <a:ext cx="4953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0</xdr:colOff>
      <xdr:row>11</xdr:row>
      <xdr:rowOff>177800</xdr:rowOff>
    </xdr:from>
    <xdr:to>
      <xdr:col>9</xdr:col>
      <xdr:colOff>12700</xdr:colOff>
      <xdr:row>11</xdr:row>
      <xdr:rowOff>190500</xdr:rowOff>
    </xdr:to>
    <xdr:sp macro="" textlink="">
      <xdr:nvSpPr>
        <xdr:cNvPr id="25826" name="Line 3"/>
        <xdr:cNvSpPr>
          <a:spLocks noChangeShapeType="1"/>
        </xdr:cNvSpPr>
      </xdr:nvSpPr>
      <xdr:spPr bwMode="auto">
        <a:xfrm>
          <a:off x="6667500" y="4267200"/>
          <a:ext cx="2425700" cy="127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0</xdr:colOff>
      <xdr:row>7</xdr:row>
      <xdr:rowOff>241300</xdr:rowOff>
    </xdr:from>
    <xdr:to>
      <xdr:col>10</xdr:col>
      <xdr:colOff>508000</xdr:colOff>
      <xdr:row>7</xdr:row>
      <xdr:rowOff>241300</xdr:rowOff>
    </xdr:to>
    <xdr:sp macro="" textlink="">
      <xdr:nvSpPr>
        <xdr:cNvPr id="25827" name="Line 3"/>
        <xdr:cNvSpPr>
          <a:spLocks noChangeShapeType="1"/>
        </xdr:cNvSpPr>
      </xdr:nvSpPr>
      <xdr:spPr bwMode="auto">
        <a:xfrm flipV="1">
          <a:off x="10477500" y="2628900"/>
          <a:ext cx="508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1384300</xdr:colOff>
      <xdr:row>13</xdr:row>
      <xdr:rowOff>190500</xdr:rowOff>
    </xdr:from>
    <xdr:to>
      <xdr:col>11</xdr:col>
      <xdr:colOff>12700</xdr:colOff>
      <xdr:row>13</xdr:row>
      <xdr:rowOff>190500</xdr:rowOff>
    </xdr:to>
    <xdr:sp macro="" textlink="">
      <xdr:nvSpPr>
        <xdr:cNvPr id="25828" name="Line 3"/>
        <xdr:cNvSpPr>
          <a:spLocks noChangeShapeType="1"/>
        </xdr:cNvSpPr>
      </xdr:nvSpPr>
      <xdr:spPr bwMode="auto">
        <a:xfrm>
          <a:off x="10464800" y="5041900"/>
          <a:ext cx="533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0</xdr:colOff>
      <xdr:row>15</xdr:row>
      <xdr:rowOff>177800</xdr:rowOff>
    </xdr:from>
    <xdr:to>
      <xdr:col>11</xdr:col>
      <xdr:colOff>12700</xdr:colOff>
      <xdr:row>15</xdr:row>
      <xdr:rowOff>190500</xdr:rowOff>
    </xdr:to>
    <xdr:sp macro="" textlink="">
      <xdr:nvSpPr>
        <xdr:cNvPr id="25829" name="Line 3"/>
        <xdr:cNvSpPr>
          <a:spLocks noChangeShapeType="1"/>
        </xdr:cNvSpPr>
      </xdr:nvSpPr>
      <xdr:spPr bwMode="auto">
        <a:xfrm flipV="1">
          <a:off x="10477500" y="57912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0</xdr:colOff>
      <xdr:row>9</xdr:row>
      <xdr:rowOff>190500</xdr:rowOff>
    </xdr:from>
    <xdr:to>
      <xdr:col>11</xdr:col>
      <xdr:colOff>0</xdr:colOff>
      <xdr:row>9</xdr:row>
      <xdr:rowOff>190500</xdr:rowOff>
    </xdr:to>
    <xdr:sp macro="" textlink="">
      <xdr:nvSpPr>
        <xdr:cNvPr id="25830" name="Line 3"/>
        <xdr:cNvSpPr>
          <a:spLocks noChangeShapeType="1"/>
        </xdr:cNvSpPr>
      </xdr:nvSpPr>
      <xdr:spPr bwMode="auto">
        <a:xfrm>
          <a:off x="10477500" y="3517900"/>
          <a:ext cx="508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0</xdr:colOff>
      <xdr:row>17</xdr:row>
      <xdr:rowOff>190500</xdr:rowOff>
    </xdr:from>
    <xdr:to>
      <xdr:col>11</xdr:col>
      <xdr:colOff>12700</xdr:colOff>
      <xdr:row>17</xdr:row>
      <xdr:rowOff>203200</xdr:rowOff>
    </xdr:to>
    <xdr:sp macro="" textlink="">
      <xdr:nvSpPr>
        <xdr:cNvPr id="25831" name="Line 3"/>
        <xdr:cNvSpPr>
          <a:spLocks noChangeShapeType="1"/>
        </xdr:cNvSpPr>
      </xdr:nvSpPr>
      <xdr:spPr bwMode="auto">
        <a:xfrm flipV="1">
          <a:off x="10477500" y="65659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1384300</xdr:colOff>
      <xdr:row>19</xdr:row>
      <xdr:rowOff>190500</xdr:rowOff>
    </xdr:from>
    <xdr:to>
      <xdr:col>11</xdr:col>
      <xdr:colOff>0</xdr:colOff>
      <xdr:row>19</xdr:row>
      <xdr:rowOff>203200</xdr:rowOff>
    </xdr:to>
    <xdr:sp macro="" textlink="">
      <xdr:nvSpPr>
        <xdr:cNvPr id="25832" name="Line 3"/>
        <xdr:cNvSpPr>
          <a:spLocks noChangeShapeType="1"/>
        </xdr:cNvSpPr>
      </xdr:nvSpPr>
      <xdr:spPr bwMode="auto">
        <a:xfrm flipV="1">
          <a:off x="10464800" y="73279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0</xdr:colOff>
      <xdr:row>21</xdr:row>
      <xdr:rowOff>177800</xdr:rowOff>
    </xdr:from>
    <xdr:to>
      <xdr:col>11</xdr:col>
      <xdr:colOff>12700</xdr:colOff>
      <xdr:row>21</xdr:row>
      <xdr:rowOff>190500</xdr:rowOff>
    </xdr:to>
    <xdr:sp macro="" textlink="">
      <xdr:nvSpPr>
        <xdr:cNvPr id="25833" name="Line 3"/>
        <xdr:cNvSpPr>
          <a:spLocks noChangeShapeType="1"/>
        </xdr:cNvSpPr>
      </xdr:nvSpPr>
      <xdr:spPr bwMode="auto">
        <a:xfrm flipV="1">
          <a:off x="10477500" y="82677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0</xdr:colOff>
      <xdr:row>7</xdr:row>
      <xdr:rowOff>203200</xdr:rowOff>
    </xdr:from>
    <xdr:to>
      <xdr:col>8</xdr:col>
      <xdr:colOff>482600</xdr:colOff>
      <xdr:row>7</xdr:row>
      <xdr:rowOff>215900</xdr:rowOff>
    </xdr:to>
    <xdr:sp macro="" textlink="">
      <xdr:nvSpPr>
        <xdr:cNvPr id="25834" name="Line 3"/>
        <xdr:cNvSpPr>
          <a:spLocks noChangeShapeType="1"/>
        </xdr:cNvSpPr>
      </xdr:nvSpPr>
      <xdr:spPr bwMode="auto">
        <a:xfrm>
          <a:off x="4660900" y="2590800"/>
          <a:ext cx="4394200" cy="127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596900</xdr:colOff>
      <xdr:row>13</xdr:row>
      <xdr:rowOff>368300</xdr:rowOff>
    </xdr:from>
    <xdr:to>
      <xdr:col>1</xdr:col>
      <xdr:colOff>647700</xdr:colOff>
      <xdr:row>15</xdr:row>
      <xdr:rowOff>12700</xdr:rowOff>
    </xdr:to>
    <xdr:sp macro="" textlink="">
      <xdr:nvSpPr>
        <xdr:cNvPr id="25835" name="Line 3"/>
        <xdr:cNvSpPr>
          <a:spLocks noChangeShapeType="1"/>
        </xdr:cNvSpPr>
      </xdr:nvSpPr>
      <xdr:spPr bwMode="auto">
        <a:xfrm rot="16200000" flipV="1">
          <a:off x="1371600" y="5397500"/>
          <a:ext cx="406400" cy="50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673100</xdr:colOff>
      <xdr:row>8</xdr:row>
      <xdr:rowOff>0</xdr:rowOff>
    </xdr:from>
    <xdr:to>
      <xdr:col>3</xdr:col>
      <xdr:colOff>673100</xdr:colOff>
      <xdr:row>11</xdr:row>
      <xdr:rowOff>0</xdr:rowOff>
    </xdr:to>
    <xdr:cxnSp macro="">
      <xdr:nvCxnSpPr>
        <xdr:cNvPr id="25836" name="Straight Arrow Connector 23"/>
        <xdr:cNvCxnSpPr>
          <a:cxnSpLocks noChangeShapeType="1"/>
        </xdr:cNvCxnSpPr>
      </xdr:nvCxnSpPr>
      <xdr:spPr bwMode="auto">
        <a:xfrm>
          <a:off x="3746500" y="2946400"/>
          <a:ext cx="0" cy="114300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241300</xdr:colOff>
      <xdr:row>11</xdr:row>
      <xdr:rowOff>190500</xdr:rowOff>
    </xdr:from>
    <xdr:to>
      <xdr:col>2</xdr:col>
      <xdr:colOff>266700</xdr:colOff>
      <xdr:row>15</xdr:row>
      <xdr:rowOff>190500</xdr:rowOff>
    </xdr:to>
    <xdr:cxnSp macro="">
      <xdr:nvCxnSpPr>
        <xdr:cNvPr id="25837" name="Straight Connector 27"/>
        <xdr:cNvCxnSpPr>
          <a:cxnSpLocks noChangeShapeType="1"/>
        </xdr:cNvCxnSpPr>
      </xdr:nvCxnSpPr>
      <xdr:spPr bwMode="auto">
        <a:xfrm rot="16200000" flipH="1">
          <a:off x="2057400" y="5029200"/>
          <a:ext cx="152400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254000</xdr:colOff>
      <xdr:row>15</xdr:row>
      <xdr:rowOff>177800</xdr:rowOff>
    </xdr:from>
    <xdr:to>
      <xdr:col>3</xdr:col>
      <xdr:colOff>0</xdr:colOff>
      <xdr:row>15</xdr:row>
      <xdr:rowOff>190500</xdr:rowOff>
    </xdr:to>
    <xdr:sp macro="" textlink="">
      <xdr:nvSpPr>
        <xdr:cNvPr id="25838" name="Line 3"/>
        <xdr:cNvSpPr>
          <a:spLocks noChangeShapeType="1"/>
        </xdr:cNvSpPr>
      </xdr:nvSpPr>
      <xdr:spPr bwMode="auto">
        <a:xfrm flipV="1">
          <a:off x="2819400" y="5791200"/>
          <a:ext cx="2540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1384300</xdr:colOff>
      <xdr:row>15</xdr:row>
      <xdr:rowOff>368300</xdr:rowOff>
    </xdr:from>
    <xdr:to>
      <xdr:col>4</xdr:col>
      <xdr:colOff>254000</xdr:colOff>
      <xdr:row>19</xdr:row>
      <xdr:rowOff>165100</xdr:rowOff>
    </xdr:to>
    <xdr:cxnSp macro="">
      <xdr:nvCxnSpPr>
        <xdr:cNvPr id="25839" name="Straight Connector 31"/>
        <xdr:cNvCxnSpPr>
          <a:cxnSpLocks noChangeShapeType="1"/>
        </xdr:cNvCxnSpPr>
      </xdr:nvCxnSpPr>
      <xdr:spPr bwMode="auto">
        <a:xfrm rot="16200000" flipH="1">
          <a:off x="4025900" y="6413500"/>
          <a:ext cx="1320800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241300</xdr:colOff>
      <xdr:row>19</xdr:row>
      <xdr:rowOff>165100</xdr:rowOff>
    </xdr:from>
    <xdr:to>
      <xdr:col>4</xdr:col>
      <xdr:colOff>495300</xdr:colOff>
      <xdr:row>19</xdr:row>
      <xdr:rowOff>177800</xdr:rowOff>
    </xdr:to>
    <xdr:sp macro="" textlink="">
      <xdr:nvSpPr>
        <xdr:cNvPr id="25840" name="Line 3"/>
        <xdr:cNvSpPr>
          <a:spLocks noChangeShapeType="1"/>
        </xdr:cNvSpPr>
      </xdr:nvSpPr>
      <xdr:spPr bwMode="auto">
        <a:xfrm flipV="1">
          <a:off x="4902200" y="7302500"/>
          <a:ext cx="2540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</xdr:col>
      <xdr:colOff>1384300</xdr:colOff>
      <xdr:row>15</xdr:row>
      <xdr:rowOff>177800</xdr:rowOff>
    </xdr:from>
    <xdr:to>
      <xdr:col>9</xdr:col>
      <xdr:colOff>0</xdr:colOff>
      <xdr:row>15</xdr:row>
      <xdr:rowOff>190500</xdr:rowOff>
    </xdr:to>
    <xdr:sp macro="" textlink="">
      <xdr:nvSpPr>
        <xdr:cNvPr id="25841" name="Line 3"/>
        <xdr:cNvSpPr>
          <a:spLocks noChangeShapeType="1"/>
        </xdr:cNvSpPr>
      </xdr:nvSpPr>
      <xdr:spPr bwMode="auto">
        <a:xfrm flipV="1">
          <a:off x="8559800" y="57912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0</xdr:colOff>
      <xdr:row>19</xdr:row>
      <xdr:rowOff>190500</xdr:rowOff>
    </xdr:from>
    <xdr:to>
      <xdr:col>3</xdr:col>
      <xdr:colOff>0</xdr:colOff>
      <xdr:row>19</xdr:row>
      <xdr:rowOff>190500</xdr:rowOff>
    </xdr:to>
    <xdr:sp macro="" textlink="">
      <xdr:nvSpPr>
        <xdr:cNvPr id="25842" name="Line 3"/>
        <xdr:cNvSpPr>
          <a:spLocks noChangeShapeType="1"/>
        </xdr:cNvSpPr>
      </xdr:nvSpPr>
      <xdr:spPr bwMode="auto">
        <a:xfrm flipV="1">
          <a:off x="2565400" y="7327900"/>
          <a:ext cx="508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673100</xdr:colOff>
      <xdr:row>16</xdr:row>
      <xdr:rowOff>190500</xdr:rowOff>
    </xdr:from>
    <xdr:to>
      <xdr:col>4</xdr:col>
      <xdr:colOff>101600</xdr:colOff>
      <xdr:row>31</xdr:row>
      <xdr:rowOff>139700</xdr:rowOff>
    </xdr:to>
    <xdr:sp macro="" textlink="">
      <xdr:nvSpPr>
        <xdr:cNvPr id="25843" name="Rounded Rectangle 27"/>
        <xdr:cNvSpPr>
          <a:spLocks noChangeArrowheads="1"/>
        </xdr:cNvSpPr>
      </xdr:nvSpPr>
      <xdr:spPr bwMode="auto">
        <a:xfrm>
          <a:off x="673100" y="6184900"/>
          <a:ext cx="4089400" cy="6146800"/>
        </a:xfrm>
        <a:prstGeom prst="roundRect">
          <a:avLst>
            <a:gd name="adj" fmla="val 16667"/>
          </a:avLst>
        </a:prstGeom>
        <a:noFill/>
        <a:ln w="9525">
          <a:solidFill>
            <a:srgbClr val="7F7F7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</xdr:col>
      <xdr:colOff>1384300</xdr:colOff>
      <xdr:row>11</xdr:row>
      <xdr:rowOff>215900</xdr:rowOff>
    </xdr:from>
    <xdr:to>
      <xdr:col>8</xdr:col>
      <xdr:colOff>495300</xdr:colOff>
      <xdr:row>15</xdr:row>
      <xdr:rowOff>190500</xdr:rowOff>
    </xdr:to>
    <xdr:sp macro="" textlink="">
      <xdr:nvSpPr>
        <xdr:cNvPr id="25844" name="Line 3"/>
        <xdr:cNvSpPr>
          <a:spLocks noChangeShapeType="1"/>
        </xdr:cNvSpPr>
      </xdr:nvSpPr>
      <xdr:spPr bwMode="auto">
        <a:xfrm flipV="1">
          <a:off x="8559800" y="4305300"/>
          <a:ext cx="508000" cy="149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25400</xdr:colOff>
      <xdr:row>13</xdr:row>
      <xdr:rowOff>177800</xdr:rowOff>
    </xdr:from>
    <xdr:to>
      <xdr:col>8</xdr:col>
      <xdr:colOff>495300</xdr:colOff>
      <xdr:row>15</xdr:row>
      <xdr:rowOff>165100</xdr:rowOff>
    </xdr:to>
    <xdr:sp macro="" textlink="">
      <xdr:nvSpPr>
        <xdr:cNvPr id="25845" name="Line 3"/>
        <xdr:cNvSpPr>
          <a:spLocks noChangeShapeType="1"/>
        </xdr:cNvSpPr>
      </xdr:nvSpPr>
      <xdr:spPr bwMode="auto">
        <a:xfrm flipV="1">
          <a:off x="8597900" y="5029200"/>
          <a:ext cx="469900" cy="749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609600</xdr:colOff>
      <xdr:row>9</xdr:row>
      <xdr:rowOff>368300</xdr:rowOff>
    </xdr:from>
    <xdr:to>
      <xdr:col>9</xdr:col>
      <xdr:colOff>622300</xdr:colOff>
      <xdr:row>10</xdr:row>
      <xdr:rowOff>368300</xdr:rowOff>
    </xdr:to>
    <xdr:cxnSp macro="">
      <xdr:nvCxnSpPr>
        <xdr:cNvPr id="25846" name="Straight Arrow Connector 35"/>
        <xdr:cNvCxnSpPr>
          <a:cxnSpLocks noChangeShapeType="1"/>
        </xdr:cNvCxnSpPr>
      </xdr:nvCxnSpPr>
      <xdr:spPr bwMode="auto">
        <a:xfrm flipH="1">
          <a:off x="9690100" y="3695700"/>
          <a:ext cx="12700" cy="3810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5</xdr:row>
      <xdr:rowOff>304800</xdr:rowOff>
    </xdr:from>
    <xdr:to>
      <xdr:col>8</xdr:col>
      <xdr:colOff>482600</xdr:colOff>
      <xdr:row>7</xdr:row>
      <xdr:rowOff>63500</xdr:rowOff>
    </xdr:to>
    <xdr:cxnSp macro="">
      <xdr:nvCxnSpPr>
        <xdr:cNvPr id="25847" name="Elbow Connector 42"/>
        <xdr:cNvCxnSpPr>
          <a:cxnSpLocks noChangeShapeType="1"/>
        </xdr:cNvCxnSpPr>
      </xdr:nvCxnSpPr>
      <xdr:spPr bwMode="auto">
        <a:xfrm>
          <a:off x="4660900" y="1930400"/>
          <a:ext cx="4394200" cy="52070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1130300</xdr:colOff>
      <xdr:row>26</xdr:row>
      <xdr:rowOff>203200</xdr:rowOff>
    </xdr:from>
    <xdr:to>
      <xdr:col>10</xdr:col>
      <xdr:colOff>254000</xdr:colOff>
      <xdr:row>26</xdr:row>
      <xdr:rowOff>215900</xdr:rowOff>
    </xdr:to>
    <xdr:sp macro="" textlink="">
      <xdr:nvSpPr>
        <xdr:cNvPr id="25848" name="Line 3"/>
        <xdr:cNvSpPr>
          <a:spLocks noChangeShapeType="1"/>
        </xdr:cNvSpPr>
      </xdr:nvSpPr>
      <xdr:spPr bwMode="auto">
        <a:xfrm flipV="1">
          <a:off x="10210800" y="101981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1181100</xdr:colOff>
      <xdr:row>27</xdr:row>
      <xdr:rowOff>165100</xdr:rowOff>
    </xdr:from>
    <xdr:to>
      <xdr:col>10</xdr:col>
      <xdr:colOff>304800</xdr:colOff>
      <xdr:row>27</xdr:row>
      <xdr:rowOff>177800</xdr:rowOff>
    </xdr:to>
    <xdr:sp macro="" textlink="">
      <xdr:nvSpPr>
        <xdr:cNvPr id="25849" name="Line 3"/>
        <xdr:cNvSpPr>
          <a:spLocks noChangeShapeType="1"/>
        </xdr:cNvSpPr>
      </xdr:nvSpPr>
      <xdr:spPr bwMode="auto">
        <a:xfrm flipV="1">
          <a:off x="10261600" y="105410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0</xdr:colOff>
      <xdr:row>11</xdr:row>
      <xdr:rowOff>279400</xdr:rowOff>
    </xdr:from>
    <xdr:to>
      <xdr:col>7</xdr:col>
      <xdr:colOff>0</xdr:colOff>
      <xdr:row>15</xdr:row>
      <xdr:rowOff>76200</xdr:rowOff>
    </xdr:to>
    <xdr:grpSp>
      <xdr:nvGrpSpPr>
        <xdr:cNvPr id="25850" name="Group 46"/>
        <xdr:cNvGrpSpPr>
          <a:grpSpLocks/>
        </xdr:cNvGrpSpPr>
      </xdr:nvGrpSpPr>
      <xdr:grpSpPr bwMode="auto">
        <a:xfrm>
          <a:off x="3589020" y="4363720"/>
          <a:ext cx="1935480" cy="1320800"/>
          <a:chOff x="4241800" y="4076700"/>
          <a:chExt cx="2425700" cy="1333500"/>
        </a:xfrm>
      </xdr:grpSpPr>
      <xdr:cxnSp macro="">
        <xdr:nvCxnSpPr>
          <xdr:cNvPr id="25871" name="Elbow Connector 42"/>
          <xdr:cNvCxnSpPr>
            <a:cxnSpLocks noChangeShapeType="1"/>
          </xdr:cNvCxnSpPr>
        </xdr:nvCxnSpPr>
        <xdr:spPr bwMode="auto">
          <a:xfrm>
            <a:off x="4241800" y="4076700"/>
            <a:ext cx="2044700" cy="977900"/>
          </a:xfrm>
          <a:prstGeom prst="bentConnector3">
            <a:avLst>
              <a:gd name="adj1" fmla="val 15218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872" name="Elbow Connector 45"/>
          <xdr:cNvCxnSpPr>
            <a:cxnSpLocks noChangeShapeType="1"/>
          </xdr:cNvCxnSpPr>
        </xdr:nvCxnSpPr>
        <xdr:spPr bwMode="auto">
          <a:xfrm>
            <a:off x="6261100" y="5054600"/>
            <a:ext cx="406400" cy="355600"/>
          </a:xfrm>
          <a:prstGeom prst="bentConnector3">
            <a:avLst>
              <a:gd name="adj1" fmla="val 50000"/>
            </a:avLst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7</xdr:col>
      <xdr:colOff>749300</xdr:colOff>
      <xdr:row>13</xdr:row>
      <xdr:rowOff>152400</xdr:rowOff>
    </xdr:from>
    <xdr:to>
      <xdr:col>8</xdr:col>
      <xdr:colOff>469900</xdr:colOff>
      <xdr:row>13</xdr:row>
      <xdr:rowOff>177800</xdr:rowOff>
    </xdr:to>
    <xdr:cxnSp macro="">
      <xdr:nvCxnSpPr>
        <xdr:cNvPr id="25851" name="Straight Arrow Connector 42"/>
        <xdr:cNvCxnSpPr>
          <a:cxnSpLocks noChangeShapeType="1"/>
        </xdr:cNvCxnSpPr>
      </xdr:nvCxnSpPr>
      <xdr:spPr bwMode="auto">
        <a:xfrm>
          <a:off x="7924800" y="5003800"/>
          <a:ext cx="1117600" cy="25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647700</xdr:colOff>
      <xdr:row>11</xdr:row>
      <xdr:rowOff>368300</xdr:rowOff>
    </xdr:from>
    <xdr:to>
      <xdr:col>9</xdr:col>
      <xdr:colOff>647700</xdr:colOff>
      <xdr:row>12</xdr:row>
      <xdr:rowOff>368300</xdr:rowOff>
    </xdr:to>
    <xdr:cxnSp macro="">
      <xdr:nvCxnSpPr>
        <xdr:cNvPr id="25852" name="Straight Arrow Connector 44"/>
        <xdr:cNvCxnSpPr>
          <a:cxnSpLocks noChangeShapeType="1"/>
        </xdr:cNvCxnSpPr>
      </xdr:nvCxnSpPr>
      <xdr:spPr bwMode="auto">
        <a:xfrm>
          <a:off x="9728200" y="4457700"/>
          <a:ext cx="0" cy="3810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419100</xdr:colOff>
      <xdr:row>1</xdr:row>
      <xdr:rowOff>279400</xdr:rowOff>
    </xdr:from>
    <xdr:to>
      <xdr:col>10</xdr:col>
      <xdr:colOff>38100</xdr:colOff>
      <xdr:row>4</xdr:row>
      <xdr:rowOff>101600</xdr:rowOff>
    </xdr:to>
    <xdr:sp macro="" textlink="">
      <xdr:nvSpPr>
        <xdr:cNvPr id="44" name="TextBox 43"/>
        <xdr:cNvSpPr txBox="1"/>
      </xdr:nvSpPr>
      <xdr:spPr>
        <a:xfrm>
          <a:off x="6578600" y="736600"/>
          <a:ext cx="3429000" cy="965200"/>
        </a:xfrm>
        <a:prstGeom prst="rect">
          <a:avLst/>
        </a:prstGeom>
        <a:solidFill>
          <a:schemeClr val="lt1"/>
        </a:solidFill>
        <a:ln w="57150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 rtl="0">
            <a:defRPr sz="1000"/>
          </a:pPr>
          <a:r>
            <a:rPr lang="pl-PL" sz="2400" b="0" i="0" u="none" strike="noStrike" baseline="0">
              <a:solidFill>
                <a:srgbClr val="000000"/>
              </a:solidFill>
              <a:latin typeface="Helvetica Neue Black Condensed"/>
              <a:ea typeface="Helvetica Neue Black Condensed"/>
              <a:cs typeface="Helvetica Neue Black Condensed"/>
            </a:rPr>
            <a:t>BS in Civil Engineering</a:t>
          </a:r>
        </a:p>
        <a:p>
          <a:pPr algn="ctr" rtl="0">
            <a:defRPr sz="1000"/>
          </a:pPr>
          <a:r>
            <a:rPr lang="pl-PL" sz="2400" b="0" i="0" u="none" strike="noStrike" baseline="0">
              <a:solidFill>
                <a:srgbClr val="000000"/>
              </a:solidFill>
              <a:latin typeface="Helvetica Neue Black Condensed"/>
              <a:ea typeface="Helvetica Neue Black Condensed"/>
              <a:cs typeface="Helvetica Neue Black Condensed"/>
            </a:rPr>
            <a:t>Flowchart</a:t>
          </a:r>
        </a:p>
      </xdr:txBody>
    </xdr:sp>
    <xdr:clientData/>
  </xdr:twoCellAnchor>
  <xdr:twoCellAnchor>
    <xdr:from>
      <xdr:col>0</xdr:col>
      <xdr:colOff>508000</xdr:colOff>
      <xdr:row>0</xdr:row>
      <xdr:rowOff>190500</xdr:rowOff>
    </xdr:from>
    <xdr:to>
      <xdr:col>15</xdr:col>
      <xdr:colOff>774700</xdr:colOff>
      <xdr:row>31</xdr:row>
      <xdr:rowOff>355600</xdr:rowOff>
    </xdr:to>
    <xdr:sp macro="" textlink="">
      <xdr:nvSpPr>
        <xdr:cNvPr id="25854" name="Rectangle 45"/>
        <xdr:cNvSpPr>
          <a:spLocks noChangeArrowheads="1"/>
        </xdr:cNvSpPr>
      </xdr:nvSpPr>
      <xdr:spPr bwMode="auto">
        <a:xfrm>
          <a:off x="508000" y="190500"/>
          <a:ext cx="17005300" cy="12357100"/>
        </a:xfrm>
        <a:prstGeom prst="rect">
          <a:avLst/>
        </a:prstGeom>
        <a:noFill/>
        <a:ln w="60325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0</xdr:colOff>
      <xdr:row>9</xdr:row>
      <xdr:rowOff>355600</xdr:rowOff>
    </xdr:from>
    <xdr:to>
      <xdr:col>9</xdr:col>
      <xdr:colOff>0</xdr:colOff>
      <xdr:row>15</xdr:row>
      <xdr:rowOff>114300</xdr:rowOff>
    </xdr:to>
    <xdr:sp macro="" textlink="">
      <xdr:nvSpPr>
        <xdr:cNvPr id="25855" name="Line 3"/>
        <xdr:cNvSpPr>
          <a:spLocks noChangeShapeType="1"/>
        </xdr:cNvSpPr>
      </xdr:nvSpPr>
      <xdr:spPr bwMode="auto">
        <a:xfrm flipV="1">
          <a:off x="8572500" y="3683000"/>
          <a:ext cx="508000" cy="2044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</xdr:col>
      <xdr:colOff>533400</xdr:colOff>
      <xdr:row>10</xdr:row>
      <xdr:rowOff>215900</xdr:rowOff>
    </xdr:from>
    <xdr:to>
      <xdr:col>7</xdr:col>
      <xdr:colOff>800100</xdr:colOff>
      <xdr:row>11</xdr:row>
      <xdr:rowOff>101600</xdr:rowOff>
    </xdr:to>
    <xdr:grpSp>
      <xdr:nvGrpSpPr>
        <xdr:cNvPr id="25856" name="Group 48"/>
        <xdr:cNvGrpSpPr>
          <a:grpSpLocks/>
        </xdr:cNvGrpSpPr>
      </xdr:nvGrpSpPr>
      <xdr:grpSpPr bwMode="auto">
        <a:xfrm>
          <a:off x="6057900" y="3919220"/>
          <a:ext cx="266700" cy="266700"/>
          <a:chOff x="0" y="215900"/>
          <a:chExt cx="268862" cy="261610"/>
        </a:xfrm>
      </xdr:grpSpPr>
      <xdr:sp macro="" textlink="">
        <xdr:nvSpPr>
          <xdr:cNvPr id="25869" name="Oval 50"/>
          <xdr:cNvSpPr>
            <a:spLocks noChangeArrowheads="1"/>
          </xdr:cNvSpPr>
        </xdr:nvSpPr>
        <xdr:spPr bwMode="auto">
          <a:xfrm>
            <a:off x="0" y="215900"/>
            <a:ext cx="254000" cy="254000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52" name="TextBox 51"/>
          <xdr:cNvSpPr txBox="1"/>
        </xdr:nvSpPr>
        <xdr:spPr>
          <a:xfrm>
            <a:off x="12803" y="215900"/>
            <a:ext cx="256059" cy="2616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/>
              <a:t>1</a:t>
            </a:r>
          </a:p>
        </xdr:txBody>
      </xdr:sp>
    </xdr:grpSp>
    <xdr:clientData/>
  </xdr:twoCellAnchor>
  <xdr:twoCellAnchor>
    <xdr:from>
      <xdr:col>7</xdr:col>
      <xdr:colOff>647700</xdr:colOff>
      <xdr:row>10</xdr:row>
      <xdr:rowOff>0</xdr:rowOff>
    </xdr:from>
    <xdr:to>
      <xdr:col>7</xdr:col>
      <xdr:colOff>660400</xdr:colOff>
      <xdr:row>10</xdr:row>
      <xdr:rowOff>228600</xdr:rowOff>
    </xdr:to>
    <xdr:sp macro="" textlink="">
      <xdr:nvSpPr>
        <xdr:cNvPr id="25857" name="Line 3"/>
        <xdr:cNvSpPr>
          <a:spLocks noChangeShapeType="1"/>
        </xdr:cNvSpPr>
      </xdr:nvSpPr>
      <xdr:spPr bwMode="auto">
        <a:xfrm>
          <a:off x="7823200" y="3708400"/>
          <a:ext cx="127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13</xdr:col>
      <xdr:colOff>419100</xdr:colOff>
      <xdr:row>11</xdr:row>
      <xdr:rowOff>127000</xdr:rowOff>
    </xdr:from>
    <xdr:to>
      <xdr:col>13</xdr:col>
      <xdr:colOff>685800</xdr:colOff>
      <xdr:row>12</xdr:row>
      <xdr:rowOff>12700</xdr:rowOff>
    </xdr:to>
    <xdr:grpSp>
      <xdr:nvGrpSpPr>
        <xdr:cNvPr id="25858" name="Group 52"/>
        <xdr:cNvGrpSpPr>
          <a:grpSpLocks/>
        </xdr:cNvGrpSpPr>
      </xdr:nvGrpSpPr>
      <xdr:grpSpPr bwMode="auto">
        <a:xfrm>
          <a:off x="10332720" y="4211320"/>
          <a:ext cx="266700" cy="266700"/>
          <a:chOff x="0" y="0"/>
          <a:chExt cx="268862" cy="261610"/>
        </a:xfrm>
      </xdr:grpSpPr>
      <xdr:sp macro="" textlink="">
        <xdr:nvSpPr>
          <xdr:cNvPr id="25867" name="Oval 53"/>
          <xdr:cNvSpPr>
            <a:spLocks noChangeArrowheads="1"/>
          </xdr:cNvSpPr>
        </xdr:nvSpPr>
        <xdr:spPr bwMode="auto">
          <a:xfrm>
            <a:off x="0" y="0"/>
            <a:ext cx="254000" cy="254000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55" name="TextBox 54"/>
          <xdr:cNvSpPr txBox="1"/>
        </xdr:nvSpPr>
        <xdr:spPr>
          <a:xfrm>
            <a:off x="12803" y="0"/>
            <a:ext cx="256059" cy="2616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/>
              <a:t>1</a:t>
            </a:r>
          </a:p>
        </xdr:txBody>
      </xdr:sp>
    </xdr:grpSp>
    <xdr:clientData/>
  </xdr:twoCellAnchor>
  <xdr:twoCellAnchor>
    <xdr:from>
      <xdr:col>12</xdr:col>
      <xdr:colOff>12700</xdr:colOff>
      <xdr:row>11</xdr:row>
      <xdr:rowOff>368300</xdr:rowOff>
    </xdr:from>
    <xdr:to>
      <xdr:col>13</xdr:col>
      <xdr:colOff>482600</xdr:colOff>
      <xdr:row>15</xdr:row>
      <xdr:rowOff>12700</xdr:rowOff>
    </xdr:to>
    <xdr:sp macro="" textlink="">
      <xdr:nvSpPr>
        <xdr:cNvPr id="25859" name="Line 3"/>
        <xdr:cNvSpPr>
          <a:spLocks noChangeShapeType="1"/>
        </xdr:cNvSpPr>
      </xdr:nvSpPr>
      <xdr:spPr bwMode="auto">
        <a:xfrm flipV="1">
          <a:off x="12395200" y="4457700"/>
          <a:ext cx="977900" cy="11684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0</xdr:colOff>
      <xdr:row>11</xdr:row>
      <xdr:rowOff>304800</xdr:rowOff>
    </xdr:from>
    <xdr:to>
      <xdr:col>13</xdr:col>
      <xdr:colOff>419100</xdr:colOff>
      <xdr:row>13</xdr:row>
      <xdr:rowOff>203200</xdr:rowOff>
    </xdr:to>
    <xdr:sp macro="" textlink="">
      <xdr:nvSpPr>
        <xdr:cNvPr id="25860" name="Line 3"/>
        <xdr:cNvSpPr>
          <a:spLocks noChangeShapeType="1"/>
        </xdr:cNvSpPr>
      </xdr:nvSpPr>
      <xdr:spPr bwMode="auto">
        <a:xfrm flipV="1">
          <a:off x="12382500" y="4394200"/>
          <a:ext cx="927100" cy="6604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11</xdr:col>
      <xdr:colOff>1384300</xdr:colOff>
      <xdr:row>9</xdr:row>
      <xdr:rowOff>203200</xdr:rowOff>
    </xdr:from>
    <xdr:to>
      <xdr:col>13</xdr:col>
      <xdr:colOff>444500</xdr:colOff>
      <xdr:row>11</xdr:row>
      <xdr:rowOff>165100</xdr:rowOff>
    </xdr:to>
    <xdr:sp macro="" textlink="">
      <xdr:nvSpPr>
        <xdr:cNvPr id="25861" name="Line 3"/>
        <xdr:cNvSpPr>
          <a:spLocks noChangeShapeType="1"/>
        </xdr:cNvSpPr>
      </xdr:nvSpPr>
      <xdr:spPr bwMode="auto">
        <a:xfrm>
          <a:off x="12369800" y="3530600"/>
          <a:ext cx="965200" cy="7239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5</xdr:col>
      <xdr:colOff>1473200</xdr:colOff>
      <xdr:row>15</xdr:row>
      <xdr:rowOff>165100</xdr:rowOff>
    </xdr:from>
    <xdr:to>
      <xdr:col>6</xdr:col>
      <xdr:colOff>482600</xdr:colOff>
      <xdr:row>16</xdr:row>
      <xdr:rowOff>381000</xdr:rowOff>
    </xdr:to>
    <xdr:sp macro="" textlink="">
      <xdr:nvSpPr>
        <xdr:cNvPr id="25862" name="Line 3"/>
        <xdr:cNvSpPr>
          <a:spLocks noChangeShapeType="1"/>
        </xdr:cNvSpPr>
      </xdr:nvSpPr>
      <xdr:spPr bwMode="auto">
        <a:xfrm flipV="1">
          <a:off x="6642100" y="5778500"/>
          <a:ext cx="508000" cy="596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660400</xdr:colOff>
      <xdr:row>12</xdr:row>
      <xdr:rowOff>215900</xdr:rowOff>
    </xdr:from>
    <xdr:to>
      <xdr:col>1</xdr:col>
      <xdr:colOff>660400</xdr:colOff>
      <xdr:row>12</xdr:row>
      <xdr:rowOff>355600</xdr:rowOff>
    </xdr:to>
    <xdr:cxnSp macro="">
      <xdr:nvCxnSpPr>
        <xdr:cNvPr id="25863" name="Straight Connector 56"/>
        <xdr:cNvCxnSpPr>
          <a:cxnSpLocks noChangeShapeType="1"/>
        </xdr:cNvCxnSpPr>
      </xdr:nvCxnSpPr>
      <xdr:spPr bwMode="auto">
        <a:xfrm rot="5400000" flipH="1" flipV="1">
          <a:off x="1543050" y="4756150"/>
          <a:ext cx="139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660400</xdr:colOff>
      <xdr:row>12</xdr:row>
      <xdr:rowOff>203200</xdr:rowOff>
    </xdr:from>
    <xdr:to>
      <xdr:col>7</xdr:col>
      <xdr:colOff>762000</xdr:colOff>
      <xdr:row>12</xdr:row>
      <xdr:rowOff>215900</xdr:rowOff>
    </xdr:to>
    <xdr:cxnSp macro="">
      <xdr:nvCxnSpPr>
        <xdr:cNvPr id="25864" name="Straight Connector 58"/>
        <xdr:cNvCxnSpPr>
          <a:cxnSpLocks noChangeShapeType="1"/>
        </xdr:cNvCxnSpPr>
      </xdr:nvCxnSpPr>
      <xdr:spPr bwMode="auto">
        <a:xfrm flipV="1">
          <a:off x="1612900" y="4673600"/>
          <a:ext cx="63246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749300</xdr:colOff>
      <xdr:row>12</xdr:row>
      <xdr:rowOff>215900</xdr:rowOff>
    </xdr:from>
    <xdr:to>
      <xdr:col>7</xdr:col>
      <xdr:colOff>762000</xdr:colOff>
      <xdr:row>13</xdr:row>
      <xdr:rowOff>165100</xdr:rowOff>
    </xdr:to>
    <xdr:cxnSp macro="">
      <xdr:nvCxnSpPr>
        <xdr:cNvPr id="25865" name="Straight Connector 60"/>
        <xdr:cNvCxnSpPr>
          <a:cxnSpLocks noChangeShapeType="1"/>
        </xdr:cNvCxnSpPr>
      </xdr:nvCxnSpPr>
      <xdr:spPr bwMode="auto">
        <a:xfrm rot="5400000">
          <a:off x="7766050" y="4845050"/>
          <a:ext cx="330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13</xdr:col>
      <xdr:colOff>812800</xdr:colOff>
      <xdr:row>10</xdr:row>
      <xdr:rowOff>304800</xdr:rowOff>
    </xdr:from>
    <xdr:to>
      <xdr:col>15</xdr:col>
      <xdr:colOff>50800</xdr:colOff>
      <xdr:row>18</xdr:row>
      <xdr:rowOff>342900</xdr:rowOff>
    </xdr:to>
    <xdr:pic>
      <xdr:nvPicPr>
        <xdr:cNvPr id="25866" name="Picture 53" descr="MCCELO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3300" y="4013200"/>
          <a:ext cx="3086100" cy="308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558800</xdr:colOff>
      <xdr:row>51</xdr:row>
      <xdr:rowOff>127000</xdr:rowOff>
    </xdr:from>
    <xdr:to>
      <xdr:col>25</xdr:col>
      <xdr:colOff>787400</xdr:colOff>
      <xdr:row>52</xdr:row>
      <xdr:rowOff>152400</xdr:rowOff>
    </xdr:to>
    <xdr:sp macro="" textlink="">
      <xdr:nvSpPr>
        <xdr:cNvPr id="2" name="TextBox 1"/>
        <xdr:cNvSpPr txBox="1"/>
      </xdr:nvSpPr>
      <xdr:spPr>
        <a:xfrm>
          <a:off x="27571700" y="106553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533400</xdr:colOff>
      <xdr:row>63</xdr:row>
      <xdr:rowOff>139700</xdr:rowOff>
    </xdr:from>
    <xdr:to>
      <xdr:col>25</xdr:col>
      <xdr:colOff>762000</xdr:colOff>
      <xdr:row>64</xdr:row>
      <xdr:rowOff>165100</xdr:rowOff>
    </xdr:to>
    <xdr:sp macro="" textlink="">
      <xdr:nvSpPr>
        <xdr:cNvPr id="3" name="TextBox 2"/>
        <xdr:cNvSpPr txBox="1"/>
      </xdr:nvSpPr>
      <xdr:spPr>
        <a:xfrm>
          <a:off x="27546300" y="131064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558800</xdr:colOff>
      <xdr:row>66</xdr:row>
      <xdr:rowOff>152400</xdr:rowOff>
    </xdr:from>
    <xdr:to>
      <xdr:col>25</xdr:col>
      <xdr:colOff>787400</xdr:colOff>
      <xdr:row>67</xdr:row>
      <xdr:rowOff>177800</xdr:rowOff>
    </xdr:to>
    <xdr:sp macro="" textlink="">
      <xdr:nvSpPr>
        <xdr:cNvPr id="4" name="TextBox 3"/>
        <xdr:cNvSpPr txBox="1"/>
      </xdr:nvSpPr>
      <xdr:spPr>
        <a:xfrm>
          <a:off x="27571700" y="137287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571500</xdr:colOff>
      <xdr:row>67</xdr:row>
      <xdr:rowOff>165100</xdr:rowOff>
    </xdr:from>
    <xdr:to>
      <xdr:col>25</xdr:col>
      <xdr:colOff>800100</xdr:colOff>
      <xdr:row>68</xdr:row>
      <xdr:rowOff>190500</xdr:rowOff>
    </xdr:to>
    <xdr:sp macro="" textlink="">
      <xdr:nvSpPr>
        <xdr:cNvPr id="5" name="TextBox 4"/>
        <xdr:cNvSpPr txBox="1"/>
      </xdr:nvSpPr>
      <xdr:spPr>
        <a:xfrm>
          <a:off x="27584400" y="139446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558800</xdr:colOff>
      <xdr:row>70</xdr:row>
      <xdr:rowOff>165100</xdr:rowOff>
    </xdr:from>
    <xdr:to>
      <xdr:col>25</xdr:col>
      <xdr:colOff>787400</xdr:colOff>
      <xdr:row>71</xdr:row>
      <xdr:rowOff>190500</xdr:rowOff>
    </xdr:to>
    <xdr:sp macro="" textlink="">
      <xdr:nvSpPr>
        <xdr:cNvPr id="6" name="TextBox 5"/>
        <xdr:cNvSpPr txBox="1"/>
      </xdr:nvSpPr>
      <xdr:spPr>
        <a:xfrm>
          <a:off x="27571700" y="145542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584200</xdr:colOff>
      <xdr:row>71</xdr:row>
      <xdr:rowOff>165100</xdr:rowOff>
    </xdr:from>
    <xdr:to>
      <xdr:col>25</xdr:col>
      <xdr:colOff>812800</xdr:colOff>
      <xdr:row>72</xdr:row>
      <xdr:rowOff>190500</xdr:rowOff>
    </xdr:to>
    <xdr:sp macro="" textlink="">
      <xdr:nvSpPr>
        <xdr:cNvPr id="7" name="TextBox 6"/>
        <xdr:cNvSpPr txBox="1"/>
      </xdr:nvSpPr>
      <xdr:spPr>
        <a:xfrm>
          <a:off x="27597100" y="147574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558800</xdr:colOff>
      <xdr:row>72</xdr:row>
      <xdr:rowOff>152400</xdr:rowOff>
    </xdr:from>
    <xdr:to>
      <xdr:col>25</xdr:col>
      <xdr:colOff>787400</xdr:colOff>
      <xdr:row>73</xdr:row>
      <xdr:rowOff>177800</xdr:rowOff>
    </xdr:to>
    <xdr:sp macro="" textlink="">
      <xdr:nvSpPr>
        <xdr:cNvPr id="8" name="TextBox 7"/>
        <xdr:cNvSpPr txBox="1"/>
      </xdr:nvSpPr>
      <xdr:spPr>
        <a:xfrm>
          <a:off x="27571700" y="149479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558800</xdr:colOff>
      <xdr:row>51</xdr:row>
      <xdr:rowOff>127000</xdr:rowOff>
    </xdr:from>
    <xdr:to>
      <xdr:col>25</xdr:col>
      <xdr:colOff>787400</xdr:colOff>
      <xdr:row>52</xdr:row>
      <xdr:rowOff>152400</xdr:rowOff>
    </xdr:to>
    <xdr:sp macro="" textlink="">
      <xdr:nvSpPr>
        <xdr:cNvPr id="2" name="TextBox 1"/>
        <xdr:cNvSpPr txBox="1"/>
      </xdr:nvSpPr>
      <xdr:spPr>
        <a:xfrm>
          <a:off x="27571700" y="106426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533400</xdr:colOff>
      <xdr:row>63</xdr:row>
      <xdr:rowOff>139700</xdr:rowOff>
    </xdr:from>
    <xdr:to>
      <xdr:col>25</xdr:col>
      <xdr:colOff>762000</xdr:colOff>
      <xdr:row>64</xdr:row>
      <xdr:rowOff>165100</xdr:rowOff>
    </xdr:to>
    <xdr:sp macro="" textlink="">
      <xdr:nvSpPr>
        <xdr:cNvPr id="3" name="TextBox 2"/>
        <xdr:cNvSpPr txBox="1"/>
      </xdr:nvSpPr>
      <xdr:spPr>
        <a:xfrm>
          <a:off x="27546300" y="130937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558800</xdr:colOff>
      <xdr:row>66</xdr:row>
      <xdr:rowOff>152400</xdr:rowOff>
    </xdr:from>
    <xdr:to>
      <xdr:col>25</xdr:col>
      <xdr:colOff>787400</xdr:colOff>
      <xdr:row>67</xdr:row>
      <xdr:rowOff>177800</xdr:rowOff>
    </xdr:to>
    <xdr:sp macro="" textlink="">
      <xdr:nvSpPr>
        <xdr:cNvPr id="4" name="TextBox 3"/>
        <xdr:cNvSpPr txBox="1"/>
      </xdr:nvSpPr>
      <xdr:spPr>
        <a:xfrm>
          <a:off x="27571700" y="137160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571500</xdr:colOff>
      <xdr:row>67</xdr:row>
      <xdr:rowOff>165100</xdr:rowOff>
    </xdr:from>
    <xdr:to>
      <xdr:col>25</xdr:col>
      <xdr:colOff>800100</xdr:colOff>
      <xdr:row>68</xdr:row>
      <xdr:rowOff>190500</xdr:rowOff>
    </xdr:to>
    <xdr:sp macro="" textlink="">
      <xdr:nvSpPr>
        <xdr:cNvPr id="5" name="TextBox 4"/>
        <xdr:cNvSpPr txBox="1"/>
      </xdr:nvSpPr>
      <xdr:spPr>
        <a:xfrm>
          <a:off x="27584400" y="139319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558800</xdr:colOff>
      <xdr:row>70</xdr:row>
      <xdr:rowOff>165100</xdr:rowOff>
    </xdr:from>
    <xdr:to>
      <xdr:col>25</xdr:col>
      <xdr:colOff>787400</xdr:colOff>
      <xdr:row>71</xdr:row>
      <xdr:rowOff>190500</xdr:rowOff>
    </xdr:to>
    <xdr:sp macro="" textlink="">
      <xdr:nvSpPr>
        <xdr:cNvPr id="6" name="TextBox 5"/>
        <xdr:cNvSpPr txBox="1"/>
      </xdr:nvSpPr>
      <xdr:spPr>
        <a:xfrm>
          <a:off x="27571700" y="145415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584200</xdr:colOff>
      <xdr:row>71</xdr:row>
      <xdr:rowOff>165100</xdr:rowOff>
    </xdr:from>
    <xdr:to>
      <xdr:col>25</xdr:col>
      <xdr:colOff>812800</xdr:colOff>
      <xdr:row>72</xdr:row>
      <xdr:rowOff>190500</xdr:rowOff>
    </xdr:to>
    <xdr:sp macro="" textlink="">
      <xdr:nvSpPr>
        <xdr:cNvPr id="7" name="TextBox 6"/>
        <xdr:cNvSpPr txBox="1"/>
      </xdr:nvSpPr>
      <xdr:spPr>
        <a:xfrm>
          <a:off x="27597100" y="147447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  <xdr:twoCellAnchor>
    <xdr:from>
      <xdr:col>25</xdr:col>
      <xdr:colOff>558800</xdr:colOff>
      <xdr:row>72</xdr:row>
      <xdr:rowOff>152400</xdr:rowOff>
    </xdr:from>
    <xdr:to>
      <xdr:col>25</xdr:col>
      <xdr:colOff>787400</xdr:colOff>
      <xdr:row>73</xdr:row>
      <xdr:rowOff>177800</xdr:rowOff>
    </xdr:to>
    <xdr:sp macro="" textlink="">
      <xdr:nvSpPr>
        <xdr:cNvPr id="8" name="TextBox 7"/>
        <xdr:cNvSpPr txBox="1"/>
      </xdr:nvSpPr>
      <xdr:spPr>
        <a:xfrm>
          <a:off x="27571700" y="14935200"/>
          <a:ext cx="2286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√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S%20Core%20Cour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Core"/>
    </sheetNames>
    <sheetDataSet>
      <sheetData sheetId="0">
        <row r="5">
          <cell r="C5" t="str">
            <v>Communication Arts and Sciences</v>
          </cell>
          <cell r="D5" t="str">
            <v>WRT 2790  Public and Private Writing from the Civil War Era</v>
          </cell>
          <cell r="E5" t="str">
            <v>Management</v>
          </cell>
          <cell r="F5" t="str">
            <v>MGT 3325 Ethics and Social Responsibility</v>
          </cell>
          <cell r="I5" t="str">
            <v>Economics</v>
          </cell>
          <cell r="J5" t="str">
            <v>ECO 3314  U.S. Economic History</v>
          </cell>
          <cell r="K5" t="str">
            <v>Communication Arts and Sciences</v>
          </cell>
          <cell r="L5" t="str">
            <v>COM 2201 Introduction to Interpersonal Communication</v>
          </cell>
        </row>
        <row r="6">
          <cell r="C6" t="str">
            <v>Communication Arts and Sciences</v>
          </cell>
          <cell r="D6" t="str">
            <v>WRT 3060  Writing the Personal Memoir</v>
          </cell>
          <cell r="E6" t="str">
            <v xml:space="preserve">Philosophy </v>
          </cell>
          <cell r="F6" t="str">
            <v>PHL 2020W  Perspectives on the Good Life</v>
          </cell>
          <cell r="I6" t="str">
            <v>Economics</v>
          </cell>
          <cell r="J6" t="str">
            <v>ECO 3312  The History of Economic Thought</v>
          </cell>
          <cell r="K6" t="str">
            <v>Communication Arts and Sciences</v>
          </cell>
          <cell r="L6" t="str">
            <v xml:space="preserve">COM 2301 Introduction to Organizational Communication </v>
          </cell>
        </row>
        <row r="7">
          <cell r="C7" t="str">
            <v>English</v>
          </cell>
          <cell r="D7" t="str">
            <v>ENG 1060  Horror Fiction</v>
          </cell>
          <cell r="E7" t="str">
            <v xml:space="preserve">Philosophy </v>
          </cell>
          <cell r="F7" t="str">
            <v>PHL 2030  Contemporary Moral Problems</v>
          </cell>
          <cell r="I7" t="str">
            <v>History</v>
          </cell>
          <cell r="J7" t="str">
            <v>HIS 1106  History of American Civilization, 1600-1877</v>
          </cell>
          <cell r="K7" t="str">
            <v>Communication Arts and Sciences</v>
          </cell>
          <cell r="L7" t="str">
            <v xml:space="preserve">COM 2401 Introduction to Mass Communication </v>
          </cell>
        </row>
        <row r="8">
          <cell r="C8" t="str">
            <v>English</v>
          </cell>
          <cell r="D8" t="str">
            <v>ENG 1500  Major British and World Authors</v>
          </cell>
          <cell r="E8" t="str">
            <v xml:space="preserve">Philosophy </v>
          </cell>
          <cell r="F8" t="str">
            <v>PHL 2040  Introduction to Political Philosophy</v>
          </cell>
          <cell r="I8" t="str">
            <v>History</v>
          </cell>
          <cell r="J8" t="str">
            <v>HIS 1107  History of American Civilization, 1877-2000</v>
          </cell>
          <cell r="K8" t="str">
            <v>Communication Arts and Sciences</v>
          </cell>
          <cell r="L8" t="str">
            <v>COM 3231 Intercultural Communication (D)</v>
          </cell>
        </row>
        <row r="9">
          <cell r="C9" t="str">
            <v>English</v>
          </cell>
          <cell r="D9" t="str">
            <v>ENG 1550  Major American Authors</v>
          </cell>
          <cell r="E9" t="str">
            <v xml:space="preserve">Philosophy </v>
          </cell>
          <cell r="F9" t="str">
            <v>PHL 2050  Ethics in the Professions</v>
          </cell>
          <cell r="I9" t="str">
            <v>History</v>
          </cell>
          <cell r="J9" t="str">
            <v>HIS 1119  History of Western Civilization I</v>
          </cell>
          <cell r="K9" t="str">
            <v>Economics</v>
          </cell>
          <cell r="L9" t="str">
            <v>ECO 1201  Introduction to Economics   </v>
          </cell>
        </row>
        <row r="10">
          <cell r="C10" t="str">
            <v>English</v>
          </cell>
          <cell r="D10" t="str">
            <v>ENG 2050W  Introduction to Literary Studies</v>
          </cell>
          <cell r="E10" t="str">
            <v xml:space="preserve">Philosophy </v>
          </cell>
          <cell r="F10" t="str">
            <v>PHL 2060  Biomedical Ethics</v>
          </cell>
          <cell r="I10" t="str">
            <v>History</v>
          </cell>
          <cell r="J10" t="str">
            <v>HIS 1120  History of Western Civilization II</v>
          </cell>
          <cell r="K10" t="str">
            <v>Economics</v>
          </cell>
          <cell r="L10" t="str">
            <v>ECO 1202  Topics in Introductory Economics </v>
          </cell>
        </row>
        <row r="11">
          <cell r="C11" t="str">
            <v>English</v>
          </cell>
          <cell r="D11" t="str">
            <v>ENG 2200  Introduction to Poetry</v>
          </cell>
          <cell r="E11" t="str">
            <v xml:space="preserve">Philosophy </v>
          </cell>
          <cell r="F11" t="str">
            <v>PHL 2070  Environmental Ethics</v>
          </cell>
          <cell r="I11" t="str">
            <v>History</v>
          </cell>
          <cell r="J11" t="str">
            <v>HIS 2329  American Social History</v>
          </cell>
          <cell r="K11" t="str">
            <v>Economics</v>
          </cell>
          <cell r="L11" t="str">
            <v>ECO 1203  Principles of Economics – Micro  </v>
          </cell>
        </row>
        <row r="12">
          <cell r="C12" t="str">
            <v>English</v>
          </cell>
          <cell r="D12" t="str">
            <v>ENG 2300  Detective Fiction</v>
          </cell>
          <cell r="E12" t="str">
            <v xml:space="preserve">Philosophy </v>
          </cell>
          <cell r="F12" t="str">
            <v>PHL 2080  Approaches to Ethics</v>
          </cell>
          <cell r="I12" t="str">
            <v>History</v>
          </cell>
          <cell r="J12" t="str">
            <v>HIS 2340  History of Latin America (D)</v>
          </cell>
          <cell r="K12" t="str">
            <v>Economics</v>
          </cell>
          <cell r="L12" t="str">
            <v>ECO 1204  Principles of Economics – Macro  </v>
          </cell>
        </row>
        <row r="13">
          <cell r="C13" t="str">
            <v>English</v>
          </cell>
          <cell r="D13" t="str">
            <v>ENG 2740  Politics in Literature</v>
          </cell>
          <cell r="E13" t="str">
            <v xml:space="preserve">Philosophy </v>
          </cell>
          <cell r="F13" t="str">
            <v>PHL 2090  Values in a Technological Culture</v>
          </cell>
          <cell r="I13" t="str">
            <v>History</v>
          </cell>
          <cell r="J13" t="str">
            <v>HIS 3350  Ancient History</v>
          </cell>
          <cell r="K13" t="str">
            <v>Economics</v>
          </cell>
          <cell r="L13" t="str">
            <v>ECO 1225  Economics of Gender (D)</v>
          </cell>
        </row>
        <row r="14">
          <cell r="C14" t="str">
            <v>English</v>
          </cell>
          <cell r="D14" t="str">
            <v>ENG 2750  Adapting the Graphic Novel to Film</v>
          </cell>
          <cell r="E14" t="str">
            <v xml:space="preserve">Philosophy </v>
          </cell>
          <cell r="F14" t="str">
            <v>PHL 2100  Women, Ethics and Society (D)</v>
          </cell>
          <cell r="I14" t="str">
            <v>History</v>
          </cell>
          <cell r="J14" t="str">
            <v>HIS 3360  Medieval Civilization</v>
          </cell>
          <cell r="K14" t="str">
            <v>Economics</v>
          </cell>
          <cell r="L14" t="str">
            <v>ECO 2201  Intermediate Micro-Economics  </v>
          </cell>
        </row>
        <row r="15">
          <cell r="C15" t="str">
            <v>English</v>
          </cell>
          <cell r="D15" t="str">
            <v>ENG 2770  Literature and Film</v>
          </cell>
          <cell r="E15" t="str">
            <v xml:space="preserve">Philosophy </v>
          </cell>
          <cell r="F15" t="str">
            <v>PHL 2310  Socrates and the Examined Life</v>
          </cell>
          <cell r="I15" t="str">
            <v>History</v>
          </cell>
          <cell r="J15" t="str">
            <v>HIS 3370  Renaissance and Reformation</v>
          </cell>
          <cell r="K15" t="str">
            <v>Economics</v>
          </cell>
          <cell r="L15" t="str">
            <v>ECO 2202  Intermediate Macro-Economics </v>
          </cell>
        </row>
        <row r="16">
          <cell r="C16" t="str">
            <v>English</v>
          </cell>
          <cell r="D16" t="str">
            <v>ENG 3020  A History of the English Language</v>
          </cell>
          <cell r="E16" t="str">
            <v xml:space="preserve">Philosophy </v>
          </cell>
          <cell r="F16" t="str">
            <v>PHL 2500 Theories of Justice</v>
          </cell>
          <cell r="I16" t="str">
            <v>History</v>
          </cell>
          <cell r="J16" t="str">
            <v>HIS 3376  Era of the French Revolution</v>
          </cell>
          <cell r="K16" t="str">
            <v>Economics</v>
          </cell>
          <cell r="L16" t="str">
            <v>ECO 3303  Economic Development</v>
          </cell>
        </row>
        <row r="17">
          <cell r="C17" t="str">
            <v>English</v>
          </cell>
          <cell r="D17" t="str">
            <v>ENG 3100  Beowulf and Old English Literature</v>
          </cell>
          <cell r="E17" t="str">
            <v xml:space="preserve">Philosophy </v>
          </cell>
          <cell r="F17" t="str">
            <v>PHL 3020 Philosophy of Law</v>
          </cell>
          <cell r="I17" t="str">
            <v>History</v>
          </cell>
          <cell r="J17" t="str">
            <v>HIS 3378  History of Modern Britain</v>
          </cell>
          <cell r="K17" t="str">
            <v>Economics</v>
          </cell>
          <cell r="L17" t="str">
            <v>ECO 3304  Economics of Education</v>
          </cell>
        </row>
        <row r="18">
          <cell r="C18" t="str">
            <v>English</v>
          </cell>
          <cell r="D18" t="str">
            <v>ENG 3140  Chaucer and Middle English Literature</v>
          </cell>
          <cell r="E18" t="str">
            <v xml:space="preserve">Philosophy </v>
          </cell>
          <cell r="F18" t="str">
            <v>PHL 3030  Global Justice</v>
          </cell>
          <cell r="I18" t="str">
            <v>History</v>
          </cell>
          <cell r="J18" t="str">
            <v>HIS 3380  History of Modern Technology</v>
          </cell>
          <cell r="K18" t="str">
            <v>Economics</v>
          </cell>
          <cell r="L18" t="str">
            <v>ECO 3305  Ecological Economics</v>
          </cell>
        </row>
        <row r="19">
          <cell r="C19" t="str">
            <v>English</v>
          </cell>
          <cell r="D19" t="str">
            <v>ENG 3200  Renaissance Literature</v>
          </cell>
          <cell r="E19" t="str">
            <v xml:space="preserve">Philosophy </v>
          </cell>
          <cell r="F19" t="str">
            <v>PHL 3180  Existentialism</v>
          </cell>
          <cell r="I19" t="str">
            <v>History</v>
          </cell>
          <cell r="J19" t="str">
            <v>HIS 3390  Modern European Social History</v>
          </cell>
          <cell r="K19" t="str">
            <v>Economics</v>
          </cell>
          <cell r="L19" t="str">
            <v>ECO 3306  International Economics</v>
          </cell>
        </row>
        <row r="20">
          <cell r="C20" t="str">
            <v>English</v>
          </cell>
          <cell r="D20" t="str">
            <v>ENG 3220  Renaissance Drama</v>
          </cell>
          <cell r="E20" t="str">
            <v>Religious and Theological Studies</v>
          </cell>
          <cell r="F20" t="str">
            <v>RTS 2800  Christian Social Ethics (D)</v>
          </cell>
          <cell r="I20" t="str">
            <v>History</v>
          </cell>
          <cell r="J20" t="str">
            <v>HIS 3391  Women in Modern European History (D)</v>
          </cell>
          <cell r="K20" t="str">
            <v>Economics</v>
          </cell>
          <cell r="L20" t="str">
            <v>ECO 3307  Labor Economics</v>
          </cell>
        </row>
        <row r="21">
          <cell r="C21" t="str">
            <v>English</v>
          </cell>
          <cell r="D21" t="str">
            <v>ENG 3250  Shakespearean Drama</v>
          </cell>
          <cell r="E21" t="str">
            <v>Religious and Theological Studies</v>
          </cell>
          <cell r="F21" t="str">
            <v>RTS 2900  Holocaust: Theology, Reality and Aftermath (D)</v>
          </cell>
          <cell r="I21" t="str">
            <v>History</v>
          </cell>
          <cell r="J21" t="str">
            <v>HIS 3320  The American City</v>
          </cell>
          <cell r="K21" t="str">
            <v>Economics</v>
          </cell>
          <cell r="L21" t="str">
            <v>ECO 3308  Managerial Economics</v>
          </cell>
        </row>
        <row r="22">
          <cell r="C22" t="str">
            <v>English</v>
          </cell>
          <cell r="D22" t="str">
            <v>ENG 3280  Angels and Demons: Milton and the Culture of Revolution</v>
          </cell>
          <cell r="E22" t="str">
            <v>Religious and Theological Studies</v>
          </cell>
          <cell r="F22" t="str">
            <v>RTS 2950  Ethics in the Abrahamic Traditions</v>
          </cell>
          <cell r="I22" t="str">
            <v>History</v>
          </cell>
          <cell r="J22" t="str">
            <v>HIS 3326  History of American Architecture</v>
          </cell>
          <cell r="K22" t="str">
            <v>Economics</v>
          </cell>
          <cell r="L22" t="str">
            <v>ECO 3309  Marxian Economics</v>
          </cell>
        </row>
        <row r="23">
          <cell r="C23" t="str">
            <v>English</v>
          </cell>
          <cell r="D23" t="str">
            <v>ENG 3300  Restoration and Eighteenth-Century Literature</v>
          </cell>
          <cell r="E23" t="str">
            <v>Religious and Theological Studies</v>
          </cell>
          <cell r="F23" t="str">
            <v>RTS 3700  African-American Theology (D)</v>
          </cell>
          <cell r="I23" t="str">
            <v>History</v>
          </cell>
          <cell r="J23" t="str">
            <v>HIS 3401  Topics in Nineteenth-Century Europe</v>
          </cell>
          <cell r="K23" t="str">
            <v>Economics</v>
          </cell>
          <cell r="L23" t="str">
            <v>ECO 3310  Money and Finance</v>
          </cell>
        </row>
        <row r="24">
          <cell r="C24" t="str">
            <v>English</v>
          </cell>
          <cell r="D24" t="str">
            <v>ENG 3320  Eighteenth-Century Novel</v>
          </cell>
          <cell r="E24" t="str">
            <v>Religious and Theological Studies</v>
          </cell>
          <cell r="F24" t="str">
            <v>RTS 3710  Feminist Theology (D)</v>
          </cell>
          <cell r="I24" t="str">
            <v>History</v>
          </cell>
          <cell r="J24" t="str">
            <v>HIS 3410  Twentieth-Century Europe</v>
          </cell>
          <cell r="K24" t="str">
            <v>Economics</v>
          </cell>
          <cell r="L24" t="str">
            <v>ECO 3311  Public Finance</v>
          </cell>
        </row>
        <row r="25">
          <cell r="C25" t="str">
            <v>English</v>
          </cell>
          <cell r="D25" t="str">
            <v>ENG 3350  Sex, Race, and Empire: 1660-1814</v>
          </cell>
          <cell r="E25" t="str">
            <v>Religious and Theological Studies</v>
          </cell>
          <cell r="F25" t="str">
            <v>RTS 3800  The Catholic Thing: Merton and Day</v>
          </cell>
          <cell r="I25" t="str">
            <v>History</v>
          </cell>
          <cell r="J25" t="str">
            <v>HIS 3425  Contemporary United States History</v>
          </cell>
          <cell r="K25" t="str">
            <v>Economics</v>
          </cell>
          <cell r="L25" t="str">
            <v>ECO 3312  The History of Economic Thought</v>
          </cell>
        </row>
        <row r="26">
          <cell r="C26" t="str">
            <v>English</v>
          </cell>
          <cell r="D26" t="str">
            <v>ENG 3400  British Romanticism</v>
          </cell>
          <cell r="E26" t="str">
            <v>Religious and Theological Studies</v>
          </cell>
          <cell r="F26" t="str">
            <v>RTS 3850  War and Peace: Religious Perspectives</v>
          </cell>
          <cell r="I26" t="str">
            <v>History</v>
          </cell>
          <cell r="J26" t="str">
            <v>HIS 3434  Age of the American Revolution, 1763-1800</v>
          </cell>
          <cell r="K26" t="str">
            <v>Economics</v>
          </cell>
          <cell r="L26" t="str">
            <v>ECO 3313  Topics in Quantitative Economics</v>
          </cell>
        </row>
        <row r="27">
          <cell r="C27" t="str">
            <v>English</v>
          </cell>
          <cell r="D27" t="str">
            <v>ENG 3420  American Romanticism</v>
          </cell>
          <cell r="I27" t="str">
            <v>History</v>
          </cell>
          <cell r="J27" t="str">
            <v>HIS 3435  American Colonial History</v>
          </cell>
          <cell r="K27" t="str">
            <v>Economics</v>
          </cell>
          <cell r="L27" t="str">
            <v>ECO 3314  U.S. Economic History</v>
          </cell>
        </row>
        <row r="28">
          <cell r="C28" t="str">
            <v>English</v>
          </cell>
          <cell r="D28" t="str">
            <v>ENG 3440  Victorian Literature</v>
          </cell>
          <cell r="I28" t="str">
            <v>History</v>
          </cell>
          <cell r="J28" t="str">
            <v>HIS 3437  Civil War and Reconstruction</v>
          </cell>
          <cell r="K28" t="str">
            <v>Economics</v>
          </cell>
          <cell r="L28" t="str">
            <v>ECO 3315  Urban and Regional Economics</v>
          </cell>
        </row>
        <row r="29">
          <cell r="C29" t="str">
            <v>English</v>
          </cell>
          <cell r="D29" t="str">
            <v>ENG 3470  Realism and Naturalism in America</v>
          </cell>
          <cell r="I29" t="str">
            <v>History</v>
          </cell>
          <cell r="J29" t="str">
            <v>HIS 3439  Slavery and Race in the Early Modern Atlantic World, 1400-1800 (D)</v>
          </cell>
          <cell r="K29" t="str">
            <v>History</v>
          </cell>
          <cell r="L29" t="str">
            <v>HIS 3376  Era of the French Revolution</v>
          </cell>
        </row>
        <row r="30">
          <cell r="C30" t="str">
            <v>English</v>
          </cell>
          <cell r="D30" t="str">
            <v>ENG 3500  Modern British Literature</v>
          </cell>
          <cell r="I30" t="str">
            <v>History</v>
          </cell>
          <cell r="J30" t="str">
            <v>HIS 3470  History of Imperial Russia</v>
          </cell>
          <cell r="K30" t="str">
            <v>History</v>
          </cell>
          <cell r="L30" t="str">
            <v>HIS 3380  History of Modern Technology</v>
          </cell>
        </row>
        <row r="31">
          <cell r="C31" t="str">
            <v>English</v>
          </cell>
          <cell r="D31" t="str">
            <v>ENG 3520  Modern Irish Literature</v>
          </cell>
          <cell r="I31" t="str">
            <v>History</v>
          </cell>
          <cell r="J31" t="str">
            <v>HIS 3471  History of Twentieth-Century Russia</v>
          </cell>
          <cell r="K31" t="str">
            <v>History</v>
          </cell>
          <cell r="L31" t="str">
            <v>HIS 3390  Modern European Social History</v>
          </cell>
        </row>
        <row r="32">
          <cell r="C32" t="str">
            <v>English</v>
          </cell>
          <cell r="D32" t="str">
            <v>ENG 3550  Modern American Literature</v>
          </cell>
          <cell r="I32" t="str">
            <v>History</v>
          </cell>
          <cell r="J32" t="str">
            <v>HIS 3525  Environmental History of North America</v>
          </cell>
          <cell r="K32" t="str">
            <v>History</v>
          </cell>
          <cell r="L32" t="str">
            <v>HIS 3391  Women in Modern European History</v>
          </cell>
        </row>
        <row r="33">
          <cell r="C33" t="str">
            <v>English</v>
          </cell>
          <cell r="D33" t="str">
            <v>ENG 3620  Contemporary American Literature</v>
          </cell>
          <cell r="I33" t="str">
            <v>Political Science</v>
          </cell>
          <cell r="J33" t="str">
            <v>POL 2581 Political Thought: Plato to Machiavelli</v>
          </cell>
          <cell r="K33" t="str">
            <v xml:space="preserve">Political Science </v>
          </cell>
          <cell r="L33" t="str">
            <v>POL 1000  Current Issues in Politics and Government </v>
          </cell>
        </row>
        <row r="34">
          <cell r="C34" t="str">
            <v>English</v>
          </cell>
          <cell r="D34" t="str">
            <v>ENG 3650  Contemporary American Drama</v>
          </cell>
          <cell r="I34" t="str">
            <v>Political Science</v>
          </cell>
          <cell r="J34" t="str">
            <v>POL 2582 Political Thought: Machiavelli to Marx</v>
          </cell>
          <cell r="K34" t="str">
            <v xml:space="preserve">Political Science </v>
          </cell>
          <cell r="L34" t="str">
            <v>POL 1100  Politics of the United States   </v>
          </cell>
        </row>
        <row r="35">
          <cell r="C35" t="str">
            <v>English</v>
          </cell>
          <cell r="D35" t="str">
            <v>ENG 3680  World Drama</v>
          </cell>
          <cell r="I35" t="str">
            <v>Religious and Theological Studies</v>
          </cell>
          <cell r="J35" t="str">
            <v>RTS 2450  History of Christian Thought</v>
          </cell>
          <cell r="K35" t="str">
            <v xml:space="preserve">Political Science </v>
          </cell>
          <cell r="L35" t="str">
            <v>POL 1500  Comparative Politics    </v>
          </cell>
        </row>
        <row r="36">
          <cell r="C36" t="str">
            <v>English</v>
          </cell>
          <cell r="D36" t="str">
            <v>ENG 3685  The Graphic Novel</v>
          </cell>
          <cell r="I36" t="str">
            <v>Religious and Theological Studies</v>
          </cell>
          <cell r="J36" t="str">
            <v>RTS 3400  American Catholicism</v>
          </cell>
          <cell r="K36" t="str">
            <v xml:space="preserve">Political Science </v>
          </cell>
          <cell r="L36" t="str">
            <v>POL 2000W  Political Science Methods  (Q)</v>
          </cell>
        </row>
        <row r="37">
          <cell r="C37" t="str">
            <v>English</v>
          </cell>
          <cell r="D37" t="str">
            <v>ENG 3700 Self and Society: The Victorian Novel</v>
          </cell>
          <cell r="I37" t="str">
            <v>Visual and Performing Arts</v>
          </cell>
          <cell r="J37" t="str">
            <v>FAA 1610  Art History I</v>
          </cell>
          <cell r="K37" t="str">
            <v xml:space="preserve">Political Science </v>
          </cell>
          <cell r="L37" t="str">
            <v>POL 2111  State and Local Politics   </v>
          </cell>
        </row>
        <row r="38">
          <cell r="C38" t="str">
            <v>English</v>
          </cell>
          <cell r="D38" t="str">
            <v>ENG 3710  Trans-Atlantic Romanticism</v>
          </cell>
          <cell r="I38" t="str">
            <v>Visual and Performing Arts</v>
          </cell>
          <cell r="J38" t="str">
            <v>FAA 1620  Art History II</v>
          </cell>
          <cell r="K38" t="str">
            <v xml:space="preserve">Political Science </v>
          </cell>
          <cell r="L38" t="str">
            <v>POL 2120  Government Business and Society  </v>
          </cell>
        </row>
        <row r="39">
          <cell r="C39" t="str">
            <v>English</v>
          </cell>
          <cell r="D39" t="str">
            <v>ENG 3730  Modern American Poetry</v>
          </cell>
          <cell r="I39" t="str">
            <v>Visual and Performing Arts</v>
          </cell>
          <cell r="J39" t="str">
            <v>FAA 2520  Theater History I</v>
          </cell>
          <cell r="K39" t="str">
            <v xml:space="preserve">Political Science </v>
          </cell>
          <cell r="L39" t="str">
            <v>POL 2121  Public Administration and Public Policy </v>
          </cell>
        </row>
        <row r="40">
          <cell r="C40" t="str">
            <v>English</v>
          </cell>
          <cell r="D40" t="str">
            <v>ENG 3740  American Women’s Fiction</v>
          </cell>
          <cell r="I40" t="str">
            <v>Visual and Performing Arts</v>
          </cell>
          <cell r="J40" t="str">
            <v>FAA 2530  Theater History II</v>
          </cell>
          <cell r="K40" t="str">
            <v xml:space="preserve">Political Science </v>
          </cell>
          <cell r="L40" t="str">
            <v>POL 2181  American Political Thought   </v>
          </cell>
        </row>
        <row r="41">
          <cell r="C41" t="str">
            <v>English</v>
          </cell>
          <cell r="D41" t="str">
            <v>ENG 3750  Gods and Monsters: The Shelley Circle</v>
          </cell>
          <cell r="I41" t="str">
            <v>Women’s and Gender Studies</v>
          </cell>
          <cell r="J41" t="str">
            <v>WGS 3300  U.S. Women’s History</v>
          </cell>
          <cell r="K41" t="str">
            <v xml:space="preserve">Political Science </v>
          </cell>
          <cell r="L41" t="str">
            <v>POL 2510  International Politics    </v>
          </cell>
        </row>
        <row r="42">
          <cell r="C42" t="str">
            <v>English</v>
          </cell>
          <cell r="D42" t="str">
            <v>ENG 3770  Caribbean Women Writers (D)</v>
          </cell>
          <cell r="K42" t="str">
            <v xml:space="preserve">Political Science </v>
          </cell>
          <cell r="L42" t="str">
            <v>POL 2581  Political Thought:  Plato to Machiavelli </v>
          </cell>
        </row>
        <row r="43">
          <cell r="C43" t="str">
            <v>English</v>
          </cell>
          <cell r="D43" t="str">
            <v>ENG 3780  Poets of New England</v>
          </cell>
          <cell r="K43" t="str">
            <v xml:space="preserve">Political Science </v>
          </cell>
          <cell r="L43" t="str">
            <v>POL 2582  Political Thought: Machiavelli to Marx</v>
          </cell>
        </row>
        <row r="44">
          <cell r="C44" t="str">
            <v>English</v>
          </cell>
          <cell r="D44" t="str">
            <v>ENG 3790  Poe, Hawthorne, and the American Short Story</v>
          </cell>
          <cell r="K44" t="str">
            <v xml:space="preserve">Political Science </v>
          </cell>
          <cell r="L44" t="str">
            <v>POL 3112  Congress and the Legislative Process</v>
          </cell>
        </row>
        <row r="45">
          <cell r="C45" t="str">
            <v>English</v>
          </cell>
          <cell r="D45" t="str">
            <v>ENG 3800  Post-Colonial Literature (D)</v>
          </cell>
          <cell r="K45" t="str">
            <v xml:space="preserve">Political Science </v>
          </cell>
          <cell r="L45" t="str">
            <v>POL 3113  American Presidency</v>
          </cell>
        </row>
        <row r="46">
          <cell r="C46" t="str">
            <v>English</v>
          </cell>
          <cell r="D46" t="str">
            <v>ENG 3810  American Literature by Women of Color (D)</v>
          </cell>
          <cell r="K46" t="str">
            <v xml:space="preserve">Political Science </v>
          </cell>
          <cell r="L46" t="str">
            <v>POL 3114  Political Parties and Interest Groups</v>
          </cell>
        </row>
        <row r="47">
          <cell r="C47" t="str">
            <v>English</v>
          </cell>
          <cell r="D47" t="str">
            <v>ENG 3820 Twentieth-Century Drama and Performance by Women (D)</v>
          </cell>
          <cell r="K47" t="str">
            <v xml:space="preserve">Political Science </v>
          </cell>
          <cell r="L47" t="str">
            <v>POL 3122  Issues in Public Policy</v>
          </cell>
        </row>
        <row r="48">
          <cell r="C48" t="str">
            <v>English</v>
          </cell>
          <cell r="D48" t="str">
            <v>ENG 3830  American Indian Renaissance (D)</v>
          </cell>
          <cell r="K48" t="str">
            <v xml:space="preserve">Political Science </v>
          </cell>
          <cell r="L48" t="str">
            <v>POL 3130  Campaigns and Elections</v>
          </cell>
        </row>
        <row r="49">
          <cell r="C49" t="str">
            <v>English</v>
          </cell>
          <cell r="D49" t="str">
            <v>ENG 3850  Twentieth-Century Caribbean Writers (D)</v>
          </cell>
          <cell r="K49" t="str">
            <v xml:space="preserve">Political Science </v>
          </cell>
          <cell r="L49" t="str">
            <v>POL 3131  Polling and Public Opinion</v>
          </cell>
        </row>
        <row r="50">
          <cell r="C50" t="str">
            <v>English</v>
          </cell>
          <cell r="D50" t="str">
            <v>ENG 3860  Italian-American Women Writers (D)</v>
          </cell>
          <cell r="K50" t="str">
            <v xml:space="preserve">Political Science </v>
          </cell>
          <cell r="L50" t="str">
            <v>POL 3132  Political Psychology</v>
          </cell>
        </row>
        <row r="51">
          <cell r="C51" t="str">
            <v>English</v>
          </cell>
          <cell r="D51" t="str">
            <v>ENG 3870  Literature of the Harlem Renaissance</v>
          </cell>
          <cell r="K51" t="str">
            <v xml:space="preserve">Political Science </v>
          </cell>
          <cell r="L51" t="str">
            <v>POL 3140  Mass Media and American Politics</v>
          </cell>
        </row>
        <row r="52">
          <cell r="C52" t="str">
            <v>English</v>
          </cell>
          <cell r="D52" t="str">
            <v>ENG 3900  Creative Writing: Fiction</v>
          </cell>
          <cell r="K52" t="str">
            <v xml:space="preserve">Political Science </v>
          </cell>
          <cell r="L52" t="str">
            <v>POL 3141  Political Communication</v>
          </cell>
        </row>
        <row r="53">
          <cell r="C53" t="str">
            <v>English</v>
          </cell>
          <cell r="D53" t="str">
            <v>ENG 3910  Writing the Graphic Novel</v>
          </cell>
          <cell r="K53" t="str">
            <v xml:space="preserve">Political Science </v>
          </cell>
          <cell r="L53" t="str">
            <v>POL 3150  Criminal Law</v>
          </cell>
        </row>
        <row r="54">
          <cell r="C54" t="str">
            <v>English</v>
          </cell>
          <cell r="D54" t="str">
            <v>ENG 3920  Creative Writing: Poetry</v>
          </cell>
          <cell r="K54" t="str">
            <v xml:space="preserve">Political Science </v>
          </cell>
          <cell r="L54" t="str">
            <v>POL 3151  American Constitutional Law</v>
          </cell>
        </row>
        <row r="55">
          <cell r="C55" t="str">
            <v>English</v>
          </cell>
          <cell r="D55" t="str">
            <v>ENG 4000  Advanced Creative Writing Workshop</v>
          </cell>
          <cell r="K55" t="str">
            <v xml:space="preserve">Political Science </v>
          </cell>
          <cell r="L55" t="str">
            <v>POL 3152  Civil Liberties and Civil Rights (D)</v>
          </cell>
        </row>
        <row r="56">
          <cell r="C56" t="str">
            <v>English</v>
          </cell>
          <cell r="D56" t="str">
            <v>ENG 4100  Seminar: King Arthur in Victorian England</v>
          </cell>
          <cell r="K56" t="str">
            <v xml:space="preserve">Political Science </v>
          </cell>
          <cell r="L56" t="str">
            <v>POL 3160  United States Foreign Policy</v>
          </cell>
        </row>
        <row r="57">
          <cell r="C57" t="str">
            <v>English</v>
          </cell>
          <cell r="D57" t="str">
            <v>ENG 4160  Seminar: Readers, Writers, and Books</v>
          </cell>
          <cell r="K57" t="str">
            <v xml:space="preserve">Political Science </v>
          </cell>
          <cell r="L57" t="str">
            <v>POL 3520  Modern China (D)</v>
          </cell>
        </row>
        <row r="58">
          <cell r="C58" t="str">
            <v>History</v>
          </cell>
          <cell r="D58" t="str">
            <v>HIS 3326  History of American Architecture</v>
          </cell>
          <cell r="K58" t="str">
            <v xml:space="preserve">Political Science </v>
          </cell>
          <cell r="L58" t="str">
            <v>POL 3521  Latin American Politics (D)</v>
          </cell>
        </row>
        <row r="59">
          <cell r="C59" t="str">
            <v xml:space="preserve">Humanities </v>
          </cell>
          <cell r="D59" t="str">
            <v>HUM 1010  Stories of Ancient Greece</v>
          </cell>
          <cell r="K59" t="str">
            <v xml:space="preserve">Political Science </v>
          </cell>
          <cell r="L59" t="str">
            <v>POL 3522  British Politics</v>
          </cell>
        </row>
        <row r="60">
          <cell r="C60" t="str">
            <v xml:space="preserve">Humanities </v>
          </cell>
          <cell r="D60" t="str">
            <v>HUM 1020  Medieval Europe</v>
          </cell>
          <cell r="K60" t="str">
            <v xml:space="preserve">Political Science </v>
          </cell>
          <cell r="L60" t="str">
            <v>POL 3523  Japanese Politics (D)</v>
          </cell>
        </row>
        <row r="61">
          <cell r="C61" t="str">
            <v xml:space="preserve">Humanities </v>
          </cell>
          <cell r="D61" t="str">
            <v>HUM 2010  Approaching Modernism</v>
          </cell>
          <cell r="K61" t="str">
            <v xml:space="preserve">Political Science </v>
          </cell>
          <cell r="L61" t="str">
            <v>POL 3524  Politics of the Russia and Post-Soviet States</v>
          </cell>
        </row>
        <row r="62">
          <cell r="C62" t="str">
            <v xml:space="preserve">Humanities </v>
          </cell>
          <cell r="D62" t="str">
            <v>HUM 2020  Approaching Postmodernism</v>
          </cell>
          <cell r="K62" t="str">
            <v xml:space="preserve">Political Science </v>
          </cell>
          <cell r="L62" t="str">
            <v>POL 3525  Politics of the Middle East (D)</v>
          </cell>
        </row>
        <row r="63">
          <cell r="C63" t="str">
            <v>Religious and Theological Studies</v>
          </cell>
          <cell r="D63" t="str">
            <v>RTS 2200  Introduction to Hebrew Scripture</v>
          </cell>
          <cell r="K63" t="str">
            <v xml:space="preserve">Political Science </v>
          </cell>
          <cell r="L63" t="str">
            <v>POL 3526  Politics of the European Union</v>
          </cell>
        </row>
        <row r="64">
          <cell r="C64" t="str">
            <v>Religious and Theological Studies</v>
          </cell>
          <cell r="D64" t="str">
            <v>RTS 2300  Introduction to the New Testament</v>
          </cell>
          <cell r="K64" t="str">
            <v xml:space="preserve">Political Science </v>
          </cell>
          <cell r="L64" t="str">
            <v>POL 3530  Comparative Foreign Policies</v>
          </cell>
        </row>
        <row r="65">
          <cell r="C65" t="str">
            <v>Religious and Theological Studies</v>
          </cell>
          <cell r="D65" t="str">
            <v>RTS 3350  Reading Scripture after the Holocaust (D)</v>
          </cell>
          <cell r="K65" t="str">
            <v xml:space="preserve">Political Science </v>
          </cell>
          <cell r="L65" t="str">
            <v>POL 3531  Politics of Developing Nations</v>
          </cell>
        </row>
        <row r="66">
          <cell r="C66" t="str">
            <v>Visual and Performing Arts</v>
          </cell>
          <cell r="D66" t="str">
            <v xml:space="preserve">FAA 1210  Basic Drawing I </v>
          </cell>
          <cell r="K66" t="str">
            <v xml:space="preserve">Political Science </v>
          </cell>
          <cell r="L66" t="str">
            <v>POL 3540  International Political Economy</v>
          </cell>
        </row>
        <row r="67">
          <cell r="C67" t="str">
            <v>Visual and Performing Arts</v>
          </cell>
          <cell r="D67" t="str">
            <v>FAA 1230  2-Dimensional Design</v>
          </cell>
          <cell r="K67" t="str">
            <v xml:space="preserve">Political Science </v>
          </cell>
          <cell r="L67" t="str">
            <v>POL 4199  Women and Politics (D)</v>
          </cell>
        </row>
        <row r="68">
          <cell r="C68" t="str">
            <v>Visual and Performing Arts</v>
          </cell>
          <cell r="D68" t="str">
            <v>FAA 1270  Basic Painting I</v>
          </cell>
          <cell r="K68" t="str">
            <v>Psychology</v>
          </cell>
          <cell r="L68" t="str">
            <v>PSY 1000  Introduction to Psychology</v>
          </cell>
        </row>
        <row r="69">
          <cell r="C69" t="str">
            <v>Visual and Performing Arts</v>
          </cell>
          <cell r="D69" t="str">
            <v>FAA 1310  The Nature of Music: Music and the Environment</v>
          </cell>
          <cell r="K69" t="str">
            <v>Psychology</v>
          </cell>
          <cell r="L69" t="str">
            <v>PSY 2200  Social Psychology</v>
          </cell>
        </row>
        <row r="70">
          <cell r="C70" t="str">
            <v>Visual and Performing Arts</v>
          </cell>
          <cell r="D70" t="str">
            <v>FAA 1320  History of Rock &amp; Roll</v>
          </cell>
          <cell r="K70" t="str">
            <v>Psychology</v>
          </cell>
          <cell r="L70" t="str">
            <v>PSY 2280  Organizational Psychology</v>
          </cell>
        </row>
        <row r="71">
          <cell r="C71" t="str">
            <v>Visual and Performing Arts</v>
          </cell>
          <cell r="D71" t="str">
            <v>FAA 1330  Survey of American Music</v>
          </cell>
          <cell r="K71" t="str">
            <v>Psychology</v>
          </cell>
          <cell r="L71" t="str">
            <v>PSY 2300  Developmental Psychology</v>
          </cell>
        </row>
        <row r="72">
          <cell r="C72" t="str">
            <v>Visual and Performing Arts</v>
          </cell>
          <cell r="D72" t="str">
            <v>FAA 1510  Acting I</v>
          </cell>
          <cell r="K72" t="str">
            <v>Psychology</v>
          </cell>
          <cell r="L72" t="str">
            <v>PSY 2310  Lifespan Psychology</v>
          </cell>
        </row>
        <row r="73">
          <cell r="C73" t="str">
            <v>Visual and Performing Arts</v>
          </cell>
          <cell r="D73" t="str">
            <v>FAA 1520  Voice for Stage</v>
          </cell>
          <cell r="K73" t="str">
            <v>Psychology</v>
          </cell>
          <cell r="L73" t="str">
            <v>PSY 2400  Personality</v>
          </cell>
        </row>
        <row r="74">
          <cell r="C74" t="str">
            <v>Visual and Performing Arts</v>
          </cell>
          <cell r="D74" t="str">
            <v>FAA 1550  The Curtain Calls: An Introduction to Theatre for Everyone</v>
          </cell>
          <cell r="K74" t="str">
            <v>Psychology</v>
          </cell>
          <cell r="L74" t="str">
            <v>PSY 2420  Psychology of Sex Differences</v>
          </cell>
        </row>
        <row r="75">
          <cell r="C75" t="str">
            <v>Visual and Performing Arts</v>
          </cell>
          <cell r="D75" t="str">
            <v>FAA 1600  Inside Art: Art History for Everyone</v>
          </cell>
          <cell r="K75" t="str">
            <v>Psychology</v>
          </cell>
          <cell r="L75" t="str">
            <v>PSY 2450  Love, Sex and Relationships</v>
          </cell>
        </row>
        <row r="76">
          <cell r="C76" t="str">
            <v>Visual and Performing Arts</v>
          </cell>
          <cell r="D76" t="str">
            <v>FAA 1610  Art History I: Prehistory to the Renaissance</v>
          </cell>
          <cell r="K76" t="str">
            <v>Psychology</v>
          </cell>
          <cell r="L76" t="str">
            <v>PSY 3110  Sensation and Perception</v>
          </cell>
        </row>
        <row r="77">
          <cell r="C77" t="str">
            <v>Visual and Performing Arts</v>
          </cell>
          <cell r="D77" t="str">
            <v>FAA 1620  Art History II: The Renaissance to the Present</v>
          </cell>
          <cell r="K77" t="str">
            <v>Psychology</v>
          </cell>
          <cell r="L77" t="str">
            <v>PSY 3120  Cognitive Psychology</v>
          </cell>
        </row>
        <row r="78">
          <cell r="C78" t="str">
            <v>Visual and Performing Arts</v>
          </cell>
          <cell r="D78" t="str">
            <v>FAA 1670  American Art I</v>
          </cell>
          <cell r="K78" t="str">
            <v>Psychology</v>
          </cell>
          <cell r="L78" t="str">
            <v>PSY 3150  Behavioral Neuroscience</v>
          </cell>
        </row>
        <row r="79">
          <cell r="C79" t="str">
            <v>Visual and Performing Arts</v>
          </cell>
          <cell r="D79" t="str">
            <v>FAA 1680  American Art II</v>
          </cell>
          <cell r="K79" t="str">
            <v>Psychology</v>
          </cell>
          <cell r="L79" t="str">
            <v>PSY 3250  Cultural Psychology (D)</v>
          </cell>
        </row>
        <row r="80">
          <cell r="C80" t="str">
            <v>Visual and Performing Arts</v>
          </cell>
          <cell r="D80" t="str">
            <v>FAA 1710  Foundations of Visual Arts</v>
          </cell>
          <cell r="K80" t="str">
            <v>Psychology</v>
          </cell>
          <cell r="L80" t="str">
            <v>PSY 3310  Development of Intelligence and Thinking</v>
          </cell>
        </row>
        <row r="81">
          <cell r="C81" t="str">
            <v>Visual and Performing Arts</v>
          </cell>
          <cell r="D81" t="str">
            <v>FAA 2210  Basic Drawing II</v>
          </cell>
          <cell r="K81" t="str">
            <v>Psychology</v>
          </cell>
          <cell r="L81" t="str">
            <v>PSY 3320  Social and Personality Development</v>
          </cell>
        </row>
        <row r="82">
          <cell r="C82" t="str">
            <v>Visual and Performing Arts</v>
          </cell>
          <cell r="D82" t="str">
            <v>FAA 2230  3-Dimensional Design</v>
          </cell>
          <cell r="K82" t="str">
            <v>Psychology</v>
          </cell>
          <cell r="L82" t="str">
            <v>PSY 3340  Developmental Psychopathology</v>
          </cell>
        </row>
        <row r="83">
          <cell r="C83" t="str">
            <v>Visual and Performing Arts</v>
          </cell>
          <cell r="D83" t="str">
            <v>FAA 2250  Mixed Media Studio</v>
          </cell>
          <cell r="K83" t="str">
            <v>Psychology</v>
          </cell>
          <cell r="L83" t="str">
            <v>PSY 3380  Psychology of Aging</v>
          </cell>
        </row>
        <row r="84">
          <cell r="C84" t="str">
            <v>Visual and Performing Arts</v>
          </cell>
          <cell r="D84" t="str">
            <v>FAA 2260  Art of the Portrait</v>
          </cell>
          <cell r="K84" t="str">
            <v>Psychology</v>
          </cell>
          <cell r="L84" t="str">
            <v>PSY 3410  Adult Psychopathology</v>
          </cell>
        </row>
        <row r="85">
          <cell r="C85" t="str">
            <v>Visual and Performing Arts</v>
          </cell>
          <cell r="D85" t="str">
            <v xml:space="preserve">FAA 2270  Basic Painting II </v>
          </cell>
          <cell r="K85" t="str">
            <v>Psychology</v>
          </cell>
          <cell r="L85" t="str">
            <v>PSY 3450  Biological Bases of Abnormal Behavior</v>
          </cell>
        </row>
        <row r="86">
          <cell r="C86" t="str">
            <v xml:space="preserve">Visual and Performing Arts </v>
          </cell>
          <cell r="D86" t="str">
            <v>FAA 2301  Music History I</v>
          </cell>
          <cell r="K86" t="str">
            <v xml:space="preserve">Sociology </v>
          </cell>
          <cell r="L86" t="str">
            <v>SOC 1001  Principles of Sociology</v>
          </cell>
        </row>
        <row r="87">
          <cell r="C87" t="str">
            <v xml:space="preserve">Visual and Performing Arts </v>
          </cell>
          <cell r="D87" t="str">
            <v>FAA 2302  Music History II</v>
          </cell>
          <cell r="K87" t="str">
            <v xml:space="preserve">Sociology </v>
          </cell>
          <cell r="L87" t="str">
            <v>SOC 2002  Social Problems</v>
          </cell>
        </row>
        <row r="88">
          <cell r="C88" t="str">
            <v>Visual and Performing Arts</v>
          </cell>
          <cell r="D88" t="str">
            <v>FAA 2360  Elementary Music Theory</v>
          </cell>
          <cell r="K88" t="str">
            <v xml:space="preserve">Sociology </v>
          </cell>
          <cell r="L88" t="str">
            <v>SOC 2050  Social Work</v>
          </cell>
        </row>
        <row r="89">
          <cell r="C89" t="str">
            <v>Visual and Performing Arts</v>
          </cell>
          <cell r="D89" t="str">
            <v>FAA 2380  The Architecture of Music: From Phrase to Opera</v>
          </cell>
          <cell r="K89" t="str">
            <v xml:space="preserve">Sociology </v>
          </cell>
          <cell r="L89" t="str">
            <v>SOC 2200  Cultural Anthropology</v>
          </cell>
        </row>
        <row r="90">
          <cell r="C90" t="str">
            <v>Visual and Performing Arts</v>
          </cell>
          <cell r="D90" t="str">
            <v>FAA 2420  History of Photography</v>
          </cell>
          <cell r="K90" t="str">
            <v xml:space="preserve">Sociology </v>
          </cell>
          <cell r="L90" t="str">
            <v>SOC 3040  Juvenile Delinquency (D)</v>
          </cell>
        </row>
        <row r="91">
          <cell r="C91" t="str">
            <v>Visual and Performing Arts</v>
          </cell>
          <cell r="D91" t="str">
            <v>FAA 2450  Basic Digital Photography</v>
          </cell>
          <cell r="K91" t="str">
            <v xml:space="preserve">Sociology </v>
          </cell>
          <cell r="L91" t="str">
            <v>SOC 3050W  Female Deviance, Crime and Social Control (D)</v>
          </cell>
        </row>
        <row r="92">
          <cell r="C92" t="str">
            <v>Visual and Performing Arts</v>
          </cell>
          <cell r="D92" t="str">
            <v>FAA 2500  Women in Theatre (D)</v>
          </cell>
          <cell r="K92" t="str">
            <v xml:space="preserve">Sociology </v>
          </cell>
          <cell r="L92" t="str">
            <v>SOC 3060  White Collar Crime</v>
          </cell>
        </row>
        <row r="93">
          <cell r="C93" t="str">
            <v>Visual and Performing Arts</v>
          </cell>
          <cell r="D93" t="str">
            <v>FAA 2510  Acting II</v>
          </cell>
          <cell r="K93" t="str">
            <v xml:space="preserve">Sociology </v>
          </cell>
          <cell r="L93" t="str">
            <v>SOC 3100  Formal Organizations</v>
          </cell>
        </row>
        <row r="94">
          <cell r="C94" t="str">
            <v>Visual and Performing Arts</v>
          </cell>
          <cell r="D94" t="str">
            <v>FAA 2520  Theatre History Part One: Origins to Renaissance</v>
          </cell>
          <cell r="K94" t="str">
            <v xml:space="preserve">Sociology </v>
          </cell>
          <cell r="L94" t="str">
            <v>SOC 3120  Sociology of Law</v>
          </cell>
        </row>
        <row r="95">
          <cell r="C95" t="str">
            <v>Visual and Performing Arts</v>
          </cell>
          <cell r="D95" t="str">
            <v>FAA 2530  Theatre History Part Two: Restoration to the Present</v>
          </cell>
          <cell r="K95" t="str">
            <v xml:space="preserve">Sociology </v>
          </cell>
          <cell r="L95" t="str">
            <v>SOC 3150  Social Movements</v>
          </cell>
        </row>
        <row r="96">
          <cell r="C96" t="str">
            <v>Visual and Performing Arts</v>
          </cell>
          <cell r="D96" t="str">
            <v>FAA 2540  Introduction to Playwriting</v>
          </cell>
          <cell r="K96" t="str">
            <v xml:space="preserve">Sociology </v>
          </cell>
          <cell r="L96" t="str">
            <v>SOC 3200  Criminology</v>
          </cell>
        </row>
        <row r="97">
          <cell r="C97" t="str">
            <v>Visual and Performing Arts</v>
          </cell>
          <cell r="D97" t="str">
            <v>FAA 2560  London Theatre</v>
          </cell>
          <cell r="K97" t="str">
            <v xml:space="preserve">Sociology </v>
          </cell>
          <cell r="L97" t="str">
            <v>SOC 3250  Social Change</v>
          </cell>
        </row>
        <row r="98">
          <cell r="C98" t="str">
            <v>Visual and Performing Arts</v>
          </cell>
          <cell r="D98" t="str">
            <v>FAA 2570  Technical Production for the Theatre</v>
          </cell>
          <cell r="K98" t="str">
            <v xml:space="preserve">Sociology </v>
          </cell>
          <cell r="L98" t="str">
            <v>SOC 3300W  Sociology of Education</v>
          </cell>
        </row>
        <row r="99">
          <cell r="C99" t="str">
            <v>Visual and Performing Arts</v>
          </cell>
          <cell r="D99" t="str">
            <v>FAA 2580  Design for the Theatre</v>
          </cell>
          <cell r="K99" t="str">
            <v xml:space="preserve">Sociology </v>
          </cell>
          <cell r="L99" t="str">
            <v>SOC 3330  Racial and Ethnic Minorities (D)</v>
          </cell>
        </row>
        <row r="100">
          <cell r="C100" t="str">
            <v>Visual and Performing Arts</v>
          </cell>
          <cell r="D100" t="str">
            <v>FAA 2610  The Art of Ancient Egypt, Hither Asia, and the Aegean</v>
          </cell>
          <cell r="K100" t="str">
            <v xml:space="preserve">Sociology </v>
          </cell>
          <cell r="L100" t="str">
            <v>SOC 3350  Alternative Approaches to Criminal Justice</v>
          </cell>
        </row>
        <row r="101">
          <cell r="C101" t="str">
            <v>Visual and Performing Arts</v>
          </cell>
          <cell r="D101" t="str">
            <v>FAA 2620  Classical Art</v>
          </cell>
          <cell r="K101" t="str">
            <v xml:space="preserve">Sociology </v>
          </cell>
          <cell r="L101" t="str">
            <v>SOC 3370  Urban Sociology</v>
          </cell>
        </row>
        <row r="102">
          <cell r="C102" t="str">
            <v>Visual and Performing Arts</v>
          </cell>
          <cell r="D102" t="str">
            <v>FAA 2630  Angels and Demons: The Art of the Middle Ages</v>
          </cell>
          <cell r="K102" t="str">
            <v xml:space="preserve">Sociology </v>
          </cell>
          <cell r="L102" t="str">
            <v>SOC 3400  Population Problems</v>
          </cell>
        </row>
        <row r="103">
          <cell r="C103" t="str">
            <v>Visual and Performing Arts</v>
          </cell>
          <cell r="D103" t="str">
            <v>FAA 2640W  First Light: The Beginnings of Modernism in Western Art</v>
          </cell>
          <cell r="K103" t="str">
            <v xml:space="preserve">Sociology </v>
          </cell>
          <cell r="L103" t="str">
            <v>SOC 3430  Criminal Justice and Mental Health</v>
          </cell>
        </row>
        <row r="104">
          <cell r="C104" t="str">
            <v>Visual and Performing Arts</v>
          </cell>
          <cell r="D104" t="str">
            <v>FAA 2650  Artists, Princes, and Popes: From Renaissance to Reformation</v>
          </cell>
          <cell r="K104" t="str">
            <v xml:space="preserve">Sociology </v>
          </cell>
          <cell r="L104" t="str">
            <v>SOC 3450  Sociology of Family</v>
          </cell>
        </row>
        <row r="105">
          <cell r="C105" t="str">
            <v>Visual and Performing Arts</v>
          </cell>
          <cell r="D105" t="str">
            <v>FAA 2660  The Art of the Baroque: European Art of the 17th and 18th Centuries</v>
          </cell>
          <cell r="K105" t="str">
            <v xml:space="preserve">Sociology </v>
          </cell>
          <cell r="L105" t="str">
            <v>SOC 3500  Domestic Violence</v>
          </cell>
        </row>
        <row r="106">
          <cell r="C106" t="str">
            <v>Visual and Performing Arts</v>
          </cell>
          <cell r="D106" t="str">
            <v>FAA 2670  19th Century Art</v>
          </cell>
          <cell r="K106" t="str">
            <v xml:space="preserve">Sociology </v>
          </cell>
          <cell r="L106" t="str">
            <v>SOC 3600  Sociology of Health</v>
          </cell>
        </row>
        <row r="107">
          <cell r="C107" t="str">
            <v>Visual and Performing Arts</v>
          </cell>
          <cell r="D107" t="str">
            <v>FAA 2680  Early 20th Century Art: The Development of Modernist Art</v>
          </cell>
          <cell r="K107" t="str">
            <v xml:space="preserve">Sociology </v>
          </cell>
          <cell r="L107" t="str">
            <v>SOC 3800  Sociology of Gender</v>
          </cell>
        </row>
        <row r="108">
          <cell r="C108" t="str">
            <v>Visual and Performing Arts</v>
          </cell>
          <cell r="D108" t="str">
            <v>FAA 2690  Modern, Postmodern, and Beyond: Art from 1945 to the Present</v>
          </cell>
          <cell r="K108" t="str">
            <v xml:space="preserve">Sociology </v>
          </cell>
          <cell r="L108" t="str">
            <v>SOC 3850  Sociology of Aging</v>
          </cell>
        </row>
        <row r="109">
          <cell r="C109" t="str">
            <v>Visual and Performing Arts</v>
          </cell>
          <cell r="D109" t="str">
            <v>FAA 2840  Digital Photography and Design</v>
          </cell>
          <cell r="K109" t="str">
            <v xml:space="preserve">Sociology </v>
          </cell>
          <cell r="L109" t="str">
            <v>SOC 4300  Social Class in America</v>
          </cell>
        </row>
        <row r="110">
          <cell r="C110" t="str">
            <v>Visual and Performing Arts</v>
          </cell>
          <cell r="D110" t="str">
            <v>FAA 2850  Digital Video</v>
          </cell>
          <cell r="K110" t="str">
            <v>Women’s and Gender Studies</v>
          </cell>
          <cell r="L110" t="str">
            <v>WGS 1010  Gender and Society (D)</v>
          </cell>
        </row>
        <row r="111">
          <cell r="C111" t="str">
            <v>Visual and Performing Arts</v>
          </cell>
          <cell r="D111" t="str">
            <v>FAA 2860  Electronic Publishing</v>
          </cell>
          <cell r="K111" t="str">
            <v>Women’s and Gender Studies</v>
          </cell>
          <cell r="L111" t="str">
            <v>WGS 3100  Feminist Theory (D)</v>
          </cell>
        </row>
        <row r="112">
          <cell r="C112" t="str">
            <v>Visual and Performing Arts</v>
          </cell>
          <cell r="D112" t="str">
            <v>FAA 3270  Advanced Painting</v>
          </cell>
          <cell r="K112" t="str">
            <v>Women’s and Gender Studies</v>
          </cell>
          <cell r="L112" t="str">
            <v>WGS 3110  Global Women’s Issues: Gender, Activism, and Social Justice (D)</v>
          </cell>
        </row>
        <row r="113">
          <cell r="C113" t="str">
            <v>Visual and Performing Arts</v>
          </cell>
          <cell r="D113" t="str">
            <v>FAA 3360  Principles of Composition</v>
          </cell>
          <cell r="K113" t="str">
            <v>Women’s and Gender Studies</v>
          </cell>
          <cell r="L113" t="str">
            <v>WGS 3250  Sex and Gender Studies (D)</v>
          </cell>
        </row>
        <row r="114">
          <cell r="C114" t="str">
            <v>Visual and Performing Arts</v>
          </cell>
          <cell r="D114" t="str">
            <v>FAA 3510  Directing I</v>
          </cell>
          <cell r="K114" t="str">
            <v>Women’s and Gender Studies</v>
          </cell>
          <cell r="L114" t="str">
            <v>WGS 3290  Women and Business (D)</v>
          </cell>
        </row>
        <row r="115">
          <cell r="C115" t="str">
            <v>Visual and Performing Arts</v>
          </cell>
          <cell r="D115" t="str">
            <v>FAA 3520  Acting III</v>
          </cell>
          <cell r="K115" t="str">
            <v>Women’s and Gender Studies</v>
          </cell>
          <cell r="L115" t="str">
            <v>WGS 3420  Gender, Race, and the Media (D)</v>
          </cell>
        </row>
        <row r="116">
          <cell r="C116" t="str">
            <v>Visual and Performing Arts</v>
          </cell>
          <cell r="D116" t="str">
            <v>FAA 3620  Problems in Classical Art</v>
          </cell>
          <cell r="K116" t="str">
            <v>Women’s and Gender Studies</v>
          </cell>
          <cell r="L116" t="str">
            <v>WGS 3710  Gender and the Law (D)</v>
          </cell>
        </row>
        <row r="117">
          <cell r="C117" t="str">
            <v>Visual and Performing Arts</v>
          </cell>
          <cell r="D117" t="str">
            <v>FAA 3650  The World of Michelangelo</v>
          </cell>
        </row>
        <row r="118">
          <cell r="C118" t="str">
            <v>Visual and Performing Arts</v>
          </cell>
          <cell r="D118" t="str">
            <v>FAA 3680  Topics in Modern Art</v>
          </cell>
        </row>
        <row r="119">
          <cell r="C119" t="str">
            <v>Visual and Performing Arts</v>
          </cell>
          <cell r="D119" t="str">
            <v>FAA 3700  Drawing and Sculpture: A Study of Form in Tuscany</v>
          </cell>
        </row>
        <row r="120">
          <cell r="C120" t="str">
            <v>Visual and Performing Arts</v>
          </cell>
          <cell r="D120" t="str">
            <v>FAA 3830  Web Design</v>
          </cell>
        </row>
        <row r="121">
          <cell r="C121" t="str">
            <v>Visual and Performing Arts</v>
          </cell>
          <cell r="D121" t="str">
            <v>FAA 3840  2D Web Animation</v>
          </cell>
        </row>
        <row r="122">
          <cell r="C122" t="str">
            <v>Visual and Performing Arts</v>
          </cell>
          <cell r="D122" t="str">
            <v>FAA 3850  History of Graphic Design</v>
          </cell>
        </row>
        <row r="123">
          <cell r="C123" t="str">
            <v>Visual and Performing Arts</v>
          </cell>
          <cell r="D123" t="str">
            <v>FAA 3860  Computer Illustration</v>
          </cell>
        </row>
        <row r="124">
          <cell r="C124" t="str">
            <v>Visual and Performing Arts</v>
          </cell>
          <cell r="D124" t="str">
            <v>FAA 4820  3D Animation and Illustration</v>
          </cell>
        </row>
        <row r="125">
          <cell r="C125" t="str">
            <v>Visual and Performing Arts</v>
          </cell>
          <cell r="D125" t="str">
            <v>FAA 49l0/4920  Fine Arts Internship</v>
          </cell>
        </row>
        <row r="126">
          <cell r="C126" t="str">
            <v>Women’s and Gender Studies</v>
          </cell>
          <cell r="D126" t="str">
            <v>WGS 2260  Southwestern Women Writers and Artists (D)</v>
          </cell>
        </row>
        <row r="127">
          <cell r="C127" t="str">
            <v>Women’s and Gender Studies</v>
          </cell>
          <cell r="D127" t="str">
            <v>WGS 2420  Gender, Sex, and Film (D)</v>
          </cell>
        </row>
        <row r="128">
          <cell r="C128" t="str">
            <v>Women’s and Gender Studies</v>
          </cell>
          <cell r="D128" t="str">
            <v>WGS 3120  Women and Film: The Politics of Representation (D)</v>
          </cell>
        </row>
        <row r="129">
          <cell r="C129" t="str">
            <v>World Languages and Cultures</v>
          </cell>
          <cell r="D129" t="str">
            <v>FRE 3030  French Cinema I</v>
          </cell>
        </row>
        <row r="130">
          <cell r="C130" t="str">
            <v>World Languages and Cultures</v>
          </cell>
          <cell r="D130" t="str">
            <v>FRE 3040  Five Centuries of French Civilization in Films</v>
          </cell>
        </row>
        <row r="131">
          <cell r="C131" t="str">
            <v>World Languages and Cultures</v>
          </cell>
          <cell r="D131" t="str">
            <v>FRE 3110  Survey of French Literature I</v>
          </cell>
        </row>
        <row r="132">
          <cell r="C132" t="str">
            <v>World Languages and Cultures</v>
          </cell>
          <cell r="D132" t="str">
            <v>FRE 3120  Survey of French Literature II</v>
          </cell>
        </row>
        <row r="133">
          <cell r="C133" t="str">
            <v>World Languages and Cultures</v>
          </cell>
          <cell r="D133" t="str">
            <v>FRE 3130  Studies in Modern French Literature</v>
          </cell>
        </row>
        <row r="134">
          <cell r="C134" t="str">
            <v>World Languages and Cultures</v>
          </cell>
          <cell r="D134" t="str">
            <v>FRE 3140  Studies in Modern French Literature II</v>
          </cell>
        </row>
        <row r="135">
          <cell r="C135" t="str">
            <v>World Languages and Cultures</v>
          </cell>
          <cell r="D135" t="str">
            <v>ITA 2530  Italian Women Writers (D)</v>
          </cell>
        </row>
        <row r="136">
          <cell r="C136" t="str">
            <v>World Languages and Cultures</v>
          </cell>
          <cell r="D136" t="str">
            <v>ITA 2550  Italian Americans and Film</v>
          </cell>
        </row>
        <row r="137">
          <cell r="C137" t="str">
            <v>World Languages and Cultures</v>
          </cell>
          <cell r="D137" t="str">
            <v>ITA 2560  The Italian Southern Question in Literature and Film (D)</v>
          </cell>
        </row>
        <row r="138">
          <cell r="C138" t="str">
            <v>World Languages and Cultures</v>
          </cell>
          <cell r="D138" t="str">
            <v>ITA 2570  Italian Culture Through Film I</v>
          </cell>
        </row>
        <row r="139">
          <cell r="C139" t="str">
            <v>World Languages and Cultures</v>
          </cell>
          <cell r="D139" t="str">
            <v>ITA 2580  Italian Culture Through Film II</v>
          </cell>
        </row>
        <row r="140">
          <cell r="C140" t="str">
            <v>World Languages and Cultures</v>
          </cell>
          <cell r="D140" t="str">
            <v>SPA 3310  Latinos in the U.S.: Literature and Service Learning (D)</v>
          </cell>
        </row>
        <row r="141">
          <cell r="C141" t="str">
            <v>World Languages and Cultures</v>
          </cell>
          <cell r="D141" t="str">
            <v>SPA 3610  Race, Literature, and Culture (D)</v>
          </cell>
        </row>
        <row r="142">
          <cell r="C142" t="str">
            <v>World Languages and Cultures</v>
          </cell>
          <cell r="D142" t="str">
            <v>SPA 3620  Gender, Literature, and Culture (D)</v>
          </cell>
        </row>
        <row r="143">
          <cell r="C143" t="str">
            <v>World Languages and Cultures</v>
          </cell>
          <cell r="D143" t="str">
            <v>SPA 3630  Studies in Popular Culture of Latin America and Spain (D)</v>
          </cell>
        </row>
        <row r="144">
          <cell r="C144" t="str">
            <v>World Languages and Cultures</v>
          </cell>
          <cell r="D144" t="str">
            <v>SPA 4050  Literature(s)/ Cultures(s) of Resistance (D)</v>
          </cell>
        </row>
        <row r="145">
          <cell r="C145" t="str">
            <v>World Languages and Cultures</v>
          </cell>
          <cell r="D145" t="str">
            <v>SPA 4060  Film and Literature of Contemporary Spain and Latin America</v>
          </cell>
        </row>
        <row r="146">
          <cell r="C146" t="str">
            <v>World Languages and Cultures</v>
          </cell>
          <cell r="D146" t="str">
            <v>SPA 4070  Short Fiction of Spanish Speaking World</v>
          </cell>
        </row>
        <row r="147">
          <cell r="C147" t="str">
            <v>World Languages and Cultures</v>
          </cell>
          <cell r="D147" t="str">
            <v>SPA 4080  Hispanic Literature in Translation</v>
          </cell>
        </row>
        <row r="148">
          <cell r="C148"/>
          <cell r="D148"/>
        </row>
        <row r="149">
          <cell r="C149"/>
          <cell r="D149"/>
        </row>
        <row r="150">
          <cell r="C150"/>
          <cell r="D150"/>
        </row>
        <row r="151">
          <cell r="C151"/>
          <cell r="D151"/>
        </row>
        <row r="152">
          <cell r="C152"/>
          <cell r="D152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165"/>
  <sheetViews>
    <sheetView tabSelected="1" workbookViewId="0">
      <selection activeCell="G45" sqref="G45"/>
    </sheetView>
  </sheetViews>
  <sheetFormatPr defaultColWidth="11.44140625" defaultRowHeight="13.2"/>
  <cols>
    <col min="1" max="1" width="12" customWidth="1"/>
    <col min="2" max="2" width="19.6640625" customWidth="1"/>
    <col min="3" max="3" width="4.33203125" customWidth="1"/>
    <col min="4" max="4" width="3.44140625" customWidth="1"/>
    <col min="5" max="5" width="4.33203125" customWidth="1"/>
    <col min="6" max="6" width="11.33203125" customWidth="1"/>
    <col min="7" max="7" width="2.5546875" customWidth="1"/>
    <col min="8" max="8" width="12" customWidth="1"/>
    <col min="9" max="9" width="20" customWidth="1"/>
    <col min="10" max="10" width="4.33203125" customWidth="1"/>
    <col min="11" max="11" width="3.44140625" customWidth="1"/>
    <col min="12" max="13" width="6.88671875" customWidth="1"/>
    <col min="14" max="14" width="4.6640625" customWidth="1"/>
    <col min="15" max="15" width="15.6640625" customWidth="1"/>
    <col min="16" max="16" width="22.44140625" bestFit="1" customWidth="1"/>
    <col min="18" max="18" width="15.44140625" bestFit="1" customWidth="1"/>
    <col min="20" max="20" width="15.44140625" bestFit="1" customWidth="1"/>
    <col min="30" max="30" width="4.33203125" bestFit="1" customWidth="1"/>
    <col min="32" max="34" width="2.6640625" customWidth="1"/>
    <col min="45" max="45" width="18" bestFit="1" customWidth="1"/>
    <col min="46" max="46" width="31.5546875" customWidth="1"/>
    <col min="47" max="47" width="14.33203125" customWidth="1"/>
    <col min="48" max="48" width="17.88671875" bestFit="1" customWidth="1"/>
    <col min="80" max="80" width="56.109375" bestFit="1" customWidth="1"/>
    <col min="83" max="83" width="42.5546875" customWidth="1"/>
    <col min="88" max="88" width="43.33203125" customWidth="1"/>
    <col min="93" max="93" width="41.88671875" customWidth="1"/>
  </cols>
  <sheetData>
    <row r="1" spans="1:256" ht="15.75" customHeight="1">
      <c r="A1" s="29"/>
      <c r="B1" s="29"/>
      <c r="C1" s="30"/>
      <c r="D1" s="30"/>
      <c r="E1" s="31" t="s">
        <v>192</v>
      </c>
      <c r="F1" s="31"/>
      <c r="G1" s="32"/>
      <c r="H1" s="29"/>
      <c r="I1" s="29"/>
      <c r="J1" s="31"/>
      <c r="K1" s="29"/>
      <c r="L1" s="29"/>
      <c r="M1" s="29"/>
      <c r="IR1" s="1"/>
      <c r="IS1" s="1"/>
      <c r="IT1" s="1"/>
      <c r="IU1" s="1"/>
      <c r="IV1" s="1"/>
    </row>
    <row r="2" spans="1:256" ht="15.75" customHeight="1">
      <c r="A2" s="29"/>
      <c r="B2" s="29"/>
      <c r="C2" s="30"/>
      <c r="D2" s="30"/>
      <c r="E2" s="31" t="s">
        <v>287</v>
      </c>
      <c r="F2" s="31"/>
      <c r="G2" s="32"/>
      <c r="H2" s="29"/>
      <c r="I2" s="29"/>
      <c r="J2" s="31"/>
      <c r="K2" s="29"/>
      <c r="L2" s="29"/>
      <c r="M2" s="29"/>
      <c r="CO2" s="219" t="s">
        <v>33</v>
      </c>
      <c r="IR2" s="1"/>
      <c r="IS2" s="1"/>
      <c r="IT2" s="1"/>
      <c r="IU2" s="1"/>
      <c r="IV2" s="1"/>
    </row>
    <row r="3" spans="1:256" ht="12.75" customHeight="1">
      <c r="A3" s="29"/>
      <c r="B3" s="29"/>
      <c r="C3" s="29"/>
      <c r="D3" s="29"/>
      <c r="E3" s="29"/>
      <c r="F3" s="29"/>
      <c r="G3" s="29"/>
      <c r="H3" s="29"/>
      <c r="I3" s="29"/>
      <c r="J3" s="33"/>
      <c r="K3" s="29"/>
      <c r="L3" s="29"/>
      <c r="M3" s="29"/>
      <c r="CO3" s="219" t="s">
        <v>34</v>
      </c>
    </row>
    <row r="4" spans="1:256" ht="17.25" customHeight="1">
      <c r="A4" s="34" t="s">
        <v>284</v>
      </c>
      <c r="B4" s="97" t="s">
        <v>71</v>
      </c>
      <c r="C4" s="29" t="s">
        <v>164</v>
      </c>
      <c r="D4" s="260" t="s">
        <v>72</v>
      </c>
      <c r="E4" s="260"/>
      <c r="F4" s="32" t="s">
        <v>204</v>
      </c>
      <c r="G4" s="260" t="s">
        <v>149</v>
      </c>
      <c r="H4" s="260"/>
      <c r="I4" s="36" t="s">
        <v>84</v>
      </c>
      <c r="J4" s="261" t="s">
        <v>150</v>
      </c>
      <c r="K4" s="261"/>
      <c r="L4" s="261"/>
      <c r="M4" s="185"/>
      <c r="CO4" s="219" t="s">
        <v>109</v>
      </c>
    </row>
    <row r="5" spans="1:256" ht="10.5" customHeight="1" thickBot="1">
      <c r="A5" s="29"/>
      <c r="B5" s="29"/>
      <c r="C5" s="29"/>
      <c r="D5" s="29"/>
      <c r="E5" s="29"/>
      <c r="F5" s="29"/>
      <c r="G5" s="29"/>
      <c r="H5" s="29"/>
      <c r="I5" s="29"/>
      <c r="J5" s="33"/>
      <c r="K5" s="29"/>
      <c r="L5" s="29"/>
      <c r="M5" s="29"/>
    </row>
    <row r="6" spans="1:256" ht="15.75" customHeight="1">
      <c r="A6" s="37"/>
      <c r="B6" s="38" t="s">
        <v>292</v>
      </c>
      <c r="C6" s="39"/>
      <c r="D6" s="39"/>
      <c r="E6" s="39"/>
      <c r="F6" s="40"/>
      <c r="G6" s="41"/>
      <c r="H6" s="40"/>
      <c r="I6" s="38" t="s">
        <v>293</v>
      </c>
      <c r="J6" s="39"/>
      <c r="K6" s="40"/>
      <c r="L6" s="42"/>
      <c r="M6" s="65"/>
      <c r="BC6" t="s">
        <v>275</v>
      </c>
      <c r="IR6" s="1"/>
      <c r="IS6" s="1"/>
      <c r="IT6" s="1"/>
      <c r="IU6" s="1"/>
      <c r="IV6" s="1"/>
    </row>
    <row r="7" spans="1:256" ht="15.75" customHeight="1" thickBot="1">
      <c r="A7" s="43"/>
      <c r="B7" s="44"/>
      <c r="C7" s="45"/>
      <c r="D7" s="45"/>
      <c r="E7" s="45"/>
      <c r="F7" s="46" t="s">
        <v>139</v>
      </c>
      <c r="G7" s="47"/>
      <c r="H7" s="48"/>
      <c r="I7" s="44"/>
      <c r="J7" s="45"/>
      <c r="K7" s="48"/>
      <c r="L7" s="49"/>
      <c r="M7" s="65"/>
      <c r="BC7" t="s">
        <v>85</v>
      </c>
      <c r="BE7" t="s">
        <v>274</v>
      </c>
      <c r="CA7" t="s">
        <v>255</v>
      </c>
      <c r="CB7" s="29"/>
      <c r="CD7" t="s">
        <v>325</v>
      </c>
      <c r="CI7" t="s">
        <v>92</v>
      </c>
      <c r="CN7" t="s">
        <v>35</v>
      </c>
      <c r="IR7" s="1"/>
      <c r="IS7" s="1"/>
      <c r="IT7" s="1"/>
      <c r="IU7" s="1"/>
      <c r="IV7" s="1"/>
    </row>
    <row r="8" spans="1:256" ht="15.75" customHeight="1" thickBot="1">
      <c r="A8" s="50" t="s">
        <v>183</v>
      </c>
      <c r="B8" s="51" t="s">
        <v>165</v>
      </c>
      <c r="C8" s="52">
        <v>4</v>
      </c>
      <c r="D8" s="93"/>
      <c r="E8" s="53"/>
      <c r="F8" s="52"/>
      <c r="G8" s="51"/>
      <c r="H8" s="51" t="s">
        <v>166</v>
      </c>
      <c r="I8" s="51" t="s">
        <v>136</v>
      </c>
      <c r="J8" s="52">
        <v>4</v>
      </c>
      <c r="K8" s="93"/>
      <c r="L8" s="54"/>
      <c r="M8" s="53"/>
      <c r="BC8" t="str">
        <f>A8</f>
        <v>GEN 1001</v>
      </c>
      <c r="BD8">
        <f>C8</f>
        <v>4</v>
      </c>
      <c r="BE8" t="str">
        <f>H16</f>
        <v>GEN2012</v>
      </c>
      <c r="BF8">
        <f>J16</f>
        <v>4</v>
      </c>
      <c r="CA8" s="218"/>
      <c r="CB8" t="s">
        <v>372</v>
      </c>
      <c r="CE8" t="s">
        <v>373</v>
      </c>
      <c r="CJ8" t="s">
        <v>92</v>
      </c>
      <c r="CO8" t="s">
        <v>35</v>
      </c>
      <c r="CS8" t="s">
        <v>41</v>
      </c>
      <c r="IR8" s="1"/>
      <c r="IS8" s="1"/>
      <c r="IT8" s="1"/>
      <c r="IU8" s="1"/>
      <c r="IV8" s="1"/>
    </row>
    <row r="9" spans="1:256" ht="15.75" customHeight="1" thickBot="1">
      <c r="A9" s="55" t="s">
        <v>167</v>
      </c>
      <c r="B9" s="51" t="s">
        <v>89</v>
      </c>
      <c r="C9" s="52">
        <v>4</v>
      </c>
      <c r="D9" s="93"/>
      <c r="E9" s="53"/>
      <c r="F9" s="52"/>
      <c r="G9" s="51"/>
      <c r="H9" s="51" t="s">
        <v>168</v>
      </c>
      <c r="I9" s="51" t="s">
        <v>90</v>
      </c>
      <c r="J9" s="52">
        <v>4</v>
      </c>
      <c r="K9" s="93"/>
      <c r="L9" s="54"/>
      <c r="M9" s="53"/>
      <c r="N9" s="85"/>
      <c r="O9" s="86" t="s">
        <v>151</v>
      </c>
      <c r="BC9" t="str">
        <f>A16</f>
        <v>GEN2010</v>
      </c>
      <c r="BD9">
        <f>C16</f>
        <v>4</v>
      </c>
      <c r="BE9" t="str">
        <f>H18</f>
        <v>GEN 3040</v>
      </c>
      <c r="BF9">
        <f>J18</f>
        <v>4</v>
      </c>
      <c r="CA9" s="235" t="str">
        <f>'[1]LS Core'!C5</f>
        <v>Communication Arts and Sciences</v>
      </c>
      <c r="CB9" s="42" t="str">
        <f>'[1]LS Core'!D5</f>
        <v>WRT 2790  Public and Private Writing from the Civil War Era</v>
      </c>
      <c r="CD9" s="235" t="str">
        <f>'[1]LS Core'!E5</f>
        <v>Management</v>
      </c>
      <c r="CE9" s="42" t="str">
        <f>'[1]LS Core'!F5</f>
        <v>MGT 3325 Ethics and Social Responsibility</v>
      </c>
      <c r="CI9" s="235" t="str">
        <f>'[1]LS Core'!I5</f>
        <v>Economics</v>
      </c>
      <c r="CJ9" s="42" t="str">
        <f>'[1]LS Core'!J5</f>
        <v>ECO 3314  U.S. Economic History</v>
      </c>
      <c r="CN9" s="235" t="str">
        <f>'[1]LS Core'!K5</f>
        <v>Communication Arts and Sciences</v>
      </c>
      <c r="CO9" s="42" t="str">
        <f>'[1]LS Core'!L5</f>
        <v>COM 2201 Introduction to Interpersonal Communication</v>
      </c>
      <c r="CS9" s="244" t="s">
        <v>319</v>
      </c>
      <c r="IR9" s="1"/>
      <c r="IS9" s="1"/>
      <c r="IT9" s="1"/>
      <c r="IU9" s="1"/>
      <c r="IV9" s="1"/>
    </row>
    <row r="10" spans="1:256" ht="15.75" customHeight="1" thickBot="1">
      <c r="A10" s="55" t="s">
        <v>128</v>
      </c>
      <c r="B10" s="51" t="s">
        <v>179</v>
      </c>
      <c r="C10" s="52">
        <v>4</v>
      </c>
      <c r="D10" s="93"/>
      <c r="E10" s="53"/>
      <c r="F10" s="52"/>
      <c r="G10" s="51"/>
      <c r="H10" s="56" t="s">
        <v>156</v>
      </c>
      <c r="I10" s="51" t="s">
        <v>137</v>
      </c>
      <c r="J10" s="52">
        <v>4</v>
      </c>
      <c r="K10" s="93"/>
      <c r="L10" s="54"/>
      <c r="M10" s="53"/>
      <c r="N10" s="87"/>
      <c r="O10" s="88" t="s">
        <v>202</v>
      </c>
      <c r="BC10" t="str">
        <f>A19</f>
        <v>CEN 2001</v>
      </c>
      <c r="BD10">
        <f>C19</f>
        <v>4</v>
      </c>
      <c r="BE10" t="str">
        <f>H25</f>
        <v>CEN3030</v>
      </c>
      <c r="BF10">
        <f>J25</f>
        <v>4</v>
      </c>
      <c r="CA10" s="220" t="str">
        <f>'[1]LS Core'!C6</f>
        <v>Communication Arts and Sciences</v>
      </c>
      <c r="CB10" s="236" t="str">
        <f>'[1]LS Core'!D6</f>
        <v>WRT 3060  Writing the Personal Memoir</v>
      </c>
      <c r="CD10" s="220" t="str">
        <f>'[1]LS Core'!E6</f>
        <v xml:space="preserve">Philosophy </v>
      </c>
      <c r="CE10" s="236" t="str">
        <f>'[1]LS Core'!F6</f>
        <v>PHL 2020W  Perspectives on the Good Life</v>
      </c>
      <c r="CI10" s="220" t="str">
        <f>'[1]LS Core'!I6</f>
        <v>Economics</v>
      </c>
      <c r="CJ10" s="236" t="str">
        <f>'[1]LS Core'!J6</f>
        <v>ECO 3312  The History of Economic Thought</v>
      </c>
      <c r="CN10" s="220" t="str">
        <f>'[1]LS Core'!K6</f>
        <v>Communication Arts and Sciences</v>
      </c>
      <c r="CO10" s="236" t="str">
        <f>'[1]LS Core'!L6</f>
        <v xml:space="preserve">COM 2301 Introduction to Organizational Communication </v>
      </c>
      <c r="CS10" s="245" t="s">
        <v>320</v>
      </c>
      <c r="IR10" s="1"/>
      <c r="IS10" s="1"/>
      <c r="IT10" s="1"/>
      <c r="IU10" s="1"/>
      <c r="IV10" s="1"/>
    </row>
    <row r="11" spans="1:256" ht="15.75" customHeight="1" thickBot="1">
      <c r="A11" s="50" t="s">
        <v>380</v>
      </c>
      <c r="B11" s="51" t="s">
        <v>155</v>
      </c>
      <c r="C11" s="52">
        <v>4</v>
      </c>
      <c r="D11" s="93"/>
      <c r="E11" s="53"/>
      <c r="F11" s="52"/>
      <c r="G11" s="51"/>
      <c r="H11" s="51" t="s">
        <v>188</v>
      </c>
      <c r="I11" s="186" t="s">
        <v>331</v>
      </c>
      <c r="J11" s="52">
        <v>4</v>
      </c>
      <c r="K11" s="93"/>
      <c r="L11" s="54"/>
      <c r="M11" s="53"/>
      <c r="N11" s="89"/>
      <c r="O11" s="90" t="s">
        <v>203</v>
      </c>
      <c r="BC11" t="str">
        <f>A25</f>
        <v>CEN3010</v>
      </c>
      <c r="BD11">
        <f>C25</f>
        <v>4</v>
      </c>
      <c r="BE11" t="str">
        <f>H26</f>
        <v>CEN3050</v>
      </c>
      <c r="BF11">
        <f>J26</f>
        <v>4</v>
      </c>
      <c r="CA11" s="220" t="str">
        <f>'[1]LS Core'!C7</f>
        <v>English</v>
      </c>
      <c r="CB11" s="236" t="str">
        <f>'[1]LS Core'!D7</f>
        <v>ENG 1060  Horror Fiction</v>
      </c>
      <c r="CC11" s="29"/>
      <c r="CD11" s="220" t="str">
        <f>'[1]LS Core'!E7</f>
        <v xml:space="preserve">Philosophy </v>
      </c>
      <c r="CE11" s="236" t="str">
        <f>'[1]LS Core'!F7</f>
        <v>PHL 2030  Contemporary Moral Problems</v>
      </c>
      <c r="CI11" s="220" t="str">
        <f>'[1]LS Core'!I7</f>
        <v>History</v>
      </c>
      <c r="CJ11" s="236" t="str">
        <f>'[1]LS Core'!J7</f>
        <v>HIS 1106  History of American Civilization, 1600-1877</v>
      </c>
      <c r="CN11" s="220" t="str">
        <f>'[1]LS Core'!K7</f>
        <v>Communication Arts and Sciences</v>
      </c>
      <c r="CO11" s="236" t="str">
        <f>'[1]LS Core'!L7</f>
        <v xml:space="preserve">COM 2401 Introduction to Mass Communication </v>
      </c>
      <c r="CS11" s="245" t="s">
        <v>321</v>
      </c>
      <c r="IR11" s="1"/>
      <c r="IS11" s="1"/>
      <c r="IT11" s="1"/>
      <c r="IU11" s="1"/>
      <c r="IV11" s="1"/>
    </row>
    <row r="12" spans="1:256" ht="15.75" customHeight="1">
      <c r="A12" s="50"/>
      <c r="B12" s="51"/>
      <c r="C12" s="52"/>
      <c r="D12" s="57"/>
      <c r="E12" s="57"/>
      <c r="F12" s="52"/>
      <c r="G12" s="51"/>
      <c r="H12" s="51"/>
      <c r="I12" s="58"/>
      <c r="J12" s="52"/>
      <c r="K12" s="57"/>
      <c r="L12" s="59"/>
      <c r="M12" s="57"/>
      <c r="BC12" t="str">
        <f>A26</f>
        <v>CEN3020</v>
      </c>
      <c r="BD12">
        <f>C26</f>
        <v>4</v>
      </c>
      <c r="BE12" t="str">
        <f>H27</f>
        <v>CEN3090</v>
      </c>
      <c r="BF12">
        <f>J27</f>
        <v>1</v>
      </c>
      <c r="CA12" s="220" t="str">
        <f>'[1]LS Core'!C8</f>
        <v>English</v>
      </c>
      <c r="CB12" s="236" t="str">
        <f>'[1]LS Core'!D8</f>
        <v>ENG 1500  Major British and World Authors</v>
      </c>
      <c r="CC12" s="29"/>
      <c r="CD12" s="220" t="str">
        <f>'[1]LS Core'!E8</f>
        <v xml:space="preserve">Philosophy </v>
      </c>
      <c r="CE12" s="236" t="str">
        <f>'[1]LS Core'!F8</f>
        <v>PHL 2040  Introduction to Political Philosophy</v>
      </c>
      <c r="CI12" s="220" t="str">
        <f>'[1]LS Core'!I8</f>
        <v>History</v>
      </c>
      <c r="CJ12" s="236" t="str">
        <f>'[1]LS Core'!J8</f>
        <v>HIS 1107  History of American Civilization, 1877-2000</v>
      </c>
      <c r="CN12" s="220" t="str">
        <f>'[1]LS Core'!K8</f>
        <v>Communication Arts and Sciences</v>
      </c>
      <c r="CO12" s="236" t="str">
        <f>'[1]LS Core'!L8</f>
        <v>COM 3231 Intercultural Communication (D)</v>
      </c>
      <c r="CS12" s="245" t="s">
        <v>308</v>
      </c>
      <c r="IR12" s="1"/>
      <c r="IS12" s="1"/>
      <c r="IT12" s="1"/>
      <c r="IU12" s="1"/>
      <c r="IV12" s="1"/>
    </row>
    <row r="13" spans="1:256" ht="15.75" customHeight="1">
      <c r="A13" s="60"/>
      <c r="B13" s="61"/>
      <c r="C13" s="62">
        <f>SUM(C8:C12)</f>
        <v>16</v>
      </c>
      <c r="D13" s="63"/>
      <c r="E13" s="63"/>
      <c r="F13" s="62"/>
      <c r="G13" s="61"/>
      <c r="H13" s="61"/>
      <c r="I13" s="61"/>
      <c r="J13" s="62">
        <f>SUM(J8:J12)</f>
        <v>16</v>
      </c>
      <c r="K13" s="63"/>
      <c r="L13" s="64"/>
      <c r="M13" s="57"/>
      <c r="BC13" t="str">
        <f>B34</f>
        <v>Elective (course here)</v>
      </c>
      <c r="BD13">
        <f>C34</f>
        <v>4</v>
      </c>
      <c r="BE13" t="str">
        <f>H34</f>
        <v>CEN 4901</v>
      </c>
      <c r="BF13">
        <f>J34</f>
        <v>4</v>
      </c>
      <c r="CA13" s="220" t="str">
        <f>'[1]LS Core'!C9</f>
        <v>English</v>
      </c>
      <c r="CB13" s="236" t="str">
        <f>'[1]LS Core'!D9</f>
        <v>ENG 1550  Major American Authors</v>
      </c>
      <c r="CC13" s="29"/>
      <c r="CD13" s="220" t="str">
        <f>'[1]LS Core'!E9</f>
        <v xml:space="preserve">Philosophy </v>
      </c>
      <c r="CE13" s="236" t="str">
        <f>'[1]LS Core'!F9</f>
        <v>PHL 2050  Ethics in the Professions</v>
      </c>
      <c r="CI13" s="220" t="str">
        <f>'[1]LS Core'!I9</f>
        <v>History</v>
      </c>
      <c r="CJ13" s="236" t="str">
        <f>'[1]LS Core'!J9</f>
        <v>HIS 1119  History of Western Civilization I</v>
      </c>
      <c r="CN13" s="220" t="str">
        <f>'[1]LS Core'!K9</f>
        <v>Economics</v>
      </c>
      <c r="CO13" s="236" t="str">
        <f>'[1]LS Core'!L9</f>
        <v>ECO 1201  Introduction to Economics   </v>
      </c>
      <c r="CS13" s="245" t="s">
        <v>309</v>
      </c>
      <c r="IR13" s="1"/>
      <c r="IS13" s="1"/>
      <c r="IT13" s="1"/>
      <c r="IU13" s="1"/>
      <c r="IV13" s="1"/>
    </row>
    <row r="14" spans="1:256" ht="12" customHeight="1" thickBot="1">
      <c r="A14" s="28"/>
      <c r="B14" s="65"/>
      <c r="C14" s="65"/>
      <c r="D14" s="52" t="s">
        <v>130</v>
      </c>
      <c r="E14" s="52" t="s">
        <v>130</v>
      </c>
      <c r="F14" s="52"/>
      <c r="G14" s="51"/>
      <c r="H14" s="65"/>
      <c r="I14" s="65"/>
      <c r="J14" s="65"/>
      <c r="K14" s="52" t="s">
        <v>130</v>
      </c>
      <c r="L14" s="66" t="s">
        <v>130</v>
      </c>
      <c r="M14" s="52"/>
      <c r="CA14" s="220" t="str">
        <f>'[1]LS Core'!C10</f>
        <v>English</v>
      </c>
      <c r="CB14" s="236" t="str">
        <f>'[1]LS Core'!D10</f>
        <v>ENG 2050W  Introduction to Literary Studies</v>
      </c>
      <c r="CC14" s="29"/>
      <c r="CD14" s="220" t="str">
        <f>'[1]LS Core'!E10</f>
        <v xml:space="preserve">Philosophy </v>
      </c>
      <c r="CE14" s="236" t="str">
        <f>'[1]LS Core'!F10</f>
        <v>PHL 2060  Biomedical Ethics</v>
      </c>
      <c r="CI14" s="220" t="str">
        <f>'[1]LS Core'!I10</f>
        <v>History</v>
      </c>
      <c r="CJ14" s="236" t="str">
        <f>'[1]LS Core'!J10</f>
        <v>HIS 1120  History of Western Civilization II</v>
      </c>
      <c r="CN14" s="220" t="str">
        <f>'[1]LS Core'!K10</f>
        <v>Economics</v>
      </c>
      <c r="CO14" s="236" t="str">
        <f>'[1]LS Core'!L10</f>
        <v>ECO 1202  Topics in Introductory Economics </v>
      </c>
      <c r="CS14" s="245" t="s">
        <v>310</v>
      </c>
      <c r="IR14" s="1"/>
      <c r="IS14" s="1"/>
      <c r="IT14" s="1"/>
      <c r="IU14" s="1"/>
      <c r="IV14" s="1"/>
    </row>
    <row r="15" spans="1:256" ht="16.5" customHeight="1" thickTop="1" thickBot="1">
      <c r="A15" s="43"/>
      <c r="B15" s="48"/>
      <c r="C15" s="48"/>
      <c r="D15" s="67"/>
      <c r="E15" s="67"/>
      <c r="F15" s="45" t="s">
        <v>138</v>
      </c>
      <c r="G15" s="47"/>
      <c r="H15" s="48"/>
      <c r="I15" s="48"/>
      <c r="J15" s="48"/>
      <c r="K15" s="67"/>
      <c r="L15" s="68"/>
      <c r="M15" s="52"/>
      <c r="O15" s="94" t="s">
        <v>70</v>
      </c>
      <c r="P15" s="95"/>
      <c r="Q15" s="95"/>
      <c r="R15" s="96"/>
      <c r="BC15" t="str">
        <f>B35</f>
        <v>Elective (course here)</v>
      </c>
      <c r="BD15">
        <f>C35</f>
        <v>4</v>
      </c>
      <c r="BE15" t="str">
        <f>I35</f>
        <v>Elective (course here)</v>
      </c>
      <c r="BF15">
        <f>J35</f>
        <v>4</v>
      </c>
      <c r="CA15" s="220" t="str">
        <f>'[1]LS Core'!C11</f>
        <v>English</v>
      </c>
      <c r="CB15" s="236" t="str">
        <f>'[1]LS Core'!D11</f>
        <v>ENG 2200  Introduction to Poetry</v>
      </c>
      <c r="CC15" s="29"/>
      <c r="CD15" s="220" t="str">
        <f>'[1]LS Core'!E11</f>
        <v xml:space="preserve">Philosophy </v>
      </c>
      <c r="CE15" s="236" t="str">
        <f>'[1]LS Core'!F11</f>
        <v>PHL 2070  Environmental Ethics</v>
      </c>
      <c r="CI15" s="220" t="str">
        <f>'[1]LS Core'!I11</f>
        <v>History</v>
      </c>
      <c r="CJ15" s="236" t="str">
        <f>'[1]LS Core'!J11</f>
        <v>HIS 2329  American Social History</v>
      </c>
      <c r="CN15" s="220" t="str">
        <f>'[1]LS Core'!K11</f>
        <v>Economics</v>
      </c>
      <c r="CO15" s="236" t="str">
        <f>'[1]LS Core'!L11</f>
        <v>ECO 1203  Principles of Economics – Micro  </v>
      </c>
      <c r="CS15" s="245" t="s">
        <v>36</v>
      </c>
      <c r="IR15" s="1"/>
      <c r="IS15" s="1"/>
      <c r="IT15" s="1"/>
      <c r="IU15" s="1"/>
      <c r="IV15" s="1"/>
    </row>
    <row r="16" spans="1:256" ht="15" customHeight="1" thickBot="1">
      <c r="A16" s="55" t="s">
        <v>184</v>
      </c>
      <c r="B16" s="51" t="s">
        <v>193</v>
      </c>
      <c r="C16" s="52">
        <v>4</v>
      </c>
      <c r="D16" s="93"/>
      <c r="E16" s="53"/>
      <c r="F16" s="52"/>
      <c r="G16" s="51"/>
      <c r="H16" s="56" t="s">
        <v>185</v>
      </c>
      <c r="I16" s="51" t="s">
        <v>270</v>
      </c>
      <c r="J16" s="52">
        <v>4</v>
      </c>
      <c r="K16" s="93"/>
      <c r="L16" s="54"/>
      <c r="M16" s="53"/>
      <c r="O16" s="250" t="s">
        <v>198</v>
      </c>
      <c r="P16" s="251"/>
      <c r="Q16" s="251"/>
      <c r="R16" s="252"/>
      <c r="BE16" t="str">
        <f>I36</f>
        <v>Elective (course here)</v>
      </c>
      <c r="BF16">
        <f>J36</f>
        <v>4</v>
      </c>
      <c r="CA16" s="220" t="str">
        <f>'[1]LS Core'!C12</f>
        <v>English</v>
      </c>
      <c r="CB16" s="236" t="str">
        <f>'[1]LS Core'!D12</f>
        <v>ENG 2300  Detective Fiction</v>
      </c>
      <c r="CC16" s="29"/>
      <c r="CD16" s="220" t="str">
        <f>'[1]LS Core'!E12</f>
        <v xml:space="preserve">Philosophy </v>
      </c>
      <c r="CE16" s="236" t="str">
        <f>'[1]LS Core'!F12</f>
        <v>PHL 2080  Approaches to Ethics</v>
      </c>
      <c r="CI16" s="220" t="str">
        <f>'[1]LS Core'!I12</f>
        <v>History</v>
      </c>
      <c r="CJ16" s="236" t="str">
        <f>'[1]LS Core'!J12</f>
        <v>HIS 2340  History of Latin America (D)</v>
      </c>
      <c r="CN16" s="220" t="str">
        <f>'[1]LS Core'!K12</f>
        <v>Economics</v>
      </c>
      <c r="CO16" s="236" t="str">
        <f>'[1]LS Core'!L12</f>
        <v>ECO 1204  Principles of Economics – Macro  </v>
      </c>
      <c r="CS16" s="245" t="s">
        <v>37</v>
      </c>
      <c r="IR16" s="1"/>
      <c r="IS16" s="1"/>
      <c r="IT16" s="1"/>
      <c r="IU16" s="1"/>
      <c r="IV16" s="1"/>
    </row>
    <row r="17" spans="1:256" ht="15.75" customHeight="1" thickBot="1">
      <c r="A17" s="50" t="s">
        <v>323</v>
      </c>
      <c r="B17" s="51" t="s">
        <v>324</v>
      </c>
      <c r="C17" s="52">
        <v>4</v>
      </c>
      <c r="D17" s="93"/>
      <c r="E17" s="53"/>
      <c r="F17" s="52"/>
      <c r="G17" s="51"/>
      <c r="H17" s="56" t="s">
        <v>272</v>
      </c>
      <c r="I17" s="51" t="s">
        <v>132</v>
      </c>
      <c r="J17" s="52">
        <v>4</v>
      </c>
      <c r="K17" s="93"/>
      <c r="L17" s="54"/>
      <c r="M17" s="53"/>
      <c r="O17" s="250"/>
      <c r="P17" s="251"/>
      <c r="Q17" s="251"/>
      <c r="R17" s="252"/>
      <c r="BE17" t="str">
        <f>H37</f>
        <v>CEN 4900</v>
      </c>
      <c r="BF17">
        <f>J37</f>
        <v>1</v>
      </c>
      <c r="CA17" s="220" t="str">
        <f>'[1]LS Core'!C13</f>
        <v>English</v>
      </c>
      <c r="CB17" s="236" t="str">
        <f>'[1]LS Core'!D13</f>
        <v>ENG 2740  Politics in Literature</v>
      </c>
      <c r="CC17" s="29"/>
      <c r="CD17" s="220" t="str">
        <f>'[1]LS Core'!E13</f>
        <v xml:space="preserve">Philosophy </v>
      </c>
      <c r="CE17" s="236" t="str">
        <f>'[1]LS Core'!F13</f>
        <v>PHL 2090  Values in a Technological Culture</v>
      </c>
      <c r="CI17" s="220" t="str">
        <f>'[1]LS Core'!I13</f>
        <v>History</v>
      </c>
      <c r="CJ17" s="236" t="str">
        <f>'[1]LS Core'!J13</f>
        <v>HIS 3350  Ancient History</v>
      </c>
      <c r="CN17" s="220" t="str">
        <f>'[1]LS Core'!K13</f>
        <v>Economics</v>
      </c>
      <c r="CO17" s="236" t="str">
        <f>'[1]LS Core'!L13</f>
        <v>ECO 1225  Economics of Gender (D)</v>
      </c>
      <c r="CS17" s="245" t="s">
        <v>38</v>
      </c>
      <c r="IR17" s="1"/>
      <c r="IS17" s="1"/>
      <c r="IT17" s="1"/>
      <c r="IU17" s="1"/>
      <c r="IV17" s="1"/>
    </row>
    <row r="18" spans="1:256" ht="15.75" customHeight="1" thickBot="1">
      <c r="A18" s="55" t="s">
        <v>273</v>
      </c>
      <c r="B18" s="51" t="s">
        <v>91</v>
      </c>
      <c r="C18" s="52">
        <v>4</v>
      </c>
      <c r="D18" s="93"/>
      <c r="E18" s="53"/>
      <c r="F18" s="52"/>
      <c r="G18" s="51"/>
      <c r="H18" s="56" t="s">
        <v>186</v>
      </c>
      <c r="I18" s="51" t="s">
        <v>140</v>
      </c>
      <c r="J18" s="52">
        <v>4</v>
      </c>
      <c r="K18" s="93"/>
      <c r="L18" s="54"/>
      <c r="M18" s="53"/>
      <c r="O18" s="250" t="s">
        <v>271</v>
      </c>
      <c r="P18" s="251"/>
      <c r="Q18" s="251"/>
      <c r="R18" s="252"/>
      <c r="CA18" s="220" t="str">
        <f>'[1]LS Core'!C14</f>
        <v>English</v>
      </c>
      <c r="CB18" s="236" t="str">
        <f>'[1]LS Core'!D14</f>
        <v>ENG 2750  Adapting the Graphic Novel to Film</v>
      </c>
      <c r="CC18" s="29"/>
      <c r="CD18" s="220" t="str">
        <f>'[1]LS Core'!E14</f>
        <v xml:space="preserve">Philosophy </v>
      </c>
      <c r="CE18" s="236" t="str">
        <f>'[1]LS Core'!F14</f>
        <v>PHL 2100  Women, Ethics and Society (D)</v>
      </c>
      <c r="CI18" s="220" t="str">
        <f>'[1]LS Core'!I14</f>
        <v>History</v>
      </c>
      <c r="CJ18" s="236" t="str">
        <f>'[1]LS Core'!J14</f>
        <v>HIS 3360  Medieval Civilization</v>
      </c>
      <c r="CN18" s="220" t="str">
        <f>'[1]LS Core'!K14</f>
        <v>Economics</v>
      </c>
      <c r="CO18" s="236" t="str">
        <f>'[1]LS Core'!L14</f>
        <v>ECO 2201  Intermediate Micro-Economics  </v>
      </c>
      <c r="CS18" s="245" t="s">
        <v>39</v>
      </c>
      <c r="IR18" s="1"/>
      <c r="IS18" s="1"/>
      <c r="IT18" s="1"/>
      <c r="IU18" s="1"/>
      <c r="IV18" s="1"/>
    </row>
    <row r="19" spans="1:256" ht="15.75" customHeight="1" thickBot="1">
      <c r="A19" s="55" t="s">
        <v>301</v>
      </c>
      <c r="B19" s="51" t="s">
        <v>302</v>
      </c>
      <c r="C19" s="52">
        <v>4</v>
      </c>
      <c r="D19" s="93"/>
      <c r="E19" s="53"/>
      <c r="F19" s="69"/>
      <c r="G19" s="51"/>
      <c r="H19" s="56" t="s">
        <v>148</v>
      </c>
      <c r="I19" s="108" t="s">
        <v>260</v>
      </c>
      <c r="J19" s="52">
        <v>4</v>
      </c>
      <c r="K19" s="93"/>
      <c r="L19" s="54"/>
      <c r="M19" s="53"/>
      <c r="O19" s="250"/>
      <c r="P19" s="251"/>
      <c r="Q19" s="251"/>
      <c r="R19" s="252"/>
      <c r="CA19" s="220" t="str">
        <f>'[1]LS Core'!C15</f>
        <v>English</v>
      </c>
      <c r="CB19" s="236" t="str">
        <f>'[1]LS Core'!D15</f>
        <v>ENG 2770  Literature and Film</v>
      </c>
      <c r="CC19" s="29"/>
      <c r="CD19" s="220" t="str">
        <f>'[1]LS Core'!E15</f>
        <v xml:space="preserve">Philosophy </v>
      </c>
      <c r="CE19" s="236" t="str">
        <f>'[1]LS Core'!F15</f>
        <v>PHL 2310  Socrates and the Examined Life</v>
      </c>
      <c r="CI19" s="220" t="str">
        <f>'[1]LS Core'!I15</f>
        <v>History</v>
      </c>
      <c r="CJ19" s="236" t="str">
        <f>'[1]LS Core'!J15</f>
        <v>HIS 3370  Renaissance and Reformation</v>
      </c>
      <c r="CN19" s="220" t="str">
        <f>'[1]LS Core'!K15</f>
        <v>Economics</v>
      </c>
      <c r="CO19" s="236" t="str">
        <f>'[1]LS Core'!L15</f>
        <v>ECO 2202  Intermediate Macro-Economics </v>
      </c>
      <c r="CS19" s="245" t="s">
        <v>40</v>
      </c>
      <c r="IR19" s="1"/>
      <c r="IS19" s="1"/>
      <c r="IT19" s="1"/>
      <c r="IU19" s="1"/>
      <c r="IV19" s="1"/>
    </row>
    <row r="20" spans="1:256" ht="15.75" customHeight="1">
      <c r="A20" s="50"/>
      <c r="B20" s="51"/>
      <c r="C20" s="52"/>
      <c r="D20" s="57"/>
      <c r="E20" s="57"/>
      <c r="F20" s="52"/>
      <c r="G20" s="51"/>
      <c r="H20" s="51"/>
      <c r="I20" s="51"/>
      <c r="J20" s="52"/>
      <c r="K20" s="57"/>
      <c r="L20" s="59"/>
      <c r="M20" s="57"/>
      <c r="O20" s="250" t="s">
        <v>298</v>
      </c>
      <c r="P20" s="251"/>
      <c r="Q20" s="251"/>
      <c r="R20" s="252"/>
      <c r="CA20" s="220" t="str">
        <f>'[1]LS Core'!C16</f>
        <v>English</v>
      </c>
      <c r="CB20" s="236" t="str">
        <f>'[1]LS Core'!D16</f>
        <v>ENG 3020  A History of the English Language</v>
      </c>
      <c r="CC20" s="29"/>
      <c r="CD20" s="220" t="str">
        <f>'[1]LS Core'!E16</f>
        <v xml:space="preserve">Philosophy </v>
      </c>
      <c r="CE20" s="236" t="str">
        <f>'[1]LS Core'!F16</f>
        <v>PHL 2500 Theories of Justice</v>
      </c>
      <c r="CI20" s="220" t="str">
        <f>'[1]LS Core'!I16</f>
        <v>History</v>
      </c>
      <c r="CJ20" s="236" t="str">
        <f>'[1]LS Core'!J16</f>
        <v>HIS 3376  Era of the French Revolution</v>
      </c>
      <c r="CN20" s="220" t="str">
        <f>'[1]LS Core'!K16</f>
        <v>Economics</v>
      </c>
      <c r="CO20" s="236" t="str">
        <f>'[1]LS Core'!L16</f>
        <v>ECO 3303  Economic Development</v>
      </c>
      <c r="CS20" s="245"/>
      <c r="IR20" s="1"/>
      <c r="IS20" s="1"/>
      <c r="IT20" s="1"/>
      <c r="IU20" s="1"/>
      <c r="IV20" s="1"/>
    </row>
    <row r="21" spans="1:256" ht="15.75" customHeight="1">
      <c r="A21" s="50"/>
      <c r="B21" s="51"/>
      <c r="C21" s="52"/>
      <c r="D21" s="57"/>
      <c r="E21" s="57"/>
      <c r="F21" s="52"/>
      <c r="G21" s="51"/>
      <c r="H21" s="51"/>
      <c r="I21" s="51"/>
      <c r="J21" s="52"/>
      <c r="K21" s="57"/>
      <c r="L21" s="59"/>
      <c r="M21" s="57"/>
      <c r="O21" s="250"/>
      <c r="P21" s="251"/>
      <c r="Q21" s="251"/>
      <c r="R21" s="252"/>
      <c r="CA21" s="220" t="str">
        <f>'[1]LS Core'!C17</f>
        <v>English</v>
      </c>
      <c r="CB21" s="236" t="str">
        <f>'[1]LS Core'!D17</f>
        <v>ENG 3100  Beowulf and Old English Literature</v>
      </c>
      <c r="CC21" s="29"/>
      <c r="CD21" s="220" t="str">
        <f>'[1]LS Core'!E17</f>
        <v xml:space="preserve">Philosophy </v>
      </c>
      <c r="CE21" s="236" t="str">
        <f>'[1]LS Core'!F17</f>
        <v>PHL 3020 Philosophy of Law</v>
      </c>
      <c r="CI21" s="220" t="str">
        <f>'[1]LS Core'!I17</f>
        <v>History</v>
      </c>
      <c r="CJ21" s="236" t="str">
        <f>'[1]LS Core'!J17</f>
        <v>HIS 3378  History of Modern Britain</v>
      </c>
      <c r="CN21" s="220" t="str">
        <f>'[1]LS Core'!K17</f>
        <v>Economics</v>
      </c>
      <c r="CO21" s="236" t="str">
        <f>'[1]LS Core'!L17</f>
        <v>ECO 3304  Economics of Education</v>
      </c>
      <c r="CS21" s="245"/>
      <c r="IR21" s="1"/>
      <c r="IS21" s="1"/>
      <c r="IT21" s="1"/>
      <c r="IU21" s="1"/>
      <c r="IV21" s="1"/>
    </row>
    <row r="22" spans="1:256" ht="15" customHeight="1">
      <c r="A22" s="60"/>
      <c r="B22" s="61"/>
      <c r="C22" s="62">
        <f>SUM(C16:C21)</f>
        <v>16</v>
      </c>
      <c r="D22" s="63"/>
      <c r="E22" s="63"/>
      <c r="F22" s="62"/>
      <c r="G22" s="61"/>
      <c r="H22" s="61"/>
      <c r="I22" s="61"/>
      <c r="J22" s="62">
        <f>SUM(J16:J20)</f>
        <v>16</v>
      </c>
      <c r="K22" s="63"/>
      <c r="L22" s="64"/>
      <c r="M22" s="57"/>
      <c r="O22" s="250" t="s">
        <v>144</v>
      </c>
      <c r="P22" s="251"/>
      <c r="Q22" s="251"/>
      <c r="R22" s="252"/>
      <c r="CA22" s="220" t="str">
        <f>'[1]LS Core'!C18</f>
        <v>English</v>
      </c>
      <c r="CB22" s="236" t="str">
        <f>'[1]LS Core'!D18</f>
        <v>ENG 3140  Chaucer and Middle English Literature</v>
      </c>
      <c r="CC22" s="29"/>
      <c r="CD22" s="220" t="str">
        <f>'[1]LS Core'!E18</f>
        <v xml:space="preserve">Philosophy </v>
      </c>
      <c r="CE22" s="236" t="str">
        <f>'[1]LS Core'!F18</f>
        <v>PHL 3030  Global Justice</v>
      </c>
      <c r="CI22" s="220" t="str">
        <f>'[1]LS Core'!I18</f>
        <v>History</v>
      </c>
      <c r="CJ22" s="236" t="str">
        <f>'[1]LS Core'!J18</f>
        <v>HIS 3380  History of Modern Technology</v>
      </c>
      <c r="CN22" s="220" t="str">
        <f>'[1]LS Core'!K18</f>
        <v>Economics</v>
      </c>
      <c r="CO22" s="236" t="str">
        <f>'[1]LS Core'!L18</f>
        <v>ECO 3305  Ecological Economics</v>
      </c>
      <c r="CS22" s="245"/>
      <c r="IR22" s="1"/>
      <c r="IS22" s="1"/>
      <c r="IT22" s="1"/>
      <c r="IU22" s="1"/>
      <c r="IV22" s="1"/>
    </row>
    <row r="23" spans="1:256" ht="15" customHeight="1" thickBot="1">
      <c r="A23" s="28"/>
      <c r="B23" s="51"/>
      <c r="C23" s="65"/>
      <c r="D23" s="52" t="s">
        <v>130</v>
      </c>
      <c r="E23" s="52" t="s">
        <v>130</v>
      </c>
      <c r="F23" s="52"/>
      <c r="G23" s="51"/>
      <c r="H23" s="65"/>
      <c r="I23" s="51"/>
      <c r="J23" s="65"/>
      <c r="K23" s="52" t="s">
        <v>130</v>
      </c>
      <c r="L23" s="66" t="s">
        <v>130</v>
      </c>
      <c r="M23" s="52"/>
      <c r="O23" s="253"/>
      <c r="P23" s="254"/>
      <c r="Q23" s="254"/>
      <c r="R23" s="255"/>
      <c r="CA23" s="220" t="str">
        <f>'[1]LS Core'!C19</f>
        <v>English</v>
      </c>
      <c r="CB23" s="236" t="str">
        <f>'[1]LS Core'!D19</f>
        <v>ENG 3200  Renaissance Literature</v>
      </c>
      <c r="CC23" s="29"/>
      <c r="CD23" s="220" t="str">
        <f>'[1]LS Core'!E19</f>
        <v xml:space="preserve">Philosophy </v>
      </c>
      <c r="CE23" s="236" t="str">
        <f>'[1]LS Core'!F19</f>
        <v>PHL 3180  Existentialism</v>
      </c>
      <c r="CI23" s="220" t="str">
        <f>'[1]LS Core'!I19</f>
        <v>History</v>
      </c>
      <c r="CJ23" s="236" t="str">
        <f>'[1]LS Core'!J19</f>
        <v>HIS 3390  Modern European Social History</v>
      </c>
      <c r="CN23" s="220" t="str">
        <f>'[1]LS Core'!K19</f>
        <v>Economics</v>
      </c>
      <c r="CO23" s="236" t="str">
        <f>'[1]LS Core'!L19</f>
        <v>ECO 3306  International Economics</v>
      </c>
      <c r="CS23" s="246"/>
      <c r="IR23" s="1"/>
      <c r="IS23" s="1"/>
      <c r="IT23" s="1"/>
      <c r="IU23" s="1"/>
      <c r="IV23" s="1"/>
    </row>
    <row r="24" spans="1:256" ht="12.75" customHeight="1" thickTop="1" thickBot="1">
      <c r="A24" s="43"/>
      <c r="B24" s="47"/>
      <c r="C24" s="48"/>
      <c r="D24" s="67"/>
      <c r="E24" s="67"/>
      <c r="F24" s="45" t="s">
        <v>297</v>
      </c>
      <c r="G24" s="47"/>
      <c r="H24" s="48"/>
      <c r="I24" s="47"/>
      <c r="J24" s="48"/>
      <c r="K24" s="67"/>
      <c r="L24" s="68"/>
      <c r="M24" s="52"/>
      <c r="CA24" s="220" t="str">
        <f>'[1]LS Core'!C20</f>
        <v>English</v>
      </c>
      <c r="CB24" s="236" t="str">
        <f>'[1]LS Core'!D20</f>
        <v>ENG 3220  Renaissance Drama</v>
      </c>
      <c r="CC24" s="29"/>
      <c r="CD24" s="220" t="str">
        <f>'[1]LS Core'!E20</f>
        <v>Religious and Theological Studies</v>
      </c>
      <c r="CE24" s="236" t="str">
        <f>'[1]LS Core'!F20</f>
        <v>RTS 2800  Christian Social Ethics (D)</v>
      </c>
      <c r="CI24" s="220" t="str">
        <f>'[1]LS Core'!I20</f>
        <v>History</v>
      </c>
      <c r="CJ24" s="236" t="str">
        <f>'[1]LS Core'!J20</f>
        <v>HIS 3391  Women in Modern European History (D)</v>
      </c>
      <c r="CN24" s="220" t="str">
        <f>'[1]LS Core'!K20</f>
        <v>Economics</v>
      </c>
      <c r="CO24" s="236" t="str">
        <f>'[1]LS Core'!L20</f>
        <v>ECO 3307  Labor Economics</v>
      </c>
      <c r="IR24" s="1"/>
      <c r="IS24" s="1"/>
      <c r="IT24" s="1"/>
      <c r="IU24" s="1"/>
      <c r="IV24" s="1"/>
    </row>
    <row r="25" spans="1:256" ht="15.75" customHeight="1" thickBot="1">
      <c r="A25" s="50" t="s">
        <v>219</v>
      </c>
      <c r="B25" s="51" t="s">
        <v>196</v>
      </c>
      <c r="C25" s="52">
        <v>4</v>
      </c>
      <c r="D25" s="93"/>
      <c r="E25" s="53"/>
      <c r="F25" s="52"/>
      <c r="G25" s="65"/>
      <c r="H25" s="51" t="s">
        <v>303</v>
      </c>
      <c r="I25" s="51" t="s">
        <v>296</v>
      </c>
      <c r="J25" s="52">
        <v>4</v>
      </c>
      <c r="K25" s="93"/>
      <c r="L25" s="54"/>
      <c r="M25" s="53"/>
      <c r="BC25" t="s">
        <v>86</v>
      </c>
      <c r="CA25" s="220" t="str">
        <f>'[1]LS Core'!C21</f>
        <v>English</v>
      </c>
      <c r="CB25" s="236" t="str">
        <f>'[1]LS Core'!D21</f>
        <v>ENG 3250  Shakespearean Drama</v>
      </c>
      <c r="CC25" s="29"/>
      <c r="CD25" s="220" t="str">
        <f>'[1]LS Core'!E21</f>
        <v>Religious and Theological Studies</v>
      </c>
      <c r="CE25" s="236" t="str">
        <f>'[1]LS Core'!F21</f>
        <v>RTS 2900  Holocaust: Theology, Reality and Aftermath (D)</v>
      </c>
      <c r="CI25" s="220" t="str">
        <f>'[1]LS Core'!I21</f>
        <v>History</v>
      </c>
      <c r="CJ25" s="236" t="str">
        <f>'[1]LS Core'!J21</f>
        <v>HIS 3320  The American City</v>
      </c>
      <c r="CN25" s="220" t="str">
        <f>'[1]LS Core'!K21</f>
        <v>Economics</v>
      </c>
      <c r="CO25" s="236" t="str">
        <f>'[1]LS Core'!L21</f>
        <v>ECO 3308  Managerial Economics</v>
      </c>
    </row>
    <row r="26" spans="1:256" ht="15.75" customHeight="1" thickBot="1">
      <c r="A26" s="55" t="s">
        <v>220</v>
      </c>
      <c r="B26" s="51" t="s">
        <v>280</v>
      </c>
      <c r="C26" s="52">
        <v>4</v>
      </c>
      <c r="D26" s="93"/>
      <c r="E26" s="53"/>
      <c r="F26" s="52"/>
      <c r="G26" s="65"/>
      <c r="H26" s="56" t="s">
        <v>119</v>
      </c>
      <c r="I26" s="51" t="s">
        <v>190</v>
      </c>
      <c r="J26" s="52">
        <v>4</v>
      </c>
      <c r="K26" s="93"/>
      <c r="L26" s="54"/>
      <c r="M26" s="53"/>
      <c r="BC26" t="str">
        <f>BC9</f>
        <v>GEN2010</v>
      </c>
      <c r="BD26">
        <f>BD9</f>
        <v>4</v>
      </c>
      <c r="BE26" t="str">
        <f>BE8</f>
        <v>GEN2012</v>
      </c>
      <c r="BF26">
        <f>BF8+2+3</f>
        <v>9</v>
      </c>
      <c r="CA26" s="220" t="str">
        <f>'[1]LS Core'!C22</f>
        <v>English</v>
      </c>
      <c r="CB26" s="236" t="str">
        <f>'[1]LS Core'!D22</f>
        <v>ENG 3280  Angels and Demons: Milton and the Culture of Revolution</v>
      </c>
      <c r="CC26" s="29"/>
      <c r="CD26" s="220" t="str">
        <f>'[1]LS Core'!E22</f>
        <v>Religious and Theological Studies</v>
      </c>
      <c r="CE26" s="236" t="str">
        <f>'[1]LS Core'!F22</f>
        <v>RTS 2950  Ethics in the Abrahamic Traditions</v>
      </c>
      <c r="CI26" s="220" t="str">
        <f>'[1]LS Core'!I22</f>
        <v>History</v>
      </c>
      <c r="CJ26" s="236" t="str">
        <f>'[1]LS Core'!J22</f>
        <v>HIS 3326  History of American Architecture</v>
      </c>
      <c r="CN26" s="220" t="str">
        <f>'[1]LS Core'!K22</f>
        <v>Economics</v>
      </c>
      <c r="CO26" s="236" t="str">
        <f>'[1]LS Core'!L22</f>
        <v>ECO 3309  Marxian Economics</v>
      </c>
    </row>
    <row r="27" spans="1:256" ht="15.75" customHeight="1" thickBot="1">
      <c r="A27" s="50" t="s">
        <v>223</v>
      </c>
      <c r="B27" s="51" t="s">
        <v>221</v>
      </c>
      <c r="C27" s="52">
        <v>2</v>
      </c>
      <c r="D27" s="93"/>
      <c r="E27" s="53"/>
      <c r="F27" s="52"/>
      <c r="G27" s="65"/>
      <c r="H27" s="65" t="s">
        <v>120</v>
      </c>
      <c r="I27" s="51" t="s">
        <v>286</v>
      </c>
      <c r="J27" s="52">
        <v>1</v>
      </c>
      <c r="K27" s="93"/>
      <c r="L27" s="54"/>
      <c r="M27" s="53"/>
      <c r="BC27" t="str">
        <f>BC11</f>
        <v>CEN3010</v>
      </c>
      <c r="BD27">
        <f>BD11</f>
        <v>4</v>
      </c>
      <c r="CA27" s="220" t="str">
        <f>'[1]LS Core'!C23</f>
        <v>English</v>
      </c>
      <c r="CB27" s="236" t="str">
        <f>'[1]LS Core'!D23</f>
        <v>ENG 3300  Restoration and Eighteenth-Century Literature</v>
      </c>
      <c r="CC27" s="29"/>
      <c r="CD27" s="220" t="str">
        <f>'[1]LS Core'!E23</f>
        <v>Religious and Theological Studies</v>
      </c>
      <c r="CE27" s="236" t="str">
        <f>'[1]LS Core'!F23</f>
        <v>RTS 3700  African-American Theology (D)</v>
      </c>
      <c r="CI27" s="220" t="str">
        <f>'[1]LS Core'!I23</f>
        <v>History</v>
      </c>
      <c r="CJ27" s="236" t="str">
        <f>'[1]LS Core'!J23</f>
        <v>HIS 3401  Topics in Nineteenth-Century Europe</v>
      </c>
      <c r="CN27" s="220" t="str">
        <f>'[1]LS Core'!K23</f>
        <v>Economics</v>
      </c>
      <c r="CO27" s="236" t="str">
        <f>'[1]LS Core'!L23</f>
        <v>ECO 3310  Money and Finance</v>
      </c>
    </row>
    <row r="28" spans="1:256" ht="15.75" customHeight="1" thickBot="1">
      <c r="A28" s="50" t="s">
        <v>381</v>
      </c>
      <c r="B28" s="51" t="s">
        <v>382</v>
      </c>
      <c r="C28" s="52">
        <v>4</v>
      </c>
      <c r="D28" s="93"/>
      <c r="E28" s="53"/>
      <c r="F28" s="52"/>
      <c r="G28" s="65"/>
      <c r="H28" s="51" t="s">
        <v>187</v>
      </c>
      <c r="I28" s="186" t="s">
        <v>245</v>
      </c>
      <c r="J28" s="52">
        <v>4</v>
      </c>
      <c r="K28" s="93"/>
      <c r="L28" s="54"/>
      <c r="M28" s="53"/>
      <c r="BC28" t="str">
        <f>BC13</f>
        <v>Elective (course here)</v>
      </c>
      <c r="BD28">
        <f>BD13</f>
        <v>4</v>
      </c>
      <c r="CA28" s="220" t="str">
        <f>'[1]LS Core'!C24</f>
        <v>English</v>
      </c>
      <c r="CB28" s="236" t="str">
        <f>'[1]LS Core'!D24</f>
        <v>ENG 3320  Eighteenth-Century Novel</v>
      </c>
      <c r="CC28" s="29"/>
      <c r="CD28" s="220" t="str">
        <f>'[1]LS Core'!E24</f>
        <v>Religious and Theological Studies</v>
      </c>
      <c r="CE28" s="236" t="str">
        <f>'[1]LS Core'!F24</f>
        <v>RTS 3710  Feminist Theology (D)</v>
      </c>
      <c r="CI28" s="220" t="str">
        <f>'[1]LS Core'!I24</f>
        <v>History</v>
      </c>
      <c r="CJ28" s="236" t="str">
        <f>'[1]LS Core'!J24</f>
        <v>HIS 3410  Twentieth-Century Europe</v>
      </c>
      <c r="CN28" s="220" t="str">
        <f>'[1]LS Core'!K24</f>
        <v>Economics</v>
      </c>
      <c r="CO28" s="236" t="str">
        <f>'[1]LS Core'!L24</f>
        <v>ECO 3311  Public Finance</v>
      </c>
    </row>
    <row r="29" spans="1:256" ht="15.75" customHeight="1" thickBot="1">
      <c r="A29" s="28" t="s">
        <v>189</v>
      </c>
      <c r="B29" s="186" t="s">
        <v>245</v>
      </c>
      <c r="C29" s="71">
        <v>4</v>
      </c>
      <c r="D29" s="93"/>
      <c r="E29" s="53"/>
      <c r="F29" s="53"/>
      <c r="G29" s="65"/>
      <c r="H29" s="65" t="s">
        <v>246</v>
      </c>
      <c r="I29" s="186" t="s">
        <v>245</v>
      </c>
      <c r="J29" s="71">
        <v>4</v>
      </c>
      <c r="K29" s="93"/>
      <c r="L29" s="54"/>
      <c r="M29" s="53"/>
      <c r="CA29" s="220" t="str">
        <f>'[1]LS Core'!C25</f>
        <v>English</v>
      </c>
      <c r="CB29" s="236" t="str">
        <f>'[1]LS Core'!D25</f>
        <v>ENG 3350  Sex, Race, and Empire: 1660-1814</v>
      </c>
      <c r="CC29" s="29"/>
      <c r="CD29" s="220" t="str">
        <f>'[1]LS Core'!E25</f>
        <v>Religious and Theological Studies</v>
      </c>
      <c r="CE29" s="236" t="str">
        <f>'[1]LS Core'!F25</f>
        <v>RTS 3800  The Catholic Thing: Merton and Day</v>
      </c>
      <c r="CI29" s="220" t="str">
        <f>'[1]LS Core'!I25</f>
        <v>History</v>
      </c>
      <c r="CJ29" s="236" t="str">
        <f>'[1]LS Core'!J25</f>
        <v>HIS 3425  Contemporary United States History</v>
      </c>
      <c r="CN29" s="220" t="str">
        <f>'[1]LS Core'!K25</f>
        <v>Economics</v>
      </c>
      <c r="CO29" s="236" t="str">
        <f>'[1]LS Core'!L25</f>
        <v>ECO 3312  The History of Economic Thought</v>
      </c>
    </row>
    <row r="30" spans="1:256" ht="15.75" customHeight="1">
      <c r="A30" s="50"/>
      <c r="B30" s="51"/>
      <c r="C30" s="52"/>
      <c r="D30" s="57"/>
      <c r="E30" s="57"/>
      <c r="F30" s="52"/>
      <c r="G30" s="65"/>
      <c r="H30" s="51"/>
      <c r="I30" s="51"/>
      <c r="J30" s="53"/>
      <c r="K30" s="57"/>
      <c r="L30" s="59"/>
      <c r="M30" s="57"/>
      <c r="CA30" s="220" t="str">
        <f>'[1]LS Core'!C26</f>
        <v>English</v>
      </c>
      <c r="CB30" s="236" t="str">
        <f>'[1]LS Core'!D26</f>
        <v>ENG 3400  British Romanticism</v>
      </c>
      <c r="CC30" s="29"/>
      <c r="CD30" s="220" t="str">
        <f>'[1]LS Core'!E26</f>
        <v>Religious and Theological Studies</v>
      </c>
      <c r="CE30" s="236" t="str">
        <f>'[1]LS Core'!F26</f>
        <v>RTS 3850  War and Peace: Religious Perspectives</v>
      </c>
      <c r="CI30" s="220" t="str">
        <f>'[1]LS Core'!I26</f>
        <v>History</v>
      </c>
      <c r="CJ30" s="236" t="str">
        <f>'[1]LS Core'!J26</f>
        <v>HIS 3434  Age of the American Revolution, 1763-1800</v>
      </c>
      <c r="CN30" s="220" t="str">
        <f>'[1]LS Core'!K26</f>
        <v>Economics</v>
      </c>
      <c r="CO30" s="236" t="str">
        <f>'[1]LS Core'!L26</f>
        <v>ECO 3313  Topics in Quantitative Economics</v>
      </c>
    </row>
    <row r="31" spans="1:256" ht="15" customHeight="1">
      <c r="A31" s="60"/>
      <c r="B31" s="61"/>
      <c r="C31" s="62">
        <f>C25+C26+C27+C28+C29</f>
        <v>18</v>
      </c>
      <c r="D31" s="63"/>
      <c r="E31" s="63"/>
      <c r="F31" s="62"/>
      <c r="G31" s="35"/>
      <c r="H31" s="61"/>
      <c r="I31" s="61"/>
      <c r="J31" s="62">
        <f>SUM(J25:J29)</f>
        <v>17</v>
      </c>
      <c r="K31" s="63"/>
      <c r="L31" s="64"/>
      <c r="M31" s="57"/>
      <c r="CA31" s="220" t="str">
        <f>'[1]LS Core'!C27</f>
        <v>English</v>
      </c>
      <c r="CB31" s="236" t="str">
        <f>'[1]LS Core'!D27</f>
        <v>ENG 3420  American Romanticism</v>
      </c>
      <c r="CC31" s="29"/>
      <c r="CD31" s="126"/>
      <c r="CE31" s="239"/>
      <c r="CI31" s="220" t="str">
        <f>'[1]LS Core'!I27</f>
        <v>History</v>
      </c>
      <c r="CJ31" s="236" t="str">
        <f>'[1]LS Core'!J27</f>
        <v>HIS 3435  American Colonial History</v>
      </c>
      <c r="CN31" s="220" t="str">
        <f>'[1]LS Core'!K27</f>
        <v>Economics</v>
      </c>
      <c r="CO31" s="236" t="str">
        <f>'[1]LS Core'!L27</f>
        <v>ECO 3314  U.S. Economic History</v>
      </c>
    </row>
    <row r="32" spans="1:256" ht="12.75" customHeight="1">
      <c r="A32" s="28"/>
      <c r="B32" s="65"/>
      <c r="C32" s="65"/>
      <c r="D32" s="52" t="s">
        <v>130</v>
      </c>
      <c r="E32" s="52" t="s">
        <v>130</v>
      </c>
      <c r="F32" s="52"/>
      <c r="G32" s="65"/>
      <c r="H32" s="65"/>
      <c r="I32" s="65"/>
      <c r="J32" s="65"/>
      <c r="K32" s="52" t="s">
        <v>130</v>
      </c>
      <c r="L32" s="66" t="s">
        <v>130</v>
      </c>
      <c r="M32" s="52"/>
      <c r="CA32" s="220" t="str">
        <f>'[1]LS Core'!C28</f>
        <v>English</v>
      </c>
      <c r="CB32" s="236" t="str">
        <f>'[1]LS Core'!D28</f>
        <v>ENG 3440  Victorian Literature</v>
      </c>
      <c r="CC32" s="29"/>
      <c r="CD32" s="126"/>
      <c r="CE32" s="239"/>
      <c r="CI32" s="220" t="str">
        <f>'[1]LS Core'!I28</f>
        <v>History</v>
      </c>
      <c r="CJ32" s="236" t="str">
        <f>'[1]LS Core'!J28</f>
        <v>HIS 3437  Civil War and Reconstruction</v>
      </c>
      <c r="CN32" s="220" t="str">
        <f>'[1]LS Core'!K28</f>
        <v>Economics</v>
      </c>
      <c r="CO32" s="236" t="str">
        <f>'[1]LS Core'!L28</f>
        <v>ECO 3315  Urban and Regional Economics</v>
      </c>
    </row>
    <row r="33" spans="1:256" ht="16.5" customHeight="1" thickBot="1">
      <c r="A33" s="43"/>
      <c r="B33" s="48"/>
      <c r="C33" s="48"/>
      <c r="D33" s="67"/>
      <c r="E33" s="67"/>
      <c r="F33" s="45" t="s">
        <v>129</v>
      </c>
      <c r="G33" s="48"/>
      <c r="H33" s="48"/>
      <c r="I33" s="48"/>
      <c r="J33" s="48"/>
      <c r="K33" s="67"/>
      <c r="L33" s="68"/>
      <c r="M33" s="52"/>
      <c r="BC33" t="s">
        <v>87</v>
      </c>
      <c r="CA33" s="220" t="str">
        <f>'[1]LS Core'!C29</f>
        <v>English</v>
      </c>
      <c r="CB33" s="236" t="str">
        <f>'[1]LS Core'!D29</f>
        <v>ENG 3470  Realism and Naturalism in America</v>
      </c>
      <c r="CC33" s="29"/>
      <c r="CD33" s="126"/>
      <c r="CE33" s="239"/>
      <c r="CI33" s="220" t="str">
        <f>'[1]LS Core'!I29</f>
        <v>History</v>
      </c>
      <c r="CJ33" s="236" t="str">
        <f>'[1]LS Core'!J29</f>
        <v>HIS 3439  Slavery and Race in the Early Modern Atlantic World, 1400-1800 (D)</v>
      </c>
      <c r="CN33" s="220" t="str">
        <f>'[1]LS Core'!K29</f>
        <v>History</v>
      </c>
      <c r="CO33" s="236" t="str">
        <f>'[1]LS Core'!L29</f>
        <v>HIS 3376  Era of the French Revolution</v>
      </c>
    </row>
    <row r="34" spans="1:256" ht="15.75" customHeight="1" thickBot="1">
      <c r="A34" s="50" t="s">
        <v>232</v>
      </c>
      <c r="B34" s="186" t="s">
        <v>245</v>
      </c>
      <c r="C34" s="52">
        <v>4</v>
      </c>
      <c r="D34" s="93"/>
      <c r="E34" s="53"/>
      <c r="F34" s="52"/>
      <c r="G34" s="65"/>
      <c r="H34" s="51" t="s">
        <v>121</v>
      </c>
      <c r="I34" s="51" t="s">
        <v>254</v>
      </c>
      <c r="J34" s="52">
        <v>4</v>
      </c>
      <c r="K34" s="93"/>
      <c r="L34" s="54"/>
      <c r="M34" s="53"/>
      <c r="BC34" t="str">
        <f>BC12</f>
        <v>CEN3020</v>
      </c>
      <c r="BD34">
        <f>BD12+2+3</f>
        <v>9</v>
      </c>
      <c r="BE34" t="str">
        <f>BE9</f>
        <v>GEN 3040</v>
      </c>
      <c r="BF34">
        <f>BF9+2+3</f>
        <v>9</v>
      </c>
      <c r="CA34" s="220" t="str">
        <f>'[1]LS Core'!C30</f>
        <v>English</v>
      </c>
      <c r="CB34" s="236" t="str">
        <f>'[1]LS Core'!D30</f>
        <v>ENG 3500  Modern British Literature</v>
      </c>
      <c r="CC34" s="29"/>
      <c r="CD34" s="126"/>
      <c r="CE34" s="239"/>
      <c r="CI34" s="220" t="str">
        <f>'[1]LS Core'!I30</f>
        <v>History</v>
      </c>
      <c r="CJ34" s="236" t="str">
        <f>'[1]LS Core'!J30</f>
        <v>HIS 3470  History of Imperial Russia</v>
      </c>
      <c r="CN34" s="220" t="str">
        <f>'[1]LS Core'!K30</f>
        <v>History</v>
      </c>
      <c r="CO34" s="236" t="str">
        <f>'[1]LS Core'!L30</f>
        <v>HIS 3380  History of Modern Technology</v>
      </c>
    </row>
    <row r="35" spans="1:256" ht="15.75" customHeight="1" thickBot="1">
      <c r="A35" s="28" t="s">
        <v>233</v>
      </c>
      <c r="B35" s="186" t="s">
        <v>245</v>
      </c>
      <c r="C35" s="52">
        <v>4</v>
      </c>
      <c r="D35" s="93"/>
      <c r="E35" s="53"/>
      <c r="F35" s="52"/>
      <c r="G35" s="65"/>
      <c r="H35" s="51" t="s">
        <v>123</v>
      </c>
      <c r="I35" s="186" t="s">
        <v>245</v>
      </c>
      <c r="J35" s="52">
        <v>4</v>
      </c>
      <c r="K35" s="93"/>
      <c r="L35" s="54"/>
      <c r="M35" s="53"/>
      <c r="BC35" t="str">
        <f>BC15</f>
        <v>Elective (course here)</v>
      </c>
      <c r="BD35">
        <f>BD15</f>
        <v>4</v>
      </c>
      <c r="CA35" s="220" t="str">
        <f>'[1]LS Core'!C31</f>
        <v>English</v>
      </c>
      <c r="CB35" s="236" t="str">
        <f>'[1]LS Core'!D31</f>
        <v>ENG 3520  Modern Irish Literature</v>
      </c>
      <c r="CC35" s="29"/>
      <c r="CD35" s="240"/>
      <c r="CE35" s="241"/>
      <c r="CI35" s="220" t="str">
        <f>'[1]LS Core'!I31</f>
        <v>History</v>
      </c>
      <c r="CJ35" s="236" t="str">
        <f>'[1]LS Core'!J31</f>
        <v>HIS 3471  History of Twentieth-Century Russia</v>
      </c>
      <c r="CN35" s="220" t="str">
        <f>'[1]LS Core'!K31</f>
        <v>History</v>
      </c>
      <c r="CO35" s="236" t="str">
        <f>'[1]LS Core'!L31</f>
        <v>HIS 3390  Modern European Social History</v>
      </c>
    </row>
    <row r="36" spans="1:256" ht="15.75" customHeight="1" thickBot="1">
      <c r="A36" s="50" t="s">
        <v>197</v>
      </c>
      <c r="B36" s="186" t="s">
        <v>245</v>
      </c>
      <c r="C36" s="52">
        <v>4</v>
      </c>
      <c r="D36" s="93"/>
      <c r="E36" s="92" t="s">
        <v>69</v>
      </c>
      <c r="F36" s="52"/>
      <c r="G36" s="65"/>
      <c r="H36" s="51" t="s">
        <v>124</v>
      </c>
      <c r="I36" s="186" t="s">
        <v>245</v>
      </c>
      <c r="J36" s="52">
        <v>4</v>
      </c>
      <c r="K36" s="93"/>
      <c r="L36" s="54"/>
      <c r="M36" s="53"/>
      <c r="CA36" s="220" t="str">
        <f>'[1]LS Core'!C32</f>
        <v>English</v>
      </c>
      <c r="CB36" s="236" t="str">
        <f>'[1]LS Core'!D32</f>
        <v>ENG 3550  Modern American Literature</v>
      </c>
      <c r="CC36" s="29"/>
      <c r="CE36" s="29"/>
      <c r="CI36" s="220" t="str">
        <f>'[1]LS Core'!I32</f>
        <v>History</v>
      </c>
      <c r="CJ36" s="236" t="str">
        <f>'[1]LS Core'!J32</f>
        <v>HIS 3525  Environmental History of North America</v>
      </c>
      <c r="CN36" s="220" t="str">
        <f>'[1]LS Core'!K32</f>
        <v>History</v>
      </c>
      <c r="CO36" s="236" t="str">
        <f>'[1]LS Core'!L32</f>
        <v>HIS 3391  Women in Modern European History</v>
      </c>
    </row>
    <row r="37" spans="1:256" ht="15.75" customHeight="1" thickBot="1">
      <c r="A37" s="50" t="s">
        <v>276</v>
      </c>
      <c r="B37" s="186" t="s">
        <v>245</v>
      </c>
      <c r="C37" s="52">
        <v>4</v>
      </c>
      <c r="D37" s="93"/>
      <c r="E37" s="53"/>
      <c r="F37" s="52"/>
      <c r="G37" s="65"/>
      <c r="H37" s="51" t="s">
        <v>113</v>
      </c>
      <c r="I37" s="51" t="s">
        <v>191</v>
      </c>
      <c r="J37" s="52">
        <v>1</v>
      </c>
      <c r="K37" s="93"/>
      <c r="L37" s="54"/>
      <c r="M37" s="53"/>
      <c r="BC37" t="s">
        <v>88</v>
      </c>
      <c r="CA37" s="220" t="str">
        <f>'[1]LS Core'!C33</f>
        <v>English</v>
      </c>
      <c r="CB37" s="236" t="str">
        <f>'[1]LS Core'!D33</f>
        <v>ENG 3620  Contemporary American Literature</v>
      </c>
      <c r="CC37" s="29"/>
      <c r="CI37" s="220" t="str">
        <f>'[1]LS Core'!I33</f>
        <v>Political Science</v>
      </c>
      <c r="CJ37" s="236" t="str">
        <f>'[1]LS Core'!J33</f>
        <v>POL 2581 Political Thought: Plato to Machiavelli</v>
      </c>
      <c r="CN37" s="220" t="str">
        <f>'[1]LS Core'!K33</f>
        <v xml:space="preserve">Political Science </v>
      </c>
      <c r="CO37" s="236" t="str">
        <f>'[1]LS Core'!L33</f>
        <v>POL 1000  Current Issues in Politics and Government </v>
      </c>
    </row>
    <row r="38" spans="1:256" ht="15.75" customHeight="1" thickBot="1">
      <c r="A38" s="50"/>
      <c r="B38" s="51"/>
      <c r="C38" s="52"/>
      <c r="D38" s="107"/>
      <c r="E38" s="53"/>
      <c r="F38" s="52"/>
      <c r="G38" s="65"/>
      <c r="H38" s="51" t="s">
        <v>277</v>
      </c>
      <c r="I38" s="186" t="s">
        <v>245</v>
      </c>
      <c r="J38" s="52">
        <v>4</v>
      </c>
      <c r="K38" s="93"/>
      <c r="L38" s="54"/>
      <c r="M38" s="53"/>
      <c r="BC38" t="str">
        <f>BC10</f>
        <v>CEN 2001</v>
      </c>
      <c r="BD38">
        <f>BD10+2+3</f>
        <v>9</v>
      </c>
      <c r="BE38" t="str">
        <f>BE11</f>
        <v>CEN3050</v>
      </c>
      <c r="BF38">
        <f>BF11+2+3</f>
        <v>9</v>
      </c>
      <c r="CA38" s="220" t="str">
        <f>'[1]LS Core'!C34</f>
        <v>English</v>
      </c>
      <c r="CB38" s="236" t="str">
        <f>'[1]LS Core'!D34</f>
        <v>ENG 3650  Contemporary American Drama</v>
      </c>
      <c r="CC38" s="29"/>
      <c r="CI38" s="220" t="str">
        <f>'[1]LS Core'!I34</f>
        <v>Political Science</v>
      </c>
      <c r="CJ38" s="236" t="str">
        <f>'[1]LS Core'!J34</f>
        <v>POL 2582 Political Thought: Machiavelli to Marx</v>
      </c>
      <c r="CN38" s="220" t="str">
        <f>'[1]LS Core'!K34</f>
        <v xml:space="preserve">Political Science </v>
      </c>
      <c r="CO38" s="236" t="str">
        <f>'[1]LS Core'!L34</f>
        <v>POL 1100  Politics of the United States   </v>
      </c>
    </row>
    <row r="39" spans="1:256" ht="15.75" customHeight="1" thickBot="1">
      <c r="A39" s="50"/>
      <c r="B39" s="51"/>
      <c r="C39" s="52"/>
      <c r="D39" s="53"/>
      <c r="E39" s="53"/>
      <c r="F39" s="52"/>
      <c r="G39" s="65"/>
      <c r="H39" s="51"/>
      <c r="I39" s="51"/>
      <c r="J39" s="52"/>
      <c r="K39" s="53"/>
      <c r="L39" s="54"/>
      <c r="M39" s="53"/>
      <c r="BE39" t="str">
        <f>BE12</f>
        <v>CEN3090</v>
      </c>
      <c r="BF39">
        <f>BF12</f>
        <v>1</v>
      </c>
      <c r="CA39" s="220" t="str">
        <f>'[1]LS Core'!C35</f>
        <v>English</v>
      </c>
      <c r="CB39" s="236" t="str">
        <f>'[1]LS Core'!D35</f>
        <v>ENG 3680  World Drama</v>
      </c>
      <c r="CC39" s="29"/>
      <c r="CI39" s="220" t="str">
        <f>'[1]LS Core'!I35</f>
        <v>Religious and Theological Studies</v>
      </c>
      <c r="CJ39" s="236" t="str">
        <f>'[1]LS Core'!J35</f>
        <v>RTS 2450  History of Christian Thought</v>
      </c>
      <c r="CN39" s="220" t="str">
        <f>'[1]LS Core'!K35</f>
        <v xml:space="preserve">Political Science </v>
      </c>
      <c r="CO39" s="236" t="str">
        <f>'[1]LS Core'!L35</f>
        <v>POL 1500  Comparative Politics    </v>
      </c>
    </row>
    <row r="40" spans="1:256" ht="15.75" customHeight="1" thickBot="1">
      <c r="A40" s="50" t="s">
        <v>225</v>
      </c>
      <c r="B40" s="195" t="str">
        <f>IFERROR('ABET Summary'!D17," ")</f>
        <v xml:space="preserve"> </v>
      </c>
      <c r="C40" s="52"/>
      <c r="D40" s="57"/>
      <c r="E40" s="57"/>
      <c r="F40" s="202" t="s">
        <v>114</v>
      </c>
      <c r="G40" s="65"/>
      <c r="H40" s="109"/>
      <c r="I40" s="51"/>
      <c r="J40" s="52"/>
      <c r="K40" s="57"/>
      <c r="L40" s="59"/>
      <c r="M40" s="57"/>
      <c r="BE40" t="str">
        <f>BE16</f>
        <v>Elective (course here)</v>
      </c>
      <c r="BF40">
        <f>BF16</f>
        <v>4</v>
      </c>
      <c r="CA40" s="220" t="str">
        <f>'[1]LS Core'!C36</f>
        <v>English</v>
      </c>
      <c r="CB40" s="236" t="str">
        <f>'[1]LS Core'!D36</f>
        <v>ENG 3685  The Graphic Novel</v>
      </c>
      <c r="CC40" s="29"/>
      <c r="CI40" s="220" t="str">
        <f>'[1]LS Core'!I36</f>
        <v>Religious and Theological Studies</v>
      </c>
      <c r="CJ40" s="236" t="str">
        <f>'[1]LS Core'!J36</f>
        <v>RTS 3400  American Catholicism</v>
      </c>
      <c r="CN40" s="220" t="str">
        <f>'[1]LS Core'!K36</f>
        <v xml:space="preserve">Political Science </v>
      </c>
      <c r="CO40" s="236" t="str">
        <f>'[1]LS Core'!L36</f>
        <v>POL 2000W  Political Science Methods  (Q)</v>
      </c>
      <c r="IR40" s="1"/>
      <c r="IS40" s="1"/>
      <c r="IT40" s="1"/>
      <c r="IU40" s="1"/>
      <c r="IV40" s="1"/>
    </row>
    <row r="41" spans="1:256" ht="15.75" customHeight="1" thickBot="1">
      <c r="A41" s="50" t="s">
        <v>226</v>
      </c>
      <c r="B41" s="195" t="str">
        <f>IFERROR('ABET Summary'!D16," ")</f>
        <v xml:space="preserve"> </v>
      </c>
      <c r="C41" s="52"/>
      <c r="D41" s="57"/>
      <c r="E41" s="57"/>
      <c r="F41" s="202" t="s">
        <v>234</v>
      </c>
      <c r="G41" s="65"/>
      <c r="H41" s="109"/>
      <c r="I41" s="210" t="s">
        <v>345</v>
      </c>
      <c r="J41" s="52"/>
      <c r="K41" s="57"/>
      <c r="L41" s="59"/>
      <c r="M41" s="57"/>
      <c r="CA41" s="220" t="str">
        <f>'[1]LS Core'!C37</f>
        <v>English</v>
      </c>
      <c r="CB41" s="236" t="str">
        <f>'[1]LS Core'!D37</f>
        <v>ENG 3700 Self and Society: The Victorian Novel</v>
      </c>
      <c r="CC41" s="29"/>
      <c r="CI41" s="220" t="str">
        <f>'[1]LS Core'!I37</f>
        <v>Visual and Performing Arts</v>
      </c>
      <c r="CJ41" s="236" t="str">
        <f>'[1]LS Core'!J37</f>
        <v>FAA 1610  Art History I</v>
      </c>
      <c r="CN41" s="220" t="str">
        <f>'[1]LS Core'!K37</f>
        <v xml:space="preserve">Political Science </v>
      </c>
      <c r="CO41" s="236" t="str">
        <f>'[1]LS Core'!L37</f>
        <v>POL 2111  State and Local Politics   </v>
      </c>
      <c r="IR41" s="1"/>
      <c r="IS41" s="1"/>
      <c r="IT41" s="1"/>
      <c r="IU41" s="1"/>
      <c r="IV41" s="1"/>
    </row>
    <row r="42" spans="1:256" ht="15.75" customHeight="1">
      <c r="A42" s="60"/>
      <c r="B42" s="61"/>
      <c r="C42" s="62">
        <f>SUM(C34:C40)</f>
        <v>16</v>
      </c>
      <c r="D42" s="62"/>
      <c r="E42" s="62"/>
      <c r="F42" s="62"/>
      <c r="G42" s="35"/>
      <c r="H42" s="61"/>
      <c r="I42" s="61"/>
      <c r="J42" s="62">
        <f>SUM(J34:J41)</f>
        <v>17</v>
      </c>
      <c r="K42" s="63"/>
      <c r="L42" s="64"/>
      <c r="M42" s="57"/>
      <c r="CA42" s="220" t="str">
        <f>'[1]LS Core'!C38</f>
        <v>English</v>
      </c>
      <c r="CB42" s="236" t="str">
        <f>'[1]LS Core'!D38</f>
        <v>ENG 3710  Trans-Atlantic Romanticism</v>
      </c>
      <c r="CC42" s="29"/>
      <c r="CI42" s="220" t="str">
        <f>'[1]LS Core'!I38</f>
        <v>Visual and Performing Arts</v>
      </c>
      <c r="CJ42" s="236" t="str">
        <f>'[1]LS Core'!J38</f>
        <v>FAA 1620  Art History II</v>
      </c>
      <c r="CN42" s="220" t="str">
        <f>'[1]LS Core'!K38</f>
        <v xml:space="preserve">Political Science </v>
      </c>
      <c r="CO42" s="236" t="str">
        <f>'[1]LS Core'!L38</f>
        <v>POL 2120  Government Business and Society  </v>
      </c>
      <c r="IR42" s="1"/>
      <c r="IS42" s="1"/>
      <c r="IT42" s="1"/>
      <c r="IU42" s="1"/>
      <c r="IV42" s="1"/>
    </row>
    <row r="43" spans="1:256" ht="12.75" customHeight="1">
      <c r="A43" s="262" t="s">
        <v>115</v>
      </c>
      <c r="B43" s="263"/>
      <c r="C43" s="263"/>
      <c r="D43" s="263"/>
      <c r="E43" s="263"/>
      <c r="F43" s="264"/>
      <c r="G43" s="8"/>
      <c r="H43" s="72" t="s">
        <v>251</v>
      </c>
      <c r="I43" s="3"/>
      <c r="J43" s="3"/>
      <c r="K43" s="3"/>
      <c r="L43" s="9"/>
      <c r="M43" s="4"/>
      <c r="CA43" s="220" t="str">
        <f>'[1]LS Core'!C39</f>
        <v>English</v>
      </c>
      <c r="CB43" s="236" t="str">
        <f>'[1]LS Core'!D39</f>
        <v>ENG 3730  Modern American Poetry</v>
      </c>
      <c r="CC43" s="29"/>
      <c r="CI43" s="220" t="str">
        <f>'[1]LS Core'!I39</f>
        <v>Visual and Performing Arts</v>
      </c>
      <c r="CJ43" s="236" t="str">
        <f>'[1]LS Core'!J39</f>
        <v>FAA 2520  Theater History I</v>
      </c>
      <c r="CN43" s="220" t="str">
        <f>'[1]LS Core'!K39</f>
        <v xml:space="preserve">Political Science </v>
      </c>
      <c r="CO43" s="236" t="str">
        <f>'[1]LS Core'!L39</f>
        <v>POL 2121  Public Administration and Public Policy </v>
      </c>
      <c r="IR43" s="1"/>
      <c r="IS43" s="1"/>
      <c r="IT43" s="1"/>
      <c r="IU43" s="1"/>
      <c r="IV43" s="1"/>
    </row>
    <row r="44" spans="1:256" ht="15.75" customHeight="1">
      <c r="A44" s="106"/>
      <c r="B44" s="98"/>
      <c r="C44" s="98"/>
      <c r="D44" s="98"/>
      <c r="E44" s="98"/>
      <c r="F44" s="99"/>
      <c r="G44" s="73" t="s">
        <v>252</v>
      </c>
      <c r="H44" s="74"/>
      <c r="I44" s="51"/>
      <c r="J44" s="51" t="s">
        <v>131</v>
      </c>
      <c r="K44" s="4"/>
      <c r="L44" s="10"/>
      <c r="M44" s="4"/>
      <c r="BC44" t="s">
        <v>177</v>
      </c>
      <c r="CA44" s="220" t="str">
        <f>'[1]LS Core'!C40</f>
        <v>English</v>
      </c>
      <c r="CB44" s="236" t="str">
        <f>'[1]LS Core'!D40</f>
        <v>ENG 3740  American Women’s Fiction</v>
      </c>
      <c r="CC44" s="29"/>
      <c r="CI44" s="220" t="str">
        <f>'[1]LS Core'!I40</f>
        <v>Visual and Performing Arts</v>
      </c>
      <c r="CJ44" s="236" t="str">
        <f>'[1]LS Core'!J40</f>
        <v>FAA 2530  Theater History II</v>
      </c>
      <c r="CN44" s="220" t="str">
        <f>'[1]LS Core'!K40</f>
        <v xml:space="preserve">Political Science </v>
      </c>
      <c r="CO44" s="236" t="str">
        <f>'[1]LS Core'!L40</f>
        <v>POL 2181  American Political Thought   </v>
      </c>
      <c r="IR44" s="1"/>
      <c r="IS44" s="1"/>
      <c r="IT44" s="1"/>
      <c r="IU44" s="1"/>
      <c r="IV44" s="1"/>
    </row>
    <row r="45" spans="1:256" ht="15.75" customHeight="1">
      <c r="A45" s="125" t="s">
        <v>304</v>
      </c>
      <c r="B45" s="165"/>
      <c r="C45" s="165"/>
      <c r="D45" s="165"/>
      <c r="E45" s="165"/>
      <c r="F45" s="165"/>
      <c r="G45" s="75"/>
      <c r="H45" s="74" t="s">
        <v>267</v>
      </c>
      <c r="I45" s="51"/>
      <c r="J45" s="51">
        <v>4</v>
      </c>
      <c r="K45" s="4"/>
      <c r="L45" s="10"/>
      <c r="M45" s="4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 t="str">
        <f>BC8</f>
        <v>GEN 1001</v>
      </c>
      <c r="BD45" s="1">
        <f>BD8+2+3</f>
        <v>9</v>
      </c>
      <c r="BE45" s="1" t="str">
        <f>BE10</f>
        <v>CEN3030</v>
      </c>
      <c r="BF45" s="1">
        <f>BF10+2</f>
        <v>6</v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220" t="str">
        <f>'[1]LS Core'!C41</f>
        <v>English</v>
      </c>
      <c r="CB45" s="236" t="str">
        <f>'[1]LS Core'!D41</f>
        <v>ENG 3750  Gods and Monsters: The Shelley Circle</v>
      </c>
      <c r="CC45" s="29"/>
      <c r="CD45" s="1"/>
      <c r="CE45" s="1"/>
      <c r="CF45" s="1"/>
      <c r="CG45" s="1"/>
      <c r="CH45" s="1"/>
      <c r="CI45" s="220" t="str">
        <f>'[1]LS Core'!I41</f>
        <v>Women’s and Gender Studies</v>
      </c>
      <c r="CJ45" s="236" t="str">
        <f>'[1]LS Core'!J41</f>
        <v>WGS 3300  U.S. Women’s History</v>
      </c>
      <c r="CK45" s="1"/>
      <c r="CL45" s="1"/>
      <c r="CM45" s="1"/>
      <c r="CN45" s="220" t="str">
        <f>'[1]LS Core'!K41</f>
        <v xml:space="preserve">Political Science </v>
      </c>
      <c r="CO45" s="236" t="str">
        <f>'[1]LS Core'!L41</f>
        <v>POL 2510  International Politics    </v>
      </c>
      <c r="CP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ht="16.95" customHeight="1">
      <c r="A46" s="125" t="s">
        <v>305</v>
      </c>
      <c r="B46" s="165"/>
      <c r="C46" s="165"/>
      <c r="D46" s="165"/>
      <c r="E46" s="165"/>
      <c r="F46" s="165"/>
      <c r="G46" s="75"/>
      <c r="H46" s="74" t="s">
        <v>311</v>
      </c>
      <c r="I46" s="52"/>
      <c r="J46" s="51">
        <v>4</v>
      </c>
      <c r="K46" s="4"/>
      <c r="L46" s="10"/>
      <c r="M46" s="4"/>
      <c r="N46" s="5"/>
      <c r="BE46" t="str">
        <f>BE17</f>
        <v>CEN 4900</v>
      </c>
      <c r="BF46">
        <f>BF17</f>
        <v>1</v>
      </c>
      <c r="CA46" s="220" t="str">
        <f>'[1]LS Core'!C42</f>
        <v>English</v>
      </c>
      <c r="CB46" s="236" t="str">
        <f>'[1]LS Core'!D42</f>
        <v>ENG 3770  Caribbean Women Writers (D)</v>
      </c>
      <c r="CC46" s="29"/>
      <c r="CI46" s="126"/>
      <c r="CJ46" s="239"/>
      <c r="CN46" s="220" t="str">
        <f>'[1]LS Core'!K42</f>
        <v xml:space="preserve">Political Science </v>
      </c>
      <c r="CO46" s="236" t="str">
        <f>'[1]LS Core'!L42</f>
        <v>POL 2581  Political Thought:  Plato to Machiavelli </v>
      </c>
      <c r="IR46" s="1"/>
      <c r="IS46" s="1"/>
      <c r="IT46" s="1"/>
      <c r="IU46" s="1"/>
      <c r="IV46" s="1"/>
    </row>
    <row r="47" spans="1:256" ht="15.6">
      <c r="A47" s="126"/>
      <c r="B47" s="165"/>
      <c r="C47" s="165"/>
      <c r="D47" s="165"/>
      <c r="E47" s="165"/>
      <c r="F47" s="165"/>
      <c r="G47" s="76"/>
      <c r="H47" s="74"/>
      <c r="I47" s="70"/>
      <c r="J47" s="70"/>
      <c r="K47" s="7"/>
      <c r="L47" s="11"/>
      <c r="M47" s="7"/>
      <c r="N47" s="1"/>
      <c r="CA47" s="220" t="str">
        <f>'[1]LS Core'!C43</f>
        <v>English</v>
      </c>
      <c r="CB47" s="236" t="str">
        <f>'[1]LS Core'!D43</f>
        <v>ENG 3780  Poets of New England</v>
      </c>
      <c r="CC47" s="29"/>
      <c r="CI47" s="126"/>
      <c r="CJ47" s="239"/>
      <c r="CN47" s="220" t="str">
        <f>'[1]LS Core'!K43</f>
        <v xml:space="preserve">Political Science </v>
      </c>
      <c r="CO47" s="236" t="str">
        <f>'[1]LS Core'!L43</f>
        <v>POL 2582  Political Thought: Machiavelli to Marx</v>
      </c>
      <c r="IR47" s="1"/>
      <c r="IS47" s="1"/>
      <c r="IT47" s="1"/>
      <c r="IU47" s="1"/>
      <c r="IV47" s="1"/>
    </row>
    <row r="48" spans="1:256" ht="13.95" customHeight="1">
      <c r="A48" s="125" t="s">
        <v>1</v>
      </c>
      <c r="B48" s="165"/>
      <c r="C48" s="165"/>
      <c r="D48" s="165"/>
      <c r="E48" s="165"/>
      <c r="F48" s="165"/>
      <c r="G48" s="73" t="s">
        <v>294</v>
      </c>
      <c r="H48" s="74"/>
      <c r="I48" s="51"/>
      <c r="J48" s="51"/>
      <c r="K48" s="4"/>
      <c r="L48" s="10"/>
      <c r="M48" s="4"/>
      <c r="CA48" s="220" t="str">
        <f>'[1]LS Core'!C44</f>
        <v>English</v>
      </c>
      <c r="CB48" s="236" t="str">
        <f>'[1]LS Core'!D44</f>
        <v>ENG 3790  Poe, Hawthorne, and the American Short Story</v>
      </c>
      <c r="CC48" s="29"/>
      <c r="CI48" s="126"/>
      <c r="CJ48" s="236"/>
      <c r="CN48" s="220" t="str">
        <f>'[1]LS Core'!K44</f>
        <v xml:space="preserve">Political Science </v>
      </c>
      <c r="CO48" s="236" t="str">
        <f>'[1]LS Core'!L44</f>
        <v>POL 3112  Congress and the Legislative Process</v>
      </c>
      <c r="IR48" s="1"/>
      <c r="IS48" s="1"/>
      <c r="IT48" s="1"/>
      <c r="IU48" s="1"/>
      <c r="IV48" s="1"/>
    </row>
    <row r="49" spans="1:256" ht="15.75" customHeight="1">
      <c r="A49" s="126"/>
      <c r="B49" s="165"/>
      <c r="C49" s="165"/>
      <c r="D49" s="165"/>
      <c r="E49" s="165"/>
      <c r="F49" s="165"/>
      <c r="G49" s="75" t="s">
        <v>130</v>
      </c>
      <c r="H49" s="74" t="s">
        <v>384</v>
      </c>
      <c r="I49" s="51"/>
      <c r="J49" s="51">
        <v>4</v>
      </c>
      <c r="K49" s="4"/>
      <c r="L49" s="10"/>
      <c r="M49" s="4"/>
      <c r="BC49" t="s">
        <v>178</v>
      </c>
      <c r="CA49" s="220" t="str">
        <f>'[1]LS Core'!C45</f>
        <v>English</v>
      </c>
      <c r="CB49" s="236" t="str">
        <f>'[1]LS Core'!D45</f>
        <v>ENG 3800  Post-Colonial Literature (D)</v>
      </c>
      <c r="CC49" s="29"/>
      <c r="CI49" s="126"/>
      <c r="CJ49" s="239"/>
      <c r="CN49" s="220" t="str">
        <f>'[1]LS Core'!K45</f>
        <v xml:space="preserve">Political Science </v>
      </c>
      <c r="CO49" s="236" t="str">
        <f>'[1]LS Core'!L45</f>
        <v>POL 3113  American Presidency</v>
      </c>
      <c r="IR49" s="1"/>
      <c r="IS49" s="1"/>
      <c r="IT49" s="1"/>
      <c r="IU49" s="1"/>
      <c r="IV49" s="1"/>
    </row>
    <row r="50" spans="1:256" ht="15.75" customHeight="1">
      <c r="A50" s="126"/>
      <c r="B50" s="165"/>
      <c r="C50" s="165"/>
      <c r="D50" s="165"/>
      <c r="E50" s="165"/>
      <c r="F50" s="165"/>
      <c r="G50" s="75"/>
      <c r="H50" s="74" t="s">
        <v>385</v>
      </c>
      <c r="I50" s="51"/>
      <c r="J50" s="51">
        <v>4</v>
      </c>
      <c r="K50" s="4"/>
      <c r="L50" s="10"/>
      <c r="M50" s="4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 t="str">
        <f>BE15</f>
        <v>Elective (course here)</v>
      </c>
      <c r="BF50" s="2">
        <f>BF15</f>
        <v>4</v>
      </c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20" t="str">
        <f>'[1]LS Core'!C46</f>
        <v>English</v>
      </c>
      <c r="CB50" s="236" t="str">
        <f>'[1]LS Core'!D46</f>
        <v>ENG 3810  American Literature by Women of Color (D)</v>
      </c>
      <c r="CC50" s="29"/>
      <c r="CD50" s="2"/>
      <c r="CE50" s="2"/>
      <c r="CF50" s="2"/>
      <c r="CG50" s="2"/>
      <c r="CH50" s="2"/>
      <c r="CI50" s="126"/>
      <c r="CJ50" s="239"/>
      <c r="CK50" s="2"/>
      <c r="CL50" s="2"/>
      <c r="CM50" s="2"/>
      <c r="CN50" s="220" t="str">
        <f>'[1]LS Core'!K46</f>
        <v xml:space="preserve">Political Science </v>
      </c>
      <c r="CO50" s="236" t="str">
        <f>'[1]LS Core'!L46</f>
        <v>POL 3114  Political Parties and Interest Groups</v>
      </c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</row>
    <row r="51" spans="1:256" ht="15.75" customHeight="1">
      <c r="A51" s="126"/>
      <c r="B51" s="165"/>
      <c r="C51" s="165"/>
      <c r="D51" s="165"/>
      <c r="E51" s="165"/>
      <c r="F51" s="165"/>
      <c r="G51" s="331"/>
      <c r="H51" s="74"/>
      <c r="I51" s="51"/>
      <c r="J51" s="51"/>
      <c r="K51" s="4"/>
      <c r="L51" s="10"/>
      <c r="M51" s="4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 t="str">
        <f>BE13</f>
        <v>CEN 4901</v>
      </c>
      <c r="BF51" s="1">
        <f>BF13+2</f>
        <v>6</v>
      </c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220" t="str">
        <f>'[1]LS Core'!C47</f>
        <v>English</v>
      </c>
      <c r="CB51" s="236" t="str">
        <f>'[1]LS Core'!D47</f>
        <v>ENG 3820 Twentieth-Century Drama and Performance by Women (D)</v>
      </c>
      <c r="CC51" s="29"/>
      <c r="CD51" s="1"/>
      <c r="CE51" s="1"/>
      <c r="CF51" s="1"/>
      <c r="CG51" s="1"/>
      <c r="CH51" s="1"/>
      <c r="CI51" s="126"/>
      <c r="CJ51" s="239"/>
      <c r="CK51" s="1"/>
      <c r="CL51" s="1"/>
      <c r="CM51" s="1"/>
      <c r="CN51" s="220" t="str">
        <f>'[1]LS Core'!K47</f>
        <v xml:space="preserve">Political Science </v>
      </c>
      <c r="CO51" s="236" t="str">
        <f>'[1]LS Core'!L47</f>
        <v>POL 3122  Issues in Public Policy</v>
      </c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ht="15.75" customHeight="1">
      <c r="A52" s="126"/>
      <c r="B52" s="165"/>
      <c r="C52" s="165"/>
      <c r="D52" s="165"/>
      <c r="E52" s="165"/>
      <c r="F52" s="165"/>
      <c r="G52" s="73" t="s">
        <v>295</v>
      </c>
      <c r="K52" s="4"/>
      <c r="L52" s="10"/>
      <c r="M52" s="4"/>
      <c r="N52" s="2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220" t="str">
        <f>'[1]LS Core'!C48</f>
        <v>English</v>
      </c>
      <c r="CB52" s="236" t="str">
        <f>'[1]LS Core'!D48</f>
        <v>ENG 3830  American Indian Renaissance (D)</v>
      </c>
      <c r="CC52" s="29"/>
      <c r="CD52" s="1"/>
      <c r="CE52" s="1"/>
      <c r="CF52" s="1"/>
      <c r="CG52" s="1"/>
      <c r="CH52" s="1"/>
      <c r="CI52" s="126"/>
      <c r="CJ52" s="239"/>
      <c r="CK52" s="1"/>
      <c r="CL52" s="1"/>
      <c r="CM52" s="1"/>
      <c r="CN52" s="220" t="str">
        <f>'[1]LS Core'!K48</f>
        <v xml:space="preserve">Political Science </v>
      </c>
      <c r="CO52" s="236" t="str">
        <f>'[1]LS Core'!L48</f>
        <v>POL 3130  Campaigns and Elections</v>
      </c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ht="15.75" customHeight="1">
      <c r="A53" s="126"/>
      <c r="B53" s="165"/>
      <c r="C53" s="165"/>
      <c r="D53" s="165"/>
      <c r="E53" s="165"/>
      <c r="F53" s="165"/>
      <c r="G53" s="77"/>
      <c r="H53" s="74" t="s">
        <v>312</v>
      </c>
      <c r="I53" s="51"/>
      <c r="J53" s="51">
        <v>4</v>
      </c>
      <c r="K53" s="4"/>
      <c r="L53" s="10"/>
      <c r="M53" s="4"/>
      <c r="N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220" t="str">
        <f>'[1]LS Core'!C49</f>
        <v>English</v>
      </c>
      <c r="CB53" s="236" t="str">
        <f>'[1]LS Core'!D49</f>
        <v>ENG 3850  Twentieth-Century Caribbean Writers (D)</v>
      </c>
      <c r="CC53" s="29"/>
      <c r="CD53" s="1"/>
      <c r="CE53" s="1"/>
      <c r="CF53" s="1"/>
      <c r="CG53" s="1"/>
      <c r="CH53" s="1"/>
      <c r="CI53" s="126"/>
      <c r="CJ53" s="239"/>
      <c r="CK53" s="1"/>
      <c r="CL53" s="1"/>
      <c r="CM53" s="1"/>
      <c r="CN53" s="220" t="str">
        <f>'[1]LS Core'!K49</f>
        <v xml:space="preserve">Political Science </v>
      </c>
      <c r="CO53" s="236" t="str">
        <f>'[1]LS Core'!L49</f>
        <v>POL 3131  Polling and Public Opinion</v>
      </c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ht="15.6">
      <c r="A54" s="126"/>
      <c r="B54" s="165"/>
      <c r="C54" s="165"/>
      <c r="D54" s="165"/>
      <c r="E54" s="165"/>
      <c r="F54" s="165"/>
      <c r="G54" s="77"/>
      <c r="H54" s="74" t="s">
        <v>313</v>
      </c>
      <c r="I54" s="51"/>
      <c r="J54" s="51">
        <v>4</v>
      </c>
      <c r="K54" s="4"/>
      <c r="L54" s="10"/>
      <c r="M54" s="4"/>
      <c r="N54" s="1"/>
      <c r="CA54" s="220" t="str">
        <f>'[1]LS Core'!C50</f>
        <v>English</v>
      </c>
      <c r="CB54" s="236" t="str">
        <f>'[1]LS Core'!D50</f>
        <v>ENG 3860  Italian-American Women Writers (D)</v>
      </c>
      <c r="CC54" s="29"/>
      <c r="CI54" s="126"/>
      <c r="CJ54" s="242"/>
      <c r="CN54" s="220" t="str">
        <f>'[1]LS Core'!K50</f>
        <v xml:space="preserve">Political Science </v>
      </c>
      <c r="CO54" s="236" t="str">
        <f>'[1]LS Core'!L50</f>
        <v>POL 3132  Political Psychology</v>
      </c>
    </row>
    <row r="55" spans="1:256" ht="15.6">
      <c r="A55" s="126"/>
      <c r="B55" s="165"/>
      <c r="C55" s="165"/>
      <c r="D55" s="165"/>
      <c r="E55" s="165"/>
      <c r="F55" s="165"/>
      <c r="G55" s="331"/>
      <c r="H55" s="74"/>
      <c r="I55" s="51"/>
      <c r="J55" s="51"/>
      <c r="K55" s="4"/>
      <c r="L55" s="10"/>
      <c r="M55" s="4"/>
      <c r="N55" s="1"/>
      <c r="CA55" s="220" t="str">
        <f>'[1]LS Core'!C51</f>
        <v>English</v>
      </c>
      <c r="CB55" s="236" t="str">
        <f>'[1]LS Core'!D51</f>
        <v>ENG 3870  Literature of the Harlem Renaissance</v>
      </c>
      <c r="CC55" s="29"/>
      <c r="CI55" s="126"/>
      <c r="CJ55" s="239"/>
      <c r="CN55" s="220" t="str">
        <f>'[1]LS Core'!K51</f>
        <v xml:space="preserve">Political Science </v>
      </c>
      <c r="CO55" s="236" t="str">
        <f>'[1]LS Core'!L51</f>
        <v>POL 3140  Mass Media and American Politics</v>
      </c>
    </row>
    <row r="56" spans="1:256" ht="15.6">
      <c r="A56" s="130"/>
      <c r="B56" s="197"/>
      <c r="C56" s="197"/>
      <c r="D56" s="197"/>
      <c r="E56" s="197"/>
      <c r="F56" s="102"/>
      <c r="G56" s="78" t="s">
        <v>296</v>
      </c>
      <c r="K56" s="4"/>
      <c r="L56" s="10"/>
      <c r="M56" s="4"/>
      <c r="N56" s="1"/>
      <c r="CA56" s="220" t="str">
        <f>'[1]LS Core'!C52</f>
        <v>English</v>
      </c>
      <c r="CB56" s="236" t="str">
        <f>'[1]LS Core'!D52</f>
        <v>ENG 3900  Creative Writing: Fiction</v>
      </c>
      <c r="CC56" s="29"/>
      <c r="CI56" s="126"/>
      <c r="CJ56" s="239"/>
      <c r="CN56" s="220" t="str">
        <f>'[1]LS Core'!K52</f>
        <v xml:space="preserve">Political Science </v>
      </c>
      <c r="CO56" s="236" t="str">
        <f>'[1]LS Core'!L52</f>
        <v>POL 3141  Political Communication</v>
      </c>
    </row>
    <row r="57" spans="1:256" ht="16.2" thickBot="1">
      <c r="A57" s="100"/>
      <c r="B57" s="197"/>
      <c r="C57" s="197"/>
      <c r="D57" s="197"/>
      <c r="E57" s="197"/>
      <c r="F57" s="102"/>
      <c r="G57" s="78"/>
      <c r="H57" s="74" t="s">
        <v>314</v>
      </c>
      <c r="I57" s="51"/>
      <c r="J57" s="51">
        <v>4</v>
      </c>
      <c r="K57" s="4"/>
      <c r="L57" s="10"/>
      <c r="M57" s="4"/>
      <c r="N57" s="1"/>
      <c r="CA57" s="220" t="str">
        <f>'[1]LS Core'!C53</f>
        <v>English</v>
      </c>
      <c r="CB57" s="236" t="str">
        <f>'[1]LS Core'!D53</f>
        <v>ENG 3910  Writing the Graphic Novel</v>
      </c>
      <c r="CC57" s="29"/>
      <c r="CI57" s="240"/>
      <c r="CJ57" s="241"/>
      <c r="CN57" s="220" t="str">
        <f>'[1]LS Core'!K53</f>
        <v xml:space="preserve">Political Science </v>
      </c>
      <c r="CO57" s="236" t="str">
        <f>'[1]LS Core'!L53</f>
        <v>POL 3150  Criminal Law</v>
      </c>
    </row>
    <row r="58" spans="1:256" ht="15" customHeight="1">
      <c r="A58" s="256" t="s">
        <v>318</v>
      </c>
      <c r="B58" s="257"/>
      <c r="C58" s="257"/>
      <c r="D58" s="257"/>
      <c r="E58" s="257"/>
      <c r="F58" s="99"/>
      <c r="G58" s="77"/>
      <c r="H58" s="74" t="s">
        <v>315</v>
      </c>
      <c r="I58" s="51"/>
      <c r="J58" s="51">
        <v>4</v>
      </c>
      <c r="K58" s="4"/>
      <c r="L58" s="54"/>
      <c r="M58" s="53"/>
      <c r="N58" s="1"/>
      <c r="CA58" s="220" t="str">
        <f>'[1]LS Core'!C54</f>
        <v>English</v>
      </c>
      <c r="CB58" s="236" t="str">
        <f>'[1]LS Core'!D54</f>
        <v>ENG 3920  Creative Writing: Poetry</v>
      </c>
      <c r="CC58" s="29"/>
      <c r="CN58" s="220" t="str">
        <f>'[1]LS Core'!K54</f>
        <v xml:space="preserve">Political Science </v>
      </c>
      <c r="CO58" s="236" t="str">
        <f>'[1]LS Core'!L54</f>
        <v>POL 3151  American Constitutional Law</v>
      </c>
    </row>
    <row r="59" spans="1:256" ht="15.6">
      <c r="A59" s="258"/>
      <c r="B59" s="259"/>
      <c r="C59" s="259"/>
      <c r="D59" s="259"/>
      <c r="E59" s="259"/>
      <c r="F59" s="102"/>
      <c r="G59" s="78"/>
      <c r="H59" s="74" t="s">
        <v>180</v>
      </c>
      <c r="I59" s="65"/>
      <c r="J59" s="65">
        <v>4</v>
      </c>
      <c r="K59" s="4"/>
      <c r="L59" s="54"/>
      <c r="M59" s="53"/>
      <c r="CA59" s="220" t="str">
        <f>'[1]LS Core'!C55</f>
        <v>English</v>
      </c>
      <c r="CB59" s="236" t="str">
        <f>'[1]LS Core'!D55</f>
        <v>ENG 4000  Advanced Creative Writing Workshop</v>
      </c>
      <c r="CC59" s="29"/>
      <c r="CN59" s="220" t="str">
        <f>'[1]LS Core'!K55</f>
        <v xml:space="preserve">Political Science </v>
      </c>
      <c r="CO59" s="236" t="str">
        <f>'[1]LS Core'!L55</f>
        <v>POL 3152  Civil Liberties and Civil Rights (D)</v>
      </c>
    </row>
    <row r="60" spans="1:256" ht="15" customHeight="1">
      <c r="A60" s="265" t="s">
        <v>319</v>
      </c>
      <c r="B60" s="266"/>
      <c r="C60" s="268" t="s">
        <v>309</v>
      </c>
      <c r="D60" s="266"/>
      <c r="E60" s="266"/>
      <c r="F60" s="269"/>
      <c r="H60" s="74"/>
      <c r="I60" s="65"/>
      <c r="J60" s="65"/>
      <c r="K60" s="53"/>
      <c r="L60" s="54"/>
      <c r="M60" s="53"/>
      <c r="CA60" s="220" t="str">
        <f>'[1]LS Core'!C56</f>
        <v>English</v>
      </c>
      <c r="CB60" s="236" t="str">
        <f>'[1]LS Core'!D56</f>
        <v>ENG 4100  Seminar: King Arthur in Victorian England</v>
      </c>
      <c r="CC60" s="29"/>
      <c r="CN60" s="220" t="str">
        <f>'[1]LS Core'!K56</f>
        <v xml:space="preserve">Political Science </v>
      </c>
      <c r="CO60" s="236" t="str">
        <f>'[1]LS Core'!L56</f>
        <v>POL 3160  United States Foreign Policy</v>
      </c>
    </row>
    <row r="61" spans="1:256" ht="15" customHeight="1">
      <c r="A61" s="267" t="s">
        <v>320</v>
      </c>
      <c r="B61" s="266"/>
      <c r="C61" s="266" t="s">
        <v>310</v>
      </c>
      <c r="D61" s="266"/>
      <c r="E61" s="266"/>
      <c r="F61" s="269"/>
      <c r="G61" s="78" t="s">
        <v>210</v>
      </c>
      <c r="I61" s="65"/>
      <c r="J61" s="65"/>
      <c r="K61" s="53"/>
      <c r="L61" s="54"/>
      <c r="M61" s="53"/>
      <c r="CA61" s="220" t="str">
        <f>'[1]LS Core'!C57</f>
        <v>English</v>
      </c>
      <c r="CB61" s="236" t="str">
        <f>'[1]LS Core'!D57</f>
        <v>ENG 4160  Seminar: Readers, Writers, and Books</v>
      </c>
      <c r="CC61" s="29"/>
      <c r="CN61" s="220" t="str">
        <f>'[1]LS Core'!K57</f>
        <v xml:space="preserve">Political Science </v>
      </c>
      <c r="CO61" s="236" t="str">
        <f>'[1]LS Core'!L57</f>
        <v>POL 3520  Modern China (D)</v>
      </c>
    </row>
    <row r="62" spans="1:256" ht="15" customHeight="1">
      <c r="A62" s="267" t="s">
        <v>321</v>
      </c>
      <c r="B62" s="266"/>
      <c r="C62" s="266" t="s">
        <v>307</v>
      </c>
      <c r="D62" s="266"/>
      <c r="E62" s="266"/>
      <c r="F62" s="269"/>
      <c r="G62" s="77"/>
      <c r="H62" s="184" t="s">
        <v>211</v>
      </c>
      <c r="K62" s="53"/>
      <c r="L62" s="54"/>
      <c r="M62" s="53"/>
      <c r="CA62" s="220" t="str">
        <f>'[1]LS Core'!C58</f>
        <v>History</v>
      </c>
      <c r="CB62" s="236" t="str">
        <f>'[1]LS Core'!D58</f>
        <v>HIS 3326  History of American Architecture</v>
      </c>
      <c r="CC62" s="29"/>
      <c r="CN62" s="220" t="str">
        <f>'[1]LS Core'!K58</f>
        <v xml:space="preserve">Political Science </v>
      </c>
      <c r="CO62" s="236" t="str">
        <f>'[1]LS Core'!L58</f>
        <v>POL 3521  Latin American Politics (D)</v>
      </c>
    </row>
    <row r="63" spans="1:256" ht="15" customHeight="1">
      <c r="A63" s="267" t="s">
        <v>308</v>
      </c>
      <c r="B63" s="266"/>
      <c r="C63" s="196"/>
      <c r="D63" s="196"/>
      <c r="E63" s="196"/>
      <c r="F63" s="150"/>
      <c r="G63" s="77"/>
      <c r="H63" s="74" t="s">
        <v>181</v>
      </c>
      <c r="I63" s="65"/>
      <c r="J63" s="65">
        <v>4</v>
      </c>
      <c r="K63" s="53"/>
      <c r="L63" s="54"/>
      <c r="M63" s="53"/>
      <c r="CA63" s="220" t="str">
        <f>'[1]LS Core'!C59</f>
        <v xml:space="preserve">Humanities </v>
      </c>
      <c r="CB63" s="236" t="str">
        <f>'[1]LS Core'!D59</f>
        <v>HUM 1010  Stories of Ancient Greece</v>
      </c>
      <c r="CC63" s="218"/>
      <c r="CN63" s="220" t="str">
        <f>'[1]LS Core'!K59</f>
        <v xml:space="preserve">Political Science </v>
      </c>
      <c r="CO63" s="236" t="str">
        <f>'[1]LS Core'!L59</f>
        <v>POL 3522  British Politics</v>
      </c>
    </row>
    <row r="64" spans="1:256" ht="16.2" thickBot="1">
      <c r="A64" s="103"/>
      <c r="B64" s="104"/>
      <c r="C64" s="104"/>
      <c r="D64" s="104"/>
      <c r="E64" s="104"/>
      <c r="F64" s="105"/>
      <c r="G64" s="79"/>
      <c r="H64" s="80" t="s">
        <v>182</v>
      </c>
      <c r="I64" s="81"/>
      <c r="J64" s="81">
        <v>4</v>
      </c>
      <c r="K64" s="82"/>
      <c r="L64" s="83"/>
      <c r="M64" s="53"/>
      <c r="CA64" s="220" t="str">
        <f>'[1]LS Core'!C60</f>
        <v xml:space="preserve">Humanities </v>
      </c>
      <c r="CB64" s="236" t="str">
        <f>'[1]LS Core'!D60</f>
        <v>HUM 1020  Medieval Europe</v>
      </c>
      <c r="CC64" s="218"/>
      <c r="CN64" s="220" t="str">
        <f>'[1]LS Core'!K60</f>
        <v xml:space="preserve">Political Science </v>
      </c>
      <c r="CO64" s="236" t="str">
        <f>'[1]LS Core'!L60</f>
        <v>POL 3523  Japanese Politics (D)</v>
      </c>
    </row>
    <row r="65" spans="1:93" ht="15.6">
      <c r="A65" s="53"/>
      <c r="B65" s="53"/>
      <c r="C65" s="53"/>
      <c r="D65" s="53"/>
      <c r="E65" s="53"/>
      <c r="F65" s="53"/>
      <c r="G65" s="65"/>
      <c r="H65" s="65"/>
      <c r="I65" s="65"/>
      <c r="J65" s="65"/>
      <c r="K65" s="53"/>
      <c r="L65" s="53"/>
      <c r="M65" s="53"/>
      <c r="CA65" s="220" t="str">
        <f>'[1]LS Core'!C61</f>
        <v xml:space="preserve">Humanities </v>
      </c>
      <c r="CB65" s="236" t="str">
        <f>'[1]LS Core'!D61</f>
        <v>HUM 2010  Approaching Modernism</v>
      </c>
      <c r="CC65" s="29"/>
      <c r="CN65" s="220" t="str">
        <f>'[1]LS Core'!K61</f>
        <v xml:space="preserve">Political Science </v>
      </c>
      <c r="CO65" s="236" t="str">
        <f>'[1]LS Core'!L61</f>
        <v>POL 3524  Politics of the Russia and Post-Soviet States</v>
      </c>
    </row>
    <row r="66" spans="1:93" ht="15.6">
      <c r="G66" s="6"/>
      <c r="H66" s="6"/>
      <c r="I66" s="6"/>
      <c r="J66" s="6"/>
      <c r="CA66" s="220" t="str">
        <f>'[1]LS Core'!C62</f>
        <v xml:space="preserve">Humanities </v>
      </c>
      <c r="CB66" s="236" t="str">
        <f>'[1]LS Core'!D62</f>
        <v>HUM 2020  Approaching Postmodernism</v>
      </c>
      <c r="CC66" s="29"/>
      <c r="CN66" s="220" t="str">
        <f>'[1]LS Core'!K62</f>
        <v xml:space="preserve">Political Science </v>
      </c>
      <c r="CO66" s="236" t="str">
        <f>'[1]LS Core'!L62</f>
        <v>POL 3525  Politics of the Middle East (D)</v>
      </c>
    </row>
    <row r="67" spans="1:93" ht="15.6">
      <c r="CA67" s="220" t="str">
        <f>'[1]LS Core'!C63</f>
        <v>Religious and Theological Studies</v>
      </c>
      <c r="CB67" s="236" t="str">
        <f>'[1]LS Core'!D63</f>
        <v>RTS 2200  Introduction to Hebrew Scripture</v>
      </c>
      <c r="CC67" s="29"/>
      <c r="CN67" s="220" t="str">
        <f>'[1]LS Core'!K63</f>
        <v xml:space="preserve">Political Science </v>
      </c>
      <c r="CO67" s="236" t="str">
        <f>'[1]LS Core'!L63</f>
        <v>POL 3526  Politics of the European Union</v>
      </c>
    </row>
    <row r="68" spans="1:93" ht="15.6">
      <c r="CA68" s="220" t="str">
        <f>'[1]LS Core'!C64</f>
        <v>Religious and Theological Studies</v>
      </c>
      <c r="CB68" s="236" t="str">
        <f>'[1]LS Core'!D64</f>
        <v>RTS 2300  Introduction to the New Testament</v>
      </c>
      <c r="CC68" s="29"/>
      <c r="CN68" s="220" t="str">
        <f>'[1]LS Core'!K64</f>
        <v xml:space="preserve">Political Science </v>
      </c>
      <c r="CO68" s="236" t="str">
        <f>'[1]LS Core'!L64</f>
        <v>POL 3530  Comparative Foreign Policies</v>
      </c>
    </row>
    <row r="69" spans="1:93" ht="15" customHeight="1">
      <c r="CA69" s="220" t="str">
        <f>'[1]LS Core'!C65</f>
        <v>Religious and Theological Studies</v>
      </c>
      <c r="CB69" s="236" t="str">
        <f>'[1]LS Core'!D65</f>
        <v>RTS 3350  Reading Scripture after the Holocaust (D)</v>
      </c>
      <c r="CC69" s="218"/>
      <c r="CN69" s="220" t="str">
        <f>'[1]LS Core'!K65</f>
        <v xml:space="preserve">Political Science </v>
      </c>
      <c r="CO69" s="236" t="str">
        <f>'[1]LS Core'!L65</f>
        <v>POL 3531  Politics of Developing Nations</v>
      </c>
    </row>
    <row r="70" spans="1:93" ht="15.6">
      <c r="CA70" s="220" t="str">
        <f>'[1]LS Core'!C66</f>
        <v>Visual and Performing Arts</v>
      </c>
      <c r="CB70" s="236" t="str">
        <f>'[1]LS Core'!D66</f>
        <v xml:space="preserve">FAA 1210  Basic Drawing I </v>
      </c>
      <c r="CC70" s="218"/>
      <c r="CN70" s="220" t="str">
        <f>'[1]LS Core'!K66</f>
        <v xml:space="preserve">Political Science </v>
      </c>
      <c r="CO70" s="236" t="str">
        <f>'[1]LS Core'!L66</f>
        <v>POL 3540  International Political Economy</v>
      </c>
    </row>
    <row r="71" spans="1:93" ht="15.6">
      <c r="CA71" s="220" t="str">
        <f>'[1]LS Core'!C67</f>
        <v>Visual and Performing Arts</v>
      </c>
      <c r="CB71" s="236" t="str">
        <f>'[1]LS Core'!D67</f>
        <v>FAA 1230  2-Dimensional Design</v>
      </c>
      <c r="CC71" s="29"/>
      <c r="CN71" s="220" t="str">
        <f>'[1]LS Core'!K67</f>
        <v xml:space="preserve">Political Science </v>
      </c>
      <c r="CO71" s="236" t="str">
        <f>'[1]LS Core'!L67</f>
        <v>POL 4199  Women and Politics (D)</v>
      </c>
    </row>
    <row r="72" spans="1:93" ht="15.6">
      <c r="CA72" s="220" t="str">
        <f>'[1]LS Core'!C68</f>
        <v>Visual and Performing Arts</v>
      </c>
      <c r="CB72" s="236" t="str">
        <f>'[1]LS Core'!D68</f>
        <v>FAA 1270  Basic Painting I</v>
      </c>
      <c r="CC72" s="29"/>
      <c r="CN72" s="220" t="str">
        <f>'[1]LS Core'!K68</f>
        <v>Psychology</v>
      </c>
      <c r="CO72" s="236" t="str">
        <f>'[1]LS Core'!L68</f>
        <v>PSY 1000  Introduction to Psychology</v>
      </c>
    </row>
    <row r="73" spans="1:93" ht="15.6">
      <c r="CA73" s="220" t="str">
        <f>'[1]LS Core'!C69</f>
        <v>Visual and Performing Arts</v>
      </c>
      <c r="CB73" s="236" t="str">
        <f>'[1]LS Core'!D69</f>
        <v>FAA 1310  The Nature of Music: Music and the Environment</v>
      </c>
      <c r="CC73" s="29"/>
      <c r="CN73" s="220" t="str">
        <f>'[1]LS Core'!K69</f>
        <v>Psychology</v>
      </c>
      <c r="CO73" s="236" t="str">
        <f>'[1]LS Core'!L69</f>
        <v>PSY 2200  Social Psychology</v>
      </c>
    </row>
    <row r="74" spans="1:93" ht="15.6">
      <c r="CA74" s="220" t="str">
        <f>'[1]LS Core'!C70</f>
        <v>Visual and Performing Arts</v>
      </c>
      <c r="CB74" s="236" t="str">
        <f>'[1]LS Core'!D70</f>
        <v>FAA 1320  History of Rock &amp; Roll</v>
      </c>
      <c r="CC74" s="29"/>
      <c r="CN74" s="220" t="str">
        <f>'[1]LS Core'!K70</f>
        <v>Psychology</v>
      </c>
      <c r="CO74" s="236" t="str">
        <f>'[1]LS Core'!L70</f>
        <v>PSY 2280  Organizational Psychology</v>
      </c>
    </row>
    <row r="75" spans="1:93" ht="15.6">
      <c r="CA75" s="220" t="str">
        <f>'[1]LS Core'!C71</f>
        <v>Visual and Performing Arts</v>
      </c>
      <c r="CB75" s="236" t="str">
        <f>'[1]LS Core'!D71</f>
        <v>FAA 1330  Survey of American Music</v>
      </c>
      <c r="CC75" s="218"/>
      <c r="CN75" s="220" t="str">
        <f>'[1]LS Core'!K71</f>
        <v>Psychology</v>
      </c>
      <c r="CO75" s="236" t="str">
        <f>'[1]LS Core'!L71</f>
        <v>PSY 2300  Developmental Psychology</v>
      </c>
    </row>
    <row r="76" spans="1:93" ht="15.6">
      <c r="CA76" s="220" t="str">
        <f>'[1]LS Core'!C72</f>
        <v>Visual and Performing Arts</v>
      </c>
      <c r="CB76" s="236" t="str">
        <f>'[1]LS Core'!D72</f>
        <v>FAA 1510  Acting I</v>
      </c>
      <c r="CC76" s="29"/>
      <c r="CN76" s="220" t="str">
        <f>'[1]LS Core'!K72</f>
        <v>Psychology</v>
      </c>
      <c r="CO76" s="236" t="str">
        <f>'[1]LS Core'!L72</f>
        <v>PSY 2310  Lifespan Psychology</v>
      </c>
    </row>
    <row r="77" spans="1:93" ht="15.6">
      <c r="CA77" s="220" t="str">
        <f>'[1]LS Core'!C73</f>
        <v>Visual and Performing Arts</v>
      </c>
      <c r="CB77" s="236" t="str">
        <f>'[1]LS Core'!D73</f>
        <v>FAA 1520  Voice for Stage</v>
      </c>
      <c r="CC77" s="29"/>
      <c r="CN77" s="220" t="str">
        <f>'[1]LS Core'!K73</f>
        <v>Psychology</v>
      </c>
      <c r="CO77" s="236" t="str">
        <f>'[1]LS Core'!L73</f>
        <v>PSY 2400  Personality</v>
      </c>
    </row>
    <row r="78" spans="1:93" ht="15.6">
      <c r="CA78" s="220" t="str">
        <f>'[1]LS Core'!C74</f>
        <v>Visual and Performing Arts</v>
      </c>
      <c r="CB78" s="236" t="str">
        <f>'[1]LS Core'!D74</f>
        <v>FAA 1550  The Curtain Calls: An Introduction to Theatre for Everyone</v>
      </c>
      <c r="CC78" s="29"/>
      <c r="CN78" s="220" t="str">
        <f>'[1]LS Core'!K74</f>
        <v>Psychology</v>
      </c>
      <c r="CO78" s="236" t="str">
        <f>'[1]LS Core'!L74</f>
        <v>PSY 2420  Psychology of Sex Differences</v>
      </c>
    </row>
    <row r="79" spans="1:93" ht="15.6">
      <c r="CA79" s="220" t="str">
        <f>'[1]LS Core'!C75</f>
        <v>Visual and Performing Arts</v>
      </c>
      <c r="CB79" s="236" t="str">
        <f>'[1]LS Core'!D75</f>
        <v>FAA 1600  Inside Art: Art History for Everyone</v>
      </c>
      <c r="CC79" s="29"/>
      <c r="CN79" s="220" t="str">
        <f>'[1]LS Core'!K75</f>
        <v>Psychology</v>
      </c>
      <c r="CO79" s="236" t="str">
        <f>'[1]LS Core'!L75</f>
        <v>PSY 2450  Love, Sex and Relationships</v>
      </c>
    </row>
    <row r="80" spans="1:93" ht="15.6">
      <c r="CA80" s="220" t="str">
        <f>'[1]LS Core'!C76</f>
        <v>Visual and Performing Arts</v>
      </c>
      <c r="CB80" s="236" t="str">
        <f>'[1]LS Core'!D76</f>
        <v>FAA 1610  Art History I: Prehistory to the Renaissance</v>
      </c>
      <c r="CC80" s="29"/>
      <c r="CN80" s="220" t="str">
        <f>'[1]LS Core'!K76</f>
        <v>Psychology</v>
      </c>
      <c r="CO80" s="236" t="str">
        <f>'[1]LS Core'!L76</f>
        <v>PSY 3110  Sensation and Perception</v>
      </c>
    </row>
    <row r="81" spans="79:93" ht="15.6">
      <c r="CA81" s="220" t="str">
        <f>'[1]LS Core'!C77</f>
        <v>Visual and Performing Arts</v>
      </c>
      <c r="CB81" s="236" t="str">
        <f>'[1]LS Core'!D77</f>
        <v>FAA 1620  Art History II: The Renaissance to the Present</v>
      </c>
      <c r="CC81" s="29"/>
      <c r="CN81" s="220" t="str">
        <f>'[1]LS Core'!K77</f>
        <v>Psychology</v>
      </c>
      <c r="CO81" s="236" t="str">
        <f>'[1]LS Core'!L77</f>
        <v>PSY 3120  Cognitive Psychology</v>
      </c>
    </row>
    <row r="82" spans="79:93" ht="15.6">
      <c r="CA82" s="220" t="str">
        <f>'[1]LS Core'!C78</f>
        <v>Visual and Performing Arts</v>
      </c>
      <c r="CB82" s="236" t="str">
        <f>'[1]LS Core'!D78</f>
        <v>FAA 1670  American Art I</v>
      </c>
      <c r="CC82" s="29"/>
      <c r="CN82" s="220" t="str">
        <f>'[1]LS Core'!K78</f>
        <v>Psychology</v>
      </c>
      <c r="CO82" s="236" t="str">
        <f>'[1]LS Core'!L78</f>
        <v>PSY 3150  Behavioral Neuroscience</v>
      </c>
    </row>
    <row r="83" spans="79:93" ht="15.6">
      <c r="CA83" s="220" t="str">
        <f>'[1]LS Core'!C79</f>
        <v>Visual and Performing Arts</v>
      </c>
      <c r="CB83" s="236" t="str">
        <f>'[1]LS Core'!D79</f>
        <v>FAA 1680  American Art II</v>
      </c>
      <c r="CC83" s="29"/>
      <c r="CN83" s="220" t="str">
        <f>'[1]LS Core'!K79</f>
        <v>Psychology</v>
      </c>
      <c r="CO83" s="236" t="str">
        <f>'[1]LS Core'!L79</f>
        <v>PSY 3250  Cultural Psychology (D)</v>
      </c>
    </row>
    <row r="84" spans="79:93" ht="15.6">
      <c r="CA84" s="220" t="str">
        <f>'[1]LS Core'!C80</f>
        <v>Visual and Performing Arts</v>
      </c>
      <c r="CB84" s="236" t="str">
        <f>'[1]LS Core'!D80</f>
        <v>FAA 1710  Foundations of Visual Arts</v>
      </c>
      <c r="CC84" s="29"/>
      <c r="CN84" s="220" t="str">
        <f>'[1]LS Core'!K80</f>
        <v>Psychology</v>
      </c>
      <c r="CO84" s="236" t="str">
        <f>'[1]LS Core'!L80</f>
        <v>PSY 3310  Development of Intelligence and Thinking</v>
      </c>
    </row>
    <row r="85" spans="79:93" ht="15.6">
      <c r="CA85" s="220" t="str">
        <f>'[1]LS Core'!C81</f>
        <v>Visual and Performing Arts</v>
      </c>
      <c r="CB85" s="236" t="str">
        <f>'[1]LS Core'!D81</f>
        <v>FAA 2210  Basic Drawing II</v>
      </c>
      <c r="CC85" s="29"/>
      <c r="CN85" s="220" t="str">
        <f>'[1]LS Core'!K81</f>
        <v>Psychology</v>
      </c>
      <c r="CO85" s="236" t="str">
        <f>'[1]LS Core'!L81</f>
        <v>PSY 3320  Social and Personality Development</v>
      </c>
    </row>
    <row r="86" spans="79:93" ht="15.6">
      <c r="CA86" s="220" t="str">
        <f>'[1]LS Core'!C82</f>
        <v>Visual and Performing Arts</v>
      </c>
      <c r="CB86" s="236" t="str">
        <f>'[1]LS Core'!D82</f>
        <v>FAA 2230  3-Dimensional Design</v>
      </c>
      <c r="CC86" s="29"/>
      <c r="CN86" s="220" t="str">
        <f>'[1]LS Core'!K82</f>
        <v>Psychology</v>
      </c>
      <c r="CO86" s="236" t="str">
        <f>'[1]LS Core'!L82</f>
        <v>PSY 3340  Developmental Psychopathology</v>
      </c>
    </row>
    <row r="87" spans="79:93" ht="15.6">
      <c r="CA87" s="220" t="str">
        <f>'[1]LS Core'!C83</f>
        <v>Visual and Performing Arts</v>
      </c>
      <c r="CB87" s="236" t="str">
        <f>'[1]LS Core'!D83</f>
        <v>FAA 2250  Mixed Media Studio</v>
      </c>
      <c r="CC87" s="29"/>
      <c r="CN87" s="220" t="str">
        <f>'[1]LS Core'!K83</f>
        <v>Psychology</v>
      </c>
      <c r="CO87" s="236" t="str">
        <f>'[1]LS Core'!L83</f>
        <v>PSY 3380  Psychology of Aging</v>
      </c>
    </row>
    <row r="88" spans="79:93" ht="15.6">
      <c r="CA88" s="220" t="str">
        <f>'[1]LS Core'!C84</f>
        <v>Visual and Performing Arts</v>
      </c>
      <c r="CB88" s="236" t="str">
        <f>'[1]LS Core'!D84</f>
        <v>FAA 2260  Art of the Portrait</v>
      </c>
      <c r="CC88" s="29"/>
      <c r="CN88" s="220" t="str">
        <f>'[1]LS Core'!K84</f>
        <v>Psychology</v>
      </c>
      <c r="CO88" s="236" t="str">
        <f>'[1]LS Core'!L84</f>
        <v>PSY 3410  Adult Psychopathology</v>
      </c>
    </row>
    <row r="89" spans="79:93" ht="15.6">
      <c r="CA89" s="220" t="str">
        <f>'[1]LS Core'!C85</f>
        <v>Visual and Performing Arts</v>
      </c>
      <c r="CB89" s="236" t="str">
        <f>'[1]LS Core'!D85</f>
        <v xml:space="preserve">FAA 2270  Basic Painting II </v>
      </c>
      <c r="CC89" s="29"/>
      <c r="CN89" s="220" t="str">
        <f>'[1]LS Core'!K85</f>
        <v>Psychology</v>
      </c>
      <c r="CO89" s="236" t="str">
        <f>'[1]LS Core'!L85</f>
        <v>PSY 3450  Biological Bases of Abnormal Behavior</v>
      </c>
    </row>
    <row r="90" spans="79:93" ht="15.6">
      <c r="CA90" s="220" t="str">
        <f>'[1]LS Core'!C86</f>
        <v xml:space="preserve">Visual and Performing Arts </v>
      </c>
      <c r="CB90" s="236" t="str">
        <f>'[1]LS Core'!D86</f>
        <v>FAA 2301  Music History I</v>
      </c>
      <c r="CC90" s="29"/>
      <c r="CN90" s="220" t="str">
        <f>'[1]LS Core'!K86</f>
        <v xml:space="preserve">Sociology </v>
      </c>
      <c r="CO90" s="236" t="str">
        <f>'[1]LS Core'!L86</f>
        <v>SOC 1001  Principles of Sociology</v>
      </c>
    </row>
    <row r="91" spans="79:93" ht="15.6">
      <c r="CA91" s="220" t="str">
        <f>'[1]LS Core'!C87</f>
        <v xml:space="preserve">Visual and Performing Arts </v>
      </c>
      <c r="CB91" s="236" t="str">
        <f>'[1]LS Core'!D87</f>
        <v>FAA 2302  Music History II</v>
      </c>
      <c r="CC91" s="29"/>
      <c r="CN91" s="220" t="str">
        <f>'[1]LS Core'!K87</f>
        <v xml:space="preserve">Sociology </v>
      </c>
      <c r="CO91" s="236" t="str">
        <f>'[1]LS Core'!L87</f>
        <v>SOC 2002  Social Problems</v>
      </c>
    </row>
    <row r="92" spans="79:93" ht="15.6">
      <c r="CA92" s="220" t="str">
        <f>'[1]LS Core'!C88</f>
        <v>Visual and Performing Arts</v>
      </c>
      <c r="CB92" s="236" t="str">
        <f>'[1]LS Core'!D88</f>
        <v>FAA 2360  Elementary Music Theory</v>
      </c>
      <c r="CC92" s="29"/>
      <c r="CN92" s="220" t="str">
        <f>'[1]LS Core'!K88</f>
        <v xml:space="preserve">Sociology </v>
      </c>
      <c r="CO92" s="236" t="str">
        <f>'[1]LS Core'!L88</f>
        <v>SOC 2050  Social Work</v>
      </c>
    </row>
    <row r="93" spans="79:93" ht="15.6">
      <c r="CA93" s="220" t="str">
        <f>'[1]LS Core'!C89</f>
        <v>Visual and Performing Arts</v>
      </c>
      <c r="CB93" s="236" t="str">
        <f>'[1]LS Core'!D89</f>
        <v>FAA 2380  The Architecture of Music: From Phrase to Opera</v>
      </c>
      <c r="CC93" s="29"/>
      <c r="CN93" s="220" t="str">
        <f>'[1]LS Core'!K89</f>
        <v xml:space="preserve">Sociology </v>
      </c>
      <c r="CO93" s="236" t="str">
        <f>'[1]LS Core'!L89</f>
        <v>SOC 2200  Cultural Anthropology</v>
      </c>
    </row>
    <row r="94" spans="79:93" ht="15.6">
      <c r="CA94" s="220" t="str">
        <f>'[1]LS Core'!C90</f>
        <v>Visual and Performing Arts</v>
      </c>
      <c r="CB94" s="236" t="str">
        <f>'[1]LS Core'!D90</f>
        <v>FAA 2420  History of Photography</v>
      </c>
      <c r="CC94" s="29"/>
      <c r="CN94" s="220" t="str">
        <f>'[1]LS Core'!K90</f>
        <v xml:space="preserve">Sociology </v>
      </c>
      <c r="CO94" s="236" t="str">
        <f>'[1]LS Core'!L90</f>
        <v>SOC 3040  Juvenile Delinquency (D)</v>
      </c>
    </row>
    <row r="95" spans="79:93" ht="15.6">
      <c r="CA95" s="220" t="str">
        <f>'[1]LS Core'!C91</f>
        <v>Visual and Performing Arts</v>
      </c>
      <c r="CB95" s="236" t="str">
        <f>'[1]LS Core'!D91</f>
        <v>FAA 2450  Basic Digital Photography</v>
      </c>
      <c r="CC95" s="29"/>
      <c r="CN95" s="220" t="str">
        <f>'[1]LS Core'!K91</f>
        <v xml:space="preserve">Sociology </v>
      </c>
      <c r="CO95" s="236" t="str">
        <f>'[1]LS Core'!L91</f>
        <v>SOC 3050W  Female Deviance, Crime and Social Control (D)</v>
      </c>
    </row>
    <row r="96" spans="79:93" ht="15.6">
      <c r="CA96" s="220" t="str">
        <f>'[1]LS Core'!C92</f>
        <v>Visual and Performing Arts</v>
      </c>
      <c r="CB96" s="236" t="str">
        <f>'[1]LS Core'!D92</f>
        <v>FAA 2500  Women in Theatre (D)</v>
      </c>
      <c r="CC96" s="29"/>
      <c r="CN96" s="220" t="str">
        <f>'[1]LS Core'!K92</f>
        <v xml:space="preserve">Sociology </v>
      </c>
      <c r="CO96" s="236" t="str">
        <f>'[1]LS Core'!L92</f>
        <v>SOC 3060  White Collar Crime</v>
      </c>
    </row>
    <row r="97" spans="79:93" ht="15.6">
      <c r="CA97" s="220" t="str">
        <f>'[1]LS Core'!C93</f>
        <v>Visual and Performing Arts</v>
      </c>
      <c r="CB97" s="236" t="str">
        <f>'[1]LS Core'!D93</f>
        <v>FAA 2510  Acting II</v>
      </c>
      <c r="CC97" s="29"/>
      <c r="CN97" s="220" t="str">
        <f>'[1]LS Core'!K93</f>
        <v xml:space="preserve">Sociology </v>
      </c>
      <c r="CO97" s="236" t="str">
        <f>'[1]LS Core'!L93</f>
        <v>SOC 3100  Formal Organizations</v>
      </c>
    </row>
    <row r="98" spans="79:93" ht="15.6">
      <c r="CA98" s="220" t="str">
        <f>'[1]LS Core'!C94</f>
        <v>Visual and Performing Arts</v>
      </c>
      <c r="CB98" s="236" t="str">
        <f>'[1]LS Core'!D94</f>
        <v>FAA 2520  Theatre History Part One: Origins to Renaissance</v>
      </c>
      <c r="CC98" s="29"/>
      <c r="CN98" s="220" t="str">
        <f>'[1]LS Core'!K94</f>
        <v xml:space="preserve">Sociology </v>
      </c>
      <c r="CO98" s="236" t="str">
        <f>'[1]LS Core'!L94</f>
        <v>SOC 3120  Sociology of Law</v>
      </c>
    </row>
    <row r="99" spans="79:93" ht="15.6">
      <c r="CA99" s="220" t="str">
        <f>'[1]LS Core'!C95</f>
        <v>Visual and Performing Arts</v>
      </c>
      <c r="CB99" s="236" t="str">
        <f>'[1]LS Core'!D95</f>
        <v>FAA 2530  Theatre History Part Two: Restoration to the Present</v>
      </c>
      <c r="CC99" s="29"/>
      <c r="CN99" s="220" t="str">
        <f>'[1]LS Core'!K95</f>
        <v xml:space="preserve">Sociology </v>
      </c>
      <c r="CO99" s="236" t="str">
        <f>'[1]LS Core'!L95</f>
        <v>SOC 3150  Social Movements</v>
      </c>
    </row>
    <row r="100" spans="79:93" ht="15.6">
      <c r="CA100" s="220" t="str">
        <f>'[1]LS Core'!C96</f>
        <v>Visual and Performing Arts</v>
      </c>
      <c r="CB100" s="236" t="str">
        <f>'[1]LS Core'!D96</f>
        <v>FAA 2540  Introduction to Playwriting</v>
      </c>
      <c r="CC100" s="29"/>
      <c r="CN100" s="220" t="str">
        <f>'[1]LS Core'!K96</f>
        <v xml:space="preserve">Sociology </v>
      </c>
      <c r="CO100" s="236" t="str">
        <f>'[1]LS Core'!L96</f>
        <v>SOC 3200  Criminology</v>
      </c>
    </row>
    <row r="101" spans="79:93" ht="15.6">
      <c r="CA101" s="220" t="str">
        <f>'[1]LS Core'!C97</f>
        <v>Visual and Performing Arts</v>
      </c>
      <c r="CB101" s="236" t="str">
        <f>'[1]LS Core'!D97</f>
        <v>FAA 2560  London Theatre</v>
      </c>
      <c r="CC101" s="29"/>
      <c r="CN101" s="220" t="str">
        <f>'[1]LS Core'!K97</f>
        <v xml:space="preserve">Sociology </v>
      </c>
      <c r="CO101" s="236" t="str">
        <f>'[1]LS Core'!L97</f>
        <v>SOC 3250  Social Change</v>
      </c>
    </row>
    <row r="102" spans="79:93" ht="15.6">
      <c r="CA102" s="220" t="str">
        <f>'[1]LS Core'!C98</f>
        <v>Visual and Performing Arts</v>
      </c>
      <c r="CB102" s="236" t="str">
        <f>'[1]LS Core'!D98</f>
        <v>FAA 2570  Technical Production for the Theatre</v>
      </c>
      <c r="CC102" s="29"/>
      <c r="CN102" s="220" t="str">
        <f>'[1]LS Core'!K98</f>
        <v xml:space="preserve">Sociology </v>
      </c>
      <c r="CO102" s="236" t="str">
        <f>'[1]LS Core'!L98</f>
        <v>SOC 3300W  Sociology of Education</v>
      </c>
    </row>
    <row r="103" spans="79:93" ht="15.6">
      <c r="CA103" s="220" t="str">
        <f>'[1]LS Core'!C99</f>
        <v>Visual and Performing Arts</v>
      </c>
      <c r="CB103" s="236" t="str">
        <f>'[1]LS Core'!D99</f>
        <v>FAA 2580  Design for the Theatre</v>
      </c>
      <c r="CC103" s="29"/>
      <c r="CN103" s="220" t="str">
        <f>'[1]LS Core'!K99</f>
        <v xml:space="preserve">Sociology </v>
      </c>
      <c r="CO103" s="236" t="str">
        <f>'[1]LS Core'!L99</f>
        <v>SOC 3330  Racial and Ethnic Minorities (D)</v>
      </c>
    </row>
    <row r="104" spans="79:93" ht="15.6">
      <c r="CA104" s="220" t="str">
        <f>'[1]LS Core'!C100</f>
        <v>Visual and Performing Arts</v>
      </c>
      <c r="CB104" s="236" t="str">
        <f>'[1]LS Core'!D100</f>
        <v>FAA 2610  The Art of Ancient Egypt, Hither Asia, and the Aegean</v>
      </c>
      <c r="CC104" s="29"/>
      <c r="CN104" s="220" t="str">
        <f>'[1]LS Core'!K100</f>
        <v xml:space="preserve">Sociology </v>
      </c>
      <c r="CO104" s="236" t="str">
        <f>'[1]LS Core'!L100</f>
        <v>SOC 3350  Alternative Approaches to Criminal Justice</v>
      </c>
    </row>
    <row r="105" spans="79:93" ht="15.6">
      <c r="CA105" s="220" t="str">
        <f>'[1]LS Core'!C101</f>
        <v>Visual and Performing Arts</v>
      </c>
      <c r="CB105" s="236" t="str">
        <f>'[1]LS Core'!D101</f>
        <v>FAA 2620  Classical Art</v>
      </c>
      <c r="CC105" s="29"/>
      <c r="CN105" s="220" t="str">
        <f>'[1]LS Core'!K101</f>
        <v xml:space="preserve">Sociology </v>
      </c>
      <c r="CO105" s="236" t="str">
        <f>'[1]LS Core'!L101</f>
        <v>SOC 3370  Urban Sociology</v>
      </c>
    </row>
    <row r="106" spans="79:93" ht="15.6">
      <c r="CA106" s="220" t="str">
        <f>'[1]LS Core'!C102</f>
        <v>Visual and Performing Arts</v>
      </c>
      <c r="CB106" s="236" t="str">
        <f>'[1]LS Core'!D102</f>
        <v>FAA 2630  Angels and Demons: The Art of the Middle Ages</v>
      </c>
      <c r="CC106" s="29"/>
      <c r="CN106" s="220" t="str">
        <f>'[1]LS Core'!K102</f>
        <v xml:space="preserve">Sociology </v>
      </c>
      <c r="CO106" s="236" t="str">
        <f>'[1]LS Core'!L102</f>
        <v>SOC 3400  Population Problems</v>
      </c>
    </row>
    <row r="107" spans="79:93" ht="15.6">
      <c r="CA107" s="220" t="str">
        <f>'[1]LS Core'!C103</f>
        <v>Visual and Performing Arts</v>
      </c>
      <c r="CB107" s="236" t="str">
        <f>'[1]LS Core'!D103</f>
        <v>FAA 2640W  First Light: The Beginnings of Modernism in Western Art</v>
      </c>
      <c r="CC107" s="29"/>
      <c r="CN107" s="220" t="str">
        <f>'[1]LS Core'!K103</f>
        <v xml:space="preserve">Sociology </v>
      </c>
      <c r="CO107" s="236" t="str">
        <f>'[1]LS Core'!L103</f>
        <v>SOC 3430  Criminal Justice and Mental Health</v>
      </c>
    </row>
    <row r="108" spans="79:93" ht="15.6">
      <c r="CA108" s="220" t="str">
        <f>'[1]LS Core'!C104</f>
        <v>Visual and Performing Arts</v>
      </c>
      <c r="CB108" s="236" t="str">
        <f>'[1]LS Core'!D104</f>
        <v>FAA 2650  Artists, Princes, and Popes: From Renaissance to Reformation</v>
      </c>
      <c r="CC108" s="29"/>
      <c r="CN108" s="220" t="str">
        <f>'[1]LS Core'!K104</f>
        <v xml:space="preserve">Sociology </v>
      </c>
      <c r="CO108" s="236" t="str">
        <f>'[1]LS Core'!L104</f>
        <v>SOC 3450  Sociology of Family</v>
      </c>
    </row>
    <row r="109" spans="79:93" ht="15.6">
      <c r="CA109" s="220" t="str">
        <f>'[1]LS Core'!C105</f>
        <v>Visual and Performing Arts</v>
      </c>
      <c r="CB109" s="236" t="str">
        <f>'[1]LS Core'!D105</f>
        <v>FAA 2660  The Art of the Baroque: European Art of the 17th and 18th Centuries</v>
      </c>
      <c r="CC109" s="29"/>
      <c r="CN109" s="220" t="str">
        <f>'[1]LS Core'!K105</f>
        <v xml:space="preserve">Sociology </v>
      </c>
      <c r="CO109" s="236" t="str">
        <f>'[1]LS Core'!L105</f>
        <v>SOC 3500  Domestic Violence</v>
      </c>
    </row>
    <row r="110" spans="79:93" ht="15.6">
      <c r="CA110" s="220" t="str">
        <f>'[1]LS Core'!C106</f>
        <v>Visual and Performing Arts</v>
      </c>
      <c r="CB110" s="236" t="str">
        <f>'[1]LS Core'!D106</f>
        <v>FAA 2670  19th Century Art</v>
      </c>
      <c r="CC110" s="29"/>
      <c r="CN110" s="220" t="str">
        <f>'[1]LS Core'!K106</f>
        <v xml:space="preserve">Sociology </v>
      </c>
      <c r="CO110" s="236" t="str">
        <f>'[1]LS Core'!L106</f>
        <v>SOC 3600  Sociology of Health</v>
      </c>
    </row>
    <row r="111" spans="79:93" ht="15.6">
      <c r="CA111" s="220" t="str">
        <f>'[1]LS Core'!C107</f>
        <v>Visual and Performing Arts</v>
      </c>
      <c r="CB111" s="236" t="str">
        <f>'[1]LS Core'!D107</f>
        <v>FAA 2680  Early 20th Century Art: The Development of Modernist Art</v>
      </c>
      <c r="CC111" s="29"/>
      <c r="CN111" s="220" t="str">
        <f>'[1]LS Core'!K107</f>
        <v xml:space="preserve">Sociology </v>
      </c>
      <c r="CO111" s="236" t="str">
        <f>'[1]LS Core'!L107</f>
        <v>SOC 3800  Sociology of Gender</v>
      </c>
    </row>
    <row r="112" spans="79:93" ht="15.6">
      <c r="CA112" s="220" t="str">
        <f>'[1]LS Core'!C108</f>
        <v>Visual and Performing Arts</v>
      </c>
      <c r="CB112" s="236" t="str">
        <f>'[1]LS Core'!D108</f>
        <v>FAA 2690  Modern, Postmodern, and Beyond: Art from 1945 to the Present</v>
      </c>
      <c r="CC112" s="29"/>
      <c r="CN112" s="220" t="str">
        <f>'[1]LS Core'!K108</f>
        <v xml:space="preserve">Sociology </v>
      </c>
      <c r="CO112" s="236" t="str">
        <f>'[1]LS Core'!L108</f>
        <v>SOC 3850  Sociology of Aging</v>
      </c>
    </row>
    <row r="113" spans="79:93" ht="15.6">
      <c r="CA113" s="220" t="str">
        <f>'[1]LS Core'!C109</f>
        <v>Visual and Performing Arts</v>
      </c>
      <c r="CB113" s="236" t="str">
        <f>'[1]LS Core'!D109</f>
        <v>FAA 2840  Digital Photography and Design</v>
      </c>
      <c r="CC113" s="29"/>
      <c r="CN113" s="220" t="str">
        <f>'[1]LS Core'!K109</f>
        <v xml:space="preserve">Sociology </v>
      </c>
      <c r="CO113" s="236" t="str">
        <f>'[1]LS Core'!L109</f>
        <v>SOC 4300  Social Class in America</v>
      </c>
    </row>
    <row r="114" spans="79:93" ht="15.6">
      <c r="CA114" s="220" t="str">
        <f>'[1]LS Core'!C110</f>
        <v>Visual and Performing Arts</v>
      </c>
      <c r="CB114" s="236" t="str">
        <f>'[1]LS Core'!D110</f>
        <v>FAA 2850  Digital Video</v>
      </c>
      <c r="CC114" s="29"/>
      <c r="CN114" s="220" t="str">
        <f>'[1]LS Core'!K110</f>
        <v>Women’s and Gender Studies</v>
      </c>
      <c r="CO114" s="236" t="str">
        <f>'[1]LS Core'!L110</f>
        <v>WGS 1010  Gender and Society (D)</v>
      </c>
    </row>
    <row r="115" spans="79:93" ht="15.6">
      <c r="CA115" s="220" t="str">
        <f>'[1]LS Core'!C111</f>
        <v>Visual and Performing Arts</v>
      </c>
      <c r="CB115" s="236" t="str">
        <f>'[1]LS Core'!D111</f>
        <v>FAA 2860  Electronic Publishing</v>
      </c>
      <c r="CC115" s="29"/>
      <c r="CN115" s="220" t="str">
        <f>'[1]LS Core'!K111</f>
        <v>Women’s and Gender Studies</v>
      </c>
      <c r="CO115" s="236" t="str">
        <f>'[1]LS Core'!L111</f>
        <v>WGS 3100  Feminist Theory (D)</v>
      </c>
    </row>
    <row r="116" spans="79:93" ht="15.6">
      <c r="CA116" s="220" t="str">
        <f>'[1]LS Core'!C112</f>
        <v>Visual and Performing Arts</v>
      </c>
      <c r="CB116" s="236" t="str">
        <f>'[1]LS Core'!D112</f>
        <v>FAA 3270  Advanced Painting</v>
      </c>
      <c r="CC116" s="29"/>
      <c r="CN116" s="220" t="str">
        <f>'[1]LS Core'!K112</f>
        <v>Women’s and Gender Studies</v>
      </c>
      <c r="CO116" s="236" t="str">
        <f>'[1]LS Core'!L112</f>
        <v>WGS 3110  Global Women’s Issues: Gender, Activism, and Social Justice (D)</v>
      </c>
    </row>
    <row r="117" spans="79:93" ht="15.6">
      <c r="CA117" s="220" t="str">
        <f>'[1]LS Core'!C113</f>
        <v>Visual and Performing Arts</v>
      </c>
      <c r="CB117" s="236" t="str">
        <f>'[1]LS Core'!D113</f>
        <v>FAA 3360  Principles of Composition</v>
      </c>
      <c r="CC117" s="29"/>
      <c r="CN117" s="220" t="str">
        <f>'[1]LS Core'!K113</f>
        <v>Women’s and Gender Studies</v>
      </c>
      <c r="CO117" s="236" t="str">
        <f>'[1]LS Core'!L113</f>
        <v>WGS 3250  Sex and Gender Studies (D)</v>
      </c>
    </row>
    <row r="118" spans="79:93" ht="15.6">
      <c r="CA118" s="220" t="str">
        <f>'[1]LS Core'!C114</f>
        <v>Visual and Performing Arts</v>
      </c>
      <c r="CB118" s="236" t="str">
        <f>'[1]LS Core'!D114</f>
        <v>FAA 3510  Directing I</v>
      </c>
      <c r="CC118" s="29"/>
      <c r="CN118" s="220" t="str">
        <f>'[1]LS Core'!K114</f>
        <v>Women’s and Gender Studies</v>
      </c>
      <c r="CO118" s="236" t="str">
        <f>'[1]LS Core'!L114</f>
        <v>WGS 3290  Women and Business (D)</v>
      </c>
    </row>
    <row r="119" spans="79:93" ht="15.6">
      <c r="CA119" s="220" t="str">
        <f>'[1]LS Core'!C115</f>
        <v>Visual and Performing Arts</v>
      </c>
      <c r="CB119" s="236" t="str">
        <f>'[1]LS Core'!D115</f>
        <v>FAA 3520  Acting III</v>
      </c>
      <c r="CC119" s="29"/>
      <c r="CN119" s="220" t="str">
        <f>'[1]LS Core'!K115</f>
        <v>Women’s and Gender Studies</v>
      </c>
      <c r="CO119" s="236" t="str">
        <f>'[1]LS Core'!L115</f>
        <v>WGS 3420  Gender, Race, and the Media (D)</v>
      </c>
    </row>
    <row r="120" spans="79:93" ht="15.6">
      <c r="CA120" s="220" t="str">
        <f>'[1]LS Core'!C116</f>
        <v>Visual and Performing Arts</v>
      </c>
      <c r="CB120" s="236" t="str">
        <f>'[1]LS Core'!D116</f>
        <v>FAA 3620  Problems in Classical Art</v>
      </c>
      <c r="CC120" s="29"/>
      <c r="CN120" s="220" t="str">
        <f>'[1]LS Core'!K116</f>
        <v>Women’s and Gender Studies</v>
      </c>
      <c r="CO120" s="236" t="str">
        <f>'[1]LS Core'!L116</f>
        <v>WGS 3710  Gender and the Law (D)</v>
      </c>
    </row>
    <row r="121" spans="79:93" ht="15.6">
      <c r="CA121" s="220" t="str">
        <f>'[1]LS Core'!C117</f>
        <v>Visual and Performing Arts</v>
      </c>
      <c r="CB121" s="236" t="str">
        <f>'[1]LS Core'!D117</f>
        <v>FAA 3650  The World of Michelangelo</v>
      </c>
      <c r="CC121" s="29"/>
      <c r="CN121" s="126"/>
      <c r="CO121" s="239"/>
    </row>
    <row r="122" spans="79:93" ht="15.6">
      <c r="CA122" s="220" t="str">
        <f>'[1]LS Core'!C118</f>
        <v>Visual and Performing Arts</v>
      </c>
      <c r="CB122" s="236" t="str">
        <f>'[1]LS Core'!D118</f>
        <v>FAA 3680  Topics in Modern Art</v>
      </c>
      <c r="CC122" s="29"/>
      <c r="CN122" s="126"/>
      <c r="CO122" s="239"/>
    </row>
    <row r="123" spans="79:93" ht="15.6">
      <c r="CA123" s="220" t="str">
        <f>'[1]LS Core'!C119</f>
        <v>Visual and Performing Arts</v>
      </c>
      <c r="CB123" s="236" t="str">
        <f>'[1]LS Core'!D119</f>
        <v>FAA 3700  Drawing and Sculpture: A Study of Form in Tuscany</v>
      </c>
      <c r="CC123" s="29"/>
      <c r="CN123" s="126"/>
      <c r="CO123" s="239"/>
    </row>
    <row r="124" spans="79:93" ht="15.6">
      <c r="CA124" s="220" t="str">
        <f>'[1]LS Core'!C120</f>
        <v>Visual and Performing Arts</v>
      </c>
      <c r="CB124" s="236" t="str">
        <f>'[1]LS Core'!D120</f>
        <v>FAA 3830  Web Design</v>
      </c>
      <c r="CC124" s="29"/>
      <c r="CN124" s="126"/>
      <c r="CO124" s="239"/>
    </row>
    <row r="125" spans="79:93" ht="15.6">
      <c r="CA125" s="220" t="str">
        <f>'[1]LS Core'!C121</f>
        <v>Visual and Performing Arts</v>
      </c>
      <c r="CB125" s="236" t="str">
        <f>'[1]LS Core'!D121</f>
        <v>FAA 3840  2D Web Animation</v>
      </c>
      <c r="CC125" s="29"/>
      <c r="CN125" s="126"/>
      <c r="CO125" s="243"/>
    </row>
    <row r="126" spans="79:93" ht="15.6">
      <c r="CA126" s="220" t="str">
        <f>'[1]LS Core'!C122</f>
        <v>Visual and Performing Arts</v>
      </c>
      <c r="CB126" s="236" t="str">
        <f>'[1]LS Core'!D122</f>
        <v>FAA 3850  History of Graphic Design</v>
      </c>
      <c r="CC126" s="29"/>
      <c r="CN126" s="126"/>
      <c r="CO126" s="239"/>
    </row>
    <row r="127" spans="79:93" ht="15.6">
      <c r="CA127" s="220" t="str">
        <f>'[1]LS Core'!C123</f>
        <v>Visual and Performing Arts</v>
      </c>
      <c r="CB127" s="236" t="str">
        <f>'[1]LS Core'!D123</f>
        <v>FAA 3860  Computer Illustration</v>
      </c>
      <c r="CC127" s="29"/>
      <c r="CN127" s="126"/>
      <c r="CO127" s="239"/>
    </row>
    <row r="128" spans="79:93" ht="15.6">
      <c r="CA128" s="220" t="str">
        <f>'[1]LS Core'!C124</f>
        <v>Visual and Performing Arts</v>
      </c>
      <c r="CB128" s="236" t="str">
        <f>'[1]LS Core'!D124</f>
        <v>FAA 4820  3D Animation and Illustration</v>
      </c>
      <c r="CC128" s="29"/>
      <c r="CN128" s="126"/>
      <c r="CO128" s="239"/>
    </row>
    <row r="129" spans="79:93" ht="15.6">
      <c r="CA129" s="220" t="str">
        <f>'[1]LS Core'!C125</f>
        <v>Visual and Performing Arts</v>
      </c>
      <c r="CB129" s="236" t="str">
        <f>'[1]LS Core'!D125</f>
        <v>FAA 49l0/4920  Fine Arts Internship</v>
      </c>
      <c r="CC129" s="29"/>
      <c r="CN129" s="126"/>
      <c r="CO129" s="239"/>
    </row>
    <row r="130" spans="79:93" ht="15.6">
      <c r="CA130" s="220" t="str">
        <f>'[1]LS Core'!C126</f>
        <v>Women’s and Gender Studies</v>
      </c>
      <c r="CB130" s="236" t="str">
        <f>'[1]LS Core'!D126</f>
        <v>WGS 2260  Southwestern Women Writers and Artists (D)</v>
      </c>
      <c r="CC130" s="29"/>
      <c r="CN130" s="126"/>
      <c r="CO130" s="239"/>
    </row>
    <row r="131" spans="79:93" ht="15.6">
      <c r="CA131" s="220" t="str">
        <f>'[1]LS Core'!C127</f>
        <v>Women’s and Gender Studies</v>
      </c>
      <c r="CB131" s="236" t="str">
        <f>'[1]LS Core'!D127</f>
        <v>WGS 2420  Gender, Sex, and Film (D)</v>
      </c>
      <c r="CC131" s="29"/>
      <c r="CN131" s="126"/>
      <c r="CO131" s="239"/>
    </row>
    <row r="132" spans="79:93" ht="15.6">
      <c r="CA132" s="220" t="str">
        <f>'[1]LS Core'!C128</f>
        <v>Women’s and Gender Studies</v>
      </c>
      <c r="CB132" s="236" t="str">
        <f>'[1]LS Core'!D128</f>
        <v>WGS 3120  Women and Film: The Politics of Representation (D)</v>
      </c>
      <c r="CC132" s="29"/>
      <c r="CN132" s="126"/>
      <c r="CO132" s="239"/>
    </row>
    <row r="133" spans="79:93" ht="15.6">
      <c r="CA133" s="220" t="str">
        <f>'[1]LS Core'!C129</f>
        <v>World Languages and Cultures</v>
      </c>
      <c r="CB133" s="236" t="str">
        <f>'[1]LS Core'!D129</f>
        <v>FRE 3030  French Cinema I</v>
      </c>
      <c r="CC133" s="29"/>
      <c r="CN133" s="126"/>
      <c r="CO133" s="239"/>
    </row>
    <row r="134" spans="79:93" ht="15.6">
      <c r="CA134" s="220" t="str">
        <f>'[1]LS Core'!C130</f>
        <v>World Languages and Cultures</v>
      </c>
      <c r="CB134" s="236" t="str">
        <f>'[1]LS Core'!D130</f>
        <v>FRE 3040  Five Centuries of French Civilization in Films</v>
      </c>
      <c r="CC134" s="218"/>
      <c r="CN134" s="126"/>
      <c r="CO134" s="239"/>
    </row>
    <row r="135" spans="79:93" ht="15.6">
      <c r="CA135" s="220" t="str">
        <f>'[1]LS Core'!C131</f>
        <v>World Languages and Cultures</v>
      </c>
      <c r="CB135" s="236" t="str">
        <f>'[1]LS Core'!D131</f>
        <v>FRE 3110  Survey of French Literature I</v>
      </c>
      <c r="CC135" s="218"/>
      <c r="CN135" s="126"/>
      <c r="CO135" s="239"/>
    </row>
    <row r="136" spans="79:93" ht="15.6">
      <c r="CA136" s="220" t="str">
        <f>'[1]LS Core'!C132</f>
        <v>World Languages and Cultures</v>
      </c>
      <c r="CB136" s="236" t="str">
        <f>'[1]LS Core'!D132</f>
        <v>FRE 3120  Survey of French Literature II</v>
      </c>
      <c r="CC136" s="29"/>
      <c r="CN136" s="126"/>
      <c r="CO136" s="239"/>
    </row>
    <row r="137" spans="79:93" ht="15.6">
      <c r="CA137" s="220" t="str">
        <f>'[1]LS Core'!C133</f>
        <v>World Languages and Cultures</v>
      </c>
      <c r="CB137" s="236" t="str">
        <f>'[1]LS Core'!D133</f>
        <v>FRE 3130  Studies in Modern French Literature</v>
      </c>
      <c r="CC137" s="29"/>
      <c r="CN137" s="126"/>
      <c r="CO137" s="239"/>
    </row>
    <row r="138" spans="79:93" ht="15.6">
      <c r="CA138" s="220" t="str">
        <f>'[1]LS Core'!C134</f>
        <v>World Languages and Cultures</v>
      </c>
      <c r="CB138" s="236" t="str">
        <f>'[1]LS Core'!D134</f>
        <v>FRE 3140  Studies in Modern French Literature II</v>
      </c>
      <c r="CC138" s="29"/>
      <c r="CN138" s="126"/>
      <c r="CO138" s="239"/>
    </row>
    <row r="139" spans="79:93" ht="15.6">
      <c r="CA139" s="220" t="str">
        <f>'[1]LS Core'!C135</f>
        <v>World Languages and Cultures</v>
      </c>
      <c r="CB139" s="236" t="str">
        <f>'[1]LS Core'!D135</f>
        <v>ITA 2530  Italian Women Writers (D)</v>
      </c>
      <c r="CC139" s="218"/>
      <c r="CN139" s="126"/>
      <c r="CO139" s="239"/>
    </row>
    <row r="140" spans="79:93" ht="15.6">
      <c r="CA140" s="220" t="str">
        <f>'[1]LS Core'!C136</f>
        <v>World Languages and Cultures</v>
      </c>
      <c r="CB140" s="236" t="str">
        <f>'[1]LS Core'!D136</f>
        <v>ITA 2550  Italian Americans and Film</v>
      </c>
      <c r="CC140" s="218"/>
      <c r="CN140" s="126"/>
      <c r="CO140" s="239"/>
    </row>
    <row r="141" spans="79:93" ht="15.6">
      <c r="CA141" s="220" t="str">
        <f>'[1]LS Core'!C137</f>
        <v>World Languages and Cultures</v>
      </c>
      <c r="CB141" s="236" t="str">
        <f>'[1]LS Core'!D137</f>
        <v>ITA 2560  The Italian Southern Question in Literature and Film (D)</v>
      </c>
      <c r="CC141" s="112"/>
      <c r="CN141" s="126"/>
      <c r="CO141" s="239"/>
    </row>
    <row r="142" spans="79:93" ht="15.6">
      <c r="CA142" s="220" t="str">
        <f>'[1]LS Core'!C138</f>
        <v>World Languages and Cultures</v>
      </c>
      <c r="CB142" s="236" t="str">
        <f>'[1]LS Core'!D138</f>
        <v>ITA 2570  Italian Culture Through Film I</v>
      </c>
      <c r="CC142" s="29"/>
      <c r="CN142" s="126"/>
      <c r="CO142" s="239"/>
    </row>
    <row r="143" spans="79:93" ht="15.6">
      <c r="CA143" s="220" t="str">
        <f>'[1]LS Core'!C139</f>
        <v>World Languages and Cultures</v>
      </c>
      <c r="CB143" s="236" t="str">
        <f>'[1]LS Core'!D139</f>
        <v>ITA 2580  Italian Culture Through Film II</v>
      </c>
      <c r="CC143" s="29"/>
      <c r="CN143" s="126"/>
      <c r="CO143" s="239"/>
    </row>
    <row r="144" spans="79:93" ht="15.6">
      <c r="CA144" s="220" t="str">
        <f>'[1]LS Core'!C140</f>
        <v>World Languages and Cultures</v>
      </c>
      <c r="CB144" s="236" t="str">
        <f>'[1]LS Core'!D140</f>
        <v>SPA 3310  Latinos in the U.S.: Literature and Service Learning (D)</v>
      </c>
      <c r="CC144" s="29"/>
      <c r="CN144" s="126"/>
      <c r="CO144" s="239"/>
    </row>
    <row r="145" spans="77:93" ht="15.6">
      <c r="CA145" s="220" t="str">
        <f>'[1]LS Core'!C141</f>
        <v>World Languages and Cultures</v>
      </c>
      <c r="CB145" s="236" t="str">
        <f>'[1]LS Core'!D141</f>
        <v>SPA 3610  Race, Literature, and Culture (D)</v>
      </c>
      <c r="CC145" s="29"/>
      <c r="CN145" s="126"/>
      <c r="CO145" s="239"/>
    </row>
    <row r="146" spans="77:93" ht="15.6">
      <c r="CA146" s="220" t="str">
        <f>'[1]LS Core'!C142</f>
        <v>World Languages and Cultures</v>
      </c>
      <c r="CB146" s="236" t="str">
        <f>'[1]LS Core'!D142</f>
        <v>SPA 3620  Gender, Literature, and Culture (D)</v>
      </c>
      <c r="CC146" s="29"/>
      <c r="CN146" s="126"/>
      <c r="CO146" s="239"/>
    </row>
    <row r="147" spans="77:93" ht="15.6">
      <c r="CA147" s="220" t="str">
        <f>'[1]LS Core'!C143</f>
        <v>World Languages and Cultures</v>
      </c>
      <c r="CB147" s="236" t="str">
        <f>'[1]LS Core'!D143</f>
        <v>SPA 3630  Studies in Popular Culture of Latin America and Spain (D)</v>
      </c>
      <c r="CC147" s="29"/>
      <c r="CN147" s="126"/>
      <c r="CO147" s="239"/>
    </row>
    <row r="148" spans="77:93" ht="15.6">
      <c r="CA148" s="220" t="str">
        <f>'[1]LS Core'!C144</f>
        <v>World Languages and Cultures</v>
      </c>
      <c r="CB148" s="236" t="str">
        <f>'[1]LS Core'!D144</f>
        <v>SPA 4050  Literature(s)/ Cultures(s) of Resistance (D)</v>
      </c>
      <c r="CC148" s="112"/>
      <c r="CN148" s="126"/>
      <c r="CO148" s="239"/>
    </row>
    <row r="149" spans="77:93" ht="15.6">
      <c r="CA149" s="220" t="str">
        <f>'[1]LS Core'!C145</f>
        <v>World Languages and Cultures</v>
      </c>
      <c r="CB149" s="236" t="str">
        <f>'[1]LS Core'!D145</f>
        <v>SPA 4060  Film and Literature of Contemporary Spain and Latin America</v>
      </c>
      <c r="CC149" s="112"/>
      <c r="CN149" s="126"/>
      <c r="CO149" s="239"/>
    </row>
    <row r="150" spans="77:93" ht="15.6">
      <c r="BY150" t="s">
        <v>332</v>
      </c>
      <c r="CA150" s="220" t="str">
        <f>'[1]LS Core'!C146</f>
        <v>World Languages and Cultures</v>
      </c>
      <c r="CB150" s="236" t="str">
        <f>'[1]LS Core'!D146</f>
        <v>SPA 4070  Short Fiction of Spanish Speaking World</v>
      </c>
      <c r="CC150" s="29"/>
      <c r="CN150" s="126"/>
      <c r="CO150" s="239"/>
    </row>
    <row r="151" spans="77:93" ht="15.6">
      <c r="CA151" s="220" t="str">
        <f>'[1]LS Core'!C147</f>
        <v>World Languages and Cultures</v>
      </c>
      <c r="CB151" s="236" t="str">
        <f>'[1]LS Core'!D147</f>
        <v>SPA 4080  Hispanic Literature in Translation</v>
      </c>
      <c r="CC151" s="29"/>
      <c r="CN151" s="126"/>
      <c r="CO151" s="239"/>
    </row>
    <row r="152" spans="77:93" ht="15.6">
      <c r="CA152" s="220">
        <f>'[1]LS Core'!C148</f>
        <v>0</v>
      </c>
      <c r="CB152" s="236">
        <f>'[1]LS Core'!D148</f>
        <v>0</v>
      </c>
      <c r="CC152" s="29"/>
      <c r="CN152" s="126"/>
      <c r="CO152" s="239"/>
    </row>
    <row r="153" spans="77:93" ht="15.6">
      <c r="CA153" s="220">
        <f>'[1]LS Core'!C149</f>
        <v>0</v>
      </c>
      <c r="CB153" s="236">
        <f>'[1]LS Core'!D149</f>
        <v>0</v>
      </c>
      <c r="CC153" s="29"/>
      <c r="CN153" s="126"/>
      <c r="CO153" s="239"/>
    </row>
    <row r="154" spans="77:93" ht="15.6">
      <c r="CA154" s="220">
        <f>'[1]LS Core'!C150</f>
        <v>0</v>
      </c>
      <c r="CB154" s="236">
        <f>'[1]LS Core'!D150</f>
        <v>0</v>
      </c>
      <c r="CC154" s="29"/>
      <c r="CN154" s="126"/>
      <c r="CO154" s="239"/>
    </row>
    <row r="155" spans="77:93" ht="16.2" thickBot="1">
      <c r="CA155" s="220">
        <f>'[1]LS Core'!C151</f>
        <v>0</v>
      </c>
      <c r="CB155" s="236">
        <f>'[1]LS Core'!D151</f>
        <v>0</v>
      </c>
      <c r="CC155" s="29"/>
      <c r="CN155" s="240"/>
      <c r="CO155" s="241"/>
    </row>
    <row r="156" spans="77:93" ht="16.2" thickBot="1">
      <c r="CA156" s="237">
        <f>'[1]LS Core'!C152</f>
        <v>0</v>
      </c>
      <c r="CB156" s="238">
        <f>'[1]LS Core'!D152</f>
        <v>0</v>
      </c>
      <c r="CC156" s="112"/>
    </row>
    <row r="157" spans="77:93" ht="15.6">
      <c r="CC157" s="29"/>
    </row>
    <row r="158" spans="77:93" ht="15.6">
      <c r="CC158" s="29"/>
    </row>
    <row r="159" spans="77:93" ht="15.6">
      <c r="CC159" s="29"/>
    </row>
    <row r="160" spans="77:93" ht="15.6">
      <c r="CC160" s="29"/>
    </row>
    <row r="161" spans="81:81" ht="15.6">
      <c r="CC161" s="29"/>
    </row>
    <row r="162" spans="81:81" ht="15.6">
      <c r="CC162" s="29"/>
    </row>
    <row r="163" spans="81:81" ht="15.6">
      <c r="CC163" s="29"/>
    </row>
    <row r="164" spans="81:81" ht="15.6">
      <c r="CC164" s="29"/>
    </row>
    <row r="165" spans="81:81" ht="15.6">
      <c r="CC165" s="29"/>
    </row>
  </sheetData>
  <mergeCells count="16">
    <mergeCell ref="A61:B61"/>
    <mergeCell ref="A62:B62"/>
    <mergeCell ref="A63:B63"/>
    <mergeCell ref="C60:F60"/>
    <mergeCell ref="C61:F61"/>
    <mergeCell ref="C62:F62"/>
    <mergeCell ref="D4:E4"/>
    <mergeCell ref="G4:H4"/>
    <mergeCell ref="J4:L4"/>
    <mergeCell ref="A43:F43"/>
    <mergeCell ref="A60:B60"/>
    <mergeCell ref="O16:R17"/>
    <mergeCell ref="O18:R19"/>
    <mergeCell ref="O20:R21"/>
    <mergeCell ref="O22:R23"/>
    <mergeCell ref="A58:E59"/>
  </mergeCells>
  <phoneticPr fontId="0" type="noConversion"/>
  <conditionalFormatting sqref="K8">
    <cfRule type="expression" dxfId="238" priority="1" stopIfTrue="1">
      <formula>AND($K$8=1,$K$9&lt;&gt;1)</formula>
    </cfRule>
    <cfRule type="expression" dxfId="237" priority="2" stopIfTrue="1">
      <formula>AND($K$8&lt;&gt;1,$K$25=1)</formula>
    </cfRule>
  </conditionalFormatting>
  <conditionalFormatting sqref="K9">
    <cfRule type="expression" dxfId="236" priority="3" stopIfTrue="1">
      <formula>AND($K$9=1,$D$9&lt;&gt;1)</formula>
    </cfRule>
    <cfRule type="expression" dxfId="235" priority="4" stopIfTrue="1">
      <formula>OR(AND($K$9&lt;&gt;1,$D$18=1),AND($K$9&lt;&gt;1,$K$16=1))</formula>
    </cfRule>
    <cfRule type="expression" dxfId="234" priority="5" stopIfTrue="1">
      <formula>AND($K$9&lt;&gt;1,$K$8=1)</formula>
    </cfRule>
  </conditionalFormatting>
  <conditionalFormatting sqref="D25">
    <cfRule type="expression" dxfId="233" priority="6" stopIfTrue="1">
      <formula>OR(AND($D$25=1,$K$17&lt;&gt;1),AND($D$25=1,$K$16&lt;&gt;1))</formula>
    </cfRule>
    <cfRule type="expression" dxfId="232" priority="7" stopIfTrue="1">
      <formula>AND($D$25&lt;&gt;1,$D$34=1)</formula>
    </cfRule>
  </conditionalFormatting>
  <conditionalFormatting sqref="D27">
    <cfRule type="expression" dxfId="231" priority="8" stopIfTrue="1">
      <formula>AND($D$27=1,$D$17&lt;&gt;1)</formula>
    </cfRule>
  </conditionalFormatting>
  <conditionalFormatting sqref="K25">
    <cfRule type="expression" dxfId="230" priority="9" stopIfTrue="1">
      <formula>OR(AND($K$25=1,$K$8&lt;&gt;1),AND($K$25=1,$D$19&lt;&gt;1))</formula>
    </cfRule>
    <cfRule type="expression" dxfId="229" priority="10" stopIfTrue="1">
      <formula>AND($K$25&lt;&gt;1,$K$35=1)</formula>
    </cfRule>
  </conditionalFormatting>
  <conditionalFormatting sqref="D26">
    <cfRule type="expression" dxfId="228" priority="11" stopIfTrue="1">
      <formula>AND($D$26=1,$K$18&lt;&gt;1)</formula>
    </cfRule>
    <cfRule type="expression" dxfId="227" priority="12" stopIfTrue="1">
      <formula>AND($D$26&lt;&gt;1,$D$35=1)</formula>
    </cfRule>
  </conditionalFormatting>
  <conditionalFormatting sqref="K26">
    <cfRule type="expression" dxfId="226" priority="13" stopIfTrue="1">
      <formula>OR(AND($K$26=1,$K$17&lt;&gt;1),AND($K$26=1,$K$10&lt;&gt;1),AND($K$26=1,$K$18&lt;&gt;1))</formula>
    </cfRule>
    <cfRule type="expression" dxfId="225" priority="14" stopIfTrue="1">
      <formula>AND($K$26&lt;&gt;1,$K$36=1)</formula>
    </cfRule>
  </conditionalFormatting>
  <conditionalFormatting sqref="D34">
    <cfRule type="expression" dxfId="224" priority="15" stopIfTrue="1">
      <formula>AND($D$34=1,$D$25&lt;&gt;1)</formula>
    </cfRule>
  </conditionalFormatting>
  <conditionalFormatting sqref="D35">
    <cfRule type="expression" dxfId="223" priority="16" stopIfTrue="1">
      <formula>AND($D$35=1,$D$26&lt;&gt;1)</formula>
    </cfRule>
  </conditionalFormatting>
  <conditionalFormatting sqref="K35">
    <cfRule type="expression" dxfId="222" priority="17" stopIfTrue="1">
      <formula>AND($K$35=1,$K$25&lt;&gt;1)</formula>
    </cfRule>
  </conditionalFormatting>
  <conditionalFormatting sqref="K36">
    <cfRule type="expression" dxfId="221" priority="18" stopIfTrue="1">
      <formula>AND($K$36=1,$K$26&lt;&gt;1)</formula>
    </cfRule>
  </conditionalFormatting>
  <conditionalFormatting sqref="E36">
    <cfRule type="expression" dxfId="220" priority="19" stopIfTrue="1">
      <formula>$D$36=1</formula>
    </cfRule>
  </conditionalFormatting>
  <conditionalFormatting sqref="K18">
    <cfRule type="expression" dxfId="219" priority="20" stopIfTrue="1">
      <formula>OR(AND($K$18=1,$K$17&lt;&gt;1),AND($K$18=1,$K$17&lt;&gt;1))</formula>
    </cfRule>
    <cfRule type="expression" dxfId="218" priority="21" stopIfTrue="1">
      <formula>OR(AND($K$18&lt;&gt;1,$K$26=1),AND($K$18&lt;&gt;1,$D$26=1))</formula>
    </cfRule>
  </conditionalFormatting>
  <conditionalFormatting sqref="K19">
    <cfRule type="expression" dxfId="217" priority="22" stopIfTrue="1">
      <formula>AND($K$10&lt;&gt;1,$K$26=1)</formula>
    </cfRule>
  </conditionalFormatting>
  <conditionalFormatting sqref="D9">
    <cfRule type="expression" dxfId="216" priority="23" stopIfTrue="1">
      <formula>OR(AND($D$9&lt;&gt;1,$K$10=1),AND($D$9&lt;&gt;1,$K$9=1))</formula>
    </cfRule>
  </conditionalFormatting>
  <conditionalFormatting sqref="D17">
    <cfRule type="expression" dxfId="215" priority="24" stopIfTrue="1">
      <formula>AND($K$10&lt;&gt;1,$D$17=1)</formula>
    </cfRule>
  </conditionalFormatting>
  <conditionalFormatting sqref="D16">
    <cfRule type="expression" dxfId="214" priority="25" stopIfTrue="1">
      <formula>AND($D$16=1,$K$10&lt;&gt;1)</formula>
    </cfRule>
    <cfRule type="expression" dxfId="213" priority="26" stopIfTrue="1">
      <formula>AND($D$16&lt;&gt;1,$K$16=1)</formula>
    </cfRule>
  </conditionalFormatting>
  <conditionalFormatting sqref="D18">
    <cfRule type="expression" dxfId="212" priority="27" stopIfTrue="1">
      <formula>AND($D$18=1,$K$9&lt;&gt;1)</formula>
    </cfRule>
    <cfRule type="expression" dxfId="211" priority="28" stopIfTrue="1">
      <formula>AND($D$18&lt;&gt;1,$K$17=1)</formula>
    </cfRule>
    <cfRule type="expression" dxfId="210" priority="29" stopIfTrue="1">
      <formula>AND($D$18&lt;&gt;1,$K$18=1)</formula>
    </cfRule>
  </conditionalFormatting>
  <conditionalFormatting sqref="D19">
    <cfRule type="expression" dxfId="209" priority="30" stopIfTrue="1">
      <formula>AND($D$19&lt;&gt;1,$K$25=1)</formula>
    </cfRule>
  </conditionalFormatting>
  <conditionalFormatting sqref="K16">
    <cfRule type="expression" dxfId="208" priority="31" stopIfTrue="1">
      <formula>OR(AND($K$16=1,$D$16&lt;&gt;1),AND($K$16=1,$K$9&lt;&gt;1))</formula>
    </cfRule>
    <cfRule type="expression" dxfId="207" priority="32" stopIfTrue="1">
      <formula>OR(AND($K$16&lt;&gt;1,$D$25=1),AND($K$16&lt;&gt;1,$K$26=1),AND($K$16&lt;&gt;1,$D$26=1))</formula>
    </cfRule>
    <cfRule type="expression" dxfId="206" priority="33" stopIfTrue="1">
      <formula>AND($K$16&lt;&gt;1,$K$18=1)</formula>
    </cfRule>
  </conditionalFormatting>
  <conditionalFormatting sqref="K17">
    <cfRule type="expression" dxfId="205" priority="34" stopIfTrue="1">
      <formula>AND($K$17=1,$D$18&lt;&gt;1)</formula>
    </cfRule>
    <cfRule type="expression" dxfId="204" priority="35" stopIfTrue="1">
      <formula>OR(AND($K$17&lt;&gt;1,$D$34=1),AND($K$17&lt;&gt;1,$D$35=1),AND($K$17&lt;&gt;1,$K$36=1))</formula>
    </cfRule>
  </conditionalFormatting>
  <conditionalFormatting sqref="K10">
    <cfRule type="expression" dxfId="203" priority="36" stopIfTrue="1">
      <formula>AND($K$10=1,$D$9&lt;&gt;1)</formula>
    </cfRule>
    <cfRule type="expression" dxfId="202" priority="37" stopIfTrue="1">
      <formula>OR(AND($D$17=1,$K$10&lt;&gt;1),AND($D$16=1,$K$10&lt;&gt;1),AND($D$27=1,$K$10&lt;&gt;1))</formula>
    </cfRule>
  </conditionalFormatting>
  <conditionalFormatting sqref="H38">
    <cfRule type="expression" dxfId="201" priority="38" stopIfTrue="1">
      <formula>AND(NOT($B$37=$I$38),LEFT($B$37,3)=LEFT($I$38,3))</formula>
    </cfRule>
  </conditionalFormatting>
  <dataValidations xWindow="622" yWindow="593" count="6">
    <dataValidation type="list" allowBlank="1" showInputMessage="1" showErrorMessage="1" sqref="I11">
      <formula1>$CB$8:$CB$156</formula1>
    </dataValidation>
    <dataValidation type="list" allowBlank="1" showInputMessage="1" showErrorMessage="1" sqref="I28">
      <formula1>$CE$8:$CE$35</formula1>
    </dataValidation>
    <dataValidation type="list" allowBlank="1" showInputMessage="1" showErrorMessage="1" sqref="B29">
      <formula1>$CJ$8:$CJ$57</formula1>
    </dataValidation>
    <dataValidation type="list" allowBlank="1" showInputMessage="1" showErrorMessage="1" sqref="B37">
      <formula1>$CO$8:$CO$155</formula1>
    </dataValidation>
    <dataValidation type="list" allowBlank="1" showInputMessage="1" showErrorMessage="1" sqref="I29">
      <formula1>$CS$8:$CS$23</formula1>
    </dataValidation>
    <dataValidation type="list" allowBlank="1" showInputMessage="1" showErrorMessage="1" promptTitle="Different departments" prompt="Make sure to select social sciences from two different departments" sqref="I38">
      <formula1>$CO$8:$CO$155</formula1>
    </dataValidation>
  </dataValidations>
  <printOptions horizontalCentered="1" verticalCentered="1"/>
  <pageMargins left="0.5" right="0.5" top="0.1" bottom="0.1" header="0.5" footer="0.5"/>
  <pageSetup scale="75" orientation="portrait"/>
  <headerFooter>
    <oddHeader>&amp;L&amp;C&amp;R_x000D__x000D_</oddHeader>
    <oddFooter>&amp;L&amp;C&amp;R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75"/>
  <sheetViews>
    <sheetView topLeftCell="A46" workbookViewId="0">
      <selection activeCell="H35" sqref="H35"/>
    </sheetView>
  </sheetViews>
  <sheetFormatPr defaultColWidth="11.44140625" defaultRowHeight="13.2"/>
  <cols>
    <col min="1" max="1" width="12" customWidth="1"/>
    <col min="2" max="2" width="19.6640625" customWidth="1"/>
    <col min="3" max="3" width="4.33203125" customWidth="1"/>
    <col min="4" max="4" width="3.44140625" customWidth="1"/>
    <col min="5" max="5" width="4.33203125" customWidth="1"/>
    <col min="6" max="6" width="8.5546875" customWidth="1"/>
    <col min="7" max="7" width="2.5546875" customWidth="1"/>
    <col min="8" max="8" width="12" customWidth="1"/>
    <col min="9" max="9" width="19.6640625" customWidth="1"/>
    <col min="10" max="10" width="4.33203125" customWidth="1"/>
    <col min="11" max="11" width="3.44140625" customWidth="1"/>
    <col min="12" max="13" width="6.88671875" customWidth="1"/>
    <col min="14" max="14" width="4.6640625" customWidth="1"/>
    <col min="15" max="15" width="15.6640625" customWidth="1"/>
    <col min="16" max="16" width="22.44140625" customWidth="1"/>
    <col min="17" max="17" width="11.44140625" customWidth="1"/>
    <col min="18" max="18" width="15.44140625" customWidth="1"/>
    <col min="19" max="19" width="11.44140625" customWidth="1"/>
    <col min="20" max="20" width="15.44140625" customWidth="1"/>
    <col min="21" max="29" width="11.44140625" customWidth="1"/>
    <col min="30" max="30" width="4.33203125" customWidth="1"/>
    <col min="31" max="31" width="11.44140625" customWidth="1"/>
    <col min="32" max="34" width="2.6640625" customWidth="1"/>
    <col min="45" max="45" width="18" customWidth="1"/>
    <col min="46" max="46" width="31.5546875" customWidth="1"/>
    <col min="47" max="47" width="14.33203125" customWidth="1"/>
    <col min="48" max="48" width="17.88671875" customWidth="1"/>
  </cols>
  <sheetData>
    <row r="1" spans="1:256" ht="15.75" customHeight="1">
      <c r="A1" s="29"/>
      <c r="B1" s="29"/>
      <c r="C1" s="30"/>
      <c r="D1" s="30"/>
      <c r="E1" s="31" t="s">
        <v>192</v>
      </c>
      <c r="F1" s="31"/>
      <c r="G1" s="32"/>
      <c r="H1" s="29"/>
      <c r="I1" s="29"/>
      <c r="J1" s="31"/>
      <c r="K1" s="29"/>
      <c r="L1" s="29"/>
      <c r="M1" s="29"/>
      <c r="IR1" s="1"/>
      <c r="IS1" s="1"/>
      <c r="IT1" s="1"/>
      <c r="IU1" s="1"/>
      <c r="IV1" s="1"/>
    </row>
    <row r="2" spans="1:256" ht="15.75" customHeight="1">
      <c r="A2" s="29"/>
      <c r="B2" s="29"/>
      <c r="C2" s="30"/>
      <c r="D2" s="30"/>
      <c r="E2" s="31" t="s">
        <v>253</v>
      </c>
      <c r="F2" s="31"/>
      <c r="G2" s="32"/>
      <c r="H2" s="29"/>
      <c r="I2" s="29"/>
      <c r="J2" s="31"/>
      <c r="K2" s="29"/>
      <c r="L2" s="29"/>
      <c r="M2" s="29"/>
      <c r="IR2" s="1"/>
      <c r="IS2" s="1"/>
      <c r="IT2" s="1"/>
      <c r="IU2" s="1"/>
      <c r="IV2" s="1"/>
    </row>
    <row r="3" spans="1:256" ht="12.75" customHeight="1">
      <c r="A3" s="29"/>
      <c r="B3" s="29"/>
      <c r="C3" s="29"/>
      <c r="D3" s="29"/>
      <c r="E3" s="29"/>
      <c r="F3" s="29"/>
      <c r="G3" s="29"/>
      <c r="H3" s="29"/>
      <c r="I3" s="29"/>
      <c r="J3" s="33"/>
      <c r="K3" s="29"/>
      <c r="L3" s="29"/>
      <c r="M3" s="29"/>
    </row>
    <row r="4" spans="1:256" ht="17.25" customHeight="1">
      <c r="A4" s="34" t="s">
        <v>284</v>
      </c>
      <c r="B4" s="97" t="s">
        <v>71</v>
      </c>
      <c r="C4" s="29" t="s">
        <v>164</v>
      </c>
      <c r="D4" s="260" t="s">
        <v>72</v>
      </c>
      <c r="E4" s="275"/>
      <c r="F4" s="32" t="s">
        <v>204</v>
      </c>
      <c r="G4" s="260" t="s">
        <v>149</v>
      </c>
      <c r="H4" s="275"/>
      <c r="I4" s="36" t="s">
        <v>84</v>
      </c>
      <c r="J4" s="261" t="s">
        <v>150</v>
      </c>
      <c r="K4" s="275"/>
      <c r="L4" s="275"/>
      <c r="M4" s="185"/>
    </row>
    <row r="5" spans="1:256" ht="10.5" customHeight="1" thickBot="1">
      <c r="A5" s="29"/>
      <c r="B5" s="29"/>
      <c r="C5" s="29"/>
      <c r="D5" s="29"/>
      <c r="E5" s="29"/>
      <c r="F5" s="29"/>
      <c r="G5" s="29"/>
      <c r="H5" s="29"/>
      <c r="I5" s="29"/>
      <c r="J5" s="33"/>
      <c r="K5" s="29"/>
      <c r="L5" s="29"/>
      <c r="M5" s="29"/>
    </row>
    <row r="6" spans="1:256" ht="15.75" customHeight="1">
      <c r="A6" s="37"/>
      <c r="B6" s="38" t="s">
        <v>292</v>
      </c>
      <c r="C6" s="39"/>
      <c r="D6" s="39"/>
      <c r="E6" s="39"/>
      <c r="F6" s="40"/>
      <c r="G6" s="41"/>
      <c r="H6" s="40"/>
      <c r="I6" s="38" t="s">
        <v>293</v>
      </c>
      <c r="J6" s="39"/>
      <c r="K6" s="40"/>
      <c r="L6" s="42"/>
      <c r="M6" s="65"/>
      <c r="BC6" t="s">
        <v>275</v>
      </c>
      <c r="IR6" s="1"/>
      <c r="IS6" s="1"/>
      <c r="IT6" s="1"/>
      <c r="IU6" s="1"/>
      <c r="IV6" s="1"/>
    </row>
    <row r="7" spans="1:256" ht="15.75" customHeight="1" thickBot="1">
      <c r="A7" s="43"/>
      <c r="B7" s="44"/>
      <c r="C7" s="45"/>
      <c r="D7" s="45"/>
      <c r="E7" s="45"/>
      <c r="F7" s="46" t="s">
        <v>139</v>
      </c>
      <c r="G7" s="47"/>
      <c r="H7" s="48"/>
      <c r="I7" s="44"/>
      <c r="J7" s="45"/>
      <c r="K7" s="48"/>
      <c r="L7" s="49"/>
      <c r="M7" s="65"/>
      <c r="BC7" t="s">
        <v>85</v>
      </c>
      <c r="BE7" t="s">
        <v>274</v>
      </c>
      <c r="IR7" s="1"/>
      <c r="IS7" s="1"/>
      <c r="IT7" s="1"/>
      <c r="IU7" s="1"/>
      <c r="IV7" s="1"/>
    </row>
    <row r="8" spans="1:256" ht="15.75" customHeight="1" thickBot="1">
      <c r="A8" s="50" t="s">
        <v>42</v>
      </c>
      <c r="B8" s="51" t="s">
        <v>165</v>
      </c>
      <c r="C8" s="52">
        <v>4</v>
      </c>
      <c r="D8" s="93"/>
      <c r="E8" s="53"/>
      <c r="F8" s="52"/>
      <c r="G8" s="51"/>
      <c r="H8" s="51" t="s">
        <v>166</v>
      </c>
      <c r="I8" s="51" t="s">
        <v>136</v>
      </c>
      <c r="J8" s="52">
        <v>4</v>
      </c>
      <c r="K8" s="93"/>
      <c r="L8" s="54"/>
      <c r="M8" s="53"/>
      <c r="BC8" t="str">
        <f>A8</f>
        <v>GEN 1001</v>
      </c>
      <c r="BD8">
        <f>C8</f>
        <v>4</v>
      </c>
      <c r="BE8" t="str">
        <f>H16</f>
        <v>GEN2012</v>
      </c>
      <c r="BF8">
        <f>J16</f>
        <v>4</v>
      </c>
      <c r="IR8" s="1"/>
      <c r="IS8" s="1"/>
      <c r="IT8" s="1"/>
      <c r="IU8" s="1"/>
      <c r="IV8" s="1"/>
    </row>
    <row r="9" spans="1:256" ht="15.75" customHeight="1" thickBot="1">
      <c r="A9" s="55" t="s">
        <v>167</v>
      </c>
      <c r="B9" s="51" t="s">
        <v>89</v>
      </c>
      <c r="C9" s="52">
        <v>4</v>
      </c>
      <c r="D9" s="93"/>
      <c r="E9" s="53"/>
      <c r="F9" s="52"/>
      <c r="G9" s="51"/>
      <c r="H9" s="51" t="s">
        <v>168</v>
      </c>
      <c r="I9" s="51" t="s">
        <v>90</v>
      </c>
      <c r="J9" s="52">
        <v>4</v>
      </c>
      <c r="K9" s="93"/>
      <c r="L9" s="54"/>
      <c r="M9" s="53"/>
      <c r="N9" s="85"/>
      <c r="O9" s="86" t="s">
        <v>151</v>
      </c>
      <c r="BC9" t="str">
        <f>A16</f>
        <v>GEN2010</v>
      </c>
      <c r="BD9">
        <f>C16</f>
        <v>4</v>
      </c>
      <c r="BE9" t="str">
        <f>H18</f>
        <v>GEN 3040</v>
      </c>
      <c r="BF9">
        <f>J18</f>
        <v>4</v>
      </c>
      <c r="IR9" s="1"/>
      <c r="IS9" s="1"/>
      <c r="IT9" s="1"/>
      <c r="IU9" s="1"/>
      <c r="IV9" s="1"/>
    </row>
    <row r="10" spans="1:256" ht="15.75" customHeight="1" thickBot="1">
      <c r="A10" s="55" t="s">
        <v>43</v>
      </c>
      <c r="B10" s="51" t="s">
        <v>44</v>
      </c>
      <c r="C10" s="52">
        <v>4</v>
      </c>
      <c r="D10" s="93"/>
      <c r="E10" s="53"/>
      <c r="F10" s="52"/>
      <c r="G10" s="51"/>
      <c r="H10" s="56" t="s">
        <v>156</v>
      </c>
      <c r="I10" s="108" t="s">
        <v>137</v>
      </c>
      <c r="J10" s="52">
        <v>4</v>
      </c>
      <c r="K10" s="93"/>
      <c r="L10" s="54"/>
      <c r="M10" s="53"/>
      <c r="N10" s="87"/>
      <c r="O10" s="88" t="s">
        <v>202</v>
      </c>
      <c r="BC10" t="str">
        <f>A19</f>
        <v>CEN 2001</v>
      </c>
      <c r="BD10">
        <f>C19</f>
        <v>4</v>
      </c>
      <c r="BE10" t="str">
        <f>H25</f>
        <v>CEN3030</v>
      </c>
      <c r="BF10">
        <f>J25</f>
        <v>4</v>
      </c>
      <c r="IR10" s="1"/>
      <c r="IS10" s="1"/>
      <c r="IT10" s="1"/>
      <c r="IU10" s="1"/>
      <c r="IV10" s="1"/>
    </row>
    <row r="11" spans="1:256" ht="15.75" customHeight="1" thickBot="1">
      <c r="A11" s="50" t="s">
        <v>380</v>
      </c>
      <c r="B11" s="51" t="s">
        <v>155</v>
      </c>
      <c r="C11" s="52">
        <v>4</v>
      </c>
      <c r="D11" s="93"/>
      <c r="E11" s="53"/>
      <c r="F11" s="52"/>
      <c r="G11" s="51"/>
      <c r="H11" s="51" t="s">
        <v>45</v>
      </c>
      <c r="I11" s="108" t="s">
        <v>331</v>
      </c>
      <c r="J11" s="52">
        <v>4</v>
      </c>
      <c r="K11" s="93"/>
      <c r="L11" s="54"/>
      <c r="M11" s="53"/>
      <c r="N11" s="89"/>
      <c r="O11" s="90" t="s">
        <v>203</v>
      </c>
      <c r="BC11" t="str">
        <f>A34</f>
        <v>CEN3010</v>
      </c>
      <c r="BD11">
        <f>C34</f>
        <v>4</v>
      </c>
      <c r="BE11" t="str">
        <f>H26</f>
        <v>CEN3050</v>
      </c>
      <c r="BF11">
        <f>J26</f>
        <v>4</v>
      </c>
      <c r="IR11" s="1"/>
      <c r="IS11" s="1"/>
      <c r="IT11" s="1"/>
      <c r="IU11" s="1"/>
      <c r="IV11" s="1"/>
    </row>
    <row r="12" spans="1:256" ht="15.75" customHeight="1">
      <c r="A12" s="50"/>
      <c r="B12" s="51"/>
      <c r="C12" s="52"/>
      <c r="D12" s="57"/>
      <c r="E12" s="57"/>
      <c r="F12" s="52"/>
      <c r="G12" s="51"/>
      <c r="H12" s="51"/>
      <c r="I12" s="58"/>
      <c r="J12" s="52"/>
      <c r="K12" s="57"/>
      <c r="L12" s="59"/>
      <c r="M12" s="57"/>
      <c r="BC12" t="str">
        <f>A35</f>
        <v>CEN3020</v>
      </c>
      <c r="BD12">
        <f>C35</f>
        <v>4</v>
      </c>
      <c r="BE12" t="str">
        <f>H27</f>
        <v>CEN3090</v>
      </c>
      <c r="BF12">
        <f>J27</f>
        <v>1</v>
      </c>
      <c r="IR12" s="1"/>
      <c r="IS12" s="1"/>
      <c r="IT12" s="1"/>
      <c r="IU12" s="1"/>
      <c r="IV12" s="1"/>
    </row>
    <row r="13" spans="1:256" ht="15.75" customHeight="1">
      <c r="A13" s="60"/>
      <c r="B13" s="61"/>
      <c r="C13" s="62">
        <f>SUM(C8:C12)</f>
        <v>16</v>
      </c>
      <c r="D13" s="63"/>
      <c r="E13" s="63"/>
      <c r="F13" s="62"/>
      <c r="G13" s="61"/>
      <c r="H13" s="61"/>
      <c r="I13" s="61"/>
      <c r="J13" s="62">
        <f>SUM(J8:J12)</f>
        <v>16</v>
      </c>
      <c r="K13" s="63"/>
      <c r="L13" s="64"/>
      <c r="M13" s="57"/>
      <c r="BC13" t="str">
        <f>B43</f>
        <v>Elective (course here)</v>
      </c>
      <c r="BD13">
        <f>C43</f>
        <v>4</v>
      </c>
      <c r="BE13" t="str">
        <f>H43</f>
        <v>CEN 4901</v>
      </c>
      <c r="BF13">
        <f>J43</f>
        <v>4</v>
      </c>
      <c r="IR13" s="1"/>
      <c r="IS13" s="1"/>
      <c r="IT13" s="1"/>
      <c r="IU13" s="1"/>
      <c r="IV13" s="1"/>
    </row>
    <row r="14" spans="1:256" ht="12" customHeight="1" thickBot="1">
      <c r="A14" s="28"/>
      <c r="B14" s="65"/>
      <c r="C14" s="65"/>
      <c r="D14" s="52" t="s">
        <v>130</v>
      </c>
      <c r="E14" s="52" t="s">
        <v>130</v>
      </c>
      <c r="F14" s="52"/>
      <c r="G14" s="51"/>
      <c r="H14" s="65"/>
      <c r="I14" s="65"/>
      <c r="J14" s="65"/>
      <c r="K14" s="52" t="s">
        <v>130</v>
      </c>
      <c r="L14" s="66" t="s">
        <v>130</v>
      </c>
      <c r="M14" s="52"/>
      <c r="IR14" s="1"/>
      <c r="IS14" s="1"/>
      <c r="IT14" s="1"/>
      <c r="IU14" s="1"/>
      <c r="IV14" s="1"/>
    </row>
    <row r="15" spans="1:256" ht="16.5" customHeight="1" thickTop="1" thickBot="1">
      <c r="A15" s="43"/>
      <c r="B15" s="48"/>
      <c r="C15" s="48"/>
      <c r="D15" s="67"/>
      <c r="E15" s="67"/>
      <c r="F15" s="45" t="s">
        <v>138</v>
      </c>
      <c r="G15" s="47"/>
      <c r="H15" s="48"/>
      <c r="I15" s="48"/>
      <c r="J15" s="48"/>
      <c r="K15" s="67"/>
      <c r="L15" s="68"/>
      <c r="M15" s="52"/>
      <c r="O15" s="94" t="s">
        <v>70</v>
      </c>
      <c r="P15" s="95"/>
      <c r="Q15" s="95"/>
      <c r="R15" s="96"/>
      <c r="BC15" t="str">
        <f>B44</f>
        <v>Elective (course here)</v>
      </c>
      <c r="BD15">
        <f>C44</f>
        <v>4</v>
      </c>
      <c r="BE15" t="str">
        <f>I44</f>
        <v>Elective (course here)</v>
      </c>
      <c r="BF15">
        <f>J44</f>
        <v>4</v>
      </c>
      <c r="IR15" s="1"/>
      <c r="IS15" s="1"/>
      <c r="IT15" s="1"/>
      <c r="IU15" s="1"/>
      <c r="IV15" s="1"/>
    </row>
    <row r="16" spans="1:256" ht="15" customHeight="1" thickBot="1">
      <c r="A16" s="55" t="s">
        <v>46</v>
      </c>
      <c r="B16" s="51" t="s">
        <v>193</v>
      </c>
      <c r="C16" s="52">
        <v>4</v>
      </c>
      <c r="D16" s="93"/>
      <c r="E16" s="53"/>
      <c r="F16" s="52"/>
      <c r="G16" s="51"/>
      <c r="H16" s="56" t="s">
        <v>47</v>
      </c>
      <c r="I16" s="51" t="s">
        <v>270</v>
      </c>
      <c r="J16" s="52">
        <v>4</v>
      </c>
      <c r="K16" s="93"/>
      <c r="L16" s="54"/>
      <c r="M16" s="53"/>
      <c r="O16" s="250" t="s">
        <v>198</v>
      </c>
      <c r="P16" s="251"/>
      <c r="Q16" s="251"/>
      <c r="R16" s="252"/>
      <c r="BE16" t="str">
        <f>I45</f>
        <v>Elective (course here)</v>
      </c>
      <c r="BF16">
        <f>J45</f>
        <v>4</v>
      </c>
      <c r="IR16" s="1"/>
      <c r="IS16" s="1"/>
      <c r="IT16" s="1"/>
      <c r="IU16" s="1"/>
      <c r="IV16" s="1"/>
    </row>
    <row r="17" spans="1:256" ht="15.75" customHeight="1" thickBot="1">
      <c r="A17" s="55" t="s">
        <v>48</v>
      </c>
      <c r="B17" s="51" t="s">
        <v>49</v>
      </c>
      <c r="C17" s="52">
        <v>4</v>
      </c>
      <c r="D17" s="93"/>
      <c r="E17" s="53"/>
      <c r="F17" s="52"/>
      <c r="G17" s="51"/>
      <c r="H17" s="56" t="s">
        <v>272</v>
      </c>
      <c r="I17" s="51" t="s">
        <v>132</v>
      </c>
      <c r="J17" s="52">
        <v>4</v>
      </c>
      <c r="K17" s="93"/>
      <c r="L17" s="54"/>
      <c r="M17" s="53"/>
      <c r="O17" s="250"/>
      <c r="P17" s="251"/>
      <c r="Q17" s="251"/>
      <c r="R17" s="252"/>
      <c r="BE17" t="str">
        <f>H46</f>
        <v>CEN 4900</v>
      </c>
      <c r="BF17">
        <f>J46</f>
        <v>1</v>
      </c>
      <c r="IR17" s="1"/>
      <c r="IS17" s="1"/>
      <c r="IT17" s="1"/>
      <c r="IU17" s="1"/>
      <c r="IV17" s="1"/>
    </row>
    <row r="18" spans="1:256" ht="15.75" customHeight="1" thickBot="1">
      <c r="A18" s="55" t="s">
        <v>273</v>
      </c>
      <c r="B18" s="51" t="s">
        <v>91</v>
      </c>
      <c r="C18" s="52">
        <v>4</v>
      </c>
      <c r="D18" s="93"/>
      <c r="E18" s="53"/>
      <c r="F18" s="52"/>
      <c r="G18" s="51"/>
      <c r="H18" s="56" t="s">
        <v>2</v>
      </c>
      <c r="I18" s="51" t="s">
        <v>140</v>
      </c>
      <c r="J18" s="52">
        <v>4</v>
      </c>
      <c r="K18" s="93"/>
      <c r="L18" s="54"/>
      <c r="M18" s="53"/>
      <c r="O18" s="250" t="s">
        <v>271</v>
      </c>
      <c r="P18" s="251"/>
      <c r="Q18" s="251"/>
      <c r="R18" s="252"/>
      <c r="IR18" s="1"/>
      <c r="IS18" s="1"/>
      <c r="IT18" s="1"/>
      <c r="IU18" s="1"/>
      <c r="IV18" s="1"/>
    </row>
    <row r="19" spans="1:256" ht="15.75" customHeight="1" thickBot="1">
      <c r="A19" s="55" t="s">
        <v>301</v>
      </c>
      <c r="B19" s="51" t="s">
        <v>302</v>
      </c>
      <c r="C19" s="52">
        <v>4</v>
      </c>
      <c r="D19" s="93"/>
      <c r="E19" s="53"/>
      <c r="F19" s="69"/>
      <c r="G19" s="51"/>
      <c r="H19" s="51" t="s">
        <v>3</v>
      </c>
      <c r="I19" s="51" t="s">
        <v>4</v>
      </c>
      <c r="J19" s="52">
        <v>4</v>
      </c>
      <c r="K19" s="93"/>
      <c r="L19" s="54"/>
      <c r="M19" s="53"/>
      <c r="O19" s="250"/>
      <c r="P19" s="251"/>
      <c r="Q19" s="251"/>
      <c r="R19" s="252"/>
      <c r="IR19" s="1"/>
      <c r="IS19" s="1"/>
      <c r="IT19" s="1"/>
      <c r="IU19" s="1"/>
      <c r="IV19" s="1"/>
    </row>
    <row r="20" spans="1:256" ht="15.75" customHeight="1">
      <c r="A20" s="50"/>
      <c r="B20" s="51"/>
      <c r="C20" s="52"/>
      <c r="D20" s="57"/>
      <c r="E20" s="57"/>
      <c r="F20" s="52"/>
      <c r="G20" s="51"/>
      <c r="H20" s="51"/>
      <c r="I20" s="51"/>
      <c r="J20" s="52"/>
      <c r="K20" s="57"/>
      <c r="L20" s="59"/>
      <c r="M20" s="57"/>
      <c r="O20" s="250" t="s">
        <v>298</v>
      </c>
      <c r="P20" s="251"/>
      <c r="Q20" s="251"/>
      <c r="R20" s="252"/>
      <c r="IR20" s="1"/>
      <c r="IS20" s="1"/>
      <c r="IT20" s="1"/>
      <c r="IU20" s="1"/>
      <c r="IV20" s="1"/>
    </row>
    <row r="21" spans="1:256" ht="15.75" customHeight="1">
      <c r="A21" s="50"/>
      <c r="B21" s="51"/>
      <c r="C21" s="52"/>
      <c r="D21" s="57"/>
      <c r="E21" s="57"/>
      <c r="F21" s="52"/>
      <c r="G21" s="51"/>
      <c r="H21" s="51"/>
      <c r="I21" s="51"/>
      <c r="J21" s="52"/>
      <c r="K21" s="57"/>
      <c r="L21" s="59"/>
      <c r="M21" s="57"/>
      <c r="O21" s="250"/>
      <c r="P21" s="251"/>
      <c r="Q21" s="251"/>
      <c r="R21" s="252"/>
      <c r="IR21" s="1"/>
      <c r="IS21" s="1"/>
      <c r="IT21" s="1"/>
      <c r="IU21" s="1"/>
      <c r="IV21" s="1"/>
    </row>
    <row r="22" spans="1:256" ht="15" customHeight="1">
      <c r="A22" s="60"/>
      <c r="B22" s="61"/>
      <c r="C22" s="62">
        <f>SUM(C16:C21)</f>
        <v>16</v>
      </c>
      <c r="D22" s="63"/>
      <c r="E22" s="63"/>
      <c r="F22" s="62"/>
      <c r="G22" s="61"/>
      <c r="H22" s="61"/>
      <c r="I22" s="61"/>
      <c r="J22" s="62">
        <f>SUM(J16:J20)</f>
        <v>16</v>
      </c>
      <c r="K22" s="63"/>
      <c r="L22" s="64"/>
      <c r="M22" s="57"/>
      <c r="O22" s="250" t="s">
        <v>144</v>
      </c>
      <c r="P22" s="251"/>
      <c r="Q22" s="251"/>
      <c r="R22" s="252"/>
      <c r="IR22" s="1"/>
      <c r="IS22" s="1"/>
      <c r="IT22" s="1"/>
      <c r="IU22" s="1"/>
      <c r="IV22" s="1"/>
    </row>
    <row r="23" spans="1:256" ht="16.05" customHeight="1" thickBot="1">
      <c r="A23" s="157"/>
      <c r="B23" s="158"/>
      <c r="C23" s="159"/>
      <c r="D23" s="160" t="s">
        <v>130</v>
      </c>
      <c r="E23" s="160"/>
      <c r="F23" s="162" t="s">
        <v>170</v>
      </c>
      <c r="G23" s="158"/>
      <c r="H23" s="159"/>
      <c r="I23" s="158"/>
      <c r="J23" s="159"/>
      <c r="K23" s="160" t="s">
        <v>130</v>
      </c>
      <c r="L23" s="161" t="s">
        <v>130</v>
      </c>
      <c r="M23" s="52"/>
      <c r="O23" s="253"/>
      <c r="P23" s="254"/>
      <c r="Q23" s="254"/>
      <c r="R23" s="255"/>
      <c r="IR23" s="1"/>
      <c r="IS23" s="1"/>
      <c r="IT23" s="1"/>
      <c r="IU23" s="1"/>
      <c r="IV23" s="1"/>
    </row>
    <row r="24" spans="1:256" ht="15" customHeight="1" thickTop="1" thickBot="1">
      <c r="A24" s="28"/>
      <c r="B24" s="51"/>
      <c r="C24" s="65"/>
      <c r="D24" s="52"/>
      <c r="E24" s="52"/>
      <c r="F24" s="45" t="s">
        <v>169</v>
      </c>
      <c r="G24" s="51"/>
      <c r="H24" s="65"/>
      <c r="I24" s="51"/>
      <c r="J24" s="65"/>
      <c r="K24" s="52"/>
      <c r="L24" s="66"/>
      <c r="M24" s="52"/>
      <c r="O24" s="152"/>
      <c r="P24" s="152"/>
      <c r="Q24" s="152"/>
      <c r="R24" s="152"/>
      <c r="IR24" s="1"/>
      <c r="IS24" s="1"/>
      <c r="IT24" s="1"/>
      <c r="IU24" s="1"/>
      <c r="IV24" s="1"/>
    </row>
    <row r="25" spans="1:256" ht="15" customHeight="1" thickBot="1">
      <c r="A25" s="28"/>
      <c r="B25" s="51"/>
      <c r="C25" s="65"/>
      <c r="D25" s="52"/>
      <c r="E25" s="52"/>
      <c r="F25" s="52"/>
      <c r="G25" s="51"/>
      <c r="H25" s="51" t="s">
        <v>303</v>
      </c>
      <c r="I25" s="51" t="s">
        <v>296</v>
      </c>
      <c r="J25" s="52">
        <v>4</v>
      </c>
      <c r="K25" s="93"/>
      <c r="L25" s="66"/>
      <c r="M25" s="52"/>
      <c r="O25" s="152"/>
      <c r="P25" s="152"/>
      <c r="Q25" s="152"/>
      <c r="R25" s="152"/>
      <c r="IR25" s="1"/>
      <c r="IS25" s="1"/>
      <c r="IT25" s="1"/>
      <c r="IU25" s="1"/>
      <c r="IV25" s="1"/>
    </row>
    <row r="26" spans="1:256" ht="15" customHeight="1" thickBot="1">
      <c r="A26" s="28"/>
      <c r="B26" s="51"/>
      <c r="C26" s="65"/>
      <c r="D26" s="52"/>
      <c r="E26" s="52"/>
      <c r="F26" s="52"/>
      <c r="G26" s="51"/>
      <c r="H26" s="56" t="s">
        <v>119</v>
      </c>
      <c r="I26" s="51" t="s">
        <v>190</v>
      </c>
      <c r="J26" s="52">
        <v>4</v>
      </c>
      <c r="K26" s="93"/>
      <c r="L26" s="66"/>
      <c r="M26" s="52"/>
      <c r="O26" s="152"/>
      <c r="P26" s="152"/>
      <c r="Q26" s="152"/>
      <c r="R26" s="152"/>
      <c r="IR26" s="1"/>
      <c r="IS26" s="1"/>
      <c r="IT26" s="1"/>
      <c r="IU26" s="1"/>
      <c r="IV26" s="1"/>
    </row>
    <row r="27" spans="1:256" ht="15" customHeight="1" thickBot="1">
      <c r="A27" s="28"/>
      <c r="B27" s="163" t="s">
        <v>171</v>
      </c>
      <c r="C27" s="65"/>
      <c r="D27" s="52"/>
      <c r="E27" s="52"/>
      <c r="F27" s="52"/>
      <c r="G27" s="51"/>
      <c r="H27" s="65" t="s">
        <v>120</v>
      </c>
      <c r="I27" s="51" t="s">
        <v>9</v>
      </c>
      <c r="J27" s="52">
        <v>1</v>
      </c>
      <c r="K27" s="93"/>
      <c r="L27" s="66"/>
      <c r="M27" s="52"/>
      <c r="O27" s="152"/>
      <c r="P27" s="152"/>
      <c r="Q27" s="152"/>
      <c r="R27" s="152"/>
      <c r="IR27" s="1"/>
      <c r="IS27" s="1"/>
      <c r="IT27" s="1"/>
      <c r="IU27" s="1"/>
      <c r="IV27" s="1"/>
    </row>
    <row r="28" spans="1:256" ht="15" customHeight="1" thickBot="1">
      <c r="A28" s="28"/>
      <c r="C28" s="65"/>
      <c r="D28" s="52"/>
      <c r="E28" s="52"/>
      <c r="F28" s="52"/>
      <c r="G28" s="51"/>
      <c r="H28" s="51" t="s">
        <v>10</v>
      </c>
      <c r="I28" s="51" t="s">
        <v>331</v>
      </c>
      <c r="J28" s="52">
        <v>4</v>
      </c>
      <c r="K28" s="93"/>
      <c r="L28" s="66"/>
      <c r="M28" s="52"/>
      <c r="O28" s="152"/>
      <c r="P28" s="152"/>
      <c r="Q28" s="152"/>
      <c r="R28" s="152"/>
      <c r="IR28" s="1"/>
      <c r="IS28" s="1"/>
      <c r="IT28" s="1"/>
      <c r="IU28" s="1"/>
      <c r="IV28" s="1"/>
    </row>
    <row r="29" spans="1:256" ht="15" customHeight="1" thickBot="1">
      <c r="A29" s="28"/>
      <c r="B29" s="51"/>
      <c r="C29" s="65"/>
      <c r="D29" s="52"/>
      <c r="E29" s="52"/>
      <c r="F29" s="52"/>
      <c r="G29" s="51"/>
      <c r="H29" s="65" t="s">
        <v>11</v>
      </c>
      <c r="I29" s="108" t="s">
        <v>331</v>
      </c>
      <c r="J29" s="71">
        <v>4</v>
      </c>
      <c r="K29" s="93"/>
      <c r="L29" s="66"/>
      <c r="M29" s="52"/>
      <c r="O29" s="152"/>
      <c r="P29" s="152"/>
      <c r="Q29" s="152"/>
      <c r="R29" s="152"/>
      <c r="IR29" s="1"/>
      <c r="IS29" s="1"/>
      <c r="IT29" s="1"/>
      <c r="IU29" s="1"/>
      <c r="IV29" s="1"/>
    </row>
    <row r="30" spans="1:256" ht="15" customHeight="1">
      <c r="A30" s="28"/>
      <c r="B30" s="51"/>
      <c r="C30" s="65"/>
      <c r="D30" s="52"/>
      <c r="E30" s="52"/>
      <c r="F30" s="52"/>
      <c r="G30" s="51"/>
      <c r="H30" s="51"/>
      <c r="I30" s="51"/>
      <c r="J30" s="53"/>
      <c r="K30" s="57"/>
      <c r="L30" s="66"/>
      <c r="M30" s="52"/>
      <c r="O30" s="152"/>
      <c r="P30" s="152"/>
      <c r="Q30" s="152"/>
      <c r="R30" s="152"/>
      <c r="IR30" s="1"/>
      <c r="IS30" s="1"/>
      <c r="IT30" s="1"/>
      <c r="IU30" s="1"/>
      <c r="IV30" s="1"/>
    </row>
    <row r="31" spans="1:256" ht="15" customHeight="1">
      <c r="A31" s="28"/>
      <c r="B31" s="51"/>
      <c r="C31" s="65"/>
      <c r="D31" s="52"/>
      <c r="E31" s="52"/>
      <c r="F31" s="52"/>
      <c r="G31" s="51"/>
      <c r="H31" s="51"/>
      <c r="I31" s="51"/>
      <c r="J31" s="52">
        <f>SUM(J25:J29)</f>
        <v>17</v>
      </c>
      <c r="K31" s="57"/>
      <c r="L31" s="66"/>
      <c r="M31" s="52"/>
      <c r="O31" s="152"/>
      <c r="P31" s="152"/>
      <c r="Q31" s="152"/>
      <c r="R31" s="152"/>
      <c r="IR31" s="1"/>
      <c r="IS31" s="1"/>
      <c r="IT31" s="1"/>
      <c r="IU31" s="1"/>
      <c r="IV31" s="1"/>
    </row>
    <row r="32" spans="1:256" ht="15" customHeight="1">
      <c r="A32" s="157"/>
      <c r="B32" s="158"/>
      <c r="C32" s="159"/>
      <c r="D32" s="160"/>
      <c r="E32" s="160"/>
      <c r="F32" s="162" t="s">
        <v>170</v>
      </c>
      <c r="G32" s="158"/>
      <c r="H32" s="159"/>
      <c r="I32" s="158"/>
      <c r="J32" s="159"/>
      <c r="K32" s="160"/>
      <c r="L32" s="161"/>
      <c r="M32" s="52"/>
      <c r="O32" s="152"/>
      <c r="P32" s="152"/>
      <c r="Q32" s="152"/>
      <c r="R32" s="152"/>
      <c r="IR32" s="1"/>
      <c r="IS32" s="1"/>
      <c r="IT32" s="1"/>
      <c r="IU32" s="1"/>
      <c r="IV32" s="1"/>
    </row>
    <row r="33" spans="1:256" ht="12.75" customHeight="1" thickBot="1">
      <c r="A33" s="43"/>
      <c r="B33" s="47"/>
      <c r="C33" s="48"/>
      <c r="D33" s="67"/>
      <c r="E33" s="67"/>
      <c r="F33" s="45" t="s">
        <v>173</v>
      </c>
      <c r="G33" s="47"/>
      <c r="H33" s="48"/>
      <c r="I33" s="47"/>
      <c r="J33" s="48"/>
      <c r="K33" s="67"/>
      <c r="L33" s="68"/>
      <c r="M33" s="52"/>
      <c r="IR33" s="1"/>
      <c r="IS33" s="1"/>
      <c r="IT33" s="1"/>
      <c r="IU33" s="1"/>
      <c r="IV33" s="1"/>
    </row>
    <row r="34" spans="1:256" ht="15.75" customHeight="1" thickBot="1">
      <c r="A34" s="50" t="s">
        <v>219</v>
      </c>
      <c r="B34" s="51" t="s">
        <v>5</v>
      </c>
      <c r="C34" s="52">
        <v>4</v>
      </c>
      <c r="D34" s="93"/>
      <c r="E34" s="53"/>
      <c r="F34" s="52"/>
      <c r="G34" s="65"/>
      <c r="L34" s="54"/>
      <c r="M34" s="53"/>
      <c r="BC34" t="s">
        <v>86</v>
      </c>
    </row>
    <row r="35" spans="1:256" ht="15.75" customHeight="1" thickBot="1">
      <c r="A35" s="55" t="s">
        <v>220</v>
      </c>
      <c r="B35" s="51" t="s">
        <v>6</v>
      </c>
      <c r="C35" s="52">
        <v>4</v>
      </c>
      <c r="D35" s="93"/>
      <c r="E35" s="53"/>
      <c r="F35" s="52"/>
      <c r="G35" s="65"/>
      <c r="L35" s="54"/>
      <c r="M35" s="53"/>
      <c r="BC35" t="str">
        <f>BC9</f>
        <v>GEN2010</v>
      </c>
      <c r="BD35">
        <f>BD9</f>
        <v>4</v>
      </c>
      <c r="BE35" t="str">
        <f>BE8</f>
        <v>GEN2012</v>
      </c>
      <c r="BF35">
        <f>BF8+2+3</f>
        <v>9</v>
      </c>
    </row>
    <row r="36" spans="1:256" ht="15.75" customHeight="1" thickBot="1">
      <c r="A36" s="50" t="s">
        <v>7</v>
      </c>
      <c r="B36" s="51" t="s">
        <v>221</v>
      </c>
      <c r="C36" s="52">
        <v>2</v>
      </c>
      <c r="D36" s="93"/>
      <c r="E36" s="53"/>
      <c r="F36" s="52"/>
      <c r="G36" s="65"/>
      <c r="I36" s="163" t="s">
        <v>172</v>
      </c>
      <c r="L36" s="54"/>
      <c r="M36" s="53"/>
      <c r="BC36" t="str">
        <f>BC11</f>
        <v>CEN3010</v>
      </c>
      <c r="BD36">
        <f>BD11</f>
        <v>4</v>
      </c>
    </row>
    <row r="37" spans="1:256" ht="15.75" customHeight="1" thickBot="1">
      <c r="A37" s="50" t="s">
        <v>381</v>
      </c>
      <c r="B37" s="108" t="s">
        <v>382</v>
      </c>
      <c r="C37" s="52">
        <v>4</v>
      </c>
      <c r="D37" s="93"/>
      <c r="E37" s="53"/>
      <c r="F37" s="52"/>
      <c r="G37" s="65"/>
      <c r="L37" s="54"/>
      <c r="M37" s="53"/>
      <c r="BC37" t="str">
        <f>BC13</f>
        <v>Elective (course here)</v>
      </c>
      <c r="BD37">
        <f>BD13</f>
        <v>4</v>
      </c>
    </row>
    <row r="38" spans="1:256" ht="15.75" customHeight="1" thickBot="1">
      <c r="A38" s="28" t="s">
        <v>8</v>
      </c>
      <c r="B38" s="108" t="s">
        <v>331</v>
      </c>
      <c r="C38" s="71">
        <v>4</v>
      </c>
      <c r="D38" s="93"/>
      <c r="E38" s="53"/>
      <c r="F38" s="53"/>
      <c r="G38" s="65"/>
      <c r="L38" s="54"/>
      <c r="M38" s="53"/>
    </row>
    <row r="39" spans="1:256" ht="15.75" customHeight="1">
      <c r="A39" s="50"/>
      <c r="B39" s="51"/>
      <c r="C39" s="52"/>
      <c r="D39" s="57"/>
      <c r="E39" s="57"/>
      <c r="F39" s="52"/>
      <c r="G39" s="65"/>
      <c r="L39" s="59"/>
      <c r="M39" s="57"/>
    </row>
    <row r="40" spans="1:256" ht="15" customHeight="1">
      <c r="A40" s="60"/>
      <c r="B40" s="61"/>
      <c r="C40" s="62">
        <f>C34+C35+C36+C37+C38</f>
        <v>18</v>
      </c>
      <c r="D40" s="63"/>
      <c r="E40" s="63"/>
      <c r="F40" s="62"/>
      <c r="G40" s="35"/>
      <c r="L40" s="64"/>
      <c r="M40" s="57"/>
    </row>
    <row r="41" spans="1:256" ht="16.05" customHeight="1">
      <c r="A41" s="28"/>
      <c r="B41" s="65"/>
      <c r="C41" s="65"/>
      <c r="D41" s="52" t="s">
        <v>130</v>
      </c>
      <c r="E41" s="52"/>
      <c r="F41" s="162" t="s">
        <v>170</v>
      </c>
      <c r="G41" s="65"/>
      <c r="H41" s="159"/>
      <c r="I41" s="159"/>
      <c r="J41" s="159"/>
      <c r="K41" s="160" t="s">
        <v>130</v>
      </c>
      <c r="L41" s="66" t="s">
        <v>130</v>
      </c>
      <c r="M41" s="52"/>
    </row>
    <row r="42" spans="1:256" ht="16.5" customHeight="1" thickBot="1">
      <c r="A42" s="43"/>
      <c r="B42" s="48"/>
      <c r="C42" s="48"/>
      <c r="D42" s="67"/>
      <c r="E42" s="67"/>
      <c r="F42" s="45" t="s">
        <v>129</v>
      </c>
      <c r="G42" s="48"/>
      <c r="H42" s="48"/>
      <c r="I42" s="48"/>
      <c r="J42" s="48"/>
      <c r="K42" s="67"/>
      <c r="L42" s="68"/>
      <c r="M42" s="52"/>
      <c r="BC42" t="s">
        <v>87</v>
      </c>
    </row>
    <row r="43" spans="1:256" ht="15.75" customHeight="1" thickBot="1">
      <c r="A43" s="50" t="s">
        <v>5</v>
      </c>
      <c r="B43" s="51" t="s">
        <v>331</v>
      </c>
      <c r="C43" s="52">
        <v>4</v>
      </c>
      <c r="D43" s="93"/>
      <c r="E43" s="53"/>
      <c r="F43" s="52"/>
      <c r="G43" s="65"/>
      <c r="H43" s="51" t="s">
        <v>121</v>
      </c>
      <c r="I43" s="51" t="s">
        <v>254</v>
      </c>
      <c r="J43" s="52">
        <v>4</v>
      </c>
      <c r="K43" s="93"/>
      <c r="L43" s="91"/>
      <c r="M43" s="92"/>
      <c r="BC43" t="str">
        <f>BC12</f>
        <v>CEN3020</v>
      </c>
      <c r="BD43">
        <f>BD12+2+3</f>
        <v>9</v>
      </c>
      <c r="BE43" t="str">
        <f>BE9</f>
        <v>GEN 3040</v>
      </c>
      <c r="BF43">
        <f>BF9+2+3</f>
        <v>9</v>
      </c>
    </row>
    <row r="44" spans="1:256" ht="15.75" customHeight="1" thickBot="1">
      <c r="A44" s="29" t="s">
        <v>12</v>
      </c>
      <c r="B44" s="29" t="s">
        <v>331</v>
      </c>
      <c r="C44" s="52">
        <v>4</v>
      </c>
      <c r="D44" s="93"/>
      <c r="E44" s="53"/>
      <c r="F44" s="52"/>
      <c r="G44" s="65"/>
      <c r="H44" s="51" t="s">
        <v>296</v>
      </c>
      <c r="I44" s="51" t="s">
        <v>331</v>
      </c>
      <c r="J44" s="52">
        <v>4</v>
      </c>
      <c r="K44" s="93"/>
      <c r="L44" s="54"/>
      <c r="M44" s="53"/>
      <c r="BC44" t="str">
        <f>BC15</f>
        <v>Elective (course here)</v>
      </c>
      <c r="BD44">
        <f>BD15</f>
        <v>4</v>
      </c>
    </row>
    <row r="45" spans="1:256" ht="15.75" customHeight="1" thickBot="1">
      <c r="A45" s="84" t="s">
        <v>13</v>
      </c>
      <c r="B45" s="108" t="s">
        <v>331</v>
      </c>
      <c r="C45" s="52">
        <v>4</v>
      </c>
      <c r="D45" s="93"/>
      <c r="E45" s="92" t="s">
        <v>14</v>
      </c>
      <c r="F45" s="52"/>
      <c r="G45" s="65"/>
      <c r="H45" s="51" t="s">
        <v>15</v>
      </c>
      <c r="I45" s="29" t="s">
        <v>331</v>
      </c>
      <c r="J45" s="52">
        <v>4</v>
      </c>
      <c r="K45" s="93"/>
      <c r="L45" s="54"/>
      <c r="M45" s="53"/>
    </row>
    <row r="46" spans="1:256" ht="15.75" customHeight="1" thickBot="1">
      <c r="A46" s="51" t="s">
        <v>16</v>
      </c>
      <c r="B46" s="108" t="s">
        <v>331</v>
      </c>
      <c r="C46" s="52">
        <v>4</v>
      </c>
      <c r="D46" s="93"/>
      <c r="E46" s="53"/>
      <c r="F46" s="52"/>
      <c r="G46" s="65"/>
      <c r="H46" s="51" t="s">
        <v>113</v>
      </c>
      <c r="I46" s="51" t="s">
        <v>191</v>
      </c>
      <c r="J46" s="52">
        <v>1</v>
      </c>
      <c r="K46" s="93"/>
      <c r="L46" s="54"/>
      <c r="M46" s="53"/>
      <c r="BC46" t="s">
        <v>88</v>
      </c>
    </row>
    <row r="47" spans="1:256" ht="15.75" customHeight="1" thickBot="1">
      <c r="A47" s="50"/>
      <c r="B47" s="51"/>
      <c r="C47" s="52"/>
      <c r="D47" s="107"/>
      <c r="E47" s="53"/>
      <c r="F47" s="52"/>
      <c r="G47" s="65"/>
      <c r="H47" s="51" t="s">
        <v>16</v>
      </c>
      <c r="I47" s="108" t="s">
        <v>331</v>
      </c>
      <c r="J47" s="52">
        <v>4</v>
      </c>
      <c r="K47" s="93"/>
      <c r="L47" s="54"/>
      <c r="M47" s="53"/>
      <c r="BC47" t="str">
        <f>BC10</f>
        <v>CEN 2001</v>
      </c>
      <c r="BD47">
        <f>BD10+2+3</f>
        <v>9</v>
      </c>
      <c r="BE47" t="str">
        <f>BE11</f>
        <v>CEN3050</v>
      </c>
      <c r="BF47">
        <f>BF11+2+3</f>
        <v>9</v>
      </c>
    </row>
    <row r="48" spans="1:256" ht="15.75" customHeight="1" thickBot="1">
      <c r="A48" s="50"/>
      <c r="B48" s="51"/>
      <c r="C48" s="52"/>
      <c r="D48" s="53"/>
      <c r="E48" s="53"/>
      <c r="F48" s="52"/>
      <c r="G48" s="65"/>
      <c r="H48" s="51"/>
      <c r="I48" s="51"/>
      <c r="J48" s="52"/>
      <c r="K48" s="53"/>
      <c r="L48" s="54"/>
      <c r="M48" s="53"/>
      <c r="BE48" t="str">
        <f>BE12</f>
        <v>CEN3090</v>
      </c>
      <c r="BF48">
        <f>BF12</f>
        <v>1</v>
      </c>
    </row>
    <row r="49" spans="1:256" ht="15.75" customHeight="1" thickBot="1">
      <c r="A49" s="50"/>
      <c r="B49" s="51"/>
      <c r="C49" s="52"/>
      <c r="D49" s="57"/>
      <c r="E49" s="57"/>
      <c r="F49" s="57" t="s">
        <v>114</v>
      </c>
      <c r="G49" s="65"/>
      <c r="H49" s="109"/>
      <c r="I49" s="51"/>
      <c r="J49" s="52"/>
      <c r="K49" s="57"/>
      <c r="L49" s="59"/>
      <c r="M49" s="57"/>
      <c r="BE49" t="str">
        <f>BE16</f>
        <v>Elective (course here)</v>
      </c>
      <c r="BF49">
        <f>BF16</f>
        <v>4</v>
      </c>
      <c r="IR49" s="1"/>
      <c r="IS49" s="1"/>
      <c r="IT49" s="1"/>
      <c r="IU49" s="1"/>
      <c r="IV49" s="1"/>
    </row>
    <row r="50" spans="1:256" ht="15.75" customHeight="1">
      <c r="A50" s="50"/>
      <c r="B50" s="51"/>
      <c r="C50" s="52"/>
      <c r="D50" s="57"/>
      <c r="E50" s="57"/>
      <c r="F50" s="52"/>
      <c r="G50" s="65"/>
      <c r="H50" s="51"/>
      <c r="I50" s="51"/>
      <c r="J50" s="52"/>
      <c r="K50" s="57"/>
      <c r="L50" s="59"/>
      <c r="M50" s="57"/>
      <c r="IR50" s="1"/>
      <c r="IS50" s="1"/>
      <c r="IT50" s="1"/>
      <c r="IU50" s="1"/>
      <c r="IV50" s="1"/>
    </row>
    <row r="51" spans="1:256" ht="15.75" customHeight="1">
      <c r="A51" s="60"/>
      <c r="B51" s="61"/>
      <c r="C51" s="62">
        <f>SUM(C43:C49)</f>
        <v>16</v>
      </c>
      <c r="D51" s="62"/>
      <c r="E51" s="62"/>
      <c r="F51" s="62"/>
      <c r="G51" s="35"/>
      <c r="H51" s="61"/>
      <c r="I51" s="61"/>
      <c r="J51" s="62">
        <f>SUM(J43:J50)</f>
        <v>17</v>
      </c>
      <c r="K51" s="63"/>
      <c r="L51" s="64"/>
      <c r="M51" s="57"/>
      <c r="IR51" s="1"/>
      <c r="IS51" s="1"/>
      <c r="IT51" s="1"/>
      <c r="IU51" s="1"/>
      <c r="IV51" s="1"/>
    </row>
    <row r="52" spans="1:256" ht="12.75" customHeight="1">
      <c r="A52" s="262" t="s">
        <v>115</v>
      </c>
      <c r="B52" s="263"/>
      <c r="C52" s="263"/>
      <c r="D52" s="263"/>
      <c r="E52" s="263"/>
      <c r="F52" s="264"/>
      <c r="G52" s="8"/>
      <c r="H52" s="72" t="s">
        <v>251</v>
      </c>
      <c r="I52" s="3"/>
      <c r="J52" s="3"/>
      <c r="K52" s="3"/>
      <c r="L52" s="9"/>
      <c r="M52" s="4"/>
      <c r="IR52" s="1"/>
      <c r="IS52" s="1"/>
      <c r="IT52" s="1"/>
      <c r="IU52" s="1"/>
      <c r="IV52" s="1"/>
    </row>
    <row r="53" spans="1:256" ht="15.75" customHeight="1">
      <c r="A53" s="106"/>
      <c r="B53" s="98"/>
      <c r="C53" s="98"/>
      <c r="D53" s="98"/>
      <c r="E53" s="98"/>
      <c r="F53" s="99"/>
      <c r="G53" s="73" t="s">
        <v>252</v>
      </c>
      <c r="H53" s="74"/>
      <c r="I53" s="51"/>
      <c r="J53" s="51" t="s">
        <v>131</v>
      </c>
      <c r="K53" s="4"/>
      <c r="L53" s="10"/>
      <c r="M53" s="4"/>
      <c r="BC53" t="s">
        <v>177</v>
      </c>
      <c r="IR53" s="1"/>
      <c r="IS53" s="1"/>
      <c r="IT53" s="1"/>
      <c r="IU53" s="1"/>
      <c r="IV53" s="1"/>
    </row>
    <row r="54" spans="1:256" ht="15.75" customHeight="1">
      <c r="A54" s="125" t="s">
        <v>249</v>
      </c>
      <c r="C54" s="101"/>
      <c r="D54" s="101"/>
      <c r="E54" s="101"/>
      <c r="F54" s="102"/>
      <c r="G54" s="75"/>
      <c r="H54" s="74" t="s">
        <v>244</v>
      </c>
      <c r="I54" s="51"/>
      <c r="J54" s="51">
        <v>4</v>
      </c>
      <c r="K54" s="4"/>
      <c r="L54" s="10"/>
      <c r="M54" s="4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 t="str">
        <f>BC8</f>
        <v>GEN 1001</v>
      </c>
      <c r="BD54" s="1">
        <f>BD8+2+3</f>
        <v>9</v>
      </c>
      <c r="BE54" s="1" t="str">
        <f>BE10</f>
        <v>CEN3030</v>
      </c>
      <c r="BF54" s="1">
        <f>BF10+2</f>
        <v>6</v>
      </c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ht="16.95" customHeight="1">
      <c r="A55" s="126" t="s">
        <v>152</v>
      </c>
      <c r="C55" s="101"/>
      <c r="D55" s="101"/>
      <c r="E55" s="101"/>
      <c r="F55" s="102"/>
      <c r="G55" s="75"/>
      <c r="H55" s="74" t="s">
        <v>258</v>
      </c>
      <c r="I55" s="52"/>
      <c r="J55" s="51">
        <v>4</v>
      </c>
      <c r="K55" s="4"/>
      <c r="L55" s="10"/>
      <c r="M55" s="4"/>
      <c r="N55" s="5"/>
      <c r="BE55" t="str">
        <f>BE17</f>
        <v>CEN 4900</v>
      </c>
      <c r="BF55">
        <f>BF17</f>
        <v>1</v>
      </c>
      <c r="IR55" s="1"/>
      <c r="IS55" s="1"/>
      <c r="IT55" s="1"/>
      <c r="IU55" s="1"/>
      <c r="IV55" s="1"/>
    </row>
    <row r="56" spans="1:256" ht="15.6">
      <c r="A56" s="126" t="s">
        <v>299</v>
      </c>
      <c r="B56" t="s">
        <v>300</v>
      </c>
      <c r="C56" s="101"/>
      <c r="D56" s="101"/>
      <c r="E56" s="101"/>
      <c r="F56" s="102"/>
      <c r="G56" s="76"/>
      <c r="H56" s="74"/>
      <c r="I56" s="70"/>
      <c r="J56" s="70"/>
      <c r="K56" s="7"/>
      <c r="L56" s="11"/>
      <c r="M56" s="7"/>
      <c r="N56" s="1"/>
      <c r="IR56" s="1"/>
      <c r="IS56" s="1"/>
      <c r="IT56" s="1"/>
      <c r="IU56" s="1"/>
      <c r="IV56" s="1"/>
    </row>
    <row r="57" spans="1:256" ht="13.95" customHeight="1">
      <c r="A57" s="127" t="str">
        <f>IF(AND(C8=4,D8=1),CONCATENATE(A8," ",B8),"")</f>
        <v/>
      </c>
      <c r="B57" s="110" t="str">
        <f>IF(AND(C8=4,D8=1),C8,"")</f>
        <v/>
      </c>
      <c r="C57" s="101"/>
      <c r="D57" s="101"/>
      <c r="E57" s="101"/>
      <c r="F57" s="102"/>
      <c r="G57" s="73" t="s">
        <v>294</v>
      </c>
      <c r="H57" s="74"/>
      <c r="I57" s="51"/>
      <c r="J57" s="51"/>
      <c r="K57" s="4"/>
      <c r="L57" s="10"/>
      <c r="M57" s="4"/>
      <c r="IR57" s="1"/>
      <c r="IS57" s="1"/>
      <c r="IT57" s="1"/>
      <c r="IU57" s="1"/>
      <c r="IV57" s="1"/>
    </row>
    <row r="58" spans="1:256" ht="15.75" customHeight="1">
      <c r="A58" s="126"/>
      <c r="C58" s="101"/>
      <c r="D58" s="101"/>
      <c r="E58" s="101"/>
      <c r="F58" s="102"/>
      <c r="G58" s="75" t="s">
        <v>130</v>
      </c>
      <c r="H58" s="74" t="s">
        <v>259</v>
      </c>
      <c r="I58" s="51"/>
      <c r="J58" s="51">
        <v>4</v>
      </c>
      <c r="K58" s="4"/>
      <c r="L58" s="10"/>
      <c r="M58" s="4"/>
      <c r="BC58" t="s">
        <v>178</v>
      </c>
      <c r="IR58" s="1"/>
      <c r="IS58" s="1"/>
      <c r="IT58" s="1"/>
      <c r="IU58" s="1"/>
      <c r="IV58" s="1"/>
    </row>
    <row r="59" spans="1:256" ht="15.75" customHeight="1">
      <c r="A59" s="126" t="s">
        <v>75</v>
      </c>
      <c r="C59" s="101"/>
      <c r="D59" s="101"/>
      <c r="E59" s="101"/>
      <c r="F59" s="102"/>
      <c r="G59" s="75"/>
      <c r="H59" s="74"/>
      <c r="I59" s="51"/>
      <c r="J59" s="51"/>
      <c r="K59" s="4"/>
      <c r="L59" s="10"/>
      <c r="M59" s="4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 t="str">
        <f>BE15</f>
        <v>Elective (course here)</v>
      </c>
      <c r="BF59" s="2">
        <f>BF15</f>
        <v>4</v>
      </c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</row>
    <row r="60" spans="1:256" ht="15.75" customHeight="1">
      <c r="A60" s="126" t="s">
        <v>299</v>
      </c>
      <c r="B60" t="s">
        <v>300</v>
      </c>
      <c r="C60" s="101"/>
      <c r="D60" s="101"/>
      <c r="E60" s="101"/>
      <c r="F60" s="102"/>
      <c r="G60" s="73" t="s">
        <v>295</v>
      </c>
      <c r="H60" s="74"/>
      <c r="I60" s="51"/>
      <c r="J60" s="51"/>
      <c r="K60" s="4"/>
      <c r="L60" s="10"/>
      <c r="M60" s="4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 t="str">
        <f>BE13</f>
        <v>CEN 4901</v>
      </c>
      <c r="BF60" s="1">
        <f>BF13+2</f>
        <v>6</v>
      </c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ht="15.75" customHeight="1">
      <c r="A61" s="127"/>
      <c r="B61" s="110"/>
      <c r="C61" s="101"/>
      <c r="D61" s="101"/>
      <c r="E61" s="101"/>
      <c r="F61" s="102"/>
      <c r="G61" s="75"/>
      <c r="H61" s="74" t="s">
        <v>145</v>
      </c>
      <c r="I61" s="51"/>
      <c r="J61" s="51">
        <v>4</v>
      </c>
      <c r="K61" s="4"/>
      <c r="L61" s="10"/>
      <c r="M61" s="4"/>
      <c r="N61" s="2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ht="15.75" customHeight="1">
      <c r="A62" s="100"/>
      <c r="B62" s="101"/>
      <c r="C62" s="101"/>
      <c r="D62" s="101"/>
      <c r="E62" s="101"/>
      <c r="F62" s="102"/>
      <c r="G62" s="77"/>
      <c r="H62" s="74" t="s">
        <v>146</v>
      </c>
      <c r="I62" s="51"/>
      <c r="J62" s="51">
        <v>4</v>
      </c>
      <c r="K62" s="4"/>
      <c r="L62" s="10"/>
      <c r="M62" s="4"/>
      <c r="N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ht="15.6">
      <c r="A63" s="128" t="s">
        <v>74</v>
      </c>
      <c r="B63" s="129"/>
      <c r="C63" s="101"/>
      <c r="D63" s="101"/>
      <c r="E63" s="101"/>
      <c r="F63" s="102"/>
      <c r="G63" s="77"/>
      <c r="H63" s="53"/>
      <c r="I63" s="53"/>
      <c r="J63" s="53"/>
      <c r="K63" s="4"/>
      <c r="L63" s="10"/>
      <c r="M63" s="4"/>
      <c r="N63" s="1"/>
    </row>
    <row r="64" spans="1:256" ht="15.6">
      <c r="A64" s="130"/>
      <c r="B64" s="101"/>
      <c r="C64" s="101"/>
      <c r="D64" s="101"/>
      <c r="E64" s="101"/>
      <c r="F64" s="102"/>
      <c r="G64" s="78" t="s">
        <v>296</v>
      </c>
      <c r="H64" s="74"/>
      <c r="I64" s="51"/>
      <c r="J64" s="51"/>
      <c r="K64" s="4"/>
      <c r="L64" s="10"/>
      <c r="M64" s="4"/>
      <c r="N64" s="1"/>
    </row>
    <row r="65" spans="1:14" ht="15.6">
      <c r="A65" s="130"/>
      <c r="B65" s="101"/>
      <c r="C65" s="101"/>
      <c r="D65" s="101"/>
      <c r="E65" s="101"/>
      <c r="F65" s="102"/>
      <c r="G65" s="77"/>
      <c r="H65" s="74" t="s">
        <v>147</v>
      </c>
      <c r="I65" s="51"/>
      <c r="J65" s="51">
        <v>4</v>
      </c>
      <c r="K65" s="4"/>
      <c r="L65" s="10"/>
      <c r="M65" s="4"/>
      <c r="N65" s="1"/>
    </row>
    <row r="66" spans="1:14" ht="15.6">
      <c r="A66" s="100"/>
      <c r="B66" s="101"/>
      <c r="C66" s="101"/>
      <c r="D66" s="101"/>
      <c r="E66" s="101"/>
      <c r="F66" s="102"/>
      <c r="G66" s="78"/>
      <c r="H66" s="74" t="s">
        <v>111</v>
      </c>
      <c r="I66" s="51"/>
      <c r="J66" s="51">
        <v>4</v>
      </c>
      <c r="K66" s="4"/>
      <c r="L66" s="10"/>
      <c r="M66" s="4"/>
      <c r="N66" s="1"/>
    </row>
    <row r="67" spans="1:14" ht="15.6">
      <c r="A67" s="271" t="s">
        <v>318</v>
      </c>
      <c r="B67" s="272"/>
      <c r="C67" s="272"/>
      <c r="D67" s="272"/>
      <c r="E67" s="272"/>
      <c r="F67" s="102"/>
      <c r="G67" s="77"/>
      <c r="H67" s="74" t="s">
        <v>217</v>
      </c>
      <c r="I67" s="65"/>
      <c r="J67" s="65">
        <v>4</v>
      </c>
      <c r="K67" s="4"/>
      <c r="L67" s="54"/>
      <c r="M67" s="53"/>
      <c r="N67" s="1"/>
    </row>
    <row r="68" spans="1:14" ht="15.6">
      <c r="A68" s="258"/>
      <c r="B68" s="273"/>
      <c r="C68" s="273"/>
      <c r="D68" s="273"/>
      <c r="E68" s="273"/>
      <c r="F68" s="102"/>
      <c r="G68" s="78"/>
      <c r="H68" s="74"/>
      <c r="I68" s="65"/>
      <c r="J68" s="65"/>
      <c r="K68" s="4"/>
      <c r="L68" s="54"/>
      <c r="M68" s="53"/>
    </row>
    <row r="69" spans="1:14" ht="15.6">
      <c r="A69" s="265" t="s">
        <v>319</v>
      </c>
      <c r="B69" s="270"/>
      <c r="C69" s="274" t="s">
        <v>309</v>
      </c>
      <c r="D69" s="270"/>
      <c r="E69" s="270"/>
      <c r="F69" s="269"/>
      <c r="G69" s="78" t="s">
        <v>212</v>
      </c>
      <c r="H69" s="74"/>
      <c r="I69" s="65"/>
      <c r="J69" s="65"/>
      <c r="K69" s="53"/>
      <c r="L69" s="54"/>
      <c r="M69" s="53"/>
    </row>
    <row r="70" spans="1:14" ht="15.6">
      <c r="A70" s="267" t="s">
        <v>320</v>
      </c>
      <c r="B70" s="270"/>
      <c r="C70" s="270" t="s">
        <v>310</v>
      </c>
      <c r="D70" s="270"/>
      <c r="E70" s="270"/>
      <c r="F70" s="269"/>
      <c r="G70" s="77"/>
      <c r="H70" s="184" t="s">
        <v>211</v>
      </c>
      <c r="I70" s="65"/>
      <c r="J70" s="65"/>
      <c r="K70" s="53"/>
      <c r="L70" s="54"/>
      <c r="M70" s="53"/>
    </row>
    <row r="71" spans="1:14" ht="15.6">
      <c r="A71" s="267" t="s">
        <v>321</v>
      </c>
      <c r="B71" s="270"/>
      <c r="C71" s="270" t="s">
        <v>307</v>
      </c>
      <c r="D71" s="270"/>
      <c r="E71" s="270"/>
      <c r="F71" s="269"/>
      <c r="G71" s="77"/>
      <c r="H71" s="74" t="s">
        <v>218</v>
      </c>
      <c r="I71" s="65"/>
      <c r="J71" s="65">
        <v>4</v>
      </c>
      <c r="K71" s="53"/>
      <c r="L71" s="54"/>
      <c r="M71" s="53"/>
    </row>
    <row r="72" spans="1:14" ht="15.6">
      <c r="A72" s="267" t="s">
        <v>308</v>
      </c>
      <c r="B72" s="270"/>
      <c r="C72" s="151"/>
      <c r="D72" s="151"/>
      <c r="E72" s="151"/>
      <c r="F72" s="150"/>
      <c r="G72" s="77"/>
      <c r="H72" s="74" t="s">
        <v>108</v>
      </c>
      <c r="I72" s="65"/>
      <c r="J72" s="65">
        <v>4</v>
      </c>
      <c r="K72" s="53"/>
      <c r="L72" s="54"/>
      <c r="M72" s="53"/>
    </row>
    <row r="73" spans="1:14" ht="16.2" thickBot="1">
      <c r="A73" s="103"/>
      <c r="B73" s="104"/>
      <c r="C73" s="104"/>
      <c r="D73" s="104"/>
      <c r="E73" s="104"/>
      <c r="F73" s="105"/>
      <c r="G73" s="79"/>
      <c r="H73" s="80"/>
      <c r="I73" s="81"/>
      <c r="J73" s="81"/>
      <c r="K73" s="82"/>
      <c r="L73" s="83"/>
      <c r="M73" s="53"/>
    </row>
    <row r="74" spans="1:14" ht="15.6">
      <c r="A74" s="53"/>
      <c r="B74" s="53"/>
      <c r="C74" s="53"/>
      <c r="D74" s="53"/>
      <c r="E74" s="53"/>
      <c r="F74" s="53"/>
      <c r="G74" s="65"/>
      <c r="H74" s="65"/>
      <c r="I74" s="65"/>
      <c r="J74" s="65"/>
      <c r="K74" s="53"/>
      <c r="L74" s="53"/>
      <c r="M74" s="53"/>
    </row>
    <row r="75" spans="1:14" ht="15.6">
      <c r="G75" s="6"/>
      <c r="H75" s="6"/>
      <c r="I75" s="6"/>
      <c r="J75" s="6"/>
    </row>
  </sheetData>
  <mergeCells count="16">
    <mergeCell ref="D4:E4"/>
    <mergeCell ref="G4:H4"/>
    <mergeCell ref="J4:L4"/>
    <mergeCell ref="O16:R17"/>
    <mergeCell ref="O18:R19"/>
    <mergeCell ref="O20:R21"/>
    <mergeCell ref="A71:B71"/>
    <mergeCell ref="C71:F71"/>
    <mergeCell ref="A72:B72"/>
    <mergeCell ref="O22:R23"/>
    <mergeCell ref="A52:F52"/>
    <mergeCell ref="A67:E68"/>
    <mergeCell ref="A69:B69"/>
    <mergeCell ref="C69:F69"/>
    <mergeCell ref="A70:B70"/>
    <mergeCell ref="C70:F70"/>
  </mergeCells>
  <phoneticPr fontId="9" type="noConversion"/>
  <conditionalFormatting sqref="D9">
    <cfRule type="expression" dxfId="200" priority="1" stopIfTrue="1">
      <formula>OR(AND($D$9&lt;&gt;1,$K$9=1),AND($D$9&lt;&gt;1,$D$17=1))</formula>
    </cfRule>
  </conditionalFormatting>
  <conditionalFormatting sqref="D10">
    <cfRule type="expression" dxfId="199" priority="2" stopIfTrue="1">
      <formula>AND($D$10&lt;&gt;1,$K$10=1)</formula>
    </cfRule>
  </conditionalFormatting>
  <conditionalFormatting sqref="K8">
    <cfRule type="expression" dxfId="198" priority="3" stopIfTrue="1">
      <formula>AND($K$8=1,$K$9&lt;&gt;1)</formula>
    </cfRule>
    <cfRule type="expression" dxfId="197" priority="4" stopIfTrue="1">
      <formula>AND($K$8&lt;&gt;1,$K$25=1)</formula>
    </cfRule>
  </conditionalFormatting>
  <conditionalFormatting sqref="K9">
    <cfRule type="expression" dxfId="196" priority="5" stopIfTrue="1">
      <formula>AND($K$9=1,$D$9&lt;&gt;1)</formula>
    </cfRule>
    <cfRule type="expression" dxfId="195" priority="6" stopIfTrue="1">
      <formula>OR(AND($K$9&lt;&gt;1,$D$18=1),AND($K$9&lt;&gt;1,$K$16=1))</formula>
    </cfRule>
    <cfRule type="expression" dxfId="194" priority="7" stopIfTrue="1">
      <formula>AND($K$9&lt;&gt;1,$K$8=1)</formula>
    </cfRule>
  </conditionalFormatting>
  <conditionalFormatting sqref="K10">
    <cfRule type="expression" dxfId="193" priority="8" stopIfTrue="1">
      <formula>AND($K$10=1,$D$10&lt;&gt;1)</formula>
    </cfRule>
    <cfRule type="expression" dxfId="192" priority="9" stopIfTrue="1">
      <formula>AND($K$10&lt;&gt;1,$K$26=1)</formula>
    </cfRule>
  </conditionalFormatting>
  <conditionalFormatting sqref="D16">
    <cfRule type="expression" dxfId="191" priority="10" stopIfTrue="1">
      <formula>AND($D$16=1,$D$17&lt;&gt;1)</formula>
    </cfRule>
    <cfRule type="expression" dxfId="190" priority="11" stopIfTrue="1">
      <formula>AND($D$16&lt;&gt;1,$K$16=1)</formula>
    </cfRule>
  </conditionalFormatting>
  <conditionalFormatting sqref="D19">
    <cfRule type="expression" dxfId="189" priority="12" stopIfTrue="1">
      <formula>AND($D$19&lt;&gt;1,$K$25=1)</formula>
    </cfRule>
  </conditionalFormatting>
  <conditionalFormatting sqref="D34">
    <cfRule type="expression" dxfId="188" priority="13" stopIfTrue="1">
      <formula>OR(AND($D$25=1,$K$17&lt;&gt;1),AND($D$25=1,$K$16&lt;&gt;1))</formula>
    </cfRule>
    <cfRule type="expression" dxfId="187" priority="14" stopIfTrue="1">
      <formula>AND($D$25&lt;&gt;1,$D$34=1)</formula>
    </cfRule>
  </conditionalFormatting>
  <conditionalFormatting sqref="D36">
    <cfRule type="expression" dxfId="186" priority="15" stopIfTrue="1">
      <formula>AND($D$27=1,$D$17&lt;&gt;1)</formula>
    </cfRule>
  </conditionalFormatting>
  <conditionalFormatting sqref="K25">
    <cfRule type="expression" dxfId="185" priority="16" stopIfTrue="1">
      <formula>OR(AND($K$25=1,$K$8&lt;&gt;1),AND($K$25=1,$D$19&lt;&gt;1))</formula>
    </cfRule>
    <cfRule type="expression" dxfId="184" priority="17" stopIfTrue="1">
      <formula>AND($K$25&lt;&gt;1,$K$35=1)</formula>
    </cfRule>
  </conditionalFormatting>
  <conditionalFormatting sqref="D35">
    <cfRule type="expression" dxfId="183" priority="18" stopIfTrue="1">
      <formula>AND($D$26=1,$K$18&lt;&gt;1)</formula>
    </cfRule>
    <cfRule type="expression" dxfId="182" priority="19" stopIfTrue="1">
      <formula>AND($D$26&lt;&gt;1,$D$35=1)</formula>
    </cfRule>
  </conditionalFormatting>
  <conditionalFormatting sqref="K26">
    <cfRule type="expression" dxfId="181" priority="20" stopIfTrue="1">
      <formula>OR(AND($K$26=1,$K$17&lt;&gt;1),AND($K$26=1,$K$10&lt;&gt;1),AND($K$26=1,$K$18&lt;&gt;1))</formula>
    </cfRule>
    <cfRule type="expression" dxfId="180" priority="21" stopIfTrue="1">
      <formula>AND($K$26&lt;&gt;1,$K$36=1)</formula>
    </cfRule>
  </conditionalFormatting>
  <conditionalFormatting sqref="D43">
    <cfRule type="expression" dxfId="179" priority="22" stopIfTrue="1">
      <formula>AND($D$43=1,$D$34&lt;&gt;1)</formula>
    </cfRule>
  </conditionalFormatting>
  <conditionalFormatting sqref="D44">
    <cfRule type="expression" dxfId="178" priority="23" stopIfTrue="1">
      <formula>AND($D$44=1,$D$35&lt;&gt;1)</formula>
    </cfRule>
  </conditionalFormatting>
  <conditionalFormatting sqref="K44">
    <cfRule type="expression" dxfId="177" priority="24" stopIfTrue="1">
      <formula>AND($K$44=1,$K$34&lt;&gt;1)</formula>
    </cfRule>
  </conditionalFormatting>
  <conditionalFormatting sqref="K45">
    <cfRule type="expression" dxfId="176" priority="25" stopIfTrue="1">
      <formula>AND($K$45=1,$K$35&lt;&gt;1)</formula>
    </cfRule>
  </conditionalFormatting>
  <conditionalFormatting sqref="L43:M43">
    <cfRule type="expression" dxfId="175" priority="26" stopIfTrue="1">
      <formula>$K$43=1</formula>
    </cfRule>
  </conditionalFormatting>
  <conditionalFormatting sqref="E45">
    <cfRule type="expression" dxfId="174" priority="27" stopIfTrue="1">
      <formula>$D$45=1</formula>
    </cfRule>
  </conditionalFormatting>
  <conditionalFormatting sqref="D18">
    <cfRule type="expression" dxfId="173" priority="28" stopIfTrue="1">
      <formula>AND($D$18=1,$K$9&lt;&gt;1)</formula>
    </cfRule>
    <cfRule type="expression" dxfId="172" priority="29" stopIfTrue="1">
      <formula>AND($D$18&lt;&gt;1,$K$17=1)</formula>
    </cfRule>
    <cfRule type="expression" dxfId="171" priority="30" stopIfTrue="1">
      <formula>AND($D$18&lt;&gt;1,$K$18=1)</formula>
    </cfRule>
  </conditionalFormatting>
  <conditionalFormatting sqref="K16">
    <cfRule type="expression" dxfId="170" priority="31" stopIfTrue="1">
      <formula>OR(AND($K$16=1,$D$16&lt;&gt;1),AND($K$16=1,$K$9&lt;&gt;1))</formula>
    </cfRule>
    <cfRule type="expression" dxfId="169" priority="32" stopIfTrue="1">
      <formula>OR(AND($K$16&lt;&gt;1,$D$25=1),AND($K$16&lt;&gt;1,$K$26=1),AND($K$16&lt;&gt;1,$D$26=1))</formula>
    </cfRule>
    <cfRule type="expression" dxfId="168" priority="33" stopIfTrue="1">
      <formula>AND($K$16&lt;&gt;1,$K$18=1)</formula>
    </cfRule>
  </conditionalFormatting>
  <conditionalFormatting sqref="K19">
    <cfRule type="expression" dxfId="167" priority="34" stopIfTrue="1">
      <formula>AND($D$17&lt;&gt;1,$K$19=1)</formula>
    </cfRule>
  </conditionalFormatting>
  <conditionalFormatting sqref="D17">
    <cfRule type="expression" dxfId="166" priority="35" stopIfTrue="1">
      <formula>AND($D$17=1,$D$9&lt;&gt;1)</formula>
    </cfRule>
    <cfRule type="expression" dxfId="165" priority="36" stopIfTrue="1">
      <formula>OR(AND($D$17&lt;&gt;1,$D$27=1),AND($D$17&lt;&gt;1,$K$19=1))</formula>
    </cfRule>
    <cfRule type="expression" dxfId="164" priority="37" stopIfTrue="1">
      <formula>AND($D$17&lt;&gt;1,$D$16=1)</formula>
    </cfRule>
  </conditionalFormatting>
  <conditionalFormatting sqref="K18">
    <cfRule type="expression" dxfId="163" priority="38" stopIfTrue="1">
      <formula>OR(AND($K$18=1,$K$17&lt;&gt;1),AND($K$18=1,$K$17&lt;&gt;1))</formula>
    </cfRule>
    <cfRule type="expression" dxfId="162" priority="39" stopIfTrue="1">
      <formula>OR(AND($K$18&lt;&gt;1,$K$26=1),AND($K$18&lt;&gt;1,$D$26=1))</formula>
    </cfRule>
  </conditionalFormatting>
  <conditionalFormatting sqref="K17">
    <cfRule type="expression" dxfId="161" priority="40" stopIfTrue="1">
      <formula>AND($K$17=1,$D$18&lt;&gt;1)</formula>
    </cfRule>
    <cfRule type="expression" dxfId="160" priority="41" stopIfTrue="1">
      <formula>OR(AND($K$17&lt;&gt;1,$D$34=1),AND($K$17&lt;&gt;1,$D$35=1),AND($K$17&lt;&gt;1,$K$36=1))</formula>
    </cfRule>
  </conditionalFormatting>
  <printOptions horizontalCentered="1" verticalCentered="1"/>
  <pageMargins left="0.5" right="0.5" top="0.1" bottom="0.1" header="0.5" footer="0.5"/>
  <pageSetup scale="76" orientation="portrait"/>
  <headerFooter>
    <oddHeader>&amp;L&amp;C&amp;R_x000D__x000D_</oddHeader>
    <oddFooter>&amp;L&amp;C&amp;R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75"/>
  <sheetViews>
    <sheetView topLeftCell="A28" workbookViewId="0">
      <selection activeCell="E28" sqref="E28"/>
    </sheetView>
  </sheetViews>
  <sheetFormatPr defaultColWidth="11.44140625" defaultRowHeight="13.2"/>
  <cols>
    <col min="1" max="1" width="12" customWidth="1"/>
    <col min="2" max="2" width="19.6640625" customWidth="1"/>
    <col min="3" max="3" width="4.33203125" customWidth="1"/>
    <col min="4" max="4" width="3.44140625" customWidth="1"/>
    <col min="5" max="5" width="4.33203125" customWidth="1"/>
    <col min="6" max="6" width="8.5546875" customWidth="1"/>
    <col min="7" max="7" width="2.5546875" customWidth="1"/>
    <col min="8" max="8" width="12" customWidth="1"/>
    <col min="9" max="9" width="19.6640625" customWidth="1"/>
    <col min="10" max="10" width="4.33203125" customWidth="1"/>
    <col min="11" max="11" width="3.44140625" customWidth="1"/>
    <col min="12" max="13" width="6.88671875" customWidth="1"/>
    <col min="14" max="14" width="4.6640625" customWidth="1"/>
    <col min="15" max="15" width="15.6640625" customWidth="1"/>
    <col min="16" max="16" width="22.44140625" customWidth="1"/>
    <col min="17" max="17" width="11.44140625" customWidth="1"/>
    <col min="18" max="18" width="15.44140625" customWidth="1"/>
    <col min="19" max="19" width="11.44140625" customWidth="1"/>
    <col min="20" max="20" width="15.44140625" customWidth="1"/>
    <col min="21" max="29" width="11.44140625" customWidth="1"/>
    <col min="30" max="30" width="4.33203125" customWidth="1"/>
    <col min="31" max="31" width="11.44140625" customWidth="1"/>
    <col min="32" max="34" width="2.6640625" customWidth="1"/>
    <col min="45" max="45" width="18" customWidth="1"/>
    <col min="46" max="46" width="31.5546875" customWidth="1"/>
    <col min="47" max="47" width="14.33203125" customWidth="1"/>
    <col min="48" max="48" width="17.88671875" customWidth="1"/>
  </cols>
  <sheetData>
    <row r="1" spans="1:256" ht="15.75" customHeight="1">
      <c r="A1" s="29"/>
      <c r="B1" s="29"/>
      <c r="C1" s="30"/>
      <c r="D1" s="30"/>
      <c r="E1" s="31" t="s">
        <v>192</v>
      </c>
      <c r="F1" s="31"/>
      <c r="G1" s="32"/>
      <c r="H1" s="29"/>
      <c r="I1" s="29"/>
      <c r="J1" s="31"/>
      <c r="K1" s="29"/>
      <c r="L1" s="29"/>
      <c r="M1" s="29"/>
      <c r="IR1" s="1"/>
      <c r="IS1" s="1"/>
      <c r="IT1" s="1"/>
      <c r="IU1" s="1"/>
      <c r="IV1" s="1"/>
    </row>
    <row r="2" spans="1:256" ht="15.75" customHeight="1">
      <c r="A2" s="29"/>
      <c r="B2" s="29"/>
      <c r="C2" s="30"/>
      <c r="D2" s="30"/>
      <c r="E2" s="31" t="s">
        <v>253</v>
      </c>
      <c r="F2" s="31"/>
      <c r="G2" s="32"/>
      <c r="H2" s="29"/>
      <c r="I2" s="29"/>
      <c r="J2" s="31"/>
      <c r="K2" s="29"/>
      <c r="L2" s="29"/>
      <c r="M2" s="29"/>
      <c r="IR2" s="1"/>
      <c r="IS2" s="1"/>
      <c r="IT2" s="1"/>
      <c r="IU2" s="1"/>
      <c r="IV2" s="1"/>
    </row>
    <row r="3" spans="1:256" ht="12.75" customHeight="1">
      <c r="A3" s="29"/>
      <c r="B3" s="29"/>
      <c r="C3" s="29"/>
      <c r="D3" s="29"/>
      <c r="E3" s="29"/>
      <c r="F3" s="29"/>
      <c r="G3" s="29"/>
      <c r="H3" s="29"/>
      <c r="I3" s="29"/>
      <c r="J3" s="33"/>
      <c r="K3" s="29"/>
      <c r="L3" s="29"/>
      <c r="M3" s="29"/>
    </row>
    <row r="4" spans="1:256" ht="17.25" customHeight="1">
      <c r="A4" s="34" t="s">
        <v>284</v>
      </c>
      <c r="B4" s="97" t="s">
        <v>71</v>
      </c>
      <c r="C4" s="29" t="s">
        <v>164</v>
      </c>
      <c r="D4" s="260" t="s">
        <v>72</v>
      </c>
      <c r="E4" s="275"/>
      <c r="F4" s="32" t="s">
        <v>204</v>
      </c>
      <c r="G4" s="260" t="s">
        <v>149</v>
      </c>
      <c r="H4" s="275"/>
      <c r="I4" s="36" t="s">
        <v>84</v>
      </c>
      <c r="J4" s="261" t="s">
        <v>150</v>
      </c>
      <c r="K4" s="275"/>
      <c r="L4" s="275"/>
      <c r="M4" s="185"/>
    </row>
    <row r="5" spans="1:256" ht="10.5" customHeight="1" thickBot="1">
      <c r="A5" s="29"/>
      <c r="B5" s="29"/>
      <c r="C5" s="29"/>
      <c r="D5" s="29"/>
      <c r="E5" s="29"/>
      <c r="F5" s="29"/>
      <c r="G5" s="29"/>
      <c r="H5" s="29"/>
      <c r="I5" s="29"/>
      <c r="J5" s="33"/>
      <c r="K5" s="29"/>
      <c r="L5" s="29"/>
      <c r="M5" s="29"/>
    </row>
    <row r="6" spans="1:256" ht="15.75" customHeight="1">
      <c r="A6" s="37"/>
      <c r="B6" s="38" t="s">
        <v>292</v>
      </c>
      <c r="C6" s="39"/>
      <c r="D6" s="39"/>
      <c r="E6" s="39"/>
      <c r="F6" s="40"/>
      <c r="G6" s="41"/>
      <c r="H6" s="40"/>
      <c r="I6" s="38" t="s">
        <v>293</v>
      </c>
      <c r="J6" s="39"/>
      <c r="K6" s="40"/>
      <c r="L6" s="42"/>
      <c r="M6" s="65"/>
      <c r="BC6" t="s">
        <v>275</v>
      </c>
      <c r="IR6" s="1"/>
      <c r="IS6" s="1"/>
      <c r="IT6" s="1"/>
      <c r="IU6" s="1"/>
      <c r="IV6" s="1"/>
    </row>
    <row r="7" spans="1:256" ht="15.75" customHeight="1" thickBot="1">
      <c r="A7" s="43"/>
      <c r="B7" s="44"/>
      <c r="C7" s="45"/>
      <c r="D7" s="45"/>
      <c r="E7" s="45"/>
      <c r="F7" s="46" t="s">
        <v>139</v>
      </c>
      <c r="G7" s="47"/>
      <c r="H7" s="48"/>
      <c r="I7" s="44"/>
      <c r="J7" s="45"/>
      <c r="K7" s="48"/>
      <c r="L7" s="49"/>
      <c r="M7" s="65"/>
      <c r="BC7" t="s">
        <v>85</v>
      </c>
      <c r="BE7" t="s">
        <v>274</v>
      </c>
      <c r="IR7" s="1"/>
      <c r="IS7" s="1"/>
      <c r="IT7" s="1"/>
      <c r="IU7" s="1"/>
      <c r="IV7" s="1"/>
    </row>
    <row r="8" spans="1:256" ht="15.75" customHeight="1" thickBot="1">
      <c r="A8" s="50" t="s">
        <v>42</v>
      </c>
      <c r="B8" s="51" t="s">
        <v>165</v>
      </c>
      <c r="C8" s="52">
        <v>4</v>
      </c>
      <c r="D8" s="93"/>
      <c r="E8" s="53"/>
      <c r="F8" s="52"/>
      <c r="G8" s="51"/>
      <c r="H8" s="51" t="s">
        <v>166</v>
      </c>
      <c r="I8" s="51" t="s">
        <v>136</v>
      </c>
      <c r="J8" s="52">
        <v>4</v>
      </c>
      <c r="K8" s="93"/>
      <c r="L8" s="54"/>
      <c r="M8" s="53"/>
      <c r="BC8" t="str">
        <f>A8</f>
        <v>GEN 1001</v>
      </c>
      <c r="BD8">
        <f>C8</f>
        <v>4</v>
      </c>
      <c r="BE8" t="str">
        <f>H16</f>
        <v>GEN2012</v>
      </c>
      <c r="BF8">
        <f>J16</f>
        <v>4</v>
      </c>
      <c r="IR8" s="1"/>
      <c r="IS8" s="1"/>
      <c r="IT8" s="1"/>
      <c r="IU8" s="1"/>
      <c r="IV8" s="1"/>
    </row>
    <row r="9" spans="1:256" ht="15.75" customHeight="1" thickBot="1">
      <c r="A9" s="55" t="s">
        <v>167</v>
      </c>
      <c r="B9" s="51" t="s">
        <v>89</v>
      </c>
      <c r="C9" s="52">
        <v>4</v>
      </c>
      <c r="D9" s="93"/>
      <c r="E9" s="53"/>
      <c r="F9" s="52"/>
      <c r="G9" s="51"/>
      <c r="H9" s="51" t="s">
        <v>168</v>
      </c>
      <c r="I9" s="51" t="s">
        <v>90</v>
      </c>
      <c r="J9" s="52">
        <v>4</v>
      </c>
      <c r="K9" s="93"/>
      <c r="L9" s="54"/>
      <c r="M9" s="53"/>
      <c r="N9" s="85"/>
      <c r="O9" s="86" t="s">
        <v>151</v>
      </c>
      <c r="BC9" t="str">
        <f>A16</f>
        <v>GEN2010</v>
      </c>
      <c r="BD9">
        <f>C16</f>
        <v>4</v>
      </c>
      <c r="BE9" t="str">
        <f>H18</f>
        <v>GEN 3040</v>
      </c>
      <c r="BF9">
        <f>J18</f>
        <v>4</v>
      </c>
      <c r="IR9" s="1"/>
      <c r="IS9" s="1"/>
      <c r="IT9" s="1"/>
      <c r="IU9" s="1"/>
      <c r="IV9" s="1"/>
    </row>
    <row r="10" spans="1:256" ht="15.75" customHeight="1" thickBot="1">
      <c r="A10" s="55" t="s">
        <v>43</v>
      </c>
      <c r="B10" s="51" t="s">
        <v>44</v>
      </c>
      <c r="C10" s="52">
        <v>4</v>
      </c>
      <c r="D10" s="93"/>
      <c r="E10" s="53"/>
      <c r="F10" s="52"/>
      <c r="G10" s="51"/>
      <c r="H10" s="56" t="s">
        <v>156</v>
      </c>
      <c r="I10" s="108" t="s">
        <v>137</v>
      </c>
      <c r="J10" s="52">
        <v>4</v>
      </c>
      <c r="K10" s="93"/>
      <c r="L10" s="54"/>
      <c r="M10" s="53"/>
      <c r="N10" s="87"/>
      <c r="O10" s="88" t="s">
        <v>202</v>
      </c>
      <c r="BC10" t="str">
        <f>A19</f>
        <v>BUS 1100</v>
      </c>
      <c r="BD10">
        <f>C19</f>
        <v>4</v>
      </c>
      <c r="BE10" t="str">
        <f>H25</f>
        <v>CEN3030</v>
      </c>
      <c r="BF10">
        <f>J25</f>
        <v>4</v>
      </c>
      <c r="IR10" s="1"/>
      <c r="IS10" s="1"/>
      <c r="IT10" s="1"/>
      <c r="IU10" s="1"/>
      <c r="IV10" s="1"/>
    </row>
    <row r="11" spans="1:256" ht="15.75" customHeight="1" thickBot="1">
      <c r="A11" s="50" t="s">
        <v>383</v>
      </c>
      <c r="B11" s="51" t="s">
        <v>155</v>
      </c>
      <c r="C11" s="52">
        <v>4</v>
      </c>
      <c r="D11" s="93"/>
      <c r="E11" s="53"/>
      <c r="F11" s="52"/>
      <c r="G11" s="51"/>
      <c r="H11" s="51" t="s">
        <v>45</v>
      </c>
      <c r="I11" s="108" t="s">
        <v>331</v>
      </c>
      <c r="J11" s="52">
        <v>4</v>
      </c>
      <c r="K11" s="93"/>
      <c r="L11" s="54"/>
      <c r="M11" s="53"/>
      <c r="N11" s="89"/>
      <c r="O11" s="90" t="s">
        <v>203</v>
      </c>
      <c r="BC11" t="str">
        <f>A34</f>
        <v>CEN3010</v>
      </c>
      <c r="BD11">
        <f>C34</f>
        <v>4</v>
      </c>
      <c r="BE11" t="str">
        <f>H26</f>
        <v>CEN3050</v>
      </c>
      <c r="BF11">
        <f>J26</f>
        <v>4</v>
      </c>
      <c r="IR11" s="1"/>
      <c r="IS11" s="1"/>
      <c r="IT11" s="1"/>
      <c r="IU11" s="1"/>
      <c r="IV11" s="1"/>
    </row>
    <row r="12" spans="1:256" ht="15.75" customHeight="1">
      <c r="A12" s="50"/>
      <c r="B12" s="51"/>
      <c r="C12" s="52"/>
      <c r="D12" s="57"/>
      <c r="E12" s="57"/>
      <c r="F12" s="52"/>
      <c r="G12" s="51"/>
      <c r="H12" s="51"/>
      <c r="I12" s="58"/>
      <c r="J12" s="52"/>
      <c r="K12" s="57"/>
      <c r="L12" s="59"/>
      <c r="M12" s="57"/>
      <c r="BC12" t="str">
        <f>A35</f>
        <v>CEN3020</v>
      </c>
      <c r="BD12">
        <f>C35</f>
        <v>4</v>
      </c>
      <c r="BE12" t="str">
        <f>H27</f>
        <v>CEN3090</v>
      </c>
      <c r="BF12">
        <f>J27</f>
        <v>1</v>
      </c>
      <c r="IR12" s="1"/>
      <c r="IS12" s="1"/>
      <c r="IT12" s="1"/>
      <c r="IU12" s="1"/>
      <c r="IV12" s="1"/>
    </row>
    <row r="13" spans="1:256" ht="15.75" customHeight="1">
      <c r="A13" s="60"/>
      <c r="B13" s="61"/>
      <c r="C13" s="62">
        <f>SUM(C8:C12)</f>
        <v>16</v>
      </c>
      <c r="D13" s="63"/>
      <c r="E13" s="63"/>
      <c r="F13" s="62"/>
      <c r="G13" s="61"/>
      <c r="H13" s="61"/>
      <c r="I13" s="61"/>
      <c r="J13" s="62">
        <f>SUM(J8:J12)</f>
        <v>16</v>
      </c>
      <c r="K13" s="63"/>
      <c r="L13" s="64"/>
      <c r="M13" s="57"/>
      <c r="BC13" t="str">
        <f>B43</f>
        <v>Structures elective</v>
      </c>
      <c r="BD13">
        <f>C43</f>
        <v>4</v>
      </c>
      <c r="BE13" t="str">
        <f>H43</f>
        <v>CEN 4901</v>
      </c>
      <c r="BF13">
        <f>J43</f>
        <v>4</v>
      </c>
      <c r="IR13" s="1"/>
      <c r="IS13" s="1"/>
      <c r="IT13" s="1"/>
      <c r="IU13" s="1"/>
      <c r="IV13" s="1"/>
    </row>
    <row r="14" spans="1:256" ht="12" customHeight="1" thickBot="1">
      <c r="A14" s="28"/>
      <c r="B14" s="65"/>
      <c r="C14" s="65"/>
      <c r="D14" s="52" t="s">
        <v>130</v>
      </c>
      <c r="E14" s="52" t="s">
        <v>130</v>
      </c>
      <c r="F14" s="52"/>
      <c r="G14" s="51"/>
      <c r="H14" s="65"/>
      <c r="I14" s="65"/>
      <c r="J14" s="65"/>
      <c r="K14" s="52" t="s">
        <v>130</v>
      </c>
      <c r="L14" s="66" t="s">
        <v>130</v>
      </c>
      <c r="M14" s="52"/>
      <c r="IR14" s="1"/>
      <c r="IS14" s="1"/>
      <c r="IT14" s="1"/>
      <c r="IU14" s="1"/>
      <c r="IV14" s="1"/>
    </row>
    <row r="15" spans="1:256" ht="16.5" customHeight="1" thickTop="1" thickBot="1">
      <c r="A15" s="43"/>
      <c r="B15" s="48"/>
      <c r="C15" s="48"/>
      <c r="D15" s="67"/>
      <c r="E15" s="67"/>
      <c r="F15" s="45" t="s">
        <v>138</v>
      </c>
      <c r="G15" s="47"/>
      <c r="H15" s="48"/>
      <c r="I15" s="48"/>
      <c r="J15" s="48"/>
      <c r="K15" s="67"/>
      <c r="L15" s="68"/>
      <c r="M15" s="52"/>
      <c r="O15" s="94" t="s">
        <v>70</v>
      </c>
      <c r="P15" s="95"/>
      <c r="Q15" s="95"/>
      <c r="R15" s="96"/>
      <c r="BC15" t="str">
        <f>B44</f>
        <v>Geotechnical elective</v>
      </c>
      <c r="BD15">
        <f>C44</f>
        <v>4</v>
      </c>
      <c r="BE15" t="str">
        <f>I44</f>
        <v>Management Info. Systems</v>
      </c>
      <c r="BF15">
        <f>J44</f>
        <v>4</v>
      </c>
      <c r="IR15" s="1"/>
      <c r="IS15" s="1"/>
      <c r="IT15" s="1"/>
      <c r="IU15" s="1"/>
      <c r="IV15" s="1"/>
    </row>
    <row r="16" spans="1:256" ht="15" customHeight="1" thickBot="1">
      <c r="A16" s="55" t="s">
        <v>46</v>
      </c>
      <c r="B16" s="51" t="s">
        <v>193</v>
      </c>
      <c r="C16" s="52">
        <v>4</v>
      </c>
      <c r="D16" s="93"/>
      <c r="E16" s="53"/>
      <c r="F16" s="52"/>
      <c r="G16" s="51"/>
      <c r="H16" s="56" t="s">
        <v>47</v>
      </c>
      <c r="I16" s="51" t="s">
        <v>270</v>
      </c>
      <c r="J16" s="52">
        <v>4</v>
      </c>
      <c r="K16" s="93"/>
      <c r="L16" s="54"/>
      <c r="M16" s="53"/>
      <c r="O16" s="250" t="s">
        <v>198</v>
      </c>
      <c r="P16" s="251"/>
      <c r="Q16" s="251"/>
      <c r="R16" s="252"/>
      <c r="BE16" t="str">
        <f>I45</f>
        <v>Operations Management</v>
      </c>
      <c r="BF16">
        <f>J45</f>
        <v>4</v>
      </c>
      <c r="IR16" s="1"/>
      <c r="IS16" s="1"/>
      <c r="IT16" s="1"/>
      <c r="IU16" s="1"/>
      <c r="IV16" s="1"/>
    </row>
    <row r="17" spans="1:256" ht="15.75" customHeight="1" thickBot="1">
      <c r="A17" s="55" t="s">
        <v>48</v>
      </c>
      <c r="B17" s="51" t="s">
        <v>49</v>
      </c>
      <c r="C17" s="52">
        <v>4</v>
      </c>
      <c r="D17" s="93"/>
      <c r="E17" s="53"/>
      <c r="F17" s="52"/>
      <c r="G17" s="51"/>
      <c r="H17" s="56" t="s">
        <v>272</v>
      </c>
      <c r="I17" s="51" t="s">
        <v>132</v>
      </c>
      <c r="J17" s="52">
        <v>4</v>
      </c>
      <c r="K17" s="93"/>
      <c r="L17" s="54"/>
      <c r="M17" s="53"/>
      <c r="O17" s="250"/>
      <c r="P17" s="251"/>
      <c r="Q17" s="251"/>
      <c r="R17" s="252"/>
      <c r="BE17" t="str">
        <f>H46</f>
        <v>CEN 4900</v>
      </c>
      <c r="BF17">
        <f>J46</f>
        <v>1</v>
      </c>
      <c r="IR17" s="1"/>
      <c r="IS17" s="1"/>
      <c r="IT17" s="1"/>
      <c r="IU17" s="1"/>
      <c r="IV17" s="1"/>
    </row>
    <row r="18" spans="1:256" ht="15.75" customHeight="1" thickBot="1">
      <c r="A18" s="55" t="s">
        <v>273</v>
      </c>
      <c r="B18" s="51" t="s">
        <v>91</v>
      </c>
      <c r="C18" s="52">
        <v>4</v>
      </c>
      <c r="D18" s="93"/>
      <c r="E18" s="53"/>
      <c r="F18" s="52"/>
      <c r="G18" s="51"/>
      <c r="H18" s="56" t="s">
        <v>2</v>
      </c>
      <c r="I18" s="51" t="s">
        <v>140</v>
      </c>
      <c r="J18" s="52">
        <v>4</v>
      </c>
      <c r="K18" s="93"/>
      <c r="L18" s="54"/>
      <c r="M18" s="53"/>
      <c r="O18" s="250" t="s">
        <v>271</v>
      </c>
      <c r="P18" s="251"/>
      <c r="Q18" s="251"/>
      <c r="R18" s="252"/>
      <c r="IR18" s="1"/>
      <c r="IS18" s="1"/>
      <c r="IT18" s="1"/>
      <c r="IU18" s="1"/>
      <c r="IV18" s="1"/>
    </row>
    <row r="19" spans="1:256" ht="15.75" customHeight="1" thickBot="1">
      <c r="A19" s="181" t="s">
        <v>80</v>
      </c>
      <c r="B19" s="178" t="s">
        <v>81</v>
      </c>
      <c r="C19" s="180">
        <v>4</v>
      </c>
      <c r="D19" s="93"/>
      <c r="E19" s="53"/>
      <c r="F19" s="69"/>
      <c r="G19" s="51"/>
      <c r="H19" s="51" t="s">
        <v>3</v>
      </c>
      <c r="I19" s="51" t="s">
        <v>4</v>
      </c>
      <c r="J19" s="52">
        <v>4</v>
      </c>
      <c r="K19" s="93"/>
      <c r="L19" s="54"/>
      <c r="M19" s="53"/>
      <c r="O19" s="250"/>
      <c r="P19" s="251"/>
      <c r="Q19" s="251"/>
      <c r="R19" s="252"/>
      <c r="IR19" s="1"/>
      <c r="IS19" s="1"/>
      <c r="IT19" s="1"/>
      <c r="IU19" s="1"/>
      <c r="IV19" s="1"/>
    </row>
    <row r="20" spans="1:256" ht="15.75" customHeight="1">
      <c r="A20" s="50"/>
      <c r="B20" s="51"/>
      <c r="C20" s="52"/>
      <c r="D20" s="57"/>
      <c r="E20" s="57"/>
      <c r="F20" s="52"/>
      <c r="G20" s="51"/>
      <c r="H20" s="51"/>
      <c r="I20" s="51"/>
      <c r="J20" s="52"/>
      <c r="K20" s="57"/>
      <c r="L20" s="59"/>
      <c r="M20" s="57"/>
      <c r="O20" s="250" t="s">
        <v>298</v>
      </c>
      <c r="P20" s="251"/>
      <c r="Q20" s="251"/>
      <c r="R20" s="252"/>
      <c r="IR20" s="1"/>
      <c r="IS20" s="1"/>
      <c r="IT20" s="1"/>
      <c r="IU20" s="1"/>
      <c r="IV20" s="1"/>
    </row>
    <row r="21" spans="1:256" ht="15.75" customHeight="1">
      <c r="A21" s="50"/>
      <c r="B21" s="51"/>
      <c r="C21" s="52"/>
      <c r="D21" s="57"/>
      <c r="E21" s="57"/>
      <c r="F21" s="52"/>
      <c r="G21" s="51"/>
      <c r="H21" s="51"/>
      <c r="I21" s="51"/>
      <c r="J21" s="52"/>
      <c r="K21" s="57"/>
      <c r="L21" s="59"/>
      <c r="M21" s="57"/>
      <c r="O21" s="250"/>
      <c r="P21" s="251"/>
      <c r="Q21" s="251"/>
      <c r="R21" s="252"/>
      <c r="IR21" s="1"/>
      <c r="IS21" s="1"/>
      <c r="IT21" s="1"/>
      <c r="IU21" s="1"/>
      <c r="IV21" s="1"/>
    </row>
    <row r="22" spans="1:256" ht="15" customHeight="1">
      <c r="A22" s="60"/>
      <c r="B22" s="61"/>
      <c r="C22" s="62">
        <f>SUM(C16:C21)</f>
        <v>16</v>
      </c>
      <c r="D22" s="63"/>
      <c r="E22" s="63"/>
      <c r="F22" s="62"/>
      <c r="G22" s="61"/>
      <c r="H22" s="61"/>
      <c r="I22" s="61"/>
      <c r="J22" s="62">
        <f>SUM(J16:J20)</f>
        <v>16</v>
      </c>
      <c r="K22" s="63"/>
      <c r="L22" s="64"/>
      <c r="M22" s="57"/>
      <c r="O22" s="250" t="s">
        <v>144</v>
      </c>
      <c r="P22" s="251"/>
      <c r="Q22" s="251"/>
      <c r="R22" s="252"/>
      <c r="IR22" s="1"/>
      <c r="IS22" s="1"/>
      <c r="IT22" s="1"/>
      <c r="IU22" s="1"/>
      <c r="IV22" s="1"/>
    </row>
    <row r="23" spans="1:256" ht="16.05" customHeight="1" thickBot="1">
      <c r="A23" s="157"/>
      <c r="B23" s="158"/>
      <c r="C23" s="159"/>
      <c r="D23" s="160" t="s">
        <v>130</v>
      </c>
      <c r="E23" s="160"/>
      <c r="F23" s="162" t="s">
        <v>170</v>
      </c>
      <c r="G23" s="158"/>
      <c r="H23" s="159"/>
      <c r="I23" s="158"/>
      <c r="J23" s="159"/>
      <c r="K23" s="160" t="s">
        <v>130</v>
      </c>
      <c r="L23" s="161" t="s">
        <v>130</v>
      </c>
      <c r="M23" s="52"/>
      <c r="O23" s="253"/>
      <c r="P23" s="254"/>
      <c r="Q23" s="254"/>
      <c r="R23" s="255"/>
      <c r="IR23" s="1"/>
      <c r="IS23" s="1"/>
      <c r="IT23" s="1"/>
      <c r="IU23" s="1"/>
      <c r="IV23" s="1"/>
    </row>
    <row r="24" spans="1:256" ht="15" customHeight="1" thickTop="1" thickBot="1">
      <c r="A24" s="28"/>
      <c r="B24" s="51"/>
      <c r="C24" s="65"/>
      <c r="D24" s="52"/>
      <c r="E24" s="52"/>
      <c r="F24" s="45" t="s">
        <v>169</v>
      </c>
      <c r="G24" s="51"/>
      <c r="H24" s="65"/>
      <c r="I24" s="51"/>
      <c r="J24" s="65"/>
      <c r="K24" s="52"/>
      <c r="L24" s="66"/>
      <c r="M24" s="52"/>
      <c r="O24" s="152"/>
      <c r="P24" s="152"/>
      <c r="Q24" s="152"/>
      <c r="R24" s="152"/>
      <c r="IR24" s="1"/>
      <c r="IS24" s="1"/>
      <c r="IT24" s="1"/>
      <c r="IU24" s="1"/>
      <c r="IV24" s="1"/>
    </row>
    <row r="25" spans="1:256" ht="15" customHeight="1" thickBot="1">
      <c r="A25" s="179" t="s">
        <v>76</v>
      </c>
      <c r="B25" s="178" t="s">
        <v>77</v>
      </c>
      <c r="C25" s="180">
        <v>4</v>
      </c>
      <c r="D25" s="52"/>
      <c r="E25" s="52"/>
      <c r="F25" s="52"/>
      <c r="G25" s="51"/>
      <c r="H25" s="51" t="s">
        <v>303</v>
      </c>
      <c r="I25" s="51" t="s">
        <v>296</v>
      </c>
      <c r="J25" s="52">
        <v>4</v>
      </c>
      <c r="K25" s="93"/>
      <c r="L25" s="66"/>
      <c r="M25" s="52"/>
      <c r="O25" s="152"/>
      <c r="P25" s="152"/>
      <c r="Q25" s="152"/>
      <c r="R25" s="152"/>
      <c r="IR25" s="1"/>
      <c r="IS25" s="1"/>
      <c r="IT25" s="1"/>
      <c r="IU25" s="1"/>
      <c r="IV25" s="1"/>
    </row>
    <row r="26" spans="1:256" ht="15" customHeight="1" thickBot="1">
      <c r="A26" s="179" t="s">
        <v>78</v>
      </c>
      <c r="B26" s="178" t="s">
        <v>79</v>
      </c>
      <c r="C26" s="180">
        <v>4</v>
      </c>
      <c r="D26" s="52"/>
      <c r="E26" s="52"/>
      <c r="F26" s="52"/>
      <c r="G26" s="51"/>
      <c r="H26" s="56" t="s">
        <v>119</v>
      </c>
      <c r="I26" s="51" t="s">
        <v>190</v>
      </c>
      <c r="J26" s="52">
        <v>4</v>
      </c>
      <c r="K26" s="93"/>
      <c r="L26" s="66"/>
      <c r="M26" s="52"/>
      <c r="O26" s="152"/>
      <c r="P26" s="152"/>
      <c r="Q26" s="152"/>
      <c r="R26" s="152"/>
      <c r="IR26" s="1"/>
      <c r="IS26" s="1"/>
      <c r="IT26" s="1"/>
      <c r="IU26" s="1"/>
      <c r="IV26" s="1"/>
    </row>
    <row r="27" spans="1:256" ht="15" customHeight="1" thickBot="1">
      <c r="A27" s="55" t="s">
        <v>301</v>
      </c>
      <c r="B27" s="51" t="s">
        <v>302</v>
      </c>
      <c r="C27" s="52">
        <v>4</v>
      </c>
      <c r="D27" s="52"/>
      <c r="E27" s="52"/>
      <c r="F27" s="52"/>
      <c r="G27" s="51"/>
      <c r="H27" s="65" t="s">
        <v>120</v>
      </c>
      <c r="I27" s="51" t="s">
        <v>9</v>
      </c>
      <c r="J27" s="52">
        <v>1</v>
      </c>
      <c r="K27" s="93"/>
      <c r="L27" s="66"/>
      <c r="M27" s="52"/>
      <c r="O27" s="152"/>
      <c r="P27" s="152"/>
      <c r="Q27" s="152"/>
      <c r="R27" s="152"/>
      <c r="IR27" s="1"/>
      <c r="IS27" s="1"/>
      <c r="IT27" s="1"/>
      <c r="IU27" s="1"/>
      <c r="IV27" s="1"/>
    </row>
    <row r="28" spans="1:256" ht="15" customHeight="1" thickBot="1">
      <c r="A28" s="50" t="s">
        <v>381</v>
      </c>
      <c r="B28" s="51" t="s">
        <v>382</v>
      </c>
      <c r="C28" s="52">
        <v>4</v>
      </c>
      <c r="D28" s="52"/>
      <c r="E28" s="52"/>
      <c r="F28" s="52"/>
      <c r="G28" s="51"/>
      <c r="H28" s="51" t="s">
        <v>10</v>
      </c>
      <c r="I28" s="108" t="s">
        <v>331</v>
      </c>
      <c r="J28" s="52">
        <v>4</v>
      </c>
      <c r="K28" s="93"/>
      <c r="L28" s="66"/>
      <c r="M28" s="52"/>
      <c r="O28" s="152"/>
      <c r="P28" s="152"/>
      <c r="Q28" s="152"/>
      <c r="R28" s="152"/>
      <c r="IR28" s="1"/>
      <c r="IS28" s="1"/>
      <c r="IT28" s="1"/>
      <c r="IU28" s="1"/>
      <c r="IV28" s="1"/>
    </row>
    <row r="29" spans="1:256" ht="15" customHeight="1" thickBot="1">
      <c r="A29" s="28"/>
      <c r="B29" s="51"/>
      <c r="C29" s="65"/>
      <c r="D29" s="52"/>
      <c r="E29" s="52"/>
      <c r="F29" s="52"/>
      <c r="G29" s="51"/>
      <c r="H29" s="65" t="s">
        <v>11</v>
      </c>
      <c r="I29" s="108" t="s">
        <v>331</v>
      </c>
      <c r="J29" s="71">
        <v>4</v>
      </c>
      <c r="K29" s="93"/>
      <c r="L29" s="66"/>
      <c r="M29" s="52"/>
      <c r="O29" s="152"/>
      <c r="P29" s="152"/>
      <c r="Q29" s="152"/>
      <c r="R29" s="152"/>
      <c r="IR29" s="1"/>
      <c r="IS29" s="1"/>
      <c r="IT29" s="1"/>
      <c r="IU29" s="1"/>
      <c r="IV29" s="1"/>
    </row>
    <row r="30" spans="1:256" ht="15" customHeight="1">
      <c r="A30" s="28"/>
      <c r="B30" s="51"/>
      <c r="C30" s="65"/>
      <c r="D30" s="52"/>
      <c r="E30" s="52"/>
      <c r="F30" s="52"/>
      <c r="G30" s="51"/>
      <c r="H30" s="51"/>
      <c r="I30" s="51"/>
      <c r="J30" s="53"/>
      <c r="K30" s="57"/>
      <c r="L30" s="66"/>
      <c r="M30" s="52"/>
      <c r="O30" s="152"/>
      <c r="P30" s="152"/>
      <c r="Q30" s="152"/>
      <c r="R30" s="152"/>
      <c r="IR30" s="1"/>
      <c r="IS30" s="1"/>
      <c r="IT30" s="1"/>
      <c r="IU30" s="1"/>
      <c r="IV30" s="1"/>
    </row>
    <row r="31" spans="1:256" ht="15" customHeight="1">
      <c r="A31" s="28"/>
      <c r="B31" s="51"/>
      <c r="C31" s="65"/>
      <c r="D31" s="52"/>
      <c r="E31" s="52"/>
      <c r="F31" s="52"/>
      <c r="G31" s="51"/>
      <c r="H31" s="51"/>
      <c r="I31" s="51"/>
      <c r="J31" s="52">
        <f>SUM(J25:J29)</f>
        <v>17</v>
      </c>
      <c r="K31" s="57"/>
      <c r="L31" s="66"/>
      <c r="M31" s="52"/>
      <c r="O31" s="152"/>
      <c r="P31" s="152"/>
      <c r="Q31" s="152"/>
      <c r="R31" s="152"/>
      <c r="IR31" s="1"/>
      <c r="IS31" s="1"/>
      <c r="IT31" s="1"/>
      <c r="IU31" s="1"/>
      <c r="IV31" s="1"/>
    </row>
    <row r="32" spans="1:256" ht="15" customHeight="1">
      <c r="A32" s="157"/>
      <c r="B32" s="158"/>
      <c r="C32" s="159"/>
      <c r="D32" s="160"/>
      <c r="E32" s="160"/>
      <c r="F32" s="162" t="s">
        <v>170</v>
      </c>
      <c r="G32" s="158"/>
      <c r="H32" s="159"/>
      <c r="I32" s="158"/>
      <c r="J32" s="159"/>
      <c r="K32" s="160"/>
      <c r="L32" s="161"/>
      <c r="M32" s="52"/>
      <c r="O32" s="152"/>
      <c r="P32" s="152"/>
      <c r="Q32" s="152"/>
      <c r="R32" s="152"/>
      <c r="IR32" s="1"/>
      <c r="IS32" s="1"/>
      <c r="IT32" s="1"/>
      <c r="IU32" s="1"/>
      <c r="IV32" s="1"/>
    </row>
    <row r="33" spans="1:256" ht="12.75" customHeight="1" thickBot="1">
      <c r="A33" s="43"/>
      <c r="B33" s="47"/>
      <c r="C33" s="48"/>
      <c r="D33" s="67"/>
      <c r="E33" s="67"/>
      <c r="F33" s="45" t="s">
        <v>173</v>
      </c>
      <c r="G33" s="47"/>
      <c r="H33" s="48"/>
      <c r="I33" s="47"/>
      <c r="J33" s="48"/>
      <c r="K33" s="67"/>
      <c r="L33" s="68"/>
      <c r="M33" s="52"/>
      <c r="IR33" s="1"/>
      <c r="IS33" s="1"/>
      <c r="IT33" s="1"/>
      <c r="IU33" s="1"/>
      <c r="IV33" s="1"/>
    </row>
    <row r="34" spans="1:256" ht="15.75" customHeight="1" thickBot="1">
      <c r="A34" s="50" t="s">
        <v>219</v>
      </c>
      <c r="B34" s="51" t="s">
        <v>5</v>
      </c>
      <c r="C34" s="52">
        <v>4</v>
      </c>
      <c r="D34" s="93"/>
      <c r="E34" s="53"/>
      <c r="F34" s="52"/>
      <c r="G34" s="65"/>
      <c r="L34" s="54"/>
      <c r="M34" s="53"/>
      <c r="BC34" t="s">
        <v>86</v>
      </c>
    </row>
    <row r="35" spans="1:256" ht="15.75" customHeight="1" thickBot="1">
      <c r="A35" s="55" t="s">
        <v>220</v>
      </c>
      <c r="B35" s="51" t="s">
        <v>6</v>
      </c>
      <c r="C35" s="52">
        <v>4</v>
      </c>
      <c r="D35" s="93"/>
      <c r="E35" s="53"/>
      <c r="F35" s="52"/>
      <c r="G35" s="65"/>
      <c r="L35" s="54"/>
      <c r="M35" s="53"/>
      <c r="BC35" t="str">
        <f>BC9</f>
        <v>GEN2010</v>
      </c>
      <c r="BD35">
        <f>BD9</f>
        <v>4</v>
      </c>
      <c r="BE35" t="str">
        <f>BE8</f>
        <v>GEN2012</v>
      </c>
      <c r="BF35">
        <f>BF8+2+3</f>
        <v>9</v>
      </c>
    </row>
    <row r="36" spans="1:256" ht="15.75" customHeight="1" thickBot="1">
      <c r="A36" s="50" t="s">
        <v>7</v>
      </c>
      <c r="B36" s="51" t="s">
        <v>221</v>
      </c>
      <c r="C36" s="52">
        <v>2</v>
      </c>
      <c r="D36" s="93"/>
      <c r="E36" s="53"/>
      <c r="F36" s="52"/>
      <c r="G36" s="65"/>
      <c r="I36" s="163" t="s">
        <v>172</v>
      </c>
      <c r="L36" s="54"/>
      <c r="M36" s="53"/>
      <c r="BC36" t="str">
        <f>BC11</f>
        <v>CEN3010</v>
      </c>
      <c r="BD36">
        <f>BD11</f>
        <v>4</v>
      </c>
    </row>
    <row r="37" spans="1:256" ht="15.75" customHeight="1" thickBot="1">
      <c r="A37" s="50" t="s">
        <v>222</v>
      </c>
      <c r="B37" s="51" t="s">
        <v>283</v>
      </c>
      <c r="C37" s="52">
        <v>4</v>
      </c>
      <c r="D37" s="93"/>
      <c r="E37" s="53"/>
      <c r="F37" s="52"/>
      <c r="G37" s="65"/>
      <c r="L37" s="54"/>
      <c r="M37" s="53"/>
      <c r="BC37" t="str">
        <f>BC13</f>
        <v>Structures elective</v>
      </c>
      <c r="BD37">
        <f>BD13</f>
        <v>4</v>
      </c>
    </row>
    <row r="38" spans="1:256" ht="15.75" customHeight="1" thickBot="1">
      <c r="A38" s="28" t="s">
        <v>8</v>
      </c>
      <c r="B38" s="108" t="s">
        <v>331</v>
      </c>
      <c r="C38" s="71">
        <v>4</v>
      </c>
      <c r="D38" s="93"/>
      <c r="E38" s="53"/>
      <c r="F38" s="53"/>
      <c r="G38" s="65"/>
      <c r="L38" s="54"/>
      <c r="M38" s="53"/>
    </row>
    <row r="39" spans="1:256" ht="15.75" customHeight="1">
      <c r="A39" s="50"/>
      <c r="B39" s="51"/>
      <c r="C39" s="52"/>
      <c r="D39" s="57"/>
      <c r="E39" s="57"/>
      <c r="F39" s="52"/>
      <c r="G39" s="65"/>
      <c r="L39" s="59"/>
      <c r="M39" s="57"/>
    </row>
    <row r="40" spans="1:256" ht="15" customHeight="1">
      <c r="A40" s="60"/>
      <c r="B40" s="61"/>
      <c r="C40" s="62">
        <f>C34+C35+C36+C37+C38</f>
        <v>18</v>
      </c>
      <c r="D40" s="63"/>
      <c r="E40" s="63"/>
      <c r="F40" s="62"/>
      <c r="G40" s="35"/>
      <c r="L40" s="64"/>
      <c r="M40" s="57"/>
    </row>
    <row r="41" spans="1:256" ht="16.05" customHeight="1">
      <c r="A41" s="28"/>
      <c r="B41" s="65"/>
      <c r="C41" s="65"/>
      <c r="D41" s="52" t="s">
        <v>130</v>
      </c>
      <c r="E41" s="52"/>
      <c r="F41" s="162" t="s">
        <v>170</v>
      </c>
      <c r="G41" s="65"/>
      <c r="H41" s="159"/>
      <c r="I41" s="159"/>
      <c r="J41" s="159"/>
      <c r="K41" s="160" t="s">
        <v>130</v>
      </c>
      <c r="L41" s="66" t="s">
        <v>130</v>
      </c>
      <c r="M41" s="52"/>
    </row>
    <row r="42" spans="1:256" ht="16.5" customHeight="1" thickBot="1">
      <c r="A42" s="43"/>
      <c r="B42" s="48"/>
      <c r="C42" s="48"/>
      <c r="D42" s="67"/>
      <c r="E42" s="67"/>
      <c r="F42" s="45" t="s">
        <v>129</v>
      </c>
      <c r="G42" s="48"/>
      <c r="H42" s="48"/>
      <c r="I42" s="48"/>
      <c r="J42" s="48"/>
      <c r="K42" s="67"/>
      <c r="L42" s="68"/>
      <c r="M42" s="52"/>
      <c r="BC42" t="s">
        <v>87</v>
      </c>
    </row>
    <row r="43" spans="1:256" ht="15.75" customHeight="1" thickBot="1">
      <c r="A43" s="50" t="s">
        <v>241</v>
      </c>
      <c r="B43" s="51" t="s">
        <v>242</v>
      </c>
      <c r="C43" s="52">
        <v>4</v>
      </c>
      <c r="D43" s="93"/>
      <c r="E43" s="53"/>
      <c r="F43" s="52"/>
      <c r="G43" s="65"/>
      <c r="H43" s="51" t="s">
        <v>121</v>
      </c>
      <c r="I43" s="51" t="s">
        <v>254</v>
      </c>
      <c r="J43" s="52">
        <v>4</v>
      </c>
      <c r="K43" s="93"/>
      <c r="L43" s="91"/>
      <c r="M43" s="92"/>
      <c r="BC43" t="str">
        <f>BC12</f>
        <v>CEN3020</v>
      </c>
      <c r="BD43">
        <f>BD12+2+3</f>
        <v>9</v>
      </c>
      <c r="BE43" t="str">
        <f>BE9</f>
        <v>GEN 3040</v>
      </c>
      <c r="BF43">
        <f>BF9+2+3</f>
        <v>9</v>
      </c>
    </row>
    <row r="44" spans="1:256" ht="15.75" customHeight="1" thickBot="1">
      <c r="A44" s="29" t="s">
        <v>241</v>
      </c>
      <c r="B44" s="29" t="s">
        <v>243</v>
      </c>
      <c r="C44" s="52">
        <v>4</v>
      </c>
      <c r="D44" s="93"/>
      <c r="E44" s="53"/>
      <c r="F44" s="52"/>
      <c r="G44" s="65"/>
      <c r="H44" s="178" t="s">
        <v>82</v>
      </c>
      <c r="I44" s="178" t="s">
        <v>289</v>
      </c>
      <c r="J44" s="180">
        <v>4</v>
      </c>
      <c r="K44" s="93"/>
      <c r="L44" s="54"/>
      <c r="M44" s="53"/>
      <c r="BC44" t="str">
        <f>BC15</f>
        <v>Geotechnical elective</v>
      </c>
      <c r="BD44">
        <f>BD15</f>
        <v>4</v>
      </c>
    </row>
    <row r="45" spans="1:256" ht="15.75" customHeight="1" thickBot="1">
      <c r="A45" s="84" t="s">
        <v>241</v>
      </c>
      <c r="B45" s="108" t="s">
        <v>112</v>
      </c>
      <c r="C45" s="52">
        <v>4</v>
      </c>
      <c r="D45" s="93"/>
      <c r="E45" s="92" t="s">
        <v>69</v>
      </c>
      <c r="F45" s="52"/>
      <c r="G45" s="65"/>
      <c r="H45" s="178" t="s">
        <v>83</v>
      </c>
      <c r="I45" s="182" t="s">
        <v>56</v>
      </c>
      <c r="J45" s="180">
        <v>4</v>
      </c>
      <c r="K45" s="93"/>
      <c r="L45" s="54"/>
      <c r="M45" s="53"/>
    </row>
    <row r="46" spans="1:256" ht="15.75" customHeight="1" thickBot="1">
      <c r="A46" s="51" t="s">
        <v>16</v>
      </c>
      <c r="B46" s="108" t="s">
        <v>331</v>
      </c>
      <c r="C46" s="52">
        <v>4</v>
      </c>
      <c r="D46" s="93"/>
      <c r="E46" s="53"/>
      <c r="F46" s="52"/>
      <c r="G46" s="65"/>
      <c r="H46" s="51" t="s">
        <v>113</v>
      </c>
      <c r="I46" s="51" t="s">
        <v>191</v>
      </c>
      <c r="J46" s="52">
        <v>1</v>
      </c>
      <c r="K46" s="93"/>
      <c r="L46" s="54"/>
      <c r="M46" s="53"/>
      <c r="BC46" t="s">
        <v>88</v>
      </c>
    </row>
    <row r="47" spans="1:256" ht="15.75" customHeight="1" thickBot="1">
      <c r="A47" s="50"/>
      <c r="B47" s="51"/>
      <c r="C47" s="52"/>
      <c r="D47" s="107"/>
      <c r="E47" s="53"/>
      <c r="F47" s="52"/>
      <c r="G47" s="65"/>
      <c r="H47" s="51" t="s">
        <v>247</v>
      </c>
      <c r="I47" s="108" t="s">
        <v>216</v>
      </c>
      <c r="J47" s="52">
        <v>4</v>
      </c>
      <c r="K47" s="93"/>
      <c r="L47" s="54"/>
      <c r="M47" s="53"/>
      <c r="BC47" t="str">
        <f>BC10</f>
        <v>BUS 1100</v>
      </c>
      <c r="BD47">
        <f>BD10+2+3</f>
        <v>9</v>
      </c>
      <c r="BE47" t="str">
        <f>BE11</f>
        <v>CEN3050</v>
      </c>
      <c r="BF47">
        <f>BF11+2+3</f>
        <v>9</v>
      </c>
    </row>
    <row r="48" spans="1:256" ht="15.75" customHeight="1" thickBot="1">
      <c r="A48" s="50"/>
      <c r="B48" s="51"/>
      <c r="C48" s="52"/>
      <c r="D48" s="53"/>
      <c r="E48" s="53"/>
      <c r="F48" s="52"/>
      <c r="G48" s="65"/>
      <c r="H48" s="51"/>
      <c r="I48" s="51"/>
      <c r="J48" s="52"/>
      <c r="K48" s="53"/>
      <c r="L48" s="54"/>
      <c r="M48" s="53"/>
      <c r="BE48" t="str">
        <f>BE12</f>
        <v>CEN3090</v>
      </c>
      <c r="BF48">
        <f>BF12</f>
        <v>1</v>
      </c>
    </row>
    <row r="49" spans="1:256" ht="15.75" customHeight="1" thickBot="1">
      <c r="A49" s="50"/>
      <c r="B49" s="51"/>
      <c r="C49" s="52"/>
      <c r="D49" s="57"/>
      <c r="E49" s="57"/>
      <c r="F49" s="57" t="s">
        <v>114</v>
      </c>
      <c r="G49" s="65"/>
      <c r="H49" s="109"/>
      <c r="I49" s="51"/>
      <c r="J49" s="52"/>
      <c r="K49" s="57"/>
      <c r="L49" s="59"/>
      <c r="M49" s="57"/>
      <c r="BE49" t="str">
        <f>BE16</f>
        <v>Operations Management</v>
      </c>
      <c r="BF49">
        <f>BF16</f>
        <v>4</v>
      </c>
      <c r="IR49" s="1"/>
      <c r="IS49" s="1"/>
      <c r="IT49" s="1"/>
      <c r="IU49" s="1"/>
      <c r="IV49" s="1"/>
    </row>
    <row r="50" spans="1:256" ht="15.75" customHeight="1">
      <c r="A50" s="50"/>
      <c r="B50" s="51"/>
      <c r="C50" s="52"/>
      <c r="D50" s="57"/>
      <c r="E50" s="57"/>
      <c r="F50" s="52"/>
      <c r="G50" s="65"/>
      <c r="H50" s="51"/>
      <c r="I50" s="51"/>
      <c r="J50" s="52"/>
      <c r="K50" s="57"/>
      <c r="L50" s="59"/>
      <c r="M50" s="57"/>
      <c r="IR50" s="1"/>
      <c r="IS50" s="1"/>
      <c r="IT50" s="1"/>
      <c r="IU50" s="1"/>
      <c r="IV50" s="1"/>
    </row>
    <row r="51" spans="1:256" ht="15.75" customHeight="1">
      <c r="A51" s="60"/>
      <c r="B51" s="61"/>
      <c r="C51" s="62">
        <f>SUM(C43:C49)</f>
        <v>16</v>
      </c>
      <c r="D51" s="62"/>
      <c r="E51" s="62"/>
      <c r="F51" s="62"/>
      <c r="G51" s="35"/>
      <c r="H51" s="61"/>
      <c r="I51" s="61"/>
      <c r="J51" s="62">
        <f>SUM(J43:J50)</f>
        <v>17</v>
      </c>
      <c r="K51" s="63"/>
      <c r="L51" s="64"/>
      <c r="M51" s="57"/>
      <c r="IR51" s="1"/>
      <c r="IS51" s="1"/>
      <c r="IT51" s="1"/>
      <c r="IU51" s="1"/>
      <c r="IV51" s="1"/>
    </row>
    <row r="52" spans="1:256" ht="12.75" customHeight="1">
      <c r="A52" s="262" t="s">
        <v>115</v>
      </c>
      <c r="B52" s="263"/>
      <c r="C52" s="263"/>
      <c r="D52" s="263"/>
      <c r="E52" s="263"/>
      <c r="F52" s="264"/>
      <c r="G52" s="8"/>
      <c r="H52" s="72" t="s">
        <v>251</v>
      </c>
      <c r="I52" s="3"/>
      <c r="J52" s="3"/>
      <c r="K52" s="3"/>
      <c r="L52" s="9"/>
      <c r="M52" s="4"/>
      <c r="IR52" s="1"/>
      <c r="IS52" s="1"/>
      <c r="IT52" s="1"/>
      <c r="IU52" s="1"/>
      <c r="IV52" s="1"/>
    </row>
    <row r="53" spans="1:256" ht="15.75" customHeight="1">
      <c r="A53" s="106"/>
      <c r="B53" s="98"/>
      <c r="C53" s="98"/>
      <c r="D53" s="98"/>
      <c r="E53" s="98"/>
      <c r="F53" s="99"/>
      <c r="G53" s="73" t="s">
        <v>252</v>
      </c>
      <c r="H53" s="74"/>
      <c r="I53" s="51"/>
      <c r="J53" s="51" t="s">
        <v>131</v>
      </c>
      <c r="K53" s="4"/>
      <c r="L53" s="10"/>
      <c r="M53" s="4"/>
      <c r="BC53" t="s">
        <v>177</v>
      </c>
      <c r="IR53" s="1"/>
      <c r="IS53" s="1"/>
      <c r="IT53" s="1"/>
      <c r="IU53" s="1"/>
      <c r="IV53" s="1"/>
    </row>
    <row r="54" spans="1:256" ht="15.75" customHeight="1">
      <c r="A54" s="125" t="s">
        <v>249</v>
      </c>
      <c r="C54" s="101"/>
      <c r="D54" s="101"/>
      <c r="E54" s="101"/>
      <c r="F54" s="102"/>
      <c r="G54" s="75"/>
      <c r="H54" s="74" t="s">
        <v>244</v>
      </c>
      <c r="I54" s="51"/>
      <c r="J54" s="51">
        <v>4</v>
      </c>
      <c r="K54" s="4"/>
      <c r="L54" s="10"/>
      <c r="M54" s="4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 t="str">
        <f>BC8</f>
        <v>GEN 1001</v>
      </c>
      <c r="BD54" s="1">
        <f>BD8+2+3</f>
        <v>9</v>
      </c>
      <c r="BE54" s="1" t="str">
        <f>BE10</f>
        <v>CEN3030</v>
      </c>
      <c r="BF54" s="1">
        <f>BF10+2</f>
        <v>6</v>
      </c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ht="16.95" customHeight="1">
      <c r="A55" s="126" t="s">
        <v>152</v>
      </c>
      <c r="C55" s="101"/>
      <c r="D55" s="101"/>
      <c r="E55" s="101"/>
      <c r="F55" s="102"/>
      <c r="G55" s="75"/>
      <c r="H55" s="74" t="s">
        <v>258</v>
      </c>
      <c r="I55" s="52"/>
      <c r="J55" s="51">
        <v>4</v>
      </c>
      <c r="K55" s="4"/>
      <c r="L55" s="10"/>
      <c r="M55" s="4"/>
      <c r="N55" s="5"/>
      <c r="BE55" t="str">
        <f>BE17</f>
        <v>CEN 4900</v>
      </c>
      <c r="BF55">
        <f>BF17</f>
        <v>1</v>
      </c>
      <c r="IR55" s="1"/>
      <c r="IS55" s="1"/>
      <c r="IT55" s="1"/>
      <c r="IU55" s="1"/>
      <c r="IV55" s="1"/>
    </row>
    <row r="56" spans="1:256" ht="15.6">
      <c r="A56" s="126" t="s">
        <v>299</v>
      </c>
      <c r="B56" t="s">
        <v>300</v>
      </c>
      <c r="C56" s="101"/>
      <c r="D56" s="101"/>
      <c r="E56" s="101"/>
      <c r="F56" s="102"/>
      <c r="G56" s="76"/>
      <c r="H56" s="74"/>
      <c r="I56" s="70"/>
      <c r="J56" s="70"/>
      <c r="K56" s="7"/>
      <c r="L56" s="11"/>
      <c r="M56" s="7"/>
      <c r="N56" s="1"/>
      <c r="IR56" s="1"/>
      <c r="IS56" s="1"/>
      <c r="IT56" s="1"/>
      <c r="IU56" s="1"/>
      <c r="IV56" s="1"/>
    </row>
    <row r="57" spans="1:256" ht="13.95" customHeight="1">
      <c r="A57" s="127" t="str">
        <f>IF(AND(C8=4,D8=1),CONCATENATE(A8," ",B8),"")</f>
        <v/>
      </c>
      <c r="B57" s="110" t="str">
        <f>IF(AND(C8=4,D8=1),C8,"")</f>
        <v/>
      </c>
      <c r="C57" s="101"/>
      <c r="D57" s="101"/>
      <c r="E57" s="101"/>
      <c r="F57" s="102"/>
      <c r="G57" s="73" t="s">
        <v>294</v>
      </c>
      <c r="H57" s="74"/>
      <c r="I57" s="51"/>
      <c r="J57" s="51"/>
      <c r="K57" s="4"/>
      <c r="L57" s="10"/>
      <c r="M57" s="4"/>
      <c r="IR57" s="1"/>
      <c r="IS57" s="1"/>
      <c r="IT57" s="1"/>
      <c r="IU57" s="1"/>
      <c r="IV57" s="1"/>
    </row>
    <row r="58" spans="1:256" ht="15.75" customHeight="1">
      <c r="A58" s="126"/>
      <c r="C58" s="101"/>
      <c r="D58" s="101"/>
      <c r="E58" s="101"/>
      <c r="F58" s="102"/>
      <c r="G58" s="75" t="s">
        <v>130</v>
      </c>
      <c r="H58" s="74" t="s">
        <v>259</v>
      </c>
      <c r="I58" s="51"/>
      <c r="J58" s="51">
        <v>4</v>
      </c>
      <c r="K58" s="4"/>
      <c r="L58" s="10"/>
      <c r="M58" s="4"/>
      <c r="BC58" t="s">
        <v>178</v>
      </c>
      <c r="IR58" s="1"/>
      <c r="IS58" s="1"/>
      <c r="IT58" s="1"/>
      <c r="IU58" s="1"/>
      <c r="IV58" s="1"/>
    </row>
    <row r="59" spans="1:256" ht="15.75" customHeight="1">
      <c r="A59" s="126" t="s">
        <v>75</v>
      </c>
      <c r="C59" s="101"/>
      <c r="D59" s="101"/>
      <c r="E59" s="101"/>
      <c r="F59" s="102"/>
      <c r="G59" s="75"/>
      <c r="H59" s="74"/>
      <c r="I59" s="51"/>
      <c r="J59" s="51"/>
      <c r="K59" s="4"/>
      <c r="L59" s="10"/>
      <c r="M59" s="4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 t="str">
        <f>BE15</f>
        <v>Management Info. Systems</v>
      </c>
      <c r="BF59" s="2">
        <f>BF15</f>
        <v>4</v>
      </c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</row>
    <row r="60" spans="1:256" ht="15.75" customHeight="1">
      <c r="A60" s="126" t="s">
        <v>299</v>
      </c>
      <c r="B60" t="s">
        <v>300</v>
      </c>
      <c r="C60" s="101"/>
      <c r="D60" s="101"/>
      <c r="E60" s="101"/>
      <c r="F60" s="102"/>
      <c r="G60" s="73" t="s">
        <v>295</v>
      </c>
      <c r="H60" s="74"/>
      <c r="I60" s="51"/>
      <c r="J60" s="51"/>
      <c r="K60" s="4"/>
      <c r="L60" s="10"/>
      <c r="M60" s="4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 t="str">
        <f>BE13</f>
        <v>CEN 4901</v>
      </c>
      <c r="BF60" s="1">
        <f>BF13+2</f>
        <v>6</v>
      </c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ht="15.75" customHeight="1">
      <c r="A61" s="127"/>
      <c r="B61" s="110"/>
      <c r="C61" s="101"/>
      <c r="D61" s="101"/>
      <c r="E61" s="101"/>
      <c r="F61" s="102"/>
      <c r="G61" s="75"/>
      <c r="H61" s="74" t="s">
        <v>145</v>
      </c>
      <c r="I61" s="51"/>
      <c r="J61" s="51">
        <v>4</v>
      </c>
      <c r="K61" s="4"/>
      <c r="L61" s="10"/>
      <c r="M61" s="4"/>
      <c r="N61" s="2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ht="15.75" customHeight="1">
      <c r="A62" s="100"/>
      <c r="B62" s="101"/>
      <c r="C62" s="101"/>
      <c r="D62" s="101"/>
      <c r="E62" s="101"/>
      <c r="F62" s="102"/>
      <c r="G62" s="77"/>
      <c r="H62" s="74" t="s">
        <v>146</v>
      </c>
      <c r="I62" s="51"/>
      <c r="J62" s="51">
        <v>4</v>
      </c>
      <c r="K62" s="4"/>
      <c r="L62" s="10"/>
      <c r="M62" s="4"/>
      <c r="N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ht="15.6">
      <c r="A63" s="128" t="s">
        <v>74</v>
      </c>
      <c r="B63" s="129"/>
      <c r="C63" s="101"/>
      <c r="D63" s="101"/>
      <c r="E63" s="101"/>
      <c r="F63" s="102"/>
      <c r="G63" s="77"/>
      <c r="H63" s="53"/>
      <c r="I63" s="53"/>
      <c r="J63" s="53"/>
      <c r="K63" s="4"/>
      <c r="L63" s="10"/>
      <c r="M63" s="4"/>
      <c r="N63" s="1"/>
    </row>
    <row r="64" spans="1:256" ht="15.6">
      <c r="A64" s="130"/>
      <c r="B64" s="101"/>
      <c r="C64" s="101"/>
      <c r="D64" s="101"/>
      <c r="E64" s="101"/>
      <c r="F64" s="102"/>
      <c r="G64" s="78" t="s">
        <v>296</v>
      </c>
      <c r="H64" s="74"/>
      <c r="I64" s="51"/>
      <c r="J64" s="51"/>
      <c r="K64" s="4"/>
      <c r="L64" s="10"/>
      <c r="M64" s="4"/>
      <c r="N64" s="1"/>
    </row>
    <row r="65" spans="1:14" ht="15.6">
      <c r="A65" s="130"/>
      <c r="B65" s="101"/>
      <c r="C65" s="101"/>
      <c r="D65" s="101"/>
      <c r="E65" s="101"/>
      <c r="F65" s="102"/>
      <c r="G65" s="77"/>
      <c r="H65" s="74" t="s">
        <v>147</v>
      </c>
      <c r="I65" s="51"/>
      <c r="J65" s="51">
        <v>4</v>
      </c>
      <c r="K65" s="4"/>
      <c r="L65" s="10"/>
      <c r="M65" s="4"/>
      <c r="N65" s="1"/>
    </row>
    <row r="66" spans="1:14" ht="15.6">
      <c r="A66" s="100"/>
      <c r="B66" s="101"/>
      <c r="C66" s="101"/>
      <c r="D66" s="101"/>
      <c r="E66" s="101"/>
      <c r="F66" s="102"/>
      <c r="G66" s="78"/>
      <c r="H66" s="74" t="s">
        <v>111</v>
      </c>
      <c r="I66" s="51"/>
      <c r="J66" s="51">
        <v>4</v>
      </c>
      <c r="K66" s="4"/>
      <c r="L66" s="10"/>
      <c r="M66" s="4"/>
      <c r="N66" s="1"/>
    </row>
    <row r="67" spans="1:14" ht="15.6">
      <c r="A67" s="271" t="s">
        <v>318</v>
      </c>
      <c r="B67" s="272"/>
      <c r="C67" s="272"/>
      <c r="D67" s="272"/>
      <c r="E67" s="272"/>
      <c r="F67" s="102"/>
      <c r="G67" s="77"/>
      <c r="H67" s="74" t="s">
        <v>217</v>
      </c>
      <c r="I67" s="65"/>
      <c r="J67" s="65">
        <v>4</v>
      </c>
      <c r="K67" s="4"/>
      <c r="L67" s="54"/>
      <c r="M67" s="53"/>
      <c r="N67" s="1"/>
    </row>
    <row r="68" spans="1:14" ht="15.6">
      <c r="A68" s="258"/>
      <c r="B68" s="273"/>
      <c r="C68" s="273"/>
      <c r="D68" s="273"/>
      <c r="E68" s="273"/>
      <c r="F68" s="102"/>
      <c r="G68" s="78"/>
      <c r="H68" s="74"/>
      <c r="I68" s="65"/>
      <c r="J68" s="65"/>
      <c r="K68" s="4"/>
      <c r="L68" s="54"/>
      <c r="M68" s="53"/>
    </row>
    <row r="69" spans="1:14" ht="15.6">
      <c r="A69" s="265" t="s">
        <v>319</v>
      </c>
      <c r="B69" s="270"/>
      <c r="C69" s="274" t="s">
        <v>309</v>
      </c>
      <c r="D69" s="270"/>
      <c r="E69" s="270"/>
      <c r="F69" s="269"/>
      <c r="G69" s="78" t="s">
        <v>212</v>
      </c>
      <c r="H69" s="74"/>
      <c r="I69" s="65"/>
      <c r="J69" s="65"/>
      <c r="K69" s="53"/>
      <c r="L69" s="54"/>
      <c r="M69" s="53"/>
    </row>
    <row r="70" spans="1:14" ht="15.6">
      <c r="A70" s="267" t="s">
        <v>320</v>
      </c>
      <c r="B70" s="270"/>
      <c r="C70" s="270" t="s">
        <v>310</v>
      </c>
      <c r="D70" s="270"/>
      <c r="E70" s="270"/>
      <c r="F70" s="269"/>
      <c r="G70" s="77"/>
      <c r="H70" s="184" t="s">
        <v>211</v>
      </c>
      <c r="I70" s="65"/>
      <c r="J70" s="65"/>
      <c r="K70" s="53"/>
      <c r="L70" s="54"/>
      <c r="M70" s="53"/>
    </row>
    <row r="71" spans="1:14" ht="15.6">
      <c r="A71" s="267" t="s">
        <v>321</v>
      </c>
      <c r="B71" s="270"/>
      <c r="C71" s="270" t="s">
        <v>307</v>
      </c>
      <c r="D71" s="270"/>
      <c r="E71" s="270"/>
      <c r="F71" s="269"/>
      <c r="G71" s="77"/>
      <c r="H71" s="74" t="s">
        <v>218</v>
      </c>
      <c r="I71" s="65"/>
      <c r="J71" s="65">
        <v>4</v>
      </c>
      <c r="K71" s="53"/>
      <c r="L71" s="54"/>
      <c r="M71" s="53"/>
    </row>
    <row r="72" spans="1:14" ht="15.6">
      <c r="A72" s="267" t="s">
        <v>308</v>
      </c>
      <c r="B72" s="270"/>
      <c r="C72" s="151"/>
      <c r="D72" s="151"/>
      <c r="E72" s="151"/>
      <c r="F72" s="150"/>
      <c r="G72" s="77"/>
      <c r="H72" s="74" t="s">
        <v>108</v>
      </c>
      <c r="I72" s="65"/>
      <c r="J72" s="65">
        <v>4</v>
      </c>
      <c r="K72" s="53"/>
      <c r="L72" s="54"/>
      <c r="M72" s="53"/>
    </row>
    <row r="73" spans="1:14" ht="16.2" thickBot="1">
      <c r="A73" s="103"/>
      <c r="B73" s="104"/>
      <c r="C73" s="104"/>
      <c r="D73" s="104"/>
      <c r="E73" s="104"/>
      <c r="F73" s="105"/>
      <c r="G73" s="79"/>
      <c r="H73" s="80"/>
      <c r="I73" s="81"/>
      <c r="J73" s="81"/>
      <c r="K73" s="82"/>
      <c r="L73" s="83"/>
      <c r="M73" s="53"/>
    </row>
    <row r="74" spans="1:14" ht="15.6">
      <c r="A74" s="53"/>
      <c r="B74" s="53"/>
      <c r="C74" s="53"/>
      <c r="D74" s="53"/>
      <c r="E74" s="53"/>
      <c r="F74" s="53"/>
      <c r="G74" s="65"/>
      <c r="H74" s="65"/>
      <c r="I74" s="65"/>
      <c r="J74" s="65"/>
      <c r="K74" s="53"/>
      <c r="L74" s="53"/>
      <c r="M74" s="53"/>
    </row>
    <row r="75" spans="1:14" ht="15.6">
      <c r="G75" s="6"/>
      <c r="H75" s="6"/>
      <c r="I75" s="6"/>
      <c r="J75" s="6"/>
    </row>
  </sheetData>
  <mergeCells count="16">
    <mergeCell ref="D4:E4"/>
    <mergeCell ref="G4:H4"/>
    <mergeCell ref="J4:L4"/>
    <mergeCell ref="O16:R17"/>
    <mergeCell ref="O18:R19"/>
    <mergeCell ref="O20:R21"/>
    <mergeCell ref="A71:B71"/>
    <mergeCell ref="C71:F71"/>
    <mergeCell ref="A72:B72"/>
    <mergeCell ref="O22:R23"/>
    <mergeCell ref="A52:F52"/>
    <mergeCell ref="A67:E68"/>
    <mergeCell ref="A69:B69"/>
    <mergeCell ref="C69:F69"/>
    <mergeCell ref="A70:B70"/>
    <mergeCell ref="C70:F70"/>
  </mergeCells>
  <phoneticPr fontId="9" type="noConversion"/>
  <conditionalFormatting sqref="D9">
    <cfRule type="expression" dxfId="159" priority="1" stopIfTrue="1">
      <formula>OR(AND($D$9&lt;&gt;1,$K$9=1),AND($D$9&lt;&gt;1,$D$17=1))</formula>
    </cfRule>
  </conditionalFormatting>
  <conditionalFormatting sqref="D10">
    <cfRule type="expression" dxfId="158" priority="2" stopIfTrue="1">
      <formula>AND($D$10&lt;&gt;1,$K$10=1)</formula>
    </cfRule>
  </conditionalFormatting>
  <conditionalFormatting sqref="K8">
    <cfRule type="expression" dxfId="157" priority="3" stopIfTrue="1">
      <formula>AND($K$8=1,$K$9&lt;&gt;1)</formula>
    </cfRule>
    <cfRule type="expression" dxfId="156" priority="4" stopIfTrue="1">
      <formula>AND($K$8&lt;&gt;1,$K$25=1)</formula>
    </cfRule>
  </conditionalFormatting>
  <conditionalFormatting sqref="K9">
    <cfRule type="expression" dxfId="155" priority="5" stopIfTrue="1">
      <formula>AND($K$9=1,$D$9&lt;&gt;1)</formula>
    </cfRule>
    <cfRule type="expression" dxfId="154" priority="6" stopIfTrue="1">
      <formula>OR(AND($K$9&lt;&gt;1,$D$18=1),AND($K$9&lt;&gt;1,$K$16=1))</formula>
    </cfRule>
    <cfRule type="expression" dxfId="153" priority="7" stopIfTrue="1">
      <formula>AND($K$9&lt;&gt;1,$K$8=1)</formula>
    </cfRule>
  </conditionalFormatting>
  <conditionalFormatting sqref="K10">
    <cfRule type="expression" dxfId="152" priority="8" stopIfTrue="1">
      <formula>AND($K$10=1,$D$10&lt;&gt;1)</formula>
    </cfRule>
    <cfRule type="expression" dxfId="151" priority="9" stopIfTrue="1">
      <formula>AND($K$10&lt;&gt;1,$K$26=1)</formula>
    </cfRule>
  </conditionalFormatting>
  <conditionalFormatting sqref="D16">
    <cfRule type="expression" dxfId="150" priority="10" stopIfTrue="1">
      <formula>AND($D$16=1,$D$17&lt;&gt;1)</formula>
    </cfRule>
    <cfRule type="expression" dxfId="149" priority="11" stopIfTrue="1">
      <formula>AND($D$16&lt;&gt;1,$K$16=1)</formula>
    </cfRule>
  </conditionalFormatting>
  <conditionalFormatting sqref="D19">
    <cfRule type="expression" dxfId="148" priority="12" stopIfTrue="1">
      <formula>AND($D$19&lt;&gt;1,$K$25=1)</formula>
    </cfRule>
  </conditionalFormatting>
  <conditionalFormatting sqref="D34">
    <cfRule type="expression" dxfId="147" priority="13" stopIfTrue="1">
      <formula>OR(AND($D$25=1,$K$17&lt;&gt;1),AND($D$25=1,$K$16&lt;&gt;1))</formula>
    </cfRule>
    <cfRule type="expression" dxfId="146" priority="14" stopIfTrue="1">
      <formula>AND($D$25&lt;&gt;1,$D$34=1)</formula>
    </cfRule>
  </conditionalFormatting>
  <conditionalFormatting sqref="D36">
    <cfRule type="expression" dxfId="145" priority="15" stopIfTrue="1">
      <formula>AND($D$27=1,$D$17&lt;&gt;1)</formula>
    </cfRule>
  </conditionalFormatting>
  <conditionalFormatting sqref="K25">
    <cfRule type="expression" dxfId="144" priority="16" stopIfTrue="1">
      <formula>OR(AND($K$25=1,$K$8&lt;&gt;1),AND($K$25=1,$D$19&lt;&gt;1))</formula>
    </cfRule>
    <cfRule type="expression" dxfId="143" priority="17" stopIfTrue="1">
      <formula>AND($K$25&lt;&gt;1,$K$35=1)</formula>
    </cfRule>
  </conditionalFormatting>
  <conditionalFormatting sqref="D35">
    <cfRule type="expression" dxfId="142" priority="18" stopIfTrue="1">
      <formula>AND($D$26=1,$K$18&lt;&gt;1)</formula>
    </cfRule>
    <cfRule type="expression" dxfId="141" priority="19" stopIfTrue="1">
      <formula>AND($D$26&lt;&gt;1,$D$35=1)</formula>
    </cfRule>
  </conditionalFormatting>
  <conditionalFormatting sqref="K26">
    <cfRule type="expression" dxfId="140" priority="20" stopIfTrue="1">
      <formula>OR(AND($K$26=1,$K$17&lt;&gt;1),AND($K$26=1,$K$10&lt;&gt;1),AND($K$26=1,$K$18&lt;&gt;1))</formula>
    </cfRule>
    <cfRule type="expression" dxfId="139" priority="21" stopIfTrue="1">
      <formula>AND($K$26&lt;&gt;1,$K$36=1)</formula>
    </cfRule>
  </conditionalFormatting>
  <conditionalFormatting sqref="D43">
    <cfRule type="expression" dxfId="138" priority="22" stopIfTrue="1">
      <formula>AND($D$43=1,$D$34&lt;&gt;1)</formula>
    </cfRule>
  </conditionalFormatting>
  <conditionalFormatting sqref="D44">
    <cfRule type="expression" dxfId="137" priority="23" stopIfTrue="1">
      <formula>AND($D$44=1,$D$35&lt;&gt;1)</formula>
    </cfRule>
  </conditionalFormatting>
  <conditionalFormatting sqref="K44">
    <cfRule type="expression" dxfId="136" priority="24" stopIfTrue="1">
      <formula>AND($K$44=1,$K$34&lt;&gt;1)</formula>
    </cfRule>
  </conditionalFormatting>
  <conditionalFormatting sqref="K45">
    <cfRule type="expression" dxfId="135" priority="25" stopIfTrue="1">
      <formula>AND($K$45=1,$K$35&lt;&gt;1)</formula>
    </cfRule>
  </conditionalFormatting>
  <conditionalFormatting sqref="L43:M43">
    <cfRule type="expression" dxfId="134" priority="26" stopIfTrue="1">
      <formula>$K$43=1</formula>
    </cfRule>
  </conditionalFormatting>
  <conditionalFormatting sqref="E45">
    <cfRule type="expression" dxfId="133" priority="27" stopIfTrue="1">
      <formula>$D$45=1</formula>
    </cfRule>
  </conditionalFormatting>
  <conditionalFormatting sqref="D18">
    <cfRule type="expression" dxfId="132" priority="28" stopIfTrue="1">
      <formula>AND($D$18=1,$K$9&lt;&gt;1)</formula>
    </cfRule>
    <cfRule type="expression" dxfId="131" priority="29" stopIfTrue="1">
      <formula>AND($D$18&lt;&gt;1,$K$17=1)</formula>
    </cfRule>
    <cfRule type="expression" dxfId="130" priority="30" stopIfTrue="1">
      <formula>AND($D$18&lt;&gt;1,$K$18=1)</formula>
    </cfRule>
  </conditionalFormatting>
  <conditionalFormatting sqref="K16">
    <cfRule type="expression" dxfId="129" priority="31" stopIfTrue="1">
      <formula>OR(AND($K$16=1,$D$16&lt;&gt;1),AND($K$16=1,$K$9&lt;&gt;1))</formula>
    </cfRule>
    <cfRule type="expression" dxfId="128" priority="32" stopIfTrue="1">
      <formula>OR(AND($K$16&lt;&gt;1,$D$25=1),AND($K$16&lt;&gt;1,$K$26=1),AND($K$16&lt;&gt;1,$D$26=1))</formula>
    </cfRule>
    <cfRule type="expression" dxfId="127" priority="33" stopIfTrue="1">
      <formula>AND($K$16&lt;&gt;1,$K$18=1)</formula>
    </cfRule>
  </conditionalFormatting>
  <conditionalFormatting sqref="K19">
    <cfRule type="expression" dxfId="126" priority="34" stopIfTrue="1">
      <formula>AND($D$17&lt;&gt;1,$K$19=1)</formula>
    </cfRule>
  </conditionalFormatting>
  <conditionalFormatting sqref="D17">
    <cfRule type="expression" dxfId="125" priority="35" stopIfTrue="1">
      <formula>AND($D$17=1,$D$9&lt;&gt;1)</formula>
    </cfRule>
    <cfRule type="expression" dxfId="124" priority="36" stopIfTrue="1">
      <formula>OR(AND($D$17&lt;&gt;1,$D$27=1),AND($D$17&lt;&gt;1,$K$19=1))</formula>
    </cfRule>
    <cfRule type="expression" dxfId="123" priority="37" stopIfTrue="1">
      <formula>AND($D$17&lt;&gt;1,$D$16=1)</formula>
    </cfRule>
  </conditionalFormatting>
  <conditionalFormatting sqref="K18">
    <cfRule type="expression" dxfId="122" priority="38" stopIfTrue="1">
      <formula>OR(AND($K$18=1,$K$17&lt;&gt;1),AND($K$18=1,$K$17&lt;&gt;1))</formula>
    </cfRule>
    <cfRule type="expression" dxfId="121" priority="39" stopIfTrue="1">
      <formula>OR(AND($K$18&lt;&gt;1,$K$26=1),AND($K$18&lt;&gt;1,$D$26=1))</formula>
    </cfRule>
  </conditionalFormatting>
  <conditionalFormatting sqref="K17">
    <cfRule type="expression" dxfId="120" priority="40" stopIfTrue="1">
      <formula>AND($K$17=1,$D$18&lt;&gt;1)</formula>
    </cfRule>
    <cfRule type="expression" dxfId="119" priority="41" stopIfTrue="1">
      <formula>OR(AND($K$17&lt;&gt;1,$D$34=1),AND($K$17&lt;&gt;1,$D$35=1),AND($K$17&lt;&gt;1,$K$36=1))</formula>
    </cfRule>
  </conditionalFormatting>
  <printOptions horizontalCentered="1" verticalCentered="1"/>
  <pageMargins left="0.5" right="0.5" top="0.1" bottom="0.1" header="0.5" footer="0.5"/>
  <pageSetup scale="66" orientation="portrait"/>
  <headerFooter>
    <oddHeader>&amp;L&amp;C&amp;R_x000D__x000D_</oddHeader>
    <oddFooter>&amp;L&amp;C&amp;R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84"/>
  <sheetViews>
    <sheetView topLeftCell="A43" workbookViewId="0">
      <selection activeCell="N33" sqref="N33"/>
    </sheetView>
  </sheetViews>
  <sheetFormatPr defaultColWidth="11.44140625" defaultRowHeight="13.2"/>
  <cols>
    <col min="1" max="1" width="12" customWidth="1"/>
    <col min="2" max="2" width="19.6640625" customWidth="1"/>
    <col min="3" max="3" width="4.33203125" customWidth="1"/>
    <col min="4" max="4" width="3.44140625" customWidth="1"/>
    <col min="5" max="5" width="4.33203125" customWidth="1"/>
    <col min="6" max="6" width="8.5546875" customWidth="1"/>
    <col min="7" max="7" width="2.5546875" customWidth="1"/>
    <col min="8" max="8" width="12" customWidth="1"/>
    <col min="9" max="9" width="19.6640625" customWidth="1"/>
    <col min="10" max="10" width="4.33203125" customWidth="1"/>
    <col min="11" max="11" width="3.44140625" customWidth="1"/>
    <col min="12" max="13" width="6.88671875" customWidth="1"/>
    <col min="14" max="14" width="4.6640625" customWidth="1"/>
    <col min="15" max="15" width="15.6640625" customWidth="1"/>
    <col min="16" max="16" width="22.44140625" customWidth="1"/>
    <col min="17" max="17" width="11.44140625" customWidth="1"/>
    <col min="18" max="18" width="15.44140625" customWidth="1"/>
    <col min="19" max="19" width="11.44140625" customWidth="1"/>
    <col min="20" max="20" width="15.44140625" customWidth="1"/>
    <col min="21" max="29" width="11.44140625" customWidth="1"/>
    <col min="30" max="30" width="4.33203125" customWidth="1"/>
    <col min="31" max="31" width="11.44140625" customWidth="1"/>
    <col min="32" max="34" width="2.6640625" customWidth="1"/>
    <col min="45" max="45" width="18" customWidth="1"/>
    <col min="46" max="46" width="31.5546875" customWidth="1"/>
    <col min="47" max="47" width="14.33203125" customWidth="1"/>
    <col min="48" max="48" width="17.88671875" customWidth="1"/>
  </cols>
  <sheetData>
    <row r="1" spans="1:256" ht="15.75" customHeight="1">
      <c r="A1" s="29"/>
      <c r="B1" s="29"/>
      <c r="C1" s="30"/>
      <c r="D1" s="30"/>
      <c r="E1" s="31" t="s">
        <v>192</v>
      </c>
      <c r="F1" s="31"/>
      <c r="G1" s="32"/>
      <c r="H1" s="29"/>
      <c r="I1" s="29"/>
      <c r="J1" s="31"/>
      <c r="K1" s="29"/>
      <c r="L1" s="29"/>
      <c r="M1" s="29"/>
      <c r="IR1" s="1"/>
      <c r="IS1" s="1"/>
      <c r="IT1" s="1"/>
      <c r="IU1" s="1"/>
      <c r="IV1" s="1"/>
    </row>
    <row r="2" spans="1:256" ht="15.75" customHeight="1">
      <c r="A2" s="29"/>
      <c r="B2" s="29"/>
      <c r="C2" s="30"/>
      <c r="D2" s="30"/>
      <c r="E2" s="31" t="s">
        <v>253</v>
      </c>
      <c r="F2" s="31"/>
      <c r="G2" s="32"/>
      <c r="H2" s="29"/>
      <c r="I2" s="29"/>
      <c r="J2" s="31"/>
      <c r="K2" s="29"/>
      <c r="L2" s="29"/>
      <c r="M2" s="29"/>
      <c r="IR2" s="1"/>
      <c r="IS2" s="1"/>
      <c r="IT2" s="1"/>
      <c r="IU2" s="1"/>
      <c r="IV2" s="1"/>
    </row>
    <row r="3" spans="1:256" ht="12.75" customHeight="1">
      <c r="A3" s="29"/>
      <c r="B3" s="29"/>
      <c r="C3" s="29"/>
      <c r="D3" s="29"/>
      <c r="E3" s="29"/>
      <c r="F3" s="234" t="s">
        <v>370</v>
      </c>
      <c r="G3" s="29"/>
      <c r="H3" s="29"/>
      <c r="I3" s="29"/>
      <c r="J3" s="33"/>
      <c r="K3" s="29"/>
      <c r="L3" s="29"/>
      <c r="M3" s="29"/>
    </row>
    <row r="4" spans="1:256" ht="17.25" customHeight="1">
      <c r="A4" s="34" t="s">
        <v>284</v>
      </c>
      <c r="B4" s="97" t="s">
        <v>71</v>
      </c>
      <c r="C4" s="29" t="s">
        <v>164</v>
      </c>
      <c r="D4" s="260" t="s">
        <v>72</v>
      </c>
      <c r="E4" s="275"/>
      <c r="F4" s="32" t="s">
        <v>204</v>
      </c>
      <c r="G4" s="260" t="s">
        <v>149</v>
      </c>
      <c r="H4" s="275"/>
      <c r="I4" s="36" t="s">
        <v>84</v>
      </c>
      <c r="J4" s="261" t="s">
        <v>150</v>
      </c>
      <c r="K4" s="275"/>
      <c r="L4" s="275"/>
      <c r="M4" s="185"/>
    </row>
    <row r="5" spans="1:256" ht="10.5" customHeight="1" thickBot="1">
      <c r="A5" s="29"/>
      <c r="B5" s="29"/>
      <c r="C5" s="29"/>
      <c r="D5" s="29"/>
      <c r="E5" s="29"/>
      <c r="F5" s="29"/>
      <c r="G5" s="29"/>
      <c r="H5" s="29"/>
      <c r="I5" s="29"/>
      <c r="J5" s="33"/>
      <c r="K5" s="29"/>
      <c r="L5" s="29"/>
      <c r="M5" s="29"/>
    </row>
    <row r="6" spans="1:256" ht="15.75" customHeight="1">
      <c r="A6" s="37"/>
      <c r="B6" s="38" t="s">
        <v>292</v>
      </c>
      <c r="C6" s="39"/>
      <c r="D6" s="39"/>
      <c r="E6" s="39"/>
      <c r="F6" s="40"/>
      <c r="G6" s="41"/>
      <c r="H6" s="40"/>
      <c r="I6" s="38" t="s">
        <v>293</v>
      </c>
      <c r="J6" s="39"/>
      <c r="K6" s="40"/>
      <c r="L6" s="42"/>
      <c r="M6" s="65"/>
      <c r="BC6" t="s">
        <v>275</v>
      </c>
      <c r="IR6" s="1"/>
      <c r="IS6" s="1"/>
      <c r="IT6" s="1"/>
      <c r="IU6" s="1"/>
      <c r="IV6" s="1"/>
    </row>
    <row r="7" spans="1:256" ht="15.75" customHeight="1" thickBot="1">
      <c r="A7" s="43"/>
      <c r="B7" s="44"/>
      <c r="C7" s="45"/>
      <c r="D7" s="45"/>
      <c r="E7" s="45"/>
      <c r="F7" s="46" t="s">
        <v>139</v>
      </c>
      <c r="G7" s="47"/>
      <c r="H7" s="48"/>
      <c r="I7" s="44"/>
      <c r="J7" s="45"/>
      <c r="K7" s="48"/>
      <c r="L7" s="49"/>
      <c r="M7" s="65"/>
      <c r="BC7" t="s">
        <v>85</v>
      </c>
      <c r="BE7" t="s">
        <v>274</v>
      </c>
      <c r="IR7" s="1"/>
      <c r="IS7" s="1"/>
      <c r="IT7" s="1"/>
      <c r="IU7" s="1"/>
      <c r="IV7" s="1"/>
    </row>
    <row r="8" spans="1:256" ht="15.75" customHeight="1" thickBot="1">
      <c r="A8" s="50" t="s">
        <v>42</v>
      </c>
      <c r="B8" s="51" t="s">
        <v>165</v>
      </c>
      <c r="C8" s="52">
        <v>4</v>
      </c>
      <c r="D8" s="93"/>
      <c r="E8" s="53"/>
      <c r="F8" s="52"/>
      <c r="G8" s="51"/>
      <c r="H8" s="51" t="s">
        <v>166</v>
      </c>
      <c r="I8" s="51" t="s">
        <v>136</v>
      </c>
      <c r="J8" s="52">
        <v>4</v>
      </c>
      <c r="K8" s="93"/>
      <c r="L8" s="54"/>
      <c r="M8" s="53"/>
      <c r="BC8" t="str">
        <f>A8</f>
        <v>GEN 1001</v>
      </c>
      <c r="BD8">
        <f>C8</f>
        <v>4</v>
      </c>
      <c r="BE8" t="str">
        <f>H16</f>
        <v>GEN2012</v>
      </c>
      <c r="BF8">
        <f>J16</f>
        <v>4</v>
      </c>
      <c r="IR8" s="1"/>
      <c r="IS8" s="1"/>
      <c r="IT8" s="1"/>
      <c r="IU8" s="1"/>
      <c r="IV8" s="1"/>
    </row>
    <row r="9" spans="1:256" ht="15.75" customHeight="1" thickBot="1">
      <c r="A9" s="55" t="s">
        <v>167</v>
      </c>
      <c r="B9" s="51" t="s">
        <v>89</v>
      </c>
      <c r="C9" s="52">
        <v>4</v>
      </c>
      <c r="D9" s="93"/>
      <c r="E9" s="53"/>
      <c r="F9" s="52"/>
      <c r="G9" s="51"/>
      <c r="H9" s="51" t="s">
        <v>168</v>
      </c>
      <c r="I9" s="51" t="s">
        <v>90</v>
      </c>
      <c r="J9" s="52">
        <v>4</v>
      </c>
      <c r="K9" s="93"/>
      <c r="L9" s="54"/>
      <c r="M9" s="53"/>
      <c r="N9" s="85"/>
      <c r="O9" s="86" t="s">
        <v>151</v>
      </c>
      <c r="BC9" t="str">
        <f>A16</f>
        <v>GEN2010</v>
      </c>
      <c r="BD9">
        <f>C16</f>
        <v>4</v>
      </c>
      <c r="BE9" t="str">
        <f>H18</f>
        <v>GEN 3040</v>
      </c>
      <c r="BF9">
        <f>J18</f>
        <v>4</v>
      </c>
      <c r="IR9" s="1"/>
      <c r="IS9" s="1"/>
      <c r="IT9" s="1"/>
      <c r="IU9" s="1"/>
      <c r="IV9" s="1"/>
    </row>
    <row r="10" spans="1:256" ht="15.75" customHeight="1" thickBot="1">
      <c r="A10" s="55" t="s">
        <v>356</v>
      </c>
      <c r="B10" s="51" t="s">
        <v>359</v>
      </c>
      <c r="C10" s="52">
        <v>4</v>
      </c>
      <c r="D10" s="93"/>
      <c r="E10" s="53"/>
      <c r="F10" s="52"/>
      <c r="G10" s="51"/>
      <c r="H10" s="56" t="s">
        <v>156</v>
      </c>
      <c r="I10" s="108" t="s">
        <v>137</v>
      </c>
      <c r="J10" s="52">
        <v>4</v>
      </c>
      <c r="K10" s="93"/>
      <c r="L10" s="54"/>
      <c r="M10" s="53"/>
      <c r="N10" s="87"/>
      <c r="O10" s="88" t="s">
        <v>202</v>
      </c>
      <c r="BC10" t="str">
        <f>A19</f>
        <v>WLC</v>
      </c>
      <c r="BD10">
        <f>C19</f>
        <v>4</v>
      </c>
      <c r="BE10" t="str">
        <f>H25</f>
        <v>CEN3030</v>
      </c>
      <c r="BF10">
        <f>J25</f>
        <v>4</v>
      </c>
      <c r="IR10" s="1"/>
      <c r="IS10" s="1"/>
      <c r="IT10" s="1"/>
      <c r="IU10" s="1"/>
      <c r="IV10" s="1"/>
    </row>
    <row r="11" spans="1:256" ht="15.75" customHeight="1" thickBot="1">
      <c r="A11" s="50" t="s">
        <v>380</v>
      </c>
      <c r="B11" s="51" t="s">
        <v>155</v>
      </c>
      <c r="C11" s="52">
        <v>4</v>
      </c>
      <c r="D11" s="93"/>
      <c r="E11" s="53"/>
      <c r="F11" s="52"/>
      <c r="G11" s="51"/>
      <c r="H11" s="51" t="s">
        <v>45</v>
      </c>
      <c r="I11" s="108" t="s">
        <v>358</v>
      </c>
      <c r="J11" s="52">
        <v>4</v>
      </c>
      <c r="K11" s="93"/>
      <c r="L11" s="54"/>
      <c r="M11" s="53"/>
      <c r="N11" s="89"/>
      <c r="O11" s="90" t="s">
        <v>203</v>
      </c>
      <c r="BC11" t="str">
        <f>A34</f>
        <v>MTH 2220</v>
      </c>
      <c r="BD11">
        <f>C34</f>
        <v>4</v>
      </c>
      <c r="BE11" t="str">
        <f>H26</f>
        <v>CEN3050</v>
      </c>
      <c r="BF11">
        <f>J26</f>
        <v>4</v>
      </c>
      <c r="IR11" s="1"/>
      <c r="IS11" s="1"/>
      <c r="IT11" s="1"/>
      <c r="IU11" s="1"/>
      <c r="IV11" s="1"/>
    </row>
    <row r="12" spans="1:256" ht="15.75" customHeight="1">
      <c r="A12" s="50"/>
      <c r="B12" s="51"/>
      <c r="C12" s="52"/>
      <c r="D12" s="57"/>
      <c r="E12" s="57"/>
      <c r="F12" s="52"/>
      <c r="G12" s="51"/>
      <c r="H12" s="51"/>
      <c r="I12" s="58"/>
      <c r="J12" s="52"/>
      <c r="K12" s="57"/>
      <c r="L12" s="59"/>
      <c r="M12" s="57"/>
      <c r="BC12" t="str">
        <f>A35</f>
        <v>PHL 1000</v>
      </c>
      <c r="BD12">
        <f>C35</f>
        <v>4</v>
      </c>
      <c r="BE12" t="str">
        <f>H27</f>
        <v>CEN3090</v>
      </c>
      <c r="BF12">
        <f>J27</f>
        <v>1</v>
      </c>
      <c r="IR12" s="1"/>
      <c r="IS12" s="1"/>
      <c r="IT12" s="1"/>
      <c r="IU12" s="1"/>
      <c r="IV12" s="1"/>
    </row>
    <row r="13" spans="1:256" ht="15.75" customHeight="1">
      <c r="A13" s="60"/>
      <c r="B13" s="61"/>
      <c r="C13" s="62">
        <f>SUM(C8:C12)</f>
        <v>16</v>
      </c>
      <c r="D13" s="63"/>
      <c r="E13" s="63"/>
      <c r="F13" s="62"/>
      <c r="G13" s="61"/>
      <c r="H13" s="61"/>
      <c r="I13" s="61"/>
      <c r="J13" s="62">
        <f>SUM(J8:J12)</f>
        <v>16</v>
      </c>
      <c r="K13" s="63"/>
      <c r="L13" s="64"/>
      <c r="M13" s="57"/>
      <c r="BC13" t="str">
        <f>B43</f>
        <v>Elective (course here)</v>
      </c>
      <c r="BD13">
        <f>C43</f>
        <v>4</v>
      </c>
      <c r="BE13" t="str">
        <f>H43</f>
        <v>CEN 4901</v>
      </c>
      <c r="BF13">
        <f>J43</f>
        <v>4</v>
      </c>
      <c r="IR13" s="1"/>
      <c r="IS13" s="1"/>
      <c r="IT13" s="1"/>
      <c r="IU13" s="1"/>
      <c r="IV13" s="1"/>
    </row>
    <row r="14" spans="1:256" ht="12" customHeight="1" thickBot="1">
      <c r="A14" s="28"/>
      <c r="B14" s="65"/>
      <c r="C14" s="65"/>
      <c r="D14" s="52" t="s">
        <v>130</v>
      </c>
      <c r="E14" s="52" t="s">
        <v>130</v>
      </c>
      <c r="F14" s="52"/>
      <c r="G14" s="51"/>
      <c r="H14" s="65"/>
      <c r="I14" s="65"/>
      <c r="J14" s="65"/>
      <c r="K14" s="52" t="s">
        <v>130</v>
      </c>
      <c r="L14" s="66" t="s">
        <v>130</v>
      </c>
      <c r="M14" s="52"/>
      <c r="IR14" s="1"/>
      <c r="IS14" s="1"/>
      <c r="IT14" s="1"/>
      <c r="IU14" s="1"/>
      <c r="IV14" s="1"/>
    </row>
    <row r="15" spans="1:256" ht="16.5" customHeight="1" thickTop="1" thickBot="1">
      <c r="A15" s="43"/>
      <c r="B15" s="48"/>
      <c r="C15" s="48"/>
      <c r="D15" s="67"/>
      <c r="E15" s="67"/>
      <c r="F15" s="45" t="s">
        <v>138</v>
      </c>
      <c r="G15" s="47"/>
      <c r="H15" s="48"/>
      <c r="I15" s="48"/>
      <c r="J15" s="48"/>
      <c r="K15" s="67"/>
      <c r="L15" s="68"/>
      <c r="M15" s="52"/>
      <c r="O15" s="94" t="s">
        <v>70</v>
      </c>
      <c r="P15" s="95"/>
      <c r="Q15" s="95"/>
      <c r="R15" s="96"/>
      <c r="BC15" t="str">
        <f>B44</f>
        <v>Elective (course here)</v>
      </c>
      <c r="BD15">
        <f>C44</f>
        <v>4</v>
      </c>
      <c r="BE15" t="str">
        <f>I44</f>
        <v>Elective (course here)</v>
      </c>
      <c r="BF15">
        <f>J44</f>
        <v>4</v>
      </c>
      <c r="IR15" s="1"/>
      <c r="IS15" s="1"/>
      <c r="IT15" s="1"/>
      <c r="IU15" s="1"/>
      <c r="IV15" s="1"/>
    </row>
    <row r="16" spans="1:256" ht="15" customHeight="1" thickBot="1">
      <c r="A16" s="55" t="s">
        <v>46</v>
      </c>
      <c r="B16" s="51" t="s">
        <v>193</v>
      </c>
      <c r="C16" s="52">
        <v>4</v>
      </c>
      <c r="D16" s="93"/>
      <c r="E16" s="53"/>
      <c r="F16" s="52"/>
      <c r="G16" s="51"/>
      <c r="H16" s="56" t="s">
        <v>47</v>
      </c>
      <c r="I16" s="51" t="s">
        <v>270</v>
      </c>
      <c r="J16" s="52">
        <v>4</v>
      </c>
      <c r="K16" s="93"/>
      <c r="L16" s="54"/>
      <c r="M16" s="53"/>
      <c r="O16" s="250" t="s">
        <v>198</v>
      </c>
      <c r="P16" s="251"/>
      <c r="Q16" s="251"/>
      <c r="R16" s="252"/>
      <c r="BE16" t="str">
        <f>I45</f>
        <v>Elective (course here)</v>
      </c>
      <c r="BF16">
        <f>J45</f>
        <v>4</v>
      </c>
      <c r="IR16" s="1"/>
      <c r="IS16" s="1"/>
      <c r="IT16" s="1"/>
      <c r="IU16" s="1"/>
      <c r="IV16" s="1"/>
    </row>
    <row r="17" spans="1:256" ht="15.75" customHeight="1" thickBot="1">
      <c r="A17" s="55" t="s">
        <v>48</v>
      </c>
      <c r="B17" s="51" t="s">
        <v>49</v>
      </c>
      <c r="C17" s="52">
        <v>4</v>
      </c>
      <c r="D17" s="93"/>
      <c r="E17" s="53"/>
      <c r="F17" s="52"/>
      <c r="G17" s="51"/>
      <c r="H17" t="s">
        <v>356</v>
      </c>
      <c r="I17" t="s">
        <v>357</v>
      </c>
      <c r="J17" s="71">
        <v>3</v>
      </c>
      <c r="K17" s="93"/>
      <c r="L17" s="54"/>
      <c r="M17" s="53"/>
      <c r="O17" s="250"/>
      <c r="P17" s="251"/>
      <c r="Q17" s="251"/>
      <c r="R17" s="252"/>
      <c r="BE17" t="str">
        <f>H46</f>
        <v>CEN 4900</v>
      </c>
      <c r="BF17">
        <f>J46</f>
        <v>1</v>
      </c>
      <c r="IR17" s="1"/>
      <c r="IS17" s="1"/>
      <c r="IT17" s="1"/>
      <c r="IU17" s="1"/>
      <c r="IV17" s="1"/>
    </row>
    <row r="18" spans="1:256" ht="15.75" customHeight="1" thickBot="1">
      <c r="A18" s="55" t="s">
        <v>273</v>
      </c>
      <c r="B18" s="51" t="s">
        <v>91</v>
      </c>
      <c r="C18" s="52">
        <v>4</v>
      </c>
      <c r="D18" s="93"/>
      <c r="E18" s="53"/>
      <c r="F18" s="52"/>
      <c r="G18" s="51"/>
      <c r="H18" s="56" t="s">
        <v>2</v>
      </c>
      <c r="I18" s="51" t="s">
        <v>140</v>
      </c>
      <c r="J18" s="52">
        <v>4</v>
      </c>
      <c r="K18" s="93"/>
      <c r="L18" s="54"/>
      <c r="M18" s="53"/>
      <c r="O18" s="250" t="s">
        <v>271</v>
      </c>
      <c r="P18" s="251"/>
      <c r="Q18" s="251"/>
      <c r="R18" s="252"/>
      <c r="IR18" s="1"/>
      <c r="IS18" s="1"/>
      <c r="IT18" s="1"/>
      <c r="IU18" s="1"/>
      <c r="IV18" s="1"/>
    </row>
    <row r="19" spans="1:256" ht="15.75" customHeight="1" thickBot="1">
      <c r="A19" s="55" t="s">
        <v>356</v>
      </c>
      <c r="B19" s="51" t="s">
        <v>357</v>
      </c>
      <c r="C19" s="52">
        <v>4</v>
      </c>
      <c r="D19" s="93"/>
      <c r="E19" s="53"/>
      <c r="F19" s="69"/>
      <c r="G19" s="51"/>
      <c r="H19" s="51" t="s">
        <v>3</v>
      </c>
      <c r="I19" s="51" t="s">
        <v>4</v>
      </c>
      <c r="J19" s="52">
        <v>4</v>
      </c>
      <c r="K19" s="93"/>
      <c r="L19" s="54"/>
      <c r="M19" s="53"/>
      <c r="O19" s="250"/>
      <c r="P19" s="251"/>
      <c r="Q19" s="251"/>
      <c r="R19" s="252"/>
      <c r="IR19" s="1"/>
      <c r="IS19" s="1"/>
      <c r="IT19" s="1"/>
      <c r="IU19" s="1"/>
      <c r="IV19" s="1"/>
    </row>
    <row r="20" spans="1:256" ht="15.75" customHeight="1">
      <c r="A20" s="50"/>
      <c r="B20" s="51"/>
      <c r="C20" s="52"/>
      <c r="D20" s="57"/>
      <c r="E20" s="57"/>
      <c r="F20" s="52"/>
      <c r="G20" s="51"/>
      <c r="H20" s="51"/>
      <c r="I20" s="51"/>
      <c r="J20" s="52"/>
      <c r="K20" s="57"/>
      <c r="L20" s="59"/>
      <c r="M20" s="57"/>
      <c r="O20" s="250" t="s">
        <v>298</v>
      </c>
      <c r="P20" s="251"/>
      <c r="Q20" s="251"/>
      <c r="R20" s="252"/>
      <c r="IR20" s="1"/>
      <c r="IS20" s="1"/>
      <c r="IT20" s="1"/>
      <c r="IU20" s="1"/>
      <c r="IV20" s="1"/>
    </row>
    <row r="21" spans="1:256" ht="15.75" customHeight="1">
      <c r="A21" s="50"/>
      <c r="B21" s="51"/>
      <c r="C21" s="52"/>
      <c r="D21" s="57"/>
      <c r="E21" s="57"/>
      <c r="F21" s="52"/>
      <c r="G21" s="51"/>
      <c r="H21" s="51"/>
      <c r="I21" s="51"/>
      <c r="J21" s="52"/>
      <c r="K21" s="57"/>
      <c r="L21" s="59"/>
      <c r="M21" s="57"/>
      <c r="O21" s="250"/>
      <c r="P21" s="251"/>
      <c r="Q21" s="251"/>
      <c r="R21" s="252"/>
      <c r="IR21" s="1"/>
      <c r="IS21" s="1"/>
      <c r="IT21" s="1"/>
      <c r="IU21" s="1"/>
      <c r="IV21" s="1"/>
    </row>
    <row r="22" spans="1:256" ht="15" customHeight="1">
      <c r="A22" s="60"/>
      <c r="B22" s="61"/>
      <c r="C22" s="62">
        <f>SUM(C16:C21)</f>
        <v>16</v>
      </c>
      <c r="D22" s="63"/>
      <c r="E22" s="63"/>
      <c r="F22" s="62"/>
      <c r="G22" s="61"/>
      <c r="H22" s="61"/>
      <c r="I22" s="61"/>
      <c r="J22" s="62">
        <f>SUM(J16:J20)</f>
        <v>15</v>
      </c>
      <c r="K22" s="63"/>
      <c r="L22" s="64"/>
      <c r="M22" s="57"/>
      <c r="O22" s="250" t="s">
        <v>144</v>
      </c>
      <c r="P22" s="251"/>
      <c r="Q22" s="251"/>
      <c r="R22" s="252"/>
      <c r="IR22" s="1"/>
      <c r="IS22" s="1"/>
      <c r="IT22" s="1"/>
      <c r="IU22" s="1"/>
      <c r="IV22" s="1"/>
    </row>
    <row r="23" spans="1:256" ht="16.05" customHeight="1" thickBot="1">
      <c r="A23" s="157"/>
      <c r="B23" s="158"/>
      <c r="C23" s="159"/>
      <c r="D23" s="160" t="s">
        <v>130</v>
      </c>
      <c r="E23" s="160"/>
      <c r="F23" s="162" t="s">
        <v>170</v>
      </c>
      <c r="G23" s="158"/>
      <c r="H23" s="159"/>
      <c r="I23" s="158"/>
      <c r="J23" s="159"/>
      <c r="K23" s="160" t="s">
        <v>130</v>
      </c>
      <c r="L23" s="161" t="s">
        <v>130</v>
      </c>
      <c r="M23" s="52"/>
      <c r="O23" s="253"/>
      <c r="P23" s="254"/>
      <c r="Q23" s="254"/>
      <c r="R23" s="255"/>
      <c r="IR23" s="1"/>
      <c r="IS23" s="1"/>
      <c r="IT23" s="1"/>
      <c r="IU23" s="1"/>
      <c r="IV23" s="1"/>
    </row>
    <row r="24" spans="1:256" ht="15" customHeight="1" thickTop="1" thickBot="1">
      <c r="A24" s="28"/>
      <c r="B24" s="51"/>
      <c r="C24" s="65"/>
      <c r="D24" s="52"/>
      <c r="E24" s="52"/>
      <c r="F24" s="45" t="s">
        <v>169</v>
      </c>
      <c r="G24" s="51"/>
      <c r="H24" s="65"/>
      <c r="I24" s="51"/>
      <c r="J24" s="65"/>
      <c r="K24" s="52"/>
      <c r="L24" s="66"/>
      <c r="M24" s="52"/>
      <c r="O24" s="152"/>
      <c r="P24" s="152"/>
      <c r="Q24" s="152"/>
      <c r="R24" s="152"/>
      <c r="IR24" s="1"/>
      <c r="IS24" s="1"/>
      <c r="IT24" s="1"/>
      <c r="IU24" s="1"/>
      <c r="IV24" s="1"/>
    </row>
    <row r="25" spans="1:256" ht="15" customHeight="1" thickBot="1">
      <c r="A25" s="55" t="s">
        <v>301</v>
      </c>
      <c r="B25" s="51" t="s">
        <v>302</v>
      </c>
      <c r="C25" s="52">
        <v>4</v>
      </c>
      <c r="D25" s="93"/>
      <c r="E25" s="52"/>
      <c r="F25" s="52"/>
      <c r="G25" s="51"/>
      <c r="H25" s="51" t="s">
        <v>303</v>
      </c>
      <c r="I25" s="51" t="s">
        <v>296</v>
      </c>
      <c r="J25" s="52">
        <v>4</v>
      </c>
      <c r="K25" s="93"/>
      <c r="L25" s="66"/>
      <c r="M25" s="52"/>
      <c r="O25" s="152"/>
      <c r="P25" s="152"/>
      <c r="Q25" s="152"/>
      <c r="R25" s="152"/>
      <c r="IR25" s="1"/>
      <c r="IS25" s="1"/>
      <c r="IT25" s="1"/>
      <c r="IU25" s="1"/>
      <c r="IV25" s="1"/>
    </row>
    <row r="26" spans="1:256" ht="15" customHeight="1" thickBot="1">
      <c r="A26" s="50" t="s">
        <v>219</v>
      </c>
      <c r="B26" s="51" t="s">
        <v>5</v>
      </c>
      <c r="C26" s="52">
        <v>4</v>
      </c>
      <c r="D26" s="93"/>
      <c r="E26" s="52"/>
      <c r="F26" s="52"/>
      <c r="G26" s="51"/>
      <c r="H26" s="56" t="s">
        <v>119</v>
      </c>
      <c r="I26" s="51" t="s">
        <v>190</v>
      </c>
      <c r="J26" s="52">
        <v>4</v>
      </c>
      <c r="K26" s="93"/>
      <c r="L26" s="66"/>
      <c r="M26" s="52"/>
      <c r="O26" s="152"/>
      <c r="P26" s="152"/>
      <c r="Q26" s="152"/>
      <c r="R26" s="152"/>
      <c r="IR26" s="1"/>
      <c r="IS26" s="1"/>
      <c r="IT26" s="1"/>
      <c r="IU26" s="1"/>
      <c r="IV26" s="1"/>
    </row>
    <row r="27" spans="1:256" ht="15" customHeight="1" thickBot="1">
      <c r="A27" s="55" t="s">
        <v>220</v>
      </c>
      <c r="B27" s="51" t="s">
        <v>6</v>
      </c>
      <c r="C27" s="52">
        <v>4</v>
      </c>
      <c r="D27" s="93"/>
      <c r="E27" s="52"/>
      <c r="F27" s="52"/>
      <c r="G27" s="51"/>
      <c r="H27" s="65" t="s">
        <v>120</v>
      </c>
      <c r="I27" s="51" t="s">
        <v>9</v>
      </c>
      <c r="J27" s="52">
        <v>1</v>
      </c>
      <c r="K27" s="93"/>
      <c r="L27" s="66"/>
      <c r="M27" s="52"/>
      <c r="O27" s="152"/>
      <c r="P27" s="152"/>
      <c r="Q27" s="152"/>
      <c r="R27" s="152"/>
      <c r="IR27" s="1"/>
      <c r="IS27" s="1"/>
      <c r="IT27" s="1"/>
      <c r="IU27" s="1"/>
      <c r="IV27" s="1"/>
    </row>
    <row r="28" spans="1:256" ht="15" customHeight="1" thickBot="1">
      <c r="A28" s="28" t="s">
        <v>356</v>
      </c>
      <c r="B28" s="70" t="s">
        <v>357</v>
      </c>
      <c r="C28" s="52">
        <v>4</v>
      </c>
      <c r="D28" s="93"/>
      <c r="E28" s="52"/>
      <c r="F28" s="52"/>
      <c r="G28" s="51"/>
      <c r="H28" s="51" t="s">
        <v>10</v>
      </c>
      <c r="I28" s="51" t="s">
        <v>331</v>
      </c>
      <c r="J28" s="52">
        <v>4</v>
      </c>
      <c r="K28" s="93"/>
      <c r="L28" s="66"/>
      <c r="M28" s="52"/>
      <c r="O28" s="152"/>
      <c r="P28" s="152"/>
      <c r="Q28" s="152"/>
      <c r="R28" s="152"/>
      <c r="IR28" s="1"/>
      <c r="IS28" s="1"/>
      <c r="IT28" s="1"/>
      <c r="IU28" s="1"/>
      <c r="IV28" s="1"/>
    </row>
    <row r="29" spans="1:256" ht="15" customHeight="1" thickBot="1">
      <c r="A29" s="28"/>
      <c r="B29" s="51"/>
      <c r="C29" s="65"/>
      <c r="D29" s="52"/>
      <c r="E29" s="52"/>
      <c r="F29" s="52"/>
      <c r="G29" s="51"/>
      <c r="H29" t="s">
        <v>356</v>
      </c>
      <c r="I29" t="s">
        <v>357</v>
      </c>
      <c r="J29" s="71">
        <v>3</v>
      </c>
      <c r="K29" s="93"/>
      <c r="L29" s="66"/>
      <c r="M29" s="52"/>
      <c r="O29" s="152"/>
      <c r="P29" s="152"/>
      <c r="Q29" s="152"/>
      <c r="R29" s="152"/>
      <c r="IR29" s="1"/>
      <c r="IS29" s="1"/>
      <c r="IT29" s="1"/>
      <c r="IU29" s="1"/>
      <c r="IV29" s="1"/>
    </row>
    <row r="30" spans="1:256" ht="15" customHeight="1">
      <c r="A30" s="28"/>
      <c r="B30" s="51"/>
      <c r="C30" s="65"/>
      <c r="D30" s="52"/>
      <c r="E30" s="52"/>
      <c r="F30" s="52"/>
      <c r="G30" s="51"/>
      <c r="H30" s="51"/>
      <c r="I30" s="51"/>
      <c r="J30" s="53"/>
      <c r="K30" s="57"/>
      <c r="L30" s="66"/>
      <c r="M30" s="52"/>
      <c r="O30" s="152"/>
      <c r="P30" s="152"/>
      <c r="Q30" s="152"/>
      <c r="R30" s="152"/>
      <c r="IR30" s="1"/>
      <c r="IS30" s="1"/>
      <c r="IT30" s="1"/>
      <c r="IU30" s="1"/>
      <c r="IV30" s="1"/>
    </row>
    <row r="31" spans="1:256" ht="15" customHeight="1">
      <c r="A31" s="28"/>
      <c r="B31" s="51"/>
      <c r="C31" s="65"/>
      <c r="D31" s="52"/>
      <c r="E31" s="52"/>
      <c r="F31" s="52"/>
      <c r="G31" s="51"/>
      <c r="H31" s="51"/>
      <c r="I31" s="51"/>
      <c r="J31" s="52">
        <f>SUM(J25:J29)</f>
        <v>16</v>
      </c>
      <c r="K31" s="57"/>
      <c r="L31" s="66"/>
      <c r="M31" s="52"/>
      <c r="O31" s="65"/>
      <c r="P31" s="108"/>
      <c r="Q31" s="71"/>
      <c r="R31" s="152"/>
      <c r="IR31" s="1"/>
      <c r="IS31" s="1"/>
      <c r="IT31" s="1"/>
      <c r="IU31" s="1"/>
      <c r="IV31" s="1"/>
    </row>
    <row r="32" spans="1:256" ht="15" customHeight="1">
      <c r="A32" s="157"/>
      <c r="B32" s="158"/>
      <c r="C32" s="159"/>
      <c r="D32" s="160"/>
      <c r="E32" s="160"/>
      <c r="F32" s="162" t="s">
        <v>170</v>
      </c>
      <c r="G32" s="158"/>
      <c r="H32" s="159"/>
      <c r="I32" s="158"/>
      <c r="J32" s="159"/>
      <c r="K32" s="160"/>
      <c r="L32" s="161"/>
      <c r="M32" s="52"/>
      <c r="O32" s="152"/>
      <c r="P32" s="152"/>
      <c r="Q32" s="152"/>
      <c r="R32" s="152"/>
      <c r="IR32" s="1"/>
      <c r="IS32" s="1"/>
      <c r="IT32" s="1"/>
      <c r="IU32" s="1"/>
      <c r="IV32" s="1"/>
    </row>
    <row r="33" spans="1:256" ht="12.75" customHeight="1" thickBot="1">
      <c r="A33" s="43"/>
      <c r="B33" s="47"/>
      <c r="C33" s="48"/>
      <c r="D33" s="67"/>
      <c r="E33" s="67"/>
      <c r="F33" s="45" t="s">
        <v>173</v>
      </c>
      <c r="G33" s="47"/>
      <c r="H33" s="48"/>
      <c r="I33" s="47"/>
      <c r="J33" s="48"/>
      <c r="K33" s="67"/>
      <c r="L33" s="68"/>
      <c r="M33" s="52"/>
      <c r="IR33" s="1"/>
      <c r="IS33" s="1"/>
      <c r="IT33" s="1"/>
      <c r="IU33" s="1"/>
      <c r="IV33" s="1"/>
    </row>
    <row r="34" spans="1:256" ht="15.75" customHeight="1" thickBot="1">
      <c r="A34" s="55" t="s">
        <v>272</v>
      </c>
      <c r="B34" s="108" t="s">
        <v>132</v>
      </c>
      <c r="C34" s="52">
        <v>4</v>
      </c>
      <c r="D34" s="93"/>
      <c r="E34" s="53"/>
      <c r="F34" s="52"/>
      <c r="G34" s="65"/>
      <c r="H34" s="230" t="s">
        <v>360</v>
      </c>
      <c r="L34" s="54"/>
      <c r="M34" s="53"/>
      <c r="BC34" t="s">
        <v>86</v>
      </c>
    </row>
    <row r="35" spans="1:256" ht="15.75" customHeight="1" thickBot="1">
      <c r="A35" s="55" t="s">
        <v>43</v>
      </c>
      <c r="B35" s="51" t="s">
        <v>44</v>
      </c>
      <c r="C35" s="52">
        <v>4</v>
      </c>
      <c r="D35" s="93"/>
      <c r="E35" s="53"/>
      <c r="F35" s="52"/>
      <c r="G35" s="65"/>
      <c r="H35" t="s">
        <v>356</v>
      </c>
      <c r="I35" t="s">
        <v>357</v>
      </c>
      <c r="J35" s="71">
        <v>3</v>
      </c>
      <c r="K35" s="93"/>
      <c r="L35" s="54"/>
      <c r="M35" s="53"/>
      <c r="BC35" t="str">
        <f>BC9</f>
        <v>GEN2010</v>
      </c>
      <c r="BD35">
        <f>BD9</f>
        <v>4</v>
      </c>
      <c r="BE35" t="str">
        <f>BE8</f>
        <v>GEN2012</v>
      </c>
      <c r="BF35">
        <f>BF8+2+3</f>
        <v>9</v>
      </c>
    </row>
    <row r="36" spans="1:256" ht="15.75" customHeight="1" thickBot="1">
      <c r="A36" s="55" t="s">
        <v>7</v>
      </c>
      <c r="B36" s="51" t="s">
        <v>221</v>
      </c>
      <c r="C36" s="52">
        <v>2</v>
      </c>
      <c r="D36" s="93"/>
      <c r="E36" s="53"/>
      <c r="F36" s="52"/>
      <c r="G36" s="65"/>
      <c r="H36" s="65" t="s">
        <v>11</v>
      </c>
      <c r="I36" s="108" t="s">
        <v>331</v>
      </c>
      <c r="J36" s="71">
        <v>3</v>
      </c>
      <c r="K36" s="93"/>
      <c r="L36" s="54"/>
      <c r="M36" s="53"/>
      <c r="BC36" t="str">
        <f>BC11</f>
        <v>MTH 2220</v>
      </c>
      <c r="BD36">
        <f>BD11</f>
        <v>4</v>
      </c>
    </row>
    <row r="37" spans="1:256" ht="15.75" customHeight="1" thickBot="1">
      <c r="A37" s="55" t="s">
        <v>381</v>
      </c>
      <c r="B37" s="108" t="s">
        <v>382</v>
      </c>
      <c r="C37" s="52">
        <v>4</v>
      </c>
      <c r="D37" s="93"/>
      <c r="E37" s="53"/>
      <c r="F37" s="52"/>
      <c r="G37" s="65"/>
      <c r="H37" s="51" t="s">
        <v>16</v>
      </c>
      <c r="I37" s="108" t="s">
        <v>331</v>
      </c>
      <c r="J37" s="52">
        <v>3</v>
      </c>
      <c r="K37" s="93"/>
      <c r="L37" s="54"/>
      <c r="M37" s="53"/>
      <c r="BC37" t="str">
        <f>BC13</f>
        <v>Elective (course here)</v>
      </c>
      <c r="BD37">
        <f>BD13</f>
        <v>4</v>
      </c>
    </row>
    <row r="38" spans="1:256" ht="15.75" customHeight="1" thickBot="1">
      <c r="A38" s="55" t="s">
        <v>356</v>
      </c>
      <c r="B38" s="51" t="s">
        <v>359</v>
      </c>
      <c r="C38" s="52">
        <v>4</v>
      </c>
      <c r="D38" s="93"/>
      <c r="E38" s="53"/>
      <c r="F38" s="53"/>
      <c r="G38" s="65"/>
      <c r="H38" s="51" t="s">
        <v>8</v>
      </c>
      <c r="I38" s="108" t="s">
        <v>331</v>
      </c>
      <c r="J38" s="71">
        <v>3</v>
      </c>
      <c r="K38" s="93"/>
      <c r="L38" s="54"/>
      <c r="M38" s="53"/>
    </row>
    <row r="39" spans="1:256" ht="15.75" customHeight="1">
      <c r="A39" s="50"/>
      <c r="B39" s="51"/>
      <c r="C39" s="52"/>
      <c r="D39" s="57"/>
      <c r="E39" s="57"/>
      <c r="F39" s="52"/>
      <c r="G39" s="65"/>
      <c r="L39" s="59"/>
      <c r="M39" s="57"/>
    </row>
    <row r="40" spans="1:256" ht="15" customHeight="1">
      <c r="A40" s="60"/>
      <c r="B40" s="61"/>
      <c r="C40" s="62">
        <f>C34+C35+C36+C37+C38</f>
        <v>18</v>
      </c>
      <c r="D40" s="63"/>
      <c r="E40" s="63"/>
      <c r="F40" s="62"/>
      <c r="G40" s="35"/>
      <c r="L40" s="64"/>
      <c r="M40" s="57"/>
    </row>
    <row r="41" spans="1:256" ht="16.05" customHeight="1">
      <c r="A41" s="28"/>
      <c r="B41" s="65"/>
      <c r="C41" s="65"/>
      <c r="D41" s="52" t="s">
        <v>130</v>
      </c>
      <c r="E41" s="52"/>
      <c r="F41" s="162" t="s">
        <v>170</v>
      </c>
      <c r="G41" s="65"/>
      <c r="H41" s="159"/>
      <c r="I41" s="159"/>
      <c r="J41" s="159"/>
      <c r="K41" s="160" t="s">
        <v>130</v>
      </c>
      <c r="L41" s="66" t="s">
        <v>130</v>
      </c>
      <c r="M41" s="52"/>
    </row>
    <row r="42" spans="1:256" ht="16.5" customHeight="1" thickBot="1">
      <c r="A42" s="43"/>
      <c r="B42" s="48"/>
      <c r="C42" s="48"/>
      <c r="D42" s="67"/>
      <c r="E42" s="67"/>
      <c r="F42" s="45" t="s">
        <v>129</v>
      </c>
      <c r="G42" s="48"/>
      <c r="H42" s="48"/>
      <c r="I42" s="48"/>
      <c r="J42" s="48"/>
      <c r="K42" s="67"/>
      <c r="L42" s="68"/>
      <c r="M42" s="52"/>
      <c r="BC42" t="s">
        <v>87</v>
      </c>
    </row>
    <row r="43" spans="1:256" ht="15.75" customHeight="1" thickBot="1">
      <c r="A43" s="50" t="s">
        <v>5</v>
      </c>
      <c r="B43" s="51" t="s">
        <v>331</v>
      </c>
      <c r="C43" s="52">
        <v>4</v>
      </c>
      <c r="D43" s="93"/>
      <c r="E43" s="53"/>
      <c r="F43" s="52"/>
      <c r="G43" s="65"/>
      <c r="H43" s="51" t="s">
        <v>121</v>
      </c>
      <c r="I43" s="51" t="s">
        <v>254</v>
      </c>
      <c r="J43" s="52">
        <v>4</v>
      </c>
      <c r="K43" s="93"/>
      <c r="L43" s="91"/>
      <c r="M43" s="92"/>
      <c r="BC43" t="str">
        <f>BC12</f>
        <v>PHL 1000</v>
      </c>
      <c r="BD43">
        <f>BD12+2+3</f>
        <v>9</v>
      </c>
      <c r="BE43" t="str">
        <f>BE9</f>
        <v>GEN 3040</v>
      </c>
      <c r="BF43">
        <f>BF9+2+3</f>
        <v>9</v>
      </c>
    </row>
    <row r="44" spans="1:256" ht="15.75" customHeight="1" thickBot="1">
      <c r="A44" s="29" t="s">
        <v>12</v>
      </c>
      <c r="B44" s="29" t="s">
        <v>331</v>
      </c>
      <c r="C44" s="52">
        <v>4</v>
      </c>
      <c r="D44" s="93"/>
      <c r="E44" s="53"/>
      <c r="F44" s="52"/>
      <c r="G44" s="65"/>
      <c r="H44" s="51" t="s">
        <v>296</v>
      </c>
      <c r="I44" s="51" t="s">
        <v>331</v>
      </c>
      <c r="J44" s="52">
        <v>4</v>
      </c>
      <c r="K44" s="93"/>
      <c r="L44" s="54"/>
      <c r="M44" s="53"/>
      <c r="BC44" t="str">
        <f>BC15</f>
        <v>Elective (course here)</v>
      </c>
      <c r="BD44">
        <f>BD15</f>
        <v>4</v>
      </c>
    </row>
    <row r="45" spans="1:256" ht="15.75" customHeight="1" thickBot="1">
      <c r="A45" s="51" t="s">
        <v>16</v>
      </c>
      <c r="B45" s="108" t="s">
        <v>331</v>
      </c>
      <c r="C45" s="52">
        <v>4</v>
      </c>
      <c r="D45" s="93"/>
      <c r="E45" s="92" t="s">
        <v>14</v>
      </c>
      <c r="F45" s="52"/>
      <c r="G45" s="65"/>
      <c r="H45" s="51" t="s">
        <v>15</v>
      </c>
      <c r="I45" s="29" t="s">
        <v>331</v>
      </c>
      <c r="J45" s="52">
        <v>4</v>
      </c>
      <c r="K45" s="93"/>
      <c r="L45" s="54"/>
      <c r="M45" s="53"/>
    </row>
    <row r="46" spans="1:256" ht="15.75" customHeight="1" thickBot="1">
      <c r="A46" s="55" t="s">
        <v>13</v>
      </c>
      <c r="B46" s="108" t="s">
        <v>371</v>
      </c>
      <c r="C46" s="52">
        <v>4</v>
      </c>
      <c r="D46" s="93"/>
      <c r="E46" s="53"/>
      <c r="F46" s="52"/>
      <c r="G46" s="65"/>
      <c r="H46" s="51" t="s">
        <v>113</v>
      </c>
      <c r="I46" s="51" t="s">
        <v>191</v>
      </c>
      <c r="J46" s="52">
        <v>1</v>
      </c>
      <c r="K46" s="93"/>
      <c r="L46" s="54"/>
      <c r="M46" s="53"/>
      <c r="BC46" t="s">
        <v>88</v>
      </c>
    </row>
    <row r="47" spans="1:256" ht="15.75" customHeight="1" thickBot="1">
      <c r="A47" s="50"/>
      <c r="B47" s="51"/>
      <c r="C47" s="52"/>
      <c r="D47" s="107"/>
      <c r="E47" s="53"/>
      <c r="F47" s="52"/>
      <c r="G47" s="65"/>
      <c r="H47" s="51"/>
      <c r="I47" s="108"/>
      <c r="J47" s="52"/>
      <c r="K47" s="93"/>
      <c r="L47" s="54"/>
      <c r="M47" s="53"/>
      <c r="BC47" t="str">
        <f>BC10</f>
        <v>WLC</v>
      </c>
      <c r="BD47">
        <f>BD10+2+3</f>
        <v>9</v>
      </c>
      <c r="BE47" t="str">
        <f>BE11</f>
        <v>CEN3050</v>
      </c>
      <c r="BF47">
        <f>BF11+2+3</f>
        <v>9</v>
      </c>
    </row>
    <row r="48" spans="1:256" ht="15.75" customHeight="1" thickBot="1">
      <c r="A48" s="50"/>
      <c r="B48" s="51"/>
      <c r="C48" s="52"/>
      <c r="D48" s="53"/>
      <c r="E48" s="53"/>
      <c r="F48" s="52"/>
      <c r="G48" s="65"/>
      <c r="H48" s="51"/>
      <c r="I48" s="51"/>
      <c r="J48" s="52"/>
      <c r="K48" s="53"/>
      <c r="L48" s="54"/>
      <c r="M48" s="53"/>
      <c r="BE48" t="str">
        <f>BE12</f>
        <v>CEN3090</v>
      </c>
      <c r="BF48">
        <f>BF12</f>
        <v>1</v>
      </c>
    </row>
    <row r="49" spans="1:256" ht="15.75" customHeight="1" thickBot="1">
      <c r="A49" s="50"/>
      <c r="B49" s="51"/>
      <c r="C49" s="52"/>
      <c r="D49" s="57"/>
      <c r="E49" s="57"/>
      <c r="F49" s="57" t="s">
        <v>114</v>
      </c>
      <c r="G49" s="65"/>
      <c r="H49" s="109"/>
      <c r="I49" s="51"/>
      <c r="J49" s="52"/>
      <c r="K49" s="57"/>
      <c r="L49" s="59"/>
      <c r="M49" s="57"/>
      <c r="BE49" t="str">
        <f>BE16</f>
        <v>Elective (course here)</v>
      </c>
      <c r="BF49">
        <f>BF16</f>
        <v>4</v>
      </c>
      <c r="IR49" s="1"/>
      <c r="IS49" s="1"/>
      <c r="IT49" s="1"/>
      <c r="IU49" s="1"/>
      <c r="IV49" s="1"/>
    </row>
    <row r="50" spans="1:256" ht="15.75" customHeight="1">
      <c r="A50" s="50"/>
      <c r="B50" s="51"/>
      <c r="C50" s="52"/>
      <c r="D50" s="57"/>
      <c r="E50" s="57"/>
      <c r="F50" s="52"/>
      <c r="G50" s="65"/>
      <c r="H50" s="51"/>
      <c r="I50" s="51"/>
      <c r="J50" s="52"/>
      <c r="K50" s="57"/>
      <c r="L50" s="59"/>
      <c r="M50" s="57"/>
      <c r="IR50" s="1"/>
      <c r="IS50" s="1"/>
      <c r="IT50" s="1"/>
      <c r="IU50" s="1"/>
      <c r="IV50" s="1"/>
    </row>
    <row r="51" spans="1:256" ht="15.75" customHeight="1">
      <c r="A51" s="60"/>
      <c r="B51" s="61"/>
      <c r="C51" s="62">
        <f>SUM(C43:C49)</f>
        <v>16</v>
      </c>
      <c r="D51" s="62"/>
      <c r="E51" s="62"/>
      <c r="F51" s="62"/>
      <c r="G51" s="35"/>
      <c r="H51" s="61"/>
      <c r="I51" s="61"/>
      <c r="J51" s="62">
        <f>SUM(J43:J50)</f>
        <v>13</v>
      </c>
      <c r="K51" s="63"/>
      <c r="L51" s="64"/>
      <c r="M51" s="57"/>
      <c r="IR51" s="1"/>
      <c r="IS51" s="1"/>
      <c r="IT51" s="1"/>
      <c r="IU51" s="1"/>
      <c r="IV51" s="1"/>
    </row>
    <row r="52" spans="1:256" ht="12.75" customHeight="1">
      <c r="A52" s="262" t="s">
        <v>115</v>
      </c>
      <c r="B52" s="263"/>
      <c r="C52" s="263"/>
      <c r="D52" s="263"/>
      <c r="E52" s="263"/>
      <c r="F52" s="264"/>
      <c r="G52" s="8"/>
      <c r="H52" s="72" t="s">
        <v>251</v>
      </c>
      <c r="I52" s="3"/>
      <c r="J52" s="3"/>
      <c r="K52" s="3"/>
      <c r="L52" s="9"/>
      <c r="M52" s="4"/>
      <c r="IR52" s="1"/>
      <c r="IS52" s="1"/>
      <c r="IT52" s="1"/>
      <c r="IU52" s="1"/>
      <c r="IV52" s="1"/>
    </row>
    <row r="53" spans="1:256" ht="15.75" customHeight="1">
      <c r="A53" s="106"/>
      <c r="B53" s="98"/>
      <c r="C53" s="98"/>
      <c r="D53" s="98"/>
      <c r="E53" s="98"/>
      <c r="F53" s="99"/>
      <c r="G53" s="73" t="s">
        <v>252</v>
      </c>
      <c r="H53" s="74"/>
      <c r="I53" s="51"/>
      <c r="J53" s="51" t="s">
        <v>131</v>
      </c>
      <c r="K53" s="4"/>
      <c r="L53" s="10"/>
      <c r="M53" s="4"/>
      <c r="BC53" t="s">
        <v>177</v>
      </c>
      <c r="IR53" s="1"/>
      <c r="IS53" s="1"/>
      <c r="IT53" s="1"/>
      <c r="IU53" s="1"/>
      <c r="IV53" s="1"/>
    </row>
    <row r="54" spans="1:256" ht="15.75" customHeight="1">
      <c r="A54" s="125" t="s">
        <v>249</v>
      </c>
      <c r="C54" s="101"/>
      <c r="D54" s="101"/>
      <c r="E54" s="101"/>
      <c r="F54" s="102"/>
      <c r="G54" s="75"/>
      <c r="H54" s="74" t="s">
        <v>244</v>
      </c>
      <c r="I54" s="51"/>
      <c r="J54" s="51">
        <v>4</v>
      </c>
      <c r="K54" s="4"/>
      <c r="L54" s="10"/>
      <c r="M54" s="4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 t="str">
        <f>BC8</f>
        <v>GEN 1001</v>
      </c>
      <c r="BD54" s="1">
        <f>BD8+2+3</f>
        <v>9</v>
      </c>
      <c r="BE54" s="1" t="str">
        <f>BE10</f>
        <v>CEN3030</v>
      </c>
      <c r="BF54" s="1">
        <f>BF10+2</f>
        <v>6</v>
      </c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ht="16.95" customHeight="1">
      <c r="A55" s="126" t="s">
        <v>152</v>
      </c>
      <c r="C55" s="101"/>
      <c r="D55" s="101"/>
      <c r="E55" s="101"/>
      <c r="F55" s="102"/>
      <c r="G55" s="75"/>
      <c r="H55" s="74" t="s">
        <v>258</v>
      </c>
      <c r="I55" s="52"/>
      <c r="J55" s="51">
        <v>4</v>
      </c>
      <c r="K55" s="4"/>
      <c r="L55" s="10"/>
      <c r="M55" s="4"/>
      <c r="N55" s="5"/>
      <c r="BE55" t="str">
        <f>BE17</f>
        <v>CEN 4900</v>
      </c>
      <c r="BF55">
        <f>BF17</f>
        <v>1</v>
      </c>
      <c r="IR55" s="1"/>
      <c r="IS55" s="1"/>
      <c r="IT55" s="1"/>
      <c r="IU55" s="1"/>
      <c r="IV55" s="1"/>
    </row>
    <row r="56" spans="1:256" ht="15.6">
      <c r="A56" s="126" t="s">
        <v>299</v>
      </c>
      <c r="B56" t="s">
        <v>300</v>
      </c>
      <c r="C56" s="101"/>
      <c r="D56" s="101"/>
      <c r="E56" s="101"/>
      <c r="F56" s="102"/>
      <c r="G56" s="76"/>
      <c r="H56" s="74"/>
      <c r="I56" s="70"/>
      <c r="J56" s="70"/>
      <c r="K56" s="7"/>
      <c r="L56" s="11"/>
      <c r="M56" s="7"/>
      <c r="N56" s="1"/>
      <c r="IR56" s="1"/>
      <c r="IS56" s="1"/>
      <c r="IT56" s="1"/>
      <c r="IU56" s="1"/>
      <c r="IV56" s="1"/>
    </row>
    <row r="57" spans="1:256" ht="13.95" customHeight="1">
      <c r="A57" s="127" t="str">
        <f>IF(AND(C8=4,D8=1),CONCATENATE(A8," ",B8),"")</f>
        <v/>
      </c>
      <c r="B57" s="110" t="str">
        <f>IF(AND(C8=4,D8=1),C8,"")</f>
        <v/>
      </c>
      <c r="C57" s="101"/>
      <c r="D57" s="101"/>
      <c r="E57" s="101"/>
      <c r="F57" s="102"/>
      <c r="G57" s="73" t="s">
        <v>294</v>
      </c>
      <c r="H57" s="74"/>
      <c r="I57" s="51"/>
      <c r="J57" s="51"/>
      <c r="K57" s="4"/>
      <c r="L57" s="10"/>
      <c r="M57" s="4"/>
      <c r="IR57" s="1"/>
      <c r="IS57" s="1"/>
      <c r="IT57" s="1"/>
      <c r="IU57" s="1"/>
      <c r="IV57" s="1"/>
    </row>
    <row r="58" spans="1:256" ht="15.75" customHeight="1">
      <c r="A58" s="126"/>
      <c r="C58" s="101"/>
      <c r="D58" s="101"/>
      <c r="E58" s="101"/>
      <c r="F58" s="102"/>
      <c r="G58" s="75" t="s">
        <v>130</v>
      </c>
      <c r="H58" s="74" t="s">
        <v>259</v>
      </c>
      <c r="I58" s="51"/>
      <c r="J58" s="51">
        <v>4</v>
      </c>
      <c r="K58" s="4"/>
      <c r="L58" s="10"/>
      <c r="M58" s="4"/>
      <c r="BC58" t="s">
        <v>178</v>
      </c>
      <c r="IR58" s="1"/>
      <c r="IS58" s="1"/>
      <c r="IT58" s="1"/>
      <c r="IU58" s="1"/>
      <c r="IV58" s="1"/>
    </row>
    <row r="59" spans="1:256" ht="15.75" customHeight="1">
      <c r="A59" s="126" t="s">
        <v>75</v>
      </c>
      <c r="C59" s="101"/>
      <c r="D59" s="101"/>
      <c r="E59" s="101"/>
      <c r="F59" s="102"/>
      <c r="G59" s="75"/>
      <c r="H59" s="74"/>
      <c r="I59" s="51"/>
      <c r="J59" s="51"/>
      <c r="K59" s="4"/>
      <c r="L59" s="10"/>
      <c r="M59" s="4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 t="str">
        <f>BE15</f>
        <v>Elective (course here)</v>
      </c>
      <c r="BF59" s="2">
        <f>BF15</f>
        <v>4</v>
      </c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</row>
    <row r="60" spans="1:256" ht="15.75" customHeight="1">
      <c r="A60" s="126" t="s">
        <v>299</v>
      </c>
      <c r="B60" t="s">
        <v>300</v>
      </c>
      <c r="C60" s="101"/>
      <c r="D60" s="101"/>
      <c r="E60" s="101"/>
      <c r="F60" s="102"/>
      <c r="G60" s="73" t="s">
        <v>295</v>
      </c>
      <c r="H60" s="74"/>
      <c r="I60" s="51"/>
      <c r="J60" s="51"/>
      <c r="K60" s="4"/>
      <c r="L60" s="10"/>
      <c r="M60" s="4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 t="str">
        <f>BE13</f>
        <v>CEN 4901</v>
      </c>
      <c r="BF60" s="1">
        <f>BF13+2</f>
        <v>6</v>
      </c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ht="15.75" customHeight="1">
      <c r="A61" s="127"/>
      <c r="B61" s="110"/>
      <c r="C61" s="101"/>
      <c r="D61" s="101"/>
      <c r="E61" s="101"/>
      <c r="F61" s="102"/>
      <c r="G61" s="75"/>
      <c r="H61" s="74" t="s">
        <v>145</v>
      </c>
      <c r="I61" s="51"/>
      <c r="J61" s="51">
        <v>4</v>
      </c>
      <c r="K61" s="4"/>
      <c r="L61" s="10"/>
      <c r="M61" s="4"/>
      <c r="N61" s="2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ht="15.75" customHeight="1">
      <c r="A62" s="100"/>
      <c r="B62" s="101"/>
      <c r="C62" s="101"/>
      <c r="D62" s="101"/>
      <c r="E62" s="101"/>
      <c r="F62" s="102"/>
      <c r="G62" s="77"/>
      <c r="H62" s="74" t="s">
        <v>146</v>
      </c>
      <c r="I62" s="51"/>
      <c r="J62" s="51">
        <v>4</v>
      </c>
      <c r="K62" s="4"/>
      <c r="L62" s="10"/>
      <c r="M62" s="4"/>
      <c r="N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ht="15.6">
      <c r="A63" s="128" t="s">
        <v>74</v>
      </c>
      <c r="B63" s="129"/>
      <c r="C63" s="101"/>
      <c r="D63" s="101"/>
      <c r="E63" s="101"/>
      <c r="F63" s="102"/>
      <c r="G63" s="77"/>
      <c r="H63" s="53"/>
      <c r="I63" s="53"/>
      <c r="J63" s="53"/>
      <c r="K63" s="4"/>
      <c r="L63" s="10"/>
      <c r="M63" s="4"/>
      <c r="N63" s="1"/>
    </row>
    <row r="64" spans="1:256" ht="15.6">
      <c r="A64" s="130"/>
      <c r="B64" s="101"/>
      <c r="C64" s="101"/>
      <c r="D64" s="101"/>
      <c r="E64" s="101"/>
      <c r="F64" s="102"/>
      <c r="G64" s="78" t="s">
        <v>296</v>
      </c>
      <c r="H64" s="74"/>
      <c r="I64" s="51"/>
      <c r="J64" s="51"/>
      <c r="K64" s="4"/>
      <c r="L64" s="10"/>
      <c r="M64" s="4"/>
      <c r="N64" s="1"/>
    </row>
    <row r="65" spans="1:14" ht="15.6">
      <c r="A65" s="130"/>
      <c r="B65" s="101"/>
      <c r="C65" s="101"/>
      <c r="D65" s="101"/>
      <c r="E65" s="101"/>
      <c r="F65" s="102"/>
      <c r="G65" s="77"/>
      <c r="H65" s="74" t="s">
        <v>147</v>
      </c>
      <c r="I65" s="51"/>
      <c r="J65" s="51">
        <v>4</v>
      </c>
      <c r="K65" s="4"/>
      <c r="L65" s="10"/>
      <c r="M65" s="4"/>
      <c r="N65" s="1"/>
    </row>
    <row r="66" spans="1:14" ht="15.6">
      <c r="A66" s="100"/>
      <c r="B66" s="101"/>
      <c r="C66" s="101"/>
      <c r="D66" s="101"/>
      <c r="E66" s="101"/>
      <c r="F66" s="102"/>
      <c r="G66" s="78"/>
      <c r="H66" s="74" t="s">
        <v>111</v>
      </c>
      <c r="I66" s="51"/>
      <c r="J66" s="51">
        <v>4</v>
      </c>
      <c r="K66" s="4"/>
      <c r="L66" s="10"/>
      <c r="M66" s="4"/>
      <c r="N66" s="1"/>
    </row>
    <row r="67" spans="1:14" ht="15.6">
      <c r="A67" s="271" t="s">
        <v>318</v>
      </c>
      <c r="B67" s="272"/>
      <c r="C67" s="272"/>
      <c r="D67" s="272"/>
      <c r="E67" s="272"/>
      <c r="F67" s="102"/>
      <c r="G67" s="77"/>
      <c r="H67" s="74" t="s">
        <v>217</v>
      </c>
      <c r="I67" s="65"/>
      <c r="J67" s="65">
        <v>4</v>
      </c>
      <c r="K67" s="4"/>
      <c r="L67" s="54"/>
      <c r="M67" s="53"/>
      <c r="N67" s="1"/>
    </row>
    <row r="68" spans="1:14" ht="15.6">
      <c r="A68" s="258"/>
      <c r="B68" s="273"/>
      <c r="C68" s="273"/>
      <c r="D68" s="273"/>
      <c r="E68" s="273"/>
      <c r="F68" s="102"/>
      <c r="G68" s="78"/>
      <c r="H68" s="74"/>
      <c r="I68" s="65"/>
      <c r="J68" s="65"/>
      <c r="K68" s="4"/>
      <c r="L68" s="54"/>
      <c r="M68" s="53"/>
    </row>
    <row r="69" spans="1:14" ht="15.6">
      <c r="A69" s="265" t="s">
        <v>319</v>
      </c>
      <c r="B69" s="270"/>
      <c r="C69" s="274" t="s">
        <v>309</v>
      </c>
      <c r="D69" s="270"/>
      <c r="E69" s="270"/>
      <c r="F69" s="269"/>
      <c r="G69" s="78" t="s">
        <v>212</v>
      </c>
      <c r="H69" s="74"/>
      <c r="I69" s="65"/>
      <c r="J69" s="65"/>
      <c r="K69" s="53"/>
      <c r="L69" s="54"/>
      <c r="M69" s="53"/>
    </row>
    <row r="70" spans="1:14" ht="15.6">
      <c r="A70" s="267" t="s">
        <v>320</v>
      </c>
      <c r="B70" s="270"/>
      <c r="C70" s="270" t="s">
        <v>310</v>
      </c>
      <c r="D70" s="270"/>
      <c r="E70" s="270"/>
      <c r="F70" s="269"/>
      <c r="G70" s="77"/>
      <c r="H70" s="184" t="s">
        <v>211</v>
      </c>
      <c r="I70" s="65"/>
      <c r="J70" s="65"/>
      <c r="K70" s="53"/>
      <c r="L70" s="54"/>
      <c r="M70" s="53"/>
    </row>
    <row r="71" spans="1:14" ht="15.6">
      <c r="A71" s="267" t="s">
        <v>321</v>
      </c>
      <c r="B71" s="270"/>
      <c r="C71" s="270" t="s">
        <v>307</v>
      </c>
      <c r="D71" s="270"/>
      <c r="E71" s="270"/>
      <c r="F71" s="269"/>
      <c r="G71" s="77"/>
      <c r="H71" s="74" t="s">
        <v>218</v>
      </c>
      <c r="I71" s="65"/>
      <c r="J71" s="65">
        <v>4</v>
      </c>
      <c r="K71" s="53"/>
      <c r="L71" s="54"/>
      <c r="M71" s="53"/>
    </row>
    <row r="72" spans="1:14" ht="15.6">
      <c r="A72" s="267" t="s">
        <v>308</v>
      </c>
      <c r="B72" s="270"/>
      <c r="C72" s="151"/>
      <c r="D72" s="151"/>
      <c r="E72" s="151"/>
      <c r="F72" s="150"/>
      <c r="G72" s="77"/>
      <c r="H72" s="74" t="s">
        <v>108</v>
      </c>
      <c r="I72" s="65"/>
      <c r="J72" s="65">
        <v>4</v>
      </c>
      <c r="K72" s="53"/>
      <c r="L72" s="54"/>
      <c r="M72" s="53"/>
    </row>
    <row r="73" spans="1:14" ht="16.2" thickBot="1">
      <c r="A73" s="103"/>
      <c r="B73" s="104"/>
      <c r="C73" s="104"/>
      <c r="D73" s="104"/>
      <c r="E73" s="104"/>
      <c r="F73" s="105"/>
      <c r="G73" s="79"/>
      <c r="H73" s="80"/>
      <c r="I73" s="81"/>
      <c r="J73" s="81"/>
      <c r="K73" s="82"/>
      <c r="L73" s="83"/>
      <c r="M73" s="53"/>
    </row>
    <row r="74" spans="1:14" ht="15.6">
      <c r="A74" s="53"/>
      <c r="B74" s="53"/>
      <c r="C74" s="53"/>
      <c r="D74" s="53"/>
      <c r="E74" s="53"/>
      <c r="F74" s="53"/>
      <c r="G74" s="65"/>
      <c r="H74" s="65"/>
      <c r="I74" s="65"/>
      <c r="J74" s="65"/>
      <c r="K74" s="53"/>
      <c r="L74" s="53"/>
      <c r="M74" s="53"/>
    </row>
    <row r="75" spans="1:14" ht="15.6">
      <c r="G75" s="6"/>
      <c r="H75" s="6"/>
      <c r="I75" s="6"/>
      <c r="J75" s="6"/>
    </row>
    <row r="83" spans="1:4" ht="13.8" thickBot="1"/>
    <row r="84" spans="1:4" ht="16.2" thickBot="1">
      <c r="A84" s="55" t="s">
        <v>43</v>
      </c>
      <c r="B84" s="51" t="s">
        <v>44</v>
      </c>
      <c r="C84" s="52">
        <v>4</v>
      </c>
      <c r="D84" s="93"/>
    </row>
  </sheetData>
  <mergeCells count="16">
    <mergeCell ref="A71:B71"/>
    <mergeCell ref="C71:F71"/>
    <mergeCell ref="A72:B72"/>
    <mergeCell ref="O22:R23"/>
    <mergeCell ref="A52:F52"/>
    <mergeCell ref="A67:E68"/>
    <mergeCell ref="A69:B69"/>
    <mergeCell ref="C69:F69"/>
    <mergeCell ref="A70:B70"/>
    <mergeCell ref="C70:F70"/>
    <mergeCell ref="O20:R21"/>
    <mergeCell ref="D4:E4"/>
    <mergeCell ref="G4:H4"/>
    <mergeCell ref="J4:L4"/>
    <mergeCell ref="O16:R17"/>
    <mergeCell ref="O18:R19"/>
  </mergeCells>
  <phoneticPr fontId="28" type="noConversion"/>
  <conditionalFormatting sqref="D9">
    <cfRule type="expression" dxfId="118" priority="13" stopIfTrue="1">
      <formula>OR(AND($D$9&lt;&gt;1,$K$9=1),AND($D$9&lt;&gt;1,$D$17=1))</formula>
    </cfRule>
  </conditionalFormatting>
  <conditionalFormatting sqref="D10">
    <cfRule type="expression" dxfId="117" priority="14" stopIfTrue="1">
      <formula>AND($D$10&lt;&gt;1,$K$10=1)</formula>
    </cfRule>
  </conditionalFormatting>
  <conditionalFormatting sqref="K8">
    <cfRule type="expression" dxfId="116" priority="15" stopIfTrue="1">
      <formula>AND($K$8=1,$K$9&lt;&gt;1)</formula>
    </cfRule>
    <cfRule type="expression" dxfId="115" priority="16" stopIfTrue="1">
      <formula>AND($K$8&lt;&gt;1,$K$25=1)</formula>
    </cfRule>
  </conditionalFormatting>
  <conditionalFormatting sqref="K9">
    <cfRule type="expression" dxfId="114" priority="17" stopIfTrue="1">
      <formula>AND($K$9=1,$D$9&lt;&gt;1)</formula>
    </cfRule>
    <cfRule type="expression" dxfId="113" priority="18" stopIfTrue="1">
      <formula>OR(AND($K$9&lt;&gt;1,$D$18=1),AND($K$9&lt;&gt;1,$K$16=1))</formula>
    </cfRule>
    <cfRule type="expression" dxfId="112" priority="19" stopIfTrue="1">
      <formula>AND($K$9&lt;&gt;1,$K$8=1)</formula>
    </cfRule>
  </conditionalFormatting>
  <conditionalFormatting sqref="K10">
    <cfRule type="expression" dxfId="111" priority="20" stopIfTrue="1">
      <formula>AND($K$10=1,$D$10&lt;&gt;1)</formula>
    </cfRule>
    <cfRule type="expression" dxfId="110" priority="21" stopIfTrue="1">
      <formula>AND($K$10&lt;&gt;1,$K$26=1)</formula>
    </cfRule>
  </conditionalFormatting>
  <conditionalFormatting sqref="D16">
    <cfRule type="expression" dxfId="109" priority="22" stopIfTrue="1">
      <formula>AND($D$16=1,$D$17&lt;&gt;1)</formula>
    </cfRule>
    <cfRule type="expression" dxfId="108" priority="23" stopIfTrue="1">
      <formula>AND($D$16&lt;&gt;1,$K$16=1)</formula>
    </cfRule>
  </conditionalFormatting>
  <conditionalFormatting sqref="D19">
    <cfRule type="expression" dxfId="107" priority="24" stopIfTrue="1">
      <formula>AND($D$19&lt;&gt;1,$K$25=1)</formula>
    </cfRule>
  </conditionalFormatting>
  <conditionalFormatting sqref="D43">
    <cfRule type="expression" dxfId="106" priority="34" stopIfTrue="1">
      <formula>AND($D$43=1,$D$34&lt;&gt;1)</formula>
    </cfRule>
  </conditionalFormatting>
  <conditionalFormatting sqref="D44">
    <cfRule type="expression" dxfId="105" priority="35" stopIfTrue="1">
      <formula>AND($D$44=1,$D$35&lt;&gt;1)</formula>
    </cfRule>
  </conditionalFormatting>
  <conditionalFormatting sqref="L43:M43">
    <cfRule type="expression" dxfId="104" priority="38" stopIfTrue="1">
      <formula>$K$43=1</formula>
    </cfRule>
  </conditionalFormatting>
  <conditionalFormatting sqref="E45">
    <cfRule type="expression" dxfId="103" priority="39" stopIfTrue="1">
      <formula>$D$45=1</formula>
    </cfRule>
  </conditionalFormatting>
  <conditionalFormatting sqref="D18">
    <cfRule type="expression" dxfId="102" priority="40" stopIfTrue="1">
      <formula>AND($D$18=1,$K$9&lt;&gt;1)</formula>
    </cfRule>
    <cfRule type="expression" dxfId="101" priority="41" stopIfTrue="1">
      <formula>AND($D$18&lt;&gt;1,$K$17=1)</formula>
    </cfRule>
    <cfRule type="expression" dxfId="100" priority="42" stopIfTrue="1">
      <formula>AND($D$18&lt;&gt;1,$K$18=1)</formula>
    </cfRule>
  </conditionalFormatting>
  <conditionalFormatting sqref="K19">
    <cfRule type="expression" dxfId="99" priority="46" stopIfTrue="1">
      <formula>AND($D$17&lt;&gt;1,$K$19=1)</formula>
    </cfRule>
  </conditionalFormatting>
  <conditionalFormatting sqref="D26">
    <cfRule type="expression" dxfId="98" priority="9" stopIfTrue="1">
      <formula>OR(AND($D$26=1,$K$17&lt;&gt;1),AND($D$26=1,$K$16&lt;&gt;1))</formula>
    </cfRule>
    <cfRule type="expression" dxfId="97" priority="10" stopIfTrue="1">
      <formula>AND($D$26&lt;&gt;1,$D$34=1)</formula>
    </cfRule>
  </conditionalFormatting>
  <conditionalFormatting sqref="D27:D28">
    <cfRule type="expression" dxfId="96" priority="11" stopIfTrue="1">
      <formula>AND($D$27=1,$K$18&lt;&gt;1)</formula>
    </cfRule>
    <cfRule type="expression" dxfId="95" priority="12" stopIfTrue="1">
      <formula>AND($D$27&lt;&gt;1,$D$35=1)</formula>
    </cfRule>
  </conditionalFormatting>
  <conditionalFormatting sqref="D36">
    <cfRule type="expression" dxfId="94" priority="59" stopIfTrue="1">
      <formula>AND(#REF!=1,$D$17&lt;&gt;1)</formula>
    </cfRule>
  </conditionalFormatting>
  <conditionalFormatting sqref="K16">
    <cfRule type="expression" dxfId="93" priority="64" stopIfTrue="1">
      <formula>OR(AND($K$16=1,$D$16&lt;&gt;1),AND($K$16=1,$K$9&lt;&gt;1))</formula>
    </cfRule>
    <cfRule type="expression" dxfId="92" priority="65" stopIfTrue="1">
      <formula>OR(AND($K$16&lt;&gt;1,$D$26=1),AND($K$16&lt;&gt;1,$K$26=1),AND($K$16&lt;&gt;1,$D$27=1))</formula>
    </cfRule>
    <cfRule type="expression" dxfId="91" priority="66" stopIfTrue="1">
      <formula>AND($K$16&lt;&gt;1,$K$18=1)</formula>
    </cfRule>
  </conditionalFormatting>
  <conditionalFormatting sqref="D17">
    <cfRule type="expression" dxfId="90" priority="67" stopIfTrue="1">
      <formula>AND($D$17=1,$D$9&lt;&gt;1)</formula>
    </cfRule>
    <cfRule type="expression" dxfId="89" priority="68" stopIfTrue="1">
      <formula>OR(AND($D$17&lt;&gt;1,#REF!=1),AND($D$17&lt;&gt;1,$K$19=1))</formula>
    </cfRule>
    <cfRule type="expression" dxfId="88" priority="69" stopIfTrue="1">
      <formula>AND($D$17&lt;&gt;1,$D$16=1)</formula>
    </cfRule>
  </conditionalFormatting>
  <conditionalFormatting sqref="K18">
    <cfRule type="expression" dxfId="87" priority="70" stopIfTrue="1">
      <formula>OR(AND($K$18=1,$K$17&lt;&gt;1),AND($K$18=1,$K$17&lt;&gt;1))</formula>
    </cfRule>
    <cfRule type="expression" dxfId="86" priority="71" stopIfTrue="1">
      <formula>OR(AND($K$18&lt;&gt;1,$K$26=1),AND($K$18&lt;&gt;1,$D$27=1))</formula>
    </cfRule>
  </conditionalFormatting>
  <conditionalFormatting sqref="D25">
    <cfRule type="expression" dxfId="85" priority="8" stopIfTrue="1">
      <formula>AND($D$19&lt;&gt;1,$K$25=1)</formula>
    </cfRule>
  </conditionalFormatting>
  <conditionalFormatting sqref="D84">
    <cfRule type="expression" dxfId="84" priority="5" stopIfTrue="1">
      <formula>AND($D$10&lt;&gt;1,$K$10=1)</formula>
    </cfRule>
  </conditionalFormatting>
  <conditionalFormatting sqref="D38">
    <cfRule type="expression" dxfId="83" priority="4" stopIfTrue="1">
      <formula>AND($D$10&lt;&gt;1,$K$10=1)</formula>
    </cfRule>
  </conditionalFormatting>
  <conditionalFormatting sqref="D35">
    <cfRule type="expression" dxfId="82" priority="3" stopIfTrue="1">
      <formula>AND($D$10&lt;&gt;1,$K$10=1)</formula>
    </cfRule>
  </conditionalFormatting>
  <conditionalFormatting sqref="K25">
    <cfRule type="expression" dxfId="81" priority="72" stopIfTrue="1">
      <formula>OR(AND($K$25=1,$K$8&lt;&gt;1),AND($K$25=1,$D$19&lt;&gt;1))</formula>
    </cfRule>
    <cfRule type="expression" dxfId="80" priority="73" stopIfTrue="1">
      <formula>AND($K$25&lt;&gt;1,$K$36=1)</formula>
    </cfRule>
  </conditionalFormatting>
  <conditionalFormatting sqref="K26">
    <cfRule type="expression" dxfId="79" priority="74" stopIfTrue="1">
      <formula>OR(AND($K$26=1,$K$17&lt;&gt;1),AND($K$26=1,$K$10&lt;&gt;1),AND($K$26=1,$K$18&lt;&gt;1))</formula>
    </cfRule>
    <cfRule type="expression" dxfId="78" priority="75" stopIfTrue="1">
      <formula>AND($K$26&lt;&gt;1,$K$37=1)</formula>
    </cfRule>
  </conditionalFormatting>
  <conditionalFormatting sqref="K44">
    <cfRule type="expression" dxfId="77" priority="76" stopIfTrue="1">
      <formula>AND($K$44=1,$K$35&lt;&gt;1)</formula>
    </cfRule>
  </conditionalFormatting>
  <conditionalFormatting sqref="K45">
    <cfRule type="expression" dxfId="76" priority="77" stopIfTrue="1">
      <formula>AND($K$45=1,$K$36&lt;&gt;1)</formula>
    </cfRule>
  </conditionalFormatting>
  <printOptions horizontalCentered="1" verticalCentered="1"/>
  <pageMargins left="0.5" right="0.5" top="0.1" bottom="0.1" header="0.5" footer="0.5"/>
  <pageSetup scale="66" orientation="portrait"/>
  <headerFooter>
    <oddHeader>&amp;L&amp;C&amp;R_x000D__x000D_</oddHeader>
    <oddFooter>&amp;L&amp;C&amp;R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66"/>
  <sheetViews>
    <sheetView topLeftCell="A46" workbookViewId="0">
      <selection activeCell="O30" sqref="O30"/>
    </sheetView>
  </sheetViews>
  <sheetFormatPr defaultColWidth="11.44140625" defaultRowHeight="13.2"/>
  <cols>
    <col min="1" max="1" width="12" customWidth="1"/>
    <col min="2" max="2" width="19.6640625" customWidth="1"/>
    <col min="3" max="3" width="4.33203125" customWidth="1"/>
    <col min="4" max="4" width="3.44140625" customWidth="1"/>
    <col min="5" max="5" width="4.33203125" customWidth="1"/>
    <col min="6" max="6" width="8.5546875" customWidth="1"/>
    <col min="7" max="7" width="2.5546875" customWidth="1"/>
    <col min="8" max="8" width="12" customWidth="1"/>
    <col min="9" max="9" width="17.109375" customWidth="1"/>
    <col min="10" max="10" width="4.33203125" customWidth="1"/>
    <col min="11" max="11" width="3.44140625" customWidth="1"/>
    <col min="12" max="13" width="6.88671875" customWidth="1"/>
    <col min="14" max="14" width="4.6640625" customWidth="1"/>
    <col min="15" max="15" width="15.6640625" customWidth="1"/>
    <col min="16" max="16" width="22.44140625" customWidth="1"/>
    <col min="17" max="17" width="11.44140625" customWidth="1"/>
    <col min="18" max="18" width="15.44140625" customWidth="1"/>
    <col min="19" max="19" width="11.44140625" customWidth="1"/>
    <col min="20" max="20" width="15.44140625" customWidth="1"/>
    <col min="21" max="29" width="11.44140625" customWidth="1"/>
    <col min="30" max="30" width="4.33203125" customWidth="1"/>
    <col min="31" max="31" width="11.44140625" customWidth="1"/>
    <col min="32" max="34" width="2.6640625" customWidth="1"/>
    <col min="45" max="45" width="18" customWidth="1"/>
    <col min="46" max="46" width="31.5546875" customWidth="1"/>
    <col min="47" max="47" width="14.33203125" customWidth="1"/>
    <col min="48" max="48" width="17.88671875" customWidth="1"/>
  </cols>
  <sheetData>
    <row r="1" spans="1:256" ht="15.75" customHeight="1">
      <c r="A1" s="29"/>
      <c r="B1" s="29"/>
      <c r="C1" s="30"/>
      <c r="D1" s="30"/>
      <c r="E1" s="31" t="s">
        <v>192</v>
      </c>
      <c r="F1" s="31"/>
      <c r="G1" s="32"/>
      <c r="H1" s="29"/>
      <c r="I1" s="29"/>
      <c r="J1" s="31"/>
      <c r="K1" s="29"/>
      <c r="L1" s="29"/>
      <c r="M1" s="29"/>
      <c r="IR1" s="1"/>
      <c r="IS1" s="1"/>
      <c r="IT1" s="1"/>
      <c r="IU1" s="1"/>
      <c r="IV1" s="1"/>
    </row>
    <row r="2" spans="1:256" ht="15.75" customHeight="1">
      <c r="A2" s="29"/>
      <c r="B2" s="29"/>
      <c r="C2" s="30"/>
      <c r="D2" s="30"/>
      <c r="E2" s="31" t="s">
        <v>253</v>
      </c>
      <c r="F2" s="31"/>
      <c r="G2" s="32"/>
      <c r="H2" s="29"/>
      <c r="I2" s="29"/>
      <c r="J2" s="31"/>
      <c r="K2" s="29"/>
      <c r="L2" s="29"/>
      <c r="M2" s="29"/>
      <c r="IR2" s="1"/>
      <c r="IS2" s="1"/>
      <c r="IT2" s="1"/>
      <c r="IU2" s="1"/>
      <c r="IV2" s="1"/>
    </row>
    <row r="3" spans="1:256" ht="12.75" customHeight="1">
      <c r="A3" s="29"/>
      <c r="B3" s="29"/>
      <c r="C3" s="29"/>
      <c r="D3" s="29"/>
      <c r="E3" s="29"/>
      <c r="F3" s="29"/>
      <c r="G3" s="29"/>
      <c r="H3" s="29"/>
      <c r="I3" s="29"/>
      <c r="J3" s="33"/>
      <c r="K3" s="29"/>
      <c r="L3" s="29"/>
      <c r="M3" s="29"/>
    </row>
    <row r="4" spans="1:256" ht="17.25" customHeight="1">
      <c r="A4" s="34" t="s">
        <v>284</v>
      </c>
      <c r="B4" s="97" t="s">
        <v>71</v>
      </c>
      <c r="C4" s="29" t="s">
        <v>164</v>
      </c>
      <c r="D4" s="260" t="s">
        <v>72</v>
      </c>
      <c r="E4" s="275"/>
      <c r="F4" s="32" t="s">
        <v>204</v>
      </c>
      <c r="G4" s="260" t="s">
        <v>149</v>
      </c>
      <c r="H4" s="275"/>
      <c r="I4" s="36" t="s">
        <v>84</v>
      </c>
      <c r="J4" s="261" t="s">
        <v>150</v>
      </c>
      <c r="K4" s="275"/>
      <c r="L4" s="275"/>
      <c r="M4" s="185"/>
    </row>
    <row r="5" spans="1:256" ht="10.5" customHeight="1" thickBot="1">
      <c r="A5" s="29"/>
      <c r="B5" s="29"/>
      <c r="C5" s="29"/>
      <c r="D5" s="29"/>
      <c r="E5" s="29"/>
      <c r="F5" s="29"/>
      <c r="G5" s="29"/>
      <c r="H5" s="29"/>
      <c r="I5" s="29"/>
      <c r="J5" s="33"/>
      <c r="K5" s="29"/>
      <c r="L5" s="29"/>
      <c r="M5" s="29"/>
    </row>
    <row r="6" spans="1:256" ht="15.75" customHeight="1">
      <c r="A6" s="37"/>
      <c r="B6" s="38" t="s">
        <v>292</v>
      </c>
      <c r="C6" s="39"/>
      <c r="D6" s="39"/>
      <c r="E6" s="39"/>
      <c r="F6" s="40"/>
      <c r="G6" s="41"/>
      <c r="H6" s="40"/>
      <c r="I6" s="38" t="s">
        <v>293</v>
      </c>
      <c r="J6" s="39"/>
      <c r="K6" s="40"/>
      <c r="L6" s="42"/>
      <c r="M6" s="65"/>
      <c r="BC6" t="s">
        <v>275</v>
      </c>
      <c r="IR6" s="1"/>
      <c r="IS6" s="1"/>
      <c r="IT6" s="1"/>
      <c r="IU6" s="1"/>
      <c r="IV6" s="1"/>
    </row>
    <row r="7" spans="1:256" ht="15.75" customHeight="1" thickBot="1">
      <c r="A7" s="43"/>
      <c r="B7" s="44"/>
      <c r="C7" s="45"/>
      <c r="D7" s="45"/>
      <c r="E7" s="45"/>
      <c r="F7" s="46" t="s">
        <v>139</v>
      </c>
      <c r="G7" s="47"/>
      <c r="H7" s="48"/>
      <c r="I7" s="44"/>
      <c r="J7" s="45"/>
      <c r="K7" s="48"/>
      <c r="L7" s="49"/>
      <c r="M7" s="65"/>
      <c r="BC7" t="s">
        <v>85</v>
      </c>
      <c r="BE7" t="s">
        <v>274</v>
      </c>
      <c r="IR7" s="1"/>
      <c r="IS7" s="1"/>
      <c r="IT7" s="1"/>
      <c r="IU7" s="1"/>
      <c r="IV7" s="1"/>
    </row>
    <row r="8" spans="1:256" ht="15.75" customHeight="1" thickBot="1">
      <c r="A8" s="50" t="s">
        <v>42</v>
      </c>
      <c r="B8" s="51" t="s">
        <v>165</v>
      </c>
      <c r="C8" s="52">
        <v>4</v>
      </c>
      <c r="D8" s="93"/>
      <c r="E8" s="53"/>
      <c r="F8" s="52"/>
      <c r="G8" s="51"/>
      <c r="H8" s="58" t="s">
        <v>28</v>
      </c>
      <c r="I8" s="51" t="s">
        <v>136</v>
      </c>
      <c r="J8" s="52">
        <v>4</v>
      </c>
      <c r="K8" s="93"/>
      <c r="L8" s="54"/>
      <c r="M8" s="53"/>
      <c r="BC8" t="str">
        <f>A8</f>
        <v>GEN 1001</v>
      </c>
      <c r="BD8">
        <f>C8</f>
        <v>4</v>
      </c>
      <c r="BE8" t="str">
        <f>H16</f>
        <v>GEN2012</v>
      </c>
      <c r="BF8">
        <f>J16</f>
        <v>4</v>
      </c>
      <c r="IR8" s="1"/>
      <c r="IS8" s="1"/>
      <c r="IT8" s="1"/>
      <c r="IU8" s="1"/>
      <c r="IV8" s="1"/>
    </row>
    <row r="9" spans="1:256" ht="15.75" customHeight="1" thickBot="1">
      <c r="A9" s="55" t="s">
        <v>167</v>
      </c>
      <c r="B9" s="51" t="s">
        <v>89</v>
      </c>
      <c r="C9" s="52">
        <v>4</v>
      </c>
      <c r="D9" s="93"/>
      <c r="E9" s="53"/>
      <c r="F9" s="52"/>
      <c r="G9" s="51"/>
      <c r="H9" s="51" t="s">
        <v>168</v>
      </c>
      <c r="I9" s="51" t="s">
        <v>90</v>
      </c>
      <c r="J9" s="52">
        <v>4</v>
      </c>
      <c r="K9" s="93"/>
      <c r="L9" s="54"/>
      <c r="M9" s="53"/>
      <c r="N9" s="85"/>
      <c r="O9" s="86" t="s">
        <v>151</v>
      </c>
      <c r="BC9" t="str">
        <f>A16</f>
        <v>GEN2010</v>
      </c>
      <c r="BD9">
        <f>C16</f>
        <v>4</v>
      </c>
      <c r="BE9" t="str">
        <f>H18</f>
        <v>GEN 3040</v>
      </c>
      <c r="BF9">
        <f>J18</f>
        <v>4</v>
      </c>
      <c r="IR9" s="1"/>
      <c r="IS9" s="1"/>
      <c r="IT9" s="1"/>
      <c r="IU9" s="1"/>
      <c r="IV9" s="1"/>
    </row>
    <row r="10" spans="1:256" ht="15.75" customHeight="1" thickBot="1">
      <c r="A10" s="55" t="s">
        <v>43</v>
      </c>
      <c r="B10" s="51" t="s">
        <v>44</v>
      </c>
      <c r="C10" s="52">
        <v>4</v>
      </c>
      <c r="D10" s="93"/>
      <c r="E10" s="53"/>
      <c r="F10" s="52"/>
      <c r="G10" s="51"/>
      <c r="H10" s="56" t="s">
        <v>156</v>
      </c>
      <c r="I10" s="108" t="s">
        <v>137</v>
      </c>
      <c r="J10" s="52">
        <v>4</v>
      </c>
      <c r="K10" s="93"/>
      <c r="L10" s="54"/>
      <c r="M10" s="53"/>
      <c r="N10" s="87"/>
      <c r="O10" s="88" t="s">
        <v>202</v>
      </c>
      <c r="BC10" t="str">
        <f>A19</f>
        <v>CEN 2001</v>
      </c>
      <c r="BD10">
        <f>C19</f>
        <v>4</v>
      </c>
      <c r="BE10" t="str">
        <f>H25</f>
        <v>CEN3030</v>
      </c>
      <c r="BF10">
        <f>J25</f>
        <v>4</v>
      </c>
      <c r="IR10" s="1"/>
      <c r="IS10" s="1"/>
      <c r="IT10" s="1"/>
      <c r="IU10" s="1"/>
      <c r="IV10" s="1"/>
    </row>
    <row r="11" spans="1:256" ht="15.75" customHeight="1" thickBot="1">
      <c r="A11" s="50" t="s">
        <v>380</v>
      </c>
      <c r="B11" s="51" t="s">
        <v>155</v>
      </c>
      <c r="C11" s="52">
        <v>4</v>
      </c>
      <c r="D11" s="93"/>
      <c r="E11" s="53"/>
      <c r="F11" s="52"/>
      <c r="G11" s="51"/>
      <c r="H11" s="51" t="s">
        <v>45</v>
      </c>
      <c r="I11" s="186" t="s">
        <v>331</v>
      </c>
      <c r="J11" s="52">
        <v>4</v>
      </c>
      <c r="K11" s="93"/>
      <c r="L11" s="54"/>
      <c r="M11" s="53"/>
      <c r="N11" s="89"/>
      <c r="O11" s="90" t="s">
        <v>203</v>
      </c>
      <c r="BC11" t="str">
        <f>A25</f>
        <v>CEN3010</v>
      </c>
      <c r="BD11">
        <f>C25</f>
        <v>4</v>
      </c>
      <c r="BE11" t="str">
        <f>H26</f>
        <v>CEN3050</v>
      </c>
      <c r="BF11">
        <f>J26</f>
        <v>4</v>
      </c>
      <c r="IR11" s="1"/>
      <c r="IS11" s="1"/>
      <c r="IT11" s="1"/>
      <c r="IU11" s="1"/>
      <c r="IV11" s="1"/>
    </row>
    <row r="12" spans="1:256" ht="15.75" customHeight="1">
      <c r="A12" s="50"/>
      <c r="B12" s="51"/>
      <c r="C12" s="52"/>
      <c r="D12" s="57"/>
      <c r="E12" s="57"/>
      <c r="F12" s="52"/>
      <c r="G12" s="51"/>
      <c r="H12" s="51" t="s">
        <v>25</v>
      </c>
      <c r="I12" s="58"/>
      <c r="J12" s="52"/>
      <c r="K12" s="57"/>
      <c r="L12" s="59"/>
      <c r="M12" s="57"/>
      <c r="BC12" t="str">
        <f>A26</f>
        <v>CEN3020</v>
      </c>
      <c r="BD12">
        <f>C26</f>
        <v>4</v>
      </c>
      <c r="BE12" t="str">
        <f>H27</f>
        <v>CEN3090</v>
      </c>
      <c r="BF12">
        <f>J27</f>
        <v>1</v>
      </c>
      <c r="IR12" s="1"/>
      <c r="IS12" s="1"/>
      <c r="IT12" s="1"/>
      <c r="IU12" s="1"/>
      <c r="IV12" s="1"/>
    </row>
    <row r="13" spans="1:256" ht="15.75" customHeight="1">
      <c r="A13" s="60"/>
      <c r="B13" s="61"/>
      <c r="C13" s="62">
        <v>16</v>
      </c>
      <c r="D13" s="63"/>
      <c r="E13" s="63"/>
      <c r="F13" s="62"/>
      <c r="G13" s="61"/>
      <c r="H13" s="61"/>
      <c r="I13" s="61"/>
      <c r="J13" s="62">
        <v>16</v>
      </c>
      <c r="K13" s="63"/>
      <c r="L13" s="64"/>
      <c r="M13" s="57"/>
      <c r="BC13" t="str">
        <f>B34</f>
        <v>Elective (course here)</v>
      </c>
      <c r="BD13">
        <f>C34</f>
        <v>4</v>
      </c>
      <c r="BE13" t="str">
        <f>H34</f>
        <v>CEN 4901</v>
      </c>
      <c r="BF13">
        <f>J34</f>
        <v>4</v>
      </c>
      <c r="IR13" s="1"/>
      <c r="IS13" s="1"/>
      <c r="IT13" s="1"/>
      <c r="IU13" s="1"/>
      <c r="IV13" s="1"/>
    </row>
    <row r="14" spans="1:256" ht="12" customHeight="1" thickBot="1">
      <c r="A14" s="28"/>
      <c r="B14" s="65"/>
      <c r="C14" s="65"/>
      <c r="D14" s="52" t="s">
        <v>130</v>
      </c>
      <c r="E14" s="52" t="s">
        <v>130</v>
      </c>
      <c r="F14" s="52"/>
      <c r="G14" s="51"/>
      <c r="H14" s="65"/>
      <c r="I14" s="65"/>
      <c r="J14" s="65"/>
      <c r="K14" s="52" t="s">
        <v>130</v>
      </c>
      <c r="L14" s="66" t="s">
        <v>130</v>
      </c>
      <c r="M14" s="52"/>
      <c r="IR14" s="1"/>
      <c r="IS14" s="1"/>
      <c r="IT14" s="1"/>
      <c r="IU14" s="1"/>
      <c r="IV14" s="1"/>
    </row>
    <row r="15" spans="1:256" ht="16.5" customHeight="1" thickTop="1" thickBot="1">
      <c r="A15" s="43"/>
      <c r="B15" s="48"/>
      <c r="C15" s="48"/>
      <c r="D15" s="67"/>
      <c r="E15" s="67"/>
      <c r="F15" s="45" t="s">
        <v>138</v>
      </c>
      <c r="G15" s="47"/>
      <c r="H15" s="48"/>
      <c r="I15" s="48"/>
      <c r="J15" s="48"/>
      <c r="K15" s="67"/>
      <c r="L15" s="68"/>
      <c r="M15" s="52"/>
      <c r="O15" s="94" t="s">
        <v>70</v>
      </c>
      <c r="P15" s="95"/>
      <c r="Q15" s="95"/>
      <c r="R15" s="96"/>
      <c r="BC15" t="str">
        <f>B35</f>
        <v>Elective (course here)</v>
      </c>
      <c r="BD15">
        <f>C35</f>
        <v>4</v>
      </c>
      <c r="BE15" t="str">
        <f>I35</f>
        <v>Elective (course here)</v>
      </c>
      <c r="BF15">
        <f>J35</f>
        <v>4</v>
      </c>
      <c r="IR15" s="1"/>
      <c r="IS15" s="1"/>
      <c r="IT15" s="1"/>
      <c r="IU15" s="1"/>
      <c r="IV15" s="1"/>
    </row>
    <row r="16" spans="1:256" ht="15" customHeight="1" thickBot="1">
      <c r="A16" s="55" t="s">
        <v>46</v>
      </c>
      <c r="B16" s="51" t="s">
        <v>193</v>
      </c>
      <c r="C16" s="52">
        <v>4</v>
      </c>
      <c r="D16" s="93"/>
      <c r="E16" s="53"/>
      <c r="F16" s="52"/>
      <c r="G16" s="51"/>
      <c r="H16" s="56" t="s">
        <v>47</v>
      </c>
      <c r="I16" s="51" t="s">
        <v>270</v>
      </c>
      <c r="J16" s="52">
        <v>4</v>
      </c>
      <c r="K16" s="93"/>
      <c r="L16" s="54"/>
      <c r="M16" s="53"/>
      <c r="O16" s="250" t="s">
        <v>198</v>
      </c>
      <c r="P16" s="251"/>
      <c r="Q16" s="251"/>
      <c r="R16" s="252"/>
      <c r="BE16" t="str">
        <f>I36</f>
        <v>Elective (course here)</v>
      </c>
      <c r="BF16">
        <f>J36</f>
        <v>4</v>
      </c>
      <c r="IR16" s="1"/>
      <c r="IS16" s="1"/>
      <c r="IT16" s="1"/>
      <c r="IU16" s="1"/>
      <c r="IV16" s="1"/>
    </row>
    <row r="17" spans="1:256" ht="15.75" customHeight="1" thickBot="1">
      <c r="A17" s="55" t="s">
        <v>48</v>
      </c>
      <c r="B17" s="51" t="s">
        <v>49</v>
      </c>
      <c r="C17" s="52">
        <v>4</v>
      </c>
      <c r="D17" s="93"/>
      <c r="E17" s="53"/>
      <c r="F17" s="52"/>
      <c r="G17" s="51"/>
      <c r="H17" s="56" t="s">
        <v>272</v>
      </c>
      <c r="I17" s="51" t="s">
        <v>132</v>
      </c>
      <c r="J17" s="52">
        <v>4</v>
      </c>
      <c r="K17" s="93"/>
      <c r="L17" s="54"/>
      <c r="M17" s="53"/>
      <c r="O17" s="250"/>
      <c r="P17" s="251"/>
      <c r="Q17" s="251"/>
      <c r="R17" s="252"/>
      <c r="BE17" t="str">
        <f>H37</f>
        <v>CEN 4900</v>
      </c>
      <c r="BF17">
        <f>J37</f>
        <v>1</v>
      </c>
      <c r="IR17" s="1"/>
      <c r="IS17" s="1"/>
      <c r="IT17" s="1"/>
      <c r="IU17" s="1"/>
      <c r="IV17" s="1"/>
    </row>
    <row r="18" spans="1:256" ht="15.75" customHeight="1" thickBot="1">
      <c r="A18" s="55" t="s">
        <v>273</v>
      </c>
      <c r="B18" s="51" t="s">
        <v>91</v>
      </c>
      <c r="C18" s="52">
        <v>4</v>
      </c>
      <c r="D18" s="93"/>
      <c r="E18" s="53"/>
      <c r="F18" s="52"/>
      <c r="G18" s="51"/>
      <c r="H18" s="56" t="s">
        <v>2</v>
      </c>
      <c r="I18" s="51" t="s">
        <v>140</v>
      </c>
      <c r="J18" s="52">
        <v>4</v>
      </c>
      <c r="K18" s="93"/>
      <c r="L18" s="54"/>
      <c r="M18" s="53"/>
      <c r="O18" s="250" t="s">
        <v>271</v>
      </c>
      <c r="P18" s="251"/>
      <c r="Q18" s="251"/>
      <c r="R18" s="252"/>
      <c r="IR18" s="1"/>
      <c r="IS18" s="1"/>
      <c r="IT18" s="1"/>
      <c r="IU18" s="1"/>
      <c r="IV18" s="1"/>
    </row>
    <row r="19" spans="1:256" ht="15.75" customHeight="1" thickBot="1">
      <c r="A19" s="55" t="s">
        <v>301</v>
      </c>
      <c r="B19" s="51" t="s">
        <v>302</v>
      </c>
      <c r="C19" s="52">
        <v>4</v>
      </c>
      <c r="D19" s="93"/>
      <c r="E19" s="53"/>
      <c r="F19" s="69"/>
      <c r="G19" s="51"/>
      <c r="H19" s="51" t="s">
        <v>3</v>
      </c>
      <c r="I19" s="51" t="s">
        <v>4</v>
      </c>
      <c r="J19" s="52">
        <v>4</v>
      </c>
      <c r="K19" s="93"/>
      <c r="L19" s="54"/>
      <c r="M19" s="53"/>
      <c r="O19" s="250"/>
      <c r="P19" s="251"/>
      <c r="Q19" s="251"/>
      <c r="R19" s="252"/>
      <c r="IR19" s="1"/>
      <c r="IS19" s="1"/>
      <c r="IT19" s="1"/>
      <c r="IU19" s="1"/>
      <c r="IV19" s="1"/>
    </row>
    <row r="20" spans="1:256" ht="15.75" customHeight="1">
      <c r="A20" s="50"/>
      <c r="B20" s="51"/>
      <c r="C20" s="52"/>
      <c r="D20" s="57"/>
      <c r="E20" s="57"/>
      <c r="F20" s="52"/>
      <c r="G20" s="51"/>
      <c r="H20" s="51"/>
      <c r="I20" s="51"/>
      <c r="J20" s="52"/>
      <c r="K20" s="57"/>
      <c r="L20" s="59"/>
      <c r="M20" s="57"/>
      <c r="O20" s="250" t="s">
        <v>298</v>
      </c>
      <c r="P20" s="251"/>
      <c r="Q20" s="251"/>
      <c r="R20" s="252"/>
      <c r="IR20" s="1"/>
      <c r="IS20" s="1"/>
      <c r="IT20" s="1"/>
      <c r="IU20" s="1"/>
      <c r="IV20" s="1"/>
    </row>
    <row r="21" spans="1:256" ht="15.75" customHeight="1">
      <c r="A21" s="50"/>
      <c r="B21" s="51"/>
      <c r="C21" s="52"/>
      <c r="D21" s="57"/>
      <c r="E21" s="57"/>
      <c r="F21" s="52"/>
      <c r="G21" s="51"/>
      <c r="H21" s="51"/>
      <c r="I21" s="51"/>
      <c r="J21" s="52"/>
      <c r="K21" s="57"/>
      <c r="L21" s="59"/>
      <c r="M21" s="57"/>
      <c r="O21" s="250"/>
      <c r="P21" s="251"/>
      <c r="Q21" s="251"/>
      <c r="R21" s="252"/>
      <c r="IR21" s="1"/>
      <c r="IS21" s="1"/>
      <c r="IT21" s="1"/>
      <c r="IU21" s="1"/>
      <c r="IV21" s="1"/>
    </row>
    <row r="22" spans="1:256" ht="15" customHeight="1">
      <c r="A22" s="60"/>
      <c r="B22" s="61"/>
      <c r="C22" s="62">
        <v>16</v>
      </c>
      <c r="D22" s="63"/>
      <c r="E22" s="63"/>
      <c r="F22" s="62"/>
      <c r="G22" s="61"/>
      <c r="H22" s="61"/>
      <c r="I22" s="61"/>
      <c r="J22" s="62">
        <v>16</v>
      </c>
      <c r="K22" s="63"/>
      <c r="L22" s="64"/>
      <c r="M22" s="57"/>
      <c r="O22" s="250" t="s">
        <v>144</v>
      </c>
      <c r="P22" s="251"/>
      <c r="Q22" s="251"/>
      <c r="R22" s="252"/>
      <c r="IR22" s="1"/>
      <c r="IS22" s="1"/>
      <c r="IT22" s="1"/>
      <c r="IU22" s="1"/>
      <c r="IV22" s="1"/>
    </row>
    <row r="23" spans="1:256" ht="15" customHeight="1" thickBot="1">
      <c r="A23" s="28"/>
      <c r="B23" s="51"/>
      <c r="C23" s="65"/>
      <c r="D23" s="52" t="s">
        <v>130</v>
      </c>
      <c r="E23" s="52" t="s">
        <v>130</v>
      </c>
      <c r="F23" s="52"/>
      <c r="G23" s="51"/>
      <c r="H23" s="65"/>
      <c r="I23" s="51"/>
      <c r="J23" s="65"/>
      <c r="K23" s="52" t="s">
        <v>130</v>
      </c>
      <c r="L23" s="66" t="s">
        <v>130</v>
      </c>
      <c r="M23" s="52"/>
      <c r="O23" s="253"/>
      <c r="P23" s="254"/>
      <c r="Q23" s="254"/>
      <c r="R23" s="255"/>
      <c r="IR23" s="1"/>
      <c r="IS23" s="1"/>
      <c r="IT23" s="1"/>
      <c r="IU23" s="1"/>
      <c r="IV23" s="1"/>
    </row>
    <row r="24" spans="1:256" ht="12.75" customHeight="1" thickTop="1" thickBot="1">
      <c r="A24" s="43"/>
      <c r="B24" s="47"/>
      <c r="C24" s="48"/>
      <c r="D24" s="67"/>
      <c r="E24" s="67"/>
      <c r="F24" s="45" t="s">
        <v>297</v>
      </c>
      <c r="G24" s="47"/>
      <c r="H24" s="48"/>
      <c r="I24" s="47"/>
      <c r="J24" s="48"/>
      <c r="K24" s="67"/>
      <c r="L24" s="68"/>
      <c r="M24" s="52"/>
      <c r="IR24" s="1"/>
      <c r="IS24" s="1"/>
      <c r="IT24" s="1"/>
      <c r="IU24" s="1"/>
      <c r="IV24" s="1"/>
    </row>
    <row r="25" spans="1:256" ht="15.75" customHeight="1" thickBot="1">
      <c r="A25" s="50" t="s">
        <v>219</v>
      </c>
      <c r="B25" s="51" t="s">
        <v>5</v>
      </c>
      <c r="C25" s="52">
        <v>4</v>
      </c>
      <c r="D25" s="93"/>
      <c r="E25" s="53"/>
      <c r="F25" s="52"/>
      <c r="G25" s="65"/>
      <c r="H25" s="51" t="s">
        <v>303</v>
      </c>
      <c r="I25" s="51" t="s">
        <v>296</v>
      </c>
      <c r="J25" s="52">
        <v>4</v>
      </c>
      <c r="K25" s="93"/>
      <c r="L25" s="54"/>
      <c r="M25" s="53"/>
      <c r="BC25" t="s">
        <v>86</v>
      </c>
    </row>
    <row r="26" spans="1:256" ht="15.75" customHeight="1" thickBot="1">
      <c r="A26" s="55" t="s">
        <v>220</v>
      </c>
      <c r="B26" s="51" t="s">
        <v>6</v>
      </c>
      <c r="C26" s="52">
        <v>4</v>
      </c>
      <c r="D26" s="93"/>
      <c r="E26" s="53"/>
      <c r="F26" s="52"/>
      <c r="G26" s="65"/>
      <c r="H26" s="56" t="s">
        <v>119</v>
      </c>
      <c r="I26" s="51" t="s">
        <v>190</v>
      </c>
      <c r="J26" s="52">
        <v>4</v>
      </c>
      <c r="K26" s="93"/>
      <c r="L26" s="54"/>
      <c r="M26" s="53"/>
      <c r="BC26" t="str">
        <f>BC9</f>
        <v>GEN2010</v>
      </c>
      <c r="BD26">
        <f>BD9</f>
        <v>4</v>
      </c>
      <c r="BE26" t="str">
        <f>BE8</f>
        <v>GEN2012</v>
      </c>
      <c r="BF26">
        <f>BF8+2+3</f>
        <v>9</v>
      </c>
    </row>
    <row r="27" spans="1:256" ht="15.75" customHeight="1" thickBot="1">
      <c r="A27" s="50" t="s">
        <v>7</v>
      </c>
      <c r="B27" s="51" t="s">
        <v>221</v>
      </c>
      <c r="C27" s="52">
        <v>2</v>
      </c>
      <c r="D27" s="93"/>
      <c r="E27" s="53"/>
      <c r="F27" s="52"/>
      <c r="G27" s="65"/>
      <c r="H27" s="65" t="s">
        <v>120</v>
      </c>
      <c r="I27" s="51" t="s">
        <v>9</v>
      </c>
      <c r="J27" s="52">
        <v>1</v>
      </c>
      <c r="K27" s="93"/>
      <c r="L27" s="54"/>
      <c r="M27" s="53"/>
      <c r="BC27" t="str">
        <f>BC11</f>
        <v>CEN3010</v>
      </c>
      <c r="BD27">
        <f>BD11</f>
        <v>4</v>
      </c>
    </row>
    <row r="28" spans="1:256" ht="15.75" customHeight="1" thickBot="1">
      <c r="A28" s="50" t="s">
        <v>381</v>
      </c>
      <c r="B28" s="51" t="s">
        <v>382</v>
      </c>
      <c r="C28" s="52">
        <v>4</v>
      </c>
      <c r="D28" s="93"/>
      <c r="E28" s="53"/>
      <c r="F28" s="52"/>
      <c r="G28" s="65"/>
      <c r="H28" s="58" t="s">
        <v>29</v>
      </c>
      <c r="I28" s="186" t="s">
        <v>27</v>
      </c>
      <c r="J28" s="52">
        <v>4</v>
      </c>
      <c r="K28" s="93"/>
      <c r="L28" s="54"/>
      <c r="M28" s="53"/>
      <c r="BC28" t="str">
        <f>BC13</f>
        <v>Elective (course here)</v>
      </c>
      <c r="BD28">
        <f>BD13</f>
        <v>4</v>
      </c>
    </row>
    <row r="29" spans="1:256" ht="15.75" customHeight="1" thickBot="1">
      <c r="A29" s="220" t="s">
        <v>23</v>
      </c>
      <c r="B29" s="186" t="s">
        <v>24</v>
      </c>
      <c r="C29" s="71">
        <v>4</v>
      </c>
      <c r="D29" s="93"/>
      <c r="E29" s="53"/>
      <c r="F29" s="53"/>
      <c r="G29" s="65"/>
      <c r="H29" s="221" t="s">
        <v>30</v>
      </c>
      <c r="I29" s="186" t="s">
        <v>21</v>
      </c>
      <c r="J29" s="71">
        <v>4</v>
      </c>
      <c r="K29" s="93"/>
      <c r="L29" s="54"/>
      <c r="M29" s="53"/>
    </row>
    <row r="30" spans="1:256" ht="15.75" customHeight="1">
      <c r="A30" s="50"/>
      <c r="B30" s="51"/>
      <c r="C30" s="52"/>
      <c r="D30" s="57"/>
      <c r="E30" s="57"/>
      <c r="F30" s="52"/>
      <c r="G30" s="65"/>
      <c r="H30" s="51"/>
      <c r="I30" s="51"/>
      <c r="J30" s="53"/>
      <c r="K30" s="57"/>
      <c r="L30" s="59"/>
      <c r="M30" s="57"/>
    </row>
    <row r="31" spans="1:256" ht="15" customHeight="1">
      <c r="A31" s="60"/>
      <c r="B31" s="61"/>
      <c r="C31" s="62">
        <v>18</v>
      </c>
      <c r="D31" s="63"/>
      <c r="E31" s="63"/>
      <c r="F31" s="62"/>
      <c r="G31" s="35"/>
      <c r="H31" s="61"/>
      <c r="I31" s="61"/>
      <c r="J31" s="62">
        <v>17</v>
      </c>
      <c r="K31" s="63"/>
      <c r="L31" s="64"/>
      <c r="M31" s="57"/>
    </row>
    <row r="32" spans="1:256" ht="12.75" customHeight="1">
      <c r="A32" s="28"/>
      <c r="B32" s="65"/>
      <c r="C32" s="65"/>
      <c r="D32" s="52" t="s">
        <v>130</v>
      </c>
      <c r="E32" s="52" t="s">
        <v>130</v>
      </c>
      <c r="F32" s="52"/>
      <c r="G32" s="65"/>
      <c r="H32" s="65"/>
      <c r="I32" s="65"/>
      <c r="J32" s="65"/>
      <c r="K32" s="52" t="s">
        <v>130</v>
      </c>
      <c r="L32" s="66" t="s">
        <v>130</v>
      </c>
      <c r="M32" s="52"/>
    </row>
    <row r="33" spans="1:256" ht="16.5" customHeight="1" thickBot="1">
      <c r="A33" s="43"/>
      <c r="B33" s="48"/>
      <c r="C33" s="48"/>
      <c r="D33" s="67"/>
      <c r="E33" s="67"/>
      <c r="F33" s="45" t="s">
        <v>129</v>
      </c>
      <c r="G33" s="48"/>
      <c r="H33" s="48"/>
      <c r="I33" s="48"/>
      <c r="J33" s="48"/>
      <c r="K33" s="67"/>
      <c r="L33" s="68"/>
      <c r="M33" s="52"/>
      <c r="BC33" t="s">
        <v>87</v>
      </c>
    </row>
    <row r="34" spans="1:256" ht="15.75" customHeight="1" thickBot="1">
      <c r="A34" s="50" t="s">
        <v>5</v>
      </c>
      <c r="B34" s="186" t="s">
        <v>331</v>
      </c>
      <c r="C34" s="52">
        <v>4</v>
      </c>
      <c r="D34" s="93"/>
      <c r="E34" s="53"/>
      <c r="F34" s="52"/>
      <c r="G34" s="65"/>
      <c r="H34" s="51" t="s">
        <v>121</v>
      </c>
      <c r="I34" s="51" t="s">
        <v>254</v>
      </c>
      <c r="J34" s="52">
        <v>4</v>
      </c>
      <c r="K34" s="93"/>
      <c r="L34" s="54"/>
      <c r="M34" s="53"/>
      <c r="BC34" t="str">
        <f>BC12</f>
        <v>CEN3020</v>
      </c>
      <c r="BD34">
        <f>BD12+2+3</f>
        <v>9</v>
      </c>
      <c r="BE34" t="str">
        <f>BE9</f>
        <v>GEN 3040</v>
      </c>
      <c r="BF34">
        <f>BF9+2+3</f>
        <v>9</v>
      </c>
    </row>
    <row r="35" spans="1:256" ht="15.75" customHeight="1" thickBot="1">
      <c r="A35" s="29" t="s">
        <v>12</v>
      </c>
      <c r="B35" s="186" t="s">
        <v>331</v>
      </c>
      <c r="C35" s="52">
        <v>4</v>
      </c>
      <c r="D35" s="93"/>
      <c r="E35" s="53"/>
      <c r="F35" s="52"/>
      <c r="G35" s="65"/>
      <c r="H35" s="51" t="s">
        <v>296</v>
      </c>
      <c r="I35" s="186" t="s">
        <v>331</v>
      </c>
      <c r="J35" s="52">
        <v>4</v>
      </c>
      <c r="K35" s="93"/>
      <c r="L35" s="54"/>
      <c r="M35" s="53"/>
      <c r="BC35" t="str">
        <f>BC15</f>
        <v>Elective (course here)</v>
      </c>
      <c r="BD35">
        <f>BD15</f>
        <v>4</v>
      </c>
    </row>
    <row r="36" spans="1:256" ht="15.75" customHeight="1" thickBot="1">
      <c r="A36" s="222" t="s">
        <v>31</v>
      </c>
      <c r="B36" s="186" t="s">
        <v>22</v>
      </c>
      <c r="C36" s="52">
        <v>4</v>
      </c>
      <c r="D36" s="93"/>
      <c r="E36" s="92" t="s">
        <v>14</v>
      </c>
      <c r="F36" s="52"/>
      <c r="G36" s="65"/>
      <c r="H36" s="51" t="s">
        <v>15</v>
      </c>
      <c r="I36" s="186" t="s">
        <v>331</v>
      </c>
      <c r="J36" s="52">
        <v>4</v>
      </c>
      <c r="K36" s="93"/>
      <c r="L36" s="54"/>
      <c r="M36" s="53"/>
    </row>
    <row r="37" spans="1:256" ht="15.75" customHeight="1" thickBot="1">
      <c r="A37" s="58" t="s">
        <v>32</v>
      </c>
      <c r="B37" s="186" t="s">
        <v>26</v>
      </c>
      <c r="C37" s="52">
        <v>4</v>
      </c>
      <c r="D37" s="93"/>
      <c r="E37" s="53"/>
      <c r="F37" s="52"/>
      <c r="G37" s="65"/>
      <c r="H37" s="51" t="s">
        <v>113</v>
      </c>
      <c r="I37" s="51" t="s">
        <v>191</v>
      </c>
      <c r="J37" s="52">
        <v>1</v>
      </c>
      <c r="K37" s="93"/>
      <c r="L37" s="54"/>
      <c r="M37" s="53"/>
      <c r="BC37" t="s">
        <v>88</v>
      </c>
    </row>
    <row r="38" spans="1:256" ht="15.75" customHeight="1" thickBot="1">
      <c r="A38" s="50"/>
      <c r="B38" s="51"/>
      <c r="C38" s="52"/>
      <c r="D38" s="107"/>
      <c r="E38" s="53"/>
      <c r="F38" s="52"/>
      <c r="G38" s="65"/>
      <c r="H38" s="51" t="s">
        <v>16</v>
      </c>
      <c r="I38" s="186" t="s">
        <v>331</v>
      </c>
      <c r="J38" s="52">
        <v>4</v>
      </c>
      <c r="K38" s="93"/>
      <c r="L38" s="54"/>
      <c r="M38" s="53"/>
      <c r="BC38" t="str">
        <f>BC10</f>
        <v>CEN 2001</v>
      </c>
      <c r="BD38">
        <f>BD10+2+3</f>
        <v>9</v>
      </c>
      <c r="BE38" t="str">
        <f>BE11</f>
        <v>CEN3050</v>
      </c>
      <c r="BF38">
        <f>BF11+2+3</f>
        <v>9</v>
      </c>
    </row>
    <row r="39" spans="1:256" ht="15.75" customHeight="1" thickBot="1">
      <c r="A39" s="50"/>
      <c r="B39" s="51"/>
      <c r="C39" s="52"/>
      <c r="D39" s="53"/>
      <c r="E39" s="53"/>
      <c r="F39" s="52"/>
      <c r="G39" s="65"/>
      <c r="H39" s="51"/>
      <c r="I39" s="51"/>
      <c r="J39" s="52"/>
      <c r="K39" s="53"/>
      <c r="L39" s="54"/>
      <c r="M39" s="53"/>
      <c r="BE39" t="str">
        <f>BE12</f>
        <v>CEN3090</v>
      </c>
      <c r="BF39">
        <f>BF12</f>
        <v>1</v>
      </c>
    </row>
    <row r="40" spans="1:256" ht="15.75" customHeight="1" thickBot="1">
      <c r="A40" s="50" t="s">
        <v>17</v>
      </c>
      <c r="B40" s="51" t="s">
        <v>118</v>
      </c>
      <c r="C40" s="52"/>
      <c r="D40" s="57"/>
      <c r="E40" s="57"/>
      <c r="F40" s="57" t="s">
        <v>114</v>
      </c>
      <c r="G40" s="65"/>
      <c r="H40" s="109"/>
      <c r="I40" s="51"/>
      <c r="J40" s="52"/>
      <c r="K40" s="57"/>
      <c r="L40" s="59"/>
      <c r="M40" s="57"/>
      <c r="BE40" t="str">
        <f>BE16</f>
        <v>Elective (course here)</v>
      </c>
      <c r="BF40">
        <f>BF16</f>
        <v>4</v>
      </c>
      <c r="IR40" s="1"/>
      <c r="IS40" s="1"/>
      <c r="IT40" s="1"/>
      <c r="IU40" s="1"/>
      <c r="IV40" s="1"/>
    </row>
    <row r="41" spans="1:256" ht="15.75" customHeight="1">
      <c r="A41" s="50" t="s">
        <v>18</v>
      </c>
      <c r="B41" s="51" t="s">
        <v>118</v>
      </c>
      <c r="C41" s="52"/>
      <c r="D41" s="57"/>
      <c r="E41" s="57"/>
      <c r="F41" s="52" t="s">
        <v>19</v>
      </c>
      <c r="G41" s="65"/>
      <c r="H41" s="51"/>
      <c r="I41" s="51" t="s">
        <v>20</v>
      </c>
      <c r="J41" s="52"/>
      <c r="K41" s="57"/>
      <c r="L41" s="59"/>
      <c r="M41" s="57"/>
      <c r="IR41" s="1"/>
      <c r="IS41" s="1"/>
      <c r="IT41" s="1"/>
      <c r="IU41" s="1"/>
      <c r="IV41" s="1"/>
    </row>
    <row r="42" spans="1:256" ht="15.75" customHeight="1">
      <c r="A42" s="60"/>
      <c r="B42" s="61"/>
      <c r="C42" s="62">
        <v>16</v>
      </c>
      <c r="D42" s="62"/>
      <c r="E42" s="62"/>
      <c r="F42" s="62"/>
      <c r="G42" s="35"/>
      <c r="H42" s="61"/>
      <c r="I42" s="61"/>
      <c r="J42" s="62">
        <v>17</v>
      </c>
      <c r="K42" s="63"/>
      <c r="L42" s="64"/>
      <c r="M42" s="57"/>
      <c r="IR42" s="1"/>
      <c r="IS42" s="1"/>
      <c r="IT42" s="1"/>
      <c r="IU42" s="1"/>
      <c r="IV42" s="1"/>
    </row>
    <row r="43" spans="1:256" ht="12.75" customHeight="1">
      <c r="A43" s="262" t="s">
        <v>115</v>
      </c>
      <c r="B43" s="263"/>
      <c r="C43" s="263"/>
      <c r="D43" s="263"/>
      <c r="E43" s="263"/>
      <c r="F43" s="264"/>
      <c r="G43" s="8"/>
      <c r="H43" s="72" t="s">
        <v>251</v>
      </c>
      <c r="I43" s="3"/>
      <c r="J43" s="3"/>
      <c r="K43" s="3"/>
      <c r="L43" s="9"/>
      <c r="M43" s="4"/>
      <c r="IR43" s="1"/>
      <c r="IS43" s="1"/>
      <c r="IT43" s="1"/>
      <c r="IU43" s="1"/>
      <c r="IV43" s="1"/>
    </row>
    <row r="44" spans="1:256" ht="15.75" customHeight="1">
      <c r="A44" s="106"/>
      <c r="B44" s="98"/>
      <c r="C44" s="98"/>
      <c r="D44" s="98"/>
      <c r="E44" s="98"/>
      <c r="F44" s="99"/>
      <c r="G44" s="73" t="s">
        <v>252</v>
      </c>
      <c r="H44" s="74"/>
      <c r="I44" s="51"/>
      <c r="J44" s="51" t="s">
        <v>131</v>
      </c>
      <c r="K44" s="4"/>
      <c r="L44" s="10"/>
      <c r="M44" s="4"/>
      <c r="BC44" t="s">
        <v>177</v>
      </c>
      <c r="IR44" s="1"/>
      <c r="IS44" s="1"/>
      <c r="IT44" s="1"/>
      <c r="IU44" s="1"/>
      <c r="IV44" s="1"/>
    </row>
    <row r="45" spans="1:256" ht="15.75" customHeight="1">
      <c r="A45" s="125"/>
      <c r="C45" s="101"/>
      <c r="D45" s="101"/>
      <c r="E45" s="101"/>
      <c r="F45" s="102"/>
      <c r="G45" s="75"/>
      <c r="H45" s="74" t="s">
        <v>244</v>
      </c>
      <c r="I45" s="51"/>
      <c r="J45" s="51">
        <v>4</v>
      </c>
      <c r="K45" s="4"/>
      <c r="L45" s="10"/>
      <c r="M45" s="4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 t="str">
        <f>BC8</f>
        <v>GEN 1001</v>
      </c>
      <c r="BD45" s="1">
        <f>BD8+2+3</f>
        <v>9</v>
      </c>
      <c r="BE45" s="1" t="str">
        <f>BE10</f>
        <v>CEN3030</v>
      </c>
      <c r="BF45" s="1">
        <f>BF10+2</f>
        <v>6</v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ht="16.95" customHeight="1">
      <c r="A46" s="126"/>
      <c r="C46" s="101"/>
      <c r="D46" s="101"/>
      <c r="E46" s="101"/>
      <c r="F46" s="102"/>
      <c r="G46" s="75"/>
      <c r="H46" s="74" t="s">
        <v>258</v>
      </c>
      <c r="I46" s="52"/>
      <c r="J46" s="51">
        <v>4</v>
      </c>
      <c r="K46" s="4"/>
      <c r="L46" s="10"/>
      <c r="M46" s="4"/>
      <c r="N46" s="5"/>
      <c r="BE46" t="str">
        <f>BE17</f>
        <v>CEN 4900</v>
      </c>
      <c r="BF46">
        <f>BF17</f>
        <v>1</v>
      </c>
      <c r="IR46" s="1"/>
      <c r="IS46" s="1"/>
      <c r="IT46" s="1"/>
      <c r="IU46" s="1"/>
      <c r="IV46" s="1"/>
    </row>
    <row r="47" spans="1:256" ht="15.6">
      <c r="A47" s="111" t="s">
        <v>288</v>
      </c>
      <c r="C47" s="101"/>
      <c r="D47" s="101"/>
      <c r="E47" s="101"/>
      <c r="F47" s="102"/>
      <c r="G47" s="76"/>
      <c r="H47" s="74"/>
      <c r="I47" s="70"/>
      <c r="J47" s="70"/>
      <c r="K47" s="7"/>
      <c r="L47" s="11"/>
      <c r="M47" s="7"/>
      <c r="N47" s="1"/>
      <c r="IR47" s="1"/>
      <c r="IS47" s="1"/>
      <c r="IT47" s="1"/>
      <c r="IU47" s="1"/>
      <c r="IV47" s="1"/>
    </row>
    <row r="48" spans="1:256" ht="13.95" customHeight="1">
      <c r="A48" s="111"/>
      <c r="C48" s="101"/>
      <c r="D48" s="101"/>
      <c r="E48" s="101"/>
      <c r="F48" s="102"/>
      <c r="G48" s="73" t="s">
        <v>294</v>
      </c>
      <c r="H48" s="74"/>
      <c r="I48" s="51"/>
      <c r="J48" s="51"/>
      <c r="K48" s="4"/>
      <c r="L48" s="10"/>
      <c r="M48" s="4"/>
      <c r="IR48" s="1"/>
      <c r="IS48" s="1"/>
      <c r="IT48" s="1"/>
      <c r="IU48" s="1"/>
      <c r="IV48" s="1"/>
    </row>
    <row r="49" spans="1:256" ht="15.75" customHeight="1">
      <c r="C49" s="101"/>
      <c r="D49" s="101"/>
      <c r="E49" s="101"/>
      <c r="F49" s="102"/>
      <c r="G49" s="75" t="s">
        <v>130</v>
      </c>
      <c r="H49" s="74" t="s">
        <v>259</v>
      </c>
      <c r="I49" s="51"/>
      <c r="J49" s="51">
        <v>4</v>
      </c>
      <c r="K49" s="4"/>
      <c r="L49" s="10"/>
      <c r="M49" s="4"/>
      <c r="BC49" t="s">
        <v>178</v>
      </c>
      <c r="IR49" s="1"/>
      <c r="IS49" s="1"/>
      <c r="IT49" s="1"/>
      <c r="IU49" s="1"/>
      <c r="IV49" s="1"/>
    </row>
    <row r="50" spans="1:256" ht="15.75" customHeight="1">
      <c r="C50" s="101"/>
      <c r="D50" s="101"/>
      <c r="E50" s="101"/>
      <c r="F50" s="102"/>
      <c r="G50" s="75"/>
      <c r="H50" s="74"/>
      <c r="I50" s="51"/>
      <c r="J50" s="51"/>
      <c r="K50" s="4"/>
      <c r="L50" s="10"/>
      <c r="M50" s="4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 t="str">
        <f>BE15</f>
        <v>Elective (course here)</v>
      </c>
      <c r="BF50" s="2">
        <f>BF15</f>
        <v>4</v>
      </c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</row>
    <row r="51" spans="1:256" ht="15.75" customHeight="1">
      <c r="C51" s="101"/>
      <c r="D51" s="101"/>
      <c r="E51" s="101"/>
      <c r="F51" s="102"/>
      <c r="G51" s="73" t="s">
        <v>295</v>
      </c>
      <c r="H51" s="74"/>
      <c r="I51" s="51"/>
      <c r="J51" s="51"/>
      <c r="K51" s="4"/>
      <c r="L51" s="10"/>
      <c r="M51" s="4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 t="str">
        <f>BE13</f>
        <v>CEN 4901</v>
      </c>
      <c r="BF51" s="1">
        <f>BF13+2</f>
        <v>6</v>
      </c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ht="15.75" customHeight="1">
      <c r="C52" s="101"/>
      <c r="D52" s="101"/>
      <c r="E52" s="101"/>
      <c r="F52" s="102"/>
      <c r="G52" s="75"/>
      <c r="H52" s="74" t="s">
        <v>145</v>
      </c>
      <c r="I52" s="51"/>
      <c r="J52" s="51">
        <v>4</v>
      </c>
      <c r="K52" s="4"/>
      <c r="L52" s="10"/>
      <c r="M52" s="4"/>
      <c r="N52" s="2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ht="15.75" customHeight="1">
      <c r="C53" s="101"/>
      <c r="D53" s="101"/>
      <c r="E53" s="101"/>
      <c r="F53" s="102"/>
      <c r="G53" s="77"/>
      <c r="H53" s="74" t="s">
        <v>146</v>
      </c>
      <c r="I53" s="51"/>
      <c r="J53" s="51">
        <v>4</v>
      </c>
      <c r="K53" s="4"/>
      <c r="L53" s="10"/>
      <c r="M53" s="4"/>
      <c r="N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ht="15.6">
      <c r="C54" s="101"/>
      <c r="D54" s="101"/>
      <c r="E54" s="101"/>
      <c r="F54" s="102"/>
      <c r="G54" s="77"/>
      <c r="H54" s="53"/>
      <c r="I54" s="53"/>
      <c r="J54" s="53"/>
      <c r="K54" s="4"/>
      <c r="L54" s="10"/>
      <c r="M54" s="4"/>
      <c r="N54" s="1"/>
    </row>
    <row r="55" spans="1:256" ht="15.6">
      <c r="A55" s="130"/>
      <c r="B55" s="101"/>
      <c r="C55" s="101"/>
      <c r="D55" s="101"/>
      <c r="E55" s="101"/>
      <c r="F55" s="102"/>
      <c r="G55" s="78" t="s">
        <v>296</v>
      </c>
      <c r="H55" s="74"/>
      <c r="I55" s="51"/>
      <c r="J55" s="51"/>
      <c r="K55" s="4"/>
      <c r="L55" s="10"/>
      <c r="M55" s="4"/>
      <c r="N55" s="1"/>
    </row>
    <row r="56" spans="1:256" ht="15.6">
      <c r="A56" s="130"/>
      <c r="B56" s="101"/>
      <c r="C56" s="101"/>
      <c r="D56" s="101"/>
      <c r="E56" s="101"/>
      <c r="F56" s="102"/>
      <c r="G56" s="77"/>
      <c r="H56" s="74" t="s">
        <v>147</v>
      </c>
      <c r="I56" s="51"/>
      <c r="J56" s="51">
        <v>4</v>
      </c>
      <c r="K56" s="4"/>
      <c r="L56" s="10"/>
      <c r="M56" s="4"/>
      <c r="N56" s="1"/>
    </row>
    <row r="57" spans="1:256" ht="15.6">
      <c r="A57" s="100"/>
      <c r="B57" s="101"/>
      <c r="C57" s="101"/>
      <c r="D57" s="101"/>
      <c r="E57" s="101"/>
      <c r="F57" s="102"/>
      <c r="G57" s="78"/>
      <c r="H57" s="74" t="s">
        <v>111</v>
      </c>
      <c r="I57" s="51"/>
      <c r="J57" s="51">
        <v>4</v>
      </c>
      <c r="K57" s="4"/>
      <c r="L57" s="10"/>
      <c r="M57" s="4"/>
      <c r="N57" s="1"/>
    </row>
    <row r="58" spans="1:256" ht="15.6">
      <c r="A58" s="191"/>
      <c r="B58" s="192"/>
      <c r="C58" s="192"/>
      <c r="D58" s="192"/>
      <c r="E58" s="192"/>
      <c r="F58" s="102"/>
      <c r="G58" s="77"/>
      <c r="H58" s="74" t="s">
        <v>217</v>
      </c>
      <c r="I58" s="65"/>
      <c r="J58" s="65">
        <v>4</v>
      </c>
      <c r="K58" s="4"/>
      <c r="L58" s="54"/>
      <c r="M58" s="53"/>
      <c r="N58" s="1"/>
    </row>
    <row r="59" spans="1:256" ht="15.6">
      <c r="A59" s="193"/>
      <c r="B59" s="151"/>
      <c r="C59" s="151"/>
      <c r="D59" s="151"/>
      <c r="E59" s="151"/>
      <c r="F59" s="102"/>
      <c r="G59" s="78"/>
      <c r="H59" s="74"/>
      <c r="I59" s="65"/>
      <c r="J59" s="65"/>
      <c r="K59" s="4"/>
      <c r="L59" s="54"/>
      <c r="M59" s="53"/>
    </row>
    <row r="60" spans="1:256" ht="15.6">
      <c r="A60" s="187"/>
      <c r="B60" s="188"/>
      <c r="C60" s="189"/>
      <c r="D60" s="188"/>
      <c r="E60" s="188"/>
      <c r="F60" s="190"/>
      <c r="G60" s="78" t="s">
        <v>210</v>
      </c>
      <c r="H60" s="74"/>
      <c r="I60" s="65"/>
      <c r="J60" s="65"/>
      <c r="K60" s="53"/>
      <c r="L60" s="54"/>
      <c r="M60" s="53"/>
    </row>
    <row r="61" spans="1:256" ht="15.6">
      <c r="A61" s="193"/>
      <c r="B61" s="151"/>
      <c r="C61" s="151"/>
      <c r="D61" s="151"/>
      <c r="E61" s="151"/>
      <c r="F61" s="150"/>
      <c r="G61" s="77"/>
      <c r="H61" s="184" t="s">
        <v>211</v>
      </c>
      <c r="I61" s="65"/>
      <c r="J61" s="65"/>
      <c r="K61" s="53"/>
      <c r="L61" s="54"/>
      <c r="M61" s="53"/>
    </row>
    <row r="62" spans="1:256" ht="15.6">
      <c r="A62" s="193"/>
      <c r="B62" s="151"/>
      <c r="C62" s="151"/>
      <c r="D62" s="151"/>
      <c r="E62" s="151"/>
      <c r="F62" s="150"/>
      <c r="G62" s="77"/>
      <c r="H62" s="74" t="s">
        <v>218</v>
      </c>
      <c r="I62" s="65"/>
      <c r="J62" s="65">
        <v>4</v>
      </c>
      <c r="K62" s="53"/>
      <c r="L62" s="54"/>
      <c r="M62" s="53"/>
    </row>
    <row r="63" spans="1:256" ht="15.6">
      <c r="A63" s="193"/>
      <c r="B63" s="151"/>
      <c r="C63" s="151"/>
      <c r="D63" s="151"/>
      <c r="E63" s="151"/>
      <c r="F63" s="150"/>
      <c r="G63" s="77"/>
      <c r="H63" s="74" t="s">
        <v>108</v>
      </c>
      <c r="I63" s="65"/>
      <c r="J63" s="65">
        <v>4</v>
      </c>
      <c r="K63" s="53"/>
      <c r="L63" s="54"/>
      <c r="M63" s="53"/>
    </row>
    <row r="64" spans="1:256" ht="16.2" thickBot="1">
      <c r="A64" s="103"/>
      <c r="B64" s="104"/>
      <c r="C64" s="104"/>
      <c r="D64" s="104"/>
      <c r="E64" s="104"/>
      <c r="F64" s="105"/>
      <c r="G64" s="79"/>
      <c r="H64" s="80"/>
      <c r="I64" s="81"/>
      <c r="J64" s="81"/>
      <c r="K64" s="82"/>
      <c r="L64" s="83"/>
      <c r="M64" s="53"/>
    </row>
    <row r="65" spans="1:13" ht="15.6">
      <c r="A65" s="53"/>
      <c r="B65" s="53"/>
      <c r="C65" s="53"/>
      <c r="D65" s="53"/>
      <c r="E65" s="53"/>
      <c r="F65" s="53"/>
      <c r="G65" s="65"/>
      <c r="H65" s="65"/>
      <c r="I65" s="65"/>
      <c r="J65" s="65"/>
      <c r="K65" s="53"/>
      <c r="L65" s="53"/>
      <c r="M65" s="53"/>
    </row>
    <row r="66" spans="1:13" ht="15.6">
      <c r="G66" s="6"/>
      <c r="H66" s="6"/>
      <c r="I66" s="6"/>
      <c r="J66" s="6"/>
    </row>
  </sheetData>
  <mergeCells count="8">
    <mergeCell ref="O22:R23"/>
    <mergeCell ref="A43:F43"/>
    <mergeCell ref="D4:E4"/>
    <mergeCell ref="G4:H4"/>
    <mergeCell ref="J4:L4"/>
    <mergeCell ref="O16:R17"/>
    <mergeCell ref="O18:R19"/>
    <mergeCell ref="O20:R21"/>
  </mergeCells>
  <phoneticPr fontId="9" type="noConversion"/>
  <conditionalFormatting sqref="D9">
    <cfRule type="expression" dxfId="75" priority="1" stopIfTrue="1">
      <formula>OR(AND($D$9&lt;&gt;1,$K$9=1),AND($D$9&lt;&gt;1,$D$17=1))</formula>
    </cfRule>
  </conditionalFormatting>
  <conditionalFormatting sqref="K8">
    <cfRule type="expression" dxfId="74" priority="2" stopIfTrue="1">
      <formula>AND($K$8=1,$K$9&lt;&gt;1)</formula>
    </cfRule>
    <cfRule type="expression" dxfId="73" priority="3" stopIfTrue="1">
      <formula>AND($K$8&lt;&gt;1,$K$25=1)</formula>
    </cfRule>
  </conditionalFormatting>
  <conditionalFormatting sqref="K9">
    <cfRule type="expression" dxfId="72" priority="4" stopIfTrue="1">
      <formula>AND($K$9=1,$D$9&lt;&gt;1)</formula>
    </cfRule>
    <cfRule type="expression" dxfId="71" priority="5" stopIfTrue="1">
      <formula>OR(AND($K$9&lt;&gt;1,$D$18=1),AND($K$9&lt;&gt;1,$K$16=1))</formula>
    </cfRule>
    <cfRule type="expression" dxfId="70" priority="6" stopIfTrue="1">
      <formula>AND($K$9&lt;&gt;1,$K$8=1)</formula>
    </cfRule>
  </conditionalFormatting>
  <conditionalFormatting sqref="D16">
    <cfRule type="expression" dxfId="69" priority="7" stopIfTrue="1">
      <formula>AND($D$16=1,$D$17&lt;&gt;1)</formula>
    </cfRule>
    <cfRule type="expression" dxfId="68" priority="8" stopIfTrue="1">
      <formula>AND($D$16&lt;&gt;1,$K$16=1)</formula>
    </cfRule>
  </conditionalFormatting>
  <conditionalFormatting sqref="D19">
    <cfRule type="expression" dxfId="67" priority="9" stopIfTrue="1">
      <formula>AND($D$19&lt;&gt;1,$K$25=1)</formula>
    </cfRule>
  </conditionalFormatting>
  <conditionalFormatting sqref="D25">
    <cfRule type="expression" dxfId="66" priority="10" stopIfTrue="1">
      <formula>OR(AND($D$25=1,$K$17&lt;&gt;1),AND($D$25=1,$K$16&lt;&gt;1))</formula>
    </cfRule>
    <cfRule type="expression" dxfId="65" priority="11" stopIfTrue="1">
      <formula>AND($D$25&lt;&gt;1,$D$34=1)</formula>
    </cfRule>
  </conditionalFormatting>
  <conditionalFormatting sqref="D27">
    <cfRule type="expression" dxfId="64" priority="12" stopIfTrue="1">
      <formula>AND($D$27=1,$D$17&lt;&gt;1)</formula>
    </cfRule>
  </conditionalFormatting>
  <conditionalFormatting sqref="K25">
    <cfRule type="expression" dxfId="63" priority="13" stopIfTrue="1">
      <formula>OR(AND($K$25=1,$K$8&lt;&gt;1),AND($K$25=1,$D$19&lt;&gt;1))</formula>
    </cfRule>
    <cfRule type="expression" dxfId="62" priority="14" stopIfTrue="1">
      <formula>AND($K$25&lt;&gt;1,$K$35=1)</formula>
    </cfRule>
  </conditionalFormatting>
  <conditionalFormatting sqref="D26">
    <cfRule type="expression" dxfId="61" priority="15" stopIfTrue="1">
      <formula>AND($D$26=1,$K$18&lt;&gt;1)</formula>
    </cfRule>
    <cfRule type="expression" dxfId="60" priority="16" stopIfTrue="1">
      <formula>AND($D$26&lt;&gt;1,$D$35=1)</formula>
    </cfRule>
  </conditionalFormatting>
  <conditionalFormatting sqref="K26">
    <cfRule type="expression" dxfId="59" priority="17" stopIfTrue="1">
      <formula>OR(AND($K$26=1,$K$17&lt;&gt;1),AND($K$26=1,$K$10&lt;&gt;1),AND($K$26=1,$K$18&lt;&gt;1))</formula>
    </cfRule>
    <cfRule type="expression" dxfId="58" priority="18" stopIfTrue="1">
      <formula>AND($K$26&lt;&gt;1,$K$36=1)</formula>
    </cfRule>
  </conditionalFormatting>
  <conditionalFormatting sqref="D34">
    <cfRule type="expression" dxfId="57" priority="19" stopIfTrue="1">
      <formula>AND($D$34=1,$D$25&lt;&gt;1)</formula>
    </cfRule>
  </conditionalFormatting>
  <conditionalFormatting sqref="D35">
    <cfRule type="expression" dxfId="56" priority="20" stopIfTrue="1">
      <formula>AND($D$35=1,$D$26&lt;&gt;1)</formula>
    </cfRule>
  </conditionalFormatting>
  <conditionalFormatting sqref="K35">
    <cfRule type="expression" dxfId="55" priority="21" stopIfTrue="1">
      <formula>AND($K$35=1,$K$25&lt;&gt;1)</formula>
    </cfRule>
  </conditionalFormatting>
  <conditionalFormatting sqref="K36">
    <cfRule type="expression" dxfId="54" priority="22" stopIfTrue="1">
      <formula>AND($K$36=1,$K$26&lt;&gt;1)</formula>
    </cfRule>
  </conditionalFormatting>
  <conditionalFormatting sqref="E36">
    <cfRule type="expression" dxfId="53" priority="23" stopIfTrue="1">
      <formula>$D$36=1</formula>
    </cfRule>
  </conditionalFormatting>
  <conditionalFormatting sqref="D18">
    <cfRule type="expression" dxfId="52" priority="24" stopIfTrue="1">
      <formula>AND($D$18=1,$K$9&lt;&gt;1)</formula>
    </cfRule>
    <cfRule type="expression" dxfId="51" priority="25" stopIfTrue="1">
      <formula>AND($D$18&lt;&gt;1,$K$17=1)</formula>
    </cfRule>
    <cfRule type="expression" dxfId="50" priority="26" stopIfTrue="1">
      <formula>AND($D$18&lt;&gt;1,$K$18=1)</formula>
    </cfRule>
  </conditionalFormatting>
  <conditionalFormatting sqref="K16">
    <cfRule type="expression" dxfId="49" priority="27" stopIfTrue="1">
      <formula>OR(AND($K$16=1,$D$16&lt;&gt;1),AND($K$16=1,$K$9&lt;&gt;1))</formula>
    </cfRule>
    <cfRule type="expression" dxfId="48" priority="28" stopIfTrue="1">
      <formula>OR(AND($K$16&lt;&gt;1,$D$25=1),AND($K$16&lt;&gt;1,$K$26=1),AND($K$16&lt;&gt;1,$D$26=1))</formula>
    </cfRule>
    <cfRule type="expression" dxfId="47" priority="29" stopIfTrue="1">
      <formula>AND($K$16&lt;&gt;1,$K$18=1)</formula>
    </cfRule>
  </conditionalFormatting>
  <conditionalFormatting sqref="K19">
    <cfRule type="expression" dxfId="46" priority="30" stopIfTrue="1">
      <formula>AND($D$17&lt;&gt;1,$K$19=1)</formula>
    </cfRule>
  </conditionalFormatting>
  <conditionalFormatting sqref="D17">
    <cfRule type="expression" dxfId="45" priority="31" stopIfTrue="1">
      <formula>AND($D$17=1,$D$9&lt;&gt;1)</formula>
    </cfRule>
    <cfRule type="expression" dxfId="44" priority="32" stopIfTrue="1">
      <formula>OR(AND($D$17&lt;&gt;1,$D$27=1),AND($D$17&lt;&gt;1,$K$19=1))</formula>
    </cfRule>
    <cfRule type="expression" dxfId="43" priority="33" stopIfTrue="1">
      <formula>AND($D$17&lt;&gt;1,$D$16=1)</formula>
    </cfRule>
  </conditionalFormatting>
  <conditionalFormatting sqref="K18">
    <cfRule type="expression" dxfId="42" priority="34" stopIfTrue="1">
      <formula>OR(AND($K$18=1,$K$17&lt;&gt;1),AND($K$18=1,$K$17&lt;&gt;1))</formula>
    </cfRule>
    <cfRule type="expression" dxfId="41" priority="35" stopIfTrue="1">
      <formula>OR(AND($K$18&lt;&gt;1,$K$26=1),AND($K$18&lt;&gt;1,$D$26=1))</formula>
    </cfRule>
  </conditionalFormatting>
  <conditionalFormatting sqref="K17">
    <cfRule type="expression" dxfId="40" priority="36" stopIfTrue="1">
      <formula>AND($K$17=1,$D$18&lt;&gt;1)</formula>
    </cfRule>
    <cfRule type="expression" dxfId="39" priority="37" stopIfTrue="1">
      <formula>OR(AND($K$17&lt;&gt;1,$D$34=1),AND($K$17&lt;&gt;1,$D$35=1),AND($K$17&lt;&gt;1,$K$36=1))</formula>
    </cfRule>
  </conditionalFormatting>
  <conditionalFormatting sqref="K10">
    <cfRule type="expression" dxfId="38" priority="38" stopIfTrue="1">
      <formula>AND($K$10&lt;&gt;1,$K$26=1)</formula>
    </cfRule>
  </conditionalFormatting>
  <printOptions horizontalCentered="1" verticalCentered="1"/>
  <pageMargins left="0.5" right="0.5" top="0.1" bottom="0.1" header="0.5" footer="0.5"/>
  <pageSetup scale="75" orientation="portrait"/>
  <headerFooter>
    <oddHeader>&amp;L&amp;C&amp;R_x000D__x000D_</oddHeader>
    <oddFooter>&amp;L&amp;C&amp;R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53"/>
  <sheetViews>
    <sheetView topLeftCell="A25" workbookViewId="0"/>
  </sheetViews>
  <sheetFormatPr defaultColWidth="10.6640625" defaultRowHeight="15.6"/>
  <cols>
    <col min="1" max="1" width="10.6640625" style="6"/>
    <col min="2" max="2" width="18.109375" style="12" customWidth="1"/>
    <col min="3" max="3" width="5.6640625" style="12" customWidth="1"/>
    <col min="4" max="4" width="17.88671875" style="12" customWidth="1"/>
    <col min="5" max="5" width="5.6640625" style="12" customWidth="1"/>
    <col min="6" max="6" width="16.88671875" style="12" customWidth="1"/>
    <col min="7" max="7" width="5.6640625" style="12" customWidth="1"/>
    <col min="8" max="8" width="15.6640625" style="12" customWidth="1"/>
    <col min="9" max="9" width="5.6640625" style="12" customWidth="1"/>
    <col min="10" max="10" width="15.6640625" style="12" customWidth="1"/>
    <col min="11" max="11" width="5.6640625" style="12" customWidth="1"/>
    <col min="12" max="12" width="15.6640625" style="12" customWidth="1"/>
    <col min="13" max="13" width="5.6640625" style="12" customWidth="1"/>
    <col min="14" max="14" width="15.6640625" style="12" customWidth="1"/>
    <col min="15" max="15" width="27.5546875" style="12" customWidth="1"/>
    <col min="16" max="16" width="9.6640625" style="6" customWidth="1"/>
    <col min="17" max="17" width="15.6640625" style="6" customWidth="1"/>
    <col min="18" max="16384" width="10.6640625" style="6"/>
  </cols>
  <sheetData>
    <row r="1" spans="2:38" ht="25.95" customHeight="1"/>
    <row r="2" spans="2:38" ht="12" customHeight="1" thickBot="1"/>
    <row r="3" spans="2:38" ht="30" customHeight="1">
      <c r="H3" s="276" t="str">
        <f>CONCATENATE("BS in Civil Engineering",CHAR(10),"Class of 2012 Flowchart")</f>
        <v>BS in Civil Engineering
Class of 2012 Flowchart</v>
      </c>
      <c r="I3" s="277"/>
      <c r="J3" s="278"/>
      <c r="AA3" s="6" t="str">
        <f>'CE Curriculum'!A8</f>
        <v>GEN 1001</v>
      </c>
      <c r="AB3" s="6" t="str">
        <f>'CE Curriculum'!B8</f>
        <v>Intro. to Eng.</v>
      </c>
      <c r="AC3" s="6">
        <f>'CE Curriculum'!C8</f>
        <v>4</v>
      </c>
      <c r="AD3" s="6">
        <f>'CE Curriculum'!D8</f>
        <v>0</v>
      </c>
      <c r="AE3" s="13"/>
      <c r="AF3" s="13"/>
      <c r="AG3" s="13"/>
      <c r="AH3" s="6" t="str">
        <f>'CE Curriculum'!H8</f>
        <v>MTH 1505</v>
      </c>
      <c r="AI3" s="6" t="str">
        <f>'CE Curriculum'!I8</f>
        <v>Applied Statistics</v>
      </c>
      <c r="AJ3" s="6">
        <f>'CE Curriculum'!J8</f>
        <v>4</v>
      </c>
      <c r="AK3" s="6">
        <f>'CE Curriculum'!K8</f>
        <v>0</v>
      </c>
      <c r="AL3" s="13"/>
    </row>
    <row r="4" spans="2:38" ht="30" customHeight="1" thickBot="1">
      <c r="H4" s="279"/>
      <c r="I4" s="280"/>
      <c r="J4" s="281"/>
      <c r="N4" s="15" t="s">
        <v>107</v>
      </c>
      <c r="O4" s="16" t="str">
        <f>'CE Curriculum'!B4</f>
        <v>ENTER NAME HERE</v>
      </c>
      <c r="AA4" s="6" t="str">
        <f>'CE Curriculum'!A9</f>
        <v>MTH 1217</v>
      </c>
      <c r="AB4" s="6" t="str">
        <f>'CE Curriculum'!B9</f>
        <v>Calculus I</v>
      </c>
      <c r="AC4" s="6">
        <f>'CE Curriculum'!C9</f>
        <v>4</v>
      </c>
      <c r="AD4" s="6">
        <f>'CE Curriculum'!D9</f>
        <v>0</v>
      </c>
      <c r="AE4" s="13"/>
      <c r="AF4" s="13"/>
      <c r="AG4" s="13"/>
      <c r="AH4" s="6" t="str">
        <f>'CE Curriculum'!H9</f>
        <v>MTH 1218</v>
      </c>
      <c r="AI4" s="6" t="str">
        <f>'CE Curriculum'!I9</f>
        <v>Calculus II</v>
      </c>
      <c r="AJ4" s="6">
        <f>'CE Curriculum'!J9</f>
        <v>4</v>
      </c>
      <c r="AK4" s="6">
        <f>'CE Curriculum'!K9</f>
        <v>0</v>
      </c>
      <c r="AL4" s="13"/>
    </row>
    <row r="5" spans="2:38" ht="30" customHeight="1">
      <c r="N5" s="15" t="s">
        <v>176</v>
      </c>
      <c r="O5" s="16" t="str">
        <f>'CE Curriculum'!D4</f>
        <v>ID HERE</v>
      </c>
      <c r="AA5" s="6" t="str">
        <f>'CE Curriculum'!A10</f>
        <v>PHL 1000</v>
      </c>
      <c r="AB5" s="6" t="str">
        <f>'CE Curriculum'!B10</f>
        <v>Intro to Philosophy</v>
      </c>
      <c r="AC5" s="6">
        <f>'CE Curriculum'!C10</f>
        <v>4</v>
      </c>
      <c r="AD5" s="6">
        <f>'CE Curriculum'!D10</f>
        <v>0</v>
      </c>
      <c r="AE5" s="13"/>
      <c r="AF5" s="13"/>
      <c r="AG5" s="13"/>
      <c r="AH5" s="6" t="str">
        <f>'CE Curriculum'!H10</f>
        <v>PHY 2211</v>
      </c>
      <c r="AI5" s="6" t="str">
        <f>'CE Curriculum'!I10</f>
        <v>Physics I</v>
      </c>
      <c r="AJ5" s="6">
        <f>'CE Curriculum'!J10</f>
        <v>4</v>
      </c>
      <c r="AK5" s="6">
        <f>'CE Curriculum'!K10</f>
        <v>0</v>
      </c>
      <c r="AL5" s="13"/>
    </row>
    <row r="6" spans="2:38" ht="30" customHeight="1">
      <c r="B6" s="14" t="str">
        <f>CONCATENATE('CE Curriculum'!A8,CHAR(10),'CE Curriculum'!B8)</f>
        <v>GEN 1001
Intro. to Eng.</v>
      </c>
      <c r="D6" s="14" t="str">
        <f>CONCATENATE('CE Curriculum'!A19,CHAR(10),'CE Curriculum'!B19)</f>
        <v>CEN 2001
CE Site Design</v>
      </c>
      <c r="N6" s="15" t="s">
        <v>204</v>
      </c>
      <c r="O6" s="16" t="str">
        <f>'CE Curriculum'!G4</f>
        <v>CLASS YEAR HERE</v>
      </c>
      <c r="AA6" s="6" t="str">
        <f>'CE Curriculum'!A11</f>
        <v>FYW 1050</v>
      </c>
      <c r="AB6" s="6" t="str">
        <f>'CE Curriculum'!B11</f>
        <v>College Writing</v>
      </c>
      <c r="AC6" s="6">
        <f>'CE Curriculum'!C11</f>
        <v>4</v>
      </c>
      <c r="AD6" s="6">
        <f>'CE Curriculum'!D11</f>
        <v>0</v>
      </c>
      <c r="AE6" s="13"/>
      <c r="AF6" s="13"/>
      <c r="AG6" s="13"/>
      <c r="AH6" s="6" t="str">
        <f>'CE Curriculum'!H11</f>
        <v>Arts &amp; Lit (AL)</v>
      </c>
      <c r="AI6" s="6" t="str">
        <f>'CE Curriculum'!I11</f>
        <v>Elective (course here)</v>
      </c>
      <c r="AJ6" s="6">
        <f>'CE Curriculum'!J11</f>
        <v>4</v>
      </c>
      <c r="AK6" s="6">
        <f>'CE Curriculum'!K11</f>
        <v>0</v>
      </c>
      <c r="AL6" s="13"/>
    </row>
    <row r="7" spans="2:38" ht="30" customHeight="1">
      <c r="N7" s="15" t="s">
        <v>205</v>
      </c>
      <c r="O7" s="16" t="str">
        <f>'CE Curriculum'!J4</f>
        <v>ADVISOR HERE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2:38" ht="44.25" customHeight="1">
      <c r="D8" s="14" t="str">
        <f>CONCATENATE('CE Curriculum'!H8,CHAR(10),'CE Curriculum'!I8)</f>
        <v>MTH 1505
Applied Statistics</v>
      </c>
      <c r="J8" s="14" t="str">
        <f>CONCATENATE('CE Curriculum'!H25,CHAR(10),'CE Curriculum'!I25)</f>
        <v>CEN3030
Transportation</v>
      </c>
      <c r="L8" s="14" t="str">
        <f>CONCATENATE('CE Curriculum'!H35," ",'CE Curriculum'!I35)</f>
        <v>Transportation Elective (course here)</v>
      </c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2:38" ht="30" customHeight="1">
      <c r="D9" s="17"/>
      <c r="J9" s="17"/>
      <c r="L9" s="17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2:38" ht="30" customHeight="1">
      <c r="D10" s="17"/>
      <c r="H10" s="14" t="str">
        <f>CONCATENATE('CE Curriculum'!H17,CHAR(10),'CE Curriculum'!I17)</f>
        <v>MTH 2220
Diff. Equations</v>
      </c>
      <c r="J10" s="14" t="str">
        <f>CONCATENATE('CE Curriculum'!A26,CHAR(13),'CE Curriculum'!B26)</f>
        <v>CEN3020_x000D_Geotech Engr</v>
      </c>
      <c r="L10" s="14" t="str">
        <f>CONCATENATE('CE Curriculum'!A35," ",'CE Curriculum'!B35)</f>
        <v>Geotechnical Elective (course here)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2:38" ht="30" customHeight="1">
      <c r="S11" s="6" t="s">
        <v>269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2:38" ht="30" customHeight="1">
      <c r="B12" s="14" t="str">
        <f>CONCATENATE('CE Curriculum'!A9,CHAR(10),'CE Curriculum'!B9)</f>
        <v>MTH 1217
Calculus I</v>
      </c>
      <c r="D12" s="14" t="str">
        <f>CONCATENATE('CE Curriculum'!H9,CHAR(10),'CE Curriculum'!I9)</f>
        <v>MTH 1218
Calculus II</v>
      </c>
      <c r="F12" s="14" t="str">
        <f>CONCATENATE('CE Curriculum'!A18,CHAR(10),'CE Curriculum'!B18)</f>
        <v>MTH 2219
Calculus III</v>
      </c>
      <c r="J12" s="14" t="str">
        <f>CONCATENATE('CE Curriculum'!H18,CHAR(10),'CE Curriculum'!I18)</f>
        <v>GEN 3040
Fluid Mech.</v>
      </c>
      <c r="S12" s="6">
        <v>1.63</v>
      </c>
      <c r="T12" s="6" t="s">
        <v>133</v>
      </c>
      <c r="AA12" s="13"/>
      <c r="AB12" s="13"/>
      <c r="AC12" s="13"/>
      <c r="AD12" s="13"/>
      <c r="AE12" s="13"/>
      <c r="AF12" s="6" t="str">
        <f>'CE Curriculum'!F15</f>
        <v>SOPHOMORE YEAR</v>
      </c>
      <c r="AH12" s="13"/>
      <c r="AI12" s="13"/>
      <c r="AJ12" s="13"/>
      <c r="AK12" s="13"/>
      <c r="AL12" s="13"/>
    </row>
    <row r="13" spans="2:38" ht="30" customHeight="1">
      <c r="R13" s="6">
        <v>19.79</v>
      </c>
      <c r="S13" s="6">
        <f>R13*S12</f>
        <v>32.2577</v>
      </c>
      <c r="T13" s="6">
        <v>36</v>
      </c>
      <c r="AA13" s="6" t="str">
        <f>'CE Curriculum'!A16</f>
        <v>GEN2010</v>
      </c>
      <c r="AB13" s="6" t="str">
        <f>'CE Curriculum'!B16</f>
        <v>Mechanics I</v>
      </c>
      <c r="AC13" s="6">
        <f>'CE Curriculum'!C16</f>
        <v>4</v>
      </c>
      <c r="AD13" s="6">
        <f>'CE Curriculum'!D16</f>
        <v>0</v>
      </c>
      <c r="AE13" s="13"/>
      <c r="AF13" s="13"/>
      <c r="AG13" s="13"/>
      <c r="AH13" s="6" t="str">
        <f>'CE Curriculum'!H16</f>
        <v>GEN2012</v>
      </c>
      <c r="AI13" s="6" t="str">
        <f>'CE Curriculum'!I16</f>
        <v>Mechanics II</v>
      </c>
      <c r="AJ13" s="6">
        <f>'CE Curriculum'!J16</f>
        <v>4</v>
      </c>
      <c r="AK13" s="6">
        <f>'CE Curriculum'!K16</f>
        <v>0</v>
      </c>
      <c r="AL13" s="13"/>
    </row>
    <row r="14" spans="2:38" ht="30" customHeight="1">
      <c r="B14" s="14" t="str">
        <f>CONCATENATE('CE Curriculum'!H19,CHAR(10),'CE Curriculum'!I19)</f>
        <v>CHM 1180
Engineering Chemistry</v>
      </c>
      <c r="D14" s="14" t="str">
        <f>CONCATENATE('CE Curriculum'!H29," ",'CE Curriculum'!I29)</f>
        <v>Science* Elective (course here)</v>
      </c>
      <c r="J14" s="14" t="str">
        <f>CONCATENATE('CE Curriculum'!H26,CHAR(10),'CE Curriculum'!I26)</f>
        <v>CEN3050
Enviro. Engr.</v>
      </c>
      <c r="L14" s="14" t="str">
        <f>CONCATENATE('CE Curriculum'!H36," ",'CE Curriculum'!I36)</f>
        <v>Environmental Elective (course here)</v>
      </c>
      <c r="R14" s="6">
        <v>14.75</v>
      </c>
      <c r="S14" s="6">
        <f>R14*S12</f>
        <v>24.042499999999997</v>
      </c>
      <c r="T14" s="6">
        <v>24</v>
      </c>
      <c r="AA14" s="6" t="str">
        <f>'CE Curriculum'!A17</f>
        <v>PHY 2212</v>
      </c>
      <c r="AB14" s="6" t="str">
        <f>'CE Curriculum'!B17</f>
        <v>Physics II</v>
      </c>
      <c r="AC14" s="6">
        <f>'CE Curriculum'!C17</f>
        <v>4</v>
      </c>
      <c r="AD14" s="6">
        <f>'CE Curriculum'!D17</f>
        <v>0</v>
      </c>
      <c r="AE14" s="13"/>
      <c r="AF14" s="13"/>
      <c r="AG14" s="13"/>
      <c r="AH14" s="6" t="str">
        <f>'CE Curriculum'!H17</f>
        <v>MTH 2220</v>
      </c>
      <c r="AI14" s="6" t="str">
        <f>'CE Curriculum'!I17</f>
        <v>Diff. Equations</v>
      </c>
      <c r="AJ14" s="6">
        <f>'CE Curriculum'!J17</f>
        <v>4</v>
      </c>
      <c r="AK14" s="6">
        <f>'CE Curriculum'!K17</f>
        <v>0</v>
      </c>
      <c r="AL14" s="13"/>
    </row>
    <row r="15" spans="2:38" ht="30" customHeight="1">
      <c r="AA15" s="6" t="str">
        <f>'CE Curriculum'!A18</f>
        <v>MTH 2219</v>
      </c>
      <c r="AB15" s="6" t="str">
        <f>'CE Curriculum'!B18</f>
        <v>Calculus III</v>
      </c>
      <c r="AC15" s="6">
        <f>'CE Curriculum'!C18</f>
        <v>4</v>
      </c>
      <c r="AD15" s="6">
        <f>'CE Curriculum'!D18</f>
        <v>0</v>
      </c>
      <c r="AE15" s="13"/>
      <c r="AF15" s="13"/>
      <c r="AG15" s="13"/>
      <c r="AH15" s="6" t="str">
        <f>'CE Curriculum'!H18</f>
        <v>GEN 3040</v>
      </c>
      <c r="AI15" s="6" t="str">
        <f>'CE Curriculum'!I18</f>
        <v>Fluid Mech.</v>
      </c>
      <c r="AJ15" s="6">
        <f>'CE Curriculum'!J18</f>
        <v>4</v>
      </c>
      <c r="AK15" s="6">
        <f>'CE Curriculum'!K18</f>
        <v>0</v>
      </c>
      <c r="AL15" s="13"/>
    </row>
    <row r="16" spans="2:38" ht="30" customHeight="1">
      <c r="B16" s="18" t="s">
        <v>206</v>
      </c>
      <c r="D16" s="14" t="str">
        <f>CONCATENATE('CE Curriculum'!H10,CHAR(10),'CE Curriculum'!I10)</f>
        <v>PHY 2211
Physics I</v>
      </c>
      <c r="F16" s="14" t="str">
        <f>CONCATENATE('CE Curriculum'!A17,CHAR(10),'CE Curriculum'!B17)</f>
        <v>PHY 2212
Physics II</v>
      </c>
      <c r="H16" s="14" t="str">
        <f>CONCATENATE('CE Curriculum'!H16,CHAR(10),'CE Curriculum'!I16)</f>
        <v>GEN2012
Mechanics II</v>
      </c>
      <c r="J16" s="14" t="str">
        <f>CONCATENATE('CE Curriculum'!A25,CHAR(10),'CE Curriculum'!B25)</f>
        <v>CEN3010
Structures</v>
      </c>
      <c r="L16" s="14" t="str">
        <f>CONCATENATE('CE Curriculum'!A34," ",'CE Curriculum'!B34)</f>
        <v>Structures Elective (course here)</v>
      </c>
      <c r="AA16" s="6" t="str">
        <f>'CE Curriculum'!A19</f>
        <v>CEN 2001</v>
      </c>
      <c r="AB16" s="6" t="str">
        <f>'CE Curriculum'!B19</f>
        <v>CE Site Design</v>
      </c>
      <c r="AC16" s="6">
        <f>'CE Curriculum'!C19</f>
        <v>4</v>
      </c>
      <c r="AD16" s="6">
        <f>'CE Curriculum'!D19</f>
        <v>0</v>
      </c>
      <c r="AE16" s="13"/>
      <c r="AF16" s="13"/>
      <c r="AG16" s="13"/>
      <c r="AH16" s="6" t="str">
        <f>'CE Curriculum'!H19</f>
        <v>CHM 1180</v>
      </c>
      <c r="AI16" s="6" t="str">
        <f>'CE Curriculum'!I19</f>
        <v>Engineering Chemistry</v>
      </c>
      <c r="AJ16" s="6">
        <f>'CE Curriculum'!J19</f>
        <v>4</v>
      </c>
      <c r="AK16" s="6">
        <f>'CE Curriculum'!K19</f>
        <v>0</v>
      </c>
      <c r="AL16" s="13"/>
    </row>
    <row r="17" spans="2:38" ht="30" customHeight="1"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2:38" ht="30" customHeight="1">
      <c r="B18" s="14" t="str">
        <f>CONCATENATE('CE Curriculum'!A11,CHAR(10),'CE Curriculum'!B11)</f>
        <v>FYW 1050
College Writing</v>
      </c>
      <c r="F18" s="14" t="str">
        <f>CONCATENATE('CE Curriculum'!A16,CHAR(10),'CE Curriculum'!B16)</f>
        <v>GEN2010
Mechanics I</v>
      </c>
      <c r="J18" s="18" t="s">
        <v>207</v>
      </c>
      <c r="L18" s="14" t="str">
        <f>CONCATENATE('CE Curriculum'!A36," ",'CE Curriculum'!B36)</f>
        <v>Technical Elective (course here)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2:38" ht="30" customHeight="1"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2:38" ht="45.75" customHeight="1">
      <c r="B20" s="14" t="str">
        <f>CONCATENATE('CE Curriculum'!A28," ",'CE Curriculum'!B28)</f>
        <v>RTS 1100 Christianity in Context</v>
      </c>
      <c r="D20" s="19" t="str">
        <f>CONCATENATE('CE Curriculum'!H28," ",'CE Curriculum'!I28)</f>
        <v>Ethics (E) Elective (course here)</v>
      </c>
      <c r="F20" s="14" t="str">
        <f>CONCATENATE('CE Curriculum'!A27,CHAR(10),'CE Curriculum'!B27)</f>
        <v>PHY 2213
Thermodynamics</v>
      </c>
      <c r="J20" s="18" t="s">
        <v>208</v>
      </c>
      <c r="L20" s="14" t="str">
        <f>CONCATENATE('CE Curriculum'!H37,CHAR(10),'CE Curriculum'!I37)</f>
        <v>CEN 4900
Senior Seminar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2:38" ht="30" customHeight="1">
      <c r="O21" s="183" t="s">
        <v>213</v>
      </c>
      <c r="AA21" s="13"/>
      <c r="AB21" s="13"/>
      <c r="AC21" s="13"/>
      <c r="AD21" s="13"/>
      <c r="AE21" s="13"/>
      <c r="AF21" s="6" t="str">
        <f>'CE Curriculum'!F24</f>
        <v>JUNIOR YEAR</v>
      </c>
      <c r="AG21" s="13"/>
      <c r="AH21" s="13"/>
      <c r="AI21" s="13"/>
      <c r="AJ21" s="13"/>
      <c r="AK21" s="13"/>
      <c r="AL21" s="13"/>
    </row>
    <row r="22" spans="2:38" ht="30" customHeight="1">
      <c r="B22" s="14" t="str">
        <f>CONCATENATE('CE Curriculum'!A10," ",'CE Curriculum'!B10)</f>
        <v>PHL 1000 Intro to Philosophy</v>
      </c>
      <c r="E22"/>
      <c r="F22"/>
      <c r="J22" s="14" t="str">
        <f>CONCATENATE('CE Curriculum'!H27,CHAR(10),'CE Curriculum'!I27)</f>
        <v>CEN3090
Professionalism &amp; Ethics</v>
      </c>
      <c r="L22" s="14" t="str">
        <f>CONCATENATE('CE Curriculum'!H34,CHAR(10),'CE Curriculum'!I34)</f>
        <v>CEN 4901
Des. Project</v>
      </c>
      <c r="O22" s="12" t="s">
        <v>266</v>
      </c>
      <c r="AA22" s="6" t="str">
        <f>'CE Curriculum'!A25</f>
        <v>CEN3010</v>
      </c>
      <c r="AB22" s="6" t="str">
        <f>'CE Curriculum'!B25</f>
        <v>Structures</v>
      </c>
      <c r="AC22" s="6">
        <f>'CE Curriculum'!C25</f>
        <v>4</v>
      </c>
      <c r="AD22" s="6">
        <f>'CE Curriculum'!D25</f>
        <v>0</v>
      </c>
      <c r="AE22" s="13"/>
      <c r="AF22" s="13"/>
      <c r="AG22" s="13"/>
      <c r="AH22" s="6" t="str">
        <f>'CE Curriculum'!H25</f>
        <v>CEN3030</v>
      </c>
      <c r="AI22" s="6" t="str">
        <f>'CE Curriculum'!I25</f>
        <v>Transportation</v>
      </c>
      <c r="AJ22" s="6">
        <f>'CE Curriculum'!J25</f>
        <v>4</v>
      </c>
      <c r="AK22" s="6">
        <f>'CE Curriculum'!K25</f>
        <v>0</v>
      </c>
      <c r="AL22" s="13"/>
    </row>
    <row r="23" spans="2:38" ht="30" customHeight="1">
      <c r="O23" s="12" t="s">
        <v>265</v>
      </c>
      <c r="AA23" s="6" t="str">
        <f>'CE Curriculum'!A26</f>
        <v>CEN3020</v>
      </c>
      <c r="AB23" s="6" t="str">
        <f>'CE Curriculum'!B26</f>
        <v>Geotech Engr</v>
      </c>
      <c r="AC23" s="6">
        <f>'CE Curriculum'!C26</f>
        <v>4</v>
      </c>
      <c r="AD23" s="6">
        <f>'CE Curriculum'!D26</f>
        <v>0</v>
      </c>
      <c r="AE23" s="13"/>
      <c r="AF23" s="13"/>
      <c r="AG23" s="13"/>
      <c r="AH23" s="6" t="str">
        <f>'CE Curriculum'!H26</f>
        <v>CEN3050</v>
      </c>
      <c r="AI23" s="6" t="str">
        <f>'CE Curriculum'!I26</f>
        <v>Enviro. Engr.</v>
      </c>
      <c r="AJ23" s="6">
        <f>'CE Curriculum'!J26</f>
        <v>4</v>
      </c>
      <c r="AK23" s="6">
        <f>'CE Curriculum'!K26</f>
        <v>0</v>
      </c>
      <c r="AL23" s="13"/>
    </row>
    <row r="24" spans="2:38" ht="30" customHeight="1" thickBot="1">
      <c r="B24" s="14" t="str">
        <f>CONCATENATE('CE Curriculum'!A37," ",'CE Curriculum'!B37)</f>
        <v>Soc. Science (SS) Elective (course here)</v>
      </c>
      <c r="I24" s="284" t="s">
        <v>125</v>
      </c>
      <c r="J24" s="285"/>
      <c r="K24" s="285"/>
      <c r="L24" s="286"/>
      <c r="O24" s="12" t="s">
        <v>263</v>
      </c>
      <c r="AA24" s="6" t="str">
        <f>'CE Curriculum'!A27</f>
        <v>PHY 2213</v>
      </c>
      <c r="AB24" s="6" t="str">
        <f>'CE Curriculum'!B27</f>
        <v>Thermodynamics</v>
      </c>
      <c r="AC24" s="6">
        <f>'CE Curriculum'!C27</f>
        <v>2</v>
      </c>
      <c r="AD24" s="6">
        <f>'CE Curriculum'!D27</f>
        <v>0</v>
      </c>
      <c r="AE24" s="13"/>
      <c r="AF24" s="13"/>
      <c r="AG24" s="13"/>
      <c r="AH24" s="6" t="str">
        <f>'CE Curriculum'!H27</f>
        <v>CEN3090</v>
      </c>
      <c r="AI24" s="6" t="str">
        <f>'CE Curriculum'!I27</f>
        <v>Professionalism &amp; Ethics</v>
      </c>
      <c r="AJ24" s="6">
        <f>'CE Curriculum'!J27</f>
        <v>1</v>
      </c>
      <c r="AK24" s="6">
        <f>'CE Curriculum'!K27</f>
        <v>0</v>
      </c>
      <c r="AL24" s="13"/>
    </row>
    <row r="25" spans="2:38" ht="30" customHeight="1">
      <c r="D25" s="20"/>
      <c r="E25" s="20"/>
      <c r="F25" s="21" t="s">
        <v>209</v>
      </c>
      <c r="I25" s="287"/>
      <c r="J25" s="288"/>
      <c r="K25" s="288"/>
      <c r="L25" s="289"/>
      <c r="O25" s="12" t="s">
        <v>264</v>
      </c>
      <c r="AA25" s="6" t="str">
        <f>'CE Curriculum'!A28</f>
        <v>RTS 1100</v>
      </c>
      <c r="AB25" s="6" t="str">
        <f>'CE Curriculum'!B28</f>
        <v>Christianity in Context</v>
      </c>
      <c r="AC25" s="6">
        <f>'CE Curriculum'!C28</f>
        <v>4</v>
      </c>
      <c r="AD25" s="6">
        <f>'CE Curriculum'!D28</f>
        <v>0</v>
      </c>
      <c r="AE25" s="13"/>
      <c r="AF25" s="13"/>
      <c r="AG25" s="13"/>
      <c r="AH25" s="6" t="str">
        <f>'CE Curriculum'!H28</f>
        <v>Ethics (E)</v>
      </c>
      <c r="AI25" s="6" t="str">
        <f>'CE Curriculum'!I28</f>
        <v>Elective (course here)</v>
      </c>
      <c r="AJ25" s="6">
        <f>'CE Curriculum'!J28</f>
        <v>4</v>
      </c>
      <c r="AK25" s="6">
        <f>'CE Curriculum'!K28</f>
        <v>0</v>
      </c>
      <c r="AL25" s="13"/>
    </row>
    <row r="26" spans="2:38" ht="30" customHeight="1" thickBot="1">
      <c r="B26" s="14" t="str">
        <f>CONCATENATE('CE Curriculum'!H11," ",'CE Curriculum'!I11)</f>
        <v>Arts &amp; Lit (AL) Elective (course here)</v>
      </c>
      <c r="D26" s="20"/>
      <c r="E26" s="20"/>
      <c r="F26" s="282" t="str">
        <f>CONCATENATE("BSCE",CHAR(10),"Pass FE Exam",CHAR(10),"Pass PE Exam")</f>
        <v>BSCE
Pass FE Exam
Pass PE Exam</v>
      </c>
      <c r="J26" s="22" t="s">
        <v>238</v>
      </c>
      <c r="K26" s="23"/>
      <c r="L26" s="23"/>
      <c r="O26" s="12" t="s">
        <v>261</v>
      </c>
      <c r="AA26" s="6" t="str">
        <f>'CE Curriculum'!A29</f>
        <v>Hist. Studies (H)</v>
      </c>
      <c r="AB26" s="6" t="str">
        <f>'CE Curriculum'!B29</f>
        <v>Elective (course here)</v>
      </c>
      <c r="AC26" s="6">
        <f>'CE Curriculum'!C29</f>
        <v>4</v>
      </c>
      <c r="AD26" s="6">
        <f>'CE Curriculum'!D29</f>
        <v>0</v>
      </c>
      <c r="AE26" s="13"/>
      <c r="AF26" s="13"/>
      <c r="AG26" s="13"/>
      <c r="AH26" s="6" t="str">
        <f>'CE Curriculum'!H29</f>
        <v>Science*</v>
      </c>
      <c r="AI26" s="6" t="str">
        <f>'CE Curriculum'!I29</f>
        <v>Elective (course here)</v>
      </c>
      <c r="AJ26" s="6">
        <f>'CE Curriculum'!J29</f>
        <v>4</v>
      </c>
      <c r="AK26" s="6">
        <f>'CE Curriculum'!K29</f>
        <v>0</v>
      </c>
      <c r="AL26" s="13"/>
    </row>
    <row r="27" spans="2:38" ht="30" customHeight="1" thickBot="1">
      <c r="E27" s="20"/>
      <c r="F27" s="283"/>
      <c r="J27" s="24" t="s">
        <v>239</v>
      </c>
      <c r="K27" s="25"/>
      <c r="L27" s="23"/>
      <c r="O27" s="12" t="s">
        <v>262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2:38" ht="30" customHeight="1" thickBot="1">
      <c r="B28" s="14" t="str">
        <f>CONCATENATE('CE Curriculum'!H38," ",'CE Curriculum'!I38)</f>
        <v>Soc. Science (SS) Elective (course here)</v>
      </c>
      <c r="H28" s="14" t="str">
        <f>'CE Curriculum'!F40</f>
        <v>TOOK FE EXAM</v>
      </c>
      <c r="J28" s="26" t="s">
        <v>240</v>
      </c>
      <c r="K28" s="27"/>
      <c r="L28" s="2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2:38" ht="42" customHeight="1">
      <c r="H29" s="19" t="str">
        <f>'CE Curriculum'!F41</f>
        <v>DIVERSITY CRS.</v>
      </c>
      <c r="J29" s="23"/>
      <c r="K29" s="23"/>
      <c r="L29" s="2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2:38" ht="30" customHeight="1">
      <c r="B30" s="14" t="str">
        <f>CONCATENATE('CE Curriculum'!A29," ",'CE Curriculum'!B29)</f>
        <v>Hist. Studies (H) Elective (course here)</v>
      </c>
      <c r="J30" s="23"/>
      <c r="K30" s="23"/>
      <c r="L30" s="23"/>
      <c r="AA30" s="13"/>
      <c r="AB30" s="13"/>
      <c r="AC30" s="13"/>
      <c r="AD30" s="13"/>
      <c r="AE30" s="13"/>
      <c r="AF30" s="6" t="str">
        <f>'CE Curriculum'!F33</f>
        <v>SENIOR YEAR</v>
      </c>
      <c r="AG30" s="13"/>
      <c r="AH30" s="13"/>
      <c r="AI30" s="13"/>
      <c r="AJ30" s="13"/>
      <c r="AK30" s="13"/>
      <c r="AL30" s="13"/>
    </row>
    <row r="31" spans="2:38" ht="40.950000000000003" customHeight="1">
      <c r="H31" s="290" t="s">
        <v>268</v>
      </c>
      <c r="I31" s="290"/>
      <c r="J31" s="290"/>
      <c r="K31" s="290"/>
      <c r="L31" s="290"/>
      <c r="M31" s="290"/>
      <c r="N31" s="290"/>
      <c r="O31" s="290"/>
      <c r="AA31" s="6" t="str">
        <f>'CE Curriculum'!A34</f>
        <v>Structures</v>
      </c>
      <c r="AB31" s="6" t="str">
        <f>'CE Curriculum'!B34</f>
        <v>Elective (course here)</v>
      </c>
      <c r="AC31" s="6">
        <f>'CE Curriculum'!C34</f>
        <v>4</v>
      </c>
      <c r="AD31" s="6">
        <f>'CE Curriculum'!D34</f>
        <v>0</v>
      </c>
      <c r="AE31" s="13"/>
      <c r="AF31" s="13"/>
      <c r="AG31" s="13"/>
      <c r="AH31" s="6" t="str">
        <f>'CE Curriculum'!H34</f>
        <v>CEN 4901</v>
      </c>
      <c r="AI31" s="6" t="str">
        <f>'CE Curriculum'!I34</f>
        <v>Des. Project</v>
      </c>
      <c r="AJ31" s="6">
        <f>'CE Curriculum'!J34</f>
        <v>4</v>
      </c>
      <c r="AK31" s="6">
        <f>'CE Curriculum'!K34</f>
        <v>0</v>
      </c>
      <c r="AL31" s="13"/>
    </row>
    <row r="32" spans="2:38" ht="30" customHeight="1">
      <c r="AA32" s="6" t="str">
        <f>'CE Curriculum'!A35</f>
        <v>Geotechnical</v>
      </c>
      <c r="AB32" s="6" t="str">
        <f>'CE Curriculum'!B35</f>
        <v>Elective (course here)</v>
      </c>
      <c r="AC32" s="6">
        <f>'CE Curriculum'!C35</f>
        <v>4</v>
      </c>
      <c r="AD32" s="6">
        <f>'CE Curriculum'!D35</f>
        <v>0</v>
      </c>
      <c r="AE32" s="13"/>
      <c r="AF32" s="13"/>
      <c r="AG32" s="13"/>
      <c r="AH32" s="6" t="str">
        <f>'CE Curriculum'!H35</f>
        <v>Transportation</v>
      </c>
      <c r="AI32" s="6" t="str">
        <f>'CE Curriculum'!I35</f>
        <v>Elective (course here)</v>
      </c>
      <c r="AJ32" s="6">
        <f>'CE Curriculum'!J35</f>
        <v>4</v>
      </c>
      <c r="AK32" s="6">
        <f>'CE Curriculum'!K35</f>
        <v>0</v>
      </c>
      <c r="AL32" s="13"/>
    </row>
    <row r="33" spans="27:38" ht="30" customHeight="1">
      <c r="AA33" s="6" t="str">
        <f>'CE Curriculum'!A36</f>
        <v>Technical</v>
      </c>
      <c r="AB33" s="6" t="str">
        <f>'CE Curriculum'!B36</f>
        <v>Elective (course here)</v>
      </c>
      <c r="AC33" s="6">
        <f>'CE Curriculum'!C36</f>
        <v>4</v>
      </c>
      <c r="AD33" s="6">
        <f>'CE Curriculum'!D36</f>
        <v>0</v>
      </c>
      <c r="AE33" s="13"/>
      <c r="AF33" s="13"/>
      <c r="AG33" s="13"/>
      <c r="AH33" s="6" t="str">
        <f>'CE Curriculum'!H36</f>
        <v>Environmental</v>
      </c>
      <c r="AI33" s="6" t="str">
        <f>'CE Curriculum'!I36</f>
        <v>Elective (course here)</v>
      </c>
      <c r="AJ33" s="6">
        <f>'CE Curriculum'!J36</f>
        <v>4</v>
      </c>
      <c r="AK33" s="6">
        <f>'CE Curriculum'!K36</f>
        <v>0</v>
      </c>
      <c r="AL33" s="13"/>
    </row>
    <row r="34" spans="27:38" ht="30" customHeight="1">
      <c r="AA34" s="6" t="str">
        <f>'CE Curriculum'!A37</f>
        <v>Soc. Science (SS)</v>
      </c>
      <c r="AB34" s="6" t="str">
        <f>'CE Curriculum'!B37</f>
        <v>Elective (course here)</v>
      </c>
      <c r="AC34" s="6">
        <f>'CE Curriculum'!C37</f>
        <v>4</v>
      </c>
      <c r="AD34" s="6">
        <f>'CE Curriculum'!D37</f>
        <v>0</v>
      </c>
      <c r="AE34" s="13"/>
      <c r="AF34" s="13"/>
      <c r="AG34" s="13"/>
      <c r="AH34" s="6" t="str">
        <f>'CE Curriculum'!H37</f>
        <v>CEN 4900</v>
      </c>
      <c r="AI34" s="6" t="str">
        <f>'CE Curriculum'!I37</f>
        <v>Senior Seminar</v>
      </c>
      <c r="AJ34" s="6">
        <f>'CE Curriculum'!J37</f>
        <v>1</v>
      </c>
      <c r="AK34" s="6">
        <f>'CE Curriculum'!K37</f>
        <v>0</v>
      </c>
      <c r="AL34" s="13"/>
    </row>
    <row r="35" spans="27:38" ht="30" customHeight="1">
      <c r="AA35" s="6">
        <f>'CE Curriculum'!A38</f>
        <v>0</v>
      </c>
      <c r="AB35" s="6">
        <f>'CE Curriculum'!B38</f>
        <v>0</v>
      </c>
      <c r="AC35" s="6">
        <f>'CE Curriculum'!C38</f>
        <v>0</v>
      </c>
      <c r="AD35" s="6">
        <f>'CE Curriculum'!D38</f>
        <v>0</v>
      </c>
      <c r="AE35" s="13"/>
      <c r="AF35" s="13"/>
      <c r="AG35" s="13"/>
      <c r="AH35" s="6" t="str">
        <f>'CE Curriculum'!H38</f>
        <v>Soc. Science (SS)</v>
      </c>
      <c r="AI35" s="6" t="str">
        <f>'CE Curriculum'!I38</f>
        <v>Elective (course here)</v>
      </c>
      <c r="AJ35" s="6">
        <f>'CE Curriculum'!J38</f>
        <v>4</v>
      </c>
      <c r="AK35" s="6">
        <f>'CE Curriculum'!K38</f>
        <v>0</v>
      </c>
      <c r="AL35" s="13"/>
    </row>
    <row r="36" spans="27:38" ht="30" customHeight="1"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27:38" ht="30" customHeight="1">
      <c r="AA37" s="13"/>
      <c r="AB37" s="13"/>
      <c r="AC37" s="13"/>
      <c r="AD37" s="13"/>
      <c r="AE37" s="13"/>
      <c r="AF37" s="203" t="str">
        <f>'CE Curriculum'!F40</f>
        <v>TOOK FE EXAM</v>
      </c>
      <c r="AG37" s="6">
        <f>'CE Curriculum'!H40</f>
        <v>0</v>
      </c>
      <c r="AH37" s="13"/>
      <c r="AI37" s="13"/>
      <c r="AJ37" s="13"/>
      <c r="AK37" s="13"/>
      <c r="AL37" s="13"/>
    </row>
    <row r="38" spans="27:38" ht="30" customHeight="1">
      <c r="AE38" s="13"/>
      <c r="AF38" s="203" t="str">
        <f>'CE Curriculum'!F41</f>
        <v>DIVERSITY CRS.</v>
      </c>
      <c r="AG38" s="6">
        <f>'CE Curriculum'!H41</f>
        <v>0</v>
      </c>
    </row>
    <row r="39" spans="27:38" ht="30" customHeight="1"/>
    <row r="40" spans="27:38" ht="30" customHeight="1"/>
    <row r="41" spans="27:38" ht="30" customHeight="1"/>
    <row r="42" spans="27:38" ht="30" customHeight="1"/>
    <row r="43" spans="27:38" ht="30" customHeight="1"/>
    <row r="44" spans="27:38" ht="30" customHeight="1"/>
    <row r="45" spans="27:38" ht="30" customHeight="1"/>
    <row r="46" spans="27:38" ht="30" customHeight="1"/>
    <row r="47" spans="27:38" ht="30" customHeight="1"/>
    <row r="48" spans="27:38" ht="30" customHeight="1"/>
    <row r="49" ht="30" customHeight="1"/>
    <row r="50" ht="30" customHeight="1"/>
    <row r="51" ht="30" customHeight="1"/>
    <row r="52" ht="30" customHeight="1"/>
    <row r="53" ht="30" customHeight="1"/>
  </sheetData>
  <mergeCells count="4">
    <mergeCell ref="H3:J4"/>
    <mergeCell ref="F26:F27"/>
    <mergeCell ref="I24:L25"/>
    <mergeCell ref="H31:O31"/>
  </mergeCells>
  <phoneticPr fontId="9" type="noConversion"/>
  <conditionalFormatting sqref="Y3">
    <cfRule type="expression" dxfId="37" priority="1" stopIfTrue="1">
      <formula>"not(isblank($AD$2)"</formula>
    </cfRule>
  </conditionalFormatting>
  <conditionalFormatting sqref="B6">
    <cfRule type="expression" dxfId="36" priority="2" stopIfTrue="1">
      <formula>$AD$3=1</formula>
    </cfRule>
  </conditionalFormatting>
  <conditionalFormatting sqref="D6">
    <cfRule type="expression" dxfId="35" priority="3" stopIfTrue="1">
      <formula>$AD$16</formula>
    </cfRule>
  </conditionalFormatting>
  <conditionalFormatting sqref="D8">
    <cfRule type="expression" dxfId="34" priority="4" stopIfTrue="1">
      <formula>$AK$3=1</formula>
    </cfRule>
  </conditionalFormatting>
  <conditionalFormatting sqref="B12">
    <cfRule type="expression" dxfId="33" priority="5" stopIfTrue="1">
      <formula>$AD$4=1</formula>
    </cfRule>
  </conditionalFormatting>
  <conditionalFormatting sqref="D12">
    <cfRule type="expression" dxfId="32" priority="6" stopIfTrue="1">
      <formula>$AK$4=1</formula>
    </cfRule>
  </conditionalFormatting>
  <conditionalFormatting sqref="B18">
    <cfRule type="expression" dxfId="31" priority="7" stopIfTrue="1">
      <formula>$AD$6=1</formula>
    </cfRule>
  </conditionalFormatting>
  <conditionalFormatting sqref="B20">
    <cfRule type="expression" dxfId="30" priority="8" stopIfTrue="1">
      <formula>$AD$25</formula>
    </cfRule>
  </conditionalFormatting>
  <conditionalFormatting sqref="B24">
    <cfRule type="expression" dxfId="29" priority="9" stopIfTrue="1">
      <formula>$AD$34=1</formula>
    </cfRule>
  </conditionalFormatting>
  <conditionalFormatting sqref="B30">
    <cfRule type="expression" dxfId="28" priority="10" stopIfTrue="1">
      <formula>$AD$26=1</formula>
    </cfRule>
  </conditionalFormatting>
  <conditionalFormatting sqref="D20">
    <cfRule type="expression" dxfId="27" priority="11" stopIfTrue="1">
      <formula>$AK$25=1</formula>
    </cfRule>
  </conditionalFormatting>
  <conditionalFormatting sqref="F12">
    <cfRule type="expression" dxfId="26" priority="12" stopIfTrue="1">
      <formula>$AD$15=1</formula>
    </cfRule>
  </conditionalFormatting>
  <conditionalFormatting sqref="F18">
    <cfRule type="expression" dxfId="25" priority="13" stopIfTrue="1">
      <formula>$AD$13=1</formula>
    </cfRule>
  </conditionalFormatting>
  <conditionalFormatting sqref="F20">
    <cfRule type="expression" dxfId="24" priority="14" stopIfTrue="1">
      <formula>$AD$24</formula>
    </cfRule>
  </conditionalFormatting>
  <conditionalFormatting sqref="H10">
    <cfRule type="expression" dxfId="23" priority="15" stopIfTrue="1">
      <formula>$AK$14</formula>
    </cfRule>
  </conditionalFormatting>
  <conditionalFormatting sqref="H16">
    <cfRule type="expression" dxfId="22" priority="16" stopIfTrue="1">
      <formula>$AK$13=1</formula>
    </cfRule>
  </conditionalFormatting>
  <conditionalFormatting sqref="J8">
    <cfRule type="expression" dxfId="21" priority="17" stopIfTrue="1">
      <formula>$AK$22=1</formula>
    </cfRule>
  </conditionalFormatting>
  <conditionalFormatting sqref="J12">
    <cfRule type="expression" dxfId="20" priority="18" stopIfTrue="1">
      <formula>$AK$15</formula>
    </cfRule>
  </conditionalFormatting>
  <conditionalFormatting sqref="J14">
    <cfRule type="expression" dxfId="19" priority="19" stopIfTrue="1">
      <formula>$AK$23</formula>
    </cfRule>
  </conditionalFormatting>
  <conditionalFormatting sqref="J16">
    <cfRule type="expression" dxfId="18" priority="20" stopIfTrue="1">
      <formula>$AD$22=1</formula>
    </cfRule>
  </conditionalFormatting>
  <conditionalFormatting sqref="J10">
    <cfRule type="expression" dxfId="17" priority="21" stopIfTrue="1">
      <formula>$AD$23=1</formula>
    </cfRule>
  </conditionalFormatting>
  <conditionalFormatting sqref="J22">
    <cfRule type="expression" dxfId="16" priority="22" stopIfTrue="1">
      <formula>$AK$24=1</formula>
    </cfRule>
  </conditionalFormatting>
  <conditionalFormatting sqref="L8">
    <cfRule type="expression" dxfId="15" priority="23" stopIfTrue="1">
      <formula>$AK$32=1</formula>
    </cfRule>
  </conditionalFormatting>
  <conditionalFormatting sqref="L14">
    <cfRule type="expression" dxfId="14" priority="24" stopIfTrue="1">
      <formula>$AK$33=1</formula>
    </cfRule>
  </conditionalFormatting>
  <conditionalFormatting sqref="L16">
    <cfRule type="expression" dxfId="13" priority="25" stopIfTrue="1">
      <formula>$AD$31=1</formula>
    </cfRule>
  </conditionalFormatting>
  <conditionalFormatting sqref="L10">
    <cfRule type="expression" dxfId="12" priority="26" stopIfTrue="1">
      <formula>$AD$32=1</formula>
    </cfRule>
  </conditionalFormatting>
  <conditionalFormatting sqref="L18">
    <cfRule type="expression" dxfId="11" priority="27" stopIfTrue="1">
      <formula>$AD$33=1</formula>
    </cfRule>
  </conditionalFormatting>
  <conditionalFormatting sqref="L20">
    <cfRule type="expression" dxfId="10" priority="28" stopIfTrue="1">
      <formula>$AK$34=1</formula>
    </cfRule>
  </conditionalFormatting>
  <conditionalFormatting sqref="L22">
    <cfRule type="expression" dxfId="9" priority="29" stopIfTrue="1">
      <formula>$AK$31=1</formula>
    </cfRule>
  </conditionalFormatting>
  <conditionalFormatting sqref="H28">
    <cfRule type="expression" dxfId="8" priority="30" stopIfTrue="1">
      <formula>$AG$37=1</formula>
    </cfRule>
  </conditionalFormatting>
  <conditionalFormatting sqref="D14">
    <cfRule type="expression" dxfId="7" priority="31" stopIfTrue="1">
      <formula>$AK$26=1</formula>
    </cfRule>
  </conditionalFormatting>
  <conditionalFormatting sqref="B28">
    <cfRule type="expression" dxfId="6" priority="32" stopIfTrue="1">
      <formula>$AK$35</formula>
    </cfRule>
  </conditionalFormatting>
  <conditionalFormatting sqref="B26">
    <cfRule type="expression" dxfId="5" priority="33" stopIfTrue="1">
      <formula>$AK$6=1</formula>
    </cfRule>
  </conditionalFormatting>
  <conditionalFormatting sqref="B22">
    <cfRule type="expression" dxfId="4" priority="34" stopIfTrue="1">
      <formula>$AD$5=1</formula>
    </cfRule>
  </conditionalFormatting>
  <conditionalFormatting sqref="B14">
    <cfRule type="expression" dxfId="3" priority="35" stopIfTrue="1">
      <formula>$AK$16</formula>
    </cfRule>
  </conditionalFormatting>
  <conditionalFormatting sqref="F16">
    <cfRule type="expression" dxfId="2" priority="36" stopIfTrue="1">
      <formula>$AD$14</formula>
    </cfRule>
  </conditionalFormatting>
  <conditionalFormatting sqref="D16">
    <cfRule type="expression" dxfId="1" priority="37" stopIfTrue="1">
      <formula>$AK$5</formula>
    </cfRule>
  </conditionalFormatting>
  <conditionalFormatting sqref="H29">
    <cfRule type="expression" dxfId="0" priority="38" stopIfTrue="1">
      <formula>$AG$38=1</formula>
    </cfRule>
  </conditionalFormatting>
  <printOptions horizontalCentered="1" verticalCentered="1"/>
  <pageMargins left="0.5" right="0.5" top="0.5" bottom="0.5" header="0.5" footer="0.5"/>
  <pageSetup paperSize="26" scale="163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18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G29"/>
  <sheetViews>
    <sheetView topLeftCell="A13" workbookViewId="0">
      <selection activeCell="A33" sqref="A33"/>
    </sheetView>
  </sheetViews>
  <sheetFormatPr defaultColWidth="11.5546875" defaultRowHeight="13.2"/>
  <cols>
    <col min="1" max="1" width="22.33203125" customWidth="1"/>
    <col min="2" max="2" width="3.5546875" customWidth="1"/>
    <col min="3" max="3" width="3.33203125" customWidth="1"/>
    <col min="4" max="4" width="24.33203125" customWidth="1"/>
    <col min="5" max="5" width="7.33203125" customWidth="1"/>
  </cols>
  <sheetData>
    <row r="2" spans="1:7" ht="15.6">
      <c r="A2" s="112" t="s">
        <v>306</v>
      </c>
      <c r="F2" s="205" t="s">
        <v>66</v>
      </c>
    </row>
    <row r="3" spans="1:7" ht="31.2">
      <c r="A3" s="198" t="s">
        <v>153</v>
      </c>
      <c r="B3" s="198" t="s">
        <v>154</v>
      </c>
      <c r="C3" s="198" t="s">
        <v>281</v>
      </c>
      <c r="D3" s="198" t="s">
        <v>282</v>
      </c>
      <c r="E3" s="198" t="s">
        <v>230</v>
      </c>
      <c r="F3" s="206" t="s">
        <v>67</v>
      </c>
    </row>
    <row r="4" spans="1:7" ht="15.6">
      <c r="A4" s="199" t="str">
        <f>CONCATENATE("1. ",'CE Curriculum'!A11)</f>
        <v>1. FYW 1050</v>
      </c>
      <c r="B4" s="199" t="str">
        <f>IF('CE Curriculum'!D11=1,"x"," ")</f>
        <v xml:space="preserve"> </v>
      </c>
      <c r="C4" s="199" t="str">
        <f>IF(B4=" ","x","")</f>
        <v>x</v>
      </c>
      <c r="D4" s="200"/>
      <c r="E4" s="199">
        <f>IF(B4="x",'CE Curriculum'!C11,0)</f>
        <v>0</v>
      </c>
      <c r="F4" s="207">
        <v>4</v>
      </c>
    </row>
    <row r="5" spans="1:7" ht="15.6">
      <c r="A5" s="199" t="str">
        <f>CONCATENATE("2. ",'CE Curriculum'!A10)</f>
        <v>2. PHL 1000</v>
      </c>
      <c r="B5" s="199" t="str">
        <f>IF('CE Curriculum'!D10=1,"x"," ")</f>
        <v xml:space="preserve"> </v>
      </c>
      <c r="C5" s="199" t="str">
        <f>IF(B5=" ","x","")</f>
        <v>x</v>
      </c>
      <c r="D5" s="200"/>
      <c r="E5" s="199">
        <f>IF(B5="x",'CE Curriculum'!C10,0)</f>
        <v>0</v>
      </c>
      <c r="F5" s="208">
        <v>4</v>
      </c>
    </row>
    <row r="6" spans="1:7" ht="15.6">
      <c r="A6" s="110" t="s">
        <v>65</v>
      </c>
      <c r="B6" s="199" t="str">
        <f>IF('CE Curriculum'!D9=1,"x"," ")</f>
        <v xml:space="preserve"> </v>
      </c>
      <c r="C6" s="199" t="str">
        <f>IF(B6=" ","x","")</f>
        <v>x</v>
      </c>
      <c r="D6" s="199" t="str">
        <f>IF(B6="x",'CE Curriculum'!B9,"")</f>
        <v/>
      </c>
      <c r="E6" s="199">
        <f>IF(B6="x",'CE Curriculum'!C9,0)</f>
        <v>0</v>
      </c>
      <c r="F6" s="209"/>
      <c r="G6" s="111" t="s">
        <v>328</v>
      </c>
    </row>
    <row r="7" spans="1:7" ht="15.6">
      <c r="A7" s="199" t="str">
        <f>CONCATENATE("4. ",'CE Curriculum'!H28)</f>
        <v>4. Ethics (E)</v>
      </c>
      <c r="B7" s="199" t="str">
        <f>IF('CE Curriculum'!K28=1,"x"," ")</f>
        <v xml:space="preserve"> </v>
      </c>
      <c r="C7" s="199" t="str">
        <f>IF(B7=" ","x","")</f>
        <v>x</v>
      </c>
      <c r="D7" s="199" t="str">
        <f>IF(B7="x",'CE Curriculum'!I28,"")</f>
        <v/>
      </c>
      <c r="E7" s="199">
        <f>IF(B7="x",'CE Curriculum'!J28,0)</f>
        <v>0</v>
      </c>
      <c r="F7" s="208">
        <v>4</v>
      </c>
    </row>
    <row r="9" spans="1:7" ht="16.2" thickBot="1">
      <c r="A9" s="112" t="s">
        <v>229</v>
      </c>
      <c r="F9" s="205" t="s">
        <v>66</v>
      </c>
    </row>
    <row r="10" spans="1:7" ht="31.8" thickBot="1">
      <c r="A10" s="113" t="s">
        <v>153</v>
      </c>
      <c r="B10" s="114" t="s">
        <v>154</v>
      </c>
      <c r="C10" s="114" t="s">
        <v>281</v>
      </c>
      <c r="D10" s="116" t="s">
        <v>282</v>
      </c>
      <c r="E10" s="114" t="s">
        <v>231</v>
      </c>
      <c r="F10" s="206" t="s">
        <v>67</v>
      </c>
    </row>
    <row r="11" spans="1:7" ht="15.6">
      <c r="A11" s="6" t="str">
        <f>CONCATENATE("5. ",'CE Curriculum'!A28)</f>
        <v>5. RTS 1100</v>
      </c>
      <c r="B11" s="208" t="str">
        <f>IF('CE Curriculum'!D28=1,"x"," ")</f>
        <v xml:space="preserve"> </v>
      </c>
      <c r="C11" s="208" t="str">
        <f t="shared" ref="C11:C18" si="0">IF(B11=" ","x","")</f>
        <v>x</v>
      </c>
      <c r="D11" s="211"/>
      <c r="E11" s="208">
        <f>IF(B11="x",'CE Curriculum'!C28,0)</f>
        <v>0</v>
      </c>
      <c r="F11" s="208">
        <v>4</v>
      </c>
    </row>
    <row r="12" spans="1:7" ht="15.6">
      <c r="A12" s="208" t="str">
        <f>CONCATENATE("6. ",'CE Curriculum'!H11)</f>
        <v>6. Arts &amp; Lit (AL)</v>
      </c>
      <c r="B12" s="208" t="str">
        <f>IF('CE Curriculum'!K11=1,"x"," ")</f>
        <v xml:space="preserve"> </v>
      </c>
      <c r="C12" s="208" t="str">
        <f t="shared" si="0"/>
        <v>x</v>
      </c>
      <c r="D12" s="208" t="str">
        <f>IF(B12="x",'CE Curriculum'!I11,"")</f>
        <v/>
      </c>
      <c r="E12" s="208">
        <f>IF(B12="x",'CE Curriculum'!J11,0)</f>
        <v>0</v>
      </c>
      <c r="F12" s="208">
        <v>4</v>
      </c>
    </row>
    <row r="13" spans="1:7" ht="15.6">
      <c r="A13" s="212" t="s">
        <v>68</v>
      </c>
      <c r="B13" s="208" t="str">
        <f>IF('CE Curriculum'!K9=1,"x"," ")</f>
        <v xml:space="preserve"> </v>
      </c>
      <c r="C13" s="208" t="str">
        <f t="shared" si="0"/>
        <v>x</v>
      </c>
      <c r="D13" s="208" t="str">
        <f>IF(B13="x",'CE Curriculum'!I9,"")</f>
        <v/>
      </c>
      <c r="E13" s="208">
        <f>IF(B13="x",'CE Curriculum'!J9,0)</f>
        <v>0</v>
      </c>
      <c r="F13" s="208">
        <v>4</v>
      </c>
      <c r="G13" s="111" t="s">
        <v>330</v>
      </c>
    </row>
    <row r="14" spans="1:7" ht="15.6">
      <c r="A14" s="212" t="str">
        <f>CONCATENATE("8. ",'CE Curriculum'!A29)</f>
        <v>8. Hist. Studies (H)</v>
      </c>
      <c r="B14" s="208" t="str">
        <f>IF('CE Curriculum'!D29=1,"x"," ")</f>
        <v xml:space="preserve"> </v>
      </c>
      <c r="C14" s="208" t="str">
        <f t="shared" si="0"/>
        <v>x</v>
      </c>
      <c r="D14" s="208" t="str">
        <f>IF(B14="x",'CE Curriculum'!B29,"")</f>
        <v/>
      </c>
      <c r="E14" s="208">
        <f>IF(B14="x",'CE Curriculum'!C29,0)</f>
        <v>0</v>
      </c>
      <c r="F14" s="208">
        <v>4</v>
      </c>
    </row>
    <row r="15" spans="1:7" ht="15.6">
      <c r="A15" s="212" t="str">
        <f>CONCATENATE("9. ",'CE Curriculum'!A37)</f>
        <v>9. Soc. Science (SS)</v>
      </c>
      <c r="B15" s="208" t="str">
        <f>IF('CE Curriculum'!D37=1,"x"," ")</f>
        <v xml:space="preserve"> </v>
      </c>
      <c r="C15" s="208" t="str">
        <f t="shared" si="0"/>
        <v>x</v>
      </c>
      <c r="D15" s="208" t="str">
        <f>IF(B15="x",'CE Curriculum'!B37,"")</f>
        <v/>
      </c>
      <c r="E15" s="208">
        <f>IF(B15="x",'CE Curriculum'!C37,0)</f>
        <v>0</v>
      </c>
      <c r="F15" s="208">
        <v>4</v>
      </c>
    </row>
    <row r="16" spans="1:7" ht="15.6">
      <c r="A16" s="212" t="str">
        <f>CONCATENATE("9. ",'CE Curriculum'!H38)</f>
        <v>9. Soc. Science (SS)</v>
      </c>
      <c r="B16" s="208" t="str">
        <f>IF('CE Curriculum'!K38=1,"x"," ")</f>
        <v xml:space="preserve"> </v>
      </c>
      <c r="C16" s="208" t="str">
        <f t="shared" si="0"/>
        <v>x</v>
      </c>
      <c r="D16" s="208" t="str">
        <f>IF(B16="x",'CE Curriculum'!I38,"")</f>
        <v/>
      </c>
      <c r="E16" s="208">
        <f>IF(B16="x",'CE Curriculum'!J38,0)</f>
        <v>0</v>
      </c>
      <c r="F16" s="208">
        <v>4</v>
      </c>
    </row>
    <row r="17" spans="1:7" ht="15.6">
      <c r="A17" s="212" t="s">
        <v>142</v>
      </c>
      <c r="B17" s="208" t="str">
        <f>IF('CE Curriculum'!D9=1,"x"," ")</f>
        <v xml:space="preserve"> </v>
      </c>
      <c r="C17" s="208" t="str">
        <f t="shared" si="0"/>
        <v>x</v>
      </c>
      <c r="D17" s="208" t="str">
        <f>IF(B17="x",'CE Curriculum'!B9,"")</f>
        <v/>
      </c>
      <c r="E17" s="208" t="str">
        <f>IF('CE Curriculum'!C9=1,"x"," ")</f>
        <v xml:space="preserve"> </v>
      </c>
      <c r="F17" s="208">
        <v>4</v>
      </c>
      <c r="G17" s="111" t="s">
        <v>328</v>
      </c>
    </row>
    <row r="18" spans="1:7" ht="15.6">
      <c r="A18" s="212" t="s">
        <v>142</v>
      </c>
      <c r="B18" s="208" t="str">
        <f>IF('CE Curriculum'!K10=1,"x"," ")</f>
        <v xml:space="preserve"> </v>
      </c>
      <c r="C18" s="208" t="str">
        <f t="shared" si="0"/>
        <v>x</v>
      </c>
      <c r="D18" s="208" t="str">
        <f>IF(B18="x",'CE Curriculum'!I10,"")</f>
        <v/>
      </c>
      <c r="E18" s="208" t="str">
        <f>IF('CE Curriculum'!J10=1,"x"," ")</f>
        <v xml:space="preserve"> </v>
      </c>
      <c r="F18" s="208">
        <v>4</v>
      </c>
      <c r="G18" s="111" t="s">
        <v>329</v>
      </c>
    </row>
    <row r="19" spans="1:7" ht="15.6">
      <c r="A19" s="212" t="s">
        <v>143</v>
      </c>
      <c r="B19" s="208" t="str">
        <f>IF('CE Curriculum'!H41=1,"x"," ")</f>
        <v xml:space="preserve"> </v>
      </c>
      <c r="C19" s="208" t="str">
        <f>IF(B19=" ","x","")</f>
        <v>x</v>
      </c>
      <c r="D19" s="208" t="str">
        <f>IF('CE Curriculum'!I41=1,"x"," ")</f>
        <v xml:space="preserve"> </v>
      </c>
      <c r="E19" s="213"/>
      <c r="F19" s="214"/>
    </row>
    <row r="20" spans="1:7" ht="15.6">
      <c r="B20" s="204"/>
      <c r="C20" s="204"/>
      <c r="D20" s="204"/>
    </row>
    <row r="21" spans="1:7" ht="15.6">
      <c r="A21" s="215" t="s">
        <v>105</v>
      </c>
      <c r="B21" s="6"/>
      <c r="C21" s="6"/>
      <c r="D21" s="6"/>
      <c r="E21" s="6"/>
    </row>
    <row r="22" spans="1:7" ht="15.6">
      <c r="A22" s="212" t="s">
        <v>236</v>
      </c>
      <c r="B22" s="208" t="str">
        <f>IF('CE Curriculum'!D8=1,"x"," ")</f>
        <v xml:space="preserve"> </v>
      </c>
      <c r="C22" s="208" t="str">
        <f>IF(B22=" ","x","")</f>
        <v>x</v>
      </c>
      <c r="D22" s="208" t="str">
        <f>IF(B22="x",'CE Curriculum'!B8,"")</f>
        <v/>
      </c>
      <c r="E22" s="211"/>
      <c r="F22" s="111"/>
      <c r="G22" s="111" t="s">
        <v>326</v>
      </c>
    </row>
    <row r="23" spans="1:7" ht="15.6">
      <c r="A23" s="212" t="s">
        <v>237</v>
      </c>
      <c r="B23" s="208" t="str">
        <f>IF('CE Curriculum'!K34=1,"x"," ")</f>
        <v xml:space="preserve"> </v>
      </c>
      <c r="C23" s="208" t="str">
        <f>IF(B23=" ","x","")</f>
        <v>x</v>
      </c>
      <c r="D23" s="208" t="str">
        <f>IF(B23="x",'CE Curriculum'!I34,"")</f>
        <v/>
      </c>
      <c r="E23" s="211"/>
      <c r="F23" s="111"/>
      <c r="G23" s="111" t="s">
        <v>327</v>
      </c>
    </row>
    <row r="25" spans="1:7" ht="15.6">
      <c r="A25" t="s">
        <v>235</v>
      </c>
      <c r="B25" s="199" t="str">
        <f>IF('CE Curriculum'!H40=1,"x"," ")</f>
        <v xml:space="preserve"> </v>
      </c>
      <c r="C25" s="199" t="str">
        <f>IF(B25=" ","x","")</f>
        <v>x</v>
      </c>
      <c r="D25" s="201"/>
    </row>
    <row r="27" spans="1:7">
      <c r="A27" t="s">
        <v>141</v>
      </c>
    </row>
    <row r="29" spans="1:7" ht="15.6">
      <c r="D29" s="216" t="s">
        <v>106</v>
      </c>
      <c r="E29" s="217">
        <f>SUM(E5:E8,E13:E20)</f>
        <v>0</v>
      </c>
      <c r="F29" s="217">
        <f>SUM(F4:F8,F11:F20)</f>
        <v>44</v>
      </c>
    </row>
  </sheetData>
  <phoneticPr fontId="9" type="noConversion"/>
  <pageMargins left="0.75" right="0.75" top="1" bottom="1" header="0.5" footer="0.5"/>
  <pageSetup paperSize="0" scale="71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02"/>
  <sheetViews>
    <sheetView topLeftCell="D43" workbookViewId="0"/>
  </sheetViews>
  <sheetFormatPr defaultColWidth="11.5546875" defaultRowHeight="13.2"/>
  <cols>
    <col min="2" max="2" width="20.109375" customWidth="1"/>
    <col min="3" max="3" width="12.33203125" customWidth="1"/>
    <col min="7" max="7" width="25.88671875" customWidth="1"/>
    <col min="14" max="14" width="16.109375" customWidth="1"/>
    <col min="22" max="22" width="15.109375" customWidth="1"/>
  </cols>
  <sheetData>
    <row r="2" spans="2:7" ht="18" thickBot="1">
      <c r="B2" s="118" t="s">
        <v>174</v>
      </c>
    </row>
    <row r="3" spans="2:7" ht="16.2" thickBot="1">
      <c r="B3" s="119" t="s">
        <v>175</v>
      </c>
      <c r="C3" s="323" t="s">
        <v>57</v>
      </c>
      <c r="D3" s="324"/>
      <c r="E3" s="325"/>
    </row>
    <row r="4" spans="2:7" ht="15.6">
      <c r="B4" s="120" t="s">
        <v>58</v>
      </c>
      <c r="C4" s="121" t="s">
        <v>59</v>
      </c>
      <c r="D4" s="121" t="s">
        <v>60</v>
      </c>
      <c r="E4" s="121"/>
    </row>
    <row r="5" spans="2:7" ht="31.8" thickBot="1">
      <c r="B5" s="122"/>
      <c r="C5" s="123" t="s">
        <v>153</v>
      </c>
      <c r="D5" s="123" t="s">
        <v>227</v>
      </c>
      <c r="E5" s="123" t="s">
        <v>228</v>
      </c>
      <c r="F5" s="177" t="s">
        <v>134</v>
      </c>
    </row>
    <row r="6" spans="2:7" ht="47.4" thickBot="1">
      <c r="B6" s="124" t="s">
        <v>110</v>
      </c>
      <c r="C6" s="123" t="s">
        <v>116</v>
      </c>
      <c r="D6" s="123">
        <v>32</v>
      </c>
      <c r="E6" s="123">
        <f>H56</f>
        <v>38</v>
      </c>
      <c r="F6">
        <f>I56</f>
        <v>0</v>
      </c>
    </row>
    <row r="7" spans="2:7" ht="31.8" thickBot="1">
      <c r="B7" s="124" t="s">
        <v>117</v>
      </c>
      <c r="C7" s="123" t="s">
        <v>122</v>
      </c>
      <c r="D7" s="123">
        <f>32*1.5</f>
        <v>48</v>
      </c>
      <c r="E7" s="123">
        <f>H75</f>
        <v>58</v>
      </c>
      <c r="F7">
        <f>I75</f>
        <v>0</v>
      </c>
    </row>
    <row r="8" spans="2:7" ht="31.8" thickBot="1">
      <c r="B8" s="124" t="s">
        <v>50</v>
      </c>
      <c r="C8" s="123" t="s">
        <v>51</v>
      </c>
      <c r="D8" s="123">
        <v>44</v>
      </c>
      <c r="E8" s="123">
        <f>H94</f>
        <v>44</v>
      </c>
      <c r="F8">
        <f>I94</f>
        <v>0</v>
      </c>
      <c r="G8" t="s">
        <v>135</v>
      </c>
    </row>
    <row r="9" spans="2:7" ht="30" customHeight="1" thickBot="1">
      <c r="B9" s="312" t="s">
        <v>256</v>
      </c>
      <c r="C9" s="326"/>
      <c r="D9" s="326"/>
      <c r="E9" s="313"/>
    </row>
    <row r="10" spans="2:7" ht="16.2" thickBot="1">
      <c r="B10" s="115"/>
      <c r="C10" s="117"/>
      <c r="D10" s="117"/>
      <c r="E10" s="117"/>
    </row>
    <row r="11" spans="2:7" ht="16.2" thickBot="1">
      <c r="B11" s="115"/>
      <c r="C11" s="117"/>
      <c r="D11" s="117"/>
      <c r="E11" s="117"/>
    </row>
    <row r="12" spans="2:7" ht="16.2" thickBot="1">
      <c r="B12" s="115"/>
      <c r="C12" s="117"/>
      <c r="D12" s="117"/>
      <c r="E12" s="117"/>
    </row>
    <row r="13" spans="2:7" ht="16.2" thickBot="1">
      <c r="B13" s="115"/>
      <c r="C13" s="117"/>
      <c r="D13" s="117"/>
      <c r="E13" s="117"/>
    </row>
    <row r="14" spans="2:7" ht="16.2" thickBot="1">
      <c r="B14" s="115"/>
      <c r="C14" s="117"/>
      <c r="D14" s="117"/>
      <c r="E14" s="117"/>
    </row>
    <row r="16" spans="2:7">
      <c r="B16" t="s">
        <v>200</v>
      </c>
      <c r="C16" t="e">
        <f t="array" ref="C16">SUMPRODUCT(I59:I74,J59:J74)/I75</f>
        <v>#DIV/0!</v>
      </c>
      <c r="D16" t="e">
        <f>VLOOKUP(C16,L32:M43,2)</f>
        <v>#DIV/0!</v>
      </c>
    </row>
    <row r="17" spans="2:15">
      <c r="B17" t="s">
        <v>224</v>
      </c>
      <c r="C17" t="e">
        <f t="array" ref="C17">(SUMPRODUCT(I44:I54,J44:J54)+SUMPRODUCT(I59:I74,J59:J74)+SUMPRODUCT(I78:I86,J78:J86)+SUMPRODUCT(I85:I107,J85:J107)+I97*J97)/(I56+I75+I94+I97)</f>
        <v>#DIV/0!</v>
      </c>
      <c r="D17" t="e">
        <f>VLOOKUP(C17,L33:M44,2)</f>
        <v>#DIV/0!</v>
      </c>
    </row>
    <row r="18" spans="2:15">
      <c r="B18" t="s">
        <v>199</v>
      </c>
      <c r="C18" t="e">
        <f t="array" ref="C18">(SUMPRODUCT(I44:I48,J44:J48)+SUMPRODUCT(I50:I54,J50:J54))/I56</f>
        <v>#DIV/0!</v>
      </c>
      <c r="D18" t="e">
        <f>VLOOKUP(C18,L34:M45,2)</f>
        <v>#DIV/0!</v>
      </c>
      <c r="K18" s="194" t="s">
        <v>104</v>
      </c>
      <c r="L18">
        <v>4</v>
      </c>
    </row>
    <row r="19" spans="2:15">
      <c r="B19" t="s">
        <v>201</v>
      </c>
      <c r="C19" t="e">
        <f t="array" ref="C19">(SUMPRODUCT(I78:I86,J78:J86)+SUMPRODUCT(I85:I107,J85:J107))/I94</f>
        <v>#DIV/0!</v>
      </c>
      <c r="D19" t="e">
        <f>VLOOKUP(C19,L35:M46,2)</f>
        <v>#DIV/0!</v>
      </c>
      <c r="K19" s="194" t="s">
        <v>103</v>
      </c>
      <c r="L19">
        <v>3.7</v>
      </c>
    </row>
    <row r="20" spans="2:15">
      <c r="K20" s="194" t="s">
        <v>101</v>
      </c>
      <c r="L20">
        <v>3</v>
      </c>
    </row>
    <row r="21" spans="2:15">
      <c r="K21" s="194" t="s">
        <v>100</v>
      </c>
      <c r="L21">
        <v>2.7</v>
      </c>
      <c r="N21" t="s">
        <v>118</v>
      </c>
      <c r="O21">
        <v>0</v>
      </c>
    </row>
    <row r="22" spans="2:15">
      <c r="K22" s="194" t="s">
        <v>102</v>
      </c>
      <c r="L22">
        <v>3.3</v>
      </c>
      <c r="N22" t="s">
        <v>118</v>
      </c>
      <c r="O22">
        <v>16</v>
      </c>
    </row>
    <row r="23" spans="2:15">
      <c r="K23" s="194" t="s">
        <v>98</v>
      </c>
      <c r="L23">
        <v>2</v>
      </c>
      <c r="N23" t="s">
        <v>118</v>
      </c>
      <c r="O23">
        <v>0</v>
      </c>
    </row>
    <row r="24" spans="2:15">
      <c r="K24" s="194" t="s">
        <v>97</v>
      </c>
      <c r="L24">
        <v>1.7</v>
      </c>
      <c r="N24" t="s">
        <v>118</v>
      </c>
      <c r="O24">
        <v>0</v>
      </c>
    </row>
    <row r="25" spans="2:15">
      <c r="K25" s="194" t="s">
        <v>99</v>
      </c>
      <c r="L25">
        <v>2.2999999999999998</v>
      </c>
    </row>
    <row r="26" spans="2:15">
      <c r="K26" s="194" t="s">
        <v>95</v>
      </c>
      <c r="L26">
        <v>1</v>
      </c>
    </row>
    <row r="27" spans="2:15">
      <c r="K27" s="194" t="s">
        <v>94</v>
      </c>
      <c r="L27">
        <v>0.7</v>
      </c>
    </row>
    <row r="28" spans="2:15">
      <c r="K28" s="194" t="s">
        <v>96</v>
      </c>
      <c r="L28">
        <v>1.3</v>
      </c>
    </row>
    <row r="29" spans="2:15">
      <c r="K29" s="194" t="s">
        <v>93</v>
      </c>
      <c r="L29">
        <v>0</v>
      </c>
      <c r="N29" t="str">
        <f>CONCATENATE('CE Curriculum'!H20," ",'CE Curriculum'!I20)</f>
        <v xml:space="preserve"> </v>
      </c>
      <c r="O29">
        <f>'CE Curriculum'!J20</f>
        <v>0</v>
      </c>
    </row>
    <row r="30" spans="2:15">
      <c r="N30" t="str">
        <f>CONCATENATE('CE Curriculum'!H21," ",'CE Curriculum'!I21)</f>
        <v xml:space="preserve"> </v>
      </c>
      <c r="O30">
        <f>'CE Curriculum'!J21</f>
        <v>0</v>
      </c>
    </row>
    <row r="31" spans="2:15">
      <c r="N31" t="str">
        <f>CONCATENATE('CE Curriculum'!H22," ",'CE Curriculum'!I22)</f>
        <v xml:space="preserve"> </v>
      </c>
      <c r="O31">
        <f>'CE Curriculum'!J22</f>
        <v>16</v>
      </c>
    </row>
    <row r="32" spans="2:15">
      <c r="L32">
        <v>0</v>
      </c>
      <c r="M32" s="194" t="s">
        <v>93</v>
      </c>
      <c r="O32">
        <f>'CE Curriculum'!J23</f>
        <v>0</v>
      </c>
    </row>
    <row r="33" spans="7:31">
      <c r="L33">
        <v>1.3</v>
      </c>
      <c r="M33" s="194" t="s">
        <v>96</v>
      </c>
      <c r="O33">
        <f>'CE Curriculum'!J24</f>
        <v>0</v>
      </c>
    </row>
    <row r="34" spans="7:31">
      <c r="L34">
        <v>0.7</v>
      </c>
      <c r="M34" s="194" t="s">
        <v>94</v>
      </c>
    </row>
    <row r="35" spans="7:31">
      <c r="L35">
        <v>1</v>
      </c>
      <c r="M35" s="194" t="s">
        <v>95</v>
      </c>
    </row>
    <row r="36" spans="7:31">
      <c r="L36">
        <v>2.2999999999999998</v>
      </c>
      <c r="M36" s="194" t="s">
        <v>99</v>
      </c>
      <c r="V36" t="s">
        <v>162</v>
      </c>
      <c r="AC36" s="165"/>
      <c r="AD36" s="165"/>
      <c r="AE36" s="165"/>
    </row>
    <row r="37" spans="7:31" ht="13.8" thickBot="1">
      <c r="L37">
        <v>1.7</v>
      </c>
      <c r="M37" s="194" t="s">
        <v>97</v>
      </c>
      <c r="AC37" s="165"/>
      <c r="AD37" s="165"/>
      <c r="AE37" s="165"/>
    </row>
    <row r="38" spans="7:31" ht="16.8" thickTop="1" thickBot="1">
      <c r="L38">
        <v>2</v>
      </c>
      <c r="M38" s="194" t="s">
        <v>98</v>
      </c>
      <c r="V38" s="132" t="s">
        <v>52</v>
      </c>
      <c r="W38" s="327"/>
      <c r="X38" s="328"/>
      <c r="Y38" s="310" t="s">
        <v>55</v>
      </c>
      <c r="Z38" s="311"/>
      <c r="AA38" s="311"/>
      <c r="AB38" s="311"/>
      <c r="AC38" s="167"/>
      <c r="AD38" s="166"/>
      <c r="AE38" s="165"/>
    </row>
    <row r="39" spans="7:31" ht="15.6">
      <c r="L39">
        <v>3.3</v>
      </c>
      <c r="M39" s="194" t="s">
        <v>102</v>
      </c>
      <c r="O39">
        <f>'CE Curriculum'!J30</f>
        <v>0</v>
      </c>
      <c r="V39" s="133" t="s">
        <v>53</v>
      </c>
      <c r="W39" s="319"/>
      <c r="X39" s="329"/>
      <c r="Y39" s="314" t="s">
        <v>61</v>
      </c>
      <c r="Z39" s="314" t="s">
        <v>163</v>
      </c>
      <c r="AA39" s="314" t="s">
        <v>50</v>
      </c>
      <c r="AB39" s="164" t="s">
        <v>62</v>
      </c>
      <c r="AC39" s="133"/>
      <c r="AD39" s="149"/>
      <c r="AE39" s="165"/>
    </row>
    <row r="40" spans="7:31" ht="15.6">
      <c r="L40">
        <v>2.7</v>
      </c>
      <c r="M40" s="194" t="s">
        <v>100</v>
      </c>
      <c r="O40">
        <f>'CE Curriculum'!J31</f>
        <v>17</v>
      </c>
      <c r="V40" s="133" t="s">
        <v>54</v>
      </c>
      <c r="W40" s="319" t="s">
        <v>63</v>
      </c>
      <c r="X40" s="329"/>
      <c r="Y40" s="315"/>
      <c r="Z40" s="317"/>
      <c r="AA40" s="315"/>
      <c r="AB40" s="319"/>
      <c r="AC40" s="133"/>
      <c r="AD40" s="168"/>
      <c r="AE40" s="165"/>
    </row>
    <row r="41" spans="7:31" ht="52.95" customHeight="1" thickBot="1">
      <c r="G41" t="s">
        <v>257</v>
      </c>
      <c r="L41">
        <v>3</v>
      </c>
      <c r="M41" s="194" t="s">
        <v>101</v>
      </c>
      <c r="O41">
        <f>'CE Curriculum'!J32</f>
        <v>0</v>
      </c>
      <c r="V41" s="131"/>
      <c r="W41" s="320" t="s">
        <v>64</v>
      </c>
      <c r="X41" s="330"/>
      <c r="Y41" s="316"/>
      <c r="Z41" s="318"/>
      <c r="AA41" s="316"/>
      <c r="AB41" s="320"/>
      <c r="AC41" s="131"/>
      <c r="AD41" s="168"/>
      <c r="AE41" s="165"/>
    </row>
    <row r="42" spans="7:31" ht="16.8" thickTop="1" thickBot="1">
      <c r="G42" s="6"/>
      <c r="H42" s="224" t="s">
        <v>337</v>
      </c>
      <c r="I42" s="224" t="s">
        <v>338</v>
      </c>
      <c r="J42" s="6"/>
      <c r="L42">
        <v>3.7</v>
      </c>
      <c r="M42" s="194" t="s">
        <v>103</v>
      </c>
      <c r="O42">
        <f>'CE Curriculum'!J33</f>
        <v>0</v>
      </c>
      <c r="V42" s="146" t="s">
        <v>73</v>
      </c>
      <c r="W42" s="321" t="str">
        <f>G59</f>
        <v>GEN 1001 Intro. to Eng.</v>
      </c>
      <c r="X42" s="322"/>
      <c r="Y42" s="155"/>
      <c r="Z42" s="154">
        <f>H59</f>
        <v>4</v>
      </c>
      <c r="AA42" s="154"/>
      <c r="AB42" s="154"/>
      <c r="AC42" s="156"/>
      <c r="AD42" s="149"/>
      <c r="AE42" s="165"/>
    </row>
    <row r="43" spans="7:31" ht="16.2" thickBot="1">
      <c r="G43" s="217" t="s">
        <v>348</v>
      </c>
      <c r="H43" s="224" t="s">
        <v>339</v>
      </c>
      <c r="I43" s="224" t="s">
        <v>340</v>
      </c>
      <c r="J43" s="224" t="s">
        <v>0</v>
      </c>
      <c r="L43">
        <v>4</v>
      </c>
      <c r="M43" s="194" t="s">
        <v>104</v>
      </c>
      <c r="V43" s="147" t="s">
        <v>73</v>
      </c>
      <c r="W43" s="312" t="str">
        <f>G44</f>
        <v>MTH 1217 Calculus I</v>
      </c>
      <c r="X43" s="313"/>
      <c r="Y43" s="164">
        <f>H44</f>
        <v>4</v>
      </c>
      <c r="Z43" s="164"/>
      <c r="AA43" s="164"/>
      <c r="AB43" s="164"/>
      <c r="AC43" s="131"/>
      <c r="AD43" s="168"/>
      <c r="AE43" s="165"/>
    </row>
    <row r="44" spans="7:31" ht="16.2" thickBot="1">
      <c r="G44" s="212" t="str">
        <f>CONCATENATE('CE Curriculum'!A9," ",'CE Curriculum'!B9)</f>
        <v>MTH 1217 Calculus I</v>
      </c>
      <c r="H44" s="212">
        <f>'CE Curriculum'!C9</f>
        <v>4</v>
      </c>
      <c r="I44" s="227">
        <f>IF('CE Curriculum'!D9=1,H44,0)</f>
        <v>0</v>
      </c>
      <c r="J44" s="212">
        <f>IFERROR(VLOOKUP('CE Curriculum'!E9,K18:L29,2),0.001)</f>
        <v>1E-3</v>
      </c>
      <c r="V44" s="147" t="s">
        <v>73</v>
      </c>
      <c r="W44" s="312" t="str">
        <f>G50</f>
        <v>Science* Elective (course here)</v>
      </c>
      <c r="X44" s="313"/>
      <c r="Y44" s="164">
        <f>H50</f>
        <v>4</v>
      </c>
      <c r="Z44" s="164"/>
      <c r="AA44" s="164"/>
      <c r="AB44" s="164"/>
      <c r="AC44" s="131"/>
      <c r="AD44" s="168"/>
      <c r="AE44" s="165"/>
    </row>
    <row r="45" spans="7:31" ht="16.2" thickBot="1">
      <c r="G45" s="212" t="str">
        <f>CONCATENATE('CE Curriculum'!H9," ",'CE Curriculum'!I9)</f>
        <v>MTH 1218 Calculus II</v>
      </c>
      <c r="H45" s="212">
        <f>'CE Curriculum'!J9</f>
        <v>4</v>
      </c>
      <c r="I45" s="227">
        <f>IF('CE Curriculum'!K9=1,H45,0)</f>
        <v>0</v>
      </c>
      <c r="J45" s="212">
        <f>IFERROR(VLOOKUP('CE Curriculum'!L9,K18:L29,2),0.001)</f>
        <v>1E-3</v>
      </c>
      <c r="V45" s="147" t="s">
        <v>73</v>
      </c>
      <c r="W45" s="312" t="str">
        <f>G78</f>
        <v>FYW 1050 College Writing</v>
      </c>
      <c r="X45" s="313"/>
      <c r="Y45" s="164"/>
      <c r="Z45" s="164"/>
      <c r="AA45" s="164">
        <f>H78</f>
        <v>4</v>
      </c>
      <c r="AB45" s="145"/>
      <c r="AC45" s="131"/>
      <c r="AD45" s="168"/>
    </row>
    <row r="46" spans="7:31" ht="31.8" thickBot="1">
      <c r="G46" s="212" t="str">
        <f>CONCATENATE('CE Curriculum'!A18," ",'CE Curriculum'!B18)</f>
        <v>MTH 2219 Calculus III</v>
      </c>
      <c r="H46" s="212">
        <f>'CE Curriculum'!C18</f>
        <v>4</v>
      </c>
      <c r="I46" s="227">
        <f>IF('CE Curriculum'!D18=1,H46,0)</f>
        <v>0</v>
      </c>
      <c r="J46" s="212">
        <f>IFERROR(VLOOKUP('CE Curriculum'!E18,K18:L29,2),0.001)</f>
        <v>1E-3</v>
      </c>
      <c r="V46" s="147" t="s">
        <v>316</v>
      </c>
      <c r="W46" s="312" t="str">
        <f>G48</f>
        <v>MTH 1505 Applied Statistics</v>
      </c>
      <c r="X46" s="313"/>
      <c r="Y46" s="164">
        <f>H48</f>
        <v>4</v>
      </c>
      <c r="Z46" s="164"/>
      <c r="AA46" s="164"/>
      <c r="AB46" s="145"/>
      <c r="AC46" s="131"/>
      <c r="AD46" s="168"/>
    </row>
    <row r="47" spans="7:31" ht="31.8" thickBot="1">
      <c r="G47" s="212" t="str">
        <f>CONCATENATE('CE Curriculum'!H17," ",'CE Curriculum'!I17)</f>
        <v>MTH 2220 Diff. Equations</v>
      </c>
      <c r="H47" s="212">
        <f>'CE Curriculum'!J17</f>
        <v>4</v>
      </c>
      <c r="I47" s="227">
        <f>IF('CE Curriculum'!K17=1,H47,0)</f>
        <v>0</v>
      </c>
      <c r="J47" s="212">
        <f>IFERROR(VLOOKUP('CE Curriculum'!L17,K18:L29,2),0.001)</f>
        <v>1E-3</v>
      </c>
      <c r="V47" s="147" t="s">
        <v>316</v>
      </c>
      <c r="W47" s="312" t="str">
        <f>G45</f>
        <v>MTH 1218 Calculus II</v>
      </c>
      <c r="X47" s="313"/>
      <c r="Y47" s="164">
        <f>H45</f>
        <v>4</v>
      </c>
      <c r="Z47" s="164"/>
      <c r="AA47" s="164"/>
      <c r="AB47" s="145"/>
      <c r="AC47" s="131"/>
      <c r="AD47" s="168"/>
    </row>
    <row r="48" spans="7:31" ht="31.8" thickBot="1">
      <c r="G48" s="212" t="str">
        <f>CONCATENATE('CE Curriculum'!H8," ",'CE Curriculum'!I8)</f>
        <v>MTH 1505 Applied Statistics</v>
      </c>
      <c r="H48" s="212">
        <f>'CE Curriculum'!J8</f>
        <v>4</v>
      </c>
      <c r="I48" s="227">
        <f>IF('CE Curriculum'!K8=1,H48,0)</f>
        <v>0</v>
      </c>
      <c r="J48" s="212">
        <f>IFERROR(VLOOKUP('CE Curriculum'!L8,K18:L29,2),0.001)</f>
        <v>1E-3</v>
      </c>
      <c r="N48" t="str">
        <f>CONCATENATE('CE Curriculum'!H39," ",'CE Curriculum'!I39)</f>
        <v xml:space="preserve"> </v>
      </c>
      <c r="O48">
        <f>'CE Curriculum'!J39</f>
        <v>0</v>
      </c>
      <c r="V48" s="147" t="s">
        <v>316</v>
      </c>
      <c r="W48" s="312" t="str">
        <f>G51</f>
        <v>PHY 2211 Physics I</v>
      </c>
      <c r="X48" s="313"/>
      <c r="Y48" s="164">
        <f>H51</f>
        <v>4</v>
      </c>
      <c r="Z48" s="164"/>
      <c r="AA48" s="164"/>
      <c r="AB48" s="145"/>
      <c r="AC48" s="131"/>
      <c r="AD48" s="168"/>
    </row>
    <row r="49" spans="7:30" ht="32.4" thickBot="1">
      <c r="G49" s="223" t="s">
        <v>349</v>
      </c>
      <c r="H49" s="225">
        <f>SUM(H44:H48)</f>
        <v>20</v>
      </c>
      <c r="I49" s="225">
        <f>SUM(I44:I48)</f>
        <v>0</v>
      </c>
      <c r="J49" s="212">
        <f>AVERAGE(J44:J48)</f>
        <v>1E-3</v>
      </c>
      <c r="N49" t="str">
        <f>CONCATENATE('CE Curriculum'!H40," ",'CE Curriculum'!I40)</f>
        <v xml:space="preserve"> </v>
      </c>
      <c r="O49">
        <f>'CE Curriculum'!J40</f>
        <v>0</v>
      </c>
      <c r="V49" s="147" t="s">
        <v>316</v>
      </c>
      <c r="W49" s="291" t="str">
        <f>G86</f>
        <v>Arts &amp; Lit (AL) Elective (course here)</v>
      </c>
      <c r="X49" s="293"/>
      <c r="Y49" s="137"/>
      <c r="Z49" s="137"/>
      <c r="AA49" s="137">
        <f>H86</f>
        <v>4</v>
      </c>
      <c r="AB49" s="169"/>
      <c r="AC49" s="131"/>
      <c r="AD49" s="168"/>
    </row>
    <row r="50" spans="7:30" ht="31.8" thickBot="1">
      <c r="G50" s="212" t="str">
        <f>CONCATENATE('CE Curriculum'!H29," ",'CE Curriculum'!I29)</f>
        <v>Science* Elective (course here)</v>
      </c>
      <c r="H50" s="212">
        <f>'CE Curriculum'!J29</f>
        <v>4</v>
      </c>
      <c r="I50" s="227">
        <f>IF('CE Curriculum'!D10=1,H50,0)</f>
        <v>0</v>
      </c>
      <c r="J50" s="212">
        <f>IFERROR(VLOOKUP('CE Curriculum'!E10,K18:L29,2),0.001)</f>
        <v>1E-3</v>
      </c>
      <c r="N50" t="str">
        <f>CONCATENATE('CE Curriculum'!H41," ",'CE Curriculum'!I41)</f>
        <v xml:space="preserve"> Course used?</v>
      </c>
      <c r="O50">
        <f>'CE Curriculum'!J41</f>
        <v>0</v>
      </c>
      <c r="V50" s="148" t="s">
        <v>317</v>
      </c>
      <c r="W50" s="291" t="str">
        <f>G60</f>
        <v>GEN2010 Mechanics I</v>
      </c>
      <c r="X50" s="293"/>
      <c r="Y50" s="137"/>
      <c r="Z50" s="137">
        <f>H60</f>
        <v>4</v>
      </c>
      <c r="AA50" s="137"/>
      <c r="AB50" s="169"/>
      <c r="AC50" s="131"/>
      <c r="AD50" s="168"/>
    </row>
    <row r="51" spans="7:30" ht="31.8" thickBot="1">
      <c r="G51" s="212" t="str">
        <f>CONCATENATE('CE Curriculum'!H10," ",'CE Curriculum'!I10)</f>
        <v>PHY 2211 Physics I</v>
      </c>
      <c r="H51" s="212">
        <f>'CE Curriculum'!J10</f>
        <v>4</v>
      </c>
      <c r="I51" s="227">
        <f>IF('CE Curriculum'!K10=1,H51,0)</f>
        <v>0</v>
      </c>
      <c r="J51" s="212">
        <f>IFERROR(VLOOKUP('CE Curriculum'!L10,K18:L29,2),0.001)</f>
        <v>1E-3</v>
      </c>
      <c r="N51" t="str">
        <f>CONCATENATE('CE Curriculum'!H42," ",'CE Curriculum'!I42)</f>
        <v xml:space="preserve"> </v>
      </c>
      <c r="O51">
        <f>'CE Curriculum'!J42</f>
        <v>17</v>
      </c>
      <c r="V51" s="148" t="s">
        <v>317</v>
      </c>
      <c r="W51" s="291" t="str">
        <f>G52</f>
        <v>PHY 2212 Physics II</v>
      </c>
      <c r="X51" s="293"/>
      <c r="Y51" s="137">
        <f>H52</f>
        <v>4</v>
      </c>
      <c r="Z51" s="137"/>
      <c r="AA51" s="137"/>
      <c r="AB51" s="169"/>
      <c r="AC51" s="131"/>
      <c r="AD51" s="168"/>
    </row>
    <row r="52" spans="7:30" ht="31.8" thickBot="1">
      <c r="G52" s="212" t="str">
        <f>CONCATENATE('CE Curriculum'!A17," ",'CE Curriculum'!B17)</f>
        <v>PHY 2212 Physics II</v>
      </c>
      <c r="H52" s="212">
        <f>'CE Curriculum'!C17</f>
        <v>4</v>
      </c>
      <c r="I52" s="227">
        <f>IF('CE Curriculum'!D17=1,H52,0)</f>
        <v>0</v>
      </c>
      <c r="J52" s="212">
        <f>IFERROR(VLOOKUP('CE Curriculum'!E17,K18:L29,2),0.001)</f>
        <v>1E-3</v>
      </c>
      <c r="V52" s="148" t="s">
        <v>317</v>
      </c>
      <c r="W52" s="291" t="str">
        <f>G46</f>
        <v>MTH 2219 Calculus III</v>
      </c>
      <c r="X52" s="293"/>
      <c r="Y52" s="137">
        <f>H46</f>
        <v>4</v>
      </c>
      <c r="Z52" s="137"/>
      <c r="AA52" s="137"/>
      <c r="AB52" s="169"/>
      <c r="AC52" s="131"/>
      <c r="AD52" s="168"/>
    </row>
    <row r="53" spans="7:30" ht="31.8" thickBot="1">
      <c r="G53" s="212" t="str">
        <f>CONCATENATE('CE Curriculum'!H19," ",'CE Curriculum'!I19)</f>
        <v>CHM 1180 Engineering Chemistry</v>
      </c>
      <c r="H53" s="212">
        <f>'CE Curriculum'!J19</f>
        <v>4</v>
      </c>
      <c r="I53" s="227">
        <f>IF('CE Curriculum'!K19=1,H52,0)</f>
        <v>0</v>
      </c>
      <c r="J53" s="212">
        <f>IFERROR(VLOOKUP('CE Curriculum'!L19,K18:L29,2),0.001)</f>
        <v>1E-3</v>
      </c>
      <c r="V53" s="148" t="s">
        <v>317</v>
      </c>
      <c r="W53" s="291" t="str">
        <f>G62</f>
        <v>CEN 2001 CE Site Design</v>
      </c>
      <c r="X53" s="293"/>
      <c r="Y53" s="137"/>
      <c r="Z53" s="137">
        <f>H62</f>
        <v>4</v>
      </c>
      <c r="AA53" s="137"/>
      <c r="AB53" s="169"/>
      <c r="AC53" s="131"/>
      <c r="AD53" s="168" t="s">
        <v>291</v>
      </c>
    </row>
    <row r="54" spans="7:30" ht="31.8" thickBot="1">
      <c r="G54" s="212" t="str">
        <f>CONCATENATE('CE Curriculum'!A27," ",'CE Curriculum'!B27)</f>
        <v>PHY 2213 Thermodynamics</v>
      </c>
      <c r="H54" s="212">
        <f>'CE Curriculum'!C27</f>
        <v>2</v>
      </c>
      <c r="I54" s="227">
        <f>IF('CE Curriculum'!D27=1,H54,0)</f>
        <v>0</v>
      </c>
      <c r="J54" s="212">
        <f>IFERROR(VLOOKUP('CE Curriculum'!E27,K18:L29,2),0.001)</f>
        <v>1E-3</v>
      </c>
      <c r="V54" s="148" t="s">
        <v>285</v>
      </c>
      <c r="W54" s="291" t="str">
        <f>G61</f>
        <v>GEN2012 Mechanics II</v>
      </c>
      <c r="X54" s="293"/>
      <c r="Y54" s="137"/>
      <c r="Z54" s="137">
        <f>H61</f>
        <v>4</v>
      </c>
      <c r="AA54" s="137"/>
      <c r="AB54" s="169"/>
      <c r="AC54" s="149"/>
      <c r="AD54" s="134"/>
    </row>
    <row r="55" spans="7:30" ht="31.8" thickBot="1">
      <c r="G55" s="223" t="s">
        <v>350</v>
      </c>
      <c r="H55" s="225">
        <f>H50+H51+H52+H53+H54</f>
        <v>18</v>
      </c>
      <c r="I55" s="225">
        <f>I50+I51+I52+I53+I54</f>
        <v>0</v>
      </c>
      <c r="J55" s="228">
        <f>AVERAGE(J50:J54)</f>
        <v>1E-3</v>
      </c>
      <c r="V55" s="148" t="s">
        <v>285</v>
      </c>
      <c r="W55" s="291" t="str">
        <f>G47</f>
        <v>MTH 2220 Diff. Equations</v>
      </c>
      <c r="X55" s="293"/>
      <c r="Y55" s="137">
        <f>H47</f>
        <v>4</v>
      </c>
      <c r="Z55" s="137"/>
      <c r="AA55" s="137"/>
      <c r="AB55" s="169"/>
      <c r="AC55" s="149"/>
      <c r="AD55" s="134"/>
    </row>
    <row r="56" spans="7:30" ht="31.8" thickBot="1">
      <c r="G56" s="223" t="s">
        <v>351</v>
      </c>
      <c r="H56" s="225">
        <f>H49+H55</f>
        <v>38</v>
      </c>
      <c r="I56" s="225">
        <f>I49+I55</f>
        <v>0</v>
      </c>
      <c r="J56" s="225">
        <f>AVERAGE(J44:J48,J50:J54)</f>
        <v>1.0000000000000002E-3</v>
      </c>
      <c r="V56" s="148" t="s">
        <v>285</v>
      </c>
      <c r="W56" s="291" t="str">
        <f>G63</f>
        <v>GEN 3040 Fluid Mech.</v>
      </c>
      <c r="X56" s="292"/>
      <c r="Y56" s="137"/>
      <c r="Z56" s="137">
        <f>H63</f>
        <v>4</v>
      </c>
      <c r="AA56" s="137"/>
      <c r="AB56" s="169"/>
      <c r="AC56" s="149"/>
      <c r="AD56" s="134"/>
    </row>
    <row r="57" spans="7:30" ht="16.05" customHeight="1" thickBot="1">
      <c r="G57" s="6"/>
      <c r="H57" s="6"/>
      <c r="I57" s="6"/>
      <c r="J57" s="6"/>
      <c r="V57" s="148" t="s">
        <v>285</v>
      </c>
      <c r="W57" s="291" t="str">
        <f>G53</f>
        <v>CHM 1180 Engineering Chemistry</v>
      </c>
      <c r="X57" s="292"/>
      <c r="Y57" s="137">
        <f>H53</f>
        <v>4</v>
      </c>
      <c r="Z57" s="137"/>
      <c r="AA57" s="137"/>
      <c r="AB57" s="169"/>
      <c r="AC57" s="149"/>
      <c r="AD57" s="134"/>
    </row>
    <row r="58" spans="7:30" ht="16.05" customHeight="1" thickBot="1">
      <c r="G58" s="217" t="s">
        <v>352</v>
      </c>
      <c r="H58" s="6"/>
      <c r="I58" s="6"/>
      <c r="J58" s="6"/>
      <c r="V58" s="148" t="s">
        <v>279</v>
      </c>
      <c r="W58" s="291" t="str">
        <f>G64</f>
        <v>CEN3010 Structures</v>
      </c>
      <c r="X58" s="292"/>
      <c r="Y58" s="137"/>
      <c r="Z58" s="137">
        <f>H64</f>
        <v>4</v>
      </c>
      <c r="AA58" s="137"/>
      <c r="AB58" s="169"/>
      <c r="AC58" s="149"/>
      <c r="AD58" s="134"/>
    </row>
    <row r="59" spans="7:30" ht="16.2" thickBot="1">
      <c r="G59" s="212" t="str">
        <f>CONCATENATE('CE Curriculum'!A8," ",'CE Curriculum'!B8)</f>
        <v>GEN 1001 Intro. to Eng.</v>
      </c>
      <c r="H59" s="212">
        <f>'CE Curriculum'!C8</f>
        <v>4</v>
      </c>
      <c r="I59" s="212">
        <f>IF('CE Curriculum'!D8=1,H59,0)</f>
        <v>0</v>
      </c>
      <c r="J59" s="212">
        <f>IFERROR(VLOOKUP('CE Curriculum'!E8,K18:L29,2),0.001)</f>
        <v>1E-3</v>
      </c>
      <c r="V59" s="148" t="s">
        <v>279</v>
      </c>
      <c r="W59" s="291" t="str">
        <f>G65</f>
        <v>CEN3020 Geotech Engr</v>
      </c>
      <c r="X59" s="292"/>
      <c r="Y59" s="137"/>
      <c r="Z59" s="137">
        <f>H65</f>
        <v>4</v>
      </c>
      <c r="AA59" s="137"/>
      <c r="AB59" s="169"/>
      <c r="AC59" s="149"/>
      <c r="AD59" s="134"/>
    </row>
    <row r="60" spans="7:30" ht="16.05" customHeight="1" thickBot="1">
      <c r="G60" s="212" t="str">
        <f>CONCATENATE('CE Curriculum'!A16," ",'CE Curriculum'!B16)</f>
        <v>GEN2010 Mechanics I</v>
      </c>
      <c r="H60" s="212">
        <f>'CE Curriculum'!C16</f>
        <v>4</v>
      </c>
      <c r="I60" s="212">
        <f>IF('CE Curriculum'!D16=1,H60,0)</f>
        <v>0</v>
      </c>
      <c r="J60" s="212">
        <f>IFERROR(VLOOKUP('CE Curriculum'!E16,K18:L29,2),0.001)</f>
        <v>1E-3</v>
      </c>
      <c r="V60" s="148" t="s">
        <v>279</v>
      </c>
      <c r="W60" s="291" t="str">
        <f>G54</f>
        <v>PHY 2213 Thermodynamics</v>
      </c>
      <c r="X60" s="292"/>
      <c r="Y60" s="137">
        <f>H54</f>
        <v>2</v>
      </c>
      <c r="Z60" s="137"/>
      <c r="AA60" s="137"/>
      <c r="AB60" s="169"/>
      <c r="AC60" s="149"/>
      <c r="AD60" s="134"/>
    </row>
    <row r="61" spans="7:30" ht="16.2" thickBot="1">
      <c r="G61" s="212" t="str">
        <f>CONCATENATE('CE Curriculum'!H16," ",'CE Curriculum'!I16)</f>
        <v>GEN2012 Mechanics II</v>
      </c>
      <c r="H61" s="212">
        <f>'CE Curriculum'!J16</f>
        <v>4</v>
      </c>
      <c r="I61" s="212">
        <f>IF('CE Curriculum'!K16=1,H61,0)</f>
        <v>0</v>
      </c>
      <c r="J61" s="212">
        <f>IFERROR(VLOOKUP('CE Curriculum'!L16,K18:L29,2),0.001)</f>
        <v>1E-3</v>
      </c>
      <c r="V61" s="148" t="s">
        <v>279</v>
      </c>
      <c r="W61" s="291" t="str">
        <f>G85</f>
        <v>RTS 1100 Christianity in Context</v>
      </c>
      <c r="X61" s="292"/>
      <c r="Y61" s="137"/>
      <c r="Z61" s="137"/>
      <c r="AA61" s="137">
        <f>H85</f>
        <v>4</v>
      </c>
      <c r="AB61" s="169"/>
      <c r="AC61" s="149"/>
      <c r="AD61" s="134"/>
    </row>
    <row r="62" spans="7:30" ht="16.2" thickBot="1">
      <c r="G62" s="212" t="str">
        <f>CONCATENATE('CE Curriculum'!A19," ",'CE Curriculum'!B19)</f>
        <v>CEN 2001 CE Site Design</v>
      </c>
      <c r="H62" s="212">
        <f>'CE Curriculum'!C19</f>
        <v>4</v>
      </c>
      <c r="I62" s="212">
        <f>IF('CE Curriculum'!D19=1,H62,0)</f>
        <v>0</v>
      </c>
      <c r="J62" s="212">
        <f>IFERROR(VLOOKUP('CE Curriculum'!E19,K18:L29,2),0.001)</f>
        <v>1E-3</v>
      </c>
      <c r="V62" s="148" t="s">
        <v>279</v>
      </c>
      <c r="W62" s="291" t="str">
        <f>G89</f>
        <v>Soc. Science (SS) Elective (course here)</v>
      </c>
      <c r="X62" s="292"/>
      <c r="Y62" s="137"/>
      <c r="Z62" s="137"/>
      <c r="AA62" s="137">
        <f>H89</f>
        <v>4</v>
      </c>
      <c r="AB62" s="169"/>
      <c r="AC62" s="149"/>
      <c r="AD62" s="134"/>
    </row>
    <row r="63" spans="7:30" ht="16.2" thickBot="1">
      <c r="G63" s="212" t="str">
        <f>CONCATENATE('CE Curriculum'!H18," ",'CE Curriculum'!I18)</f>
        <v>GEN 3040 Fluid Mech.</v>
      </c>
      <c r="H63" s="212">
        <f>'CE Curriculum'!J18</f>
        <v>4</v>
      </c>
      <c r="I63" s="212">
        <f>IF('CE Curriculum'!K18=1,H63,0)</f>
        <v>0</v>
      </c>
      <c r="J63" s="212">
        <f>IFERROR(VLOOKUP('CE Curriculum'!L18,K18:L29,2),0.001)</f>
        <v>1E-3</v>
      </c>
      <c r="V63" s="148" t="s">
        <v>214</v>
      </c>
      <c r="W63" s="291" t="str">
        <f>G66</f>
        <v>CEN3030 Transportation</v>
      </c>
      <c r="X63" s="292"/>
      <c r="Y63" s="137"/>
      <c r="Z63" s="137">
        <f>H66</f>
        <v>4</v>
      </c>
      <c r="AA63" s="137"/>
      <c r="AB63" s="169"/>
      <c r="AC63" s="149"/>
      <c r="AD63" s="134"/>
    </row>
    <row r="64" spans="7:30" ht="16.2" thickBot="1">
      <c r="G64" s="212" t="str">
        <f>CONCATENATE('CE Curriculum'!A25," ",'CE Curriculum'!B25)</f>
        <v>CEN3010 Structures</v>
      </c>
      <c r="H64" s="212">
        <f>'CE Curriculum'!C25</f>
        <v>4</v>
      </c>
      <c r="I64" s="212">
        <f>IF('CE Curriculum'!D25=1,H64,0)</f>
        <v>0</v>
      </c>
      <c r="J64" s="212">
        <f>IFERROR(VLOOKUP('CE Curriculum'!E25,K18:L29,2),0.001)</f>
        <v>1E-3</v>
      </c>
      <c r="V64" s="148" t="s">
        <v>214</v>
      </c>
      <c r="W64" s="291" t="str">
        <f>G67</f>
        <v>CEN3050 Enviro. Engr.</v>
      </c>
      <c r="X64" s="292"/>
      <c r="Y64" s="137"/>
      <c r="Z64" s="137">
        <f>H67</f>
        <v>4</v>
      </c>
      <c r="AA64" s="137"/>
      <c r="AB64" s="169"/>
      <c r="AC64" s="149"/>
      <c r="AD64" s="134"/>
    </row>
    <row r="65" spans="7:30" ht="16.2" thickBot="1">
      <c r="G65" s="212" t="str">
        <f>CONCATENATE('CE Curriculum'!A26," ",'CE Curriculum'!B26)</f>
        <v>CEN3020 Geotech Engr</v>
      </c>
      <c r="H65" s="212">
        <f>'CE Curriculum'!C26</f>
        <v>4</v>
      </c>
      <c r="I65" s="212">
        <f>IF('CE Curriculum'!D26=1,H65,0)</f>
        <v>0</v>
      </c>
      <c r="J65" s="212">
        <f>IFERROR(VLOOKUP('CE Curriculum'!E26,K18:L29,2),0.001)</f>
        <v>1E-3</v>
      </c>
      <c r="V65" s="148" t="s">
        <v>214</v>
      </c>
      <c r="W65" s="291" t="str">
        <f>G68</f>
        <v>CEN3090 Professionalism &amp; Ethics</v>
      </c>
      <c r="X65" s="292"/>
      <c r="Y65" s="137"/>
      <c r="Z65" s="137">
        <f>H68</f>
        <v>1</v>
      </c>
      <c r="AA65" s="137"/>
      <c r="AB65" s="169"/>
      <c r="AC65" s="149"/>
      <c r="AD65" s="134" t="s">
        <v>126</v>
      </c>
    </row>
    <row r="66" spans="7:30" ht="16.2" thickBot="1">
      <c r="G66" s="212" t="str">
        <f>CONCATENATE('CE Curriculum'!H25," ",'CE Curriculum'!I25)</f>
        <v>CEN3030 Transportation</v>
      </c>
      <c r="H66" s="212">
        <f>'CE Curriculum'!J25</f>
        <v>4</v>
      </c>
      <c r="I66" s="212">
        <f>IF('CE Curriculum'!K25=1,H66,0)</f>
        <v>0</v>
      </c>
      <c r="J66" s="212">
        <f>IFERROR(VLOOKUP('CE Curriculum'!L25,K18:L29,2),0.001)</f>
        <v>1E-3</v>
      </c>
      <c r="V66" s="148" t="s">
        <v>214</v>
      </c>
      <c r="W66" s="291" t="str">
        <f>G81</f>
        <v>Ethics (E) Elective (course here)</v>
      </c>
      <c r="X66" s="292"/>
      <c r="Y66" s="137"/>
      <c r="Z66" s="137"/>
      <c r="AA66" s="137">
        <f>H81</f>
        <v>4</v>
      </c>
      <c r="AB66" s="169"/>
      <c r="AC66" s="149"/>
      <c r="AD66" s="134"/>
    </row>
    <row r="67" spans="7:30" ht="16.2" thickBot="1">
      <c r="G67" s="212" t="str">
        <f>CONCATENATE('CE Curriculum'!H26," ",'CE Curriculum'!I26)</f>
        <v>CEN3050 Enviro. Engr.</v>
      </c>
      <c r="H67" s="212">
        <f>'CE Curriculum'!J26</f>
        <v>4</v>
      </c>
      <c r="I67" s="212">
        <f>IF('CE Curriculum'!K26=1,H67,0)</f>
        <v>0</v>
      </c>
      <c r="J67" s="212">
        <f>IFERROR(VLOOKUP('CE Curriculum'!L26,K18:L29,2),0.001)</f>
        <v>1E-3</v>
      </c>
      <c r="V67" s="148" t="s">
        <v>214</v>
      </c>
      <c r="W67" s="291" t="str">
        <f>G90</f>
        <v>Soc. Science (SS) Elective (course here)</v>
      </c>
      <c r="X67" s="292"/>
      <c r="Y67" s="137"/>
      <c r="Z67" s="137"/>
      <c r="AA67" s="137">
        <f>H90</f>
        <v>4</v>
      </c>
      <c r="AB67" s="169"/>
      <c r="AC67" s="149"/>
      <c r="AD67" s="134"/>
    </row>
    <row r="68" spans="7:30" ht="16.2" thickBot="1">
      <c r="G68" s="212" t="str">
        <f>CONCATENATE('CE Curriculum'!H27," ",'CE Curriculum'!I27)</f>
        <v>CEN3090 Professionalism &amp; Ethics</v>
      </c>
      <c r="H68" s="212">
        <f>'CE Curriculum'!J27</f>
        <v>1</v>
      </c>
      <c r="I68" s="212">
        <f>IF('CE Curriculum'!K27=1,H68,0)</f>
        <v>0</v>
      </c>
      <c r="J68" s="212">
        <f>IFERROR(VLOOKUP('CE Curriculum'!L27,K18:L29,2),0.001)</f>
        <v>1E-3</v>
      </c>
      <c r="V68" s="148" t="s">
        <v>250</v>
      </c>
      <c r="W68" s="291" t="str">
        <f>G69</f>
        <v>Structures Elective (course here)</v>
      </c>
      <c r="X68" s="292"/>
      <c r="Y68" s="137"/>
      <c r="Z68" s="137">
        <f>H69</f>
        <v>4</v>
      </c>
      <c r="AA68" s="137"/>
      <c r="AB68" s="169"/>
      <c r="AC68" s="149"/>
      <c r="AD68" s="134" t="s">
        <v>126</v>
      </c>
    </row>
    <row r="69" spans="7:30" ht="16.2" thickBot="1">
      <c r="G69" s="212" t="str">
        <f>CONCATENATE('CE Curriculum'!A34," ",'CE Curriculum'!B34)</f>
        <v>Structures Elective (course here)</v>
      </c>
      <c r="H69" s="212">
        <f>'CE Curriculum'!C34</f>
        <v>4</v>
      </c>
      <c r="I69" s="212">
        <f>IF('CE Curriculum'!D34=1,H69,0)</f>
        <v>0</v>
      </c>
      <c r="J69" s="212">
        <f>IFERROR(VLOOKUP('CE Curriculum'!E34,K18:L29,2),0.001)</f>
        <v>1E-3</v>
      </c>
      <c r="V69" s="148" t="s">
        <v>250</v>
      </c>
      <c r="W69" s="291" t="str">
        <f>G70</f>
        <v>Geotechnical Elective (course here)</v>
      </c>
      <c r="X69" s="292"/>
      <c r="Y69" s="137"/>
      <c r="Z69" s="137">
        <f>H70</f>
        <v>4</v>
      </c>
      <c r="AA69" s="137"/>
      <c r="AB69" s="169"/>
      <c r="AC69" s="149"/>
      <c r="AD69" s="134" t="s">
        <v>127</v>
      </c>
    </row>
    <row r="70" spans="7:30" ht="16.2" thickBot="1">
      <c r="G70" s="212" t="str">
        <f>CONCATENATE('CE Curriculum'!A35," ",'CE Curriculum'!B35)</f>
        <v>Geotechnical Elective (course here)</v>
      </c>
      <c r="H70" s="212">
        <f>'CE Curriculum'!C35</f>
        <v>4</v>
      </c>
      <c r="I70" s="212">
        <f>IF('CE Curriculum'!D35=1,H70,0)</f>
        <v>0</v>
      </c>
      <c r="J70" s="212">
        <f>IFERROR(VLOOKUP('CE Curriculum'!E35,K18:L29,2),0.001)</f>
        <v>1E-3</v>
      </c>
      <c r="V70" s="148" t="s">
        <v>250</v>
      </c>
      <c r="W70" s="291" t="s">
        <v>290</v>
      </c>
      <c r="X70" s="292"/>
      <c r="Y70" s="137"/>
      <c r="Z70" s="137"/>
      <c r="AA70" s="137"/>
      <c r="AB70" s="169">
        <v>4</v>
      </c>
      <c r="AC70" s="149"/>
      <c r="AD70" s="134"/>
    </row>
    <row r="71" spans="7:30" ht="16.2" thickBot="1">
      <c r="G71" s="212" t="str">
        <f>CONCATENATE('CE Curriculum'!H34," ",'CE Curriculum'!I34)</f>
        <v>CEN 4901 Des. Project</v>
      </c>
      <c r="H71" s="212">
        <f>'CE Curriculum'!J34</f>
        <v>4</v>
      </c>
      <c r="I71" s="212">
        <f>IF('CE Curriculum'!K34=1,H71,0)</f>
        <v>0</v>
      </c>
      <c r="J71" s="212">
        <f>IFERROR(VLOOKUP('CE Curriculum'!L34,K18:L29,2),0.001)</f>
        <v>1E-3</v>
      </c>
      <c r="V71" s="148" t="s">
        <v>250</v>
      </c>
      <c r="W71" s="291" t="str">
        <f>G79</f>
        <v>PHL 1000 Intro to Philosophy</v>
      </c>
      <c r="X71" s="292"/>
      <c r="Y71" s="137"/>
      <c r="Z71" s="137"/>
      <c r="AA71" s="137">
        <f>H79</f>
        <v>4</v>
      </c>
      <c r="AB71" s="169"/>
      <c r="AC71" s="149"/>
      <c r="AD71" s="134"/>
    </row>
    <row r="72" spans="7:30" ht="16.2" thickBot="1">
      <c r="G72" s="212" t="str">
        <f>CONCATENATE('CE Curriculum'!H35," ",'CE Curriculum'!I35)</f>
        <v>Transportation Elective (course here)</v>
      </c>
      <c r="H72" s="212">
        <f>'CE Curriculum'!J35</f>
        <v>4</v>
      </c>
      <c r="I72" s="212">
        <f>IF('CE Curriculum'!K35=1,H72,0)</f>
        <v>0</v>
      </c>
      <c r="J72" s="212">
        <f>IFERROR(VLOOKUP('CE Curriculum'!L35,K18:L29,2),0.001)</f>
        <v>1E-3</v>
      </c>
      <c r="V72" s="148" t="s">
        <v>322</v>
      </c>
      <c r="W72" s="291" t="str">
        <f>G71</f>
        <v>CEN 4901 Des. Project</v>
      </c>
      <c r="X72" s="292"/>
      <c r="Y72" s="137"/>
      <c r="Z72" s="137">
        <f>H71</f>
        <v>4</v>
      </c>
      <c r="AA72" s="137"/>
      <c r="AB72" s="169"/>
      <c r="AC72" s="149"/>
      <c r="AD72" s="134" t="s">
        <v>126</v>
      </c>
    </row>
    <row r="73" spans="7:30" ht="16.2" thickBot="1">
      <c r="G73" s="212" t="str">
        <f>CONCATENATE('CE Curriculum'!H36," ",'CE Curriculum'!I36)</f>
        <v>Environmental Elective (course here)</v>
      </c>
      <c r="H73" s="212">
        <f>'CE Curriculum'!J36</f>
        <v>4</v>
      </c>
      <c r="I73" s="212">
        <f>IF('CE Curriculum'!K36=1,H73,0)</f>
        <v>0</v>
      </c>
      <c r="J73" s="212">
        <f>IFERROR(VLOOKUP('CE Curriculum'!L36,K18:L29,2),0.001)</f>
        <v>1E-3</v>
      </c>
      <c r="V73" s="148" t="s">
        <v>322</v>
      </c>
      <c r="W73" s="291" t="str">
        <f>G72</f>
        <v>Transportation Elective (course here)</v>
      </c>
      <c r="X73" s="292"/>
      <c r="Y73" s="137"/>
      <c r="Z73" s="137">
        <f>H72</f>
        <v>4</v>
      </c>
      <c r="AA73" s="137"/>
      <c r="AB73" s="169"/>
      <c r="AC73" s="149"/>
      <c r="AD73" s="134" t="s">
        <v>126</v>
      </c>
    </row>
    <row r="74" spans="7:30" ht="16.2" thickBot="1">
      <c r="G74" s="212" t="str">
        <f>CONCATENATE('CE Curriculum'!H37," ",'CE Curriculum'!I37)</f>
        <v>CEN 4900 Senior Seminar</v>
      </c>
      <c r="H74" s="212">
        <f>'CE Curriculum'!J37</f>
        <v>1</v>
      </c>
      <c r="I74" s="212">
        <f>IF('CE Curriculum'!K37=1,H74,0)</f>
        <v>0</v>
      </c>
      <c r="J74" s="229"/>
      <c r="V74" s="148" t="s">
        <v>322</v>
      </c>
      <c r="W74" s="291" t="str">
        <f>G73</f>
        <v>Environmental Elective (course here)</v>
      </c>
      <c r="X74" s="292"/>
      <c r="Y74" s="137"/>
      <c r="Z74" s="137">
        <f>H73</f>
        <v>4</v>
      </c>
      <c r="AA74" s="137"/>
      <c r="AB74" s="169"/>
      <c r="AC74" s="149"/>
      <c r="AD74" s="134" t="s">
        <v>126</v>
      </c>
    </row>
    <row r="75" spans="7:30" ht="16.8" thickBot="1">
      <c r="G75" s="223" t="s">
        <v>353</v>
      </c>
      <c r="H75" s="225">
        <f>SUM(H59:H74)</f>
        <v>58</v>
      </c>
      <c r="I75" s="225">
        <f>SUM(I59:I74)</f>
        <v>0</v>
      </c>
      <c r="J75" s="225">
        <f>AVERAGE(J59:J73)</f>
        <v>1.0000000000000005E-3</v>
      </c>
      <c r="V75" s="148" t="s">
        <v>322</v>
      </c>
      <c r="W75" s="291" t="str">
        <f>G74</f>
        <v>CEN 4900 Senior Seminar</v>
      </c>
      <c r="X75" s="292"/>
      <c r="Y75" s="137"/>
      <c r="Z75" s="137">
        <f>H74</f>
        <v>1</v>
      </c>
      <c r="AA75" s="137"/>
      <c r="AB75" s="169"/>
      <c r="AC75" s="149"/>
      <c r="AD75" s="134"/>
    </row>
    <row r="76" spans="7:30" ht="16.2" thickBot="1">
      <c r="G76" s="6"/>
      <c r="H76" s="6"/>
      <c r="I76" s="6"/>
      <c r="J76" s="6"/>
      <c r="V76" s="148" t="s">
        <v>322</v>
      </c>
      <c r="W76" s="291" t="str">
        <f>G88</f>
        <v>Hist. Studies (H) Elective (course here)</v>
      </c>
      <c r="X76" s="292"/>
      <c r="Y76" s="153"/>
      <c r="Z76" s="153"/>
      <c r="AA76" s="153">
        <f>H88</f>
        <v>4</v>
      </c>
      <c r="AB76" s="170"/>
      <c r="AC76" s="149"/>
      <c r="AD76" s="134"/>
    </row>
    <row r="77" spans="7:30" ht="15.6">
      <c r="G77" s="217" t="s">
        <v>374</v>
      </c>
      <c r="H77" s="6"/>
      <c r="I77" s="6"/>
      <c r="J77" s="6"/>
      <c r="V77" s="304"/>
      <c r="W77" s="305"/>
      <c r="X77" s="305"/>
      <c r="Y77" s="305"/>
      <c r="Z77" s="305"/>
      <c r="AA77" s="305"/>
      <c r="AB77" s="306"/>
      <c r="AC77" s="149"/>
      <c r="AD77" s="134"/>
    </row>
    <row r="78" spans="7:30" ht="16.2" thickBot="1">
      <c r="G78" s="212" t="str">
        <f>CONCATENATE('CE Curriculum'!A11," ",'CE Curriculum'!B11)</f>
        <v>FYW 1050 College Writing</v>
      </c>
      <c r="H78" s="212">
        <f>'CE Curriculum'!C11</f>
        <v>4</v>
      </c>
      <c r="I78" s="212">
        <f>IF('CE Curriculum'!D11=1,H78,0)</f>
        <v>0</v>
      </c>
      <c r="J78" s="212">
        <f>IFERROR(VLOOKUP('CE Curriculum'!E11,K18:L29,2),0.001)</f>
        <v>1E-3</v>
      </c>
      <c r="V78" s="307" t="s">
        <v>215</v>
      </c>
      <c r="W78" s="308"/>
      <c r="X78" s="308"/>
      <c r="Y78" s="308"/>
      <c r="Z78" s="308"/>
      <c r="AA78" s="308"/>
      <c r="AB78" s="309"/>
      <c r="AC78" s="149"/>
      <c r="AD78" s="134"/>
    </row>
    <row r="79" spans="7:30" ht="16.8" thickTop="1" thickBot="1">
      <c r="G79" s="212" t="str">
        <f>CONCATENATE('CE Curriculum'!A10," ",'CE Curriculum'!B10)</f>
        <v>PHL 1000 Intro to Philosophy</v>
      </c>
      <c r="H79" s="212">
        <f>'CE Curriculum'!C10</f>
        <v>4</v>
      </c>
      <c r="I79" s="212">
        <f>IF('CE Curriculum'!D10=1,H79,0)</f>
        <v>0</v>
      </c>
      <c r="J79" s="212">
        <f>IFERROR(VLOOKUP('CE Curriculum'!E37,K18:L29,2),0.001)</f>
        <v>1E-3</v>
      </c>
      <c r="V79" s="298" t="s">
        <v>248</v>
      </c>
      <c r="W79" s="299"/>
      <c r="X79" s="300"/>
      <c r="Y79" s="171">
        <f>SUM(Y42:Y76)</f>
        <v>38</v>
      </c>
      <c r="Z79" s="171">
        <f>SUM(Z42:Z76)</f>
        <v>58</v>
      </c>
      <c r="AA79" s="171">
        <f>SUM(AA42:AA76)</f>
        <v>32</v>
      </c>
      <c r="AB79" s="171">
        <f>SUM(AB42:AB76)</f>
        <v>4</v>
      </c>
      <c r="AC79" s="301"/>
      <c r="AD79" s="294"/>
    </row>
    <row r="80" spans="7:30" ht="16.2" thickBot="1">
      <c r="G80" t="s">
        <v>376</v>
      </c>
      <c r="H80" s="247"/>
      <c r="I80" s="247"/>
      <c r="J80" s="247"/>
      <c r="K80" t="s">
        <v>377</v>
      </c>
      <c r="L80" t="str">
        <f>IF(I44&gt;=3,"√","")</f>
        <v/>
      </c>
      <c r="V80" s="302" t="s">
        <v>278</v>
      </c>
      <c r="W80" s="293"/>
      <c r="X80" s="135">
        <f>Y79+Z79+AA79+AB79</f>
        <v>132</v>
      </c>
      <c r="Y80" s="172"/>
      <c r="Z80" s="172"/>
      <c r="AA80" s="172"/>
      <c r="AB80" s="173"/>
      <c r="AC80" s="294"/>
      <c r="AD80" s="295"/>
    </row>
    <row r="81" spans="7:30" ht="16.2" thickBot="1">
      <c r="G81" s="212" t="str">
        <f>CONCATENATE('CE Curriculum'!H28," ",'CE Curriculum'!I28)</f>
        <v>Ethics (E) Elective (course here)</v>
      </c>
      <c r="H81" s="212">
        <f>'CE Curriculum'!J28</f>
        <v>4</v>
      </c>
      <c r="I81" s="212">
        <f>IF('CE Curriculum'!K28=1,H81,0)</f>
        <v>0</v>
      </c>
      <c r="J81" s="212">
        <f>IFERROR(VLOOKUP('CE Curriculum'!L28,K18:L29,2),0.001)</f>
        <v>1E-3</v>
      </c>
      <c r="V81" s="302" t="s">
        <v>194</v>
      </c>
      <c r="W81" s="303"/>
      <c r="X81" s="293"/>
      <c r="Y81" s="174">
        <f>Y79/X80</f>
        <v>0.2878787878787879</v>
      </c>
      <c r="Z81" s="174">
        <f>Z79/X80</f>
        <v>0.43939393939393939</v>
      </c>
      <c r="AA81" s="175">
        <f>AA79/X80</f>
        <v>0.24242424242424243</v>
      </c>
      <c r="AB81" s="176">
        <f>AB79/X80</f>
        <v>3.0303030303030304E-2</v>
      </c>
      <c r="AC81" s="294"/>
      <c r="AD81" s="295"/>
    </row>
    <row r="82" spans="7:30" ht="16.8" thickBot="1">
      <c r="G82" s="215"/>
      <c r="H82" s="225"/>
      <c r="I82" s="225"/>
      <c r="J82" s="225"/>
      <c r="V82" s="136" t="s">
        <v>195</v>
      </c>
      <c r="W82" s="291" t="s">
        <v>157</v>
      </c>
      <c r="X82" s="293"/>
      <c r="Y82" s="137" t="s">
        <v>158</v>
      </c>
      <c r="Z82" s="137" t="s">
        <v>159</v>
      </c>
      <c r="AA82" s="138"/>
      <c r="AB82" s="139"/>
      <c r="AC82" s="294"/>
      <c r="AD82" s="295"/>
    </row>
    <row r="83" spans="7:30" ht="16.2" thickBot="1">
      <c r="G83" s="6"/>
      <c r="J83" s="6"/>
      <c r="V83" s="140" t="s">
        <v>160</v>
      </c>
      <c r="W83" s="296" t="s">
        <v>161</v>
      </c>
      <c r="X83" s="297"/>
      <c r="Y83" s="141">
        <v>0.25</v>
      </c>
      <c r="Z83" s="142">
        <v>0.375</v>
      </c>
      <c r="AA83" s="143"/>
      <c r="AB83" s="144"/>
      <c r="AC83" s="294"/>
      <c r="AD83" s="295"/>
    </row>
    <row r="84" spans="7:30" ht="16.2" thickTop="1">
      <c r="G84" s="217" t="s">
        <v>375</v>
      </c>
      <c r="H84" s="6"/>
      <c r="I84" s="6"/>
      <c r="J84" s="6"/>
    </row>
    <row r="85" spans="7:30" ht="15.6">
      <c r="G85" s="212" t="str">
        <f>CONCATENATE('CE Curriculum'!A28," ",'CE Curriculum'!B28)</f>
        <v>RTS 1100 Christianity in Context</v>
      </c>
      <c r="H85" s="212">
        <f>'CE Curriculum'!C28</f>
        <v>4</v>
      </c>
      <c r="I85" s="212">
        <f>IF('CE Curriculum'!D28=1,H85,0)</f>
        <v>0</v>
      </c>
      <c r="J85" s="212">
        <f>IFERROR(VLOOKUP('CE Curriculum'!E28,K18:L29,2),0.001)</f>
        <v>1E-3</v>
      </c>
    </row>
    <row r="86" spans="7:30" ht="15.6">
      <c r="G86" s="212" t="str">
        <f>CONCATENATE('CE Curriculum'!H11," ",'CE Curriculum'!I11)</f>
        <v>Arts &amp; Lit (AL) Elective (course here)</v>
      </c>
      <c r="H86" s="212">
        <f>'CE Curriculum'!J11</f>
        <v>4</v>
      </c>
      <c r="I86" s="212">
        <f>IF('CE Curriculum'!K11=1,H86,0)</f>
        <v>0</v>
      </c>
      <c r="J86" s="212">
        <f>IFERROR(VLOOKUP('CE Curriculum'!L11,K18:L29,2),0.001)</f>
        <v>1E-3</v>
      </c>
    </row>
    <row r="87" spans="7:30">
      <c r="G87" s="249" t="s">
        <v>378</v>
      </c>
      <c r="H87" s="249">
        <f>'CE Curriculum'!J9</f>
        <v>4</v>
      </c>
      <c r="I87" s="249">
        <f>I45</f>
        <v>0</v>
      </c>
      <c r="J87" s="249"/>
      <c r="K87" s="249" t="s">
        <v>379</v>
      </c>
    </row>
    <row r="88" spans="7:30" ht="15.6">
      <c r="G88" s="212" t="str">
        <f>CONCATENATE('CE Curriculum'!A29," ",'CE Curriculum'!B29)</f>
        <v>Hist. Studies (H) Elective (course here)</v>
      </c>
      <c r="H88" s="212">
        <f>'CE Curriculum'!C29</f>
        <v>4</v>
      </c>
      <c r="I88" s="212">
        <f>IF('CE Curriculum'!D29=1,H88,0)</f>
        <v>0</v>
      </c>
      <c r="J88" s="212">
        <f>IFERROR(VLOOKUP('CE Curriculum'!E29,K18:L29,2),0.001)</f>
        <v>1E-3</v>
      </c>
    </row>
    <row r="89" spans="7:30" ht="15.6">
      <c r="G89" s="212" t="str">
        <f>CONCATENATE('CE Curriculum'!H38," ",'CE Curriculum'!I38)</f>
        <v>Soc. Science (SS) Elective (course here)</v>
      </c>
      <c r="H89" s="212">
        <f>'CE Curriculum'!J38</f>
        <v>4</v>
      </c>
      <c r="I89" s="212">
        <f>IF('CE Curriculum'!K38=1,H89,0)</f>
        <v>0</v>
      </c>
      <c r="J89" s="212">
        <f>IFERROR(VLOOKUP('CE Curriculum'!L38,K18:L29,2),0.001)</f>
        <v>1E-3</v>
      </c>
    </row>
    <row r="90" spans="7:30" ht="15.6">
      <c r="G90" s="212" t="str">
        <f>CONCATENATE('CE Curriculum'!A37," ",'CE Curriculum'!B37)</f>
        <v>Soc. Science (SS) Elective (course here)</v>
      </c>
      <c r="H90" s="212">
        <f>'CE Curriculum'!C37</f>
        <v>4</v>
      </c>
      <c r="I90" s="212">
        <f>IF('CE Curriculum'!D37=1,H90,0)</f>
        <v>0</v>
      </c>
      <c r="J90" s="212">
        <f>IFERROR(VLOOKUP('CE Curriculum'!L29,K18:L29,2),0.001)</f>
        <v>1E-3</v>
      </c>
    </row>
    <row r="91" spans="7:30" ht="15.6">
      <c r="G91" s="212" t="s">
        <v>333</v>
      </c>
      <c r="H91" s="212">
        <v>8</v>
      </c>
      <c r="I91" s="212">
        <f>I44+I51</f>
        <v>0</v>
      </c>
      <c r="J91" s="212">
        <f>(J44+J51+J52)/3</f>
        <v>1E-3</v>
      </c>
    </row>
    <row r="92" spans="7:30" ht="15.6">
      <c r="G92" s="248"/>
      <c r="H92" s="248"/>
      <c r="I92" s="248"/>
      <c r="J92" s="248"/>
    </row>
    <row r="93" spans="7:30" ht="16.2">
      <c r="G93" s="215"/>
      <c r="H93" s="225"/>
      <c r="I93" s="225"/>
      <c r="J93" s="225"/>
    </row>
    <row r="94" spans="7:30" ht="16.2">
      <c r="G94" s="215" t="s">
        <v>343</v>
      </c>
      <c r="H94" s="225">
        <f>H78+H79+H81+H85+H86+H87+H88+H89+H90+H91</f>
        <v>44</v>
      </c>
      <c r="I94" s="225">
        <f>I78+I79+I81+I85+I86+I87+I88+I89+I90+I91</f>
        <v>0</v>
      </c>
      <c r="J94" s="225">
        <f>AVERAGE(J78:J81,J85:J91)</f>
        <v>1E-3</v>
      </c>
    </row>
    <row r="95" spans="7:30" ht="15.6">
      <c r="G95" s="6"/>
      <c r="H95" s="6"/>
      <c r="I95" s="6"/>
      <c r="J95" s="6"/>
    </row>
    <row r="96" spans="7:30" ht="15.6">
      <c r="G96" s="217" t="s">
        <v>334</v>
      </c>
      <c r="H96" s="6"/>
      <c r="I96" s="6"/>
      <c r="J96" s="6"/>
    </row>
    <row r="97" spans="7:10" ht="15.6">
      <c r="G97" s="212" t="str">
        <f>CONCATENATE('CE Curriculum'!A36," ",'CE Curriculum'!B36)</f>
        <v>Technical Elective (course here)</v>
      </c>
      <c r="H97" s="212">
        <f>'CE Curriculum'!C36</f>
        <v>4</v>
      </c>
      <c r="I97" s="212">
        <f>IF('CE Curriculum'!D36=1,H97,0)</f>
        <v>0</v>
      </c>
      <c r="J97" s="6">
        <f>IFERROR(VLOOKUP('CE Curriculum'!E36,K18:L29,2),0.001)</f>
        <v>0</v>
      </c>
    </row>
    <row r="98" spans="7:10" ht="15.6">
      <c r="G98" s="6"/>
      <c r="H98" s="6"/>
      <c r="I98" s="6"/>
      <c r="J98" s="6"/>
    </row>
    <row r="99" spans="7:10" ht="15.6">
      <c r="G99" s="217" t="s">
        <v>344</v>
      </c>
      <c r="H99" s="6"/>
      <c r="I99" s="6"/>
      <c r="J99" s="6"/>
    </row>
    <row r="100" spans="7:10" ht="15.6">
      <c r="G100" s="226" t="s">
        <v>347</v>
      </c>
      <c r="H100" s="212" t="str">
        <f>IF('CE Curriculum'!H40=1,"√","")</f>
        <v/>
      </c>
      <c r="I100" s="212"/>
      <c r="J100" s="212"/>
    </row>
    <row r="101" spans="7:10" ht="15.6">
      <c r="G101" s="226" t="s">
        <v>355</v>
      </c>
      <c r="H101" s="212" t="str">
        <f>IF('CE Curriculum'!D8=1,"√","")</f>
        <v/>
      </c>
      <c r="I101" s="212" t="s">
        <v>335</v>
      </c>
      <c r="J101" s="212"/>
    </row>
    <row r="102" spans="7:10" ht="15.6">
      <c r="G102" s="226" t="s">
        <v>336</v>
      </c>
      <c r="H102" s="212" t="str">
        <f>IF('CE Curriculum'!H41=1,"√","")</f>
        <v/>
      </c>
      <c r="I102" s="212" t="s">
        <v>335</v>
      </c>
      <c r="J102" s="212" t="str">
        <f>'CE Curriculum'!I41</f>
        <v>Course used?</v>
      </c>
    </row>
  </sheetData>
  <mergeCells count="58">
    <mergeCell ref="C3:E3"/>
    <mergeCell ref="B9:E9"/>
    <mergeCell ref="W38:X38"/>
    <mergeCell ref="W39:X39"/>
    <mergeCell ref="Y39:Y41"/>
    <mergeCell ref="W40:X40"/>
    <mergeCell ref="W41:X41"/>
    <mergeCell ref="W52:X52"/>
    <mergeCell ref="Y38:AB38"/>
    <mergeCell ref="W44:X44"/>
    <mergeCell ref="W45:X45"/>
    <mergeCell ref="W46:X46"/>
    <mergeCell ref="AA39:AA41"/>
    <mergeCell ref="Z39:Z41"/>
    <mergeCell ref="AB40:AB41"/>
    <mergeCell ref="W42:X42"/>
    <mergeCell ref="W43:X43"/>
    <mergeCell ref="W47:X47"/>
    <mergeCell ref="W48:X48"/>
    <mergeCell ref="W49:X49"/>
    <mergeCell ref="W50:X50"/>
    <mergeCell ref="W51:X51"/>
    <mergeCell ref="W53:X53"/>
    <mergeCell ref="V77:AB77"/>
    <mergeCell ref="V78:AB78"/>
    <mergeCell ref="W58:X58"/>
    <mergeCell ref="W59:X59"/>
    <mergeCell ref="W60:X60"/>
    <mergeCell ref="W61:X61"/>
    <mergeCell ref="W62:X62"/>
    <mergeCell ref="W54:X54"/>
    <mergeCell ref="W55:X55"/>
    <mergeCell ref="W56:X56"/>
    <mergeCell ref="W57:X57"/>
    <mergeCell ref="W71:X71"/>
    <mergeCell ref="W72:X72"/>
    <mergeCell ref="W63:X63"/>
    <mergeCell ref="W64:X64"/>
    <mergeCell ref="W82:X82"/>
    <mergeCell ref="AC82:AD82"/>
    <mergeCell ref="W83:X83"/>
    <mergeCell ref="AC83:AD83"/>
    <mergeCell ref="V79:X79"/>
    <mergeCell ref="AC79:AD79"/>
    <mergeCell ref="V80:W80"/>
    <mergeCell ref="AC80:AD80"/>
    <mergeCell ref="V81:X81"/>
    <mergeCell ref="AC81:AD81"/>
    <mergeCell ref="W65:X65"/>
    <mergeCell ref="W66:X66"/>
    <mergeCell ref="W73:X73"/>
    <mergeCell ref="W74:X74"/>
    <mergeCell ref="W75:X75"/>
    <mergeCell ref="W76:X76"/>
    <mergeCell ref="W67:X67"/>
    <mergeCell ref="W68:X68"/>
    <mergeCell ref="W69:X69"/>
    <mergeCell ref="W70:X70"/>
  </mergeCells>
  <phoneticPr fontId="9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11"/>
  <sheetViews>
    <sheetView workbookViewId="0">
      <selection activeCell="G42" sqref="G42:I111"/>
    </sheetView>
  </sheetViews>
  <sheetFormatPr defaultColWidth="11.5546875" defaultRowHeight="13.2"/>
  <cols>
    <col min="2" max="2" width="20.109375" customWidth="1"/>
    <col min="3" max="3" width="12.33203125" customWidth="1"/>
    <col min="7" max="7" width="43" customWidth="1"/>
    <col min="9" max="9" width="5.88671875" bestFit="1" customWidth="1"/>
    <col min="14" max="14" width="16.109375" customWidth="1"/>
    <col min="22" max="22" width="15.109375" customWidth="1"/>
  </cols>
  <sheetData>
    <row r="2" spans="2:7" ht="18" thickBot="1">
      <c r="B2" s="118" t="s">
        <v>174</v>
      </c>
    </row>
    <row r="3" spans="2:7" ht="16.2" thickBot="1">
      <c r="B3" s="119" t="s">
        <v>175</v>
      </c>
      <c r="C3" s="323" t="s">
        <v>57</v>
      </c>
      <c r="D3" s="324"/>
      <c r="E3" s="325"/>
    </row>
    <row r="4" spans="2:7" ht="15.6">
      <c r="B4" s="120" t="s">
        <v>58</v>
      </c>
      <c r="C4" s="121" t="s">
        <v>59</v>
      </c>
      <c r="D4" s="121" t="s">
        <v>60</v>
      </c>
      <c r="E4" s="121"/>
    </row>
    <row r="5" spans="2:7" ht="31.8" thickBot="1">
      <c r="B5" s="122"/>
      <c r="C5" s="123" t="s">
        <v>153</v>
      </c>
      <c r="D5" s="123" t="s">
        <v>227</v>
      </c>
      <c r="E5" s="123" t="s">
        <v>228</v>
      </c>
      <c r="F5" s="177" t="s">
        <v>134</v>
      </c>
    </row>
    <row r="6" spans="2:7" ht="47.4" thickBot="1">
      <c r="B6" s="124" t="s">
        <v>110</v>
      </c>
      <c r="C6" s="123" t="s">
        <v>116</v>
      </c>
      <c r="D6" s="123">
        <v>32</v>
      </c>
      <c r="E6" s="123">
        <f>H56</f>
        <v>38</v>
      </c>
      <c r="F6">
        <f>I56</f>
        <v>0</v>
      </c>
    </row>
    <row r="7" spans="2:7" ht="31.8" thickBot="1">
      <c r="B7" s="124" t="s">
        <v>117</v>
      </c>
      <c r="C7" s="123" t="s">
        <v>122</v>
      </c>
      <c r="D7" s="123">
        <f>32*1.5</f>
        <v>48</v>
      </c>
      <c r="E7" s="123">
        <f>H75</f>
        <v>58</v>
      </c>
      <c r="F7">
        <f>I75</f>
        <v>0</v>
      </c>
    </row>
    <row r="8" spans="2:7" ht="31.8" thickBot="1">
      <c r="B8" s="124" t="s">
        <v>50</v>
      </c>
      <c r="C8" s="123" t="s">
        <v>51</v>
      </c>
      <c r="D8" s="123">
        <v>44</v>
      </c>
      <c r="E8" s="123">
        <f>H91</f>
        <v>42</v>
      </c>
      <c r="F8">
        <f>I91</f>
        <v>0</v>
      </c>
      <c r="G8" t="s">
        <v>135</v>
      </c>
    </row>
    <row r="9" spans="2:7" ht="30" customHeight="1" thickBot="1">
      <c r="B9" s="312" t="s">
        <v>256</v>
      </c>
      <c r="C9" s="326"/>
      <c r="D9" s="326"/>
      <c r="E9" s="313"/>
    </row>
    <row r="10" spans="2:7" ht="16.2" thickBot="1">
      <c r="B10" s="115"/>
      <c r="C10" s="117"/>
      <c r="D10" s="117"/>
      <c r="E10" s="117"/>
    </row>
    <row r="11" spans="2:7" ht="16.2" thickBot="1">
      <c r="B11" s="115"/>
      <c r="C11" s="117"/>
      <c r="D11" s="117"/>
      <c r="E11" s="117"/>
    </row>
    <row r="12" spans="2:7" ht="16.2" thickBot="1">
      <c r="B12" s="115"/>
      <c r="C12" s="117"/>
      <c r="D12" s="117"/>
      <c r="E12" s="117"/>
    </row>
    <row r="13" spans="2:7" ht="16.2" thickBot="1">
      <c r="B13" s="115"/>
      <c r="C13" s="117"/>
      <c r="D13" s="117"/>
      <c r="E13" s="117"/>
    </row>
    <row r="14" spans="2:7" ht="16.2" thickBot="1">
      <c r="B14" s="115"/>
      <c r="C14" s="117"/>
      <c r="D14" s="117"/>
      <c r="E14" s="117"/>
    </row>
    <row r="16" spans="2:7">
      <c r="B16" t="s">
        <v>200</v>
      </c>
      <c r="C16" t="e">
        <f t="array" ref="C16">SUMPRODUCT(I59:I74,J59:J74)/I75</f>
        <v>#DIV/0!</v>
      </c>
      <c r="D16" t="e">
        <f>VLOOKUP(C16,L32:M43,2)</f>
        <v>#DIV/0!</v>
      </c>
    </row>
    <row r="17" spans="2:15">
      <c r="B17" t="s">
        <v>224</v>
      </c>
      <c r="C17" t="e">
        <f t="array" ref="C17">(SUMPRODUCT(I44:I54,J44:J54)+SUMPRODUCT(I59:I74,J59:J74)+SUMPRODUCT(I78:I81,J78:J81)+SUMPRODUCT(I85:I88,J85:J88)+I106*J106)/(I56+I75+I91+I106)</f>
        <v>#DIV/0!</v>
      </c>
      <c r="D17" t="e">
        <f>VLOOKUP(C17,L33:M44,2)</f>
        <v>#DIV/0!</v>
      </c>
    </row>
    <row r="18" spans="2:15">
      <c r="B18" t="s">
        <v>199</v>
      </c>
      <c r="C18" t="e">
        <f t="array" ref="C18">(SUMPRODUCT(I44:I48,J44:J48)+SUMPRODUCT(I50:I54,J50:J54))/I56</f>
        <v>#DIV/0!</v>
      </c>
      <c r="D18" t="e">
        <f>VLOOKUP(C18,L34:M45,2)</f>
        <v>#DIV/0!</v>
      </c>
      <c r="K18" s="194" t="s">
        <v>104</v>
      </c>
      <c r="L18">
        <v>4</v>
      </c>
    </row>
    <row r="19" spans="2:15">
      <c r="B19" t="s">
        <v>201</v>
      </c>
      <c r="C19" t="e">
        <f t="array" ref="C19">(SUMPRODUCT(I78:I81,J78:J81)+SUMPRODUCT(I85:I88,J85:J88))/I91</f>
        <v>#DIV/0!</v>
      </c>
      <c r="D19" t="e">
        <f>VLOOKUP(C19,L35:M46,2)</f>
        <v>#DIV/0!</v>
      </c>
      <c r="K19" s="194" t="s">
        <v>103</v>
      </c>
      <c r="L19">
        <v>3.7</v>
      </c>
    </row>
    <row r="20" spans="2:15">
      <c r="K20" s="194" t="s">
        <v>101</v>
      </c>
      <c r="L20">
        <v>3</v>
      </c>
    </row>
    <row r="21" spans="2:15">
      <c r="K21" s="194" t="s">
        <v>100</v>
      </c>
      <c r="L21">
        <v>2.7</v>
      </c>
      <c r="N21" t="s">
        <v>118</v>
      </c>
      <c r="O21">
        <v>0</v>
      </c>
    </row>
    <row r="22" spans="2:15">
      <c r="K22" s="194" t="s">
        <v>102</v>
      </c>
      <c r="L22">
        <v>3.3</v>
      </c>
      <c r="N22" t="s">
        <v>118</v>
      </c>
      <c r="O22">
        <v>16</v>
      </c>
    </row>
    <row r="23" spans="2:15">
      <c r="K23" s="194" t="s">
        <v>98</v>
      </c>
      <c r="L23">
        <v>2</v>
      </c>
      <c r="N23" t="s">
        <v>118</v>
      </c>
      <c r="O23">
        <v>0</v>
      </c>
    </row>
    <row r="24" spans="2:15">
      <c r="K24" s="194" t="s">
        <v>97</v>
      </c>
      <c r="L24">
        <v>1.7</v>
      </c>
      <c r="N24" t="s">
        <v>118</v>
      </c>
      <c r="O24">
        <v>0</v>
      </c>
    </row>
    <row r="25" spans="2:15">
      <c r="K25" s="194" t="s">
        <v>99</v>
      </c>
      <c r="L25">
        <v>2.2999999999999998</v>
      </c>
    </row>
    <row r="26" spans="2:15">
      <c r="K26" s="194" t="s">
        <v>95</v>
      </c>
      <c r="L26">
        <v>1</v>
      </c>
    </row>
    <row r="27" spans="2:15">
      <c r="K27" s="194" t="s">
        <v>94</v>
      </c>
      <c r="L27">
        <v>0.7</v>
      </c>
    </row>
    <row r="28" spans="2:15">
      <c r="K28" s="194" t="s">
        <v>96</v>
      </c>
      <c r="L28">
        <v>1.3</v>
      </c>
    </row>
    <row r="29" spans="2:15">
      <c r="K29" s="194" t="s">
        <v>93</v>
      </c>
      <c r="L29">
        <v>0</v>
      </c>
      <c r="N29" t="str">
        <f>CONCATENATE('CE Curriculum'!H20," ",'CE Curriculum'!I20)</f>
        <v xml:space="preserve"> </v>
      </c>
      <c r="O29">
        <f>'CE Curriculum'!J20</f>
        <v>0</v>
      </c>
    </row>
    <row r="30" spans="2:15">
      <c r="N30" t="str">
        <f>CONCATENATE('CE Curriculum'!H21," ",'CE Curriculum'!I21)</f>
        <v xml:space="preserve"> </v>
      </c>
      <c r="O30">
        <f>'CE Curriculum'!J21</f>
        <v>0</v>
      </c>
    </row>
    <row r="31" spans="2:15">
      <c r="N31" t="str">
        <f>CONCATENATE('CE Curriculum'!H22," ",'CE Curriculum'!I22)</f>
        <v xml:space="preserve"> </v>
      </c>
      <c r="O31">
        <f>'CE Curriculum'!J22</f>
        <v>16</v>
      </c>
    </row>
    <row r="32" spans="2:15">
      <c r="L32">
        <v>0</v>
      </c>
      <c r="M32" s="194" t="s">
        <v>93</v>
      </c>
      <c r="O32">
        <f>'CE Curriculum'!J23</f>
        <v>0</v>
      </c>
    </row>
    <row r="33" spans="7:31">
      <c r="L33">
        <v>1.3</v>
      </c>
      <c r="M33" s="194" t="s">
        <v>96</v>
      </c>
      <c r="O33">
        <f>'CE Curriculum'!J24</f>
        <v>0</v>
      </c>
    </row>
    <row r="34" spans="7:31">
      <c r="L34">
        <v>0.7</v>
      </c>
      <c r="M34" s="194" t="s">
        <v>94</v>
      </c>
    </row>
    <row r="35" spans="7:31">
      <c r="L35">
        <v>1</v>
      </c>
      <c r="M35" s="194" t="s">
        <v>95</v>
      </c>
    </row>
    <row r="36" spans="7:31">
      <c r="L36">
        <v>2.2999999999999998</v>
      </c>
      <c r="M36" s="194" t="s">
        <v>99</v>
      </c>
      <c r="V36" t="s">
        <v>162</v>
      </c>
      <c r="AC36" s="165"/>
      <c r="AD36" s="165"/>
      <c r="AE36" s="165"/>
    </row>
    <row r="37" spans="7:31" ht="13.8" thickBot="1">
      <c r="L37">
        <v>1.7</v>
      </c>
      <c r="M37" s="194" t="s">
        <v>97</v>
      </c>
      <c r="AC37" s="165"/>
      <c r="AD37" s="165"/>
      <c r="AE37" s="165"/>
    </row>
    <row r="38" spans="7:31" ht="16.8" thickTop="1" thickBot="1">
      <c r="L38">
        <v>2</v>
      </c>
      <c r="M38" s="194" t="s">
        <v>98</v>
      </c>
      <c r="V38" s="132" t="s">
        <v>52</v>
      </c>
      <c r="W38" s="327"/>
      <c r="X38" s="328"/>
      <c r="Y38" s="310" t="s">
        <v>55</v>
      </c>
      <c r="Z38" s="311"/>
      <c r="AA38" s="311"/>
      <c r="AB38" s="311"/>
      <c r="AC38" s="167"/>
      <c r="AD38" s="166"/>
      <c r="AE38" s="165"/>
    </row>
    <row r="39" spans="7:31" ht="15.6">
      <c r="L39">
        <v>3.3</v>
      </c>
      <c r="M39" s="194" t="s">
        <v>102</v>
      </c>
      <c r="O39">
        <f>'CE Curriculum'!J30</f>
        <v>0</v>
      </c>
      <c r="V39" s="133" t="s">
        <v>53</v>
      </c>
      <c r="W39" s="319"/>
      <c r="X39" s="329"/>
      <c r="Y39" s="314" t="s">
        <v>61</v>
      </c>
      <c r="Z39" s="314" t="s">
        <v>163</v>
      </c>
      <c r="AA39" s="314" t="s">
        <v>50</v>
      </c>
      <c r="AB39" s="164" t="s">
        <v>62</v>
      </c>
      <c r="AC39" s="133"/>
      <c r="AD39" s="149"/>
      <c r="AE39" s="165"/>
    </row>
    <row r="40" spans="7:31" ht="15.6">
      <c r="L40">
        <v>2.7</v>
      </c>
      <c r="M40" s="194" t="s">
        <v>100</v>
      </c>
      <c r="O40">
        <f>'CE Curriculum'!J31</f>
        <v>17</v>
      </c>
      <c r="V40" s="133" t="s">
        <v>54</v>
      </c>
      <c r="W40" s="319" t="s">
        <v>63</v>
      </c>
      <c r="X40" s="329"/>
      <c r="Y40" s="315"/>
      <c r="Z40" s="317"/>
      <c r="AA40" s="315"/>
      <c r="AB40" s="319"/>
      <c r="AC40" s="133"/>
      <c r="AD40" s="168"/>
      <c r="AE40" s="165"/>
    </row>
    <row r="41" spans="7:31" ht="52.95" customHeight="1" thickBot="1">
      <c r="G41" t="s">
        <v>257</v>
      </c>
      <c r="L41">
        <v>3</v>
      </c>
      <c r="M41" s="194" t="s">
        <v>101</v>
      </c>
      <c r="O41">
        <f>'CE Curriculum'!J32</f>
        <v>0</v>
      </c>
      <c r="V41" s="131"/>
      <c r="W41" s="320" t="s">
        <v>64</v>
      </c>
      <c r="X41" s="330"/>
      <c r="Y41" s="316"/>
      <c r="Z41" s="318"/>
      <c r="AA41" s="316"/>
      <c r="AB41" s="320"/>
      <c r="AC41" s="131"/>
      <c r="AD41" s="168"/>
      <c r="AE41" s="165"/>
    </row>
    <row r="42" spans="7:31" ht="16.8" thickTop="1" thickBot="1">
      <c r="G42" s="6"/>
      <c r="H42" s="224" t="s">
        <v>67</v>
      </c>
      <c r="L42">
        <v>3.7</v>
      </c>
      <c r="M42" s="194" t="s">
        <v>103</v>
      </c>
      <c r="O42">
        <f>'CE Curriculum'!J33</f>
        <v>0</v>
      </c>
      <c r="V42" s="146" t="s">
        <v>73</v>
      </c>
      <c r="W42" s="321" t="str">
        <f>G59</f>
        <v>GEN 1001 Intro. to Eng.</v>
      </c>
      <c r="X42" s="322"/>
      <c r="Y42" s="155"/>
      <c r="Z42" s="154">
        <f>H59</f>
        <v>4</v>
      </c>
      <c r="AA42" s="154"/>
      <c r="AB42" s="154"/>
      <c r="AC42" s="156"/>
      <c r="AD42" s="149"/>
      <c r="AE42" s="165"/>
    </row>
    <row r="43" spans="7:31" ht="16.2" thickBot="1">
      <c r="G43" s="217" t="s">
        <v>348</v>
      </c>
      <c r="H43" s="224" t="s">
        <v>66</v>
      </c>
      <c r="L43">
        <v>4</v>
      </c>
      <c r="M43" s="194" t="s">
        <v>104</v>
      </c>
      <c r="V43" s="147" t="s">
        <v>73</v>
      </c>
      <c r="W43" s="312" t="str">
        <f>G44</f>
        <v>MTH 1217 Calculus I</v>
      </c>
      <c r="X43" s="313"/>
      <c r="Y43" s="164">
        <f>H44</f>
        <v>4</v>
      </c>
      <c r="Z43" s="164"/>
      <c r="AA43" s="164"/>
      <c r="AB43" s="164"/>
      <c r="AC43" s="131"/>
      <c r="AD43" s="168"/>
      <c r="AE43" s="165"/>
    </row>
    <row r="44" spans="7:31" ht="16.2" thickBot="1">
      <c r="G44" s="212" t="str">
        <f>CONCATENATE('CE Curriculum'!A9," ",'CE Curriculum'!B9)</f>
        <v>MTH 1217 Calculus I</v>
      </c>
      <c r="H44" s="212">
        <f>'CE Curriculum'!C9</f>
        <v>4</v>
      </c>
      <c r="V44" s="147" t="s">
        <v>73</v>
      </c>
      <c r="W44" s="312" t="str">
        <f>G50</f>
        <v>Science* Elective (course here)</v>
      </c>
      <c r="X44" s="313"/>
      <c r="Y44" s="164">
        <f>H50</f>
        <v>4</v>
      </c>
      <c r="Z44" s="164"/>
      <c r="AA44" s="164"/>
      <c r="AB44" s="164"/>
      <c r="AC44" s="131"/>
      <c r="AD44" s="168"/>
      <c r="AE44" s="165"/>
    </row>
    <row r="45" spans="7:31" ht="16.2" thickBot="1">
      <c r="G45" s="212" t="str">
        <f>CONCATENATE('CE Curriculum'!H9," ",'CE Curriculum'!I9)</f>
        <v>MTH 1218 Calculus II</v>
      </c>
      <c r="H45" s="212">
        <f>'CE Curriculum'!J9</f>
        <v>4</v>
      </c>
      <c r="V45" s="147" t="s">
        <v>73</v>
      </c>
      <c r="W45" s="312" t="str">
        <f>G78</f>
        <v>FYW 1050 College Writing</v>
      </c>
      <c r="X45" s="313"/>
      <c r="Y45" s="164"/>
      <c r="Z45" s="164"/>
      <c r="AA45" s="164">
        <f>H78</f>
        <v>4</v>
      </c>
      <c r="AB45" s="145"/>
      <c r="AC45" s="131"/>
      <c r="AD45" s="168"/>
    </row>
    <row r="46" spans="7:31" ht="31.8" thickBot="1">
      <c r="G46" s="212" t="str">
        <f>CONCATENATE('CE Curriculum'!A18," ",'CE Curriculum'!B18)</f>
        <v>MTH 2219 Calculus III</v>
      </c>
      <c r="H46" s="212">
        <f>'CE Curriculum'!C18</f>
        <v>4</v>
      </c>
      <c r="V46" s="147" t="s">
        <v>316</v>
      </c>
      <c r="W46" s="312" t="str">
        <f>G48</f>
        <v>MTH 1505 Applied Statistics</v>
      </c>
      <c r="X46" s="313"/>
      <c r="Y46" s="164">
        <f>H48</f>
        <v>4</v>
      </c>
      <c r="Z46" s="164"/>
      <c r="AA46" s="164"/>
      <c r="AB46" s="145"/>
      <c r="AC46" s="131"/>
      <c r="AD46" s="168"/>
    </row>
    <row r="47" spans="7:31" ht="31.8" thickBot="1">
      <c r="G47" s="212" t="str">
        <f>CONCATENATE('CE Curriculum'!H17," ",'CE Curriculum'!I17)</f>
        <v>MTH 2220 Diff. Equations</v>
      </c>
      <c r="H47" s="212">
        <f>'CE Curriculum'!J17</f>
        <v>4</v>
      </c>
      <c r="V47" s="147" t="s">
        <v>316</v>
      </c>
      <c r="W47" s="312" t="str">
        <f>G45</f>
        <v>MTH 1218 Calculus II</v>
      </c>
      <c r="X47" s="313"/>
      <c r="Y47" s="164">
        <f>H45</f>
        <v>4</v>
      </c>
      <c r="Z47" s="164"/>
      <c r="AA47" s="164"/>
      <c r="AB47" s="145"/>
      <c r="AC47" s="131"/>
      <c r="AD47" s="168"/>
    </row>
    <row r="48" spans="7:31" ht="31.8" thickBot="1">
      <c r="G48" s="212" t="str">
        <f>CONCATENATE('CE Curriculum'!H8," ",'CE Curriculum'!I8)</f>
        <v>MTH 1505 Applied Statistics</v>
      </c>
      <c r="H48" s="212">
        <f>'CE Curriculum'!J8</f>
        <v>4</v>
      </c>
      <c r="N48" t="str">
        <f>CONCATENATE('CE Curriculum'!H39," ",'CE Curriculum'!I39)</f>
        <v xml:space="preserve"> </v>
      </c>
      <c r="O48">
        <f>'CE Curriculum'!J39</f>
        <v>0</v>
      </c>
      <c r="V48" s="147" t="s">
        <v>316</v>
      </c>
      <c r="W48" s="312" t="str">
        <f>G51</f>
        <v>PHY 2211 Physics I</v>
      </c>
      <c r="X48" s="313"/>
      <c r="Y48" s="164">
        <f>H51</f>
        <v>4</v>
      </c>
      <c r="Z48" s="164"/>
      <c r="AA48" s="164"/>
      <c r="AB48" s="145"/>
      <c r="AC48" s="131"/>
      <c r="AD48" s="168"/>
    </row>
    <row r="49" spans="7:30" ht="32.4" thickBot="1">
      <c r="G49" s="223" t="s">
        <v>349</v>
      </c>
      <c r="H49" s="225">
        <f>SUM(H44:H48)</f>
        <v>20</v>
      </c>
      <c r="N49" t="str">
        <f>CONCATENATE('CE Curriculum'!H40," ",'CE Curriculum'!I40)</f>
        <v xml:space="preserve"> </v>
      </c>
      <c r="O49">
        <f>'CE Curriculum'!J40</f>
        <v>0</v>
      </c>
      <c r="V49" s="147" t="s">
        <v>316</v>
      </c>
      <c r="W49" s="291" t="str">
        <f>G87</f>
        <v>Arts &amp; Lit (AL)  WLC Major course - Spring Freshman yr</v>
      </c>
      <c r="X49" s="293"/>
      <c r="Y49" s="137"/>
      <c r="Z49" s="137"/>
      <c r="AA49" s="137">
        <f>H87</f>
        <v>4</v>
      </c>
      <c r="AB49" s="169"/>
      <c r="AC49" s="131"/>
      <c r="AD49" s="168"/>
    </row>
    <row r="50" spans="7:30" ht="31.8" thickBot="1">
      <c r="G50" s="212" t="str">
        <f>CONCATENATE('CE Curriculum'!H29," ",'CE Curriculum'!I29)</f>
        <v>Science* Elective (course here)</v>
      </c>
      <c r="H50" s="212">
        <f>'CE Curriculum'!J29</f>
        <v>4</v>
      </c>
      <c r="N50" t="str">
        <f>CONCATENATE('CE Curriculum'!H41," ",'CE Curriculum'!I41)</f>
        <v xml:space="preserve"> Course used?</v>
      </c>
      <c r="O50">
        <f>'CE Curriculum'!J41</f>
        <v>0</v>
      </c>
      <c r="V50" s="148" t="s">
        <v>317</v>
      </c>
      <c r="W50" s="291" t="str">
        <f>G60</f>
        <v>GEN2010 Mechanics I</v>
      </c>
      <c r="X50" s="293"/>
      <c r="Y50" s="137"/>
      <c r="Z50" s="137">
        <f>H60</f>
        <v>4</v>
      </c>
      <c r="AA50" s="137"/>
      <c r="AB50" s="169"/>
      <c r="AC50" s="131"/>
      <c r="AD50" s="168"/>
    </row>
    <row r="51" spans="7:30" ht="31.8" thickBot="1">
      <c r="G51" s="212" t="str">
        <f>CONCATENATE('CE Curriculum'!H10," ",'CE Curriculum'!I10)</f>
        <v>PHY 2211 Physics I</v>
      </c>
      <c r="H51" s="212">
        <f>'CE Curriculum'!J10</f>
        <v>4</v>
      </c>
      <c r="N51" t="str">
        <f>CONCATENATE('CE Curriculum'!H42," ",'CE Curriculum'!I42)</f>
        <v xml:space="preserve"> </v>
      </c>
      <c r="O51">
        <f>'CE Curriculum'!J42</f>
        <v>17</v>
      </c>
      <c r="V51" s="148" t="s">
        <v>317</v>
      </c>
      <c r="W51" s="291" t="str">
        <f>G52</f>
        <v>PHY 2212 Physics II</v>
      </c>
      <c r="X51" s="293"/>
      <c r="Y51" s="137">
        <f>H52</f>
        <v>4</v>
      </c>
      <c r="Z51" s="137"/>
      <c r="AA51" s="137"/>
      <c r="AB51" s="169"/>
      <c r="AC51" s="131"/>
      <c r="AD51" s="168"/>
    </row>
    <row r="52" spans="7:30" ht="31.8" thickBot="1">
      <c r="G52" s="212" t="str">
        <f>CONCATENATE('CE Curriculum'!A17," ",'CE Curriculum'!B17)</f>
        <v>PHY 2212 Physics II</v>
      </c>
      <c r="H52" s="212">
        <f>'CE Curriculum'!C17</f>
        <v>4</v>
      </c>
      <c r="V52" s="148" t="s">
        <v>317</v>
      </c>
      <c r="W52" s="291" t="str">
        <f>G46</f>
        <v>MTH 2219 Calculus III</v>
      </c>
      <c r="X52" s="293"/>
      <c r="Y52" s="137">
        <f>H46</f>
        <v>4</v>
      </c>
      <c r="Z52" s="137"/>
      <c r="AA52" s="137"/>
      <c r="AB52" s="169"/>
      <c r="AC52" s="131"/>
      <c r="AD52" s="168"/>
    </row>
    <row r="53" spans="7:30" ht="31.8" thickBot="1">
      <c r="G53" s="212" t="str">
        <f>CONCATENATE('CE Curriculum'!H19," ",'CE Curriculum'!I19)</f>
        <v>CHM 1180 Engineering Chemistry</v>
      </c>
      <c r="H53" s="212">
        <f>'CE Curriculum'!J19</f>
        <v>4</v>
      </c>
      <c r="V53" s="148" t="s">
        <v>317</v>
      </c>
      <c r="W53" s="291" t="str">
        <f>G62</f>
        <v>CEN 2001 CE Site Design</v>
      </c>
      <c r="X53" s="293"/>
      <c r="Y53" s="137"/>
      <c r="Z53" s="137">
        <f>H62</f>
        <v>4</v>
      </c>
      <c r="AA53" s="137"/>
      <c r="AB53" s="169"/>
      <c r="AC53" s="131"/>
      <c r="AD53" s="168" t="s">
        <v>126</v>
      </c>
    </row>
    <row r="54" spans="7:30" ht="31.8" thickBot="1">
      <c r="G54" s="212" t="str">
        <f>CONCATENATE('CE Curriculum'!A27," ",'CE Curriculum'!B27)</f>
        <v>PHY 2213 Thermodynamics</v>
      </c>
      <c r="H54" s="212">
        <f>'CE Curriculum'!C27</f>
        <v>2</v>
      </c>
      <c r="V54" s="148" t="s">
        <v>285</v>
      </c>
      <c r="W54" s="291" t="str">
        <f>G61</f>
        <v>GEN2012 Mechanics II</v>
      </c>
      <c r="X54" s="293"/>
      <c r="Y54" s="137"/>
      <c r="Z54" s="137">
        <f>H61</f>
        <v>4</v>
      </c>
      <c r="AA54" s="137"/>
      <c r="AB54" s="169"/>
      <c r="AC54" s="149"/>
      <c r="AD54" s="134"/>
    </row>
    <row r="55" spans="7:30" ht="31.8" thickBot="1">
      <c r="G55" s="223" t="s">
        <v>350</v>
      </c>
      <c r="H55" s="225">
        <f>H50+H51+H52+H53+H54</f>
        <v>18</v>
      </c>
      <c r="V55" s="148" t="s">
        <v>285</v>
      </c>
      <c r="W55" s="291" t="str">
        <f>G47</f>
        <v>MTH 2220 Diff. Equations</v>
      </c>
      <c r="X55" s="293"/>
      <c r="Y55" s="137">
        <f>H47</f>
        <v>4</v>
      </c>
      <c r="Z55" s="137"/>
      <c r="AA55" s="137"/>
      <c r="AB55" s="169"/>
      <c r="AC55" s="149"/>
      <c r="AD55" s="134"/>
    </row>
    <row r="56" spans="7:30" ht="31.8" thickBot="1">
      <c r="G56" s="223" t="s">
        <v>351</v>
      </c>
      <c r="H56" s="225">
        <f>H49+H55</f>
        <v>38</v>
      </c>
      <c r="V56" s="148" t="s">
        <v>285</v>
      </c>
      <c r="W56" s="291" t="str">
        <f>G63</f>
        <v>GEN 3040 Fluid Mech.</v>
      </c>
      <c r="X56" s="292"/>
      <c r="Y56" s="137"/>
      <c r="Z56" s="137">
        <f>H63</f>
        <v>4</v>
      </c>
      <c r="AA56" s="137"/>
      <c r="AB56" s="169"/>
      <c r="AC56" s="149"/>
      <c r="AD56" s="134"/>
    </row>
    <row r="57" spans="7:30" ht="16.05" customHeight="1" thickBot="1">
      <c r="G57" s="6"/>
      <c r="H57" s="6"/>
      <c r="V57" s="148" t="s">
        <v>285</v>
      </c>
      <c r="W57" s="291" t="str">
        <f>G53</f>
        <v>CHM 1180 Engineering Chemistry</v>
      </c>
      <c r="X57" s="292"/>
      <c r="Y57" s="137">
        <f>H53</f>
        <v>4</v>
      </c>
      <c r="Z57" s="137"/>
      <c r="AA57" s="137"/>
      <c r="AB57" s="169"/>
      <c r="AC57" s="149"/>
      <c r="AD57" s="134"/>
    </row>
    <row r="58" spans="7:30" ht="16.05" customHeight="1" thickBot="1">
      <c r="G58" s="217" t="s">
        <v>352</v>
      </c>
      <c r="H58" s="6"/>
      <c r="V58" s="148" t="s">
        <v>279</v>
      </c>
      <c r="W58" s="291" t="str">
        <f>G64</f>
        <v>CEN3010 Structures</v>
      </c>
      <c r="X58" s="292"/>
      <c r="Y58" s="137"/>
      <c r="Z58" s="137">
        <f>H64</f>
        <v>4</v>
      </c>
      <c r="AA58" s="137"/>
      <c r="AB58" s="169"/>
      <c r="AC58" s="149"/>
      <c r="AD58" s="134"/>
    </row>
    <row r="59" spans="7:30" ht="16.2" thickBot="1">
      <c r="G59" s="212" t="str">
        <f>CONCATENATE('CE Curriculum'!A8," ",'CE Curriculum'!B8)</f>
        <v>GEN 1001 Intro. to Eng.</v>
      </c>
      <c r="H59" s="212">
        <f>'CE Curriculum'!C8</f>
        <v>4</v>
      </c>
      <c r="V59" s="148" t="s">
        <v>279</v>
      </c>
      <c r="W59" s="291" t="str">
        <f>G65</f>
        <v>CEN3020 Geotech Engr</v>
      </c>
      <c r="X59" s="292"/>
      <c r="Y59" s="137"/>
      <c r="Z59" s="137">
        <f>H65</f>
        <v>4</v>
      </c>
      <c r="AA59" s="137"/>
      <c r="AB59" s="169"/>
      <c r="AC59" s="149"/>
      <c r="AD59" s="134"/>
    </row>
    <row r="60" spans="7:30" ht="16.05" customHeight="1" thickBot="1">
      <c r="G60" s="212" t="str">
        <f>CONCATENATE('CE Curriculum'!A16," ",'CE Curriculum'!B16)</f>
        <v>GEN2010 Mechanics I</v>
      </c>
      <c r="H60" s="212">
        <f>'CE Curriculum'!C16</f>
        <v>4</v>
      </c>
      <c r="V60" s="148" t="s">
        <v>279</v>
      </c>
      <c r="W60" s="291" t="str">
        <f>G54</f>
        <v>PHY 2213 Thermodynamics</v>
      </c>
      <c r="X60" s="292"/>
      <c r="Y60" s="137">
        <f>H54</f>
        <v>2</v>
      </c>
      <c r="Z60" s="137"/>
      <c r="AA60" s="137"/>
      <c r="AB60" s="169"/>
      <c r="AC60" s="149"/>
      <c r="AD60" s="134"/>
    </row>
    <row r="61" spans="7:30" ht="16.2" thickBot="1">
      <c r="G61" s="212" t="str">
        <f>CONCATENATE('CE Curriculum'!H16," ",'CE Curriculum'!I16)</f>
        <v>GEN2012 Mechanics II</v>
      </c>
      <c r="H61" s="212">
        <f>'CE Curriculum'!J16</f>
        <v>4</v>
      </c>
      <c r="V61" s="148" t="s">
        <v>279</v>
      </c>
      <c r="W61" s="291" t="str">
        <f>G79</f>
        <v>RTS 1100 Christianity in Context</v>
      </c>
      <c r="X61" s="292"/>
      <c r="Y61" s="137"/>
      <c r="Z61" s="137"/>
      <c r="AA61" s="137">
        <f>H79</f>
        <v>4</v>
      </c>
      <c r="AB61" s="169"/>
      <c r="AC61" s="149"/>
      <c r="AD61" s="134"/>
    </row>
    <row r="62" spans="7:30" ht="16.2" thickBot="1">
      <c r="G62" s="212" t="str">
        <f>CONCATENATE('CE Curriculum'!A19," ",'CE Curriculum'!B19)</f>
        <v>CEN 2001 CE Site Design</v>
      </c>
      <c r="H62" s="212">
        <f>'CE Curriculum'!C19</f>
        <v>4</v>
      </c>
      <c r="V62" s="148" t="s">
        <v>279</v>
      </c>
      <c r="W62" s="291" t="str">
        <f>G85</f>
        <v>Soc. Science (SS) Elective (course here)</v>
      </c>
      <c r="X62" s="292"/>
      <c r="Y62" s="137"/>
      <c r="Z62" s="137"/>
      <c r="AA62" s="137">
        <f>H85</f>
        <v>3</v>
      </c>
      <c r="AB62" s="169"/>
      <c r="AC62" s="149"/>
      <c r="AD62" s="134"/>
    </row>
    <row r="63" spans="7:30" ht="16.2" thickBot="1">
      <c r="G63" s="212" t="str">
        <f>CONCATENATE('CE Curriculum'!H18," ",'CE Curriculum'!I18)</f>
        <v>GEN 3040 Fluid Mech.</v>
      </c>
      <c r="H63" s="212">
        <f>'CE Curriculum'!J18</f>
        <v>4</v>
      </c>
      <c r="V63" s="148" t="s">
        <v>214</v>
      </c>
      <c r="W63" s="291" t="str">
        <f>G66</f>
        <v>CEN3030 Transportation</v>
      </c>
      <c r="X63" s="292"/>
      <c r="Y63" s="137"/>
      <c r="Z63" s="137">
        <f>H66</f>
        <v>4</v>
      </c>
      <c r="AA63" s="137"/>
      <c r="AB63" s="169"/>
      <c r="AC63" s="149"/>
      <c r="AD63" s="134"/>
    </row>
    <row r="64" spans="7:30" ht="16.2" thickBot="1">
      <c r="G64" s="212" t="str">
        <f>CONCATENATE('CE Curriculum'!A25," ",'CE Curriculum'!B25)</f>
        <v>CEN3010 Structures</v>
      </c>
      <c r="H64" s="212">
        <f>'CE Curriculum'!C25</f>
        <v>4</v>
      </c>
      <c r="V64" s="148" t="s">
        <v>214</v>
      </c>
      <c r="W64" s="291" t="str">
        <f>G67</f>
        <v>CEN3050 Enviro. Engr.</v>
      </c>
      <c r="X64" s="292"/>
      <c r="Y64" s="137"/>
      <c r="Z64" s="137">
        <f>H67</f>
        <v>4</v>
      </c>
      <c r="AA64" s="137"/>
      <c r="AB64" s="169"/>
      <c r="AC64" s="149"/>
      <c r="AD64" s="134"/>
    </row>
    <row r="65" spans="7:30" ht="16.2" thickBot="1">
      <c r="G65" s="212" t="str">
        <f>CONCATENATE('CE Curriculum'!A26," ",'CE Curriculum'!B26)</f>
        <v>CEN3020 Geotech Engr</v>
      </c>
      <c r="H65" s="212">
        <f>'CE Curriculum'!C26</f>
        <v>4</v>
      </c>
      <c r="V65" s="148" t="s">
        <v>214</v>
      </c>
      <c r="W65" s="291" t="str">
        <f>G68</f>
        <v>CEN3090 Professionalism &amp; Ethics</v>
      </c>
      <c r="X65" s="292"/>
      <c r="Y65" s="137"/>
      <c r="Z65" s="137">
        <f>H68</f>
        <v>1</v>
      </c>
      <c r="AA65" s="137"/>
      <c r="AB65" s="169"/>
      <c r="AC65" s="149"/>
      <c r="AD65" s="134" t="s">
        <v>126</v>
      </c>
    </row>
    <row r="66" spans="7:30" ht="16.2" thickBot="1">
      <c r="G66" s="212" t="str">
        <f>CONCATENATE('CE Curriculum'!H25," ",'CE Curriculum'!I25)</f>
        <v>CEN3030 Transportation</v>
      </c>
      <c r="H66" s="212">
        <f>'CE Curriculum'!J25</f>
        <v>4</v>
      </c>
      <c r="V66" s="148" t="s">
        <v>214</v>
      </c>
      <c r="W66" s="291" t="str">
        <f>G80</f>
        <v>Ethics (E) Elective (course here)</v>
      </c>
      <c r="X66" s="292"/>
      <c r="Y66" s="137"/>
      <c r="Z66" s="137"/>
      <c r="AA66" s="137">
        <f>H80</f>
        <v>4</v>
      </c>
      <c r="AB66" s="169"/>
      <c r="AC66" s="149"/>
      <c r="AD66" s="134"/>
    </row>
    <row r="67" spans="7:30" ht="16.2" thickBot="1">
      <c r="G67" s="212" t="str">
        <f>CONCATENATE('CE Curriculum'!H26," ",'CE Curriculum'!I26)</f>
        <v>CEN3050 Enviro. Engr.</v>
      </c>
      <c r="H67" s="212">
        <f>'CE Curriculum'!J26</f>
        <v>4</v>
      </c>
      <c r="V67" s="148" t="s">
        <v>214</v>
      </c>
      <c r="W67" s="291" t="str">
        <f>G88</f>
        <v>Soc. Science (SS) Elective (course here)</v>
      </c>
      <c r="X67" s="292"/>
      <c r="Y67" s="137"/>
      <c r="Z67" s="137"/>
      <c r="AA67" s="137">
        <f>H88</f>
        <v>4</v>
      </c>
      <c r="AB67" s="169"/>
      <c r="AC67" s="149"/>
      <c r="AD67" s="134"/>
    </row>
    <row r="68" spans="7:30" ht="16.2" thickBot="1">
      <c r="G68" s="212" t="str">
        <f>CONCATENATE('CE Curriculum'!H27," ",'CE Curriculum'!I27)</f>
        <v>CEN3090 Professionalism &amp; Ethics</v>
      </c>
      <c r="H68" s="212">
        <f>'CE Curriculum'!J27</f>
        <v>1</v>
      </c>
      <c r="V68" s="148" t="s">
        <v>250</v>
      </c>
      <c r="W68" s="291" t="str">
        <f>G69</f>
        <v>Structures Elective (course here)</v>
      </c>
      <c r="X68" s="292"/>
      <c r="Y68" s="137"/>
      <c r="Z68" s="137">
        <f>H69</f>
        <v>4</v>
      </c>
      <c r="AA68" s="137"/>
      <c r="AB68" s="169"/>
      <c r="AC68" s="149"/>
      <c r="AD68" s="134" t="s">
        <v>126</v>
      </c>
    </row>
    <row r="69" spans="7:30" ht="16.2" thickBot="1">
      <c r="G69" s="212" t="str">
        <f>CONCATENATE('CE Curriculum'!A34," ",'CE Curriculum'!B34)</f>
        <v>Structures Elective (course here)</v>
      </c>
      <c r="H69" s="212">
        <f>'CE Curriculum'!C34</f>
        <v>4</v>
      </c>
      <c r="V69" s="148" t="s">
        <v>250</v>
      </c>
      <c r="W69" s="291" t="str">
        <f>G70</f>
        <v>Geotechnical Elective (course here)</v>
      </c>
      <c r="X69" s="292"/>
      <c r="Y69" s="137"/>
      <c r="Z69" s="137">
        <f>H70</f>
        <v>4</v>
      </c>
      <c r="AA69" s="137"/>
      <c r="AB69" s="169"/>
      <c r="AC69" s="149"/>
      <c r="AD69" s="134" t="s">
        <v>126</v>
      </c>
    </row>
    <row r="70" spans="7:30" ht="16.2" thickBot="1">
      <c r="G70" s="212" t="str">
        <f>CONCATENATE('CE Curriculum'!A35," ",'CE Curriculum'!B35)</f>
        <v>Geotechnical Elective (course here)</v>
      </c>
      <c r="H70" s="212">
        <f>'CE Curriculum'!C35</f>
        <v>4</v>
      </c>
      <c r="V70" s="148" t="s">
        <v>250</v>
      </c>
      <c r="W70" s="291" t="s">
        <v>290</v>
      </c>
      <c r="X70" s="292"/>
      <c r="Y70" s="137"/>
      <c r="Z70" s="137"/>
      <c r="AA70" s="137"/>
      <c r="AB70" s="169">
        <v>4</v>
      </c>
      <c r="AC70" s="149"/>
      <c r="AD70" s="134"/>
    </row>
    <row r="71" spans="7:30" ht="16.2" thickBot="1">
      <c r="G71" s="212" t="str">
        <f>CONCATENATE('CE Curriculum'!H34," ",'CE Curriculum'!I34)</f>
        <v>CEN 4901 Des. Project</v>
      </c>
      <c r="H71" s="212">
        <f>'CE Curriculum'!J34</f>
        <v>4</v>
      </c>
      <c r="V71" s="148" t="s">
        <v>250</v>
      </c>
      <c r="W71" s="291" t="str">
        <f>G81</f>
        <v>PHL 1000 Intro to Philosophy</v>
      </c>
      <c r="X71" s="292"/>
      <c r="Y71" s="137"/>
      <c r="Z71" s="137"/>
      <c r="AA71" s="137">
        <f>H81</f>
        <v>4</v>
      </c>
      <c r="AB71" s="169"/>
      <c r="AC71" s="149"/>
      <c r="AD71" s="134"/>
    </row>
    <row r="72" spans="7:30" ht="16.2" thickBot="1">
      <c r="G72" s="212" t="str">
        <f>CONCATENATE('CE Curriculum'!H35," ",'CE Curriculum'!I35)</f>
        <v>Transportation Elective (course here)</v>
      </c>
      <c r="H72" s="212">
        <f>'CE Curriculum'!J35</f>
        <v>4</v>
      </c>
      <c r="V72" s="148" t="s">
        <v>322</v>
      </c>
      <c r="W72" s="291" t="str">
        <f>G71</f>
        <v>CEN 4901 Des. Project</v>
      </c>
      <c r="X72" s="292"/>
      <c r="Y72" s="137"/>
      <c r="Z72" s="137">
        <f>H71</f>
        <v>4</v>
      </c>
      <c r="AA72" s="137"/>
      <c r="AB72" s="169"/>
      <c r="AC72" s="149"/>
      <c r="AD72" s="134" t="s">
        <v>126</v>
      </c>
    </row>
    <row r="73" spans="7:30" ht="16.2" thickBot="1">
      <c r="G73" s="212" t="str">
        <f>CONCATENATE('CE Curriculum'!H36," ",'CE Curriculum'!I36)</f>
        <v>Environmental Elective (course here)</v>
      </c>
      <c r="H73" s="212">
        <f>'CE Curriculum'!J36</f>
        <v>4</v>
      </c>
      <c r="V73" s="148" t="s">
        <v>322</v>
      </c>
      <c r="W73" s="291" t="str">
        <f>G72</f>
        <v>Transportation Elective (course here)</v>
      </c>
      <c r="X73" s="292"/>
      <c r="Y73" s="137"/>
      <c r="Z73" s="137">
        <f>H72</f>
        <v>4</v>
      </c>
      <c r="AA73" s="137"/>
      <c r="AB73" s="169"/>
      <c r="AC73" s="149"/>
      <c r="AD73" s="134" t="s">
        <v>126</v>
      </c>
    </row>
    <row r="74" spans="7:30" ht="16.2" thickBot="1">
      <c r="G74" s="212" t="str">
        <f>CONCATENATE('CE Curriculum'!H37," ",'CE Curriculum'!I37)</f>
        <v>CEN 4900 Senior Seminar</v>
      </c>
      <c r="H74" s="212">
        <f>'CE Curriculum'!J37</f>
        <v>1</v>
      </c>
      <c r="V74" s="148" t="s">
        <v>322</v>
      </c>
      <c r="W74" s="291" t="str">
        <f>G73</f>
        <v>Environmental Elective (course here)</v>
      </c>
      <c r="X74" s="292"/>
      <c r="Y74" s="137"/>
      <c r="Z74" s="137">
        <f>H73</f>
        <v>4</v>
      </c>
      <c r="AA74" s="137"/>
      <c r="AB74" s="169"/>
      <c r="AC74" s="149"/>
      <c r="AD74" s="134" t="s">
        <v>126</v>
      </c>
    </row>
    <row r="75" spans="7:30" ht="16.8" thickBot="1">
      <c r="G75" s="223" t="s">
        <v>353</v>
      </c>
      <c r="H75" s="225">
        <f>SUM(H59:H74)</f>
        <v>58</v>
      </c>
      <c r="V75" s="148" t="s">
        <v>322</v>
      </c>
      <c r="W75" s="291" t="str">
        <f>G74</f>
        <v>CEN 4900 Senior Seminar</v>
      </c>
      <c r="X75" s="292"/>
      <c r="Y75" s="137"/>
      <c r="Z75" s="137">
        <f>H74</f>
        <v>1</v>
      </c>
      <c r="AA75" s="137"/>
      <c r="AB75" s="169"/>
      <c r="AC75" s="149"/>
      <c r="AD75" s="134"/>
    </row>
    <row r="76" spans="7:30" ht="16.2" thickBot="1">
      <c r="G76" s="6"/>
      <c r="H76" s="6"/>
      <c r="V76" s="148" t="s">
        <v>322</v>
      </c>
      <c r="W76" s="291" t="str">
        <f>G86</f>
        <v>Hist. Studies (H) Elective (course here)</v>
      </c>
      <c r="X76" s="292"/>
      <c r="Y76" s="153"/>
      <c r="Z76" s="153"/>
      <c r="AA76" s="153">
        <f>H86</f>
        <v>3</v>
      </c>
      <c r="AB76" s="170"/>
      <c r="AC76" s="149"/>
      <c r="AD76" s="134"/>
    </row>
    <row r="77" spans="7:30" ht="15.6">
      <c r="G77" s="217" t="s">
        <v>354</v>
      </c>
      <c r="H77" s="6"/>
      <c r="V77" s="304"/>
      <c r="W77" s="305"/>
      <c r="X77" s="305"/>
      <c r="Y77" s="305"/>
      <c r="Z77" s="305"/>
      <c r="AA77" s="305"/>
      <c r="AB77" s="306"/>
      <c r="AC77" s="149"/>
      <c r="AD77" s="134"/>
    </row>
    <row r="78" spans="7:30" ht="16.2" thickBot="1">
      <c r="G78" s="212" t="str">
        <f>CONCATENATE('CE Curriculum'!A11," ",'CE Curriculum'!B11)</f>
        <v>FYW 1050 College Writing</v>
      </c>
      <c r="H78" s="212">
        <f>'CE Curriculum'!C11</f>
        <v>4</v>
      </c>
      <c r="V78" s="307" t="s">
        <v>215</v>
      </c>
      <c r="W78" s="308"/>
      <c r="X78" s="308"/>
      <c r="Y78" s="308"/>
      <c r="Z78" s="308"/>
      <c r="AA78" s="308"/>
      <c r="AB78" s="309"/>
      <c r="AC78" s="149"/>
      <c r="AD78" s="134"/>
    </row>
    <row r="79" spans="7:30" ht="16.8" thickTop="1" thickBot="1">
      <c r="G79" s="212" t="str">
        <f>CONCATENATE('CE Curriculum'!A28," ",'CE Curriculum'!B28)</f>
        <v>RTS 1100 Christianity in Context</v>
      </c>
      <c r="H79" s="212">
        <f>'CE Curriculum'!C28</f>
        <v>4</v>
      </c>
      <c r="V79" s="298" t="s">
        <v>248</v>
      </c>
      <c r="W79" s="299"/>
      <c r="X79" s="300"/>
      <c r="Y79" s="171">
        <f>SUM(Y42:Y76)</f>
        <v>38</v>
      </c>
      <c r="Z79" s="171">
        <f>SUM(Z42:Z76)</f>
        <v>58</v>
      </c>
      <c r="AA79" s="171">
        <f>SUM(AA42:AA76)</f>
        <v>30</v>
      </c>
      <c r="AB79" s="171">
        <f>SUM(AB42:AB76)</f>
        <v>4</v>
      </c>
      <c r="AC79" s="301"/>
      <c r="AD79" s="294"/>
    </row>
    <row r="80" spans="7:30" ht="16.2" thickBot="1">
      <c r="G80" s="212" t="str">
        <f>CONCATENATE('CE Curriculum'!H28," ",'CE Curriculum'!I28)</f>
        <v>Ethics (E) Elective (course here)</v>
      </c>
      <c r="H80" s="212">
        <f>'CE Curriculum'!J28</f>
        <v>4</v>
      </c>
      <c r="V80" s="302" t="s">
        <v>278</v>
      </c>
      <c r="W80" s="293"/>
      <c r="X80" s="135">
        <f>Y79+Z79+AA79+AB79</f>
        <v>130</v>
      </c>
      <c r="Y80" s="172"/>
      <c r="Z80" s="172"/>
      <c r="AA80" s="172"/>
      <c r="AB80" s="173"/>
      <c r="AC80" s="294"/>
      <c r="AD80" s="295"/>
    </row>
    <row r="81" spans="7:30" ht="16.2" thickBot="1">
      <c r="G81" s="212" t="str">
        <f>CONCATENATE('CE Curriculum'!A10," ",'CE Curriculum'!B10)</f>
        <v>PHL 1000 Intro to Philosophy</v>
      </c>
      <c r="H81" s="212">
        <f>'CE Curriculum'!C10</f>
        <v>4</v>
      </c>
      <c r="V81" s="302" t="s">
        <v>194</v>
      </c>
      <c r="W81" s="303"/>
      <c r="X81" s="293"/>
      <c r="Y81" s="174">
        <f>Y79/X80</f>
        <v>0.29230769230769232</v>
      </c>
      <c r="Z81" s="174">
        <f>Z79/X80</f>
        <v>0.44615384615384618</v>
      </c>
      <c r="AA81" s="175">
        <f>AA79/X80</f>
        <v>0.23076923076923078</v>
      </c>
      <c r="AB81" s="176">
        <f>AB79/X80</f>
        <v>3.0769230769230771E-2</v>
      </c>
      <c r="AC81" s="294"/>
      <c r="AD81" s="295"/>
    </row>
    <row r="82" spans="7:30" ht="16.8" thickBot="1">
      <c r="G82" s="215" t="s">
        <v>341</v>
      </c>
      <c r="H82" s="225">
        <f>H78+H79+H80+H81</f>
        <v>16</v>
      </c>
      <c r="V82" s="136" t="s">
        <v>195</v>
      </c>
      <c r="W82" s="291" t="s">
        <v>157</v>
      </c>
      <c r="X82" s="293"/>
      <c r="Y82" s="137" t="s">
        <v>158</v>
      </c>
      <c r="Z82" s="137" t="s">
        <v>159</v>
      </c>
      <c r="AA82" s="138"/>
      <c r="AB82" s="139"/>
      <c r="AC82" s="294"/>
      <c r="AD82" s="295"/>
    </row>
    <row r="83" spans="7:30" ht="16.2" thickBot="1">
      <c r="G83" s="6"/>
      <c r="V83" s="140" t="s">
        <v>160</v>
      </c>
      <c r="W83" s="296" t="s">
        <v>161</v>
      </c>
      <c r="X83" s="297"/>
      <c r="Y83" s="141">
        <v>0.25</v>
      </c>
      <c r="Z83" s="142">
        <v>0.375</v>
      </c>
      <c r="AA83" s="143"/>
      <c r="AB83" s="144"/>
      <c r="AC83" s="294"/>
      <c r="AD83" s="295"/>
    </row>
    <row r="84" spans="7:30" ht="16.2" thickTop="1">
      <c r="G84" s="217" t="s">
        <v>346</v>
      </c>
      <c r="H84" s="6"/>
    </row>
    <row r="85" spans="7:30" ht="15.6">
      <c r="G85" s="212" t="str">
        <f>CONCATENATE('CE Curriculum'!H38," ",'CE Curriculum'!I38)</f>
        <v>Soc. Science (SS) Elective (course here)</v>
      </c>
      <c r="H85" s="212">
        <v>3</v>
      </c>
      <c r="I85" t="s">
        <v>361</v>
      </c>
      <c r="K85" t="s">
        <v>361</v>
      </c>
    </row>
    <row r="86" spans="7:30" ht="15.6">
      <c r="G86" s="212" t="str">
        <f>CONCATENATE('CE Curriculum'!A29," ",'CE Curriculum'!B29)</f>
        <v>Hist. Studies (H) Elective (course here)</v>
      </c>
      <c r="H86" s="212">
        <v>3</v>
      </c>
      <c r="I86" t="s">
        <v>361</v>
      </c>
      <c r="K86" t="s">
        <v>361</v>
      </c>
    </row>
    <row r="87" spans="7:30" ht="15.6">
      <c r="G87" s="231" t="str">
        <f>CONCATENATE('CE Curriculum'!H11,"  WLC Major course - Spring Freshman yr")</f>
        <v>Arts &amp; Lit (AL)  WLC Major course - Spring Freshman yr</v>
      </c>
      <c r="H87" s="212">
        <f>'CE Curriculum'!J11</f>
        <v>4</v>
      </c>
    </row>
    <row r="88" spans="7:30" ht="15.6">
      <c r="G88" s="212" t="str">
        <f>CONCATENATE('CE Curriculum'!A37," ",'CE Curriculum'!B37)</f>
        <v>Soc. Science (SS) Elective (course here)</v>
      </c>
      <c r="H88" s="212">
        <f>'CE Curriculum'!C37</f>
        <v>4</v>
      </c>
    </row>
    <row r="89" spans="7:30" ht="15.6">
      <c r="G89" s="212" t="s">
        <v>333</v>
      </c>
      <c r="H89" s="212">
        <v>8</v>
      </c>
    </row>
    <row r="90" spans="7:30" ht="16.2">
      <c r="G90" s="215" t="s">
        <v>342</v>
      </c>
      <c r="H90" s="225">
        <f>H85+H86+H87+H88+H89</f>
        <v>22</v>
      </c>
    </row>
    <row r="91" spans="7:30" ht="16.2">
      <c r="G91" s="215" t="s">
        <v>343</v>
      </c>
      <c r="H91" s="225">
        <f>H82+H90+H59</f>
        <v>42</v>
      </c>
    </row>
    <row r="92" spans="7:30" ht="15.6">
      <c r="G92" s="6"/>
      <c r="H92" s="6"/>
    </row>
    <row r="93" spans="7:30" ht="15.6">
      <c r="G93" s="217" t="s">
        <v>362</v>
      </c>
      <c r="H93" s="6"/>
    </row>
    <row r="94" spans="7:30" ht="15.6">
      <c r="G94" s="212" t="s">
        <v>363</v>
      </c>
      <c r="H94" s="212">
        <v>4</v>
      </c>
    </row>
    <row r="95" spans="7:30" ht="15.6">
      <c r="G95" s="231" t="str">
        <f>CONCATENATE('CE Curriculum'!H19,"  WLC Major course - Spring Freshman yr")</f>
        <v>CHM 1180  WLC Major course - Spring Freshman yr</v>
      </c>
      <c r="H95" s="212">
        <v>4</v>
      </c>
    </row>
    <row r="96" spans="7:30" ht="15.6">
      <c r="G96" s="212" t="s">
        <v>364</v>
      </c>
      <c r="H96" s="212">
        <v>4</v>
      </c>
    </row>
    <row r="97" spans="7:9" ht="15.6">
      <c r="G97" s="212" t="s">
        <v>365</v>
      </c>
      <c r="H97" s="212">
        <v>4</v>
      </c>
    </row>
    <row r="98" spans="7:9" ht="15.6">
      <c r="G98" s="212" t="s">
        <v>366</v>
      </c>
      <c r="H98" s="212">
        <v>4</v>
      </c>
    </row>
    <row r="99" spans="7:9" ht="15.6">
      <c r="G99" s="212" t="s">
        <v>367</v>
      </c>
      <c r="H99" s="212">
        <v>3</v>
      </c>
      <c r="I99" t="s">
        <v>361</v>
      </c>
    </row>
    <row r="100" spans="7:9" ht="15.6">
      <c r="G100" s="212" t="s">
        <v>367</v>
      </c>
      <c r="H100" s="212">
        <v>3</v>
      </c>
      <c r="I100" t="s">
        <v>361</v>
      </c>
    </row>
    <row r="101" spans="7:9" ht="15.6">
      <c r="G101" s="232" t="s">
        <v>368</v>
      </c>
      <c r="H101" s="232">
        <v>4</v>
      </c>
    </row>
    <row r="102" spans="7:9" ht="15.6">
      <c r="G102" s="233"/>
      <c r="H102" s="233"/>
    </row>
    <row r="103" spans="7:9" ht="16.2">
      <c r="G103" s="215" t="s">
        <v>369</v>
      </c>
      <c r="H103" s="225">
        <f>SUM(H94:H101)</f>
        <v>30</v>
      </c>
    </row>
    <row r="105" spans="7:9" ht="15.6">
      <c r="G105" s="217" t="s">
        <v>290</v>
      </c>
      <c r="H105" s="6"/>
    </row>
    <row r="106" spans="7:9" ht="15.6">
      <c r="G106" s="212" t="str">
        <f>CONCATENATE('CE Curriculum'!A36," ",'CE Curriculum'!B36)</f>
        <v>Technical Elective (course here)</v>
      </c>
      <c r="H106" s="212">
        <f>'CE Curriculum'!C36</f>
        <v>4</v>
      </c>
    </row>
    <row r="107" spans="7:9" ht="15.6">
      <c r="G107" s="6"/>
      <c r="H107" s="6"/>
    </row>
    <row r="108" spans="7:9" ht="15.6">
      <c r="G108" s="217" t="s">
        <v>344</v>
      </c>
      <c r="H108" s="6"/>
    </row>
    <row r="109" spans="7:9" ht="15.6">
      <c r="G109" s="226" t="s">
        <v>347</v>
      </c>
      <c r="H109" s="212" t="str">
        <f>IF('CE Curriculum'!H40=1,"√","")</f>
        <v/>
      </c>
    </row>
    <row r="110" spans="7:9" ht="15.6">
      <c r="G110" s="226" t="s">
        <v>355</v>
      </c>
      <c r="H110" s="212" t="str">
        <f>IF('CE Curriculum'!D8=1,"√","")</f>
        <v/>
      </c>
    </row>
    <row r="111" spans="7:9" ht="15.6">
      <c r="G111" s="226" t="s">
        <v>336</v>
      </c>
      <c r="H111" s="212" t="str">
        <f>IF('CE Curriculum'!H41=1,"√","")</f>
        <v/>
      </c>
    </row>
  </sheetData>
  <mergeCells count="58">
    <mergeCell ref="V81:X81"/>
    <mergeCell ref="AC81:AD81"/>
    <mergeCell ref="W82:X82"/>
    <mergeCell ref="AC82:AD82"/>
    <mergeCell ref="W83:X83"/>
    <mergeCell ref="AC83:AD83"/>
    <mergeCell ref="V77:AB77"/>
    <mergeCell ref="V78:AB78"/>
    <mergeCell ref="V79:X79"/>
    <mergeCell ref="AC79:AD79"/>
    <mergeCell ref="V80:W80"/>
    <mergeCell ref="AC80:AD80"/>
    <mergeCell ref="W76:X76"/>
    <mergeCell ref="W65:X65"/>
    <mergeCell ref="W66:X66"/>
    <mergeCell ref="W67:X67"/>
    <mergeCell ref="W68:X68"/>
    <mergeCell ref="W69:X69"/>
    <mergeCell ref="W70:X70"/>
    <mergeCell ref="W71:X71"/>
    <mergeCell ref="W72:X72"/>
    <mergeCell ref="W73:X73"/>
    <mergeCell ref="W74:X74"/>
    <mergeCell ref="W75:X75"/>
    <mergeCell ref="W64:X64"/>
    <mergeCell ref="W53:X53"/>
    <mergeCell ref="W54:X54"/>
    <mergeCell ref="W55:X55"/>
    <mergeCell ref="W56:X56"/>
    <mergeCell ref="W57:X57"/>
    <mergeCell ref="W58:X58"/>
    <mergeCell ref="W59:X59"/>
    <mergeCell ref="W60:X60"/>
    <mergeCell ref="W61:X61"/>
    <mergeCell ref="W62:X62"/>
    <mergeCell ref="W63:X63"/>
    <mergeCell ref="W52:X52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C3:E3"/>
    <mergeCell ref="B9:E9"/>
    <mergeCell ref="W38:X38"/>
    <mergeCell ref="Y38:AB38"/>
    <mergeCell ref="W39:X39"/>
    <mergeCell ref="Y39:Y41"/>
    <mergeCell ref="Z39:Z41"/>
    <mergeCell ref="AA39:AA41"/>
    <mergeCell ref="W40:X40"/>
    <mergeCell ref="AB40:AB41"/>
  </mergeCells>
  <phoneticPr fontId="28" type="noConversion"/>
  <pageMargins left="0.75" right="0.75" top="1" bottom="1" header="0.5" footer="0.5"/>
  <pageSetup orientation="portrait" horizontalDpi="4294967292" verticalDpi="4294967292"/>
  <headerFooter>
    <oddHeader>&amp;L&amp;"Times,Italic"&amp;12&amp;K000000Checklist page &amp;P</oddHead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CE Curriculum</vt:lpstr>
      <vt:lpstr>CE Curriculum CO-OP</vt:lpstr>
      <vt:lpstr>CE Curriculum BUS minor</vt:lpstr>
      <vt:lpstr>CE Curriculum double major</vt:lpstr>
      <vt:lpstr>CE Curriculum ESS Minor</vt:lpstr>
      <vt:lpstr>Flowchart</vt:lpstr>
      <vt:lpstr>General Education</vt:lpstr>
      <vt:lpstr>ABET Summary</vt:lpstr>
      <vt:lpstr>DOUBLE MAJ CHECKLIST</vt:lpstr>
      <vt:lpstr>'CE Curriculum'!_ftn1</vt:lpstr>
      <vt:lpstr>'CE Curriculum BUS minor'!_ftn1</vt:lpstr>
      <vt:lpstr>'CE Curriculum CO-OP'!_ftn1</vt:lpstr>
      <vt:lpstr>'CE Curriculum double major'!_ftn1</vt:lpstr>
      <vt:lpstr>'CE Curriculum ESS Minor'!_ftn1</vt:lpstr>
      <vt:lpstr>flow_chart_print</vt:lpstr>
      <vt:lpstr>'CE Curriculum'!Print_Area</vt:lpstr>
      <vt:lpstr>'CE Curriculum BUS minor'!Print_Area</vt:lpstr>
      <vt:lpstr>'CE Curriculum CO-OP'!Print_Area</vt:lpstr>
      <vt:lpstr>'CE Curriculum double major'!Print_Area</vt:lpstr>
      <vt:lpstr>'CE Curriculum ESS Minor'!Print_Area</vt:lpstr>
      <vt:lpstr>'DOUBLE MAJ CHECKLIST'!Print_Area</vt:lpstr>
      <vt:lpstr>Flowchart!Print_Area</vt:lpstr>
      <vt:lpstr>'General Education'!Print_Area</vt:lpstr>
      <vt:lpstr>'DOUBLE MAJ CHECKLIST'!Table_5_1_Curriculum</vt:lpstr>
      <vt:lpstr>Table_5_1_Curriculum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reynoldsj</cp:lastModifiedBy>
  <cp:lastPrinted>2012-07-18T19:07:24Z</cp:lastPrinted>
  <dcterms:created xsi:type="dcterms:W3CDTF">1998-05-20T13:12:26Z</dcterms:created>
  <dcterms:modified xsi:type="dcterms:W3CDTF">2013-10-18T13:25:02Z</dcterms:modified>
</cp:coreProperties>
</file>