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240" yWindow="240" windowWidth="25360" windowHeight="15900" tabRatio="500"/>
  </bookViews>
  <sheets>
    <sheet name="TableS7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D10" i="1"/>
  <c r="E10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<sst xmlns="http://schemas.openxmlformats.org/spreadsheetml/2006/main" count="45" uniqueCount="32">
  <si>
    <r>
      <t xml:space="preserve">Table S7. Fraction of the genome detected in free-living microorganisms compared with </t>
    </r>
    <r>
      <rPr>
        <b/>
        <i/>
        <sz val="12"/>
        <color theme="1"/>
        <rFont val="Times New Roman"/>
      </rPr>
      <t>T. maritima</t>
    </r>
    <r>
      <rPr>
        <b/>
        <sz val="12"/>
        <color theme="1"/>
        <rFont val="Times New Roman"/>
      </rPr>
      <t>.</t>
    </r>
  </si>
  <si>
    <t>Domain</t>
  </si>
  <si>
    <t>Organism</t>
  </si>
  <si>
    <t># ORFs</t>
  </si>
  <si>
    <t># ORFs Expressed</t>
  </si>
  <si>
    <t>% of Genome Detected</t>
  </si>
  <si>
    <t>Reference (PMID)</t>
  </si>
  <si>
    <t>Notes</t>
  </si>
  <si>
    <t>Archaea</t>
  </si>
  <si>
    <t>Methanococcus maripaludis</t>
  </si>
  <si>
    <t>Collection of all detected genes across various phases of growth.</t>
  </si>
  <si>
    <t>Pyrococcus furiosus</t>
  </si>
  <si>
    <t>Sulfolobus solfataricus</t>
  </si>
  <si>
    <t>Halobacterium salinarum</t>
  </si>
  <si>
    <t>Data from PMID 19536208.</t>
  </si>
  <si>
    <t>Bacteria</t>
  </si>
  <si>
    <t>Escherichia coli K-12</t>
  </si>
  <si>
    <t>Collection of all detected genes across four growth conditions</t>
  </si>
  <si>
    <t>Geobacter sulfurreducens</t>
  </si>
  <si>
    <t>Collection of all detected genes across five growth conditions</t>
  </si>
  <si>
    <t>Bacillus subtilis</t>
  </si>
  <si>
    <t>Collection of all detected genes over two conditions</t>
  </si>
  <si>
    <t>Collection of all detected genes over 104 conditions</t>
  </si>
  <si>
    <t>Bacillus anthracis</t>
  </si>
  <si>
    <t>Collection of all detected genes across four conditions.</t>
  </si>
  <si>
    <t>Synechococcus elongatus</t>
  </si>
  <si>
    <t>Single condition.  Cutoff of &gt;2 average reads/nt for each ORF (note that &gt;4 cutoff yields only 2002 ORFs detected or 75% coverage)</t>
  </si>
  <si>
    <t>Clostridium beijerinckii</t>
  </si>
  <si>
    <t>Collection of all detected genes across six conditions.</t>
  </si>
  <si>
    <t>Thermotoga maritima</t>
  </si>
  <si>
    <t>This Study</t>
  </si>
  <si>
    <t>Collection of all detected genes with FPKM cutoff of &gt;8 over four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</si>
</sst>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i/>
      <sz val="10"/>
      <color rgb="FF000000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view="pageLayout" topLeftCell="A3" workbookViewId="0">
      <selection activeCell="D12" sqref="D12"/>
    </sheetView>
  </sheetViews>
  <sheetFormatPr baseColWidth="10" defaultRowHeight="15" x14ac:dyDescent="0"/>
  <cols>
    <col min="1" max="1" width="9.5" customWidth="1"/>
    <col min="2" max="2" width="22" customWidth="1"/>
    <col min="3" max="3" width="7.6640625" customWidth="1"/>
    <col min="4" max="4" width="8.83203125" customWidth="1"/>
    <col min="5" max="5" width="8" customWidth="1"/>
    <col min="6" max="6" width="8.83203125" customWidth="1"/>
    <col min="7" max="7" width="27" customWidth="1"/>
  </cols>
  <sheetData>
    <row r="1" spans="1:7">
      <c r="A1" s="1" t="s">
        <v>0</v>
      </c>
    </row>
    <row r="2" spans="1:7" ht="3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4">
      <c r="A3" s="3" t="s">
        <v>8</v>
      </c>
      <c r="B3" s="4" t="s">
        <v>9</v>
      </c>
      <c r="C3" s="5">
        <v>1722</v>
      </c>
      <c r="D3" s="5">
        <v>1464</v>
      </c>
      <c r="E3" s="6">
        <f>D3/C3</f>
        <v>0.85017421602787457</v>
      </c>
      <c r="F3" s="3">
        <v>21750103</v>
      </c>
      <c r="G3" s="3" t="s">
        <v>10</v>
      </c>
    </row>
    <row r="4" spans="1:7" ht="24">
      <c r="A4" s="3" t="s">
        <v>8</v>
      </c>
      <c r="B4" s="4" t="s">
        <v>11</v>
      </c>
      <c r="C4" s="5">
        <v>2065</v>
      </c>
      <c r="D4" s="5">
        <v>1774</v>
      </c>
      <c r="E4" s="6">
        <f t="shared" ref="E4:E14" si="0">D4/C4</f>
        <v>0.85907990314769977</v>
      </c>
      <c r="F4" s="3">
        <v>21750103</v>
      </c>
      <c r="G4" s="3" t="s">
        <v>10</v>
      </c>
    </row>
    <row r="5" spans="1:7" ht="24">
      <c r="A5" s="3" t="s">
        <v>8</v>
      </c>
      <c r="B5" s="4" t="s">
        <v>12</v>
      </c>
      <c r="C5" s="5">
        <v>2978</v>
      </c>
      <c r="D5" s="5">
        <v>2328</v>
      </c>
      <c r="E5" s="6">
        <f t="shared" si="0"/>
        <v>0.78173270651443927</v>
      </c>
      <c r="F5" s="3">
        <v>21750103</v>
      </c>
      <c r="G5" s="3" t="s">
        <v>10</v>
      </c>
    </row>
    <row r="6" spans="1:7">
      <c r="A6" s="3" t="s">
        <v>8</v>
      </c>
      <c r="B6" s="4" t="s">
        <v>13</v>
      </c>
      <c r="C6" s="5">
        <v>2630</v>
      </c>
      <c r="D6" s="5">
        <v>1647</v>
      </c>
      <c r="E6" s="6">
        <f t="shared" si="0"/>
        <v>0.62623574144486693</v>
      </c>
      <c r="F6" s="3">
        <v>21750103</v>
      </c>
      <c r="G6" s="3" t="s">
        <v>14</v>
      </c>
    </row>
    <row r="7" spans="1:7" ht="24">
      <c r="A7" s="3" t="s">
        <v>15</v>
      </c>
      <c r="B7" s="4" t="s">
        <v>16</v>
      </c>
      <c r="C7" s="5">
        <v>4500</v>
      </c>
      <c r="D7" s="5">
        <v>3933</v>
      </c>
      <c r="E7" s="6">
        <f t="shared" si="0"/>
        <v>0.874</v>
      </c>
      <c r="F7" s="3">
        <v>19881496</v>
      </c>
      <c r="G7" s="3" t="s">
        <v>17</v>
      </c>
    </row>
    <row r="8" spans="1:7" ht="24">
      <c r="A8" s="3" t="s">
        <v>15</v>
      </c>
      <c r="B8" s="4" t="s">
        <v>18</v>
      </c>
      <c r="C8" s="5">
        <v>3442</v>
      </c>
      <c r="D8" s="5">
        <v>3118</v>
      </c>
      <c r="E8" s="6">
        <f t="shared" si="0"/>
        <v>0.90586868099941897</v>
      </c>
      <c r="F8" s="3">
        <v>20592237</v>
      </c>
      <c r="G8" s="3" t="s">
        <v>19</v>
      </c>
    </row>
    <row r="9" spans="1:7" ht="24">
      <c r="A9" s="3" t="s">
        <v>15</v>
      </c>
      <c r="B9" s="4" t="s">
        <v>20</v>
      </c>
      <c r="C9" s="5">
        <v>4415</v>
      </c>
      <c r="D9" s="5">
        <v>3420</v>
      </c>
      <c r="E9" s="6">
        <v>0.77500000000000002</v>
      </c>
      <c r="F9" s="3">
        <v>19682248</v>
      </c>
      <c r="G9" s="3" t="s">
        <v>21</v>
      </c>
    </row>
    <row r="10" spans="1:7" ht="24">
      <c r="A10" s="3" t="s">
        <v>15</v>
      </c>
      <c r="B10" s="4" t="s">
        <v>20</v>
      </c>
      <c r="C10" s="5">
        <v>4415</v>
      </c>
      <c r="D10" s="5">
        <f>C10-186</f>
        <v>4229</v>
      </c>
      <c r="E10" s="6">
        <f t="shared" si="0"/>
        <v>0.95787089467723674</v>
      </c>
      <c r="F10" s="3">
        <v>22383849</v>
      </c>
      <c r="G10" s="3" t="s">
        <v>22</v>
      </c>
    </row>
    <row r="11" spans="1:7" ht="24">
      <c r="A11" s="3" t="s">
        <v>15</v>
      </c>
      <c r="B11" s="4" t="s">
        <v>23</v>
      </c>
      <c r="C11" s="5">
        <v>5825</v>
      </c>
      <c r="D11" s="5">
        <v>5176</v>
      </c>
      <c r="E11" s="6">
        <f t="shared" si="0"/>
        <v>0.88858369098712442</v>
      </c>
      <c r="F11" s="3">
        <v>20438648</v>
      </c>
      <c r="G11" s="3" t="s">
        <v>24</v>
      </c>
    </row>
    <row r="12" spans="1:7" ht="48">
      <c r="A12" s="3" t="s">
        <v>15</v>
      </c>
      <c r="B12" s="4" t="s">
        <v>25</v>
      </c>
      <c r="C12" s="5">
        <v>2665</v>
      </c>
      <c r="D12" s="5">
        <v>2419</v>
      </c>
      <c r="E12" s="6">
        <f t="shared" si="0"/>
        <v>0.90769230769230769</v>
      </c>
      <c r="F12" s="3">
        <v>21612627</v>
      </c>
      <c r="G12" s="3" t="s">
        <v>26</v>
      </c>
    </row>
    <row r="13" spans="1:7" ht="24">
      <c r="A13" s="3" t="s">
        <v>15</v>
      </c>
      <c r="B13" s="4" t="s">
        <v>27</v>
      </c>
      <c r="C13" s="5">
        <v>6654</v>
      </c>
      <c r="D13" s="5">
        <v>5024</v>
      </c>
      <c r="E13" s="6">
        <f t="shared" si="0"/>
        <v>0.75503456567478211</v>
      </c>
      <c r="F13" s="3">
        <v>21962126</v>
      </c>
      <c r="G13" s="3" t="s">
        <v>28</v>
      </c>
    </row>
    <row r="14" spans="1:7" ht="36">
      <c r="A14" s="3" t="s">
        <v>15</v>
      </c>
      <c r="B14" s="4" t="s">
        <v>29</v>
      </c>
      <c r="C14" s="5">
        <v>1897</v>
      </c>
      <c r="D14" s="5">
        <v>1873</v>
      </c>
      <c r="E14" s="6">
        <f t="shared" si="0"/>
        <v>0.98734844491302054</v>
      </c>
      <c r="F14" s="3" t="s">
        <v>30</v>
      </c>
      <c r="G14" s="3" t="s">
        <v>31</v>
      </c>
    </row>
  </sheetData>
  <phoneticPr fontId="6" type="noConversion"/>
  <pageMargins left="0.25" right="0.25" top="0.75" bottom="0.75" header="0.3" footer="0.3"/>
  <pageSetup orientation="portrait" horizontalDpi="4294967292" verticalDpi="4294967292"/>
  <headerFooter>
    <oddFooter>Page &amp;P of &amp;N</oddFoot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haythem latif</dc:creator>
  <cp:lastModifiedBy>haythem latif</cp:lastModifiedBy>
  <dcterms:created xsi:type="dcterms:W3CDTF">2013-02-08T17:38:14Z</dcterms:created>
  <dcterms:modified xsi:type="dcterms:W3CDTF">2013-02-08T17:38:28Z</dcterms:modified>
</cp:coreProperties>
</file>